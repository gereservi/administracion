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PERSONAL\"/>
    </mc:Choice>
  </mc:AlternateContent>
  <xr:revisionPtr revIDLastSave="0" documentId="13_ncr:1_{851BD184-C61A-4F89-A7E5-555C958D18CE}" xr6:coauthVersionLast="47" xr6:coauthVersionMax="47" xr10:uidLastSave="{00000000-0000-0000-0000-000000000000}"/>
  <bookViews>
    <workbookView xWindow="-120" yWindow="-120" windowWidth="29040" windowHeight="15720" firstSheet="1" activeTab="4" xr2:uid="{0A1BB7F4-7D1A-443D-984C-CC8A9EE4FEA7}"/>
  </bookViews>
  <sheets>
    <sheet name="inicio" sheetId="64" r:id="rId1"/>
    <sheet name="pagos" sheetId="566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</sheets>
  <externalReferences>
    <externalReference r:id="rId13"/>
  </externalReferences>
  <definedNames>
    <definedName name="_xlnm._FilterDatabase" localSheetId="6" hidden="1">F.Proveedores!$A$1:$Z$1281</definedName>
    <definedName name="_xlnm._FilterDatabase" localSheetId="11" hidden="1">'facturas vencidas'!#REF!</definedName>
    <definedName name="_xlnm._FilterDatabase" localSheetId="8" hidden="1">Reporte!#REF!</definedName>
    <definedName name="_xlnm._FilterDatabase" localSheetId="7" hidden="1">USD!$C$1:$I$114</definedName>
    <definedName name="area" localSheetId="7">#REF!</definedName>
    <definedName name="area">#REF!</definedName>
    <definedName name="_xlnm.Extract" localSheetId="6">F.Proveedores!#REF!</definedName>
    <definedName name="_xlnm.Extract" localSheetId="1">pagos!#REF!</definedName>
    <definedName name="_xlnm.Extract" localSheetId="7">USD!#REF!</definedName>
    <definedName name="_xlnm.Print_Area" localSheetId="1">pagos!#REF!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info">pagos!$A$1:$M$5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64" i="157" l="1"/>
  <c r="S24" i="157"/>
  <c r="S1108" i="157"/>
  <c r="S768" i="157"/>
  <c r="S458" i="157"/>
  <c r="S875" i="157"/>
  <c r="S83" i="157"/>
  <c r="S296" i="157"/>
  <c r="S43" i="157"/>
  <c r="S772" i="157"/>
  <c r="S631" i="157"/>
  <c r="S579" i="157"/>
  <c r="S569" i="157"/>
  <c r="S554" i="157"/>
  <c r="S1070" i="157"/>
  <c r="S996" i="157"/>
  <c r="S949" i="157"/>
  <c r="S821" i="157"/>
  <c r="S678" i="157"/>
  <c r="S666" i="157"/>
  <c r="S667" i="157"/>
  <c r="S428" i="157"/>
  <c r="S307" i="157"/>
  <c r="S353" i="157"/>
  <c r="S253" i="157"/>
  <c r="S129" i="157"/>
  <c r="S84" i="157"/>
  <c r="S1251" i="157"/>
  <c r="S1079" i="157"/>
  <c r="S1012" i="157"/>
  <c r="S1011" i="157"/>
  <c r="S819" i="157"/>
  <c r="S535" i="157"/>
  <c r="S529" i="157"/>
  <c r="S519" i="157"/>
  <c r="S1039" i="157"/>
  <c r="S838" i="157"/>
  <c r="S668" i="157"/>
  <c r="S506" i="157"/>
  <c r="S1207" i="157"/>
  <c r="S1199" i="157"/>
  <c r="S1189" i="157"/>
  <c r="S1175" i="157"/>
  <c r="S1174" i="157"/>
  <c r="S1172" i="157"/>
  <c r="S1166" i="157"/>
  <c r="S1097" i="157"/>
  <c r="S1086" i="157"/>
  <c r="S1071" i="157"/>
  <c r="S1037" i="157"/>
  <c r="S1006" i="157"/>
  <c r="S994" i="157"/>
  <c r="S967" i="157"/>
  <c r="S901" i="157"/>
  <c r="S884" i="157"/>
  <c r="S842" i="157"/>
  <c r="S823" i="157"/>
  <c r="S795" i="157"/>
  <c r="S754" i="157"/>
  <c r="S751" i="157"/>
  <c r="S713" i="157"/>
  <c r="S676" i="157"/>
  <c r="S674" i="157"/>
  <c r="S657" i="157"/>
  <c r="S609" i="157"/>
  <c r="S567" i="157"/>
  <c r="S557" i="157"/>
  <c r="S555" i="157"/>
  <c r="S429" i="157"/>
  <c r="S419" i="157"/>
  <c r="S362" i="157"/>
  <c r="S360" i="157"/>
  <c r="S337" i="157"/>
  <c r="S310" i="157"/>
  <c r="S260" i="157"/>
  <c r="S102" i="157"/>
  <c r="S101" i="157"/>
  <c r="S74" i="157"/>
  <c r="S55" i="157"/>
  <c r="S1001" i="157"/>
  <c r="S1205" i="157"/>
  <c r="S1203" i="157"/>
  <c r="S1183" i="157"/>
  <c r="S1177" i="157"/>
  <c r="S1178" i="157"/>
  <c r="S1179" i="157"/>
  <c r="S1180" i="157"/>
  <c r="S1181" i="157"/>
  <c r="S1182" i="157"/>
  <c r="S1171" i="157"/>
  <c r="S1136" i="157"/>
  <c r="S1137" i="157"/>
  <c r="S1138" i="157"/>
  <c r="S1139" i="157"/>
  <c r="S1140" i="157"/>
  <c r="S1141" i="157"/>
  <c r="S1040" i="157"/>
  <c r="S1041" i="157"/>
  <c r="S1042" i="157"/>
  <c r="S1043" i="157"/>
  <c r="S1044" i="157"/>
  <c r="S992" i="157"/>
  <c r="S959" i="157"/>
  <c r="S960" i="157"/>
  <c r="S961" i="157"/>
  <c r="S962" i="157"/>
  <c r="S963" i="157"/>
  <c r="S899" i="157"/>
  <c r="S885" i="157"/>
  <c r="S886" i="157"/>
  <c r="S887" i="157"/>
  <c r="S888" i="157"/>
  <c r="S889" i="157"/>
  <c r="S881" i="157"/>
  <c r="S882" i="157"/>
  <c r="S798" i="157"/>
  <c r="S789" i="157"/>
  <c r="S790" i="157"/>
  <c r="S791" i="157"/>
  <c r="S792" i="157"/>
  <c r="S793" i="157"/>
  <c r="S794" i="157"/>
  <c r="S494" i="157"/>
  <c r="S709" i="157"/>
  <c r="S707" i="157"/>
  <c r="S627" i="157"/>
  <c r="S624" i="157"/>
  <c r="S601" i="157"/>
  <c r="S602" i="157"/>
  <c r="S603" i="157"/>
  <c r="S604" i="157"/>
  <c r="S605" i="157"/>
  <c r="S606" i="157"/>
  <c r="S607" i="157"/>
  <c r="S568" i="157"/>
  <c r="S507" i="157"/>
  <c r="S497" i="157"/>
  <c r="S498" i="157"/>
  <c r="S499" i="157"/>
  <c r="S500" i="157"/>
  <c r="S501" i="157"/>
  <c r="S502" i="157"/>
  <c r="S484" i="157"/>
  <c r="S485" i="157"/>
  <c r="S480" i="157"/>
  <c r="S481" i="157"/>
  <c r="S432" i="157"/>
  <c r="S254" i="157"/>
  <c r="S430" i="157"/>
  <c r="S412" i="157"/>
  <c r="S402" i="157"/>
  <c r="S403" i="157"/>
  <c r="S404" i="157"/>
  <c r="S405" i="157"/>
  <c r="S406" i="157"/>
  <c r="S407" i="157"/>
  <c r="S391" i="157"/>
  <c r="S382" i="157"/>
  <c r="S383" i="157"/>
  <c r="S384" i="157"/>
  <c r="S385" i="157"/>
  <c r="S386" i="157"/>
  <c r="S387" i="157"/>
  <c r="S376" i="157"/>
  <c r="S377" i="157"/>
  <c r="S322" i="157"/>
  <c r="S299" i="157"/>
  <c r="S300" i="157"/>
  <c r="S288" i="157"/>
  <c r="S174" i="157"/>
  <c r="S202" i="157"/>
  <c r="S178" i="157"/>
  <c r="S201" i="157"/>
  <c r="S240" i="157"/>
  <c r="S241" i="157"/>
  <c r="S242" i="157"/>
  <c r="S243" i="157"/>
  <c r="S244" i="157"/>
  <c r="S245" i="157"/>
  <c r="S236" i="157"/>
  <c r="S233" i="157"/>
  <c r="S212" i="157"/>
  <c r="S191" i="157"/>
  <c r="S171" i="157"/>
  <c r="S169" i="157"/>
  <c r="S138" i="157"/>
  <c r="S93" i="157"/>
  <c r="S91" i="157"/>
  <c r="S75" i="157"/>
  <c r="S665" i="157"/>
  <c r="S773" i="157"/>
  <c r="S688" i="157"/>
  <c r="S608" i="157"/>
  <c r="S301" i="157"/>
  <c r="S861" i="157"/>
  <c r="S664" i="157"/>
  <c r="S495" i="157"/>
  <c r="S229" i="157"/>
  <c r="S1268" i="157"/>
  <c r="S409" i="157"/>
  <c r="S232" i="157"/>
  <c r="S1202" i="157"/>
  <c r="S1072" i="157"/>
  <c r="S1030" i="157"/>
  <c r="S982" i="157"/>
  <c r="S971" i="157"/>
  <c r="S910" i="157"/>
  <c r="S911" i="157"/>
  <c r="S854" i="157"/>
  <c r="S805" i="157"/>
  <c r="S770" i="157"/>
  <c r="S689" i="157"/>
  <c r="S673" i="157"/>
  <c r="S619" i="157"/>
  <c r="S597" i="157"/>
  <c r="S542" i="157"/>
  <c r="S433" i="157"/>
  <c r="S413" i="157"/>
  <c r="S378" i="157"/>
  <c r="S357" i="157"/>
  <c r="S323" i="157"/>
  <c r="S213" i="157"/>
  <c r="S77" i="157"/>
  <c r="S214" i="157"/>
  <c r="S50" i="157"/>
  <c r="S51" i="157"/>
  <c r="S1190" i="157"/>
  <c r="S1184" i="157"/>
  <c r="S1062" i="157"/>
  <c r="S1007" i="157"/>
  <c r="S914" i="157"/>
  <c r="S840" i="157"/>
  <c r="S473" i="157"/>
  <c r="S309" i="157"/>
  <c r="S255" i="157"/>
  <c r="S40" i="157"/>
  <c r="S38" i="157"/>
  <c r="S1014" i="157"/>
  <c r="S283" i="157"/>
  <c r="S850" i="157"/>
  <c r="S486" i="157"/>
  <c r="S438" i="157"/>
  <c r="S418" i="157"/>
  <c r="S396" i="157"/>
  <c r="S361" i="157"/>
  <c r="S345" i="157"/>
  <c r="S302" i="157"/>
  <c r="S237" i="157"/>
  <c r="S208" i="157"/>
  <c r="S173" i="157"/>
  <c r="S139" i="157"/>
  <c r="S105" i="157"/>
  <c r="S92" i="157"/>
  <c r="S76" i="157"/>
  <c r="S44" i="157"/>
  <c r="S1115" i="157"/>
  <c r="S844" i="157"/>
  <c r="S1165" i="157"/>
  <c r="S1003" i="157"/>
  <c r="S907" i="157"/>
  <c r="S758" i="157"/>
  <c r="S461" i="157"/>
  <c r="S329" i="157"/>
  <c r="S211" i="157"/>
  <c r="S136" i="157"/>
  <c r="S1240" i="157"/>
  <c r="S1009" i="157"/>
  <c r="S690" i="157"/>
  <c r="S817" i="157"/>
  <c r="S354" i="157"/>
  <c r="S802" i="157"/>
  <c r="S431" i="157"/>
  <c r="S251" i="157"/>
  <c r="S1135" i="157"/>
  <c r="S1013" i="157"/>
  <c r="S947" i="157"/>
  <c r="S909" i="157"/>
  <c r="S767" i="157"/>
  <c r="S585" i="157"/>
  <c r="S586" i="157"/>
  <c r="S685" i="157"/>
  <c r="S503" i="157"/>
  <c r="S356" i="157"/>
  <c r="S351" i="157"/>
  <c r="S348" i="157"/>
  <c r="S346" i="157"/>
  <c r="S180" i="157"/>
  <c r="S179" i="157"/>
  <c r="S14" i="157"/>
  <c r="S1257" i="157"/>
  <c r="S1241" i="157"/>
  <c r="S669" i="157"/>
  <c r="S175" i="157"/>
  <c r="S52" i="157"/>
  <c r="S1098" i="157"/>
  <c r="S78" i="157"/>
  <c r="S897" i="157"/>
  <c r="S1002" i="157"/>
  <c r="S759" i="157"/>
  <c r="S662" i="157"/>
  <c r="S999" i="157"/>
  <c r="S797" i="157"/>
  <c r="S663" i="157"/>
  <c r="S714" i="157"/>
  <c r="S468" i="157"/>
  <c r="S467" i="157"/>
  <c r="S437" i="157"/>
  <c r="S305" i="157"/>
  <c r="S209" i="157"/>
  <c r="S135" i="157"/>
  <c r="S90" i="157"/>
  <c r="S873" i="157"/>
  <c r="S427" i="157"/>
  <c r="S839" i="157"/>
  <c r="S771" i="157"/>
  <c r="S728" i="157"/>
  <c r="S677" i="157"/>
  <c r="S598" i="157"/>
  <c r="S566" i="157"/>
  <c r="S482" i="157"/>
  <c r="S415" i="157"/>
  <c r="S359" i="157"/>
  <c r="S303" i="157"/>
  <c r="S215" i="157"/>
  <c r="S140" i="157"/>
  <c r="S106" i="157"/>
  <c r="S56" i="157"/>
  <c r="S1208" i="157"/>
  <c r="S983" i="157"/>
  <c r="S670" i="157"/>
  <c r="S577" i="157"/>
  <c r="S483" i="157"/>
  <c r="S379" i="157"/>
  <c r="S239" i="157"/>
  <c r="S1000" i="157"/>
  <c r="S1134" i="157"/>
  <c r="S993" i="157"/>
  <c r="S833" i="157"/>
  <c r="S541" i="157"/>
  <c r="S540" i="157"/>
  <c r="S537" i="157"/>
  <c r="S531" i="157"/>
  <c r="S600" i="157"/>
  <c r="S524" i="157"/>
  <c r="S520" i="157"/>
  <c r="S380" i="157"/>
  <c r="S381" i="157"/>
  <c r="S165" i="157"/>
  <c r="S1261" i="157"/>
  <c r="S1262" i="157"/>
  <c r="S94" i="157"/>
  <c r="S63" i="157"/>
  <c r="S86" i="157"/>
  <c r="S913" i="157"/>
  <c r="S641" i="157"/>
  <c r="S570" i="157"/>
  <c r="S1153" i="157"/>
  <c r="S1154" i="157"/>
  <c r="S1155" i="157"/>
  <c r="S1147" i="157"/>
  <c r="S1148" i="157"/>
  <c r="S1149" i="157"/>
  <c r="S1150" i="157"/>
  <c r="S1151" i="157"/>
  <c r="S1152" i="157"/>
  <c r="S956" i="157"/>
  <c r="S955" i="157"/>
  <c r="S954" i="157"/>
  <c r="S953" i="157"/>
  <c r="S952" i="157"/>
  <c r="S951" i="157"/>
  <c r="S950" i="157"/>
  <c r="S948" i="157"/>
  <c r="S788" i="157"/>
  <c r="S787" i="157"/>
  <c r="S783" i="157"/>
  <c r="S782" i="157"/>
  <c r="S781" i="157"/>
  <c r="S780" i="157"/>
  <c r="S779" i="157"/>
  <c r="S778" i="157"/>
  <c r="S777" i="157"/>
  <c r="S776" i="157"/>
  <c r="S774" i="157"/>
  <c r="S775" i="157"/>
  <c r="S538" i="157"/>
  <c r="S536" i="157"/>
  <c r="S533" i="157"/>
  <c r="S534" i="157"/>
  <c r="S527" i="157"/>
  <c r="S525" i="157"/>
  <c r="S523" i="157"/>
  <c r="S522" i="157"/>
  <c r="S521" i="157"/>
  <c r="S518" i="157"/>
  <c r="S516" i="157"/>
  <c r="S515" i="157"/>
  <c r="S182" i="157"/>
  <c r="S181" i="157"/>
  <c r="S183" i="157"/>
  <c r="S145" i="157"/>
  <c r="S146" i="157"/>
  <c r="S686" i="157"/>
  <c r="S344" i="157"/>
  <c r="S343" i="157"/>
  <c r="S1264" i="157"/>
  <c r="S1170" i="157"/>
  <c r="S1116" i="157"/>
  <c r="S834" i="157"/>
  <c r="S822" i="157"/>
  <c r="S681" i="157"/>
  <c r="S576" i="157"/>
  <c r="S599" i="157"/>
  <c r="S460" i="157"/>
  <c r="S332" i="157"/>
  <c r="S95" i="157"/>
  <c r="S13" i="157"/>
  <c r="S796" i="157"/>
  <c r="S1247" i="157"/>
  <c r="S859" i="157"/>
  <c r="S998" i="157"/>
  <c r="S210" i="157"/>
  <c r="S1085" i="157"/>
  <c r="S965" i="157"/>
  <c r="S932" i="157"/>
  <c r="S928" i="157"/>
  <c r="S553" i="157"/>
  <c r="S398" i="157"/>
  <c r="S256" i="157"/>
  <c r="S257" i="157"/>
  <c r="S252" i="157"/>
  <c r="S134" i="157"/>
  <c r="S1270" i="157"/>
  <c r="S1232" i="157"/>
  <c r="S1168" i="157"/>
  <c r="S621" i="157"/>
  <c r="S1106" i="157"/>
  <c r="S1107" i="157"/>
  <c r="S1103" i="157"/>
  <c r="S1104" i="157"/>
  <c r="S1099" i="157"/>
  <c r="S1100" i="157"/>
  <c r="S1101" i="157"/>
  <c r="S1102" i="157"/>
  <c r="S1026" i="157"/>
  <c r="S1027" i="157"/>
  <c r="S1028" i="157"/>
  <c r="S1025" i="157"/>
  <c r="S1024" i="157"/>
  <c r="S944" i="157"/>
  <c r="S941" i="157"/>
  <c r="S942" i="157"/>
  <c r="S943" i="157"/>
  <c r="S939" i="157"/>
  <c r="S940" i="157"/>
  <c r="S746" i="157"/>
  <c r="S747" i="157"/>
  <c r="S748" i="157"/>
  <c r="S749" i="157"/>
  <c r="S750" i="157"/>
  <c r="S742" i="157"/>
  <c r="S743" i="157"/>
  <c r="S733" i="157"/>
  <c r="S734" i="157"/>
  <c r="S735" i="157"/>
  <c r="S736" i="157"/>
  <c r="S730" i="157"/>
  <c r="S731" i="157"/>
  <c r="S650" i="157"/>
  <c r="S651" i="157"/>
  <c r="S652" i="157"/>
  <c r="S653" i="157"/>
  <c r="S646" i="157"/>
  <c r="S647" i="157"/>
  <c r="S648" i="157"/>
  <c r="S649" i="157"/>
  <c r="S642" i="157"/>
  <c r="S643" i="157"/>
  <c r="S644" i="157"/>
  <c r="S645" i="157"/>
  <c r="S469" i="157"/>
  <c r="S463" i="157"/>
  <c r="S635" i="157"/>
  <c r="S636" i="157"/>
  <c r="S637" i="157"/>
  <c r="S638" i="157"/>
  <c r="S639" i="157"/>
  <c r="S640" i="157"/>
  <c r="S275" i="157"/>
  <c r="S273" i="157"/>
  <c r="S272" i="157"/>
  <c r="S269" i="157"/>
  <c r="S270" i="157"/>
  <c r="S160" i="157"/>
  <c r="S159" i="157"/>
  <c r="S152" i="157"/>
  <c r="S153" i="157"/>
  <c r="S154" i="157"/>
  <c r="S155" i="157"/>
  <c r="S156" i="157"/>
  <c r="S157" i="157"/>
  <c r="S151" i="157"/>
  <c r="S149" i="157"/>
  <c r="S150" i="157"/>
  <c r="S1252" i="157"/>
  <c r="S1243" i="157"/>
  <c r="S1244" i="157"/>
  <c r="S1230" i="157"/>
  <c r="S1231" i="157"/>
  <c r="S470" i="157"/>
  <c r="S1105" i="157"/>
  <c r="S1029" i="157"/>
  <c r="S945" i="157"/>
  <c r="S938" i="157"/>
  <c r="S937" i="157"/>
  <c r="S732" i="157"/>
  <c r="S654" i="157"/>
  <c r="S471" i="157"/>
  <c r="S472" i="157"/>
  <c r="S466" i="157"/>
  <c r="S465" i="157"/>
  <c r="S464" i="157"/>
  <c r="S271" i="157"/>
  <c r="S268" i="157"/>
  <c r="S1246" i="157"/>
  <c r="S1128" i="157"/>
  <c r="S930" i="157"/>
  <c r="S931" i="157"/>
  <c r="S929" i="157"/>
  <c r="S927" i="157"/>
  <c r="S596" i="157"/>
  <c r="S595" i="157"/>
  <c r="S593" i="157"/>
  <c r="S594" i="157"/>
  <c r="S226" i="157"/>
  <c r="S225" i="157"/>
  <c r="S222" i="157"/>
  <c r="S113" i="157"/>
  <c r="S904" i="157"/>
  <c r="S890" i="157"/>
  <c r="S799" i="157"/>
  <c r="S744" i="157"/>
  <c r="S745" i="157"/>
  <c r="S691" i="157"/>
  <c r="S692" i="157"/>
  <c r="S479" i="157"/>
  <c r="S508" i="157"/>
  <c r="S478" i="157"/>
  <c r="S1259" i="157"/>
  <c r="S1173" i="157"/>
  <c r="S265" i="157"/>
  <c r="S60" i="157"/>
  <c r="S1123" i="157"/>
  <c r="S926" i="157"/>
  <c r="S925" i="157"/>
  <c r="S725" i="157"/>
  <c r="S492" i="157"/>
  <c r="S230" i="157"/>
  <c r="S1260" i="157"/>
  <c r="S11" i="157"/>
  <c r="S981" i="157"/>
  <c r="S1078" i="157"/>
  <c r="S715" i="157"/>
  <c r="S612" i="157"/>
  <c r="S558" i="157"/>
  <c r="S177" i="157"/>
  <c r="S1193" i="157"/>
  <c r="S1188" i="157"/>
  <c r="S1156" i="157"/>
  <c r="S1157" i="157"/>
  <c r="S1158" i="157"/>
  <c r="S1159" i="157"/>
  <c r="S1095" i="157"/>
  <c r="S1064" i="157"/>
  <c r="S1065" i="157"/>
  <c r="S1066" i="157"/>
  <c r="S1067" i="157"/>
  <c r="S1052" i="157"/>
  <c r="S1015" i="157"/>
  <c r="S1016" i="157"/>
  <c r="S1017" i="157"/>
  <c r="S1018" i="157"/>
  <c r="S1019" i="157"/>
  <c r="S923" i="157"/>
  <c r="S917" i="157"/>
  <c r="S918" i="157"/>
  <c r="S858" i="157"/>
  <c r="S855" i="157"/>
  <c r="S856" i="157"/>
  <c r="S761" i="157"/>
  <c r="S762" i="157"/>
  <c r="S659" i="157"/>
  <c r="S660" i="157"/>
  <c r="S560" i="157"/>
  <c r="S561" i="157"/>
  <c r="S434" i="157"/>
  <c r="S435" i="157"/>
  <c r="S436" i="157"/>
  <c r="S333" i="157"/>
  <c r="S334" i="157"/>
  <c r="S192" i="157"/>
  <c r="S193" i="157"/>
  <c r="S87" i="157"/>
  <c r="S65" i="157"/>
  <c r="S1005" i="157"/>
  <c r="S806" i="157"/>
  <c r="S966" i="157"/>
  <c r="S1076" i="157"/>
  <c r="S1075" i="157"/>
  <c r="S970" i="157"/>
  <c r="S1038" i="157"/>
  <c r="S969" i="157"/>
  <c r="S874" i="157"/>
  <c r="S864" i="157"/>
  <c r="S865" i="157"/>
  <c r="S760" i="157"/>
  <c r="S757" i="157"/>
  <c r="S755" i="157"/>
  <c r="S756" i="157"/>
  <c r="S655" i="157"/>
  <c r="S616" i="157"/>
  <c r="S614" i="157"/>
  <c r="S550" i="157"/>
  <c r="S517" i="157"/>
  <c r="S331" i="157"/>
  <c r="S330" i="157"/>
  <c r="S164" i="157"/>
  <c r="S162" i="157"/>
  <c r="S53" i="157"/>
  <c r="S34" i="157"/>
  <c r="S33" i="157"/>
  <c r="S1269" i="157"/>
  <c r="S1234" i="157"/>
  <c r="S170" i="157"/>
  <c r="S147" i="157"/>
  <c r="S1082" i="157"/>
  <c r="S820" i="157"/>
  <c r="S487" i="157"/>
  <c r="S120" i="157"/>
  <c r="S292" i="157"/>
  <c r="S141" i="157"/>
  <c r="S347" i="157"/>
  <c r="S1081" i="157"/>
  <c r="S853" i="157"/>
  <c r="S496" i="157"/>
  <c r="S399" i="157"/>
  <c r="S218" i="157"/>
  <c r="S1256" i="157"/>
  <c r="S974" i="157"/>
  <c r="S973" i="157"/>
  <c r="S835" i="157"/>
  <c r="S831" i="157"/>
  <c r="S583" i="157"/>
  <c r="S314" i="157"/>
  <c r="S315" i="157"/>
  <c r="S397" i="157"/>
  <c r="S206" i="157"/>
  <c r="S390" i="157"/>
  <c r="S204" i="157"/>
  <c r="S205" i="157"/>
  <c r="S48" i="157"/>
  <c r="S1201" i="157"/>
  <c r="S264" i="157"/>
  <c r="S47" i="157"/>
  <c r="S184" i="157"/>
  <c r="S46" i="157"/>
  <c r="S107" i="157"/>
  <c r="S1248" i="157"/>
  <c r="S679" i="157"/>
  <c r="S190" i="157"/>
  <c r="S1169" i="157"/>
  <c r="S1089" i="157"/>
  <c r="S1088" i="157"/>
  <c r="S957" i="157"/>
  <c r="S375" i="157"/>
  <c r="S722" i="157"/>
  <c r="S720" i="157"/>
  <c r="S371" i="157"/>
  <c r="S369" i="157"/>
  <c r="S367" i="157"/>
  <c r="S366" i="157"/>
  <c r="S365" i="157"/>
  <c r="S112" i="157"/>
  <c r="S111" i="157"/>
  <c r="S26" i="157"/>
  <c r="S816" i="157"/>
  <c r="S815" i="157"/>
  <c r="S680" i="157"/>
  <c r="S373" i="157"/>
  <c r="S372" i="157"/>
  <c r="S123" i="157"/>
  <c r="S124" i="157"/>
  <c r="S125" i="157"/>
  <c r="S1265" i="157"/>
  <c r="S1266" i="157"/>
  <c r="S880" i="157"/>
  <c r="S876" i="157"/>
  <c r="S906" i="157"/>
  <c r="S900" i="157"/>
  <c r="S675" i="157"/>
  <c r="S628" i="157"/>
  <c r="S1050" i="157"/>
  <c r="S1049" i="157"/>
  <c r="S1048" i="157"/>
  <c r="S1047" i="157"/>
  <c r="S1046" i="157"/>
  <c r="S1045" i="157"/>
  <c r="S582" i="157"/>
  <c r="S308" i="157"/>
  <c r="S287" i="157"/>
  <c r="S1133" i="157"/>
  <c r="S1131" i="157"/>
  <c r="S1130" i="157"/>
  <c r="S980" i="157"/>
  <c r="S979" i="157"/>
  <c r="S976" i="157"/>
  <c r="S977" i="157"/>
  <c r="S933" i="157"/>
  <c r="S849" i="157"/>
  <c r="S846" i="157"/>
  <c r="S847" i="157"/>
  <c r="S848" i="157"/>
  <c r="S845" i="157"/>
  <c r="S801" i="157"/>
  <c r="S800" i="157"/>
  <c r="S766" i="157"/>
  <c r="S765" i="157"/>
  <c r="S717" i="157"/>
  <c r="S656" i="157"/>
  <c r="S552" i="157"/>
  <c r="S551" i="157"/>
  <c r="S454" i="157"/>
  <c r="S451" i="157"/>
  <c r="S447" i="157"/>
  <c r="S445" i="157"/>
  <c r="S444" i="157"/>
  <c r="S440" i="157"/>
  <c r="S341" i="157"/>
  <c r="S340" i="157"/>
  <c r="S339" i="157"/>
  <c r="S231" i="157"/>
  <c r="S223" i="157"/>
  <c r="S217" i="157"/>
  <c r="S168" i="157"/>
  <c r="S166" i="157"/>
  <c r="S163" i="157"/>
  <c r="S127" i="157"/>
  <c r="S126" i="157"/>
  <c r="S58" i="157"/>
  <c r="S59" i="157"/>
  <c r="S37" i="157"/>
  <c r="S28" i="157"/>
  <c r="S7" i="157"/>
  <c r="S1233" i="157"/>
  <c r="S148" i="157"/>
  <c r="S297" i="157"/>
  <c r="S298" i="157"/>
  <c r="S289" i="157"/>
  <c r="S290" i="157"/>
  <c r="S457" i="157"/>
  <c r="S452" i="157"/>
  <c r="S319" i="157"/>
  <c r="S167" i="157"/>
  <c r="S115" i="157"/>
  <c r="S1167" i="157"/>
  <c r="S246" i="157"/>
  <c r="S247" i="157"/>
  <c r="S248" i="157"/>
  <c r="S249" i="157"/>
  <c r="S388" i="157"/>
  <c r="S325" i="157"/>
  <c r="S326" i="157"/>
  <c r="S96" i="157"/>
  <c r="S61" i="157"/>
  <c r="S1122" i="157"/>
  <c r="S978" i="157"/>
  <c r="S896" i="157"/>
  <c r="S813" i="157"/>
  <c r="S741" i="157"/>
  <c r="S740" i="157"/>
  <c r="S738" i="157"/>
  <c r="S737" i="157"/>
  <c r="S672" i="157"/>
  <c r="S671" i="157"/>
  <c r="S615" i="157"/>
  <c r="S219" i="157"/>
  <c r="S188" i="157"/>
  <c r="S912" i="157"/>
  <c r="S580" i="157"/>
  <c r="S1191" i="157"/>
  <c r="S1185" i="157"/>
  <c r="S1063" i="157"/>
  <c r="S1008" i="157"/>
  <c r="S915" i="157"/>
  <c r="S841" i="157"/>
  <c r="S1083" i="157"/>
  <c r="S282" i="157"/>
  <c r="S276" i="157"/>
  <c r="S408" i="157"/>
  <c r="S261" i="157"/>
  <c r="S262" i="157"/>
  <c r="S132" i="157"/>
  <c r="S133" i="157"/>
  <c r="S280" i="157"/>
  <c r="S924" i="157"/>
  <c r="S814" i="157"/>
  <c r="S509" i="157"/>
  <c r="S425" i="157"/>
  <c r="S41" i="157"/>
  <c r="S39" i="157"/>
  <c r="S898" i="157"/>
  <c r="S587" i="157"/>
  <c r="S49" i="157"/>
  <c r="S54" i="157"/>
  <c r="S936" i="157"/>
  <c r="S997" i="157"/>
  <c r="S374" i="157"/>
  <c r="S370" i="157"/>
  <c r="S1238" i="157"/>
  <c r="S1206" i="157"/>
  <c r="S1146" i="157"/>
  <c r="S1051" i="157"/>
  <c r="S995" i="157"/>
  <c r="S908" i="157"/>
  <c r="S843" i="157"/>
  <c r="S729" i="157"/>
  <c r="S632" i="157"/>
  <c r="S559" i="157"/>
  <c r="S420" i="157"/>
  <c r="S414" i="157"/>
  <c r="S311" i="157"/>
  <c r="S194" i="157"/>
  <c r="S66" i="157"/>
  <c r="S176" i="157"/>
  <c r="S1109" i="157"/>
  <c r="S986" i="157"/>
  <c r="S987" i="157"/>
  <c r="S851" i="157"/>
  <c r="S696" i="157"/>
  <c r="S697" i="157"/>
  <c r="S250" i="157"/>
  <c r="S22" i="157"/>
  <c r="S1200" i="157"/>
  <c r="S991" i="157"/>
  <c r="S1073" i="157"/>
  <c r="S990" i="157"/>
  <c r="S989" i="157"/>
  <c r="S1031" i="157"/>
  <c r="S988" i="157"/>
  <c r="S984" i="157"/>
  <c r="S985" i="157"/>
  <c r="S964" i="157"/>
  <c r="S946" i="157"/>
  <c r="S703" i="157"/>
  <c r="S704" i="157"/>
  <c r="S700" i="157"/>
  <c r="S701" i="157"/>
  <c r="S702" i="157"/>
  <c r="S818" i="157"/>
  <c r="S698" i="157"/>
  <c r="S699" i="157"/>
  <c r="S752" i="157"/>
  <c r="S693" i="157"/>
  <c r="S694" i="157"/>
  <c r="S610" i="157"/>
  <c r="S611" i="157"/>
  <c r="S588" i="157"/>
  <c r="S574" i="157"/>
  <c r="S284" i="157"/>
  <c r="S285" i="157"/>
  <c r="S286" i="157"/>
  <c r="S510" i="157"/>
  <c r="S277" i="157"/>
  <c r="S278" i="157"/>
  <c r="S389" i="157"/>
  <c r="S267" i="157"/>
  <c r="S327" i="157"/>
  <c r="S266" i="157"/>
  <c r="S97" i="157"/>
  <c r="S62" i="157"/>
  <c r="S459" i="157"/>
  <c r="S121" i="157"/>
  <c r="S118" i="157"/>
  <c r="S1145" i="157"/>
  <c r="S1144" i="157"/>
  <c r="S860" i="157"/>
  <c r="S1004" i="157"/>
  <c r="S626" i="157"/>
  <c r="S306" i="157"/>
  <c r="S220" i="157"/>
  <c r="S1267" i="157"/>
  <c r="S1242" i="157"/>
  <c r="S103" i="157"/>
  <c r="S883" i="157"/>
  <c r="S23" i="157"/>
  <c r="S826" i="157"/>
  <c r="S1204" i="157"/>
  <c r="S1160" i="157"/>
  <c r="S1068" i="157"/>
  <c r="S975" i="157"/>
  <c r="S919" i="157"/>
  <c r="S824" i="157"/>
  <c r="S724" i="157"/>
  <c r="S629" i="157"/>
  <c r="S562" i="157"/>
  <c r="S421" i="157"/>
  <c r="S312" i="157"/>
  <c r="S195" i="157"/>
  <c r="S67" i="157"/>
  <c r="S1125" i="157"/>
  <c r="S1120" i="157"/>
  <c r="S1084" i="157"/>
  <c r="S1117" i="157"/>
  <c r="S1118" i="157"/>
  <c r="S1032" i="157"/>
  <c r="S895" i="157"/>
  <c r="S591" i="157"/>
  <c r="S592" i="157"/>
  <c r="S590" i="157"/>
  <c r="S589" i="157"/>
  <c r="S549" i="157"/>
  <c r="S443" i="157"/>
  <c r="S441" i="157"/>
  <c r="S578" i="157"/>
  <c r="S304" i="157"/>
  <c r="S216" i="157"/>
  <c r="S186" i="157"/>
  <c r="S161" i="157"/>
  <c r="S158" i="157"/>
  <c r="S100" i="157"/>
  <c r="S99" i="157"/>
  <c r="S72" i="157"/>
  <c r="S73" i="157"/>
  <c r="S1235" i="157"/>
  <c r="S613" i="157"/>
  <c r="S1087" i="157"/>
  <c r="S1074" i="157"/>
  <c r="S879" i="157"/>
  <c r="S869" i="157"/>
  <c r="S868" i="157"/>
  <c r="S867" i="157"/>
  <c r="S863" i="157"/>
  <c r="S862" i="157"/>
  <c r="S723" i="157"/>
  <c r="S721" i="157"/>
  <c r="S718" i="157"/>
  <c r="S719" i="157"/>
  <c r="S716" i="157"/>
  <c r="S532" i="157"/>
  <c r="S530" i="157"/>
  <c r="S528" i="157"/>
  <c r="S526" i="157"/>
  <c r="S259" i="157"/>
  <c r="S258" i="157"/>
  <c r="S143" i="157"/>
  <c r="S142" i="157"/>
  <c r="S29" i="157"/>
  <c r="S27" i="157"/>
  <c r="S10" i="157"/>
  <c r="S1237" i="157"/>
  <c r="S1119" i="157"/>
  <c r="S837" i="157"/>
  <c r="S836" i="157"/>
  <c r="S803" i="157"/>
  <c r="S618" i="157"/>
  <c r="S617" i="157"/>
  <c r="S565" i="157"/>
  <c r="S564" i="157"/>
  <c r="S505" i="157"/>
  <c r="S504" i="157"/>
  <c r="S417" i="157"/>
  <c r="S355" i="157"/>
  <c r="S416" i="157"/>
  <c r="S349" i="157"/>
  <c r="S316" i="157"/>
  <c r="S281" i="157"/>
  <c r="S279" i="157"/>
  <c r="S224" i="157"/>
  <c r="S114" i="157"/>
  <c r="S1254" i="157"/>
  <c r="S1114" i="157"/>
  <c r="S439" i="157"/>
  <c r="S185" i="157"/>
  <c r="S477" i="157"/>
  <c r="S475" i="157"/>
  <c r="S476" i="157"/>
  <c r="S1192" i="157"/>
  <c r="S1096" i="157"/>
  <c r="S1080" i="157"/>
  <c r="S968" i="157"/>
  <c r="S891" i="157"/>
  <c r="S808" i="157"/>
  <c r="S710" i="157"/>
  <c r="S625" i="157"/>
  <c r="S511" i="157"/>
  <c r="S410" i="157"/>
  <c r="S203" i="157"/>
  <c r="S291" i="157"/>
  <c r="S64" i="157"/>
  <c r="S1035" i="157"/>
  <c r="S1036" i="157"/>
  <c r="S1033" i="157"/>
  <c r="S892" i="157"/>
  <c r="S739" i="157"/>
  <c r="S489" i="157"/>
  <c r="S488" i="157"/>
  <c r="S368" i="157"/>
  <c r="S364" i="157"/>
  <c r="S263" i="157"/>
  <c r="S110" i="157"/>
  <c r="S109" i="157"/>
  <c r="S238" i="157"/>
  <c r="S104" i="157"/>
  <c r="S1126" i="157"/>
  <c r="S832" i="157"/>
  <c r="S828" i="157"/>
  <c r="S547" i="157"/>
  <c r="S446" i="157"/>
  <c r="S137" i="157"/>
  <c r="S392" i="157"/>
  <c r="S328" i="157"/>
  <c r="S108" i="157"/>
  <c r="S79" i="157"/>
  <c r="S785" i="157"/>
  <c r="S727" i="157"/>
  <c r="S1110" i="157"/>
  <c r="S726" i="157"/>
  <c r="S544" i="157"/>
  <c r="S870" i="157"/>
  <c r="S426" i="157"/>
  <c r="S15" i="157"/>
  <c r="S1196" i="157"/>
  <c r="S1197" i="157"/>
  <c r="S1194" i="157"/>
  <c r="S1195" i="157"/>
  <c r="S1161" i="157"/>
  <c r="S1162" i="157"/>
  <c r="S1163" i="157"/>
  <c r="S1164" i="157"/>
  <c r="S1053" i="157"/>
  <c r="S1054" i="157"/>
  <c r="S1055" i="157"/>
  <c r="S1056" i="157"/>
  <c r="S1020" i="157"/>
  <c r="S1021" i="157"/>
  <c r="S893" i="157"/>
  <c r="S894" i="157"/>
  <c r="S809" i="157"/>
  <c r="S810" i="157"/>
  <c r="S711" i="157"/>
  <c r="S712" i="157"/>
  <c r="S622" i="157"/>
  <c r="S623" i="157"/>
  <c r="S512" i="157"/>
  <c r="S513" i="157"/>
  <c r="S400" i="157"/>
  <c r="S401" i="157"/>
  <c r="S293" i="157"/>
  <c r="S294" i="157"/>
  <c r="S196" i="157"/>
  <c r="S197" i="157"/>
  <c r="S131" i="157"/>
  <c r="S68" i="157"/>
  <c r="S69" i="157"/>
  <c r="S1129" i="157"/>
  <c r="S935" i="157"/>
  <c r="S934" i="157"/>
  <c r="S786" i="157"/>
  <c r="S784" i="157"/>
  <c r="S548" i="157"/>
  <c r="S545" i="157"/>
  <c r="S227" i="157"/>
  <c r="S144" i="157"/>
  <c r="S25" i="157"/>
  <c r="S8" i="157"/>
  <c r="S1236" i="157"/>
  <c r="S88" i="157"/>
  <c r="S32" i="157"/>
  <c r="S1186" i="157"/>
  <c r="S1057" i="157"/>
  <c r="S1058" i="157"/>
  <c r="S1059" i="157"/>
  <c r="S1022" i="157"/>
  <c r="S920" i="157"/>
  <c r="S921" i="157"/>
  <c r="S857" i="157"/>
  <c r="S769" i="157"/>
  <c r="S661" i="157"/>
  <c r="S556" i="157"/>
  <c r="S422" i="157"/>
  <c r="S295" i="157"/>
  <c r="S198" i="157"/>
  <c r="S80" i="157"/>
  <c r="S1198" i="157"/>
  <c r="S1143" i="157"/>
  <c r="S1069" i="157"/>
  <c r="S1010" i="157"/>
  <c r="S916" i="157"/>
  <c r="S825" i="157"/>
  <c r="S763" i="157"/>
  <c r="S633" i="157"/>
  <c r="S563" i="157"/>
  <c r="S423" i="157"/>
  <c r="S313" i="157"/>
  <c r="S199" i="157"/>
  <c r="S70" i="157"/>
  <c r="S1127" i="157"/>
  <c r="S1121" i="157"/>
  <c r="S687" i="157"/>
  <c r="S684" i="157"/>
  <c r="S321" i="157"/>
  <c r="S320" i="157"/>
  <c r="S317" i="157"/>
  <c r="S318" i="157"/>
  <c r="S9" i="157"/>
  <c r="S1113" i="157"/>
  <c r="S812" i="157"/>
  <c r="S1142" i="157"/>
  <c r="S811" i="157"/>
  <c r="S807" i="157"/>
  <c r="S57" i="157"/>
  <c r="S1077" i="157"/>
  <c r="S491" i="157"/>
  <c r="S490" i="157"/>
  <c r="S82" i="157"/>
  <c r="S1239" i="157"/>
  <c r="S1132" i="157"/>
  <c r="S706" i="157"/>
  <c r="S705" i="157"/>
  <c r="S584" i="157"/>
  <c r="S539" i="157"/>
  <c r="S695" i="157"/>
  <c r="S395" i="157"/>
  <c r="S394" i="157"/>
  <c r="S393" i="157"/>
  <c r="S128" i="157"/>
  <c r="S119" i="157"/>
  <c r="S122" i="157"/>
  <c r="S1253" i="157"/>
  <c r="S1250" i="157"/>
  <c r="S474" i="157"/>
  <c r="S462" i="157"/>
  <c r="S358" i="157"/>
  <c r="S338" i="157"/>
  <c r="S336" i="157"/>
  <c r="S234" i="157"/>
  <c r="S207" i="157"/>
  <c r="S634" i="157"/>
  <c r="S1176" i="157"/>
  <c r="S81" i="157"/>
  <c r="S1111" i="157"/>
  <c r="S363" i="157"/>
  <c r="S324" i="157"/>
  <c r="S235" i="157"/>
  <c r="S172" i="157"/>
  <c r="S98" i="157"/>
  <c r="S71" i="157"/>
  <c r="S630" i="157"/>
  <c r="S1034" i="157"/>
  <c r="S878" i="157"/>
  <c r="S877" i="157"/>
  <c r="S872" i="157"/>
  <c r="S871" i="157"/>
  <c r="S804" i="157"/>
  <c r="S708" i="157"/>
  <c r="S581" i="157"/>
  <c r="S573" i="157"/>
  <c r="S571" i="157"/>
  <c r="S572" i="157"/>
  <c r="S493" i="157"/>
  <c r="S455" i="157"/>
  <c r="S453" i="157"/>
  <c r="S450" i="157"/>
  <c r="S342" i="157"/>
  <c r="S228" i="157"/>
  <c r="S189" i="157"/>
  <c r="S116" i="157"/>
  <c r="S117" i="157"/>
  <c r="S1245" i="157"/>
  <c r="S1249" i="157"/>
  <c r="S1124" i="157"/>
  <c r="S972" i="157"/>
  <c r="S1061" i="157"/>
  <c r="S866" i="157"/>
  <c r="S827" i="157"/>
  <c r="S620" i="157"/>
  <c r="S442" i="157"/>
  <c r="S411" i="157"/>
  <c r="S274" i="157"/>
  <c r="S130" i="157"/>
  <c r="S1187" i="157"/>
  <c r="S1094" i="157"/>
  <c r="S1060" i="157"/>
  <c r="S1023" i="157"/>
  <c r="S922" i="157"/>
  <c r="S852" i="157"/>
  <c r="S753" i="157"/>
  <c r="S658" i="157"/>
  <c r="S514" i="157"/>
  <c r="S424" i="157"/>
  <c r="S335" i="157"/>
  <c r="S200" i="157"/>
  <c r="S89" i="157"/>
  <c r="S1093" i="157"/>
  <c r="S1092" i="157"/>
  <c r="S1091" i="157"/>
  <c r="S1090" i="157"/>
  <c r="S1112" i="157"/>
  <c r="S958" i="157"/>
  <c r="S905" i="157"/>
  <c r="S903" i="157"/>
  <c r="S902" i="157"/>
  <c r="S830" i="157"/>
  <c r="S829" i="157"/>
  <c r="S683" i="157"/>
  <c r="S682" i="157"/>
  <c r="S546" i="157"/>
  <c r="S456" i="157"/>
  <c r="S449" i="157"/>
  <c r="S448" i="157"/>
  <c r="S352" i="157"/>
  <c r="S350" i="157"/>
  <c r="S221" i="157"/>
  <c r="S187" i="157"/>
  <c r="S85" i="157"/>
  <c r="S35" i="157"/>
  <c r="S36" i="157"/>
  <c r="S575" i="157"/>
  <c r="S543" i="157"/>
  <c r="S1223" i="157"/>
  <c r="S1224" i="157"/>
  <c r="S1218" i="157"/>
  <c r="S1225" i="157"/>
  <c r="S1226" i="157"/>
  <c r="S45" i="157"/>
  <c r="S1222" i="157"/>
  <c r="S42" i="157"/>
  <c r="S1211" i="157"/>
  <c r="S1216" i="157"/>
  <c r="S1219" i="157"/>
  <c r="S1227" i="157"/>
  <c r="S1213" i="157"/>
  <c r="S31" i="157"/>
  <c r="S1228" i="157"/>
  <c r="S30" i="157"/>
  <c r="S1258" i="157"/>
  <c r="S1263" i="157"/>
  <c r="S1214" i="157"/>
  <c r="S1255" i="157"/>
  <c r="S1220" i="157"/>
  <c r="S1229" i="157"/>
  <c r="S1212" i="157"/>
  <c r="S1209" i="157"/>
  <c r="S1210" i="157"/>
  <c r="S1217" i="157"/>
  <c r="S1215" i="157"/>
  <c r="S1221" i="157"/>
  <c r="S12" i="157"/>
  <c r="S16" i="157"/>
  <c r="S17" i="157"/>
  <c r="S18" i="157"/>
  <c r="S19" i="157"/>
  <c r="S20" i="157"/>
  <c r="S21" i="157"/>
  <c r="T764" i="157"/>
  <c r="T24" i="157"/>
  <c r="T1108" i="157"/>
  <c r="T768" i="157"/>
  <c r="T458" i="157"/>
  <c r="T875" i="157"/>
  <c r="T83" i="157"/>
  <c r="T296" i="157"/>
  <c r="T43" i="157"/>
  <c r="T772" i="157"/>
  <c r="T631" i="157"/>
  <c r="T579" i="157"/>
  <c r="T569" i="157"/>
  <c r="T554" i="157"/>
  <c r="T1070" i="157"/>
  <c r="T996" i="157"/>
  <c r="T949" i="157"/>
  <c r="T821" i="157"/>
  <c r="T678" i="157"/>
  <c r="T666" i="157"/>
  <c r="T667" i="157"/>
  <c r="T428" i="157"/>
  <c r="T307" i="157"/>
  <c r="T353" i="157"/>
  <c r="T253" i="157"/>
  <c r="T129" i="157"/>
  <c r="T84" i="157"/>
  <c r="T1251" i="157"/>
  <c r="T1079" i="157"/>
  <c r="T1012" i="157"/>
  <c r="T1011" i="157"/>
  <c r="T819" i="157"/>
  <c r="T535" i="157"/>
  <c r="T529" i="157"/>
  <c r="T519" i="157"/>
  <c r="T1039" i="157"/>
  <c r="T838" i="157"/>
  <c r="T668" i="157"/>
  <c r="T506" i="157"/>
  <c r="T1207" i="157"/>
  <c r="T1199" i="157"/>
  <c r="T1189" i="157"/>
  <c r="T1175" i="157"/>
  <c r="T1174" i="157"/>
  <c r="T1172" i="157"/>
  <c r="T1166" i="157"/>
  <c r="T1097" i="157"/>
  <c r="T1086" i="157"/>
  <c r="T1071" i="157"/>
  <c r="T1037" i="157"/>
  <c r="T1006" i="157"/>
  <c r="T994" i="157"/>
  <c r="T967" i="157"/>
  <c r="T901" i="157"/>
  <c r="T884" i="157"/>
  <c r="T842" i="157"/>
  <c r="T823" i="157"/>
  <c r="T795" i="157"/>
  <c r="T754" i="157"/>
  <c r="T751" i="157"/>
  <c r="T713" i="157"/>
  <c r="T676" i="157"/>
  <c r="T674" i="157"/>
  <c r="T657" i="157"/>
  <c r="T609" i="157"/>
  <c r="T567" i="157"/>
  <c r="T557" i="157"/>
  <c r="T555" i="157"/>
  <c r="T429" i="157"/>
  <c r="T419" i="157"/>
  <c r="T362" i="157"/>
  <c r="T360" i="157"/>
  <c r="T337" i="157"/>
  <c r="T310" i="157"/>
  <c r="T260" i="157"/>
  <c r="T102" i="157"/>
  <c r="T101" i="157"/>
  <c r="T74" i="157"/>
  <c r="T55" i="157"/>
  <c r="T1001" i="157"/>
  <c r="T1205" i="157"/>
  <c r="T1203" i="157"/>
  <c r="T1183" i="157"/>
  <c r="T1177" i="157"/>
  <c r="T1178" i="157"/>
  <c r="T1179" i="157"/>
  <c r="T1180" i="157"/>
  <c r="T1181" i="157"/>
  <c r="T1182" i="157"/>
  <c r="T1171" i="157"/>
  <c r="T1136" i="157"/>
  <c r="T1137" i="157"/>
  <c r="T1138" i="157"/>
  <c r="T1139" i="157"/>
  <c r="T1140" i="157"/>
  <c r="T1141" i="157"/>
  <c r="T1040" i="157"/>
  <c r="T1041" i="157"/>
  <c r="T1042" i="157"/>
  <c r="T1043" i="157"/>
  <c r="T1044" i="157"/>
  <c r="T992" i="157"/>
  <c r="T959" i="157"/>
  <c r="T960" i="157"/>
  <c r="T961" i="157"/>
  <c r="T962" i="157"/>
  <c r="T963" i="157"/>
  <c r="T899" i="157"/>
  <c r="T885" i="157"/>
  <c r="T886" i="157"/>
  <c r="T887" i="157"/>
  <c r="T888" i="157"/>
  <c r="T889" i="157"/>
  <c r="T881" i="157"/>
  <c r="T882" i="157"/>
  <c r="T798" i="157"/>
  <c r="T789" i="157"/>
  <c r="T790" i="157"/>
  <c r="T791" i="157"/>
  <c r="T792" i="157"/>
  <c r="T793" i="157"/>
  <c r="T794" i="157"/>
  <c r="T494" i="157"/>
  <c r="T709" i="157"/>
  <c r="T707" i="157"/>
  <c r="T627" i="157"/>
  <c r="T624" i="157"/>
  <c r="T601" i="157"/>
  <c r="T602" i="157"/>
  <c r="T603" i="157"/>
  <c r="T604" i="157"/>
  <c r="T605" i="157"/>
  <c r="T606" i="157"/>
  <c r="T607" i="157"/>
  <c r="T568" i="157"/>
  <c r="T507" i="157"/>
  <c r="T497" i="157"/>
  <c r="T498" i="157"/>
  <c r="T499" i="157"/>
  <c r="T500" i="157"/>
  <c r="T501" i="157"/>
  <c r="T502" i="157"/>
  <c r="T484" i="157"/>
  <c r="T485" i="157"/>
  <c r="T480" i="157"/>
  <c r="T481" i="157"/>
  <c r="T432" i="157"/>
  <c r="T254" i="157"/>
  <c r="T430" i="157"/>
  <c r="T412" i="157"/>
  <c r="T402" i="157"/>
  <c r="T403" i="157"/>
  <c r="T404" i="157"/>
  <c r="T405" i="157"/>
  <c r="T406" i="157"/>
  <c r="T407" i="157"/>
  <c r="T391" i="157"/>
  <c r="T382" i="157"/>
  <c r="T383" i="157"/>
  <c r="T384" i="157"/>
  <c r="T385" i="157"/>
  <c r="T386" i="157"/>
  <c r="T387" i="157"/>
  <c r="T376" i="157"/>
  <c r="T377" i="157"/>
  <c r="T322" i="157"/>
  <c r="T299" i="157"/>
  <c r="T300" i="157"/>
  <c r="T288" i="157"/>
  <c r="T174" i="157"/>
  <c r="T202" i="157"/>
  <c r="T178" i="157"/>
  <c r="T201" i="157"/>
  <c r="T240" i="157"/>
  <c r="T241" i="157"/>
  <c r="T242" i="157"/>
  <c r="T243" i="157"/>
  <c r="T244" i="157"/>
  <c r="T245" i="157"/>
  <c r="T236" i="157"/>
  <c r="T233" i="157"/>
  <c r="T212" i="157"/>
  <c r="T191" i="157"/>
  <c r="T171" i="157"/>
  <c r="T169" i="157"/>
  <c r="T138" i="157"/>
  <c r="T93" i="157"/>
  <c r="T91" i="157"/>
  <c r="T75" i="157"/>
  <c r="T665" i="157"/>
  <c r="T773" i="157"/>
  <c r="T688" i="157"/>
  <c r="T608" i="157"/>
  <c r="T301" i="157"/>
  <c r="T861" i="157"/>
  <c r="T664" i="157"/>
  <c r="T495" i="157"/>
  <c r="T229" i="157"/>
  <c r="T1268" i="157"/>
  <c r="T409" i="157"/>
  <c r="T232" i="157"/>
  <c r="T1202" i="157"/>
  <c r="T1072" i="157"/>
  <c r="T1030" i="157"/>
  <c r="T982" i="157"/>
  <c r="T971" i="157"/>
  <c r="T910" i="157"/>
  <c r="T911" i="157"/>
  <c r="T854" i="157"/>
  <c r="T805" i="157"/>
  <c r="T770" i="157"/>
  <c r="T689" i="157"/>
  <c r="T673" i="157"/>
  <c r="T619" i="157"/>
  <c r="T597" i="157"/>
  <c r="T542" i="157"/>
  <c r="T433" i="157"/>
  <c r="T413" i="157"/>
  <c r="T378" i="157"/>
  <c r="T357" i="157"/>
  <c r="T323" i="157"/>
  <c r="T213" i="157"/>
  <c r="T77" i="157"/>
  <c r="T214" i="157"/>
  <c r="T50" i="157"/>
  <c r="T51" i="157"/>
  <c r="T1190" i="157"/>
  <c r="T1184" i="157"/>
  <c r="T1062" i="157"/>
  <c r="T1007" i="157"/>
  <c r="T914" i="157"/>
  <c r="T840" i="157"/>
  <c r="T473" i="157"/>
  <c r="T309" i="157"/>
  <c r="T255" i="157"/>
  <c r="T40" i="157"/>
  <c r="T38" i="157"/>
  <c r="T1014" i="157"/>
  <c r="T283" i="157"/>
  <c r="T850" i="157"/>
  <c r="T486" i="157"/>
  <c r="T438" i="157"/>
  <c r="T418" i="157"/>
  <c r="T396" i="157"/>
  <c r="T361" i="157"/>
  <c r="T345" i="157"/>
  <c r="T302" i="157"/>
  <c r="T237" i="157"/>
  <c r="T208" i="157"/>
  <c r="T173" i="157"/>
  <c r="T139" i="157"/>
  <c r="T105" i="157"/>
  <c r="T92" i="157"/>
  <c r="T76" i="157"/>
  <c r="T44" i="157"/>
  <c r="T1115" i="157"/>
  <c r="T844" i="157"/>
  <c r="T1165" i="157"/>
  <c r="T1003" i="157"/>
  <c r="T907" i="157"/>
  <c r="T758" i="157"/>
  <c r="T461" i="157"/>
  <c r="T329" i="157"/>
  <c r="T211" i="157"/>
  <c r="T136" i="157"/>
  <c r="T1240" i="157"/>
  <c r="T1009" i="157"/>
  <c r="T690" i="157"/>
  <c r="T817" i="157"/>
  <c r="T354" i="157"/>
  <c r="T802" i="157"/>
  <c r="T431" i="157"/>
  <c r="T251" i="157"/>
  <c r="T1135" i="157"/>
  <c r="T1013" i="157"/>
  <c r="T947" i="157"/>
  <c r="T909" i="157"/>
  <c r="T767" i="157"/>
  <c r="T585" i="157"/>
  <c r="T586" i="157"/>
  <c r="T685" i="157"/>
  <c r="T503" i="157"/>
  <c r="T356" i="157"/>
  <c r="T351" i="157"/>
  <c r="T348" i="157"/>
  <c r="T346" i="157"/>
  <c r="T180" i="157"/>
  <c r="T179" i="157"/>
  <c r="T14" i="157"/>
  <c r="T1257" i="157"/>
  <c r="T1241" i="157"/>
  <c r="T669" i="157"/>
  <c r="T175" i="157"/>
  <c r="T52" i="157"/>
  <c r="T1098" i="157"/>
  <c r="T78" i="157"/>
  <c r="T897" i="157"/>
  <c r="T1002" i="157"/>
  <c r="T759" i="157"/>
  <c r="T662" i="157"/>
  <c r="T999" i="157"/>
  <c r="T797" i="157"/>
  <c r="T663" i="157"/>
  <c r="T714" i="157"/>
  <c r="T468" i="157"/>
  <c r="T467" i="157"/>
  <c r="T437" i="157"/>
  <c r="T305" i="157"/>
  <c r="T209" i="157"/>
  <c r="T135" i="157"/>
  <c r="T90" i="157"/>
  <c r="T873" i="157"/>
  <c r="T427" i="157"/>
  <c r="T839" i="157"/>
  <c r="T771" i="157"/>
  <c r="T728" i="157"/>
  <c r="T677" i="157"/>
  <c r="T598" i="157"/>
  <c r="T566" i="157"/>
  <c r="T482" i="157"/>
  <c r="T415" i="157"/>
  <c r="T359" i="157"/>
  <c r="T303" i="157"/>
  <c r="T215" i="157"/>
  <c r="T140" i="157"/>
  <c r="T106" i="157"/>
  <c r="T56" i="157"/>
  <c r="T1208" i="157"/>
  <c r="T983" i="157"/>
  <c r="T670" i="157"/>
  <c r="T577" i="157"/>
  <c r="T483" i="157"/>
  <c r="T379" i="157"/>
  <c r="T239" i="157"/>
  <c r="T1000" i="157"/>
  <c r="T1134" i="157"/>
  <c r="T993" i="157"/>
  <c r="T833" i="157"/>
  <c r="T541" i="157"/>
  <c r="T540" i="157"/>
  <c r="T537" i="157"/>
  <c r="T531" i="157"/>
  <c r="T600" i="157"/>
  <c r="T524" i="157"/>
  <c r="T520" i="157"/>
  <c r="T380" i="157"/>
  <c r="T381" i="157"/>
  <c r="T165" i="157"/>
  <c r="T1261" i="157"/>
  <c r="T1262" i="157"/>
  <c r="T94" i="157"/>
  <c r="T63" i="157"/>
  <c r="T86" i="157"/>
  <c r="T913" i="157"/>
  <c r="T641" i="157"/>
  <c r="T570" i="157"/>
  <c r="T1153" i="157"/>
  <c r="T1154" i="157"/>
  <c r="T1155" i="157"/>
  <c r="T1147" i="157"/>
  <c r="T1148" i="157"/>
  <c r="T1149" i="157"/>
  <c r="T1150" i="157"/>
  <c r="T1151" i="157"/>
  <c r="T1152" i="157"/>
  <c r="T956" i="157"/>
  <c r="T955" i="157"/>
  <c r="T954" i="157"/>
  <c r="T953" i="157"/>
  <c r="T952" i="157"/>
  <c r="T951" i="157"/>
  <c r="T950" i="157"/>
  <c r="T948" i="157"/>
  <c r="T788" i="157"/>
  <c r="T787" i="157"/>
  <c r="T783" i="157"/>
  <c r="T782" i="157"/>
  <c r="T781" i="157"/>
  <c r="T780" i="157"/>
  <c r="T779" i="157"/>
  <c r="T778" i="157"/>
  <c r="T777" i="157"/>
  <c r="T776" i="157"/>
  <c r="T774" i="157"/>
  <c r="T775" i="157"/>
  <c r="T538" i="157"/>
  <c r="T536" i="157"/>
  <c r="T533" i="157"/>
  <c r="T534" i="157"/>
  <c r="T527" i="157"/>
  <c r="T525" i="157"/>
  <c r="T523" i="157"/>
  <c r="T522" i="157"/>
  <c r="T521" i="157"/>
  <c r="T518" i="157"/>
  <c r="T516" i="157"/>
  <c r="T515" i="157"/>
  <c r="T182" i="157"/>
  <c r="T181" i="157"/>
  <c r="T183" i="157"/>
  <c r="T145" i="157"/>
  <c r="T146" i="157"/>
  <c r="T686" i="157"/>
  <c r="T344" i="157"/>
  <c r="T343" i="157"/>
  <c r="T1264" i="157"/>
  <c r="T1170" i="157"/>
  <c r="T1116" i="157"/>
  <c r="T834" i="157"/>
  <c r="T822" i="157"/>
  <c r="T681" i="157"/>
  <c r="T576" i="157"/>
  <c r="T599" i="157"/>
  <c r="T460" i="157"/>
  <c r="T332" i="157"/>
  <c r="T95" i="157"/>
  <c r="T13" i="157"/>
  <c r="T796" i="157"/>
  <c r="T1247" i="157"/>
  <c r="T859" i="157"/>
  <c r="T998" i="157"/>
  <c r="T210" i="157"/>
  <c r="T1085" i="157"/>
  <c r="T965" i="157"/>
  <c r="T932" i="157"/>
  <c r="T928" i="157"/>
  <c r="T553" i="157"/>
  <c r="T398" i="157"/>
  <c r="T256" i="157"/>
  <c r="T257" i="157"/>
  <c r="T252" i="157"/>
  <c r="T134" i="157"/>
  <c r="T1270" i="157"/>
  <c r="T1232" i="157"/>
  <c r="T1168" i="157"/>
  <c r="T621" i="157"/>
  <c r="T1106" i="157"/>
  <c r="T1107" i="157"/>
  <c r="T1103" i="157"/>
  <c r="T1104" i="157"/>
  <c r="T1099" i="157"/>
  <c r="T1100" i="157"/>
  <c r="T1101" i="157"/>
  <c r="T1102" i="157"/>
  <c r="T1026" i="157"/>
  <c r="T1027" i="157"/>
  <c r="T1028" i="157"/>
  <c r="T1025" i="157"/>
  <c r="T1024" i="157"/>
  <c r="T944" i="157"/>
  <c r="T941" i="157"/>
  <c r="T942" i="157"/>
  <c r="T943" i="157"/>
  <c r="T939" i="157"/>
  <c r="T940" i="157"/>
  <c r="T746" i="157"/>
  <c r="T747" i="157"/>
  <c r="T748" i="157"/>
  <c r="T749" i="157"/>
  <c r="T750" i="157"/>
  <c r="T742" i="157"/>
  <c r="T743" i="157"/>
  <c r="T733" i="157"/>
  <c r="T734" i="157"/>
  <c r="T735" i="157"/>
  <c r="T736" i="157"/>
  <c r="T730" i="157"/>
  <c r="T731" i="157"/>
  <c r="T650" i="157"/>
  <c r="T651" i="157"/>
  <c r="T652" i="157"/>
  <c r="T653" i="157"/>
  <c r="T646" i="157"/>
  <c r="T647" i="157"/>
  <c r="T648" i="157"/>
  <c r="T649" i="157"/>
  <c r="T642" i="157"/>
  <c r="T643" i="157"/>
  <c r="T644" i="157"/>
  <c r="T645" i="157"/>
  <c r="T469" i="157"/>
  <c r="T463" i="157"/>
  <c r="T635" i="157"/>
  <c r="T636" i="157"/>
  <c r="T637" i="157"/>
  <c r="T638" i="157"/>
  <c r="T639" i="157"/>
  <c r="T640" i="157"/>
  <c r="T275" i="157"/>
  <c r="T273" i="157"/>
  <c r="T272" i="157"/>
  <c r="T269" i="157"/>
  <c r="T270" i="157"/>
  <c r="T160" i="157"/>
  <c r="T159" i="157"/>
  <c r="T152" i="157"/>
  <c r="T153" i="157"/>
  <c r="T154" i="157"/>
  <c r="T155" i="157"/>
  <c r="T156" i="157"/>
  <c r="T157" i="157"/>
  <c r="T151" i="157"/>
  <c r="T149" i="157"/>
  <c r="T150" i="157"/>
  <c r="T1252" i="157"/>
  <c r="T1243" i="157"/>
  <c r="T1244" i="157"/>
  <c r="T1230" i="157"/>
  <c r="T1231" i="157"/>
  <c r="T470" i="157"/>
  <c r="T1105" i="157"/>
  <c r="T1029" i="157"/>
  <c r="T945" i="157"/>
  <c r="T938" i="157"/>
  <c r="T937" i="157"/>
  <c r="T732" i="157"/>
  <c r="T654" i="157"/>
  <c r="T471" i="157"/>
  <c r="T472" i="157"/>
  <c r="T466" i="157"/>
  <c r="T465" i="157"/>
  <c r="T464" i="157"/>
  <c r="T271" i="157"/>
  <c r="T268" i="157"/>
  <c r="T1246" i="157"/>
  <c r="T1128" i="157"/>
  <c r="T930" i="157"/>
  <c r="T931" i="157"/>
  <c r="T929" i="157"/>
  <c r="T927" i="157"/>
  <c r="T596" i="157"/>
  <c r="T595" i="157"/>
  <c r="T593" i="157"/>
  <c r="T594" i="157"/>
  <c r="T226" i="157"/>
  <c r="T225" i="157"/>
  <c r="T222" i="157"/>
  <c r="T113" i="157"/>
  <c r="T904" i="157"/>
  <c r="T890" i="157"/>
  <c r="T799" i="157"/>
  <c r="T744" i="157"/>
  <c r="T745" i="157"/>
  <c r="T691" i="157"/>
  <c r="T692" i="157"/>
  <c r="T479" i="157"/>
  <c r="T508" i="157"/>
  <c r="T478" i="157"/>
  <c r="T1259" i="157"/>
  <c r="T1173" i="157"/>
  <c r="T265" i="157"/>
  <c r="T60" i="157"/>
  <c r="T1123" i="157"/>
  <c r="T926" i="157"/>
  <c r="T925" i="157"/>
  <c r="T725" i="157"/>
  <c r="T492" i="157"/>
  <c r="T230" i="157"/>
  <c r="T1260" i="157"/>
  <c r="T11" i="157"/>
  <c r="T981" i="157"/>
  <c r="T1078" i="157"/>
  <c r="T715" i="157"/>
  <c r="T612" i="157"/>
  <c r="T558" i="157"/>
  <c r="T177" i="157"/>
  <c r="T1193" i="157"/>
  <c r="T1188" i="157"/>
  <c r="T1156" i="157"/>
  <c r="T1157" i="157"/>
  <c r="T1158" i="157"/>
  <c r="T1159" i="157"/>
  <c r="T1095" i="157"/>
  <c r="T1064" i="157"/>
  <c r="T1065" i="157"/>
  <c r="T1066" i="157"/>
  <c r="T1067" i="157"/>
  <c r="T1052" i="157"/>
  <c r="T1015" i="157"/>
  <c r="T1016" i="157"/>
  <c r="T1017" i="157"/>
  <c r="T1018" i="157"/>
  <c r="T1019" i="157"/>
  <c r="T923" i="157"/>
  <c r="T917" i="157"/>
  <c r="T918" i="157"/>
  <c r="T858" i="157"/>
  <c r="T855" i="157"/>
  <c r="T856" i="157"/>
  <c r="T761" i="157"/>
  <c r="T762" i="157"/>
  <c r="T659" i="157"/>
  <c r="T660" i="157"/>
  <c r="T560" i="157"/>
  <c r="T561" i="157"/>
  <c r="T434" i="157"/>
  <c r="T435" i="157"/>
  <c r="T436" i="157"/>
  <c r="T333" i="157"/>
  <c r="T334" i="157"/>
  <c r="T192" i="157"/>
  <c r="T193" i="157"/>
  <c r="T87" i="157"/>
  <c r="T65" i="157"/>
  <c r="T1005" i="157"/>
  <c r="T806" i="157"/>
  <c r="T966" i="157"/>
  <c r="T1076" i="157"/>
  <c r="T1075" i="157"/>
  <c r="T970" i="157"/>
  <c r="T1038" i="157"/>
  <c r="T969" i="157"/>
  <c r="T874" i="157"/>
  <c r="T864" i="157"/>
  <c r="T865" i="157"/>
  <c r="T760" i="157"/>
  <c r="T757" i="157"/>
  <c r="T755" i="157"/>
  <c r="T756" i="157"/>
  <c r="T655" i="157"/>
  <c r="T616" i="157"/>
  <c r="T614" i="157"/>
  <c r="T550" i="157"/>
  <c r="T517" i="157"/>
  <c r="T331" i="157"/>
  <c r="T330" i="157"/>
  <c r="T164" i="157"/>
  <c r="T162" i="157"/>
  <c r="T53" i="157"/>
  <c r="T34" i="157"/>
  <c r="T33" i="157"/>
  <c r="T1269" i="157"/>
  <c r="T1234" i="157"/>
  <c r="T170" i="157"/>
  <c r="T147" i="157"/>
  <c r="T1082" i="157"/>
  <c r="T820" i="157"/>
  <c r="T487" i="157"/>
  <c r="T120" i="157"/>
  <c r="T292" i="157"/>
  <c r="T141" i="157"/>
  <c r="T347" i="157"/>
  <c r="T1081" i="157"/>
  <c r="T853" i="157"/>
  <c r="T496" i="157"/>
  <c r="T399" i="157"/>
  <c r="T218" i="157"/>
  <c r="T1256" i="157"/>
  <c r="T974" i="157"/>
  <c r="T973" i="157"/>
  <c r="T835" i="157"/>
  <c r="T831" i="157"/>
  <c r="T583" i="157"/>
  <c r="T314" i="157"/>
  <c r="T315" i="157"/>
  <c r="T397" i="157"/>
  <c r="T206" i="157"/>
  <c r="T390" i="157"/>
  <c r="T204" i="157"/>
  <c r="T205" i="157"/>
  <c r="T48" i="157"/>
  <c r="T1201" i="157"/>
  <c r="T264" i="157"/>
  <c r="T47" i="157"/>
  <c r="T184" i="157"/>
  <c r="T46" i="157"/>
  <c r="T107" i="157"/>
  <c r="T1248" i="157"/>
  <c r="T679" i="157"/>
  <c r="T190" i="157"/>
  <c r="T1169" i="157"/>
  <c r="T1089" i="157"/>
  <c r="T1088" i="157"/>
  <c r="T957" i="157"/>
  <c r="T375" i="157"/>
  <c r="T722" i="157"/>
  <c r="T720" i="157"/>
  <c r="T371" i="157"/>
  <c r="T369" i="157"/>
  <c r="T367" i="157"/>
  <c r="T366" i="157"/>
  <c r="T365" i="157"/>
  <c r="T112" i="157"/>
  <c r="T111" i="157"/>
  <c r="T26" i="157"/>
  <c r="T816" i="157"/>
  <c r="T815" i="157"/>
  <c r="T680" i="157"/>
  <c r="T373" i="157"/>
  <c r="T372" i="157"/>
  <c r="T123" i="157"/>
  <c r="T124" i="157"/>
  <c r="T125" i="157"/>
  <c r="T1265" i="157"/>
  <c r="T1266" i="157"/>
  <c r="T880" i="157"/>
  <c r="T876" i="157"/>
  <c r="T906" i="157"/>
  <c r="T900" i="157"/>
  <c r="T675" i="157"/>
  <c r="T628" i="157"/>
  <c r="T1050" i="157"/>
  <c r="T1049" i="157"/>
  <c r="T1048" i="157"/>
  <c r="T1047" i="157"/>
  <c r="T1046" i="157"/>
  <c r="T1045" i="157"/>
  <c r="T582" i="157"/>
  <c r="T308" i="157"/>
  <c r="T287" i="157"/>
  <c r="T1133" i="157"/>
  <c r="T1131" i="157"/>
  <c r="T1130" i="157"/>
  <c r="T980" i="157"/>
  <c r="T979" i="157"/>
  <c r="T976" i="157"/>
  <c r="T977" i="157"/>
  <c r="T933" i="157"/>
  <c r="T849" i="157"/>
  <c r="T846" i="157"/>
  <c r="T847" i="157"/>
  <c r="T848" i="157"/>
  <c r="T845" i="157"/>
  <c r="T801" i="157"/>
  <c r="T800" i="157"/>
  <c r="T766" i="157"/>
  <c r="T765" i="157"/>
  <c r="T717" i="157"/>
  <c r="T656" i="157"/>
  <c r="T552" i="157"/>
  <c r="T551" i="157"/>
  <c r="T454" i="157"/>
  <c r="T451" i="157"/>
  <c r="T447" i="157"/>
  <c r="T445" i="157"/>
  <c r="T444" i="157"/>
  <c r="T440" i="157"/>
  <c r="T341" i="157"/>
  <c r="T340" i="157"/>
  <c r="T339" i="157"/>
  <c r="T231" i="157"/>
  <c r="T223" i="157"/>
  <c r="T217" i="157"/>
  <c r="T168" i="157"/>
  <c r="T166" i="157"/>
  <c r="T163" i="157"/>
  <c r="T127" i="157"/>
  <c r="T126" i="157"/>
  <c r="T58" i="157"/>
  <c r="T59" i="157"/>
  <c r="T37" i="157"/>
  <c r="T28" i="157"/>
  <c r="T7" i="157"/>
  <c r="T1233" i="157"/>
  <c r="T148" i="157"/>
  <c r="T297" i="157"/>
  <c r="T298" i="157"/>
  <c r="T289" i="157"/>
  <c r="T290" i="157"/>
  <c r="T457" i="157"/>
  <c r="T452" i="157"/>
  <c r="T319" i="157"/>
  <c r="T167" i="157"/>
  <c r="T115" i="157"/>
  <c r="T1167" i="157"/>
  <c r="T246" i="157"/>
  <c r="T247" i="157"/>
  <c r="T248" i="157"/>
  <c r="T249" i="157"/>
  <c r="T388" i="157"/>
  <c r="T325" i="157"/>
  <c r="T326" i="157"/>
  <c r="T96" i="157"/>
  <c r="T61" i="157"/>
  <c r="T1122" i="157"/>
  <c r="T978" i="157"/>
  <c r="T896" i="157"/>
  <c r="T813" i="157"/>
  <c r="T741" i="157"/>
  <c r="T740" i="157"/>
  <c r="T738" i="157"/>
  <c r="T737" i="157"/>
  <c r="T672" i="157"/>
  <c r="T671" i="157"/>
  <c r="T615" i="157"/>
  <c r="T219" i="157"/>
  <c r="T188" i="157"/>
  <c r="T912" i="157"/>
  <c r="T580" i="157"/>
  <c r="T1191" i="157"/>
  <c r="T1185" i="157"/>
  <c r="T1063" i="157"/>
  <c r="T1008" i="157"/>
  <c r="T915" i="157"/>
  <c r="T841" i="157"/>
  <c r="T1083" i="157"/>
  <c r="T282" i="157"/>
  <c r="T276" i="157"/>
  <c r="T408" i="157"/>
  <c r="T261" i="157"/>
  <c r="T262" i="157"/>
  <c r="T132" i="157"/>
  <c r="T133" i="157"/>
  <c r="T280" i="157"/>
  <c r="T924" i="157"/>
  <c r="T814" i="157"/>
  <c r="T509" i="157"/>
  <c r="T425" i="157"/>
  <c r="T41" i="157"/>
  <c r="T39" i="157"/>
  <c r="T898" i="157"/>
  <c r="T587" i="157"/>
  <c r="T49" i="157"/>
  <c r="T54" i="157"/>
  <c r="T936" i="157"/>
  <c r="T997" i="157"/>
  <c r="T374" i="157"/>
  <c r="T370" i="157"/>
  <c r="T1238" i="157"/>
  <c r="T1206" i="157"/>
  <c r="T1146" i="157"/>
  <c r="T1051" i="157"/>
  <c r="T995" i="157"/>
  <c r="T908" i="157"/>
  <c r="T843" i="157"/>
  <c r="T729" i="157"/>
  <c r="T632" i="157"/>
  <c r="T559" i="157"/>
  <c r="T420" i="157"/>
  <c r="T414" i="157"/>
  <c r="T311" i="157"/>
  <c r="T194" i="157"/>
  <c r="T66" i="157"/>
  <c r="T176" i="157"/>
  <c r="T1109" i="157"/>
  <c r="T986" i="157"/>
  <c r="T987" i="157"/>
  <c r="T851" i="157"/>
  <c r="T696" i="157"/>
  <c r="T697" i="157"/>
  <c r="T250" i="157"/>
  <c r="T22" i="157"/>
  <c r="T1200" i="157"/>
  <c r="T991" i="157"/>
  <c r="T1073" i="157"/>
  <c r="T990" i="157"/>
  <c r="T989" i="157"/>
  <c r="T1031" i="157"/>
  <c r="T988" i="157"/>
  <c r="T984" i="157"/>
  <c r="T985" i="157"/>
  <c r="T964" i="157"/>
  <c r="T946" i="157"/>
  <c r="T703" i="157"/>
  <c r="T704" i="157"/>
  <c r="T700" i="157"/>
  <c r="T701" i="157"/>
  <c r="T702" i="157"/>
  <c r="T818" i="157"/>
  <c r="T698" i="157"/>
  <c r="T699" i="157"/>
  <c r="T752" i="157"/>
  <c r="T693" i="157"/>
  <c r="T694" i="157"/>
  <c r="T610" i="157"/>
  <c r="T611" i="157"/>
  <c r="T588" i="157"/>
  <c r="T574" i="157"/>
  <c r="T284" i="157"/>
  <c r="T285" i="157"/>
  <c r="T286" i="157"/>
  <c r="T510" i="157"/>
  <c r="T277" i="157"/>
  <c r="T278" i="157"/>
  <c r="T389" i="157"/>
  <c r="T267" i="157"/>
  <c r="T327" i="157"/>
  <c r="T266" i="157"/>
  <c r="T97" i="157"/>
  <c r="T62" i="157"/>
  <c r="T459" i="157"/>
  <c r="T121" i="157"/>
  <c r="T118" i="157"/>
  <c r="T1145" i="157"/>
  <c r="T1144" i="157"/>
  <c r="T860" i="157"/>
  <c r="T1004" i="157"/>
  <c r="T626" i="157"/>
  <c r="T306" i="157"/>
  <c r="T220" i="157"/>
  <c r="T1267" i="157"/>
  <c r="T1242" i="157"/>
  <c r="T103" i="157"/>
  <c r="T883" i="157"/>
  <c r="T23" i="157"/>
  <c r="T826" i="157"/>
  <c r="T1204" i="157"/>
  <c r="T1160" i="157"/>
  <c r="T1068" i="157"/>
  <c r="T975" i="157"/>
  <c r="T919" i="157"/>
  <c r="T824" i="157"/>
  <c r="T724" i="157"/>
  <c r="T629" i="157"/>
  <c r="T562" i="157"/>
  <c r="T421" i="157"/>
  <c r="T312" i="157"/>
  <c r="T195" i="157"/>
  <c r="T67" i="157"/>
  <c r="T1125" i="157"/>
  <c r="T1120" i="157"/>
  <c r="T1084" i="157"/>
  <c r="T1117" i="157"/>
  <c r="T1118" i="157"/>
  <c r="T1032" i="157"/>
  <c r="T895" i="157"/>
  <c r="T591" i="157"/>
  <c r="T592" i="157"/>
  <c r="T590" i="157"/>
  <c r="T589" i="157"/>
  <c r="T549" i="157"/>
  <c r="T443" i="157"/>
  <c r="T441" i="157"/>
  <c r="T578" i="157"/>
  <c r="T304" i="157"/>
  <c r="T216" i="157"/>
  <c r="T186" i="157"/>
  <c r="T161" i="157"/>
  <c r="T158" i="157"/>
  <c r="T100" i="157"/>
  <c r="T99" i="157"/>
  <c r="T72" i="157"/>
  <c r="T73" i="157"/>
  <c r="T1235" i="157"/>
  <c r="T613" i="157"/>
  <c r="T1087" i="157"/>
  <c r="T1074" i="157"/>
  <c r="T879" i="157"/>
  <c r="T869" i="157"/>
  <c r="T868" i="157"/>
  <c r="T867" i="157"/>
  <c r="T863" i="157"/>
  <c r="T862" i="157"/>
  <c r="T723" i="157"/>
  <c r="T721" i="157"/>
  <c r="T718" i="157"/>
  <c r="T719" i="157"/>
  <c r="T716" i="157"/>
  <c r="T532" i="157"/>
  <c r="T530" i="157"/>
  <c r="T528" i="157"/>
  <c r="T526" i="157"/>
  <c r="T259" i="157"/>
  <c r="T258" i="157"/>
  <c r="T143" i="157"/>
  <c r="T142" i="157"/>
  <c r="T29" i="157"/>
  <c r="T27" i="157"/>
  <c r="T10" i="157"/>
  <c r="T1237" i="157"/>
  <c r="T1119" i="157"/>
  <c r="T837" i="157"/>
  <c r="T836" i="157"/>
  <c r="T803" i="157"/>
  <c r="T618" i="157"/>
  <c r="T617" i="157"/>
  <c r="T565" i="157"/>
  <c r="T564" i="157"/>
  <c r="T505" i="157"/>
  <c r="T504" i="157"/>
  <c r="T417" i="157"/>
  <c r="T355" i="157"/>
  <c r="T416" i="157"/>
  <c r="T349" i="157"/>
  <c r="T316" i="157"/>
  <c r="T281" i="157"/>
  <c r="T279" i="157"/>
  <c r="T224" i="157"/>
  <c r="T114" i="157"/>
  <c r="T1254" i="157"/>
  <c r="T1114" i="157"/>
  <c r="T439" i="157"/>
  <c r="T185" i="157"/>
  <c r="T477" i="157"/>
  <c r="T475" i="157"/>
  <c r="T476" i="157"/>
  <c r="T1192" i="157"/>
  <c r="T1096" i="157"/>
  <c r="T1080" i="157"/>
  <c r="T968" i="157"/>
  <c r="T891" i="157"/>
  <c r="T808" i="157"/>
  <c r="T710" i="157"/>
  <c r="T625" i="157"/>
  <c r="T511" i="157"/>
  <c r="T410" i="157"/>
  <c r="T203" i="157"/>
  <c r="T291" i="157"/>
  <c r="T64" i="157"/>
  <c r="T1035" i="157"/>
  <c r="T1036" i="157"/>
  <c r="T1033" i="157"/>
  <c r="T892" i="157"/>
  <c r="T739" i="157"/>
  <c r="T489" i="157"/>
  <c r="T488" i="157"/>
  <c r="T368" i="157"/>
  <c r="T364" i="157"/>
  <c r="T263" i="157"/>
  <c r="T110" i="157"/>
  <c r="T109" i="157"/>
  <c r="T238" i="157"/>
  <c r="T104" i="157"/>
  <c r="T1126" i="157"/>
  <c r="T832" i="157"/>
  <c r="T828" i="157"/>
  <c r="T547" i="157"/>
  <c r="T446" i="157"/>
  <c r="T137" i="157"/>
  <c r="T392" i="157"/>
  <c r="T328" i="157"/>
  <c r="T108" i="157"/>
  <c r="T79" i="157"/>
  <c r="T785" i="157"/>
  <c r="T727" i="157"/>
  <c r="T1110" i="157"/>
  <c r="T726" i="157"/>
  <c r="T544" i="157"/>
  <c r="T870" i="157"/>
  <c r="T426" i="157"/>
  <c r="T15" i="157"/>
  <c r="T1196" i="157"/>
  <c r="T1197" i="157"/>
  <c r="T1194" i="157"/>
  <c r="T1195" i="157"/>
  <c r="T1161" i="157"/>
  <c r="T1162" i="157"/>
  <c r="T1163" i="157"/>
  <c r="T1164" i="157"/>
  <c r="T1053" i="157"/>
  <c r="T1054" i="157"/>
  <c r="T1055" i="157"/>
  <c r="T1056" i="157"/>
  <c r="T1020" i="157"/>
  <c r="T1021" i="157"/>
  <c r="T893" i="157"/>
  <c r="T894" i="157"/>
  <c r="T809" i="157"/>
  <c r="T810" i="157"/>
  <c r="T711" i="157"/>
  <c r="T712" i="157"/>
  <c r="T622" i="157"/>
  <c r="T623" i="157"/>
  <c r="T512" i="157"/>
  <c r="T513" i="157"/>
  <c r="T400" i="157"/>
  <c r="T401" i="157"/>
  <c r="T293" i="157"/>
  <c r="T294" i="157"/>
  <c r="T196" i="157"/>
  <c r="T197" i="157"/>
  <c r="T131" i="157"/>
  <c r="T68" i="157"/>
  <c r="T69" i="157"/>
  <c r="T1129" i="157"/>
  <c r="T935" i="157"/>
  <c r="T934" i="157"/>
  <c r="T786" i="157"/>
  <c r="T784" i="157"/>
  <c r="T548" i="157"/>
  <c r="T545" i="157"/>
  <c r="T227" i="157"/>
  <c r="T144" i="157"/>
  <c r="T25" i="157"/>
  <c r="T8" i="157"/>
  <c r="T1236" i="157"/>
  <c r="T88" i="157"/>
  <c r="T32" i="157"/>
  <c r="T1186" i="157"/>
  <c r="T1057" i="157"/>
  <c r="T1058" i="157"/>
  <c r="T1059" i="157"/>
  <c r="T1022" i="157"/>
  <c r="T920" i="157"/>
  <c r="T921" i="157"/>
  <c r="T857" i="157"/>
  <c r="T769" i="157"/>
  <c r="T661" i="157"/>
  <c r="T556" i="157"/>
  <c r="T422" i="157"/>
  <c r="T295" i="157"/>
  <c r="T198" i="157"/>
  <c r="T80" i="157"/>
  <c r="T1198" i="157"/>
  <c r="T1143" i="157"/>
  <c r="T1069" i="157"/>
  <c r="T1010" i="157"/>
  <c r="T916" i="157"/>
  <c r="T825" i="157"/>
  <c r="T763" i="157"/>
  <c r="T633" i="157"/>
  <c r="T563" i="157"/>
  <c r="T423" i="157"/>
  <c r="T313" i="157"/>
  <c r="T199" i="157"/>
  <c r="T70" i="157"/>
  <c r="T1127" i="157"/>
  <c r="T1121" i="157"/>
  <c r="T687" i="157"/>
  <c r="T684" i="157"/>
  <c r="T321" i="157"/>
  <c r="T320" i="157"/>
  <c r="T317" i="157"/>
  <c r="T318" i="157"/>
  <c r="T9" i="157"/>
  <c r="T1113" i="157"/>
  <c r="T812" i="157"/>
  <c r="T1142" i="157"/>
  <c r="T811" i="157"/>
  <c r="T807" i="157"/>
  <c r="T57" i="157"/>
  <c r="T1077" i="157"/>
  <c r="T491" i="157"/>
  <c r="T490" i="157"/>
  <c r="T82" i="157"/>
  <c r="T1239" i="157"/>
  <c r="T1132" i="157"/>
  <c r="T706" i="157"/>
  <c r="T705" i="157"/>
  <c r="T584" i="157"/>
  <c r="T539" i="157"/>
  <c r="T695" i="157"/>
  <c r="T395" i="157"/>
  <c r="T394" i="157"/>
  <c r="T393" i="157"/>
  <c r="T128" i="157"/>
  <c r="T119" i="157"/>
  <c r="T122" i="157"/>
  <c r="T1253" i="157"/>
  <c r="T1250" i="157"/>
  <c r="T474" i="157"/>
  <c r="T462" i="157"/>
  <c r="T358" i="157"/>
  <c r="T338" i="157"/>
  <c r="T336" i="157"/>
  <c r="T234" i="157"/>
  <c r="T207" i="157"/>
  <c r="T634" i="157"/>
  <c r="T1176" i="157"/>
  <c r="T81" i="157"/>
  <c r="T1111" i="157"/>
  <c r="T363" i="157"/>
  <c r="T324" i="157"/>
  <c r="T235" i="157"/>
  <c r="T172" i="157"/>
  <c r="T98" i="157"/>
  <c r="T71" i="157"/>
  <c r="T630" i="157"/>
  <c r="T1034" i="157"/>
  <c r="T878" i="157"/>
  <c r="T877" i="157"/>
  <c r="T872" i="157"/>
  <c r="T871" i="157"/>
  <c r="T804" i="157"/>
  <c r="T708" i="157"/>
  <c r="T581" i="157"/>
  <c r="T573" i="157"/>
  <c r="T571" i="157"/>
  <c r="T572" i="157"/>
  <c r="T493" i="157"/>
  <c r="T455" i="157"/>
  <c r="T453" i="157"/>
  <c r="T450" i="157"/>
  <c r="T342" i="157"/>
  <c r="T228" i="157"/>
  <c r="T189" i="157"/>
  <c r="T116" i="157"/>
  <c r="T117" i="157"/>
  <c r="T1245" i="157"/>
  <c r="T1249" i="157"/>
  <c r="T1124" i="157"/>
  <c r="T972" i="157"/>
  <c r="T1061" i="157"/>
  <c r="T866" i="157"/>
  <c r="T827" i="157"/>
  <c r="T620" i="157"/>
  <c r="T442" i="157"/>
  <c r="T411" i="157"/>
  <c r="T274" i="157"/>
  <c r="T130" i="157"/>
  <c r="T1187" i="157"/>
  <c r="T1094" i="157"/>
  <c r="T1060" i="157"/>
  <c r="T1023" i="157"/>
  <c r="T922" i="157"/>
  <c r="T852" i="157"/>
  <c r="T753" i="157"/>
  <c r="T658" i="157"/>
  <c r="T514" i="157"/>
  <c r="T424" i="157"/>
  <c r="T335" i="157"/>
  <c r="T200" i="157"/>
  <c r="T89" i="157"/>
  <c r="T1093" i="157"/>
  <c r="T1092" i="157"/>
  <c r="T1091" i="157"/>
  <c r="T1090" i="157"/>
  <c r="T1112" i="157"/>
  <c r="T958" i="157"/>
  <c r="T905" i="157"/>
  <c r="T903" i="157"/>
  <c r="T902" i="157"/>
  <c r="T830" i="157"/>
  <c r="T829" i="157"/>
  <c r="T683" i="157"/>
  <c r="T682" i="157"/>
  <c r="T546" i="157"/>
  <c r="T456" i="157"/>
  <c r="T449" i="157"/>
  <c r="T448" i="157"/>
  <c r="T352" i="157"/>
  <c r="T350" i="157"/>
  <c r="T221" i="157"/>
  <c r="T187" i="157"/>
  <c r="T85" i="157"/>
  <c r="T35" i="157"/>
  <c r="T36" i="157"/>
  <c r="T575" i="157"/>
  <c r="T543" i="157"/>
  <c r="T1223" i="157"/>
  <c r="T1224" i="157"/>
  <c r="T1218" i="157"/>
  <c r="T1225" i="157"/>
  <c r="T1226" i="157"/>
  <c r="T45" i="157"/>
  <c r="T1222" i="157"/>
  <c r="T42" i="157"/>
  <c r="T1211" i="157"/>
  <c r="T1216" i="157"/>
  <c r="T1219" i="157"/>
  <c r="T1227" i="157"/>
  <c r="T1213" i="157"/>
  <c r="T31" i="157"/>
  <c r="T1228" i="157"/>
  <c r="T30" i="157"/>
  <c r="T1258" i="157"/>
  <c r="T1263" i="157"/>
  <c r="T1214" i="157"/>
  <c r="T1255" i="157"/>
  <c r="T1220" i="157"/>
  <c r="T1229" i="157"/>
  <c r="T1212" i="157"/>
  <c r="T1209" i="157"/>
  <c r="T1210" i="157"/>
  <c r="T1217" i="157"/>
  <c r="T1215" i="157"/>
  <c r="T1221" i="157"/>
  <c r="T12" i="157"/>
  <c r="T16" i="157"/>
  <c r="T17" i="157"/>
  <c r="T18" i="157"/>
  <c r="T19" i="157"/>
  <c r="T20" i="157"/>
  <c r="T21" i="157"/>
  <c r="U764" i="157"/>
  <c r="U24" i="157"/>
  <c r="U1108" i="157"/>
  <c r="U768" i="157"/>
  <c r="U458" i="157"/>
  <c r="U875" i="157"/>
  <c r="U83" i="157"/>
  <c r="U296" i="157"/>
  <c r="U43" i="157"/>
  <c r="U772" i="157"/>
  <c r="U631" i="157"/>
  <c r="U579" i="157"/>
  <c r="U569" i="157"/>
  <c r="U554" i="157"/>
  <c r="U1070" i="157"/>
  <c r="U996" i="157"/>
  <c r="U949" i="157"/>
  <c r="U821" i="157"/>
  <c r="U678" i="157"/>
  <c r="U666" i="157"/>
  <c r="U667" i="157"/>
  <c r="U428" i="157"/>
  <c r="U307" i="157"/>
  <c r="U353" i="157"/>
  <c r="U253" i="157"/>
  <c r="U129" i="157"/>
  <c r="U84" i="157"/>
  <c r="U1251" i="157"/>
  <c r="U1079" i="157"/>
  <c r="U1012" i="157"/>
  <c r="U1011" i="157"/>
  <c r="U819" i="157"/>
  <c r="U535" i="157"/>
  <c r="U529" i="157"/>
  <c r="U519" i="157"/>
  <c r="U1039" i="157"/>
  <c r="U838" i="157"/>
  <c r="U668" i="157"/>
  <c r="U506" i="157"/>
  <c r="U1207" i="157"/>
  <c r="U1199" i="157"/>
  <c r="U1189" i="157"/>
  <c r="U1175" i="157"/>
  <c r="U1174" i="157"/>
  <c r="U1172" i="157"/>
  <c r="U1166" i="157"/>
  <c r="U1097" i="157"/>
  <c r="U1086" i="157"/>
  <c r="U1071" i="157"/>
  <c r="U1037" i="157"/>
  <c r="U1006" i="157"/>
  <c r="U994" i="157"/>
  <c r="U967" i="157"/>
  <c r="U901" i="157"/>
  <c r="U884" i="157"/>
  <c r="U842" i="157"/>
  <c r="U823" i="157"/>
  <c r="U795" i="157"/>
  <c r="U754" i="157"/>
  <c r="U751" i="157"/>
  <c r="U713" i="157"/>
  <c r="U676" i="157"/>
  <c r="U674" i="157"/>
  <c r="U657" i="157"/>
  <c r="U609" i="157"/>
  <c r="U567" i="157"/>
  <c r="U557" i="157"/>
  <c r="U555" i="157"/>
  <c r="U429" i="157"/>
  <c r="U419" i="157"/>
  <c r="U362" i="157"/>
  <c r="U360" i="157"/>
  <c r="U337" i="157"/>
  <c r="U310" i="157"/>
  <c r="U260" i="157"/>
  <c r="U102" i="157"/>
  <c r="U101" i="157"/>
  <c r="U74" i="157"/>
  <c r="U55" i="157"/>
  <c r="U1001" i="157"/>
  <c r="U1205" i="157"/>
  <c r="U1203" i="157"/>
  <c r="U1183" i="157"/>
  <c r="U1177" i="157"/>
  <c r="U1178" i="157"/>
  <c r="U1179" i="157"/>
  <c r="U1180" i="157"/>
  <c r="U1181" i="157"/>
  <c r="U1182" i="157"/>
  <c r="U1171" i="157"/>
  <c r="U1136" i="157"/>
  <c r="U1137" i="157"/>
  <c r="U1138" i="157"/>
  <c r="U1139" i="157"/>
  <c r="U1140" i="157"/>
  <c r="U1141" i="157"/>
  <c r="U1040" i="157"/>
  <c r="U1041" i="157"/>
  <c r="U1042" i="157"/>
  <c r="U1043" i="157"/>
  <c r="U1044" i="157"/>
  <c r="U992" i="157"/>
  <c r="U959" i="157"/>
  <c r="U960" i="157"/>
  <c r="U961" i="157"/>
  <c r="U962" i="157"/>
  <c r="U963" i="157"/>
  <c r="U899" i="157"/>
  <c r="U885" i="157"/>
  <c r="U886" i="157"/>
  <c r="U887" i="157"/>
  <c r="U888" i="157"/>
  <c r="U889" i="157"/>
  <c r="U881" i="157"/>
  <c r="U882" i="157"/>
  <c r="U798" i="157"/>
  <c r="U789" i="157"/>
  <c r="U790" i="157"/>
  <c r="U791" i="157"/>
  <c r="U792" i="157"/>
  <c r="U793" i="157"/>
  <c r="U794" i="157"/>
  <c r="U494" i="157"/>
  <c r="U709" i="157"/>
  <c r="U707" i="157"/>
  <c r="U627" i="157"/>
  <c r="U624" i="157"/>
  <c r="U601" i="157"/>
  <c r="U602" i="157"/>
  <c r="U603" i="157"/>
  <c r="U604" i="157"/>
  <c r="U605" i="157"/>
  <c r="U606" i="157"/>
  <c r="U607" i="157"/>
  <c r="U568" i="157"/>
  <c r="U507" i="157"/>
  <c r="U497" i="157"/>
  <c r="U498" i="157"/>
  <c r="U499" i="157"/>
  <c r="U500" i="157"/>
  <c r="U501" i="157"/>
  <c r="U502" i="157"/>
  <c r="U484" i="157"/>
  <c r="U485" i="157"/>
  <c r="U480" i="157"/>
  <c r="U481" i="157"/>
  <c r="U432" i="157"/>
  <c r="U254" i="157"/>
  <c r="U430" i="157"/>
  <c r="U412" i="157"/>
  <c r="U402" i="157"/>
  <c r="U403" i="157"/>
  <c r="U404" i="157"/>
  <c r="U405" i="157"/>
  <c r="U406" i="157"/>
  <c r="U407" i="157"/>
  <c r="U391" i="157"/>
  <c r="U382" i="157"/>
  <c r="U383" i="157"/>
  <c r="U384" i="157"/>
  <c r="U385" i="157"/>
  <c r="U386" i="157"/>
  <c r="U387" i="157"/>
  <c r="U376" i="157"/>
  <c r="U377" i="157"/>
  <c r="U322" i="157"/>
  <c r="U299" i="157"/>
  <c r="U300" i="157"/>
  <c r="U288" i="157"/>
  <c r="U174" i="157"/>
  <c r="U202" i="157"/>
  <c r="U178" i="157"/>
  <c r="U201" i="157"/>
  <c r="U240" i="157"/>
  <c r="U241" i="157"/>
  <c r="U242" i="157"/>
  <c r="U243" i="157"/>
  <c r="U244" i="157"/>
  <c r="U245" i="157"/>
  <c r="U236" i="157"/>
  <c r="U233" i="157"/>
  <c r="U212" i="157"/>
  <c r="U191" i="157"/>
  <c r="U171" i="157"/>
  <c r="U169" i="157"/>
  <c r="U138" i="157"/>
  <c r="U93" i="157"/>
  <c r="U91" i="157"/>
  <c r="U75" i="157"/>
  <c r="U665" i="157"/>
  <c r="U773" i="157"/>
  <c r="U688" i="157"/>
  <c r="U608" i="157"/>
  <c r="U301" i="157"/>
  <c r="U861" i="157"/>
  <c r="U664" i="157"/>
  <c r="U495" i="157"/>
  <c r="U229" i="157"/>
  <c r="U1268" i="157"/>
  <c r="U409" i="157"/>
  <c r="U232" i="157"/>
  <c r="U1202" i="157"/>
  <c r="U1072" i="157"/>
  <c r="U1030" i="157"/>
  <c r="U982" i="157"/>
  <c r="U971" i="157"/>
  <c r="U910" i="157"/>
  <c r="U911" i="157"/>
  <c r="U854" i="157"/>
  <c r="U805" i="157"/>
  <c r="U770" i="157"/>
  <c r="U689" i="157"/>
  <c r="U673" i="157"/>
  <c r="U619" i="157"/>
  <c r="U597" i="157"/>
  <c r="U542" i="157"/>
  <c r="U433" i="157"/>
  <c r="U413" i="157"/>
  <c r="U378" i="157"/>
  <c r="U357" i="157"/>
  <c r="U323" i="157"/>
  <c r="U213" i="157"/>
  <c r="U77" i="157"/>
  <c r="U214" i="157"/>
  <c r="U50" i="157"/>
  <c r="U51" i="157"/>
  <c r="U1190" i="157"/>
  <c r="U1184" i="157"/>
  <c r="U1062" i="157"/>
  <c r="U1007" i="157"/>
  <c r="U914" i="157"/>
  <c r="U840" i="157"/>
  <c r="U473" i="157"/>
  <c r="U309" i="157"/>
  <c r="U255" i="157"/>
  <c r="U40" i="157"/>
  <c r="U38" i="157"/>
  <c r="U1014" i="157"/>
  <c r="U283" i="157"/>
  <c r="U850" i="157"/>
  <c r="U486" i="157"/>
  <c r="U438" i="157"/>
  <c r="U418" i="157"/>
  <c r="U396" i="157"/>
  <c r="U361" i="157"/>
  <c r="U345" i="157"/>
  <c r="U302" i="157"/>
  <c r="U237" i="157"/>
  <c r="U208" i="157"/>
  <c r="U173" i="157"/>
  <c r="U139" i="157"/>
  <c r="U105" i="157"/>
  <c r="U92" i="157"/>
  <c r="U76" i="157"/>
  <c r="U44" i="157"/>
  <c r="U1115" i="157"/>
  <c r="U844" i="157"/>
  <c r="U1165" i="157"/>
  <c r="U1003" i="157"/>
  <c r="U907" i="157"/>
  <c r="U758" i="157"/>
  <c r="U461" i="157"/>
  <c r="U329" i="157"/>
  <c r="U211" i="157"/>
  <c r="U136" i="157"/>
  <c r="U1240" i="157"/>
  <c r="U1009" i="157"/>
  <c r="U690" i="157"/>
  <c r="U817" i="157"/>
  <c r="U354" i="157"/>
  <c r="U802" i="157"/>
  <c r="U431" i="157"/>
  <c r="U251" i="157"/>
  <c r="U1135" i="157"/>
  <c r="U1013" i="157"/>
  <c r="U947" i="157"/>
  <c r="U909" i="157"/>
  <c r="U767" i="157"/>
  <c r="U585" i="157"/>
  <c r="U586" i="157"/>
  <c r="U685" i="157"/>
  <c r="U503" i="157"/>
  <c r="U356" i="157"/>
  <c r="U351" i="157"/>
  <c r="U348" i="157"/>
  <c r="U346" i="157"/>
  <c r="U180" i="157"/>
  <c r="U179" i="157"/>
  <c r="U14" i="157"/>
  <c r="U1257" i="157"/>
  <c r="U1241" i="157"/>
  <c r="U669" i="157"/>
  <c r="U175" i="157"/>
  <c r="U52" i="157"/>
  <c r="U1098" i="157"/>
  <c r="U78" i="157"/>
  <c r="U897" i="157"/>
  <c r="U1002" i="157"/>
  <c r="U759" i="157"/>
  <c r="U662" i="157"/>
  <c r="U999" i="157"/>
  <c r="U797" i="157"/>
  <c r="U663" i="157"/>
  <c r="U714" i="157"/>
  <c r="U468" i="157"/>
  <c r="U467" i="157"/>
  <c r="U437" i="157"/>
  <c r="U305" i="157"/>
  <c r="U209" i="157"/>
  <c r="U135" i="157"/>
  <c r="U90" i="157"/>
  <c r="U873" i="157"/>
  <c r="U427" i="157"/>
  <c r="U839" i="157"/>
  <c r="U771" i="157"/>
  <c r="U728" i="157"/>
  <c r="U677" i="157"/>
  <c r="U598" i="157"/>
  <c r="U566" i="157"/>
  <c r="U482" i="157"/>
  <c r="U415" i="157"/>
  <c r="U359" i="157"/>
  <c r="U303" i="157"/>
  <c r="U215" i="157"/>
  <c r="U140" i="157"/>
  <c r="U106" i="157"/>
  <c r="U56" i="157"/>
  <c r="U1208" i="157"/>
  <c r="U983" i="157"/>
  <c r="U670" i="157"/>
  <c r="U577" i="157"/>
  <c r="U483" i="157"/>
  <c r="U379" i="157"/>
  <c r="U239" i="157"/>
  <c r="U1000" i="157"/>
  <c r="U1134" i="157"/>
  <c r="U993" i="157"/>
  <c r="U833" i="157"/>
  <c r="U541" i="157"/>
  <c r="U540" i="157"/>
  <c r="U537" i="157"/>
  <c r="U531" i="157"/>
  <c r="U600" i="157"/>
  <c r="U524" i="157"/>
  <c r="U520" i="157"/>
  <c r="U380" i="157"/>
  <c r="U381" i="157"/>
  <c r="U165" i="157"/>
  <c r="U1261" i="157"/>
  <c r="U1262" i="157"/>
  <c r="U94" i="157"/>
  <c r="U63" i="157"/>
  <c r="U86" i="157"/>
  <c r="U913" i="157"/>
  <c r="U641" i="157"/>
  <c r="U570" i="157"/>
  <c r="U1153" i="157"/>
  <c r="U1154" i="157"/>
  <c r="U1155" i="157"/>
  <c r="U1147" i="157"/>
  <c r="U1148" i="157"/>
  <c r="U1149" i="157"/>
  <c r="U1150" i="157"/>
  <c r="U1151" i="157"/>
  <c r="U1152" i="157"/>
  <c r="U956" i="157"/>
  <c r="U955" i="157"/>
  <c r="U954" i="157"/>
  <c r="U953" i="157"/>
  <c r="U952" i="157"/>
  <c r="U951" i="157"/>
  <c r="U950" i="157"/>
  <c r="U948" i="157"/>
  <c r="U788" i="157"/>
  <c r="U787" i="157"/>
  <c r="U783" i="157"/>
  <c r="U782" i="157"/>
  <c r="U781" i="157"/>
  <c r="U780" i="157"/>
  <c r="U779" i="157"/>
  <c r="U778" i="157"/>
  <c r="U777" i="157"/>
  <c r="U776" i="157"/>
  <c r="U774" i="157"/>
  <c r="U775" i="157"/>
  <c r="U538" i="157"/>
  <c r="U536" i="157"/>
  <c r="U533" i="157"/>
  <c r="U534" i="157"/>
  <c r="U527" i="157"/>
  <c r="U525" i="157"/>
  <c r="U523" i="157"/>
  <c r="U522" i="157"/>
  <c r="U521" i="157"/>
  <c r="U518" i="157"/>
  <c r="U516" i="157"/>
  <c r="U515" i="157"/>
  <c r="U182" i="157"/>
  <c r="U181" i="157"/>
  <c r="U183" i="157"/>
  <c r="U145" i="157"/>
  <c r="U146" i="157"/>
  <c r="U686" i="157"/>
  <c r="U344" i="157"/>
  <c r="U343" i="157"/>
  <c r="U1264" i="157"/>
  <c r="U1170" i="157"/>
  <c r="U1116" i="157"/>
  <c r="U834" i="157"/>
  <c r="U822" i="157"/>
  <c r="U681" i="157"/>
  <c r="U576" i="157"/>
  <c r="U599" i="157"/>
  <c r="U460" i="157"/>
  <c r="U332" i="157"/>
  <c r="U95" i="157"/>
  <c r="U13" i="157"/>
  <c r="U796" i="157"/>
  <c r="U1247" i="157"/>
  <c r="U859" i="157"/>
  <c r="U998" i="157"/>
  <c r="U210" i="157"/>
  <c r="U1085" i="157"/>
  <c r="U965" i="157"/>
  <c r="U932" i="157"/>
  <c r="U928" i="157"/>
  <c r="U553" i="157"/>
  <c r="U398" i="157"/>
  <c r="U256" i="157"/>
  <c r="U257" i="157"/>
  <c r="U252" i="157"/>
  <c r="U134" i="157"/>
  <c r="U1270" i="157"/>
  <c r="U1232" i="157"/>
  <c r="U1168" i="157"/>
  <c r="U621" i="157"/>
  <c r="U1106" i="157"/>
  <c r="U1107" i="157"/>
  <c r="U1103" i="157"/>
  <c r="U1104" i="157"/>
  <c r="U1099" i="157"/>
  <c r="U1100" i="157"/>
  <c r="U1101" i="157"/>
  <c r="U1102" i="157"/>
  <c r="U1026" i="157"/>
  <c r="U1027" i="157"/>
  <c r="U1028" i="157"/>
  <c r="U1025" i="157"/>
  <c r="U1024" i="157"/>
  <c r="U944" i="157"/>
  <c r="U941" i="157"/>
  <c r="U942" i="157"/>
  <c r="U943" i="157"/>
  <c r="U939" i="157"/>
  <c r="U940" i="157"/>
  <c r="U746" i="157"/>
  <c r="U747" i="157"/>
  <c r="U748" i="157"/>
  <c r="U749" i="157"/>
  <c r="U750" i="157"/>
  <c r="U742" i="157"/>
  <c r="U743" i="157"/>
  <c r="U733" i="157"/>
  <c r="U734" i="157"/>
  <c r="U735" i="157"/>
  <c r="U736" i="157"/>
  <c r="U730" i="157"/>
  <c r="U731" i="157"/>
  <c r="U650" i="157"/>
  <c r="U651" i="157"/>
  <c r="U652" i="157"/>
  <c r="U653" i="157"/>
  <c r="U646" i="157"/>
  <c r="U647" i="157"/>
  <c r="U648" i="157"/>
  <c r="U649" i="157"/>
  <c r="U642" i="157"/>
  <c r="U643" i="157"/>
  <c r="U644" i="157"/>
  <c r="U645" i="157"/>
  <c r="U469" i="157"/>
  <c r="U463" i="157"/>
  <c r="U635" i="157"/>
  <c r="U636" i="157"/>
  <c r="U637" i="157"/>
  <c r="U638" i="157"/>
  <c r="U639" i="157"/>
  <c r="U640" i="157"/>
  <c r="U275" i="157"/>
  <c r="U273" i="157"/>
  <c r="U272" i="157"/>
  <c r="U269" i="157"/>
  <c r="U270" i="157"/>
  <c r="U160" i="157"/>
  <c r="U159" i="157"/>
  <c r="U152" i="157"/>
  <c r="U153" i="157"/>
  <c r="U154" i="157"/>
  <c r="U155" i="157"/>
  <c r="U156" i="157"/>
  <c r="U157" i="157"/>
  <c r="U151" i="157"/>
  <c r="U149" i="157"/>
  <c r="U150" i="157"/>
  <c r="U1252" i="157"/>
  <c r="U1243" i="157"/>
  <c r="U1244" i="157"/>
  <c r="U1230" i="157"/>
  <c r="U1231" i="157"/>
  <c r="U470" i="157"/>
  <c r="U1105" i="157"/>
  <c r="U1029" i="157"/>
  <c r="U945" i="157"/>
  <c r="U938" i="157"/>
  <c r="U937" i="157"/>
  <c r="U732" i="157"/>
  <c r="U654" i="157"/>
  <c r="U471" i="157"/>
  <c r="U472" i="157"/>
  <c r="U466" i="157"/>
  <c r="U465" i="157"/>
  <c r="U464" i="157"/>
  <c r="U271" i="157"/>
  <c r="U268" i="157"/>
  <c r="U1246" i="157"/>
  <c r="U1128" i="157"/>
  <c r="U930" i="157"/>
  <c r="U931" i="157"/>
  <c r="U929" i="157"/>
  <c r="U927" i="157"/>
  <c r="U596" i="157"/>
  <c r="U595" i="157"/>
  <c r="U593" i="157"/>
  <c r="U594" i="157"/>
  <c r="U226" i="157"/>
  <c r="U225" i="157"/>
  <c r="U222" i="157"/>
  <c r="U113" i="157"/>
  <c r="U904" i="157"/>
  <c r="U890" i="157"/>
  <c r="U799" i="157"/>
  <c r="U744" i="157"/>
  <c r="U745" i="157"/>
  <c r="U691" i="157"/>
  <c r="U692" i="157"/>
  <c r="U479" i="157"/>
  <c r="U508" i="157"/>
  <c r="U478" i="157"/>
  <c r="U1259" i="157"/>
  <c r="U1173" i="157"/>
  <c r="W1173" i="157" s="1"/>
  <c r="U265" i="157"/>
  <c r="W265" i="157" s="1"/>
  <c r="U60" i="157"/>
  <c r="U1123" i="157"/>
  <c r="U926" i="157"/>
  <c r="U925" i="157"/>
  <c r="U725" i="157"/>
  <c r="U492" i="157"/>
  <c r="U230" i="157"/>
  <c r="U1260" i="157"/>
  <c r="U11" i="157"/>
  <c r="U981" i="157"/>
  <c r="U1078" i="157"/>
  <c r="U715" i="157"/>
  <c r="W715" i="157" s="1"/>
  <c r="U612" i="157"/>
  <c r="U558" i="157"/>
  <c r="U177" i="157"/>
  <c r="U1193" i="157"/>
  <c r="U1188" i="157"/>
  <c r="U1156" i="157"/>
  <c r="U1157" i="157"/>
  <c r="W1157" i="157" s="1"/>
  <c r="U1158" i="157"/>
  <c r="W1158" i="157" s="1"/>
  <c r="U1159" i="157"/>
  <c r="U1095" i="157"/>
  <c r="U1064" i="157"/>
  <c r="U1065" i="157"/>
  <c r="U1066" i="157"/>
  <c r="U1067" i="157"/>
  <c r="U1052" i="157"/>
  <c r="U1015" i="157"/>
  <c r="W1015" i="157" s="1"/>
  <c r="U1016" i="157"/>
  <c r="U1017" i="157"/>
  <c r="U1018" i="157"/>
  <c r="U1019" i="157"/>
  <c r="U923" i="157"/>
  <c r="U917" i="157"/>
  <c r="U918" i="157"/>
  <c r="U858" i="157"/>
  <c r="W858" i="157" s="1"/>
  <c r="U855" i="157"/>
  <c r="U856" i="157"/>
  <c r="U761" i="157"/>
  <c r="U762" i="157"/>
  <c r="W762" i="157" s="1"/>
  <c r="U659" i="157"/>
  <c r="U660" i="157"/>
  <c r="U560" i="157"/>
  <c r="U561" i="157"/>
  <c r="W561" i="157" s="1"/>
  <c r="U434" i="157"/>
  <c r="U435" i="157"/>
  <c r="U436" i="157"/>
  <c r="U333" i="157"/>
  <c r="U334" i="157"/>
  <c r="U192" i="157"/>
  <c r="U193" i="157"/>
  <c r="U87" i="157"/>
  <c r="W87" i="157" s="1"/>
  <c r="U65" i="157"/>
  <c r="U1005" i="157"/>
  <c r="U806" i="157"/>
  <c r="U966" i="157"/>
  <c r="W966" i="157" s="1"/>
  <c r="U1076" i="157"/>
  <c r="U1075" i="157"/>
  <c r="U970" i="157"/>
  <c r="U1038" i="157"/>
  <c r="W1038" i="157" s="1"/>
  <c r="U969" i="157"/>
  <c r="U874" i="157"/>
  <c r="U864" i="157"/>
  <c r="U865" i="157"/>
  <c r="U760" i="157"/>
  <c r="U757" i="157"/>
  <c r="U755" i="157"/>
  <c r="U756" i="157"/>
  <c r="W756" i="157" s="1"/>
  <c r="U655" i="157"/>
  <c r="U616" i="157"/>
  <c r="U614" i="157"/>
  <c r="U550" i="157"/>
  <c r="W550" i="157" s="1"/>
  <c r="U517" i="157"/>
  <c r="U331" i="157"/>
  <c r="U330" i="157"/>
  <c r="U164" i="157"/>
  <c r="U162" i="157"/>
  <c r="U53" i="157"/>
  <c r="U34" i="157"/>
  <c r="U33" i="157"/>
  <c r="U1269" i="157"/>
  <c r="U1234" i="157"/>
  <c r="U170" i="157"/>
  <c r="U147" i="157"/>
  <c r="W147" i="157" s="1"/>
  <c r="U1082" i="157"/>
  <c r="U820" i="157"/>
  <c r="U487" i="157"/>
  <c r="U120" i="157"/>
  <c r="W120" i="157" s="1"/>
  <c r="U292" i="157"/>
  <c r="U141" i="157"/>
  <c r="U347" i="157"/>
  <c r="U1081" i="157"/>
  <c r="U853" i="157"/>
  <c r="U496" i="157"/>
  <c r="U399" i="157"/>
  <c r="U218" i="157"/>
  <c r="W218" i="157" s="1"/>
  <c r="U1256" i="157"/>
  <c r="U974" i="157"/>
  <c r="U973" i="157"/>
  <c r="U835" i="157"/>
  <c r="U831" i="157"/>
  <c r="U583" i="157"/>
  <c r="U314" i="157"/>
  <c r="U315" i="157"/>
  <c r="W315" i="157" s="1"/>
  <c r="U397" i="157"/>
  <c r="U206" i="157"/>
  <c r="U390" i="157"/>
  <c r="U204" i="157"/>
  <c r="U205" i="157"/>
  <c r="U48" i="157"/>
  <c r="U1201" i="157"/>
  <c r="W1201" i="157" s="1"/>
  <c r="U264" i="157"/>
  <c r="W264" i="157" s="1"/>
  <c r="U47" i="157"/>
  <c r="U184" i="157"/>
  <c r="U46" i="157"/>
  <c r="U107" i="157"/>
  <c r="U1248" i="157"/>
  <c r="U679" i="157"/>
  <c r="U190" i="157"/>
  <c r="U1169" i="157"/>
  <c r="W1169" i="157" s="1"/>
  <c r="U1089" i="157"/>
  <c r="U1088" i="157"/>
  <c r="U957" i="157"/>
  <c r="U375" i="157"/>
  <c r="U722" i="157"/>
  <c r="U720" i="157"/>
  <c r="U371" i="157"/>
  <c r="U369" i="157"/>
  <c r="U367" i="157"/>
  <c r="U366" i="157"/>
  <c r="U365" i="157"/>
  <c r="U112" i="157"/>
  <c r="U111" i="157"/>
  <c r="U26" i="157"/>
  <c r="U816" i="157"/>
  <c r="U815" i="157"/>
  <c r="W815" i="157" s="1"/>
  <c r="U680" i="157"/>
  <c r="U373" i="157"/>
  <c r="U372" i="157"/>
  <c r="U123" i="157"/>
  <c r="U124" i="157"/>
  <c r="U125" i="157"/>
  <c r="U1265" i="157"/>
  <c r="W1265" i="157" s="1"/>
  <c r="U1266" i="157"/>
  <c r="W1266" i="157" s="1"/>
  <c r="U880" i="157"/>
  <c r="U876" i="157"/>
  <c r="U906" i="157"/>
  <c r="U900" i="157"/>
  <c r="U675" i="157"/>
  <c r="U628" i="157"/>
  <c r="U1050" i="157"/>
  <c r="U1049" i="157"/>
  <c r="W1049" i="157" s="1"/>
  <c r="U1048" i="157"/>
  <c r="U1047" i="157"/>
  <c r="U1046" i="157"/>
  <c r="U1045" i="157"/>
  <c r="U582" i="157"/>
  <c r="U308" i="157"/>
  <c r="U287" i="157"/>
  <c r="U1133" i="157"/>
  <c r="W1133" i="157" s="1"/>
  <c r="U1131" i="157"/>
  <c r="U1130" i="157"/>
  <c r="U980" i="157"/>
  <c r="U979" i="157"/>
  <c r="U976" i="157"/>
  <c r="U977" i="157"/>
  <c r="U933" i="157"/>
  <c r="U849" i="157"/>
  <c r="U846" i="157"/>
  <c r="U847" i="157"/>
  <c r="U848" i="157"/>
  <c r="U845" i="157"/>
  <c r="U801" i="157"/>
  <c r="U800" i="157"/>
  <c r="U766" i="157"/>
  <c r="U765" i="157"/>
  <c r="W765" i="157" s="1"/>
  <c r="U717" i="157"/>
  <c r="U656" i="157"/>
  <c r="U552" i="157"/>
  <c r="U551" i="157"/>
  <c r="U454" i="157"/>
  <c r="U451" i="157"/>
  <c r="U447" i="157"/>
  <c r="U445" i="157"/>
  <c r="U444" i="157"/>
  <c r="U440" i="157"/>
  <c r="U341" i="157"/>
  <c r="U340" i="157"/>
  <c r="U339" i="157"/>
  <c r="U231" i="157"/>
  <c r="U223" i="157"/>
  <c r="W223" i="157" s="1"/>
  <c r="U217" i="157"/>
  <c r="W217" i="157" s="1"/>
  <c r="U168" i="157"/>
  <c r="U166" i="157"/>
  <c r="U163" i="157"/>
  <c r="U127" i="157"/>
  <c r="U126" i="157"/>
  <c r="U58" i="157"/>
  <c r="U59" i="157"/>
  <c r="U37" i="157"/>
  <c r="U28" i="157"/>
  <c r="U7" i="157"/>
  <c r="U1233" i="157"/>
  <c r="U148" i="157"/>
  <c r="W148" i="157" s="1"/>
  <c r="U297" i="157"/>
  <c r="U298" i="157"/>
  <c r="U289" i="157"/>
  <c r="U290" i="157"/>
  <c r="W290" i="157" s="1"/>
  <c r="U457" i="157"/>
  <c r="U452" i="157"/>
  <c r="U319" i="157"/>
  <c r="U167" i="157"/>
  <c r="U115" i="157"/>
  <c r="U1167" i="157"/>
  <c r="U246" i="157"/>
  <c r="U247" i="157"/>
  <c r="U248" i="157"/>
  <c r="U249" i="157"/>
  <c r="U388" i="157"/>
  <c r="W388" i="157" s="1"/>
  <c r="U325" i="157"/>
  <c r="W325" i="157" s="1"/>
  <c r="U326" i="157"/>
  <c r="U96" i="157"/>
  <c r="U61" i="157"/>
  <c r="U1122" i="157"/>
  <c r="U978" i="157"/>
  <c r="U896" i="157"/>
  <c r="U813" i="157"/>
  <c r="W813" i="157" s="1"/>
  <c r="U741" i="157"/>
  <c r="W741" i="157" s="1"/>
  <c r="U740" i="157"/>
  <c r="U738" i="157"/>
  <c r="U737" i="157"/>
  <c r="U672" i="157"/>
  <c r="U671" i="157"/>
  <c r="U615" i="157"/>
  <c r="U219" i="157"/>
  <c r="W219" i="157" s="1"/>
  <c r="U188" i="157"/>
  <c r="W188" i="157" s="1"/>
  <c r="U912" i="157"/>
  <c r="U580" i="157"/>
  <c r="U1191" i="157"/>
  <c r="U1185" i="157"/>
  <c r="U1063" i="157"/>
  <c r="U1008" i="157"/>
  <c r="U915" i="157"/>
  <c r="W915" i="157" s="1"/>
  <c r="U841" i="157"/>
  <c r="W841" i="157" s="1"/>
  <c r="U1083" i="157"/>
  <c r="U282" i="157"/>
  <c r="U276" i="157"/>
  <c r="U408" i="157"/>
  <c r="U261" i="157"/>
  <c r="U262" i="157"/>
  <c r="U132" i="157"/>
  <c r="W132" i="157" s="1"/>
  <c r="U133" i="157"/>
  <c r="W133" i="157" s="1"/>
  <c r="U280" i="157"/>
  <c r="U924" i="157"/>
  <c r="U814" i="157"/>
  <c r="U509" i="157"/>
  <c r="W509" i="157" s="1"/>
  <c r="U425" i="157"/>
  <c r="U41" i="157"/>
  <c r="U39" i="157"/>
  <c r="U898" i="157"/>
  <c r="W898" i="157" s="1"/>
  <c r="U587" i="157"/>
  <c r="U49" i="157"/>
  <c r="U54" i="157"/>
  <c r="U936" i="157"/>
  <c r="U997" i="157"/>
  <c r="U374" i="157"/>
  <c r="U370" i="157"/>
  <c r="U1238" i="157"/>
  <c r="W1238" i="157" s="1"/>
  <c r="U1206" i="157"/>
  <c r="U1146" i="157"/>
  <c r="U1051" i="157"/>
  <c r="U995" i="157"/>
  <c r="U908" i="157"/>
  <c r="U843" i="157"/>
  <c r="U729" i="157"/>
  <c r="W729" i="157" s="1"/>
  <c r="U632" i="157"/>
  <c r="W632" i="157" s="1"/>
  <c r="U559" i="157"/>
  <c r="U420" i="157"/>
  <c r="U414" i="157"/>
  <c r="U311" i="157"/>
  <c r="U194" i="157"/>
  <c r="U66" i="157"/>
  <c r="U176" i="157"/>
  <c r="U1109" i="157"/>
  <c r="W1109" i="157" s="1"/>
  <c r="U986" i="157"/>
  <c r="U987" i="157"/>
  <c r="U851" i="157"/>
  <c r="U696" i="157"/>
  <c r="U697" i="157"/>
  <c r="U250" i="157"/>
  <c r="U22" i="157"/>
  <c r="U1200" i="157"/>
  <c r="W1200" i="157" s="1"/>
  <c r="U991" i="157"/>
  <c r="U1073" i="157"/>
  <c r="U990" i="157"/>
  <c r="U989" i="157"/>
  <c r="W989" i="157" s="1"/>
  <c r="U1031" i="157"/>
  <c r="U988" i="157"/>
  <c r="U984" i="157"/>
  <c r="U985" i="157"/>
  <c r="W985" i="157" s="1"/>
  <c r="U964" i="157"/>
  <c r="U946" i="157"/>
  <c r="U703" i="157"/>
  <c r="U704" i="157"/>
  <c r="U700" i="157"/>
  <c r="U701" i="157"/>
  <c r="U702" i="157"/>
  <c r="U818" i="157"/>
  <c r="W818" i="157" s="1"/>
  <c r="U698" i="157"/>
  <c r="U699" i="157"/>
  <c r="U752" i="157"/>
  <c r="U693" i="157"/>
  <c r="W693" i="157" s="1"/>
  <c r="U694" i="157"/>
  <c r="U610" i="157"/>
  <c r="U611" i="157"/>
  <c r="U588" i="157"/>
  <c r="W588" i="157" s="1"/>
  <c r="U574" i="157"/>
  <c r="U284" i="157"/>
  <c r="U285" i="157"/>
  <c r="U286" i="157"/>
  <c r="U510" i="157"/>
  <c r="U277" i="157"/>
  <c r="U278" i="157"/>
  <c r="U389" i="157"/>
  <c r="W389" i="157" s="1"/>
  <c r="U267" i="157"/>
  <c r="U327" i="157"/>
  <c r="U266" i="157"/>
  <c r="U97" i="157"/>
  <c r="W97" i="157" s="1"/>
  <c r="U62" i="157"/>
  <c r="U459" i="157"/>
  <c r="U121" i="157"/>
  <c r="U118" i="157"/>
  <c r="U1145" i="157"/>
  <c r="U1144" i="157"/>
  <c r="U860" i="157"/>
  <c r="U1004" i="157"/>
  <c r="U626" i="157"/>
  <c r="U306" i="157"/>
  <c r="U220" i="157"/>
  <c r="U1267" i="157"/>
  <c r="W1267" i="157" s="1"/>
  <c r="U1242" i="157"/>
  <c r="U103" i="157"/>
  <c r="U883" i="157"/>
  <c r="U23" i="157"/>
  <c r="U826" i="157"/>
  <c r="U1204" i="157"/>
  <c r="U1160" i="157"/>
  <c r="U1068" i="157"/>
  <c r="W1068" i="157" s="1"/>
  <c r="U975" i="157"/>
  <c r="U919" i="157"/>
  <c r="U824" i="157"/>
  <c r="U724" i="157"/>
  <c r="U629" i="157"/>
  <c r="U562" i="157"/>
  <c r="U421" i="157"/>
  <c r="U312" i="157"/>
  <c r="W312" i="157" s="1"/>
  <c r="U195" i="157"/>
  <c r="U67" i="157"/>
  <c r="U1125" i="157"/>
  <c r="U1120" i="157"/>
  <c r="U1084" i="157"/>
  <c r="U1117" i="157"/>
  <c r="U1118" i="157"/>
  <c r="U1032" i="157"/>
  <c r="W1032" i="157" s="1"/>
  <c r="U895" i="157"/>
  <c r="U591" i="157"/>
  <c r="U592" i="157"/>
  <c r="U590" i="157"/>
  <c r="U589" i="157"/>
  <c r="U549" i="157"/>
  <c r="U443" i="157"/>
  <c r="U441" i="157"/>
  <c r="W441" i="157" s="1"/>
  <c r="U578" i="157"/>
  <c r="U304" i="157"/>
  <c r="U216" i="157"/>
  <c r="U186" i="157"/>
  <c r="U161" i="157"/>
  <c r="U158" i="157"/>
  <c r="U100" i="157"/>
  <c r="U99" i="157"/>
  <c r="W99" i="157" s="1"/>
  <c r="U72" i="157"/>
  <c r="U73" i="157"/>
  <c r="U1235" i="157"/>
  <c r="U613" i="157"/>
  <c r="W613" i="157" s="1"/>
  <c r="U1087" i="157"/>
  <c r="U1074" i="157"/>
  <c r="U879" i="157"/>
  <c r="U869" i="157"/>
  <c r="U868" i="157"/>
  <c r="U867" i="157"/>
  <c r="U863" i="157"/>
  <c r="U862" i="157"/>
  <c r="U723" i="157"/>
  <c r="U721" i="157"/>
  <c r="U718" i="157"/>
  <c r="U719" i="157"/>
  <c r="W719" i="157" s="1"/>
  <c r="U716" i="157"/>
  <c r="U532" i="157"/>
  <c r="U530" i="157"/>
  <c r="U528" i="157"/>
  <c r="W528" i="157" s="1"/>
  <c r="U526" i="157"/>
  <c r="U259" i="157"/>
  <c r="U258" i="157"/>
  <c r="U143" i="157"/>
  <c r="U142" i="157"/>
  <c r="U29" i="157"/>
  <c r="U27" i="157"/>
  <c r="U10" i="157"/>
  <c r="U1237" i="157"/>
  <c r="U1119" i="157"/>
  <c r="U837" i="157"/>
  <c r="U836" i="157"/>
  <c r="W836" i="157" s="1"/>
  <c r="U803" i="157"/>
  <c r="U618" i="157"/>
  <c r="U617" i="157"/>
  <c r="U565" i="157"/>
  <c r="W565" i="157" s="1"/>
  <c r="U564" i="157"/>
  <c r="U505" i="157"/>
  <c r="U504" i="157"/>
  <c r="U417" i="157"/>
  <c r="U355" i="157"/>
  <c r="U416" i="157"/>
  <c r="U349" i="157"/>
  <c r="U316" i="157"/>
  <c r="U281" i="157"/>
  <c r="U279" i="157"/>
  <c r="U224" i="157"/>
  <c r="U114" i="157"/>
  <c r="W114" i="157" s="1"/>
  <c r="U1254" i="157"/>
  <c r="U1114" i="157"/>
  <c r="U439" i="157"/>
  <c r="U185" i="157"/>
  <c r="W185" i="157" s="1"/>
  <c r="U477" i="157"/>
  <c r="U475" i="157"/>
  <c r="U476" i="157"/>
  <c r="U1192" i="157"/>
  <c r="U1096" i="157"/>
  <c r="U1080" i="157"/>
  <c r="U968" i="157"/>
  <c r="U891" i="157"/>
  <c r="U808" i="157"/>
  <c r="U710" i="157"/>
  <c r="U625" i="157"/>
  <c r="U511" i="157"/>
  <c r="W511" i="157" s="1"/>
  <c r="U410" i="157"/>
  <c r="U203" i="157"/>
  <c r="U291" i="157"/>
  <c r="U64" i="157"/>
  <c r="W64" i="157" s="1"/>
  <c r="U1035" i="157"/>
  <c r="U1036" i="157"/>
  <c r="U1033" i="157"/>
  <c r="U892" i="157"/>
  <c r="U739" i="157"/>
  <c r="U489" i="157"/>
  <c r="U488" i="157"/>
  <c r="U368" i="157"/>
  <c r="U364" i="157"/>
  <c r="U263" i="157"/>
  <c r="U110" i="157"/>
  <c r="U109" i="157"/>
  <c r="W109" i="157" s="1"/>
  <c r="U238" i="157"/>
  <c r="U104" i="157"/>
  <c r="U1126" i="157"/>
  <c r="U832" i="157"/>
  <c r="W832" i="157" s="1"/>
  <c r="U828" i="157"/>
  <c r="U547" i="157"/>
  <c r="U446" i="157"/>
  <c r="U137" i="157"/>
  <c r="U392" i="157"/>
  <c r="U328" i="157"/>
  <c r="U108" i="157"/>
  <c r="U79" i="157"/>
  <c r="U785" i="157"/>
  <c r="U727" i="157"/>
  <c r="U1110" i="157"/>
  <c r="U726" i="157"/>
  <c r="W726" i="157" s="1"/>
  <c r="U544" i="157"/>
  <c r="U870" i="157"/>
  <c r="U426" i="157"/>
  <c r="U15" i="157"/>
  <c r="W15" i="157" s="1"/>
  <c r="U1196" i="157"/>
  <c r="U1197" i="157"/>
  <c r="U1194" i="157"/>
  <c r="U1195" i="157"/>
  <c r="U1161" i="157"/>
  <c r="U1162" i="157"/>
  <c r="U1163" i="157"/>
  <c r="U1164" i="157"/>
  <c r="U1053" i="157"/>
  <c r="U1054" i="157"/>
  <c r="U1055" i="157"/>
  <c r="U1056" i="157"/>
  <c r="W1056" i="157" s="1"/>
  <c r="U1020" i="157"/>
  <c r="U1021" i="157"/>
  <c r="U893" i="157"/>
  <c r="U894" i="157"/>
  <c r="W894" i="157" s="1"/>
  <c r="U809" i="157"/>
  <c r="U810" i="157"/>
  <c r="U711" i="157"/>
  <c r="U712" i="157"/>
  <c r="U622" i="157"/>
  <c r="U623" i="157"/>
  <c r="U512" i="157"/>
  <c r="U513" i="157"/>
  <c r="U400" i="157"/>
  <c r="U401" i="157"/>
  <c r="U293" i="157"/>
  <c r="U294" i="157"/>
  <c r="W294" i="157" s="1"/>
  <c r="U196" i="157"/>
  <c r="U197" i="157"/>
  <c r="U131" i="157"/>
  <c r="U68" i="157"/>
  <c r="W68" i="157" s="1"/>
  <c r="U69" i="157"/>
  <c r="U1129" i="157"/>
  <c r="U935" i="157"/>
  <c r="U934" i="157"/>
  <c r="U786" i="157"/>
  <c r="U784" i="157"/>
  <c r="U548" i="157"/>
  <c r="U545" i="157"/>
  <c r="U227" i="157"/>
  <c r="U144" i="157"/>
  <c r="U25" i="157"/>
  <c r="U8" i="157"/>
  <c r="U1236" i="157"/>
  <c r="U88" i="157"/>
  <c r="U32" i="157"/>
  <c r="W32" i="157" s="1"/>
  <c r="U1186" i="157"/>
  <c r="U1057" i="157"/>
  <c r="U1058" i="157"/>
  <c r="U1059" i="157"/>
  <c r="U1022" i="157"/>
  <c r="U920" i="157"/>
  <c r="U921" i="157"/>
  <c r="U857" i="157"/>
  <c r="U769" i="157"/>
  <c r="U661" i="157"/>
  <c r="U556" i="157"/>
  <c r="U422" i="157"/>
  <c r="U295" i="157"/>
  <c r="U198" i="157"/>
  <c r="U80" i="157"/>
  <c r="U1198" i="157"/>
  <c r="U1143" i="157"/>
  <c r="U1069" i="157"/>
  <c r="U1010" i="157"/>
  <c r="U916" i="157"/>
  <c r="U825" i="157"/>
  <c r="U763" i="157"/>
  <c r="U633" i="157"/>
  <c r="U563" i="157"/>
  <c r="W563" i="157" s="1"/>
  <c r="U423" i="157"/>
  <c r="U313" i="157"/>
  <c r="U199" i="157"/>
  <c r="U70" i="157"/>
  <c r="U1127" i="157"/>
  <c r="U1121" i="157"/>
  <c r="U687" i="157"/>
  <c r="U684" i="157"/>
  <c r="U321" i="157"/>
  <c r="U320" i="157"/>
  <c r="U317" i="157"/>
  <c r="U318" i="157"/>
  <c r="U9" i="157"/>
  <c r="U1113" i="157"/>
  <c r="U812" i="157"/>
  <c r="U1142" i="157"/>
  <c r="U811" i="157"/>
  <c r="U807" i="157"/>
  <c r="U57" i="157"/>
  <c r="U1077" i="157"/>
  <c r="W1077" i="157" s="1"/>
  <c r="U491" i="157"/>
  <c r="U490" i="157"/>
  <c r="U82" i="157"/>
  <c r="U1239" i="157"/>
  <c r="U1132" i="157"/>
  <c r="U706" i="157"/>
  <c r="U705" i="157"/>
  <c r="U584" i="157"/>
  <c r="U539" i="157"/>
  <c r="U695" i="157"/>
  <c r="U395" i="157"/>
  <c r="U394" i="157"/>
  <c r="U393" i="157"/>
  <c r="U128" i="157"/>
  <c r="U119" i="157"/>
  <c r="U122" i="157"/>
  <c r="U1253" i="157"/>
  <c r="U1250" i="157"/>
  <c r="U474" i="157"/>
  <c r="U462" i="157"/>
  <c r="W462" i="157" s="1"/>
  <c r="U358" i="157"/>
  <c r="U338" i="157"/>
  <c r="U336" i="157"/>
  <c r="U234" i="157"/>
  <c r="U207" i="157"/>
  <c r="U634" i="157"/>
  <c r="U1176" i="157"/>
  <c r="U81" i="157"/>
  <c r="U1111" i="157"/>
  <c r="U363" i="157"/>
  <c r="U324" i="157"/>
  <c r="U235" i="157"/>
  <c r="U172" i="157"/>
  <c r="U98" i="157"/>
  <c r="U71" i="157"/>
  <c r="U630" i="157"/>
  <c r="W630" i="157" s="1"/>
  <c r="U1034" i="157"/>
  <c r="U878" i="157"/>
  <c r="U877" i="157"/>
  <c r="U872" i="157"/>
  <c r="U871" i="157"/>
  <c r="U804" i="157"/>
  <c r="U708" i="157"/>
  <c r="U581" i="157"/>
  <c r="U573" i="157"/>
  <c r="U571" i="157"/>
  <c r="U572" i="157"/>
  <c r="U493" i="157"/>
  <c r="W493" i="157" s="1"/>
  <c r="U455" i="157"/>
  <c r="U453" i="157"/>
  <c r="U450" i="157"/>
  <c r="U342" i="157"/>
  <c r="U228" i="157"/>
  <c r="U189" i="157"/>
  <c r="U116" i="157"/>
  <c r="U117" i="157"/>
  <c r="U1245" i="157"/>
  <c r="U1249" i="157"/>
  <c r="U1124" i="157"/>
  <c r="U972" i="157"/>
  <c r="U1061" i="157"/>
  <c r="U866" i="157"/>
  <c r="W866" i="157" s="1"/>
  <c r="U827" i="157"/>
  <c r="U620" i="157"/>
  <c r="U442" i="157"/>
  <c r="U411" i="157"/>
  <c r="U274" i="157"/>
  <c r="U130" i="157"/>
  <c r="U1187" i="157"/>
  <c r="U1094" i="157"/>
  <c r="U1060" i="157"/>
  <c r="U1023" i="157"/>
  <c r="U922" i="157"/>
  <c r="U852" i="157"/>
  <c r="U753" i="157"/>
  <c r="U658" i="157"/>
  <c r="U514" i="157"/>
  <c r="W514" i="157" s="1"/>
  <c r="U424" i="157"/>
  <c r="U335" i="157"/>
  <c r="U200" i="157"/>
  <c r="U89" i="157"/>
  <c r="U1093" i="157"/>
  <c r="U1092" i="157"/>
  <c r="U1091" i="157"/>
  <c r="U1090" i="157"/>
  <c r="U1112" i="157"/>
  <c r="U958" i="157"/>
  <c r="U905" i="157"/>
  <c r="U903" i="157"/>
  <c r="U902" i="157"/>
  <c r="U830" i="157"/>
  <c r="U829" i="157"/>
  <c r="U683" i="157"/>
  <c r="W683" i="157" s="1"/>
  <c r="U682" i="157"/>
  <c r="U546" i="157"/>
  <c r="U456" i="157"/>
  <c r="U449" i="157"/>
  <c r="U448" i="157"/>
  <c r="W448" i="157" s="1"/>
  <c r="U352" i="157"/>
  <c r="U350" i="157"/>
  <c r="U221" i="157"/>
  <c r="U187" i="157"/>
  <c r="U85" i="157"/>
  <c r="U35" i="157"/>
  <c r="U36" i="157"/>
  <c r="U575" i="157"/>
  <c r="U543" i="157"/>
  <c r="U1223" i="157"/>
  <c r="W1223" i="157" s="1"/>
  <c r="U1224" i="157"/>
  <c r="W1224" i="157" s="1"/>
  <c r="U1218" i="157"/>
  <c r="U1225" i="157"/>
  <c r="U1226" i="157"/>
  <c r="U45" i="157"/>
  <c r="U1222" i="157"/>
  <c r="U42" i="157"/>
  <c r="U1211" i="157"/>
  <c r="U1216" i="157"/>
  <c r="U1219" i="157"/>
  <c r="U1227" i="157"/>
  <c r="U1213" i="157"/>
  <c r="U31" i="157"/>
  <c r="U1228" i="157"/>
  <c r="U30" i="157"/>
  <c r="U1258" i="157"/>
  <c r="W1258" i="157" s="1"/>
  <c r="U1263" i="157"/>
  <c r="W1263" i="157" s="1"/>
  <c r="U1214" i="157"/>
  <c r="U1255" i="157"/>
  <c r="U1220" i="157"/>
  <c r="U1229" i="157"/>
  <c r="U1212" i="157"/>
  <c r="U1209" i="157"/>
  <c r="U1210" i="157"/>
  <c r="U1217" i="157"/>
  <c r="U1215" i="157"/>
  <c r="U1221" i="157"/>
  <c r="U12" i="157"/>
  <c r="U16" i="157"/>
  <c r="U17" i="157"/>
  <c r="U18" i="157"/>
  <c r="U19" i="157"/>
  <c r="U20" i="157"/>
  <c r="U21" i="157"/>
  <c r="V764" i="157"/>
  <c r="V24" i="157"/>
  <c r="V1108" i="157"/>
  <c r="V768" i="157"/>
  <c r="V458" i="157"/>
  <c r="V875" i="157"/>
  <c r="V83" i="157"/>
  <c r="V296" i="157"/>
  <c r="V43" i="157"/>
  <c r="V772" i="157"/>
  <c r="V631" i="157"/>
  <c r="V579" i="157"/>
  <c r="V569" i="157"/>
  <c r="V554" i="157"/>
  <c r="V1070" i="157"/>
  <c r="V996" i="157"/>
  <c r="V949" i="157"/>
  <c r="V821" i="157"/>
  <c r="V678" i="157"/>
  <c r="V666" i="157"/>
  <c r="V667" i="157"/>
  <c r="V428" i="157"/>
  <c r="V307" i="157"/>
  <c r="V353" i="157"/>
  <c r="V253" i="157"/>
  <c r="V129" i="157"/>
  <c r="V84" i="157"/>
  <c r="V1251" i="157"/>
  <c r="V1079" i="157"/>
  <c r="V1012" i="157"/>
  <c r="V1011" i="157"/>
  <c r="V819" i="157"/>
  <c r="V535" i="157"/>
  <c r="V529" i="157"/>
  <c r="V519" i="157"/>
  <c r="V1039" i="157"/>
  <c r="V838" i="157"/>
  <c r="V668" i="157"/>
  <c r="V506" i="157"/>
  <c r="V1207" i="157"/>
  <c r="V1199" i="157"/>
  <c r="V1189" i="157"/>
  <c r="V1175" i="157"/>
  <c r="V1174" i="157"/>
  <c r="V1172" i="157"/>
  <c r="V1166" i="157"/>
  <c r="V1097" i="157"/>
  <c r="V1086" i="157"/>
  <c r="V1071" i="157"/>
  <c r="V1037" i="157"/>
  <c r="V1006" i="157"/>
  <c r="V994" i="157"/>
  <c r="V967" i="157"/>
  <c r="V901" i="157"/>
  <c r="V884" i="157"/>
  <c r="V842" i="157"/>
  <c r="V823" i="157"/>
  <c r="V795" i="157"/>
  <c r="V754" i="157"/>
  <c r="V751" i="157"/>
  <c r="V713" i="157"/>
  <c r="V676" i="157"/>
  <c r="V674" i="157"/>
  <c r="V657" i="157"/>
  <c r="V609" i="157"/>
  <c r="V567" i="157"/>
  <c r="V557" i="157"/>
  <c r="V555" i="157"/>
  <c r="V429" i="157"/>
  <c r="V419" i="157"/>
  <c r="V362" i="157"/>
  <c r="V360" i="157"/>
  <c r="V337" i="157"/>
  <c r="V310" i="157"/>
  <c r="V260" i="157"/>
  <c r="V102" i="157"/>
  <c r="V101" i="157"/>
  <c r="V74" i="157"/>
  <c r="V55" i="157"/>
  <c r="V1001" i="157"/>
  <c r="V1205" i="157"/>
  <c r="V1203" i="157"/>
  <c r="V1183" i="157"/>
  <c r="V1177" i="157"/>
  <c r="V1178" i="157"/>
  <c r="V1179" i="157"/>
  <c r="V1180" i="157"/>
  <c r="V1181" i="157"/>
  <c r="V1182" i="157"/>
  <c r="V1171" i="157"/>
  <c r="V1136" i="157"/>
  <c r="V1137" i="157"/>
  <c r="V1138" i="157"/>
  <c r="V1139" i="157"/>
  <c r="V1140" i="157"/>
  <c r="V1141" i="157"/>
  <c r="V1040" i="157"/>
  <c r="V1041" i="157"/>
  <c r="V1042" i="157"/>
  <c r="V1043" i="157"/>
  <c r="V1044" i="157"/>
  <c r="V992" i="157"/>
  <c r="V959" i="157"/>
  <c r="V960" i="157"/>
  <c r="V961" i="157"/>
  <c r="V962" i="157"/>
  <c r="V963" i="157"/>
  <c r="V899" i="157"/>
  <c r="V885" i="157"/>
  <c r="V886" i="157"/>
  <c r="V887" i="157"/>
  <c r="V888" i="157"/>
  <c r="V889" i="157"/>
  <c r="V881" i="157"/>
  <c r="V882" i="157"/>
  <c r="V798" i="157"/>
  <c r="V789" i="157"/>
  <c r="V790" i="157"/>
  <c r="V791" i="157"/>
  <c r="V792" i="157"/>
  <c r="V793" i="157"/>
  <c r="V794" i="157"/>
  <c r="V494" i="157"/>
  <c r="V709" i="157"/>
  <c r="V707" i="157"/>
  <c r="V627" i="157"/>
  <c r="V624" i="157"/>
  <c r="V601" i="157"/>
  <c r="V602" i="157"/>
  <c r="V603" i="157"/>
  <c r="V604" i="157"/>
  <c r="V605" i="157"/>
  <c r="V606" i="157"/>
  <c r="V607" i="157"/>
  <c r="V568" i="157"/>
  <c r="V507" i="157"/>
  <c r="V497" i="157"/>
  <c r="V498" i="157"/>
  <c r="V499" i="157"/>
  <c r="V500" i="157"/>
  <c r="V501" i="157"/>
  <c r="V502" i="157"/>
  <c r="V484" i="157"/>
  <c r="V485" i="157"/>
  <c r="V480" i="157"/>
  <c r="V481" i="157"/>
  <c r="V432" i="157"/>
  <c r="V254" i="157"/>
  <c r="V430" i="157"/>
  <c r="V412" i="157"/>
  <c r="V402" i="157"/>
  <c r="V403" i="157"/>
  <c r="V404" i="157"/>
  <c r="V405" i="157"/>
  <c r="V406" i="157"/>
  <c r="V407" i="157"/>
  <c r="V391" i="157"/>
  <c r="V382" i="157"/>
  <c r="V383" i="157"/>
  <c r="V384" i="157"/>
  <c r="V385" i="157"/>
  <c r="V386" i="157"/>
  <c r="V387" i="157"/>
  <c r="V376" i="157"/>
  <c r="V377" i="157"/>
  <c r="V322" i="157"/>
  <c r="V299" i="157"/>
  <c r="V300" i="157"/>
  <c r="V288" i="157"/>
  <c r="V174" i="157"/>
  <c r="V202" i="157"/>
  <c r="V178" i="157"/>
  <c r="V201" i="157"/>
  <c r="V240" i="157"/>
  <c r="V241" i="157"/>
  <c r="V242" i="157"/>
  <c r="V243" i="157"/>
  <c r="V244" i="157"/>
  <c r="V245" i="157"/>
  <c r="V236" i="157"/>
  <c r="V233" i="157"/>
  <c r="V212" i="157"/>
  <c r="V191" i="157"/>
  <c r="V171" i="157"/>
  <c r="V169" i="157"/>
  <c r="V138" i="157"/>
  <c r="V93" i="157"/>
  <c r="V91" i="157"/>
  <c r="V75" i="157"/>
  <c r="V665" i="157"/>
  <c r="V773" i="157"/>
  <c r="V688" i="157"/>
  <c r="V608" i="157"/>
  <c r="V301" i="157"/>
  <c r="V861" i="157"/>
  <c r="V664" i="157"/>
  <c r="V495" i="157"/>
  <c r="V229" i="157"/>
  <c r="V1268" i="157"/>
  <c r="V409" i="157"/>
  <c r="V232" i="157"/>
  <c r="V1202" i="157"/>
  <c r="V1072" i="157"/>
  <c r="V1030" i="157"/>
  <c r="V982" i="157"/>
  <c r="V971" i="157"/>
  <c r="V910" i="157"/>
  <c r="V911" i="157"/>
  <c r="V854" i="157"/>
  <c r="V805" i="157"/>
  <c r="V770" i="157"/>
  <c r="V689" i="157"/>
  <c r="V673" i="157"/>
  <c r="V619" i="157"/>
  <c r="V597" i="157"/>
  <c r="V542" i="157"/>
  <c r="V433" i="157"/>
  <c r="V413" i="157"/>
  <c r="V378" i="157"/>
  <c r="V357" i="157"/>
  <c r="V323" i="157"/>
  <c r="V213" i="157"/>
  <c r="V77" i="157"/>
  <c r="V214" i="157"/>
  <c r="V50" i="157"/>
  <c r="V51" i="157"/>
  <c r="V1190" i="157"/>
  <c r="V1184" i="157"/>
  <c r="V1062" i="157"/>
  <c r="V1007" i="157"/>
  <c r="V914" i="157"/>
  <c r="V840" i="157"/>
  <c r="V473" i="157"/>
  <c r="V309" i="157"/>
  <c r="V255" i="157"/>
  <c r="V40" i="157"/>
  <c r="V38" i="157"/>
  <c r="V1014" i="157"/>
  <c r="V283" i="157"/>
  <c r="V850" i="157"/>
  <c r="V486" i="157"/>
  <c r="V438" i="157"/>
  <c r="V418" i="157"/>
  <c r="V396" i="157"/>
  <c r="V361" i="157"/>
  <c r="V345" i="157"/>
  <c r="V302" i="157"/>
  <c r="V237" i="157"/>
  <c r="V208" i="157"/>
  <c r="V173" i="157"/>
  <c r="V139" i="157"/>
  <c r="V105" i="157"/>
  <c r="V92" i="157"/>
  <c r="V76" i="157"/>
  <c r="V44" i="157"/>
  <c r="V1115" i="157"/>
  <c r="V844" i="157"/>
  <c r="V1165" i="157"/>
  <c r="V1003" i="157"/>
  <c r="V907" i="157"/>
  <c r="V758" i="157"/>
  <c r="V461" i="157"/>
  <c r="V329" i="157"/>
  <c r="V211" i="157"/>
  <c r="V136" i="157"/>
  <c r="V1240" i="157"/>
  <c r="V1009" i="157"/>
  <c r="V690" i="157"/>
  <c r="V817" i="157"/>
  <c r="V354" i="157"/>
  <c r="V802" i="157"/>
  <c r="V431" i="157"/>
  <c r="V251" i="157"/>
  <c r="V1135" i="157"/>
  <c r="V1013" i="157"/>
  <c r="V947" i="157"/>
  <c r="V909" i="157"/>
  <c r="V767" i="157"/>
  <c r="V585" i="157"/>
  <c r="V586" i="157"/>
  <c r="V685" i="157"/>
  <c r="V503" i="157"/>
  <c r="V356" i="157"/>
  <c r="V351" i="157"/>
  <c r="V348" i="157"/>
  <c r="V346" i="157"/>
  <c r="V180" i="157"/>
  <c r="V179" i="157"/>
  <c r="V14" i="157"/>
  <c r="V1257" i="157"/>
  <c r="V1241" i="157"/>
  <c r="V669" i="157"/>
  <c r="V175" i="157"/>
  <c r="V52" i="157"/>
  <c r="V1098" i="157"/>
  <c r="V78" i="157"/>
  <c r="V897" i="157"/>
  <c r="V1002" i="157"/>
  <c r="V759" i="157"/>
  <c r="V662" i="157"/>
  <c r="V999" i="157"/>
  <c r="V797" i="157"/>
  <c r="V663" i="157"/>
  <c r="V714" i="157"/>
  <c r="V468" i="157"/>
  <c r="V467" i="157"/>
  <c r="V437" i="157"/>
  <c r="V305" i="157"/>
  <c r="V209" i="157"/>
  <c r="V135" i="157"/>
  <c r="V90" i="157"/>
  <c r="V873" i="157"/>
  <c r="V427" i="157"/>
  <c r="V839" i="157"/>
  <c r="V771" i="157"/>
  <c r="V728" i="157"/>
  <c r="V677" i="157"/>
  <c r="V598" i="157"/>
  <c r="V566" i="157"/>
  <c r="V482" i="157"/>
  <c r="V415" i="157"/>
  <c r="V359" i="157"/>
  <c r="V303" i="157"/>
  <c r="V215" i="157"/>
  <c r="V140" i="157"/>
  <c r="V106" i="157"/>
  <c r="V56" i="157"/>
  <c r="V1208" i="157"/>
  <c r="V983" i="157"/>
  <c r="V670" i="157"/>
  <c r="V577" i="157"/>
  <c r="V483" i="157"/>
  <c r="V379" i="157"/>
  <c r="V239" i="157"/>
  <c r="V1000" i="157"/>
  <c r="V1134" i="157"/>
  <c r="V993" i="157"/>
  <c r="V833" i="157"/>
  <c r="V541" i="157"/>
  <c r="V540" i="157"/>
  <c r="V537" i="157"/>
  <c r="V531" i="157"/>
  <c r="V600" i="157"/>
  <c r="V524" i="157"/>
  <c r="V520" i="157"/>
  <c r="V380" i="157"/>
  <c r="V381" i="157"/>
  <c r="V165" i="157"/>
  <c r="V1261" i="157"/>
  <c r="V1262" i="157"/>
  <c r="V94" i="157"/>
  <c r="V63" i="157"/>
  <c r="V86" i="157"/>
  <c r="V913" i="157"/>
  <c r="V641" i="157"/>
  <c r="V570" i="157"/>
  <c r="V1153" i="157"/>
  <c r="V1154" i="157"/>
  <c r="V1155" i="157"/>
  <c r="V1147" i="157"/>
  <c r="V1148" i="157"/>
  <c r="V1149" i="157"/>
  <c r="V1150" i="157"/>
  <c r="V1151" i="157"/>
  <c r="V1152" i="157"/>
  <c r="V956" i="157"/>
  <c r="V955" i="157"/>
  <c r="V954" i="157"/>
  <c r="V953" i="157"/>
  <c r="V952" i="157"/>
  <c r="V951" i="157"/>
  <c r="V950" i="157"/>
  <c r="V948" i="157"/>
  <c r="V788" i="157"/>
  <c r="V787" i="157"/>
  <c r="V783" i="157"/>
  <c r="V782" i="157"/>
  <c r="V781" i="157"/>
  <c r="V780" i="157"/>
  <c r="V779" i="157"/>
  <c r="V778" i="157"/>
  <c r="V777" i="157"/>
  <c r="V776" i="157"/>
  <c r="V774" i="157"/>
  <c r="V775" i="157"/>
  <c r="V538" i="157"/>
  <c r="V536" i="157"/>
  <c r="V533" i="157"/>
  <c r="V534" i="157"/>
  <c r="V527" i="157"/>
  <c r="V525" i="157"/>
  <c r="V523" i="157"/>
  <c r="V522" i="157"/>
  <c r="V521" i="157"/>
  <c r="V518" i="157"/>
  <c r="V516" i="157"/>
  <c r="V515" i="157"/>
  <c r="V182" i="157"/>
  <c r="V181" i="157"/>
  <c r="V183" i="157"/>
  <c r="V145" i="157"/>
  <c r="V146" i="157"/>
  <c r="V686" i="157"/>
  <c r="V344" i="157"/>
  <c r="V343" i="157"/>
  <c r="V1264" i="157"/>
  <c r="V1170" i="157"/>
  <c r="V1116" i="157"/>
  <c r="V834" i="157"/>
  <c r="V822" i="157"/>
  <c r="V681" i="157"/>
  <c r="V576" i="157"/>
  <c r="V599" i="157"/>
  <c r="V460" i="157"/>
  <c r="V332" i="157"/>
  <c r="V95" i="157"/>
  <c r="V13" i="157"/>
  <c r="V796" i="157"/>
  <c r="V1247" i="157"/>
  <c r="V859" i="157"/>
  <c r="V998" i="157"/>
  <c r="V210" i="157"/>
  <c r="V1085" i="157"/>
  <c r="V965" i="157"/>
  <c r="V932" i="157"/>
  <c r="V928" i="157"/>
  <c r="V553" i="157"/>
  <c r="V398" i="157"/>
  <c r="V256" i="157"/>
  <c r="V257" i="157"/>
  <c r="V252" i="157"/>
  <c r="V134" i="157"/>
  <c r="V1270" i="157"/>
  <c r="V1232" i="157"/>
  <c r="V1168" i="157"/>
  <c r="V621" i="157"/>
  <c r="V1106" i="157"/>
  <c r="V1107" i="157"/>
  <c r="V1103" i="157"/>
  <c r="V1104" i="157"/>
  <c r="V1099" i="157"/>
  <c r="V1100" i="157"/>
  <c r="V1101" i="157"/>
  <c r="V1102" i="157"/>
  <c r="V1026" i="157"/>
  <c r="V1027" i="157"/>
  <c r="V1028" i="157"/>
  <c r="V1025" i="157"/>
  <c r="V1024" i="157"/>
  <c r="V944" i="157"/>
  <c r="V941" i="157"/>
  <c r="V942" i="157"/>
  <c r="V943" i="157"/>
  <c r="V939" i="157"/>
  <c r="V940" i="157"/>
  <c r="V746" i="157"/>
  <c r="V747" i="157"/>
  <c r="V748" i="157"/>
  <c r="V749" i="157"/>
  <c r="V750" i="157"/>
  <c r="V742" i="157"/>
  <c r="V743" i="157"/>
  <c r="V733" i="157"/>
  <c r="V734" i="157"/>
  <c r="V735" i="157"/>
  <c r="V736" i="157"/>
  <c r="V730" i="157"/>
  <c r="V731" i="157"/>
  <c r="V650" i="157"/>
  <c r="V651" i="157"/>
  <c r="V652" i="157"/>
  <c r="V653" i="157"/>
  <c r="V646" i="157"/>
  <c r="V647" i="157"/>
  <c r="V648" i="157"/>
  <c r="V649" i="157"/>
  <c r="V642" i="157"/>
  <c r="V643" i="157"/>
  <c r="V644" i="157"/>
  <c r="V645" i="157"/>
  <c r="V469" i="157"/>
  <c r="V463" i="157"/>
  <c r="V635" i="157"/>
  <c r="V636" i="157"/>
  <c r="V637" i="157"/>
  <c r="V638" i="157"/>
  <c r="V639" i="157"/>
  <c r="V640" i="157"/>
  <c r="V275" i="157"/>
  <c r="V273" i="157"/>
  <c r="V272" i="157"/>
  <c r="V269" i="157"/>
  <c r="V270" i="157"/>
  <c r="V160" i="157"/>
  <c r="V159" i="157"/>
  <c r="V152" i="157"/>
  <c r="V153" i="157"/>
  <c r="V154" i="157"/>
  <c r="V155" i="157"/>
  <c r="V156" i="157"/>
  <c r="V157" i="157"/>
  <c r="V151" i="157"/>
  <c r="V149" i="157"/>
  <c r="V150" i="157"/>
  <c r="V1252" i="157"/>
  <c r="V1243" i="157"/>
  <c r="V1244" i="157"/>
  <c r="V1230" i="157"/>
  <c r="V1231" i="157"/>
  <c r="V470" i="157"/>
  <c r="V1105" i="157"/>
  <c r="V1029" i="157"/>
  <c r="V945" i="157"/>
  <c r="V938" i="157"/>
  <c r="V937" i="157"/>
  <c r="V732" i="157"/>
  <c r="V654" i="157"/>
  <c r="V471" i="157"/>
  <c r="V472" i="157"/>
  <c r="V466" i="157"/>
  <c r="V465" i="157"/>
  <c r="V464" i="157"/>
  <c r="V271" i="157"/>
  <c r="V268" i="157"/>
  <c r="V1246" i="157"/>
  <c r="V1128" i="157"/>
  <c r="V930" i="157"/>
  <c r="V931" i="157"/>
  <c r="V929" i="157"/>
  <c r="V927" i="157"/>
  <c r="V596" i="157"/>
  <c r="V595" i="157"/>
  <c r="V593" i="157"/>
  <c r="V594" i="157"/>
  <c r="V226" i="157"/>
  <c r="V225" i="157"/>
  <c r="V222" i="157"/>
  <c r="V113" i="157"/>
  <c r="V904" i="157"/>
  <c r="V890" i="157"/>
  <c r="V799" i="157"/>
  <c r="V744" i="157"/>
  <c r="V745" i="157"/>
  <c r="V691" i="157"/>
  <c r="V692" i="157"/>
  <c r="V479" i="157"/>
  <c r="V508" i="157"/>
  <c r="V478" i="157"/>
  <c r="V1259" i="157"/>
  <c r="V1173" i="157"/>
  <c r="V265" i="157"/>
  <c r="V60" i="157"/>
  <c r="V1123" i="157"/>
  <c r="V926" i="157"/>
  <c r="V925" i="157"/>
  <c r="V725" i="157"/>
  <c r="V492" i="157"/>
  <c r="W492" i="157" s="1"/>
  <c r="V230" i="157"/>
  <c r="V1260" i="157"/>
  <c r="V11" i="157"/>
  <c r="V981" i="157"/>
  <c r="V1078" i="157"/>
  <c r="V715" i="157"/>
  <c r="V612" i="157"/>
  <c r="V558" i="157"/>
  <c r="W558" i="157" s="1"/>
  <c r="V177" i="157"/>
  <c r="V1193" i="157"/>
  <c r="V1188" i="157"/>
  <c r="V1156" i="157"/>
  <c r="V1157" i="157"/>
  <c r="V1158" i="157"/>
  <c r="V1159" i="157"/>
  <c r="V1095" i="157"/>
  <c r="W1095" i="157" s="1"/>
  <c r="V1064" i="157"/>
  <c r="V1065" i="157"/>
  <c r="V1066" i="157"/>
  <c r="V1067" i="157"/>
  <c r="V1052" i="157"/>
  <c r="V1015" i="157"/>
  <c r="V1016" i="157"/>
  <c r="V1017" i="157"/>
  <c r="V1018" i="157"/>
  <c r="V1019" i="157"/>
  <c r="V923" i="157"/>
  <c r="V917" i="157"/>
  <c r="V918" i="157"/>
  <c r="V858" i="157"/>
  <c r="V855" i="157"/>
  <c r="V856" i="157"/>
  <c r="W856" i="157" s="1"/>
  <c r="V761" i="157"/>
  <c r="V762" i="157"/>
  <c r="V659" i="157"/>
  <c r="V660" i="157"/>
  <c r="V560" i="157"/>
  <c r="V561" i="157"/>
  <c r="V434" i="157"/>
  <c r="V435" i="157"/>
  <c r="V436" i="157"/>
  <c r="V333" i="157"/>
  <c r="V334" i="157"/>
  <c r="V192" i="157"/>
  <c r="V193" i="157"/>
  <c r="V87" i="157"/>
  <c r="V65" i="157"/>
  <c r="V1005" i="157"/>
  <c r="W1005" i="157" s="1"/>
  <c r="V806" i="157"/>
  <c r="V966" i="157"/>
  <c r="V1076" i="157"/>
  <c r="V1075" i="157"/>
  <c r="V970" i="157"/>
  <c r="V1038" i="157"/>
  <c r="V969" i="157"/>
  <c r="V874" i="157"/>
  <c r="V864" i="157"/>
  <c r="V865" i="157"/>
  <c r="V760" i="157"/>
  <c r="V757" i="157"/>
  <c r="V755" i="157"/>
  <c r="V756" i="157"/>
  <c r="V655" i="157"/>
  <c r="V616" i="157"/>
  <c r="W616" i="157" s="1"/>
  <c r="V614" i="157"/>
  <c r="V550" i="157"/>
  <c r="V517" i="157"/>
  <c r="V331" i="157"/>
  <c r="V330" i="157"/>
  <c r="V164" i="157"/>
  <c r="V162" i="157"/>
  <c r="V53" i="157"/>
  <c r="V34" i="157"/>
  <c r="V33" i="157"/>
  <c r="V1269" i="157"/>
  <c r="V1234" i="157"/>
  <c r="V170" i="157"/>
  <c r="V147" i="157"/>
  <c r="V1082" i="157"/>
  <c r="V820" i="157"/>
  <c r="W820" i="157" s="1"/>
  <c r="V487" i="157"/>
  <c r="V120" i="157"/>
  <c r="V292" i="157"/>
  <c r="V141" i="157"/>
  <c r="V347" i="157"/>
  <c r="V1081" i="157"/>
  <c r="V853" i="157"/>
  <c r="V496" i="157"/>
  <c r="V399" i="157"/>
  <c r="V218" i="157"/>
  <c r="V1256" i="157"/>
  <c r="V974" i="157"/>
  <c r="V973" i="157"/>
  <c r="V835" i="157"/>
  <c r="V831" i="157"/>
  <c r="V583" i="157"/>
  <c r="W583" i="157" s="1"/>
  <c r="V314" i="157"/>
  <c r="V315" i="157"/>
  <c r="V397" i="157"/>
  <c r="V206" i="157"/>
  <c r="V390" i="157"/>
  <c r="V204" i="157"/>
  <c r="V205" i="157"/>
  <c r="V48" i="157"/>
  <c r="V1201" i="157"/>
  <c r="V264" i="157"/>
  <c r="V47" i="157"/>
  <c r="V184" i="157"/>
  <c r="V46" i="157"/>
  <c r="V107" i="157"/>
  <c r="V1248" i="157"/>
  <c r="V679" i="157"/>
  <c r="W679" i="157" s="1"/>
  <c r="V190" i="157"/>
  <c r="V1169" i="157"/>
  <c r="V1089" i="157"/>
  <c r="V1088" i="157"/>
  <c r="V957" i="157"/>
  <c r="V375" i="157"/>
  <c r="V722" i="157"/>
  <c r="V720" i="157"/>
  <c r="V371" i="157"/>
  <c r="V369" i="157"/>
  <c r="V367" i="157"/>
  <c r="V366" i="157"/>
  <c r="V365" i="157"/>
  <c r="V112" i="157"/>
  <c r="V111" i="157"/>
  <c r="V26" i="157"/>
  <c r="W26" i="157" s="1"/>
  <c r="V816" i="157"/>
  <c r="V815" i="157"/>
  <c r="V680" i="157"/>
  <c r="V373" i="157"/>
  <c r="V372" i="157"/>
  <c r="V123" i="157"/>
  <c r="V124" i="157"/>
  <c r="V125" i="157"/>
  <c r="V1265" i="157"/>
  <c r="V1266" i="157"/>
  <c r="V880" i="157"/>
  <c r="V876" i="157"/>
  <c r="V906" i="157"/>
  <c r="V900" i="157"/>
  <c r="V675" i="157"/>
  <c r="V628" i="157"/>
  <c r="W628" i="157" s="1"/>
  <c r="V1050" i="157"/>
  <c r="V1049" i="157"/>
  <c r="V1048" i="157"/>
  <c r="V1047" i="157"/>
  <c r="V1046" i="157"/>
  <c r="V1045" i="157"/>
  <c r="V582" i="157"/>
  <c r="V308" i="157"/>
  <c r="V287" i="157"/>
  <c r="V1133" i="157"/>
  <c r="V1131" i="157"/>
  <c r="V1130" i="157"/>
  <c r="V980" i="157"/>
  <c r="V979" i="157"/>
  <c r="V976" i="157"/>
  <c r="V977" i="157"/>
  <c r="W977" i="157" s="1"/>
  <c r="V933" i="157"/>
  <c r="V849" i="157"/>
  <c r="V846" i="157"/>
  <c r="V847" i="157"/>
  <c r="V848" i="157"/>
  <c r="V845" i="157"/>
  <c r="V801" i="157"/>
  <c r="V800" i="157"/>
  <c r="V766" i="157"/>
  <c r="V765" i="157"/>
  <c r="V717" i="157"/>
  <c r="V656" i="157"/>
  <c r="V552" i="157"/>
  <c r="V551" i="157"/>
  <c r="V454" i="157"/>
  <c r="V451" i="157"/>
  <c r="W451" i="157" s="1"/>
  <c r="V447" i="157"/>
  <c r="V445" i="157"/>
  <c r="V444" i="157"/>
  <c r="V440" i="157"/>
  <c r="V341" i="157"/>
  <c r="V340" i="157"/>
  <c r="V339" i="157"/>
  <c r="V231" i="157"/>
  <c r="V223" i="157"/>
  <c r="V217" i="157"/>
  <c r="V168" i="157"/>
  <c r="V166" i="157"/>
  <c r="V163" i="157"/>
  <c r="V127" i="157"/>
  <c r="V126" i="157"/>
  <c r="V58" i="157"/>
  <c r="W58" i="157" s="1"/>
  <c r="V59" i="157"/>
  <c r="V37" i="157"/>
  <c r="V28" i="157"/>
  <c r="V7" i="157"/>
  <c r="V1233" i="157"/>
  <c r="V148" i="157"/>
  <c r="V297" i="157"/>
  <c r="V298" i="157"/>
  <c r="V289" i="157"/>
  <c r="V290" i="157"/>
  <c r="V457" i="157"/>
  <c r="V452" i="157"/>
  <c r="V319" i="157"/>
  <c r="V167" i="157"/>
  <c r="V115" i="157"/>
  <c r="V1167" i="157"/>
  <c r="W1167" i="157" s="1"/>
  <c r="V246" i="157"/>
  <c r="V247" i="157"/>
  <c r="V248" i="157"/>
  <c r="V249" i="157"/>
  <c r="V388" i="157"/>
  <c r="V325" i="157"/>
  <c r="V326" i="157"/>
  <c r="V96" i="157"/>
  <c r="V61" i="157"/>
  <c r="V1122" i="157"/>
  <c r="V978" i="157"/>
  <c r="V896" i="157"/>
  <c r="V813" i="157"/>
  <c r="V741" i="157"/>
  <c r="V740" i="157"/>
  <c r="V738" i="157"/>
  <c r="W738" i="157" s="1"/>
  <c r="V737" i="157"/>
  <c r="V672" i="157"/>
  <c r="V671" i="157"/>
  <c r="V615" i="157"/>
  <c r="V219" i="157"/>
  <c r="V188" i="157"/>
  <c r="V912" i="157"/>
  <c r="V580" i="157"/>
  <c r="V1191" i="157"/>
  <c r="V1185" i="157"/>
  <c r="V1063" i="157"/>
  <c r="V1008" i="157"/>
  <c r="V915" i="157"/>
  <c r="V841" i="157"/>
  <c r="V1083" i="157"/>
  <c r="V282" i="157"/>
  <c r="W282" i="157" s="1"/>
  <c r="V276" i="157"/>
  <c r="V408" i="157"/>
  <c r="V261" i="157"/>
  <c r="V262" i="157"/>
  <c r="V132" i="157"/>
  <c r="V133" i="157"/>
  <c r="V280" i="157"/>
  <c r="V924" i="157"/>
  <c r="V814" i="157"/>
  <c r="V509" i="157"/>
  <c r="V425" i="157"/>
  <c r="V41" i="157"/>
  <c r="V39" i="157"/>
  <c r="V898" i="157"/>
  <c r="V587" i="157"/>
  <c r="V49" i="157"/>
  <c r="W49" i="157" s="1"/>
  <c r="V54" i="157"/>
  <c r="V936" i="157"/>
  <c r="V997" i="157"/>
  <c r="V374" i="157"/>
  <c r="V370" i="157"/>
  <c r="V1238" i="157"/>
  <c r="V1206" i="157"/>
  <c r="V1146" i="157"/>
  <c r="V1051" i="157"/>
  <c r="V995" i="157"/>
  <c r="V908" i="157"/>
  <c r="V843" i="157"/>
  <c r="V729" i="157"/>
  <c r="V632" i="157"/>
  <c r="V559" i="157"/>
  <c r="V420" i="157"/>
  <c r="W420" i="157" s="1"/>
  <c r="V414" i="157"/>
  <c r="V311" i="157"/>
  <c r="V194" i="157"/>
  <c r="V66" i="157"/>
  <c r="V176" i="157"/>
  <c r="V1109" i="157"/>
  <c r="V986" i="157"/>
  <c r="V987" i="157"/>
  <c r="V851" i="157"/>
  <c r="V696" i="157"/>
  <c r="V697" i="157"/>
  <c r="V250" i="157"/>
  <c r="V22" i="157"/>
  <c r="V1200" i="157"/>
  <c r="V991" i="157"/>
  <c r="V1073" i="157"/>
  <c r="W1073" i="157" s="1"/>
  <c r="V990" i="157"/>
  <c r="V989" i="157"/>
  <c r="V1031" i="157"/>
  <c r="V988" i="157"/>
  <c r="V984" i="157"/>
  <c r="V985" i="157"/>
  <c r="V964" i="157"/>
  <c r="V946" i="157"/>
  <c r="V703" i="157"/>
  <c r="V704" i="157"/>
  <c r="V700" i="157"/>
  <c r="V701" i="157"/>
  <c r="V702" i="157"/>
  <c r="V818" i="157"/>
  <c r="V698" i="157"/>
  <c r="V699" i="157"/>
  <c r="W699" i="157" s="1"/>
  <c r="V752" i="157"/>
  <c r="V693" i="157"/>
  <c r="V694" i="157"/>
  <c r="V610" i="157"/>
  <c r="V611" i="157"/>
  <c r="V588" i="157"/>
  <c r="V574" i="157"/>
  <c r="V284" i="157"/>
  <c r="V285" i="157"/>
  <c r="V286" i="157"/>
  <c r="V510" i="157"/>
  <c r="V277" i="157"/>
  <c r="V278" i="157"/>
  <c r="V389" i="157"/>
  <c r="V267" i="157"/>
  <c r="V327" i="157"/>
  <c r="W327" i="157" s="1"/>
  <c r="V266" i="157"/>
  <c r="V97" i="157"/>
  <c r="V62" i="157"/>
  <c r="V459" i="157"/>
  <c r="V121" i="157"/>
  <c r="V118" i="157"/>
  <c r="V1145" i="157"/>
  <c r="V1144" i="157"/>
  <c r="V860" i="157"/>
  <c r="V1004" i="157"/>
  <c r="V626" i="157"/>
  <c r="V306" i="157"/>
  <c r="V220" i="157"/>
  <c r="V1267" i="157"/>
  <c r="V1242" i="157"/>
  <c r="V103" i="157"/>
  <c r="V883" i="157"/>
  <c r="V23" i="157"/>
  <c r="V826" i="157"/>
  <c r="V1204" i="157"/>
  <c r="V1160" i="157"/>
  <c r="V1068" i="157"/>
  <c r="V975" i="157"/>
  <c r="V919" i="157"/>
  <c r="V824" i="157"/>
  <c r="V724" i="157"/>
  <c r="V629" i="157"/>
  <c r="V562" i="157"/>
  <c r="V421" i="157"/>
  <c r="V312" i="157"/>
  <c r="V195" i="157"/>
  <c r="V67" i="157"/>
  <c r="V1125" i="157"/>
  <c r="V1120" i="157"/>
  <c r="V1084" i="157"/>
  <c r="V1117" i="157"/>
  <c r="V1118" i="157"/>
  <c r="V1032" i="157"/>
  <c r="V895" i="157"/>
  <c r="V591" i="157"/>
  <c r="V592" i="157"/>
  <c r="V590" i="157"/>
  <c r="V589" i="157"/>
  <c r="V549" i="157"/>
  <c r="V443" i="157"/>
  <c r="V441" i="157"/>
  <c r="V578" i="157"/>
  <c r="V304" i="157"/>
  <c r="V216" i="157"/>
  <c r="V186" i="157"/>
  <c r="V161" i="157"/>
  <c r="V158" i="157"/>
  <c r="V100" i="157"/>
  <c r="V99" i="157"/>
  <c r="V72" i="157"/>
  <c r="V73" i="157"/>
  <c r="V1235" i="157"/>
  <c r="V613" i="157"/>
  <c r="V1087" i="157"/>
  <c r="V1074" i="157"/>
  <c r="W1074" i="157" s="1"/>
  <c r="V879" i="157"/>
  <c r="V869" i="157"/>
  <c r="V868" i="157"/>
  <c r="V867" i="157"/>
  <c r="W867" i="157" s="1"/>
  <c r="V863" i="157"/>
  <c r="V862" i="157"/>
  <c r="V723" i="157"/>
  <c r="V721" i="157"/>
  <c r="W721" i="157" s="1"/>
  <c r="V718" i="157"/>
  <c r="V719" i="157"/>
  <c r="V716" i="157"/>
  <c r="V532" i="157"/>
  <c r="W532" i="157" s="1"/>
  <c r="V530" i="157"/>
  <c r="V528" i="157"/>
  <c r="V526" i="157"/>
  <c r="V259" i="157"/>
  <c r="W259" i="157" s="1"/>
  <c r="V258" i="157"/>
  <c r="V143" i="157"/>
  <c r="V142" i="157"/>
  <c r="V29" i="157"/>
  <c r="W29" i="157" s="1"/>
  <c r="V27" i="157"/>
  <c r="V10" i="157"/>
  <c r="V1237" i="157"/>
  <c r="V1119" i="157"/>
  <c r="W1119" i="157" s="1"/>
  <c r="V837" i="157"/>
  <c r="V836" i="157"/>
  <c r="V803" i="157"/>
  <c r="V618" i="157"/>
  <c r="W618" i="157" s="1"/>
  <c r="V617" i="157"/>
  <c r="V565" i="157"/>
  <c r="V564" i="157"/>
  <c r="V505" i="157"/>
  <c r="W505" i="157" s="1"/>
  <c r="V504" i="157"/>
  <c r="V417" i="157"/>
  <c r="V355" i="157"/>
  <c r="V416" i="157"/>
  <c r="W416" i="157" s="1"/>
  <c r="V349" i="157"/>
  <c r="V316" i="157"/>
  <c r="V281" i="157"/>
  <c r="V279" i="157"/>
  <c r="W279" i="157" s="1"/>
  <c r="V224" i="157"/>
  <c r="V114" i="157"/>
  <c r="V1254" i="157"/>
  <c r="V1114" i="157"/>
  <c r="W1114" i="157" s="1"/>
  <c r="V439" i="157"/>
  <c r="V185" i="157"/>
  <c r="V477" i="157"/>
  <c r="V475" i="157"/>
  <c r="W475" i="157" s="1"/>
  <c r="V476" i="157"/>
  <c r="V1192" i="157"/>
  <c r="V1096" i="157"/>
  <c r="V1080" i="157"/>
  <c r="W1080" i="157" s="1"/>
  <c r="V968" i="157"/>
  <c r="V891" i="157"/>
  <c r="V808" i="157"/>
  <c r="V710" i="157"/>
  <c r="W710" i="157" s="1"/>
  <c r="V625" i="157"/>
  <c r="V511" i="157"/>
  <c r="V410" i="157"/>
  <c r="V203" i="157"/>
  <c r="W203" i="157" s="1"/>
  <c r="V291" i="157"/>
  <c r="V64" i="157"/>
  <c r="V1035" i="157"/>
  <c r="V1036" i="157"/>
  <c r="W1036" i="157" s="1"/>
  <c r="V1033" i="157"/>
  <c r="V892" i="157"/>
  <c r="V739" i="157"/>
  <c r="V489" i="157"/>
  <c r="W489" i="157" s="1"/>
  <c r="V488" i="157"/>
  <c r="V368" i="157"/>
  <c r="V364" i="157"/>
  <c r="V263" i="157"/>
  <c r="W263" i="157" s="1"/>
  <c r="V110" i="157"/>
  <c r="V109" i="157"/>
  <c r="V238" i="157"/>
  <c r="V104" i="157"/>
  <c r="W104" i="157" s="1"/>
  <c r="V1126" i="157"/>
  <c r="V832" i="157"/>
  <c r="V828" i="157"/>
  <c r="V547" i="157"/>
  <c r="W547" i="157" s="1"/>
  <c r="V446" i="157"/>
  <c r="V137" i="157"/>
  <c r="V392" i="157"/>
  <c r="V328" i="157"/>
  <c r="W328" i="157" s="1"/>
  <c r="V108" i="157"/>
  <c r="V79" i="157"/>
  <c r="V785" i="157"/>
  <c r="V727" i="157"/>
  <c r="W727" i="157" s="1"/>
  <c r="V1110" i="157"/>
  <c r="V726" i="157"/>
  <c r="V544" i="157"/>
  <c r="V870" i="157"/>
  <c r="W870" i="157" s="1"/>
  <c r="V426" i="157"/>
  <c r="V15" i="157"/>
  <c r="V1196" i="157"/>
  <c r="V1197" i="157"/>
  <c r="W1197" i="157" s="1"/>
  <c r="V1194" i="157"/>
  <c r="V1195" i="157"/>
  <c r="V1161" i="157"/>
  <c r="V1162" i="157"/>
  <c r="W1162" i="157" s="1"/>
  <c r="V1163" i="157"/>
  <c r="V1164" i="157"/>
  <c r="V1053" i="157"/>
  <c r="V1054" i="157"/>
  <c r="W1054" i="157" s="1"/>
  <c r="V1055" i="157"/>
  <c r="V1056" i="157"/>
  <c r="V1020" i="157"/>
  <c r="V1021" i="157"/>
  <c r="W1021" i="157" s="1"/>
  <c r="V893" i="157"/>
  <c r="V894" i="157"/>
  <c r="V809" i="157"/>
  <c r="V810" i="157"/>
  <c r="W810" i="157" s="1"/>
  <c r="V711" i="157"/>
  <c r="V712" i="157"/>
  <c r="V622" i="157"/>
  <c r="V623" i="157"/>
  <c r="W623" i="157" s="1"/>
  <c r="V512" i="157"/>
  <c r="V513" i="157"/>
  <c r="V400" i="157"/>
  <c r="V401" i="157"/>
  <c r="W401" i="157" s="1"/>
  <c r="V293" i="157"/>
  <c r="V294" i="157"/>
  <c r="V196" i="157"/>
  <c r="V197" i="157"/>
  <c r="W197" i="157" s="1"/>
  <c r="V131" i="157"/>
  <c r="V68" i="157"/>
  <c r="V69" i="157"/>
  <c r="V1129" i="157"/>
  <c r="V935" i="157"/>
  <c r="V934" i="157"/>
  <c r="V786" i="157"/>
  <c r="W786" i="157" s="1"/>
  <c r="V784" i="157"/>
  <c r="V548" i="157"/>
  <c r="V545" i="157"/>
  <c r="V227" i="157"/>
  <c r="W227" i="157" s="1"/>
  <c r="V144" i="157"/>
  <c r="V25" i="157"/>
  <c r="V8" i="157"/>
  <c r="V1236" i="157"/>
  <c r="W1236" i="157" s="1"/>
  <c r="V88" i="157"/>
  <c r="V32" i="157"/>
  <c r="V1186" i="157"/>
  <c r="V1057" i="157"/>
  <c r="W1057" i="157" s="1"/>
  <c r="V1058" i="157"/>
  <c r="V1059" i="157"/>
  <c r="V1022" i="157"/>
  <c r="V920" i="157"/>
  <c r="W920" i="157" s="1"/>
  <c r="V921" i="157"/>
  <c r="V857" i="157"/>
  <c r="V769" i="157"/>
  <c r="V661" i="157"/>
  <c r="W661" i="157" s="1"/>
  <c r="V556" i="157"/>
  <c r="V422" i="157"/>
  <c r="V295" i="157"/>
  <c r="V198" i="157"/>
  <c r="W198" i="157" s="1"/>
  <c r="V80" i="157"/>
  <c r="V1198" i="157"/>
  <c r="V1143" i="157"/>
  <c r="V1069" i="157"/>
  <c r="W1069" i="157" s="1"/>
  <c r="V1010" i="157"/>
  <c r="V916" i="157"/>
  <c r="V825" i="157"/>
  <c r="V763" i="157"/>
  <c r="W763" i="157" s="1"/>
  <c r="V633" i="157"/>
  <c r="V563" i="157"/>
  <c r="V423" i="157"/>
  <c r="V313" i="157"/>
  <c r="W313" i="157" s="1"/>
  <c r="V199" i="157"/>
  <c r="V70" i="157"/>
  <c r="V1127" i="157"/>
  <c r="V1121" i="157"/>
  <c r="W1121" i="157" s="1"/>
  <c r="V687" i="157"/>
  <c r="V684" i="157"/>
  <c r="V321" i="157"/>
  <c r="V320" i="157"/>
  <c r="W320" i="157" s="1"/>
  <c r="V317" i="157"/>
  <c r="V318" i="157"/>
  <c r="V9" i="157"/>
  <c r="V1113" i="157"/>
  <c r="W1113" i="157" s="1"/>
  <c r="V812" i="157"/>
  <c r="V1142" i="157"/>
  <c r="V811" i="157"/>
  <c r="V807" i="157"/>
  <c r="W807" i="157" s="1"/>
  <c r="V57" i="157"/>
  <c r="V1077" i="157"/>
  <c r="V491" i="157"/>
  <c r="V490" i="157"/>
  <c r="W490" i="157" s="1"/>
  <c r="V82" i="157"/>
  <c r="V1239" i="157"/>
  <c r="V1132" i="157"/>
  <c r="V706" i="157"/>
  <c r="W706" i="157" s="1"/>
  <c r="V705" i="157"/>
  <c r="V584" i="157"/>
  <c r="V539" i="157"/>
  <c r="V695" i="157"/>
  <c r="W695" i="157" s="1"/>
  <c r="V395" i="157"/>
  <c r="V394" i="157"/>
  <c r="V393" i="157"/>
  <c r="V128" i="157"/>
  <c r="W128" i="157" s="1"/>
  <c r="V119" i="157"/>
  <c r="V122" i="157"/>
  <c r="V1253" i="157"/>
  <c r="V1250" i="157"/>
  <c r="W1250" i="157" s="1"/>
  <c r="V474" i="157"/>
  <c r="V462" i="157"/>
  <c r="V358" i="157"/>
  <c r="V338" i="157"/>
  <c r="W338" i="157" s="1"/>
  <c r="V336" i="157"/>
  <c r="V234" i="157"/>
  <c r="V207" i="157"/>
  <c r="V634" i="157"/>
  <c r="W634" i="157" s="1"/>
  <c r="V1176" i="157"/>
  <c r="V81" i="157"/>
  <c r="V1111" i="157"/>
  <c r="V363" i="157"/>
  <c r="V324" i="157"/>
  <c r="V235" i="157"/>
  <c r="V172" i="157"/>
  <c r="V98" i="157"/>
  <c r="V71" i="157"/>
  <c r="V630" i="157"/>
  <c r="V1034" i="157"/>
  <c r="V878" i="157"/>
  <c r="W878" i="157" s="1"/>
  <c r="V877" i="157"/>
  <c r="V872" i="157"/>
  <c r="V871" i="157"/>
  <c r="V804" i="157"/>
  <c r="W804" i="157" s="1"/>
  <c r="V708" i="157"/>
  <c r="V581" i="157"/>
  <c r="V573" i="157"/>
  <c r="V571" i="157"/>
  <c r="W571" i="157" s="1"/>
  <c r="V572" i="157"/>
  <c r="V493" i="157"/>
  <c r="V455" i="157"/>
  <c r="V453" i="157"/>
  <c r="V450" i="157"/>
  <c r="V342" i="157"/>
  <c r="V228" i="157"/>
  <c r="V189" i="157"/>
  <c r="W189" i="157" s="1"/>
  <c r="V116" i="157"/>
  <c r="V117" i="157"/>
  <c r="V1245" i="157"/>
  <c r="V1249" i="157"/>
  <c r="W1249" i="157" s="1"/>
  <c r="V1124" i="157"/>
  <c r="V972" i="157"/>
  <c r="V1061" i="157"/>
  <c r="V866" i="157"/>
  <c r="V827" i="157"/>
  <c r="V620" i="157"/>
  <c r="V442" i="157"/>
  <c r="V411" i="157"/>
  <c r="V274" i="157"/>
  <c r="V130" i="157"/>
  <c r="V1187" i="157"/>
  <c r="V1094" i="157"/>
  <c r="W1094" i="157" s="1"/>
  <c r="V1060" i="157"/>
  <c r="V1023" i="157"/>
  <c r="V922" i="157"/>
  <c r="V852" i="157"/>
  <c r="W852" i="157" s="1"/>
  <c r="V753" i="157"/>
  <c r="V658" i="157"/>
  <c r="V514" i="157"/>
  <c r="V424" i="157"/>
  <c r="V335" i="157"/>
  <c r="V200" i="157"/>
  <c r="V89" i="157"/>
  <c r="V1093" i="157"/>
  <c r="W1093" i="157" s="1"/>
  <c r="V1092" i="157"/>
  <c r="V1091" i="157"/>
  <c r="V1090" i="157"/>
  <c r="V1112" i="157"/>
  <c r="W1112" i="157" s="1"/>
  <c r="V958" i="157"/>
  <c r="V905" i="157"/>
  <c r="V903" i="157"/>
  <c r="V902" i="157"/>
  <c r="W902" i="157" s="1"/>
  <c r="V830" i="157"/>
  <c r="V829" i="157"/>
  <c r="V683" i="157"/>
  <c r="V682" i="157"/>
  <c r="V546" i="157"/>
  <c r="V456" i="157"/>
  <c r="V449" i="157"/>
  <c r="V448" i="157"/>
  <c r="V352" i="157"/>
  <c r="V350" i="157"/>
  <c r="V221" i="157"/>
  <c r="V187" i="157"/>
  <c r="W187" i="157" s="1"/>
  <c r="V85" i="157"/>
  <c r="V35" i="157"/>
  <c r="V36" i="157"/>
  <c r="V575" i="157"/>
  <c r="W575" i="157" s="1"/>
  <c r="V543" i="157"/>
  <c r="V1223" i="157"/>
  <c r="V1224" i="157"/>
  <c r="V1218" i="157"/>
  <c r="W1218" i="157" s="1"/>
  <c r="V1225" i="157"/>
  <c r="V1226" i="157"/>
  <c r="V45" i="157"/>
  <c r="V1222" i="157"/>
  <c r="V42" i="157"/>
  <c r="V1211" i="157"/>
  <c r="V1216" i="157"/>
  <c r="V1219" i="157"/>
  <c r="W1219" i="157" s="1"/>
  <c r="V1227" i="157"/>
  <c r="V1213" i="157"/>
  <c r="V31" i="157"/>
  <c r="V1228" i="157"/>
  <c r="W1228" i="157" s="1"/>
  <c r="V30" i="157"/>
  <c r="V1258" i="157"/>
  <c r="V1263" i="157"/>
  <c r="V1214" i="157"/>
  <c r="V1255" i="157"/>
  <c r="V1220" i="157"/>
  <c r="W1220" i="157" s="1"/>
  <c r="V1229" i="157"/>
  <c r="V1212" i="157"/>
  <c r="W1212" i="157" s="1"/>
  <c r="V1209" i="157"/>
  <c r="V1210" i="157"/>
  <c r="W1210" i="157" s="1"/>
  <c r="V1217" i="157"/>
  <c r="V1215" i="157"/>
  <c r="V1221" i="157"/>
  <c r="W1221" i="157" s="1"/>
  <c r="V12" i="157"/>
  <c r="V16" i="157"/>
  <c r="V17" i="157"/>
  <c r="V18" i="157"/>
  <c r="W18" i="157" s="1"/>
  <c r="V19" i="157"/>
  <c r="V20" i="157"/>
  <c r="V21" i="157"/>
  <c r="W764" i="157"/>
  <c r="W24" i="157"/>
  <c r="W1108" i="157"/>
  <c r="W768" i="157"/>
  <c r="W458" i="157"/>
  <c r="W875" i="157"/>
  <c r="W83" i="157"/>
  <c r="W296" i="157"/>
  <c r="W43" i="157"/>
  <c r="W772" i="157"/>
  <c r="W631" i="157"/>
  <c r="W579" i="157"/>
  <c r="W569" i="157"/>
  <c r="W554" i="157"/>
  <c r="W1070" i="157"/>
  <c r="W996" i="157"/>
  <c r="W949" i="157"/>
  <c r="W821" i="157"/>
  <c r="W678" i="157"/>
  <c r="W666" i="157"/>
  <c r="W667" i="157"/>
  <c r="W428" i="157"/>
  <c r="W307" i="157"/>
  <c r="W353" i="157"/>
  <c r="W253" i="157"/>
  <c r="W129" i="157"/>
  <c r="W84" i="157"/>
  <c r="W1251" i="157"/>
  <c r="W1079" i="157"/>
  <c r="W1012" i="157"/>
  <c r="W1011" i="157"/>
  <c r="W819" i="157"/>
  <c r="W535" i="157"/>
  <c r="W529" i="157"/>
  <c r="W519" i="157"/>
  <c r="W1039" i="157"/>
  <c r="W838" i="157"/>
  <c r="W668" i="157"/>
  <c r="W506" i="157"/>
  <c r="W1207" i="157"/>
  <c r="W1199" i="157"/>
  <c r="W1189" i="157"/>
  <c r="W1175" i="157"/>
  <c r="W1174" i="157"/>
  <c r="W1172" i="157"/>
  <c r="W1166" i="157"/>
  <c r="W1097" i="157"/>
  <c r="W1086" i="157"/>
  <c r="W1071" i="157"/>
  <c r="W1037" i="157"/>
  <c r="W1006" i="157"/>
  <c r="W994" i="157"/>
  <c r="W967" i="157"/>
  <c r="W901" i="157"/>
  <c r="W884" i="157"/>
  <c r="W842" i="157"/>
  <c r="W823" i="157"/>
  <c r="W795" i="157"/>
  <c r="W754" i="157"/>
  <c r="W751" i="157"/>
  <c r="W713" i="157"/>
  <c r="W676" i="157"/>
  <c r="W674" i="157"/>
  <c r="W657" i="157"/>
  <c r="W609" i="157"/>
  <c r="W567" i="157"/>
  <c r="W557" i="157"/>
  <c r="W555" i="157"/>
  <c r="W429" i="157"/>
  <c r="W419" i="157"/>
  <c r="W362" i="157"/>
  <c r="W360" i="157"/>
  <c r="W337" i="157"/>
  <c r="W310" i="157"/>
  <c r="W260" i="157"/>
  <c r="W102" i="157"/>
  <c r="W101" i="157"/>
  <c r="W74" i="157"/>
  <c r="W55" i="157"/>
  <c r="W1001" i="157"/>
  <c r="W1205" i="157"/>
  <c r="W1203" i="157"/>
  <c r="W1183" i="157"/>
  <c r="W1177" i="157"/>
  <c r="W1178" i="157"/>
  <c r="W1179" i="157"/>
  <c r="W1180" i="157"/>
  <c r="W1181" i="157"/>
  <c r="W1182" i="157"/>
  <c r="W1171" i="157"/>
  <c r="W1136" i="157"/>
  <c r="W1137" i="157"/>
  <c r="W1138" i="157"/>
  <c r="W1139" i="157"/>
  <c r="W1140" i="157"/>
  <c r="W1141" i="157"/>
  <c r="W1040" i="157"/>
  <c r="W1041" i="157"/>
  <c r="W1042" i="157"/>
  <c r="W1043" i="157"/>
  <c r="W1044" i="157"/>
  <c r="W992" i="157"/>
  <c r="W959" i="157"/>
  <c r="W960" i="157"/>
  <c r="W961" i="157"/>
  <c r="W962" i="157"/>
  <c r="W963" i="157"/>
  <c r="W899" i="157"/>
  <c r="W885" i="157"/>
  <c r="W886" i="157"/>
  <c r="W887" i="157"/>
  <c r="W888" i="157"/>
  <c r="W889" i="157"/>
  <c r="W881" i="157"/>
  <c r="W882" i="157"/>
  <c r="W798" i="157"/>
  <c r="W789" i="157"/>
  <c r="W790" i="157"/>
  <c r="W791" i="157"/>
  <c r="W792" i="157"/>
  <c r="W793" i="157"/>
  <c r="W794" i="157"/>
  <c r="W494" i="157"/>
  <c r="W709" i="157"/>
  <c r="W707" i="157"/>
  <c r="W627" i="157"/>
  <c r="W624" i="157"/>
  <c r="W601" i="157"/>
  <c r="W602" i="157"/>
  <c r="W603" i="157"/>
  <c r="W604" i="157"/>
  <c r="W605" i="157"/>
  <c r="W606" i="157"/>
  <c r="W607" i="157"/>
  <c r="W568" i="157"/>
  <c r="W507" i="157"/>
  <c r="W497" i="157"/>
  <c r="W498" i="157"/>
  <c r="W499" i="157"/>
  <c r="W500" i="157"/>
  <c r="W501" i="157"/>
  <c r="W502" i="157"/>
  <c r="W484" i="157"/>
  <c r="W485" i="157"/>
  <c r="W480" i="157"/>
  <c r="W481" i="157"/>
  <c r="W432" i="157"/>
  <c r="W254" i="157"/>
  <c r="W430" i="157"/>
  <c r="W412" i="157"/>
  <c r="W402" i="157"/>
  <c r="W403" i="157"/>
  <c r="W404" i="157"/>
  <c r="W405" i="157"/>
  <c r="W406" i="157"/>
  <c r="W407" i="157"/>
  <c r="W391" i="157"/>
  <c r="W382" i="157"/>
  <c r="W383" i="157"/>
  <c r="W384" i="157"/>
  <c r="W385" i="157"/>
  <c r="W386" i="157"/>
  <c r="W387" i="157"/>
  <c r="W376" i="157"/>
  <c r="W377" i="157"/>
  <c r="W322" i="157"/>
  <c r="W299" i="157"/>
  <c r="W300" i="157"/>
  <c r="W288" i="157"/>
  <c r="W174" i="157"/>
  <c r="W202" i="157"/>
  <c r="W178" i="157"/>
  <c r="W201" i="157"/>
  <c r="W240" i="157"/>
  <c r="W241" i="157"/>
  <c r="W242" i="157"/>
  <c r="W243" i="157"/>
  <c r="W244" i="157"/>
  <c r="W245" i="157"/>
  <c r="W236" i="157"/>
  <c r="W233" i="157"/>
  <c r="W212" i="157"/>
  <c r="W191" i="157"/>
  <c r="W171" i="157"/>
  <c r="W169" i="157"/>
  <c r="W138" i="157"/>
  <c r="W93" i="157"/>
  <c r="W91" i="157"/>
  <c r="W75" i="157"/>
  <c r="W665" i="157"/>
  <c r="W773" i="157"/>
  <c r="W688" i="157"/>
  <c r="W608" i="157"/>
  <c r="W301" i="157"/>
  <c r="W861" i="157"/>
  <c r="W664" i="157"/>
  <c r="W495" i="157"/>
  <c r="W229" i="157"/>
  <c r="W1268" i="157"/>
  <c r="W409" i="157"/>
  <c r="W232" i="157"/>
  <c r="W1202" i="157"/>
  <c r="W1072" i="157"/>
  <c r="W1030" i="157"/>
  <c r="W982" i="157"/>
  <c r="W971" i="157"/>
  <c r="W910" i="157"/>
  <c r="W911" i="157"/>
  <c r="W854" i="157"/>
  <c r="W805" i="157"/>
  <c r="W770" i="157"/>
  <c r="W689" i="157"/>
  <c r="W673" i="157"/>
  <c r="W619" i="157"/>
  <c r="W597" i="157"/>
  <c r="W542" i="157"/>
  <c r="W433" i="157"/>
  <c r="W413" i="157"/>
  <c r="W378" i="157"/>
  <c r="W357" i="157"/>
  <c r="W323" i="157"/>
  <c r="W213" i="157"/>
  <c r="W77" i="157"/>
  <c r="W214" i="157"/>
  <c r="W50" i="157"/>
  <c r="W51" i="157"/>
  <c r="W1190" i="157"/>
  <c r="W1184" i="157"/>
  <c r="W1062" i="157"/>
  <c r="W1007" i="157"/>
  <c r="W914" i="157"/>
  <c r="W840" i="157"/>
  <c r="W473" i="157"/>
  <c r="W309" i="157"/>
  <c r="W255" i="157"/>
  <c r="W40" i="157"/>
  <c r="W38" i="157"/>
  <c r="W1014" i="157"/>
  <c r="W283" i="157"/>
  <c r="W850" i="157"/>
  <c r="W486" i="157"/>
  <c r="W438" i="157"/>
  <c r="W418" i="157"/>
  <c r="W396" i="157"/>
  <c r="W361" i="157"/>
  <c r="W345" i="157"/>
  <c r="W302" i="157"/>
  <c r="W237" i="157"/>
  <c r="W208" i="157"/>
  <c r="W173" i="157"/>
  <c r="W139" i="157"/>
  <c r="W105" i="157"/>
  <c r="W92" i="157"/>
  <c r="W76" i="157"/>
  <c r="W44" i="157"/>
  <c r="W1115" i="157"/>
  <c r="W844" i="157"/>
  <c r="W1165" i="157"/>
  <c r="W1003" i="157"/>
  <c r="W907" i="157"/>
  <c r="W758" i="157"/>
  <c r="W461" i="157"/>
  <c r="W329" i="157"/>
  <c r="W211" i="157"/>
  <c r="W136" i="157"/>
  <c r="W1240" i="157"/>
  <c r="W1009" i="157"/>
  <c r="W690" i="157"/>
  <c r="W817" i="157"/>
  <c r="W354" i="157"/>
  <c r="W802" i="157"/>
  <c r="W431" i="157"/>
  <c r="W251" i="157"/>
  <c r="W1135" i="157"/>
  <c r="W1013" i="157"/>
  <c r="W947" i="157"/>
  <c r="W909" i="157"/>
  <c r="W767" i="157"/>
  <c r="W585" i="157"/>
  <c r="W586" i="157"/>
  <c r="W685" i="157"/>
  <c r="W503" i="157"/>
  <c r="W356" i="157"/>
  <c r="W351" i="157"/>
  <c r="W348" i="157"/>
  <c r="W346" i="157"/>
  <c r="W180" i="157"/>
  <c r="W179" i="157"/>
  <c r="W14" i="157"/>
  <c r="W1257" i="157"/>
  <c r="W1241" i="157"/>
  <c r="W669" i="157"/>
  <c r="W175" i="157"/>
  <c r="W52" i="157"/>
  <c r="W1098" i="157"/>
  <c r="W78" i="157"/>
  <c r="W897" i="157"/>
  <c r="W1002" i="157"/>
  <c r="W759" i="157"/>
  <c r="W662" i="157"/>
  <c r="W999" i="157"/>
  <c r="W797" i="157"/>
  <c r="W663" i="157"/>
  <c r="W714" i="157"/>
  <c r="W468" i="157"/>
  <c r="W467" i="157"/>
  <c r="W437" i="157"/>
  <c r="W305" i="157"/>
  <c r="W209" i="157"/>
  <c r="W135" i="157"/>
  <c r="W90" i="157"/>
  <c r="W873" i="157"/>
  <c r="W427" i="157"/>
  <c r="W839" i="157"/>
  <c r="W771" i="157"/>
  <c r="W728" i="157"/>
  <c r="W677" i="157"/>
  <c r="W598" i="157"/>
  <c r="W566" i="157"/>
  <c r="W482" i="157"/>
  <c r="W415" i="157"/>
  <c r="W359" i="157"/>
  <c r="W303" i="157"/>
  <c r="W215" i="157"/>
  <c r="W140" i="157"/>
  <c r="W106" i="157"/>
  <c r="W56" i="157"/>
  <c r="W1208" i="157"/>
  <c r="W983" i="157"/>
  <c r="W670" i="157"/>
  <c r="W577" i="157"/>
  <c r="W483" i="157"/>
  <c r="W379" i="157"/>
  <c r="W239" i="157"/>
  <c r="W1000" i="157"/>
  <c r="W1134" i="157"/>
  <c r="W993" i="157"/>
  <c r="W833" i="157"/>
  <c r="W541" i="157"/>
  <c r="W540" i="157"/>
  <c r="W537" i="157"/>
  <c r="W531" i="157"/>
  <c r="W600" i="157"/>
  <c r="W524" i="157"/>
  <c r="W520" i="157"/>
  <c r="W380" i="157"/>
  <c r="W381" i="157"/>
  <c r="W165" i="157"/>
  <c r="W1261" i="157"/>
  <c r="W1262" i="157"/>
  <c r="W94" i="157"/>
  <c r="W63" i="157"/>
  <c r="W86" i="157"/>
  <c r="W913" i="157"/>
  <c r="W641" i="157"/>
  <c r="W570" i="157"/>
  <c r="W1153" i="157"/>
  <c r="W1154" i="157"/>
  <c r="W1155" i="157"/>
  <c r="W1147" i="157"/>
  <c r="W1148" i="157"/>
  <c r="W1149" i="157"/>
  <c r="W1150" i="157"/>
  <c r="W1151" i="157"/>
  <c r="W1152" i="157"/>
  <c r="W956" i="157"/>
  <c r="W955" i="157"/>
  <c r="W954" i="157"/>
  <c r="W953" i="157"/>
  <c r="W952" i="157"/>
  <c r="W951" i="157"/>
  <c r="W950" i="157"/>
  <c r="W948" i="157"/>
  <c r="W788" i="157"/>
  <c r="W787" i="157"/>
  <c r="W783" i="157"/>
  <c r="W782" i="157"/>
  <c r="W781" i="157"/>
  <c r="W780" i="157"/>
  <c r="W779" i="157"/>
  <c r="W778" i="157"/>
  <c r="W777" i="157"/>
  <c r="W776" i="157"/>
  <c r="W774" i="157"/>
  <c r="W775" i="157"/>
  <c r="W538" i="157"/>
  <c r="W536" i="157"/>
  <c r="W533" i="157"/>
  <c r="W534" i="157"/>
  <c r="W527" i="157"/>
  <c r="W525" i="157"/>
  <c r="W523" i="157"/>
  <c r="W522" i="157"/>
  <c r="W521" i="157"/>
  <c r="W518" i="157"/>
  <c r="W516" i="157"/>
  <c r="W515" i="157"/>
  <c r="W182" i="157"/>
  <c r="W181" i="157"/>
  <c r="W183" i="157"/>
  <c r="W145" i="157"/>
  <c r="W146" i="157"/>
  <c r="W686" i="157"/>
  <c r="W344" i="157"/>
  <c r="W343" i="157"/>
  <c r="W1264" i="157"/>
  <c r="W1170" i="157"/>
  <c r="W1116" i="157"/>
  <c r="W834" i="157"/>
  <c r="W822" i="157"/>
  <c r="W681" i="157"/>
  <c r="W576" i="157"/>
  <c r="W599" i="157"/>
  <c r="W460" i="157"/>
  <c r="W332" i="157"/>
  <c r="W95" i="157"/>
  <c r="W13" i="157"/>
  <c r="W796" i="157"/>
  <c r="W1247" i="157"/>
  <c r="W859" i="157"/>
  <c r="W998" i="157"/>
  <c r="W210" i="157"/>
  <c r="W1085" i="157"/>
  <c r="W965" i="157"/>
  <c r="W932" i="157"/>
  <c r="W928" i="157"/>
  <c r="W553" i="157"/>
  <c r="W398" i="157"/>
  <c r="W256" i="157"/>
  <c r="W257" i="157"/>
  <c r="W252" i="157"/>
  <c r="W134" i="157"/>
  <c r="W1270" i="157"/>
  <c r="W1232" i="157"/>
  <c r="W1168" i="157"/>
  <c r="W621" i="157"/>
  <c r="W1106" i="157"/>
  <c r="W1107" i="157"/>
  <c r="W1103" i="157"/>
  <c r="W1104" i="157"/>
  <c r="W1099" i="157"/>
  <c r="W1100" i="157"/>
  <c r="W1101" i="157"/>
  <c r="W1102" i="157"/>
  <c r="W1026" i="157"/>
  <c r="W1027" i="157"/>
  <c r="W1028" i="157"/>
  <c r="W1025" i="157"/>
  <c r="W1024" i="157"/>
  <c r="W944" i="157"/>
  <c r="W941" i="157"/>
  <c r="W942" i="157"/>
  <c r="W943" i="157"/>
  <c r="W939" i="157"/>
  <c r="W940" i="157"/>
  <c r="W746" i="157"/>
  <c r="W747" i="157"/>
  <c r="W748" i="157"/>
  <c r="W749" i="157"/>
  <c r="W750" i="157"/>
  <c r="W742" i="157"/>
  <c r="W743" i="157"/>
  <c r="W733" i="157"/>
  <c r="W734" i="157"/>
  <c r="W735" i="157"/>
  <c r="W736" i="157"/>
  <c r="W730" i="157"/>
  <c r="W731" i="157"/>
  <c r="W650" i="157"/>
  <c r="W651" i="157"/>
  <c r="W652" i="157"/>
  <c r="W653" i="157"/>
  <c r="W646" i="157"/>
  <c r="W647" i="157"/>
  <c r="W648" i="157"/>
  <c r="W649" i="157"/>
  <c r="W642" i="157"/>
  <c r="W643" i="157"/>
  <c r="W644" i="157"/>
  <c r="W645" i="157"/>
  <c r="W469" i="157"/>
  <c r="W463" i="157"/>
  <c r="W635" i="157"/>
  <c r="W636" i="157"/>
  <c r="W637" i="157"/>
  <c r="W638" i="157"/>
  <c r="W639" i="157"/>
  <c r="W640" i="157"/>
  <c r="W275" i="157"/>
  <c r="W273" i="157"/>
  <c r="W272" i="157"/>
  <c r="W269" i="157"/>
  <c r="W270" i="157"/>
  <c r="W160" i="157"/>
  <c r="W159" i="157"/>
  <c r="W152" i="157"/>
  <c r="W153" i="157"/>
  <c r="W154" i="157"/>
  <c r="W155" i="157"/>
  <c r="W156" i="157"/>
  <c r="W157" i="157"/>
  <c r="W151" i="157"/>
  <c r="W149" i="157"/>
  <c r="W150" i="157"/>
  <c r="W1252" i="157"/>
  <c r="W1243" i="157"/>
  <c r="W1244" i="157"/>
  <c r="W1230" i="157"/>
  <c r="W1231" i="157"/>
  <c r="W470" i="157"/>
  <c r="W1105" i="157"/>
  <c r="W1029" i="157"/>
  <c r="W945" i="157"/>
  <c r="W938" i="157"/>
  <c r="W937" i="157"/>
  <c r="W732" i="157"/>
  <c r="W654" i="157"/>
  <c r="W471" i="157"/>
  <c r="W472" i="157"/>
  <c r="W466" i="157"/>
  <c r="W465" i="157"/>
  <c r="W464" i="157"/>
  <c r="W271" i="157"/>
  <c r="W268" i="157"/>
  <c r="W1246" i="157"/>
  <c r="W1128" i="157"/>
  <c r="W930" i="157"/>
  <c r="W931" i="157"/>
  <c r="W929" i="157"/>
  <c r="W927" i="157"/>
  <c r="W596" i="157"/>
  <c r="W595" i="157"/>
  <c r="W593" i="157"/>
  <c r="W594" i="157"/>
  <c r="W226" i="157"/>
  <c r="W225" i="157"/>
  <c r="W222" i="157"/>
  <c r="W113" i="157"/>
  <c r="W904" i="157"/>
  <c r="W890" i="157"/>
  <c r="W799" i="157"/>
  <c r="W744" i="157"/>
  <c r="W745" i="157"/>
  <c r="W691" i="157"/>
  <c r="W692" i="157"/>
  <c r="W479" i="157"/>
  <c r="W508" i="157"/>
  <c r="W1259" i="157"/>
  <c r="W925" i="157"/>
  <c r="W1260" i="157"/>
  <c r="W981" i="157"/>
  <c r="W177" i="157"/>
  <c r="W1193" i="157"/>
  <c r="W1065" i="157"/>
  <c r="W1052" i="157"/>
  <c r="W1017" i="157"/>
  <c r="W1019" i="157"/>
  <c r="W918" i="157"/>
  <c r="W660" i="157"/>
  <c r="W560" i="157"/>
  <c r="W436" i="157"/>
  <c r="W333" i="157"/>
  <c r="W193" i="157"/>
  <c r="W1075" i="157"/>
  <c r="W970" i="157"/>
  <c r="W874" i="157"/>
  <c r="W864" i="157"/>
  <c r="W865" i="157"/>
  <c r="W331" i="157"/>
  <c r="W164" i="157"/>
  <c r="W53" i="157"/>
  <c r="W34" i="157"/>
  <c r="W33" i="157"/>
  <c r="W170" i="157"/>
  <c r="W347" i="157"/>
  <c r="W1081" i="157"/>
  <c r="W496" i="157"/>
  <c r="W973" i="157"/>
  <c r="W835" i="157"/>
  <c r="W206" i="157"/>
  <c r="W390" i="157"/>
  <c r="W204" i="157"/>
  <c r="W46" i="157"/>
  <c r="W107" i="157"/>
  <c r="W1088" i="157"/>
  <c r="W957" i="157"/>
  <c r="W375" i="157"/>
  <c r="W720" i="157"/>
  <c r="W371" i="157"/>
  <c r="W369" i="157"/>
  <c r="W112" i="157"/>
  <c r="W373" i="157"/>
  <c r="W123" i="157"/>
  <c r="W125" i="157"/>
  <c r="W906" i="157"/>
  <c r="W900" i="157"/>
  <c r="W1046" i="157"/>
  <c r="W1045" i="157"/>
  <c r="W308" i="157"/>
  <c r="W980" i="157"/>
  <c r="W979" i="157"/>
  <c r="W849" i="157"/>
  <c r="W847" i="157"/>
  <c r="W848" i="157"/>
  <c r="W845" i="157"/>
  <c r="W766" i="157"/>
  <c r="W552" i="157"/>
  <c r="W551" i="157"/>
  <c r="W445" i="157"/>
  <c r="W440" i="157"/>
  <c r="W341" i="157"/>
  <c r="W340" i="157"/>
  <c r="W231" i="157"/>
  <c r="W127" i="157"/>
  <c r="W37" i="157"/>
  <c r="W7" i="157"/>
  <c r="W298" i="157"/>
  <c r="W289" i="157"/>
  <c r="W319" i="157"/>
  <c r="W167" i="157"/>
  <c r="W247" i="157"/>
  <c r="W96" i="157"/>
  <c r="W1122" i="157"/>
  <c r="W672" i="157"/>
  <c r="W615" i="157"/>
  <c r="W1191" i="157"/>
  <c r="W1185" i="157"/>
  <c r="W408" i="157"/>
  <c r="W262" i="157"/>
  <c r="W924" i="157"/>
  <c r="W814" i="157"/>
  <c r="W936" i="157"/>
  <c r="W374" i="157"/>
  <c r="W1146" i="157"/>
  <c r="W1051" i="157"/>
  <c r="W995" i="157"/>
  <c r="W311" i="157"/>
  <c r="W176" i="157"/>
  <c r="W987" i="157"/>
  <c r="W696" i="157"/>
  <c r="W22" i="157"/>
  <c r="W988" i="157"/>
  <c r="W984" i="157"/>
  <c r="W703" i="157"/>
  <c r="W704" i="157"/>
  <c r="W702" i="157"/>
  <c r="W610" i="157"/>
  <c r="W611" i="157"/>
  <c r="W284" i="157"/>
  <c r="W285" i="157"/>
  <c r="W286" i="157"/>
  <c r="W459" i="157"/>
  <c r="W118" i="157"/>
  <c r="W1144" i="157"/>
  <c r="W860" i="157"/>
  <c r="W1004" i="157"/>
  <c r="W220" i="157"/>
  <c r="W883" i="157"/>
  <c r="W23" i="157"/>
  <c r="W1160" i="157"/>
  <c r="W824" i="157"/>
  <c r="W724" i="157"/>
  <c r="W421" i="157"/>
  <c r="W1125" i="157"/>
  <c r="W1120" i="157"/>
  <c r="W1118" i="157"/>
  <c r="W592" i="157"/>
  <c r="W590" i="157"/>
  <c r="W443" i="157"/>
  <c r="W216" i="157"/>
  <c r="W186" i="157"/>
  <c r="W100" i="157"/>
  <c r="W869" i="157"/>
  <c r="W862" i="157"/>
  <c r="W143" i="157"/>
  <c r="W10" i="157"/>
  <c r="W417" i="157"/>
  <c r="W316" i="157"/>
  <c r="W1192" i="157"/>
  <c r="W891" i="157"/>
  <c r="W892" i="157"/>
  <c r="W368" i="157"/>
  <c r="W137" i="157"/>
  <c r="W79" i="157"/>
  <c r="W1195" i="157"/>
  <c r="W1164" i="157"/>
  <c r="W712" i="157"/>
  <c r="W513" i="157"/>
  <c r="W548" i="157"/>
  <c r="W25" i="157"/>
  <c r="W857" i="157"/>
  <c r="W422" i="157"/>
  <c r="W1198" i="157"/>
  <c r="W70" i="157"/>
  <c r="W684" i="157"/>
  <c r="W1142" i="157"/>
  <c r="W1239" i="157"/>
  <c r="W394" i="157"/>
  <c r="W122" i="157"/>
  <c r="W81" i="157"/>
  <c r="W1111" i="157"/>
  <c r="W235" i="157"/>
  <c r="W872" i="157"/>
  <c r="W581" i="157"/>
  <c r="W573" i="157"/>
  <c r="W342" i="157"/>
  <c r="W117" i="157"/>
  <c r="W1061" i="157"/>
  <c r="W620" i="157"/>
  <c r="W1023" i="157"/>
  <c r="W658" i="157"/>
  <c r="W1091" i="157"/>
  <c r="W905" i="157"/>
  <c r="W829" i="157"/>
  <c r="W456" i="157"/>
  <c r="W350" i="157"/>
  <c r="W1226" i="157"/>
  <c r="W1213" i="157"/>
  <c r="W16" i="157"/>
  <c r="W20" i="157"/>
  <c r="A1281" i="1"/>
  <c r="C1281" i="1"/>
  <c r="B1281" i="1" s="1"/>
  <c r="F1281" i="1"/>
  <c r="M1281" i="1"/>
  <c r="O1281" i="1"/>
  <c r="S1281" i="1"/>
  <c r="T1281" i="1"/>
  <c r="U1281" i="1"/>
  <c r="Y1281" i="1" s="1"/>
  <c r="V1281" i="1"/>
  <c r="W1281" i="1" s="1"/>
  <c r="Z1281" i="1"/>
  <c r="A1280" i="1"/>
  <c r="C1280" i="1"/>
  <c r="B1280" i="1" s="1"/>
  <c r="F1280" i="1"/>
  <c r="M1280" i="1"/>
  <c r="O1280" i="1"/>
  <c r="S1280" i="1"/>
  <c r="U1280" i="1"/>
  <c r="Y1280" i="1" s="1"/>
  <c r="V1280" i="1"/>
  <c r="W1280" i="1" s="1"/>
  <c r="Z1280" i="1"/>
  <c r="A1279" i="1"/>
  <c r="C1279" i="1"/>
  <c r="B1279" i="1" s="1"/>
  <c r="F1279" i="1"/>
  <c r="M1279" i="1"/>
  <c r="O1279" i="1"/>
  <c r="S1279" i="1"/>
  <c r="U1279" i="1"/>
  <c r="V1279" i="1"/>
  <c r="W1279" i="1" s="1"/>
  <c r="Z1279" i="1"/>
  <c r="A1278" i="1"/>
  <c r="C1278" i="1"/>
  <c r="B1278" i="1" s="1"/>
  <c r="F1278" i="1"/>
  <c r="M1278" i="1"/>
  <c r="O1278" i="1"/>
  <c r="S1278" i="1"/>
  <c r="U1278" i="1"/>
  <c r="V1278" i="1"/>
  <c r="W1278" i="1" s="1"/>
  <c r="Z1278" i="1"/>
  <c r="A1277" i="1"/>
  <c r="C1277" i="1"/>
  <c r="B1277" i="1" s="1"/>
  <c r="F1277" i="1"/>
  <c r="M1277" i="1"/>
  <c r="O1277" i="1"/>
  <c r="S1277" i="1"/>
  <c r="U1277" i="1"/>
  <c r="V1277" i="1"/>
  <c r="W1277" i="1" s="1"/>
  <c r="Z1277" i="1"/>
  <c r="A1276" i="1"/>
  <c r="C1276" i="1"/>
  <c r="B1276" i="1" s="1"/>
  <c r="F1276" i="1"/>
  <c r="M1276" i="1"/>
  <c r="O1276" i="1"/>
  <c r="S1276" i="1"/>
  <c r="U1276" i="1"/>
  <c r="Y1276" i="1" s="1"/>
  <c r="V1276" i="1"/>
  <c r="W1276" i="1" s="1"/>
  <c r="Z1276" i="1"/>
  <c r="A1275" i="1"/>
  <c r="C1275" i="1"/>
  <c r="B1275" i="1" s="1"/>
  <c r="F1275" i="1"/>
  <c r="O1275" i="1"/>
  <c r="T1275" i="1"/>
  <c r="U1275" i="1"/>
  <c r="Y1275" i="1" s="1"/>
  <c r="V1275" i="1"/>
  <c r="W1275" i="1" s="1"/>
  <c r="Z1275" i="1"/>
  <c r="A1274" i="1"/>
  <c r="C1274" i="1"/>
  <c r="B1274" i="1" s="1"/>
  <c r="F1274" i="1"/>
  <c r="M1274" i="1"/>
  <c r="O1274" i="1"/>
  <c r="T1274" i="1"/>
  <c r="U1274" i="1"/>
  <c r="Y1274" i="1" s="1"/>
  <c r="V1274" i="1"/>
  <c r="W1274" i="1" s="1"/>
  <c r="Z1274" i="1"/>
  <c r="A1273" i="1"/>
  <c r="C1273" i="1"/>
  <c r="B1273" i="1" s="1"/>
  <c r="F1273" i="1"/>
  <c r="M1273" i="1"/>
  <c r="O1273" i="1"/>
  <c r="T1273" i="1"/>
  <c r="U1273" i="1"/>
  <c r="Y1273" i="1" s="1"/>
  <c r="V1273" i="1"/>
  <c r="W1273" i="1" s="1"/>
  <c r="Z1273" i="1"/>
  <c r="A1272" i="1"/>
  <c r="C1272" i="1"/>
  <c r="B1272" i="1" s="1"/>
  <c r="F1272" i="1"/>
  <c r="M1272" i="1"/>
  <c r="O1272" i="1"/>
  <c r="T1272" i="1"/>
  <c r="U1272" i="1"/>
  <c r="Y1272" i="1" s="1"/>
  <c r="V1272" i="1"/>
  <c r="W1272" i="1" s="1"/>
  <c r="Z1272" i="1"/>
  <c r="A1271" i="1"/>
  <c r="C1271" i="1"/>
  <c r="B1271" i="1" s="1"/>
  <c r="F1271" i="1"/>
  <c r="M1271" i="1"/>
  <c r="O1271" i="1"/>
  <c r="T1271" i="1"/>
  <c r="U1271" i="1"/>
  <c r="V1271" i="1"/>
  <c r="W1271" i="1" s="1"/>
  <c r="Z1271" i="1"/>
  <c r="A1269" i="1"/>
  <c r="A1270" i="1"/>
  <c r="C1269" i="1"/>
  <c r="B1269" i="1" s="1"/>
  <c r="C1270" i="1"/>
  <c r="B1270" i="1" s="1"/>
  <c r="F1269" i="1"/>
  <c r="F1270" i="1"/>
  <c r="M1269" i="1"/>
  <c r="M1270" i="1"/>
  <c r="O1269" i="1"/>
  <c r="O1270" i="1"/>
  <c r="S1269" i="1"/>
  <c r="S1270" i="1"/>
  <c r="T1269" i="1"/>
  <c r="T1270" i="1"/>
  <c r="U1269" i="1"/>
  <c r="Y1269" i="1" s="1"/>
  <c r="U1270" i="1"/>
  <c r="Y1270" i="1" s="1"/>
  <c r="V1269" i="1"/>
  <c r="W1269" i="1" s="1"/>
  <c r="V1270" i="1"/>
  <c r="W1270" i="1" s="1"/>
  <c r="Z1269" i="1"/>
  <c r="Z1270" i="1"/>
  <c r="E737" i="6"/>
  <c r="E738" i="6"/>
  <c r="E739" i="6"/>
  <c r="F738" i="6"/>
  <c r="I737" i="6"/>
  <c r="I738" i="6"/>
  <c r="I739" i="6"/>
  <c r="J737" i="6"/>
  <c r="J738" i="6"/>
  <c r="J739" i="6"/>
  <c r="A1268" i="1"/>
  <c r="C1268" i="1"/>
  <c r="B1268" i="1" s="1"/>
  <c r="F1268" i="1"/>
  <c r="M1268" i="1"/>
  <c r="O1268" i="1"/>
  <c r="U1268" i="1"/>
  <c r="V1268" i="1"/>
  <c r="W1268" i="1" s="1"/>
  <c r="Z1268" i="1"/>
  <c r="A1267" i="1"/>
  <c r="C1267" i="1"/>
  <c r="B1267" i="1" s="1"/>
  <c r="F1267" i="1"/>
  <c r="M1267" i="1"/>
  <c r="O1267" i="1"/>
  <c r="S1267" i="1"/>
  <c r="T1267" i="1"/>
  <c r="U1267" i="1"/>
  <c r="Y1267" i="1" s="1"/>
  <c r="V1267" i="1"/>
  <c r="W1267" i="1" s="1"/>
  <c r="Z1267" i="1"/>
  <c r="A1266" i="1"/>
  <c r="C1266" i="1"/>
  <c r="B1266" i="1" s="1"/>
  <c r="F1266" i="1"/>
  <c r="M1266" i="1"/>
  <c r="O1266" i="1"/>
  <c r="T1266" i="1"/>
  <c r="U1266" i="1"/>
  <c r="V1266" i="1"/>
  <c r="W1266" i="1" s="1"/>
  <c r="Z1266" i="1"/>
  <c r="A1265" i="1"/>
  <c r="C1265" i="1"/>
  <c r="B1265" i="1" s="1"/>
  <c r="F1265" i="1"/>
  <c r="M1265" i="1"/>
  <c r="O1265" i="1"/>
  <c r="U1265" i="1"/>
  <c r="Y1265" i="1" s="1"/>
  <c r="V1265" i="1"/>
  <c r="W1265" i="1" s="1"/>
  <c r="Z1265" i="1"/>
  <c r="A1264" i="1"/>
  <c r="C1264" i="1"/>
  <c r="B1264" i="1" s="1"/>
  <c r="F1264" i="1"/>
  <c r="M1264" i="1"/>
  <c r="O1264" i="1"/>
  <c r="U1264" i="1"/>
  <c r="Y1264" i="1" s="1"/>
  <c r="V1264" i="1"/>
  <c r="W1264" i="1" s="1"/>
  <c r="Z1264" i="1"/>
  <c r="A1263" i="1"/>
  <c r="C1263" i="1"/>
  <c r="B1263" i="1" s="1"/>
  <c r="F1263" i="1"/>
  <c r="M1263" i="1"/>
  <c r="O1263" i="1"/>
  <c r="U1263" i="1"/>
  <c r="Y1263" i="1" s="1"/>
  <c r="V1263" i="1"/>
  <c r="W1263" i="1" s="1"/>
  <c r="Z1263" i="1"/>
  <c r="A1262" i="1"/>
  <c r="C1262" i="1"/>
  <c r="B1262" i="1" s="1"/>
  <c r="F1262" i="1"/>
  <c r="M1262" i="1"/>
  <c r="O1262" i="1"/>
  <c r="U1262" i="1"/>
  <c r="Y1262" i="1" s="1"/>
  <c r="V1262" i="1"/>
  <c r="W1262" i="1" s="1"/>
  <c r="Z1262" i="1"/>
  <c r="A1261" i="1"/>
  <c r="C1261" i="1"/>
  <c r="B1261" i="1" s="1"/>
  <c r="F1261" i="1"/>
  <c r="M1261" i="1"/>
  <c r="O1261" i="1"/>
  <c r="U1261" i="1"/>
  <c r="Y1261" i="1" s="1"/>
  <c r="V1261" i="1"/>
  <c r="W1261" i="1" s="1"/>
  <c r="Z1261" i="1"/>
  <c r="A1260" i="1"/>
  <c r="C1260" i="1"/>
  <c r="B1260" i="1" s="1"/>
  <c r="F1260" i="1"/>
  <c r="M1260" i="1"/>
  <c r="O1260" i="1"/>
  <c r="U1260" i="1"/>
  <c r="Y1260" i="1" s="1"/>
  <c r="V1260" i="1"/>
  <c r="W1260" i="1" s="1"/>
  <c r="Z1260" i="1"/>
  <c r="A1259" i="1"/>
  <c r="C1259" i="1"/>
  <c r="B1259" i="1" s="1"/>
  <c r="F1259" i="1"/>
  <c r="M1259" i="1"/>
  <c r="O1259" i="1"/>
  <c r="U1259" i="1"/>
  <c r="Y1259" i="1" s="1"/>
  <c r="V1259" i="1"/>
  <c r="W1259" i="1" s="1"/>
  <c r="Z1259" i="1"/>
  <c r="A1258" i="1"/>
  <c r="C1258" i="1"/>
  <c r="B1258" i="1" s="1"/>
  <c r="F1258" i="1"/>
  <c r="M1258" i="1"/>
  <c r="O1258" i="1"/>
  <c r="U1258" i="1"/>
  <c r="Y1258" i="1" s="1"/>
  <c r="V1258" i="1"/>
  <c r="W1258" i="1" s="1"/>
  <c r="Z1258" i="1"/>
  <c r="A1257" i="1"/>
  <c r="C1257" i="1"/>
  <c r="B1257" i="1" s="1"/>
  <c r="F1257" i="1"/>
  <c r="M1257" i="1"/>
  <c r="O1257" i="1"/>
  <c r="U1257" i="1"/>
  <c r="Y1257" i="1" s="1"/>
  <c r="V1257" i="1"/>
  <c r="W1257" i="1" s="1"/>
  <c r="Z1257" i="1"/>
  <c r="A1255" i="1"/>
  <c r="A1256" i="1"/>
  <c r="C1255" i="1"/>
  <c r="B1255" i="1" s="1"/>
  <c r="C1256" i="1"/>
  <c r="B1256" i="1" s="1"/>
  <c r="F1255" i="1"/>
  <c r="F1256" i="1"/>
  <c r="M1255" i="1"/>
  <c r="M1256" i="1"/>
  <c r="O1255" i="1"/>
  <c r="O1256" i="1"/>
  <c r="U1255" i="1"/>
  <c r="Y1255" i="1" s="1"/>
  <c r="U1256" i="1"/>
  <c r="Y1256" i="1" s="1"/>
  <c r="V1255" i="1"/>
  <c r="W1255" i="1" s="1"/>
  <c r="V1256" i="1"/>
  <c r="W1256" i="1" s="1"/>
  <c r="Z1255" i="1"/>
  <c r="Z1256" i="1"/>
  <c r="A1254" i="1"/>
  <c r="C1254" i="1"/>
  <c r="B1254" i="1" s="1"/>
  <c r="F1254" i="1"/>
  <c r="M1254" i="1"/>
  <c r="O1254" i="1"/>
  <c r="U1254" i="1"/>
  <c r="Y1254" i="1" s="1"/>
  <c r="V1254" i="1"/>
  <c r="W1254" i="1" s="1"/>
  <c r="Z1254" i="1"/>
  <c r="E736" i="6"/>
  <c r="F736" i="6"/>
  <c r="I736" i="6"/>
  <c r="J736" i="6"/>
  <c r="E727" i="6"/>
  <c r="I727" i="6"/>
  <c r="J727" i="6"/>
  <c r="W1214" i="157" l="1"/>
  <c r="W98" i="157"/>
  <c r="W1211" i="157"/>
  <c r="W35" i="157"/>
  <c r="W200" i="157"/>
  <c r="W130" i="157"/>
  <c r="W972" i="157"/>
  <c r="W234" i="157"/>
  <c r="W584" i="157"/>
  <c r="W318" i="157"/>
  <c r="W916" i="157"/>
  <c r="W1059" i="157"/>
  <c r="W935" i="157"/>
  <c r="W121" i="157"/>
  <c r="W278" i="157"/>
  <c r="W851" i="157"/>
  <c r="W370" i="157"/>
  <c r="W39" i="157"/>
  <c r="W61" i="157"/>
  <c r="W1233" i="157"/>
  <c r="W163" i="157"/>
  <c r="W287" i="157"/>
  <c r="W372" i="157"/>
  <c r="W365" i="157"/>
  <c r="W399" i="157"/>
  <c r="W330" i="157"/>
  <c r="W755" i="157"/>
  <c r="W1018" i="157"/>
  <c r="W1078" i="157"/>
  <c r="W926" i="157"/>
  <c r="W946" i="157"/>
  <c r="W66" i="157"/>
  <c r="W580" i="157"/>
  <c r="W249" i="157"/>
  <c r="W800" i="157"/>
  <c r="W1047" i="157"/>
  <c r="W48" i="157"/>
  <c r="W141" i="157"/>
  <c r="W435" i="157"/>
  <c r="W1067" i="157"/>
  <c r="W21" i="157"/>
  <c r="W1215" i="157"/>
  <c r="W1222" i="157"/>
  <c r="W682" i="157"/>
  <c r="W424" i="157"/>
  <c r="W411" i="157"/>
  <c r="W453" i="157"/>
  <c r="W363" i="157"/>
  <c r="W400" i="157"/>
  <c r="W1020" i="157"/>
  <c r="W1196" i="157"/>
  <c r="W392" i="157"/>
  <c r="W364" i="157"/>
  <c r="W410" i="157"/>
  <c r="W477" i="157"/>
  <c r="W355" i="157"/>
  <c r="W1237" i="157"/>
  <c r="W716" i="157"/>
  <c r="W1087" i="157"/>
  <c r="W196" i="157"/>
  <c r="W1053" i="157"/>
  <c r="W544" i="157"/>
  <c r="W828" i="157"/>
  <c r="W739" i="157"/>
  <c r="W808" i="157"/>
  <c r="W1254" i="157"/>
  <c r="W564" i="157"/>
  <c r="W526" i="157"/>
  <c r="W868" i="157"/>
  <c r="W1217" i="157"/>
  <c r="W1229" i="157"/>
  <c r="W31" i="157"/>
  <c r="W1216" i="157"/>
  <c r="W45" i="157"/>
  <c r="W36" i="157"/>
  <c r="W221" i="157"/>
  <c r="W449" i="157"/>
  <c r="W903" i="157"/>
  <c r="W1090" i="157"/>
  <c r="W89" i="157"/>
  <c r="W922" i="157"/>
  <c r="W1187" i="157"/>
  <c r="W442" i="157"/>
  <c r="W1245" i="157"/>
  <c r="W228" i="157"/>
  <c r="W455" i="157"/>
  <c r="W871" i="157"/>
  <c r="W1034" i="157"/>
  <c r="W172" i="157"/>
  <c r="W207" i="157"/>
  <c r="W358" i="157"/>
  <c r="W1253" i="157"/>
  <c r="W393" i="157"/>
  <c r="W539" i="157"/>
  <c r="W1132" i="157"/>
  <c r="W491" i="157"/>
  <c r="W811" i="157"/>
  <c r="W9" i="157"/>
  <c r="W321" i="157"/>
  <c r="W1127" i="157"/>
  <c r="W423" i="157"/>
  <c r="W825" i="157"/>
  <c r="W1143" i="157"/>
  <c r="W295" i="157"/>
  <c r="W769" i="157"/>
  <c r="W1022" i="157"/>
  <c r="W1186" i="157"/>
  <c r="W8" i="157"/>
  <c r="W545" i="157"/>
  <c r="W934" i="157"/>
  <c r="W17" i="157"/>
  <c r="W69" i="157"/>
  <c r="W622" i="157"/>
  <c r="W809" i="157"/>
  <c r="W1161" i="157"/>
  <c r="W785" i="157"/>
  <c r="W238" i="157"/>
  <c r="W1035" i="157"/>
  <c r="W1096" i="157"/>
  <c r="W281" i="157"/>
  <c r="W803" i="157"/>
  <c r="W142" i="157"/>
  <c r="W723" i="157"/>
  <c r="W19" i="157"/>
  <c r="W12" i="157"/>
  <c r="W131" i="157"/>
  <c r="W293" i="157"/>
  <c r="W512" i="157"/>
  <c r="W711" i="157"/>
  <c r="W893" i="157"/>
  <c r="W1055" i="157"/>
  <c r="W1163" i="157"/>
  <c r="W1194" i="157"/>
  <c r="W426" i="157"/>
  <c r="W1110" i="157"/>
  <c r="W108" i="157"/>
  <c r="W446" i="157"/>
  <c r="W1126" i="157"/>
  <c r="W110" i="157"/>
  <c r="W488" i="157"/>
  <c r="W1033" i="157"/>
  <c r="W291" i="157"/>
  <c r="W625" i="157"/>
  <c r="W968" i="157"/>
  <c r="W476" i="157"/>
  <c r="W439" i="157"/>
  <c r="W224" i="157"/>
  <c r="W349" i="157"/>
  <c r="W504" i="157"/>
  <c r="W617" i="157"/>
  <c r="W837" i="157"/>
  <c r="W27" i="157"/>
  <c r="W258" i="157"/>
  <c r="W530" i="157"/>
  <c r="W718" i="157"/>
  <c r="W863" i="157"/>
  <c r="W879" i="157"/>
  <c r="W1235" i="157"/>
  <c r="W266" i="157"/>
  <c r="W752" i="157"/>
  <c r="W990" i="157"/>
  <c r="W414" i="157"/>
  <c r="W54" i="157"/>
  <c r="W276" i="157"/>
  <c r="W737" i="157"/>
  <c r="W246" i="157"/>
  <c r="W59" i="157"/>
  <c r="W447" i="157"/>
  <c r="W933" i="157"/>
  <c r="W1050" i="157"/>
  <c r="W816" i="157"/>
  <c r="W190" i="157"/>
  <c r="W314" i="157"/>
  <c r="W487" i="157"/>
  <c r="W614" i="157"/>
  <c r="W806" i="157"/>
  <c r="W761" i="157"/>
  <c r="W1064" i="157"/>
  <c r="W230" i="157"/>
  <c r="W1209" i="157"/>
  <c r="W1255" i="157"/>
  <c r="W30" i="157"/>
  <c r="W1227" i="157"/>
  <c r="W42" i="157"/>
  <c r="W1225" i="157"/>
  <c r="W543" i="157"/>
  <c r="W85" i="157"/>
  <c r="W352" i="157"/>
  <c r="W546" i="157"/>
  <c r="W830" i="157"/>
  <c r="W958" i="157"/>
  <c r="W1092" i="157"/>
  <c r="W335" i="157"/>
  <c r="W753" i="157"/>
  <c r="W1060" i="157"/>
  <c r="W274" i="157"/>
  <c r="W827" i="157"/>
  <c r="W1124" i="157"/>
  <c r="W116" i="157"/>
  <c r="W450" i="157"/>
  <c r="W572" i="157"/>
  <c r="W708" i="157"/>
  <c r="W877" i="157"/>
  <c r="W71" i="157"/>
  <c r="W324" i="157"/>
  <c r="W1176" i="157"/>
  <c r="W336" i="157"/>
  <c r="W474" i="157"/>
  <c r="W119" i="157"/>
  <c r="W395" i="157"/>
  <c r="W705" i="157"/>
  <c r="W82" i="157"/>
  <c r="W57" i="157"/>
  <c r="W812" i="157"/>
  <c r="W317" i="157"/>
  <c r="W687" i="157"/>
  <c r="W199" i="157"/>
  <c r="W633" i="157"/>
  <c r="W1010" i="157"/>
  <c r="W80" i="157"/>
  <c r="W556" i="157"/>
  <c r="W921" i="157"/>
  <c r="W1058" i="157"/>
  <c r="W88" i="157"/>
  <c r="W144" i="157"/>
  <c r="W784" i="157"/>
  <c r="W1129" i="157"/>
  <c r="W701" i="157"/>
  <c r="W250" i="157"/>
  <c r="W843" i="157"/>
  <c r="W41" i="157"/>
  <c r="W1008" i="157"/>
  <c r="W896" i="157"/>
  <c r="W452" i="157"/>
  <c r="W166" i="157"/>
  <c r="W656" i="157"/>
  <c r="W1130" i="157"/>
  <c r="W876" i="157"/>
  <c r="W366" i="157"/>
  <c r="W184" i="157"/>
  <c r="W974" i="157"/>
  <c r="W1234" i="157"/>
  <c r="W757" i="157"/>
  <c r="W192" i="157"/>
  <c r="W917" i="157"/>
  <c r="W1156" i="157"/>
  <c r="W1123" i="157"/>
  <c r="W161" i="157"/>
  <c r="W1084" i="157"/>
  <c r="W826" i="157"/>
  <c r="W62" i="157"/>
  <c r="W694" i="157"/>
  <c r="W964" i="157"/>
  <c r="W194" i="157"/>
  <c r="W997" i="157"/>
  <c r="W280" i="157"/>
  <c r="W671" i="157"/>
  <c r="W326" i="157"/>
  <c r="W297" i="157"/>
  <c r="W339" i="157"/>
  <c r="W801" i="157"/>
  <c r="W582" i="157"/>
  <c r="W124" i="157"/>
  <c r="W47" i="157"/>
  <c r="W1256" i="157"/>
  <c r="W1082" i="157"/>
  <c r="W655" i="157"/>
  <c r="W65" i="157"/>
  <c r="W855" i="157"/>
  <c r="W1159" i="157"/>
  <c r="W725" i="157"/>
  <c r="W72" i="157"/>
  <c r="W578" i="157"/>
  <c r="W895" i="157"/>
  <c r="W629" i="157"/>
  <c r="W975" i="157"/>
  <c r="W626" i="157"/>
  <c r="W1145" i="157"/>
  <c r="W510" i="157"/>
  <c r="W574" i="157"/>
  <c r="W700" i="157"/>
  <c r="W991" i="157"/>
  <c r="W697" i="157"/>
  <c r="W559" i="157"/>
  <c r="W908" i="157"/>
  <c r="W587" i="157"/>
  <c r="W425" i="157"/>
  <c r="W1083" i="157"/>
  <c r="W1063" i="157"/>
  <c r="W740" i="157"/>
  <c r="W978" i="157"/>
  <c r="W115" i="157"/>
  <c r="W28" i="157"/>
  <c r="W126" i="157"/>
  <c r="W444" i="157"/>
  <c r="W454" i="157"/>
  <c r="W846" i="157"/>
  <c r="W976" i="157"/>
  <c r="W1048" i="157"/>
  <c r="W880" i="157"/>
  <c r="W680" i="157"/>
  <c r="W367" i="157"/>
  <c r="W722" i="157"/>
  <c r="W1248" i="157"/>
  <c r="W205" i="157"/>
  <c r="W831" i="157"/>
  <c r="W292" i="157"/>
  <c r="W1269" i="157"/>
  <c r="W517" i="157"/>
  <c r="W760" i="157"/>
  <c r="W1076" i="157"/>
  <c r="W334" i="157"/>
  <c r="W659" i="157"/>
  <c r="W923" i="157"/>
  <c r="W1066" i="157"/>
  <c r="W612" i="157"/>
  <c r="W11" i="157"/>
  <c r="W589" i="157"/>
  <c r="W195" i="157"/>
  <c r="W1242" i="157"/>
  <c r="W267" i="157"/>
  <c r="W698" i="157"/>
  <c r="W1031" i="157"/>
  <c r="W986" i="157"/>
  <c r="W1206" i="157"/>
  <c r="W261" i="157"/>
  <c r="W912" i="157"/>
  <c r="W248" i="157"/>
  <c r="W457" i="157"/>
  <c r="W168" i="157"/>
  <c r="W717" i="157"/>
  <c r="W1131" i="157"/>
  <c r="W675" i="157"/>
  <c r="W111" i="157"/>
  <c r="W1089" i="157"/>
  <c r="W397" i="157"/>
  <c r="W853" i="157"/>
  <c r="W162" i="157"/>
  <c r="W969" i="157"/>
  <c r="W434" i="157"/>
  <c r="W1016" i="157"/>
  <c r="W1188" i="157"/>
  <c r="W60" i="157"/>
  <c r="W158" i="157"/>
  <c r="W304" i="157"/>
  <c r="W549" i="157"/>
  <c r="W591" i="157"/>
  <c r="W1117" i="157"/>
  <c r="W67" i="157"/>
  <c r="W562" i="157"/>
  <c r="W919" i="157"/>
  <c r="W1204" i="157"/>
  <c r="W103" i="157"/>
  <c r="W306" i="157"/>
  <c r="W277" i="157"/>
  <c r="W73" i="157"/>
  <c r="W478" i="157"/>
  <c r="X1281" i="1"/>
  <c r="P1281" i="1" s="1"/>
  <c r="Q1281" i="1" s="1"/>
  <c r="R1281" i="1" s="1"/>
  <c r="X1280" i="1"/>
  <c r="P1280" i="1" s="1"/>
  <c r="Q1280" i="1" s="1"/>
  <c r="X1279" i="1"/>
  <c r="P1279" i="1" s="1"/>
  <c r="Q1279" i="1" s="1"/>
  <c r="R1279" i="1" s="1"/>
  <c r="Y1279" i="1"/>
  <c r="T1280" i="1"/>
  <c r="R1280" i="1"/>
  <c r="X1278" i="1"/>
  <c r="P1278" i="1" s="1"/>
  <c r="Q1278" i="1" s="1"/>
  <c r="R1278" i="1" s="1"/>
  <c r="Y1278" i="1"/>
  <c r="T1279" i="1"/>
  <c r="X1277" i="1"/>
  <c r="Y1277" i="1"/>
  <c r="T1278" i="1"/>
  <c r="X1276" i="1"/>
  <c r="P1276" i="1" s="1"/>
  <c r="Q1276" i="1" s="1"/>
  <c r="R1276" i="1" s="1"/>
  <c r="T1277" i="1"/>
  <c r="T1276" i="1"/>
  <c r="X1275" i="1"/>
  <c r="P1275" i="1" s="1"/>
  <c r="R1275" i="1" s="1"/>
  <c r="D1275" i="1" s="1"/>
  <c r="X1274" i="1"/>
  <c r="P1274" i="1" s="1"/>
  <c r="Q1274" i="1" s="1"/>
  <c r="R1274" i="1" s="1"/>
  <c r="D1274" i="1" s="1"/>
  <c r="T1265" i="1"/>
  <c r="X1273" i="1"/>
  <c r="P1273" i="1" s="1"/>
  <c r="Q1273" i="1" s="1"/>
  <c r="R1273" i="1" s="1"/>
  <c r="D1273" i="1" s="1"/>
  <c r="X1272" i="1"/>
  <c r="P1272" i="1" s="1"/>
  <c r="Q1272" i="1" s="1"/>
  <c r="R1272" i="1" s="1"/>
  <c r="X1271" i="1"/>
  <c r="Y1271" i="1"/>
  <c r="X1270" i="1"/>
  <c r="P1270" i="1" s="1"/>
  <c r="Q1270" i="1" s="1"/>
  <c r="R1270" i="1" s="1"/>
  <c r="X1269" i="1"/>
  <c r="P1269" i="1" s="1"/>
  <c r="Q1269" i="1" s="1"/>
  <c r="R1269" i="1" s="1"/>
  <c r="D1269" i="1"/>
  <c r="D1270" i="1"/>
  <c r="X1268" i="1"/>
  <c r="Y1268" i="1"/>
  <c r="T1268" i="1"/>
  <c r="X1267" i="1"/>
  <c r="P1267" i="1" s="1"/>
  <c r="Q1267" i="1" s="1"/>
  <c r="R1267" i="1" s="1"/>
  <c r="T1264" i="1"/>
  <c r="X1266" i="1"/>
  <c r="P1266" i="1" s="1"/>
  <c r="Q1266" i="1" s="1"/>
  <c r="R1266" i="1" s="1"/>
  <c r="D1266" i="1" s="1"/>
  <c r="Y1266" i="1"/>
  <c r="X1265" i="1"/>
  <c r="P1265" i="1" s="1"/>
  <c r="Q1265" i="1" s="1"/>
  <c r="R1265" i="1" s="1"/>
  <c r="D1265" i="1" s="1"/>
  <c r="X1264" i="1"/>
  <c r="P1264" i="1" s="1"/>
  <c r="Q1264" i="1" s="1"/>
  <c r="R1264" i="1" s="1"/>
  <c r="D1264" i="1" s="1"/>
  <c r="T1258" i="1"/>
  <c r="T1263" i="1"/>
  <c r="X1263" i="1"/>
  <c r="P1263" i="1" s="1"/>
  <c r="Q1263" i="1" s="1"/>
  <c r="R1263" i="1" s="1"/>
  <c r="X1262" i="1"/>
  <c r="P1262" i="1" s="1"/>
  <c r="Q1262" i="1" s="1"/>
  <c r="R1262" i="1" s="1"/>
  <c r="T1262" i="1"/>
  <c r="T1260" i="1"/>
  <c r="X1261" i="1"/>
  <c r="P1261" i="1" s="1"/>
  <c r="Q1261" i="1" s="1"/>
  <c r="R1261" i="1" s="1"/>
  <c r="T1261" i="1"/>
  <c r="X1260" i="1"/>
  <c r="P1260" i="1" s="1"/>
  <c r="Q1260" i="1" s="1"/>
  <c r="R1260" i="1" s="1"/>
  <c r="X1259" i="1"/>
  <c r="P1259" i="1" s="1"/>
  <c r="Q1259" i="1" s="1"/>
  <c r="R1259" i="1" s="1"/>
  <c r="D1259" i="1" s="1"/>
  <c r="T1259" i="1"/>
  <c r="X1258" i="1"/>
  <c r="P1258" i="1" s="1"/>
  <c r="Q1258" i="1" s="1"/>
  <c r="R1258" i="1" s="1"/>
  <c r="T1257" i="1"/>
  <c r="X1257" i="1"/>
  <c r="P1257" i="1" s="1"/>
  <c r="Q1257" i="1" s="1"/>
  <c r="R1257" i="1" s="1"/>
  <c r="X1256" i="1"/>
  <c r="P1256" i="1" s="1"/>
  <c r="Q1256" i="1" s="1"/>
  <c r="R1256" i="1" s="1"/>
  <c r="T1256" i="1"/>
  <c r="T1254" i="1"/>
  <c r="X1255" i="1"/>
  <c r="P1255" i="1" s="1"/>
  <c r="Q1255" i="1" s="1"/>
  <c r="R1255" i="1" s="1"/>
  <c r="T1255" i="1"/>
  <c r="X1254" i="1"/>
  <c r="P1254" i="1" s="1"/>
  <c r="Q1254" i="1" s="1"/>
  <c r="R1254" i="1" s="1"/>
  <c r="C28" i="16"/>
  <c r="C20" i="16"/>
  <c r="C12" i="16" s="1"/>
  <c r="F734" i="6"/>
  <c r="E734" i="6"/>
  <c r="D734" i="6"/>
  <c r="I734" i="6"/>
  <c r="J734" i="6"/>
  <c r="B23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A1253" i="1"/>
  <c r="C1253" i="1"/>
  <c r="B1253" i="1" s="1"/>
  <c r="F1253" i="1"/>
  <c r="M1253" i="1"/>
  <c r="O1253" i="1"/>
  <c r="U1253" i="1"/>
  <c r="Y1253" i="1" s="1"/>
  <c r="V1253" i="1"/>
  <c r="W1253" i="1" s="1"/>
  <c r="Z1253" i="1"/>
  <c r="A1252" i="1"/>
  <c r="C1252" i="1"/>
  <c r="B1252" i="1" s="1"/>
  <c r="F1252" i="1"/>
  <c r="M1252" i="1"/>
  <c r="O1252" i="1"/>
  <c r="T1252" i="1"/>
  <c r="U1252" i="1"/>
  <c r="Y1252" i="1" s="1"/>
  <c r="V1252" i="1"/>
  <c r="W1252" i="1" s="1"/>
  <c r="Z1252" i="1"/>
  <c r="A1251" i="1"/>
  <c r="C1251" i="1"/>
  <c r="B1251" i="1" s="1"/>
  <c r="F1251" i="1"/>
  <c r="M1251" i="1"/>
  <c r="O1251" i="1"/>
  <c r="T1251" i="1"/>
  <c r="U1251" i="1"/>
  <c r="Y1251" i="1" s="1"/>
  <c r="V1251" i="1"/>
  <c r="W1251" i="1" s="1"/>
  <c r="Z1251" i="1"/>
  <c r="A1250" i="1"/>
  <c r="C1250" i="1"/>
  <c r="B1250" i="1" s="1"/>
  <c r="F1250" i="1"/>
  <c r="M1250" i="1"/>
  <c r="O1250" i="1"/>
  <c r="U1250" i="1"/>
  <c r="Y1250" i="1" s="1"/>
  <c r="V1250" i="1"/>
  <c r="W1250" i="1" s="1"/>
  <c r="Z1250" i="1"/>
  <c r="A896" i="1"/>
  <c r="C896" i="1"/>
  <c r="B896" i="1" s="1"/>
  <c r="F896" i="1"/>
  <c r="M896" i="1"/>
  <c r="O896" i="1"/>
  <c r="T896" i="1"/>
  <c r="U896" i="1"/>
  <c r="Y896" i="1" s="1"/>
  <c r="V896" i="1"/>
  <c r="W896" i="1" s="1"/>
  <c r="Z896" i="1"/>
  <c r="A843" i="1"/>
  <c r="C843" i="1"/>
  <c r="B843" i="1" s="1"/>
  <c r="F843" i="1"/>
  <c r="M843" i="1"/>
  <c r="O843" i="1"/>
  <c r="T843" i="1"/>
  <c r="U843" i="1"/>
  <c r="Y843" i="1" s="1"/>
  <c r="V843" i="1"/>
  <c r="W843" i="1" s="1"/>
  <c r="Z843" i="1"/>
  <c r="A1247" i="1"/>
  <c r="C1247" i="1"/>
  <c r="B1247" i="1" s="1"/>
  <c r="F1247" i="1"/>
  <c r="M1247" i="1"/>
  <c r="O1247" i="1"/>
  <c r="S1247" i="1"/>
  <c r="T1247" i="1"/>
  <c r="U1247" i="1"/>
  <c r="Y1247" i="1" s="1"/>
  <c r="V1247" i="1"/>
  <c r="W1247" i="1" s="1"/>
  <c r="Z1247" i="1"/>
  <c r="A1246" i="1"/>
  <c r="C1246" i="1"/>
  <c r="B1246" i="1" s="1"/>
  <c r="F1246" i="1"/>
  <c r="M1246" i="1"/>
  <c r="O1246" i="1"/>
  <c r="U1246" i="1"/>
  <c r="Y1246" i="1" s="1"/>
  <c r="V1246" i="1"/>
  <c r="W1246" i="1" s="1"/>
  <c r="Z1246" i="1"/>
  <c r="A1245" i="1"/>
  <c r="C1245" i="1"/>
  <c r="B1245" i="1" s="1"/>
  <c r="F1245" i="1"/>
  <c r="M1245" i="1"/>
  <c r="O1245" i="1"/>
  <c r="T1245" i="1"/>
  <c r="U1245" i="1"/>
  <c r="Y1245" i="1" s="1"/>
  <c r="V1245" i="1"/>
  <c r="W1245" i="1" s="1"/>
  <c r="Z1245" i="1"/>
  <c r="A1244" i="1"/>
  <c r="C1244" i="1"/>
  <c r="B1244" i="1" s="1"/>
  <c r="F1244" i="1"/>
  <c r="M1244" i="1"/>
  <c r="O1244" i="1"/>
  <c r="U1244" i="1"/>
  <c r="Y1244" i="1" s="1"/>
  <c r="V1244" i="1"/>
  <c r="W1244" i="1" s="1"/>
  <c r="Z1244" i="1"/>
  <c r="A1243" i="1"/>
  <c r="C1243" i="1"/>
  <c r="B1243" i="1" s="1"/>
  <c r="F1243" i="1"/>
  <c r="M1243" i="1"/>
  <c r="O1243" i="1"/>
  <c r="U1243" i="1"/>
  <c r="Y1243" i="1" s="1"/>
  <c r="V1243" i="1"/>
  <c r="W1243" i="1" s="1"/>
  <c r="Z1243" i="1"/>
  <c r="A1242" i="1"/>
  <c r="C1242" i="1"/>
  <c r="B1242" i="1" s="1"/>
  <c r="F1242" i="1"/>
  <c r="M1242" i="1"/>
  <c r="O1242" i="1"/>
  <c r="U1242" i="1"/>
  <c r="Y1242" i="1" s="1"/>
  <c r="V1242" i="1"/>
  <c r="W1242" i="1" s="1"/>
  <c r="Z1242" i="1"/>
  <c r="I114" i="104"/>
  <c r="A114" i="104"/>
  <c r="B114" i="104"/>
  <c r="C114" i="104"/>
  <c r="A1241" i="1"/>
  <c r="C1241" i="1"/>
  <c r="B1241" i="1" s="1"/>
  <c r="F1241" i="1"/>
  <c r="M1241" i="1"/>
  <c r="O1241" i="1"/>
  <c r="U1241" i="1"/>
  <c r="Y1241" i="1" s="1"/>
  <c r="V1241" i="1"/>
  <c r="W1241" i="1" s="1"/>
  <c r="Z1241" i="1"/>
  <c r="A1240" i="1"/>
  <c r="C1240" i="1"/>
  <c r="B1240" i="1" s="1"/>
  <c r="F1240" i="1"/>
  <c r="M1240" i="1"/>
  <c r="O1240" i="1"/>
  <c r="U1240" i="1"/>
  <c r="Y1240" i="1" s="1"/>
  <c r="V1240" i="1"/>
  <c r="W1240" i="1" s="1"/>
  <c r="Z1240" i="1"/>
  <c r="A1239" i="1"/>
  <c r="C1239" i="1"/>
  <c r="B1239" i="1" s="1"/>
  <c r="F1239" i="1"/>
  <c r="M1239" i="1"/>
  <c r="O1239" i="1"/>
  <c r="T1239" i="1"/>
  <c r="U1239" i="1"/>
  <c r="Y1239" i="1" s="1"/>
  <c r="V1239" i="1"/>
  <c r="W1239" i="1" s="1"/>
  <c r="Z1239" i="1"/>
  <c r="A1238" i="1"/>
  <c r="C1238" i="1"/>
  <c r="B1238" i="1" s="1"/>
  <c r="F1238" i="1"/>
  <c r="M1238" i="1"/>
  <c r="O1238" i="1"/>
  <c r="U1238" i="1"/>
  <c r="Y1238" i="1" s="1"/>
  <c r="V1238" i="1"/>
  <c r="W1238" i="1" s="1"/>
  <c r="Z1238" i="1"/>
  <c r="A1237" i="1"/>
  <c r="C1237" i="1"/>
  <c r="B1237" i="1" s="1"/>
  <c r="F1237" i="1"/>
  <c r="M1237" i="1"/>
  <c r="O1237" i="1"/>
  <c r="T1237" i="1"/>
  <c r="U1237" i="1"/>
  <c r="Y1237" i="1" s="1"/>
  <c r="V1237" i="1"/>
  <c r="W1237" i="1" s="1"/>
  <c r="Z1237" i="1"/>
  <c r="A1236" i="1"/>
  <c r="C1236" i="1"/>
  <c r="B1236" i="1" s="1"/>
  <c r="F1236" i="1"/>
  <c r="M1236" i="1"/>
  <c r="O1236" i="1"/>
  <c r="U1236" i="1"/>
  <c r="Y1236" i="1" s="1"/>
  <c r="V1236" i="1"/>
  <c r="W1236" i="1" s="1"/>
  <c r="Z1236" i="1"/>
  <c r="A1235" i="1"/>
  <c r="C1235" i="1"/>
  <c r="B1235" i="1" s="1"/>
  <c r="F1235" i="1"/>
  <c r="M1235" i="1"/>
  <c r="O1235" i="1"/>
  <c r="U1235" i="1"/>
  <c r="Y1235" i="1" s="1"/>
  <c r="V1235" i="1"/>
  <c r="W1235" i="1" s="1"/>
  <c r="Z1235" i="1"/>
  <c r="A1234" i="1"/>
  <c r="C1234" i="1"/>
  <c r="B1234" i="1" s="1"/>
  <c r="F1234" i="1"/>
  <c r="O1234" i="1"/>
  <c r="U1234" i="1"/>
  <c r="Y1234" i="1" s="1"/>
  <c r="V1234" i="1"/>
  <c r="W1234" i="1" s="1"/>
  <c r="Z1234" i="1"/>
  <c r="A1233" i="1"/>
  <c r="C1233" i="1"/>
  <c r="B1233" i="1" s="1"/>
  <c r="F1233" i="1"/>
  <c r="M1233" i="1"/>
  <c r="O1233" i="1"/>
  <c r="U1233" i="1"/>
  <c r="Y1233" i="1" s="1"/>
  <c r="V1233" i="1"/>
  <c r="W1233" i="1" s="1"/>
  <c r="Z1233" i="1"/>
  <c r="A1232" i="1"/>
  <c r="C1232" i="1"/>
  <c r="B1232" i="1" s="1"/>
  <c r="F1232" i="1"/>
  <c r="M1232" i="1"/>
  <c r="O1232" i="1"/>
  <c r="U1232" i="1"/>
  <c r="Y1232" i="1" s="1"/>
  <c r="V1232" i="1"/>
  <c r="W1232" i="1" s="1"/>
  <c r="Z1232" i="1"/>
  <c r="A510" i="1"/>
  <c r="C510" i="1"/>
  <c r="B510" i="1" s="1"/>
  <c r="F510" i="1"/>
  <c r="M510" i="1"/>
  <c r="O510" i="1"/>
  <c r="U510" i="1"/>
  <c r="Y510" i="1" s="1"/>
  <c r="V510" i="1"/>
  <c r="W510" i="1" s="1"/>
  <c r="Z510" i="1"/>
  <c r="I113" i="104"/>
  <c r="A113" i="104"/>
  <c r="B113" i="104"/>
  <c r="C113" i="104"/>
  <c r="E733" i="6"/>
  <c r="F733" i="6"/>
  <c r="I733" i="6"/>
  <c r="J733" i="6"/>
  <c r="E732" i="6"/>
  <c r="F732" i="6"/>
  <c r="I732" i="6"/>
  <c r="J732" i="6"/>
  <c r="A1066" i="1"/>
  <c r="C1066" i="1"/>
  <c r="B1066" i="1" s="1"/>
  <c r="F1066" i="1"/>
  <c r="M1066" i="1"/>
  <c r="O1066" i="1"/>
  <c r="T1066" i="1"/>
  <c r="U1066" i="1"/>
  <c r="Y1066" i="1" s="1"/>
  <c r="V1066" i="1"/>
  <c r="W1066" i="1" s="1"/>
  <c r="Z1066" i="1"/>
  <c r="E731" i="6"/>
  <c r="F731" i="6"/>
  <c r="I731" i="6"/>
  <c r="J731" i="6"/>
  <c r="E730" i="6"/>
  <c r="I730" i="6"/>
  <c r="J730" i="6"/>
  <c r="A10" i="1"/>
  <c r="C10" i="1"/>
  <c r="B10" i="1" s="1"/>
  <c r="F10" i="1"/>
  <c r="M10" i="1"/>
  <c r="O10" i="1"/>
  <c r="T10" i="1"/>
  <c r="U10" i="1"/>
  <c r="Y10" i="1" s="1"/>
  <c r="V10" i="1"/>
  <c r="W10" i="1" s="1"/>
  <c r="Z10" i="1"/>
  <c r="A256" i="1"/>
  <c r="C256" i="1"/>
  <c r="B256" i="1" s="1"/>
  <c r="F256" i="1"/>
  <c r="M256" i="1"/>
  <c r="O256" i="1"/>
  <c r="T256" i="1"/>
  <c r="U256" i="1"/>
  <c r="Y256" i="1" s="1"/>
  <c r="V256" i="1"/>
  <c r="W256" i="1" s="1"/>
  <c r="Z256" i="1"/>
  <c r="A255" i="1"/>
  <c r="C255" i="1"/>
  <c r="B255" i="1" s="1"/>
  <c r="F255" i="1"/>
  <c r="M255" i="1"/>
  <c r="O255" i="1"/>
  <c r="U255" i="1"/>
  <c r="Y255" i="1" s="1"/>
  <c r="V255" i="1"/>
  <c r="W255" i="1" s="1"/>
  <c r="Z255" i="1"/>
  <c r="E729" i="6"/>
  <c r="F729" i="6"/>
  <c r="I729" i="6"/>
  <c r="J729" i="6"/>
  <c r="E728" i="6"/>
  <c r="F728" i="6"/>
  <c r="I728" i="6"/>
  <c r="J728" i="6"/>
  <c r="C735" i="6"/>
  <c r="F735" i="6" s="1"/>
  <c r="B20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A434" i="1"/>
  <c r="C434" i="1"/>
  <c r="B434" i="1" s="1"/>
  <c r="F434" i="1"/>
  <c r="M434" i="1"/>
  <c r="O434" i="1"/>
  <c r="U434" i="1"/>
  <c r="Y434" i="1" s="1"/>
  <c r="V434" i="1"/>
  <c r="W434" i="1" s="1"/>
  <c r="Z434" i="1"/>
  <c r="A509" i="1"/>
  <c r="C509" i="1"/>
  <c r="B509" i="1" s="1"/>
  <c r="F509" i="1"/>
  <c r="M509" i="1"/>
  <c r="O509" i="1"/>
  <c r="U509" i="1"/>
  <c r="Y509" i="1" s="1"/>
  <c r="V509" i="1"/>
  <c r="W509" i="1" s="1"/>
  <c r="Z509" i="1"/>
  <c r="I86" i="104"/>
  <c r="A86" i="104"/>
  <c r="B86" i="104"/>
  <c r="C86" i="104"/>
  <c r="A80" i="1"/>
  <c r="C80" i="1"/>
  <c r="B80" i="1" s="1"/>
  <c r="F80" i="1"/>
  <c r="M80" i="1"/>
  <c r="O80" i="1"/>
  <c r="S80" i="1"/>
  <c r="T80" i="1"/>
  <c r="U80" i="1"/>
  <c r="Y80" i="1" s="1"/>
  <c r="V80" i="1"/>
  <c r="W80" i="1" s="1"/>
  <c r="Z80" i="1"/>
  <c r="A227" i="1"/>
  <c r="C227" i="1"/>
  <c r="B227" i="1" s="1"/>
  <c r="F227" i="1"/>
  <c r="M227" i="1"/>
  <c r="O227" i="1"/>
  <c r="T227" i="1"/>
  <c r="U227" i="1"/>
  <c r="Y227" i="1" s="1"/>
  <c r="V227" i="1"/>
  <c r="W227" i="1" s="1"/>
  <c r="Z227" i="1"/>
  <c r="A295" i="1"/>
  <c r="C295" i="1"/>
  <c r="B295" i="1" s="1"/>
  <c r="F295" i="1"/>
  <c r="M295" i="1"/>
  <c r="O295" i="1"/>
  <c r="T295" i="1"/>
  <c r="U295" i="1"/>
  <c r="Y295" i="1" s="1"/>
  <c r="V295" i="1"/>
  <c r="W295" i="1" s="1"/>
  <c r="Z295" i="1"/>
  <c r="A634" i="1"/>
  <c r="C634" i="1"/>
  <c r="B634" i="1" s="1"/>
  <c r="F634" i="1"/>
  <c r="M634" i="1"/>
  <c r="O634" i="1"/>
  <c r="U634" i="1"/>
  <c r="Y634" i="1" s="1"/>
  <c r="V634" i="1"/>
  <c r="W634" i="1" s="1"/>
  <c r="Z634" i="1"/>
  <c r="A755" i="1"/>
  <c r="C755" i="1"/>
  <c r="B755" i="1" s="1"/>
  <c r="F755" i="1"/>
  <c r="M755" i="1"/>
  <c r="O755" i="1"/>
  <c r="U755" i="1"/>
  <c r="Y755" i="1" s="1"/>
  <c r="V755" i="1"/>
  <c r="W755" i="1" s="1"/>
  <c r="Z755" i="1"/>
  <c r="A435" i="1"/>
  <c r="C435" i="1"/>
  <c r="B435" i="1" s="1"/>
  <c r="F435" i="1"/>
  <c r="M435" i="1"/>
  <c r="O435" i="1"/>
  <c r="U435" i="1"/>
  <c r="Y435" i="1" s="1"/>
  <c r="V435" i="1"/>
  <c r="W435" i="1" s="1"/>
  <c r="Z435" i="1"/>
  <c r="A935" i="1"/>
  <c r="C935" i="1"/>
  <c r="B935" i="1" s="1"/>
  <c r="F935" i="1"/>
  <c r="O935" i="1"/>
  <c r="U935" i="1"/>
  <c r="V935" i="1"/>
  <c r="W935" i="1" s="1"/>
  <c r="Z935" i="1"/>
  <c r="A961" i="1"/>
  <c r="C961" i="1"/>
  <c r="B961" i="1" s="1"/>
  <c r="F961" i="1"/>
  <c r="M961" i="1"/>
  <c r="O961" i="1"/>
  <c r="U961" i="1"/>
  <c r="Y961" i="1" s="1"/>
  <c r="V961" i="1"/>
  <c r="W961" i="1" s="1"/>
  <c r="Z961" i="1"/>
  <c r="D726" i="6"/>
  <c r="E726" i="6" s="1"/>
  <c r="F726" i="6"/>
  <c r="I726" i="6"/>
  <c r="E725" i="6"/>
  <c r="I725" i="6"/>
  <c r="J725" i="6"/>
  <c r="A1078" i="1"/>
  <c r="C1078" i="1"/>
  <c r="B1078" i="1" s="1"/>
  <c r="F1078" i="1"/>
  <c r="M1078" i="1"/>
  <c r="O1078" i="1"/>
  <c r="U1078" i="1"/>
  <c r="Y1078" i="1" s="1"/>
  <c r="V1078" i="1"/>
  <c r="W1078" i="1" s="1"/>
  <c r="Z1078" i="1"/>
  <c r="A226" i="1"/>
  <c r="C226" i="1"/>
  <c r="B226" i="1" s="1"/>
  <c r="F226" i="1"/>
  <c r="M226" i="1"/>
  <c r="O226" i="1"/>
  <c r="S226" i="1"/>
  <c r="T226" i="1"/>
  <c r="U226" i="1"/>
  <c r="Y226" i="1" s="1"/>
  <c r="V226" i="1"/>
  <c r="W226" i="1" s="1"/>
  <c r="Z226" i="1"/>
  <c r="D724" i="6"/>
  <c r="E724" i="6" s="1"/>
  <c r="F724" i="6"/>
  <c r="I724" i="6"/>
  <c r="A1080" i="1"/>
  <c r="C1080" i="1"/>
  <c r="B1080" i="1" s="1"/>
  <c r="F1080" i="1"/>
  <c r="M1080" i="1"/>
  <c r="O1080" i="1"/>
  <c r="U1080" i="1"/>
  <c r="Y1080" i="1" s="1"/>
  <c r="V1080" i="1"/>
  <c r="W1080" i="1" s="1"/>
  <c r="Z1080" i="1"/>
  <c r="E689" i="6"/>
  <c r="F689" i="6"/>
  <c r="I689" i="6"/>
  <c r="J689" i="6"/>
  <c r="A225" i="1"/>
  <c r="C225" i="1"/>
  <c r="B225" i="1" s="1"/>
  <c r="F225" i="1"/>
  <c r="M225" i="1"/>
  <c r="O225" i="1"/>
  <c r="S225" i="1"/>
  <c r="T225" i="1"/>
  <c r="U225" i="1"/>
  <c r="Y225" i="1" s="1"/>
  <c r="V225" i="1"/>
  <c r="W225" i="1" s="1"/>
  <c r="Z225" i="1"/>
  <c r="A1123" i="1"/>
  <c r="C1123" i="1"/>
  <c r="B1123" i="1" s="1"/>
  <c r="F1123" i="1"/>
  <c r="M1123" i="1"/>
  <c r="O1123" i="1"/>
  <c r="T1123" i="1"/>
  <c r="U1123" i="1"/>
  <c r="V1123" i="1"/>
  <c r="W1123" i="1" s="1"/>
  <c r="Z1123" i="1"/>
  <c r="K775" i="1"/>
  <c r="O775" i="1" s="1"/>
  <c r="A775" i="1"/>
  <c r="C775" i="1"/>
  <c r="B775" i="1" s="1"/>
  <c r="F775" i="1"/>
  <c r="M775" i="1"/>
  <c r="S775" i="1"/>
  <c r="T775" i="1"/>
  <c r="U775" i="1"/>
  <c r="Y775" i="1" s="1"/>
  <c r="V775" i="1"/>
  <c r="W775" i="1" s="1"/>
  <c r="Z775" i="1"/>
  <c r="A553" i="1"/>
  <c r="C553" i="1"/>
  <c r="B553" i="1" s="1"/>
  <c r="F553" i="1"/>
  <c r="M553" i="1"/>
  <c r="O553" i="1"/>
  <c r="T553" i="1"/>
  <c r="U553" i="1"/>
  <c r="Y553" i="1" s="1"/>
  <c r="V553" i="1"/>
  <c r="W553" i="1" s="1"/>
  <c r="Z553" i="1"/>
  <c r="A881" i="1"/>
  <c r="C881" i="1"/>
  <c r="B881" i="1" s="1"/>
  <c r="F881" i="1"/>
  <c r="M881" i="1"/>
  <c r="O881" i="1"/>
  <c r="T881" i="1"/>
  <c r="U881" i="1"/>
  <c r="Y881" i="1" s="1"/>
  <c r="V881" i="1"/>
  <c r="W881" i="1" s="1"/>
  <c r="Z881" i="1"/>
  <c r="A292" i="1"/>
  <c r="C292" i="1"/>
  <c r="B292" i="1" s="1"/>
  <c r="F292" i="1"/>
  <c r="M292" i="1"/>
  <c r="O292" i="1"/>
  <c r="U292" i="1"/>
  <c r="Y292" i="1" s="1"/>
  <c r="V292" i="1"/>
  <c r="W292" i="1" s="1"/>
  <c r="Z292" i="1"/>
  <c r="A190" i="1"/>
  <c r="C190" i="1"/>
  <c r="B190" i="1" s="1"/>
  <c r="F190" i="1"/>
  <c r="M190" i="1"/>
  <c r="O190" i="1"/>
  <c r="T190" i="1"/>
  <c r="U190" i="1"/>
  <c r="Y190" i="1" s="1"/>
  <c r="V190" i="1"/>
  <c r="W190" i="1" s="1"/>
  <c r="Z190" i="1"/>
  <c r="A224" i="1"/>
  <c r="C224" i="1"/>
  <c r="B224" i="1" s="1"/>
  <c r="F224" i="1"/>
  <c r="M224" i="1"/>
  <c r="O224" i="1"/>
  <c r="U224" i="1"/>
  <c r="Y224" i="1" s="1"/>
  <c r="V224" i="1"/>
  <c r="W224" i="1" s="1"/>
  <c r="Z224" i="1"/>
  <c r="A3" i="1"/>
  <c r="C3" i="1"/>
  <c r="B3" i="1" s="1"/>
  <c r="F3" i="1"/>
  <c r="M3" i="1"/>
  <c r="O3" i="1"/>
  <c r="U3" i="1"/>
  <c r="Y3" i="1" s="1"/>
  <c r="V3" i="1"/>
  <c r="W3" i="1" s="1"/>
  <c r="Z3" i="1"/>
  <c r="A328" i="1"/>
  <c r="C328" i="1"/>
  <c r="B328" i="1" s="1"/>
  <c r="F328" i="1"/>
  <c r="M328" i="1"/>
  <c r="O328" i="1"/>
  <c r="U328" i="1"/>
  <c r="Y328" i="1" s="1"/>
  <c r="V328" i="1"/>
  <c r="W328" i="1" s="1"/>
  <c r="Z328" i="1"/>
  <c r="M402" i="1"/>
  <c r="K403" i="1"/>
  <c r="M403" i="1" s="1"/>
  <c r="A402" i="1"/>
  <c r="C402" i="1"/>
  <c r="B402" i="1" s="1"/>
  <c r="F402" i="1"/>
  <c r="U402" i="1"/>
  <c r="Y402" i="1" s="1"/>
  <c r="V402" i="1"/>
  <c r="W402" i="1" s="1"/>
  <c r="Z402" i="1"/>
  <c r="A418" i="1"/>
  <c r="C418" i="1"/>
  <c r="B418" i="1" s="1"/>
  <c r="F418" i="1"/>
  <c r="M418" i="1"/>
  <c r="O418" i="1"/>
  <c r="U418" i="1"/>
  <c r="Y418" i="1" s="1"/>
  <c r="V418" i="1"/>
  <c r="W418" i="1" s="1"/>
  <c r="Z418" i="1"/>
  <c r="A79" i="1"/>
  <c r="C79" i="1"/>
  <c r="B79" i="1" s="1"/>
  <c r="F79" i="1"/>
  <c r="M79" i="1"/>
  <c r="O79" i="1"/>
  <c r="T79" i="1"/>
  <c r="U79" i="1"/>
  <c r="Y79" i="1" s="1"/>
  <c r="V79" i="1"/>
  <c r="W79" i="1" s="1"/>
  <c r="Z79" i="1"/>
  <c r="A403" i="1"/>
  <c r="C403" i="1"/>
  <c r="B403" i="1" s="1"/>
  <c r="F403" i="1"/>
  <c r="S403" i="1"/>
  <c r="T403" i="1"/>
  <c r="U403" i="1"/>
  <c r="Y403" i="1" s="1"/>
  <c r="V403" i="1"/>
  <c r="W403" i="1" s="1"/>
  <c r="Z403" i="1"/>
  <c r="A354" i="1"/>
  <c r="C354" i="1"/>
  <c r="B354" i="1" s="1"/>
  <c r="F354" i="1"/>
  <c r="M354" i="1"/>
  <c r="O354" i="1"/>
  <c r="T354" i="1"/>
  <c r="U354" i="1"/>
  <c r="V354" i="1"/>
  <c r="W354" i="1" s="1"/>
  <c r="Z354" i="1"/>
  <c r="A353" i="1"/>
  <c r="C353" i="1"/>
  <c r="B353" i="1" s="1"/>
  <c r="F353" i="1"/>
  <c r="M353" i="1"/>
  <c r="O353" i="1"/>
  <c r="T353" i="1"/>
  <c r="U353" i="1"/>
  <c r="Y353" i="1" s="1"/>
  <c r="V353" i="1"/>
  <c r="W353" i="1" s="1"/>
  <c r="Z353" i="1"/>
  <c r="A352" i="1"/>
  <c r="C352" i="1"/>
  <c r="B352" i="1" s="1"/>
  <c r="F352" i="1"/>
  <c r="M352" i="1"/>
  <c r="O352" i="1"/>
  <c r="U352" i="1"/>
  <c r="Y352" i="1" s="1"/>
  <c r="V352" i="1"/>
  <c r="W352" i="1" s="1"/>
  <c r="Z352" i="1"/>
  <c r="A1128" i="1"/>
  <c r="C1128" i="1"/>
  <c r="B1128" i="1" s="1"/>
  <c r="F1128" i="1"/>
  <c r="M1128" i="1"/>
  <c r="O1128" i="1"/>
  <c r="U1128" i="1"/>
  <c r="Y1128" i="1" s="1"/>
  <c r="V1128" i="1"/>
  <c r="W1128" i="1" s="1"/>
  <c r="Z1128" i="1"/>
  <c r="A820" i="1"/>
  <c r="C820" i="1"/>
  <c r="B820" i="1" s="1"/>
  <c r="F820" i="1"/>
  <c r="M820" i="1"/>
  <c r="O820" i="1"/>
  <c r="U820" i="1"/>
  <c r="V820" i="1"/>
  <c r="W820" i="1" s="1"/>
  <c r="Z820" i="1"/>
  <c r="A893" i="1"/>
  <c r="C893" i="1"/>
  <c r="B893" i="1" s="1"/>
  <c r="F893" i="1"/>
  <c r="M893" i="1"/>
  <c r="O893" i="1"/>
  <c r="U893" i="1"/>
  <c r="Y893" i="1" s="1"/>
  <c r="V893" i="1"/>
  <c r="W893" i="1" s="1"/>
  <c r="Z893" i="1"/>
  <c r="A267" i="1"/>
  <c r="C267" i="1"/>
  <c r="B267" i="1" s="1"/>
  <c r="F267" i="1"/>
  <c r="M267" i="1"/>
  <c r="O267" i="1"/>
  <c r="U267" i="1"/>
  <c r="Y267" i="1" s="1"/>
  <c r="V267" i="1"/>
  <c r="W267" i="1" s="1"/>
  <c r="Z267" i="1"/>
  <c r="A754" i="1"/>
  <c r="C754" i="1"/>
  <c r="B754" i="1" s="1"/>
  <c r="F754" i="1"/>
  <c r="M754" i="1"/>
  <c r="O754" i="1"/>
  <c r="U754" i="1"/>
  <c r="Y754" i="1" s="1"/>
  <c r="V754" i="1"/>
  <c r="W754" i="1" s="1"/>
  <c r="Z754" i="1"/>
  <c r="L834" i="1"/>
  <c r="A1159" i="1"/>
  <c r="C1159" i="1"/>
  <c r="B1159" i="1" s="1"/>
  <c r="F1159" i="1"/>
  <c r="M1159" i="1"/>
  <c r="O1159" i="1"/>
  <c r="S1159" i="1"/>
  <c r="T1159" i="1"/>
  <c r="U1159" i="1"/>
  <c r="V1159" i="1"/>
  <c r="W1159" i="1" s="1"/>
  <c r="Z1159" i="1"/>
  <c r="E723" i="6"/>
  <c r="F723" i="6"/>
  <c r="I723" i="6"/>
  <c r="J723" i="6"/>
  <c r="P1277" i="1" l="1"/>
  <c r="Q1277" i="1" s="1"/>
  <c r="R1277" i="1" s="1"/>
  <c r="D1280" i="1"/>
  <c r="D1281" i="1"/>
  <c r="D1278" i="1"/>
  <c r="D1279" i="1"/>
  <c r="D1276" i="1"/>
  <c r="D1277" i="1"/>
  <c r="P1271" i="1"/>
  <c r="Q1271" i="1" s="1"/>
  <c r="R1271" i="1" s="1"/>
  <c r="D1271" i="1"/>
  <c r="D1272" i="1"/>
  <c r="P1268" i="1"/>
  <c r="Q1268" i="1" s="1"/>
  <c r="R1268" i="1" s="1"/>
  <c r="D1268" i="1" s="1"/>
  <c r="C13" i="16"/>
  <c r="D1258" i="1"/>
  <c r="D1262" i="1"/>
  <c r="T1253" i="1"/>
  <c r="D1257" i="1"/>
  <c r="D1254" i="1"/>
  <c r="D1256" i="1"/>
  <c r="D1255" i="1"/>
  <c r="T1250" i="1"/>
  <c r="C19" i="16"/>
  <c r="T1244" i="1"/>
  <c r="X1253" i="1"/>
  <c r="P1253" i="1" s="1"/>
  <c r="Q1253" i="1" s="1"/>
  <c r="R1253" i="1" s="1"/>
  <c r="D1263" i="1" s="1"/>
  <c r="X1252" i="1"/>
  <c r="P1252" i="1" s="1"/>
  <c r="Q1252" i="1" s="1"/>
  <c r="R1252" i="1" s="1"/>
  <c r="D1252" i="1" s="1"/>
  <c r="X1251" i="1"/>
  <c r="P1251" i="1" s="1"/>
  <c r="Q1251" i="1" s="1"/>
  <c r="R1251" i="1" s="1"/>
  <c r="X1250" i="1"/>
  <c r="P1250" i="1" s="1"/>
  <c r="Q1250" i="1" s="1"/>
  <c r="R1250" i="1" s="1"/>
  <c r="D1250" i="1" s="1"/>
  <c r="T1236" i="1"/>
  <c r="T1242" i="1"/>
  <c r="X843" i="1"/>
  <c r="P843" i="1" s="1"/>
  <c r="Q843" i="1" s="1"/>
  <c r="R843" i="1" s="1"/>
  <c r="X896" i="1"/>
  <c r="P896" i="1" s="1"/>
  <c r="Q896" i="1" s="1"/>
  <c r="R896" i="1" s="1"/>
  <c r="T1240" i="1"/>
  <c r="E735" i="6"/>
  <c r="X1247" i="1"/>
  <c r="P1247" i="1" s="1"/>
  <c r="Q1247" i="1" s="1"/>
  <c r="R1247" i="1" s="1"/>
  <c r="D1247" i="1" s="1"/>
  <c r="X1246" i="1"/>
  <c r="P1246" i="1" s="1"/>
  <c r="Q1246" i="1" s="1"/>
  <c r="R1246" i="1" s="1"/>
  <c r="D1246" i="1" s="1"/>
  <c r="X1245" i="1"/>
  <c r="P1245" i="1" s="1"/>
  <c r="Q1245" i="1" s="1"/>
  <c r="R1245" i="1" s="1"/>
  <c r="D1245" i="1" s="1"/>
  <c r="T1246" i="1"/>
  <c r="T3" i="1"/>
  <c r="X1244" i="1"/>
  <c r="P1244" i="1" s="1"/>
  <c r="Q1244" i="1" s="1"/>
  <c r="R1244" i="1" s="1"/>
  <c r="X1243" i="1"/>
  <c r="P1243" i="1" s="1"/>
  <c r="Q1243" i="1" s="1"/>
  <c r="R1243" i="1" s="1"/>
  <c r="T1241" i="1"/>
  <c r="X1242" i="1"/>
  <c r="P1242" i="1" s="1"/>
  <c r="Q1242" i="1" s="1"/>
  <c r="R1242" i="1" s="1"/>
  <c r="T1243" i="1"/>
  <c r="X1241" i="1"/>
  <c r="P1241" i="1" s="1"/>
  <c r="Q1241" i="1" s="1"/>
  <c r="R1241" i="1" s="1"/>
  <c r="T1235" i="1"/>
  <c r="X1240" i="1"/>
  <c r="P1240" i="1" s="1"/>
  <c r="Q1240" i="1" s="1"/>
  <c r="R1240" i="1" s="1"/>
  <c r="X1239" i="1"/>
  <c r="P1239" i="1" s="1"/>
  <c r="Q1239" i="1" s="1"/>
  <c r="R1239" i="1" s="1"/>
  <c r="D1239" i="1" s="1"/>
  <c r="T1238" i="1"/>
  <c r="X1238" i="1"/>
  <c r="P1238" i="1" s="1"/>
  <c r="Q1238" i="1" s="1"/>
  <c r="R1238" i="1" s="1"/>
  <c r="X1237" i="1"/>
  <c r="P1237" i="1" s="1"/>
  <c r="Q1237" i="1" s="1"/>
  <c r="R1237" i="1" s="1"/>
  <c r="D1237" i="1" s="1"/>
  <c r="X1236" i="1"/>
  <c r="P1236" i="1" s="1"/>
  <c r="Q1236" i="1" s="1"/>
  <c r="R1236" i="1" s="1"/>
  <c r="T961" i="1"/>
  <c r="X1234" i="1"/>
  <c r="P1234" i="1" s="1"/>
  <c r="Q1234" i="1" s="1"/>
  <c r="R1234" i="1" s="1"/>
  <c r="X1235" i="1"/>
  <c r="P1235" i="1" s="1"/>
  <c r="Q1235" i="1" s="1"/>
  <c r="R1235" i="1" s="1"/>
  <c r="T1234" i="1"/>
  <c r="T1232" i="1"/>
  <c r="X510" i="1"/>
  <c r="P510" i="1" s="1"/>
  <c r="Q510" i="1" s="1"/>
  <c r="R510" i="1" s="1"/>
  <c r="X1232" i="1"/>
  <c r="P1232" i="1" s="1"/>
  <c r="Q1232" i="1" s="1"/>
  <c r="T1233" i="1"/>
  <c r="X1233" i="1"/>
  <c r="P1233" i="1" s="1"/>
  <c r="Q1233" i="1" s="1"/>
  <c r="R1233" i="1" s="1"/>
  <c r="T510" i="1"/>
  <c r="R1232" i="1"/>
  <c r="D1232" i="1" s="1"/>
  <c r="X1066" i="1"/>
  <c r="P1066" i="1" s="1"/>
  <c r="Q1066" i="1" s="1"/>
  <c r="R1066" i="1" s="1"/>
  <c r="D1066" i="1"/>
  <c r="J735" i="6"/>
  <c r="X10" i="1"/>
  <c r="P10" i="1" s="1"/>
  <c r="Q10" i="1" s="1"/>
  <c r="R10" i="1" s="1"/>
  <c r="D10" i="1" s="1"/>
  <c r="T434" i="1"/>
  <c r="I735" i="6"/>
  <c r="X255" i="1"/>
  <c r="P255" i="1" s="1"/>
  <c r="Q255" i="1" s="1"/>
  <c r="R255" i="1" s="1"/>
  <c r="D255" i="1" s="1"/>
  <c r="X256" i="1"/>
  <c r="P256" i="1" s="1"/>
  <c r="Q256" i="1" s="1"/>
  <c r="R256" i="1" s="1"/>
  <c r="T255" i="1"/>
  <c r="X434" i="1"/>
  <c r="P434" i="1" s="1"/>
  <c r="Q434" i="1" s="1"/>
  <c r="R434" i="1" s="1"/>
  <c r="D434" i="1" s="1"/>
  <c r="T509" i="1"/>
  <c r="J724" i="6"/>
  <c r="J726" i="6"/>
  <c r="X509" i="1"/>
  <c r="P509" i="1" s="1"/>
  <c r="Q509" i="1" s="1"/>
  <c r="R509" i="1" s="1"/>
  <c r="X80" i="1"/>
  <c r="P80" i="1" s="1"/>
  <c r="Q80" i="1" s="1"/>
  <c r="R80" i="1" s="1"/>
  <c r="D80" i="1" s="1"/>
  <c r="X227" i="1"/>
  <c r="P227" i="1" s="1"/>
  <c r="Q227" i="1" s="1"/>
  <c r="R227" i="1" s="1"/>
  <c r="X295" i="1"/>
  <c r="P295" i="1" s="1"/>
  <c r="Q295" i="1" s="1"/>
  <c r="R295" i="1" s="1"/>
  <c r="D295" i="1" s="1"/>
  <c r="D225" i="1"/>
  <c r="D227" i="1"/>
  <c r="D226" i="1"/>
  <c r="X935" i="1"/>
  <c r="X634" i="1"/>
  <c r="P634" i="1" s="1"/>
  <c r="Q634" i="1" s="1"/>
  <c r="R634" i="1" s="1"/>
  <c r="T634" i="1"/>
  <c r="X755" i="1"/>
  <c r="P755" i="1" s="1"/>
  <c r="Q755" i="1" s="1"/>
  <c r="R755" i="1" s="1"/>
  <c r="T755" i="1"/>
  <c r="T435" i="1"/>
  <c r="X435" i="1"/>
  <c r="P435" i="1" s="1"/>
  <c r="R435" i="1"/>
  <c r="T1080" i="1"/>
  <c r="T935" i="1"/>
  <c r="Y935" i="1"/>
  <c r="X961" i="1"/>
  <c r="P961" i="1" s="1"/>
  <c r="Q961" i="1" s="1"/>
  <c r="R961" i="1" s="1"/>
  <c r="T1078" i="1"/>
  <c r="X1078" i="1"/>
  <c r="P1078" i="1" s="1"/>
  <c r="Q1078" i="1" s="1"/>
  <c r="R1078" i="1" s="1"/>
  <c r="X226" i="1"/>
  <c r="P226" i="1" s="1"/>
  <c r="Q226" i="1" s="1"/>
  <c r="R226" i="1" s="1"/>
  <c r="X1080" i="1"/>
  <c r="P1080" i="1" s="1"/>
  <c r="Q1080" i="1" s="1"/>
  <c r="R1080" i="1" s="1"/>
  <c r="D1080" i="1" s="1"/>
  <c r="O403" i="1"/>
  <c r="X225" i="1"/>
  <c r="P225" i="1" s="1"/>
  <c r="Q225" i="1" s="1"/>
  <c r="R225" i="1" s="1"/>
  <c r="X1123" i="1"/>
  <c r="Y1123" i="1"/>
  <c r="X775" i="1"/>
  <c r="P775" i="1" s="1"/>
  <c r="Q775" i="1" s="1"/>
  <c r="R775" i="1" s="1"/>
  <c r="D775" i="1" s="1"/>
  <c r="X553" i="1"/>
  <c r="P553" i="1" s="1"/>
  <c r="Q553" i="1" s="1"/>
  <c r="R553" i="1" s="1"/>
  <c r="D553" i="1" s="1"/>
  <c r="X881" i="1"/>
  <c r="P881" i="1" s="1"/>
  <c r="Q881" i="1" s="1"/>
  <c r="R881" i="1" s="1"/>
  <c r="X292" i="1"/>
  <c r="P292" i="1" s="1"/>
  <c r="Q292" i="1" s="1"/>
  <c r="R292" i="1" s="1"/>
  <c r="T292" i="1"/>
  <c r="T224" i="1"/>
  <c r="X224" i="1"/>
  <c r="P224" i="1" s="1"/>
  <c r="Q224" i="1" s="1"/>
  <c r="R224" i="1" s="1"/>
  <c r="D224" i="1" s="1"/>
  <c r="X190" i="1"/>
  <c r="P190" i="1" s="1"/>
  <c r="Q190" i="1" s="1"/>
  <c r="R190" i="1" s="1"/>
  <c r="D190" i="1" s="1"/>
  <c r="X3" i="1"/>
  <c r="P3" i="1" s="1"/>
  <c r="Q3" i="1" s="1"/>
  <c r="R3" i="1" s="1"/>
  <c r="D3" i="1" s="1"/>
  <c r="O402" i="1"/>
  <c r="T328" i="1"/>
  <c r="T418" i="1"/>
  <c r="X328" i="1"/>
  <c r="P328" i="1" s="1"/>
  <c r="Q328" i="1" s="1"/>
  <c r="R328" i="1" s="1"/>
  <c r="T402" i="1"/>
  <c r="X402" i="1"/>
  <c r="P402" i="1" s="1"/>
  <c r="Q402" i="1" s="1"/>
  <c r="X79" i="1"/>
  <c r="P79" i="1" s="1"/>
  <c r="Q79" i="1" s="1"/>
  <c r="R79" i="1" s="1"/>
  <c r="D79" i="1" s="1"/>
  <c r="X418" i="1"/>
  <c r="P418" i="1" s="1"/>
  <c r="Q418" i="1" s="1"/>
  <c r="R418" i="1" s="1"/>
  <c r="D418" i="1" s="1"/>
  <c r="X403" i="1"/>
  <c r="P403" i="1" s="1"/>
  <c r="Q403" i="1" s="1"/>
  <c r="X354" i="1"/>
  <c r="Y354" i="1"/>
  <c r="X352" i="1"/>
  <c r="P352" i="1" s="1"/>
  <c r="Q352" i="1" s="1"/>
  <c r="R352" i="1" s="1"/>
  <c r="X353" i="1"/>
  <c r="P353" i="1" s="1"/>
  <c r="Q353" i="1" s="1"/>
  <c r="R353" i="1" s="1"/>
  <c r="T352" i="1"/>
  <c r="X820" i="1"/>
  <c r="P820" i="1" s="1"/>
  <c r="Q820" i="1" s="1"/>
  <c r="R820" i="1" s="1"/>
  <c r="X1128" i="1"/>
  <c r="P1128" i="1" s="1"/>
  <c r="Q1128" i="1" s="1"/>
  <c r="R1128" i="1" s="1"/>
  <c r="D1128" i="1" s="1"/>
  <c r="T267" i="1"/>
  <c r="T1128" i="1"/>
  <c r="X893" i="1"/>
  <c r="P893" i="1" s="1"/>
  <c r="Q893" i="1" s="1"/>
  <c r="R893" i="1" s="1"/>
  <c r="Y820" i="1"/>
  <c r="T820" i="1"/>
  <c r="T893" i="1"/>
  <c r="X267" i="1"/>
  <c r="P267" i="1" s="1"/>
  <c r="Q267" i="1" s="1"/>
  <c r="R267" i="1" s="1"/>
  <c r="D267" i="1" s="1"/>
  <c r="T754" i="1"/>
  <c r="X754" i="1"/>
  <c r="P754" i="1" s="1"/>
  <c r="Q754" i="1" s="1"/>
  <c r="R754" i="1" s="1"/>
  <c r="X1159" i="1"/>
  <c r="Y1159" i="1"/>
  <c r="A1000" i="1"/>
  <c r="C1000" i="1"/>
  <c r="B1000" i="1" s="1"/>
  <c r="F1000" i="1"/>
  <c r="M1000" i="1"/>
  <c r="O1000" i="1"/>
  <c r="S1000" i="1"/>
  <c r="T1000" i="1"/>
  <c r="U1000" i="1"/>
  <c r="Y1000" i="1" s="1"/>
  <c r="V1000" i="1"/>
  <c r="W1000" i="1" s="1"/>
  <c r="Z1000" i="1"/>
  <c r="A1064" i="1"/>
  <c r="A1065" i="1"/>
  <c r="C1064" i="1"/>
  <c r="B1064" i="1" s="1"/>
  <c r="C1065" i="1"/>
  <c r="B1065" i="1" s="1"/>
  <c r="F1064" i="1"/>
  <c r="F1065" i="1"/>
  <c r="M1064" i="1"/>
  <c r="M1065" i="1"/>
  <c r="O1064" i="1"/>
  <c r="O1065" i="1"/>
  <c r="S1064" i="1"/>
  <c r="S1065" i="1"/>
  <c r="T1064" i="1"/>
  <c r="T1065" i="1"/>
  <c r="U1064" i="1"/>
  <c r="Y1064" i="1" s="1"/>
  <c r="U1065" i="1"/>
  <c r="Y1065" i="1" s="1"/>
  <c r="V1064" i="1"/>
  <c r="W1064" i="1" s="1"/>
  <c r="V1065" i="1"/>
  <c r="W1065" i="1" s="1"/>
  <c r="Z1064" i="1"/>
  <c r="Z1065" i="1"/>
  <c r="A934" i="1"/>
  <c r="C934" i="1"/>
  <c r="B934" i="1" s="1"/>
  <c r="F934" i="1"/>
  <c r="M934" i="1"/>
  <c r="O934" i="1"/>
  <c r="T934" i="1"/>
  <c r="U934" i="1"/>
  <c r="Y934" i="1" s="1"/>
  <c r="V934" i="1"/>
  <c r="W934" i="1" s="1"/>
  <c r="Z934" i="1"/>
  <c r="A1108" i="1"/>
  <c r="C1108" i="1"/>
  <c r="B1108" i="1" s="1"/>
  <c r="F1108" i="1"/>
  <c r="M1108" i="1"/>
  <c r="O1108" i="1"/>
  <c r="S1108" i="1"/>
  <c r="T1108" i="1"/>
  <c r="U1108" i="1"/>
  <c r="V1108" i="1"/>
  <c r="W1108" i="1" s="1"/>
  <c r="Z1108" i="1"/>
  <c r="I107" i="104"/>
  <c r="I106" i="104"/>
  <c r="I108" i="104"/>
  <c r="A108" i="104"/>
  <c r="B108" i="104"/>
  <c r="C108" i="104"/>
  <c r="A834" i="1"/>
  <c r="C834" i="1"/>
  <c r="B834" i="1" s="1"/>
  <c r="F834" i="1"/>
  <c r="M834" i="1"/>
  <c r="O834" i="1"/>
  <c r="U834" i="1"/>
  <c r="Y834" i="1" s="1"/>
  <c r="V834" i="1"/>
  <c r="W834" i="1" s="1"/>
  <c r="Z834" i="1"/>
  <c r="L1152" i="1"/>
  <c r="O1152" i="1" s="1"/>
  <c r="A1152" i="1"/>
  <c r="C1152" i="1"/>
  <c r="B1152" i="1" s="1"/>
  <c r="F1152" i="1"/>
  <c r="M1152" i="1"/>
  <c r="S1152" i="1"/>
  <c r="T1152" i="1"/>
  <c r="U1152" i="1"/>
  <c r="Y1152" i="1" s="1"/>
  <c r="V1152" i="1"/>
  <c r="W1152" i="1" s="1"/>
  <c r="Z1152" i="1"/>
  <c r="A1024" i="1"/>
  <c r="C1024" i="1"/>
  <c r="B1024" i="1" s="1"/>
  <c r="F1024" i="1"/>
  <c r="M1024" i="1"/>
  <c r="O1024" i="1"/>
  <c r="T1024" i="1"/>
  <c r="U1024" i="1"/>
  <c r="V1024" i="1"/>
  <c r="W1024" i="1" s="1"/>
  <c r="Z1024" i="1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D328" i="1" l="1"/>
  <c r="D1267" i="1"/>
  <c r="D1241" i="1"/>
  <c r="D1261" i="1"/>
  <c r="D1251" i="1"/>
  <c r="D256" i="1"/>
  <c r="D843" i="1"/>
  <c r="D896" i="1"/>
  <c r="P935" i="1"/>
  <c r="Q935" i="1" s="1"/>
  <c r="R935" i="1" s="1"/>
  <c r="R403" i="1"/>
  <c r="P1123" i="1"/>
  <c r="Q1123" i="1" s="1"/>
  <c r="R1123" i="1" s="1"/>
  <c r="D1123" i="1"/>
  <c r="R402" i="1"/>
  <c r="P354" i="1"/>
  <c r="Q354" i="1" s="1"/>
  <c r="R354" i="1" s="1"/>
  <c r="D820" i="1"/>
  <c r="P1159" i="1"/>
  <c r="Q1159" i="1" s="1"/>
  <c r="R1159" i="1" s="1"/>
  <c r="D1159" i="1" s="1"/>
  <c r="X1000" i="1"/>
  <c r="P1000" i="1" s="1"/>
  <c r="Q1000" i="1" s="1"/>
  <c r="R1000" i="1" s="1"/>
  <c r="D1000" i="1" s="1"/>
  <c r="X1065" i="1"/>
  <c r="P1065" i="1" s="1"/>
  <c r="Q1065" i="1" s="1"/>
  <c r="R1065" i="1" s="1"/>
  <c r="X1064" i="1"/>
  <c r="P1064" i="1" s="1"/>
  <c r="Q1064" i="1" s="1"/>
  <c r="R1064" i="1" s="1"/>
  <c r="D1064" i="1"/>
  <c r="D1065" i="1"/>
  <c r="X934" i="1"/>
  <c r="P934" i="1" s="1"/>
  <c r="Q934" i="1" s="1"/>
  <c r="R934" i="1" s="1"/>
  <c r="X1108" i="1"/>
  <c r="Y1108" i="1"/>
  <c r="T834" i="1"/>
  <c r="X834" i="1"/>
  <c r="P834" i="1" s="1"/>
  <c r="Q834" i="1" s="1"/>
  <c r="R834" i="1" s="1"/>
  <c r="D834" i="1" s="1"/>
  <c r="X1152" i="1"/>
  <c r="X1024" i="1"/>
  <c r="Y1024" i="1"/>
  <c r="C693" i="6"/>
  <c r="E693" i="6" s="1"/>
  <c r="E692" i="6"/>
  <c r="I692" i="6"/>
  <c r="J692" i="6"/>
  <c r="E691" i="6"/>
  <c r="F691" i="6"/>
  <c r="I691" i="6"/>
  <c r="J691" i="6"/>
  <c r="E690" i="6"/>
  <c r="F690" i="6"/>
  <c r="I690" i="6"/>
  <c r="J690" i="6"/>
  <c r="F419" i="6"/>
  <c r="I419" i="6"/>
  <c r="J419" i="6"/>
  <c r="Q22" i="15"/>
  <c r="Q28" i="15"/>
  <c r="Q26" i="15"/>
  <c r="Q25" i="15"/>
  <c r="Q21" i="15"/>
  <c r="Q19" i="15"/>
  <c r="Q18" i="15"/>
  <c r="Q17" i="15"/>
  <c r="Q16" i="15"/>
  <c r="Q14" i="15"/>
  <c r="Q13" i="15"/>
  <c r="Q12" i="15"/>
  <c r="Q11" i="15"/>
  <c r="Q10" i="15"/>
  <c r="Q9" i="15"/>
  <c r="Q7" i="15"/>
  <c r="Q5" i="15"/>
  <c r="Q4" i="15"/>
  <c r="Q3" i="15"/>
  <c r="Q2" i="15"/>
  <c r="E516" i="6"/>
  <c r="F516" i="6"/>
  <c r="I516" i="6"/>
  <c r="J516" i="6"/>
  <c r="E663" i="6"/>
  <c r="F663" i="6"/>
  <c r="I663" i="6"/>
  <c r="J663" i="6"/>
  <c r="C676" i="6"/>
  <c r="F599" i="6"/>
  <c r="F600" i="6"/>
  <c r="F601" i="6"/>
  <c r="F602" i="6"/>
  <c r="F603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1" i="6"/>
  <c r="F550" i="6"/>
  <c r="F552" i="6"/>
  <c r="F553" i="6"/>
  <c r="F554" i="6"/>
  <c r="F555" i="6"/>
  <c r="F556" i="6"/>
  <c r="F557" i="6"/>
  <c r="F558" i="6"/>
  <c r="F559" i="6"/>
  <c r="F561" i="6"/>
  <c r="F560" i="6"/>
  <c r="F563" i="6"/>
  <c r="F562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8" i="6"/>
  <c r="F577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D2" i="15"/>
  <c r="E2" i="15"/>
  <c r="F2" i="15"/>
  <c r="G2" i="15"/>
  <c r="H2" i="15"/>
  <c r="I2" i="15"/>
  <c r="J2" i="15"/>
  <c r="K2" i="15"/>
  <c r="L2" i="15"/>
  <c r="M2" i="15"/>
  <c r="N2" i="15"/>
  <c r="D3" i="15"/>
  <c r="E3" i="15"/>
  <c r="F3" i="15"/>
  <c r="G3" i="15"/>
  <c r="H3" i="15"/>
  <c r="I3" i="15"/>
  <c r="J3" i="15"/>
  <c r="K3" i="15"/>
  <c r="L3" i="15"/>
  <c r="M3" i="15"/>
  <c r="N3" i="15"/>
  <c r="D4" i="15"/>
  <c r="E4" i="15"/>
  <c r="F4" i="15"/>
  <c r="G4" i="15"/>
  <c r="H4" i="15"/>
  <c r="I4" i="15"/>
  <c r="J4" i="15"/>
  <c r="K4" i="15"/>
  <c r="L4" i="15"/>
  <c r="M4" i="15"/>
  <c r="N4" i="15"/>
  <c r="D5" i="15"/>
  <c r="E5" i="15"/>
  <c r="F5" i="15"/>
  <c r="G5" i="15"/>
  <c r="H5" i="15"/>
  <c r="I5" i="15"/>
  <c r="J5" i="15"/>
  <c r="K5" i="15"/>
  <c r="L5" i="15"/>
  <c r="M5" i="15"/>
  <c r="N5" i="15"/>
  <c r="D7" i="15"/>
  <c r="E7" i="15"/>
  <c r="F7" i="15"/>
  <c r="G7" i="15"/>
  <c r="H7" i="15"/>
  <c r="I7" i="15"/>
  <c r="J7" i="15"/>
  <c r="K7" i="15"/>
  <c r="L7" i="15"/>
  <c r="M7" i="15"/>
  <c r="N7" i="15"/>
  <c r="D9" i="15"/>
  <c r="E9" i="15"/>
  <c r="F9" i="15"/>
  <c r="G9" i="15"/>
  <c r="H9" i="15"/>
  <c r="I9" i="15"/>
  <c r="J9" i="15"/>
  <c r="K9" i="15"/>
  <c r="L9" i="15"/>
  <c r="M9" i="15"/>
  <c r="N9" i="15"/>
  <c r="D10" i="15"/>
  <c r="E10" i="15"/>
  <c r="F10" i="15"/>
  <c r="G10" i="15"/>
  <c r="H10" i="15"/>
  <c r="I10" i="15"/>
  <c r="J10" i="15"/>
  <c r="K10" i="15"/>
  <c r="L10" i="15"/>
  <c r="M10" i="15"/>
  <c r="N10" i="15"/>
  <c r="D11" i="15"/>
  <c r="E11" i="15"/>
  <c r="F11" i="15"/>
  <c r="G11" i="15"/>
  <c r="H11" i="15"/>
  <c r="I11" i="15"/>
  <c r="J11" i="15"/>
  <c r="K11" i="15"/>
  <c r="L11" i="15"/>
  <c r="M11" i="15"/>
  <c r="N11" i="15"/>
  <c r="D12" i="15"/>
  <c r="E12" i="15"/>
  <c r="F12" i="15"/>
  <c r="G12" i="15"/>
  <c r="H12" i="15"/>
  <c r="I12" i="15"/>
  <c r="J12" i="15"/>
  <c r="K12" i="15"/>
  <c r="L12" i="15"/>
  <c r="M12" i="15"/>
  <c r="N12" i="15"/>
  <c r="D13" i="15"/>
  <c r="E13" i="15"/>
  <c r="F13" i="15"/>
  <c r="G13" i="15"/>
  <c r="H13" i="15"/>
  <c r="I13" i="15"/>
  <c r="J13" i="15"/>
  <c r="K13" i="15"/>
  <c r="L13" i="15"/>
  <c r="M13" i="15"/>
  <c r="N13" i="15"/>
  <c r="D15" i="15"/>
  <c r="E15" i="15"/>
  <c r="F15" i="15"/>
  <c r="G15" i="15"/>
  <c r="H15" i="15"/>
  <c r="I15" i="15"/>
  <c r="J15" i="15"/>
  <c r="K15" i="15"/>
  <c r="L15" i="15"/>
  <c r="M15" i="15"/>
  <c r="N15" i="15"/>
  <c r="D14" i="15"/>
  <c r="E14" i="15"/>
  <c r="F14" i="15"/>
  <c r="G14" i="15"/>
  <c r="H14" i="15"/>
  <c r="I14" i="15"/>
  <c r="J14" i="15"/>
  <c r="K14" i="15"/>
  <c r="L14" i="15"/>
  <c r="M14" i="15"/>
  <c r="N14" i="15"/>
  <c r="D16" i="15"/>
  <c r="E16" i="15"/>
  <c r="F16" i="15"/>
  <c r="G16" i="15"/>
  <c r="H16" i="15"/>
  <c r="I16" i="15"/>
  <c r="J16" i="15"/>
  <c r="K16" i="15"/>
  <c r="L16" i="15"/>
  <c r="M16" i="15"/>
  <c r="N16" i="15"/>
  <c r="D17" i="15"/>
  <c r="E17" i="15"/>
  <c r="F17" i="15"/>
  <c r="G17" i="15"/>
  <c r="H17" i="15"/>
  <c r="I17" i="15"/>
  <c r="J17" i="15"/>
  <c r="K17" i="15"/>
  <c r="L17" i="15"/>
  <c r="M17" i="15"/>
  <c r="N17" i="15"/>
  <c r="D18" i="15"/>
  <c r="E18" i="15"/>
  <c r="F18" i="15"/>
  <c r="G18" i="15"/>
  <c r="H18" i="15"/>
  <c r="I18" i="15"/>
  <c r="J18" i="15"/>
  <c r="K18" i="15"/>
  <c r="L18" i="15"/>
  <c r="M18" i="15"/>
  <c r="N18" i="15"/>
  <c r="D19" i="15"/>
  <c r="E19" i="15"/>
  <c r="F19" i="15"/>
  <c r="G19" i="15"/>
  <c r="H19" i="15"/>
  <c r="I19" i="15"/>
  <c r="J19" i="15"/>
  <c r="K19" i="15"/>
  <c r="L19" i="15"/>
  <c r="M19" i="15"/>
  <c r="N19" i="15"/>
  <c r="D21" i="15"/>
  <c r="E21" i="15"/>
  <c r="F21" i="15"/>
  <c r="G21" i="15"/>
  <c r="H21" i="15"/>
  <c r="I21" i="15"/>
  <c r="J21" i="15"/>
  <c r="K21" i="15"/>
  <c r="L21" i="15"/>
  <c r="M21" i="15"/>
  <c r="N21" i="15"/>
  <c r="D25" i="15"/>
  <c r="E25" i="15"/>
  <c r="F25" i="15"/>
  <c r="G25" i="15"/>
  <c r="H25" i="15"/>
  <c r="I25" i="15"/>
  <c r="J25" i="15"/>
  <c r="K25" i="15"/>
  <c r="L25" i="15"/>
  <c r="M25" i="15"/>
  <c r="N25" i="15"/>
  <c r="D26" i="15"/>
  <c r="E26" i="15"/>
  <c r="F26" i="15"/>
  <c r="G26" i="15"/>
  <c r="H26" i="15"/>
  <c r="I26" i="15"/>
  <c r="J26" i="15"/>
  <c r="K26" i="15"/>
  <c r="L26" i="15"/>
  <c r="M26" i="15"/>
  <c r="N26" i="15"/>
  <c r="D22" i="15"/>
  <c r="E22" i="15"/>
  <c r="F22" i="15"/>
  <c r="G22" i="15"/>
  <c r="H22" i="15"/>
  <c r="I22" i="15"/>
  <c r="J22" i="15"/>
  <c r="K22" i="15"/>
  <c r="L22" i="15"/>
  <c r="M22" i="15"/>
  <c r="N22" i="15"/>
  <c r="C432" i="6"/>
  <c r="P22" i="15"/>
  <c r="P25" i="15"/>
  <c r="P21" i="15"/>
  <c r="P19" i="15"/>
  <c r="P18" i="15"/>
  <c r="P17" i="15"/>
  <c r="P16" i="15"/>
  <c r="P14" i="15"/>
  <c r="P13" i="15"/>
  <c r="P12" i="15"/>
  <c r="P11" i="15"/>
  <c r="P10" i="15"/>
  <c r="P9" i="15"/>
  <c r="P7" i="15"/>
  <c r="P5" i="15"/>
  <c r="P4" i="15"/>
  <c r="P3" i="15"/>
  <c r="P2" i="15"/>
  <c r="A507" i="1"/>
  <c r="A508" i="1"/>
  <c r="C507" i="1"/>
  <c r="B507" i="1" s="1"/>
  <c r="C508" i="1"/>
  <c r="B508" i="1" s="1"/>
  <c r="F507" i="1"/>
  <c r="F508" i="1"/>
  <c r="M507" i="1"/>
  <c r="M508" i="1"/>
  <c r="O507" i="1"/>
  <c r="O508" i="1"/>
  <c r="U507" i="1"/>
  <c r="Y507" i="1" s="1"/>
  <c r="U508" i="1"/>
  <c r="Y508" i="1" s="1"/>
  <c r="V507" i="1"/>
  <c r="W507" i="1" s="1"/>
  <c r="V508" i="1"/>
  <c r="W508" i="1" s="1"/>
  <c r="Z507" i="1"/>
  <c r="Z508" i="1"/>
  <c r="I85" i="104"/>
  <c r="I84" i="104"/>
  <c r="A84" i="104"/>
  <c r="A85" i="104"/>
  <c r="B84" i="104"/>
  <c r="B85" i="104"/>
  <c r="C84" i="104"/>
  <c r="C85" i="104"/>
  <c r="E39" i="6"/>
  <c r="E147" i="6"/>
  <c r="E91" i="6"/>
  <c r="E285" i="6"/>
  <c r="E51" i="6"/>
  <c r="E216" i="6"/>
  <c r="I216" i="6"/>
  <c r="E553" i="6"/>
  <c r="F730" i="6" l="1"/>
  <c r="F739" i="6"/>
  <c r="P15" i="15"/>
  <c r="F727" i="6"/>
  <c r="D402" i="1"/>
  <c r="D1253" i="1"/>
  <c r="D935" i="1"/>
  <c r="D1234" i="1"/>
  <c r="E676" i="6"/>
  <c r="F725" i="6"/>
  <c r="D403" i="1"/>
  <c r="J693" i="6"/>
  <c r="P1108" i="1"/>
  <c r="Q1108" i="1" s="1"/>
  <c r="R1108" i="1" s="1"/>
  <c r="D1108" i="1" s="1"/>
  <c r="I693" i="6"/>
  <c r="P1152" i="1"/>
  <c r="Q1152" i="1" s="1"/>
  <c r="R1152" i="1" s="1"/>
  <c r="D1152" i="1" s="1"/>
  <c r="T508" i="1"/>
  <c r="P1024" i="1"/>
  <c r="Q1024" i="1" s="1"/>
  <c r="R1024" i="1" s="1"/>
  <c r="D1024" i="1" s="1"/>
  <c r="T507" i="1"/>
  <c r="F693" i="6"/>
  <c r="Q15" i="15"/>
  <c r="Q29" i="15"/>
  <c r="X508" i="1"/>
  <c r="P508" i="1" s="1"/>
  <c r="Q508" i="1" s="1"/>
  <c r="R508" i="1" s="1"/>
  <c r="F676" i="6"/>
  <c r="X507" i="1"/>
  <c r="P507" i="1" s="1"/>
  <c r="Q507" i="1" s="1"/>
  <c r="R507" i="1" s="1"/>
  <c r="J676" i="6"/>
  <c r="I676" i="6"/>
  <c r="F91" i="6"/>
  <c r="F285" i="6"/>
  <c r="F51" i="6"/>
  <c r="I147" i="6"/>
  <c r="I91" i="6"/>
  <c r="I285" i="6"/>
  <c r="I51" i="6"/>
  <c r="J91" i="6"/>
  <c r="J285" i="6"/>
  <c r="J51" i="6"/>
  <c r="A605" i="1"/>
  <c r="C605" i="1"/>
  <c r="B605" i="1" s="1"/>
  <c r="F605" i="1"/>
  <c r="M605" i="1"/>
  <c r="O605" i="1"/>
  <c r="U605" i="1"/>
  <c r="Y605" i="1" s="1"/>
  <c r="V605" i="1"/>
  <c r="W605" i="1" s="1"/>
  <c r="Z605" i="1"/>
  <c r="A604" i="1"/>
  <c r="C604" i="1"/>
  <c r="B604" i="1" s="1"/>
  <c r="F604" i="1"/>
  <c r="M604" i="1"/>
  <c r="O604" i="1"/>
  <c r="S604" i="1"/>
  <c r="T604" i="1"/>
  <c r="U604" i="1"/>
  <c r="Y604" i="1" s="1"/>
  <c r="V604" i="1"/>
  <c r="W604" i="1" s="1"/>
  <c r="Z604" i="1"/>
  <c r="A1205" i="1"/>
  <c r="C1205" i="1"/>
  <c r="B1205" i="1" s="1"/>
  <c r="D1205" i="1"/>
  <c r="F1205" i="1"/>
  <c r="O1205" i="1"/>
  <c r="S1205" i="1"/>
  <c r="T1205" i="1"/>
  <c r="U1205" i="1"/>
  <c r="Y1205" i="1" s="1"/>
  <c r="V1205" i="1"/>
  <c r="W1205" i="1" s="1"/>
  <c r="Z1205" i="1"/>
  <c r="A1095" i="1"/>
  <c r="C1095" i="1"/>
  <c r="B1095" i="1" s="1"/>
  <c r="F1095" i="1"/>
  <c r="M1095" i="1"/>
  <c r="O1095" i="1"/>
  <c r="U1095" i="1"/>
  <c r="V1095" i="1"/>
  <c r="W1095" i="1" s="1"/>
  <c r="Z1095" i="1"/>
  <c r="A1079" i="1"/>
  <c r="C1079" i="1"/>
  <c r="B1079" i="1" s="1"/>
  <c r="F1079" i="1"/>
  <c r="O1079" i="1"/>
  <c r="S1079" i="1"/>
  <c r="T1079" i="1"/>
  <c r="U1079" i="1"/>
  <c r="Y1079" i="1" s="1"/>
  <c r="V1079" i="1"/>
  <c r="W1079" i="1" s="1"/>
  <c r="Z1079" i="1"/>
  <c r="A910" i="1"/>
  <c r="C910" i="1"/>
  <c r="B910" i="1" s="1"/>
  <c r="F910" i="1"/>
  <c r="M910" i="1"/>
  <c r="O910" i="1"/>
  <c r="U910" i="1"/>
  <c r="Y910" i="1" s="1"/>
  <c r="V910" i="1"/>
  <c r="W910" i="1" s="1"/>
  <c r="Z910" i="1"/>
  <c r="A254" i="1"/>
  <c r="C254" i="1"/>
  <c r="B254" i="1" s="1"/>
  <c r="F254" i="1"/>
  <c r="M254" i="1"/>
  <c r="O254" i="1"/>
  <c r="T254" i="1"/>
  <c r="U254" i="1"/>
  <c r="Y254" i="1" s="1"/>
  <c r="V254" i="1"/>
  <c r="W254" i="1" s="1"/>
  <c r="Z254" i="1"/>
  <c r="A189" i="1"/>
  <c r="C189" i="1"/>
  <c r="B189" i="1" s="1"/>
  <c r="F189" i="1"/>
  <c r="M189" i="1"/>
  <c r="O189" i="1"/>
  <c r="T189" i="1"/>
  <c r="U189" i="1"/>
  <c r="Y189" i="1" s="1"/>
  <c r="V189" i="1"/>
  <c r="W189" i="1" s="1"/>
  <c r="Z189" i="1"/>
  <c r="A774" i="1"/>
  <c r="C774" i="1"/>
  <c r="B774" i="1" s="1"/>
  <c r="F774" i="1"/>
  <c r="M774" i="1"/>
  <c r="O774" i="1"/>
  <c r="U774" i="1"/>
  <c r="Y774" i="1" s="1"/>
  <c r="V774" i="1"/>
  <c r="W774" i="1" s="1"/>
  <c r="Z774" i="1"/>
  <c r="A880" i="1"/>
  <c r="C880" i="1"/>
  <c r="B880" i="1" s="1"/>
  <c r="F880" i="1"/>
  <c r="M880" i="1"/>
  <c r="O880" i="1"/>
  <c r="T880" i="1"/>
  <c r="U880" i="1"/>
  <c r="Y880" i="1" s="1"/>
  <c r="V880" i="1"/>
  <c r="W880" i="1" s="1"/>
  <c r="Z880" i="1"/>
  <c r="E56" i="6"/>
  <c r="F56" i="6"/>
  <c r="I56" i="6"/>
  <c r="J56" i="6"/>
  <c r="A1158" i="1"/>
  <c r="C1158" i="1"/>
  <c r="B1158" i="1" s="1"/>
  <c r="F1158" i="1"/>
  <c r="M1158" i="1"/>
  <c r="O1158" i="1"/>
  <c r="U1158" i="1"/>
  <c r="Y1158" i="1" s="1"/>
  <c r="V1158" i="1"/>
  <c r="W1158" i="1" s="1"/>
  <c r="Z1158" i="1"/>
  <c r="E150" i="6"/>
  <c r="F150" i="6"/>
  <c r="I150" i="6"/>
  <c r="J150" i="6"/>
  <c r="A188" i="1"/>
  <c r="C188" i="1"/>
  <c r="B188" i="1" s="1"/>
  <c r="F188" i="1"/>
  <c r="M188" i="1"/>
  <c r="O188" i="1"/>
  <c r="T188" i="1"/>
  <c r="U188" i="1"/>
  <c r="Y188" i="1" s="1"/>
  <c r="V188" i="1"/>
  <c r="W188" i="1" s="1"/>
  <c r="Z188" i="1"/>
  <c r="B28" i="16"/>
  <c r="B22" i="16"/>
  <c r="B20" i="16"/>
  <c r="E675" i="6"/>
  <c r="E662" i="6"/>
  <c r="E688" i="6"/>
  <c r="I675" i="6"/>
  <c r="I662" i="6"/>
  <c r="I688" i="6"/>
  <c r="J675" i="6"/>
  <c r="J662" i="6"/>
  <c r="J688" i="6"/>
  <c r="E481" i="6"/>
  <c r="F481" i="6"/>
  <c r="I481" i="6"/>
  <c r="J481" i="6"/>
  <c r="E432" i="6"/>
  <c r="F432" i="6"/>
  <c r="I432" i="6"/>
  <c r="J432" i="6"/>
  <c r="E306" i="6"/>
  <c r="F306" i="6"/>
  <c r="I306" i="6"/>
  <c r="J306" i="6"/>
  <c r="D603" i="6"/>
  <c r="E603" i="6" s="1"/>
  <c r="I603" i="6"/>
  <c r="E466" i="6"/>
  <c r="F466" i="6"/>
  <c r="I466" i="6"/>
  <c r="J466" i="6"/>
  <c r="E467" i="6"/>
  <c r="E468" i="6"/>
  <c r="F467" i="6"/>
  <c r="F468" i="6"/>
  <c r="I467" i="6"/>
  <c r="I468" i="6"/>
  <c r="J467" i="6"/>
  <c r="J468" i="6"/>
  <c r="T605" i="1" l="1"/>
  <c r="T1095" i="1"/>
  <c r="B12" i="16"/>
  <c r="J603" i="6"/>
  <c r="B13" i="16"/>
  <c r="X605" i="1"/>
  <c r="P605" i="1" s="1"/>
  <c r="Q605" i="1" s="1"/>
  <c r="R605" i="1" s="1"/>
  <c r="D604" i="1" s="1"/>
  <c r="X604" i="1"/>
  <c r="P604" i="1" s="1"/>
  <c r="Q604" i="1" s="1"/>
  <c r="R604" i="1" s="1"/>
  <c r="X1205" i="1"/>
  <c r="P1205" i="1" s="1"/>
  <c r="Q1205" i="1" s="1"/>
  <c r="R1205" i="1" s="1"/>
  <c r="X1095" i="1"/>
  <c r="Y1095" i="1"/>
  <c r="T910" i="1"/>
  <c r="X1079" i="1"/>
  <c r="P1079" i="1" s="1"/>
  <c r="R1079" i="1" s="1"/>
  <c r="X910" i="1"/>
  <c r="P910" i="1" s="1"/>
  <c r="Q910" i="1" s="1"/>
  <c r="R910" i="1" s="1"/>
  <c r="D910" i="1" s="1"/>
  <c r="X254" i="1"/>
  <c r="P254" i="1" s="1"/>
  <c r="Q254" i="1" s="1"/>
  <c r="R254" i="1" s="1"/>
  <c r="D254" i="1" s="1"/>
  <c r="X189" i="1"/>
  <c r="P189" i="1" s="1"/>
  <c r="Q189" i="1" s="1"/>
  <c r="R189" i="1" s="1"/>
  <c r="D189" i="1" s="1"/>
  <c r="X774" i="1"/>
  <c r="P774" i="1" s="1"/>
  <c r="Q774" i="1" s="1"/>
  <c r="R774" i="1" s="1"/>
  <c r="D774" i="1" s="1"/>
  <c r="T774" i="1"/>
  <c r="X880" i="1"/>
  <c r="P880" i="1" s="1"/>
  <c r="Q880" i="1" s="1"/>
  <c r="R880" i="1" s="1"/>
  <c r="D880" i="1" s="1"/>
  <c r="X188" i="1"/>
  <c r="P188" i="1" s="1"/>
  <c r="Q188" i="1" s="1"/>
  <c r="R188" i="1" s="1"/>
  <c r="D188" i="1" s="1"/>
  <c r="T1158" i="1"/>
  <c r="X1158" i="1"/>
  <c r="P1158" i="1" s="1"/>
  <c r="Q1158" i="1" s="1"/>
  <c r="R1158" i="1" s="1"/>
  <c r="D1158" i="1" s="1"/>
  <c r="D605" i="1" l="1"/>
  <c r="Q1095" i="1"/>
  <c r="R1095" i="1" s="1"/>
  <c r="E431" i="6"/>
  <c r="F431" i="6"/>
  <c r="I431" i="6"/>
  <c r="J431" i="6"/>
  <c r="E531" i="6"/>
  <c r="F531" i="6"/>
  <c r="I531" i="6"/>
  <c r="J531" i="6"/>
  <c r="E530" i="6"/>
  <c r="F530" i="6"/>
  <c r="I530" i="6"/>
  <c r="J530" i="6"/>
  <c r="D1095" i="1" l="1"/>
  <c r="D1079" i="1"/>
  <c r="A960" i="1"/>
  <c r="C960" i="1"/>
  <c r="B960" i="1" s="1"/>
  <c r="F960" i="1"/>
  <c r="M960" i="1"/>
  <c r="O960" i="1"/>
  <c r="U960" i="1"/>
  <c r="V960" i="1"/>
  <c r="W960" i="1" s="1"/>
  <c r="Z960" i="1"/>
  <c r="X960" i="1" l="1"/>
  <c r="Y960" i="1"/>
  <c r="T960" i="1"/>
  <c r="P960" i="1" l="1"/>
  <c r="Q960" i="1" s="1"/>
  <c r="R960" i="1" s="1"/>
  <c r="D960" i="1" l="1"/>
  <c r="D1238" i="1"/>
  <c r="A669" i="1"/>
  <c r="C669" i="1"/>
  <c r="B669" i="1" s="1"/>
  <c r="F669" i="1"/>
  <c r="M669" i="1"/>
  <c r="U669" i="1"/>
  <c r="Y669" i="1" s="1"/>
  <c r="V669" i="1"/>
  <c r="W669" i="1" s="1"/>
  <c r="Z669" i="1"/>
  <c r="A1181" i="1"/>
  <c r="C1181" i="1"/>
  <c r="B1181" i="1" s="1"/>
  <c r="F1181" i="1"/>
  <c r="M1181" i="1"/>
  <c r="O1181" i="1"/>
  <c r="U1181" i="1"/>
  <c r="Y1181" i="1" s="1"/>
  <c r="V1181" i="1"/>
  <c r="W1181" i="1" s="1"/>
  <c r="Z1181" i="1"/>
  <c r="A894" i="1"/>
  <c r="C894" i="1"/>
  <c r="B894" i="1" s="1"/>
  <c r="F894" i="1"/>
  <c r="O894" i="1"/>
  <c r="T894" i="1"/>
  <c r="U894" i="1"/>
  <c r="Y894" i="1" s="1"/>
  <c r="V894" i="1"/>
  <c r="W894" i="1" s="1"/>
  <c r="Z894" i="1"/>
  <c r="A78" i="1"/>
  <c r="C78" i="1"/>
  <c r="B78" i="1" s="1"/>
  <c r="F78" i="1"/>
  <c r="M78" i="1"/>
  <c r="O78" i="1"/>
  <c r="T78" i="1"/>
  <c r="U78" i="1"/>
  <c r="Y78" i="1" s="1"/>
  <c r="V78" i="1"/>
  <c r="W78" i="1" s="1"/>
  <c r="Z78" i="1"/>
  <c r="A77" i="1"/>
  <c r="C77" i="1"/>
  <c r="B77" i="1" s="1"/>
  <c r="F77" i="1"/>
  <c r="M77" i="1"/>
  <c r="O77" i="1"/>
  <c r="T77" i="1"/>
  <c r="U77" i="1"/>
  <c r="Y77" i="1" s="1"/>
  <c r="V77" i="1"/>
  <c r="W77" i="1" s="1"/>
  <c r="Z77" i="1"/>
  <c r="A312" i="1"/>
  <c r="C312" i="1"/>
  <c r="B312" i="1" s="1"/>
  <c r="F312" i="1"/>
  <c r="M312" i="1"/>
  <c r="O312" i="1"/>
  <c r="U312" i="1"/>
  <c r="Y312" i="1" s="1"/>
  <c r="V312" i="1"/>
  <c r="W312" i="1" s="1"/>
  <c r="Z312" i="1"/>
  <c r="A200" i="1"/>
  <c r="C200" i="1"/>
  <c r="B200" i="1" s="1"/>
  <c r="F200" i="1"/>
  <c r="M200" i="1"/>
  <c r="O200" i="1"/>
  <c r="U200" i="1"/>
  <c r="Y200" i="1" s="1"/>
  <c r="V200" i="1"/>
  <c r="W200" i="1" s="1"/>
  <c r="Z200" i="1"/>
  <c r="A290" i="1"/>
  <c r="C290" i="1"/>
  <c r="B290" i="1" s="1"/>
  <c r="F290" i="1"/>
  <c r="M290" i="1"/>
  <c r="O290" i="1"/>
  <c r="U290" i="1"/>
  <c r="Y290" i="1" s="1"/>
  <c r="V290" i="1"/>
  <c r="W290" i="1" s="1"/>
  <c r="Z290" i="1"/>
  <c r="A297" i="1"/>
  <c r="C297" i="1"/>
  <c r="B297" i="1" s="1"/>
  <c r="F297" i="1"/>
  <c r="M297" i="1"/>
  <c r="O297" i="1"/>
  <c r="U297" i="1"/>
  <c r="Y297" i="1" s="1"/>
  <c r="V297" i="1"/>
  <c r="W297" i="1" s="1"/>
  <c r="Z297" i="1"/>
  <c r="A1014" i="1"/>
  <c r="C1014" i="1"/>
  <c r="B1014" i="1" s="1"/>
  <c r="F1014" i="1"/>
  <c r="M1014" i="1"/>
  <c r="O1014" i="1"/>
  <c r="S1014" i="1"/>
  <c r="T1014" i="1"/>
  <c r="U1014" i="1"/>
  <c r="Y1014" i="1" s="1"/>
  <c r="V1014" i="1"/>
  <c r="W1014" i="1" s="1"/>
  <c r="Z1014" i="1"/>
  <c r="A253" i="1"/>
  <c r="C253" i="1"/>
  <c r="B253" i="1" s="1"/>
  <c r="F253" i="1"/>
  <c r="M253" i="1"/>
  <c r="O253" i="1"/>
  <c r="T253" i="1"/>
  <c r="U253" i="1"/>
  <c r="Y253" i="1" s="1"/>
  <c r="V253" i="1"/>
  <c r="W253" i="1" s="1"/>
  <c r="Z253" i="1"/>
  <c r="A327" i="1"/>
  <c r="C327" i="1"/>
  <c r="B327" i="1" s="1"/>
  <c r="D327" i="1"/>
  <c r="F327" i="1"/>
  <c r="M327" i="1"/>
  <c r="O327" i="1"/>
  <c r="T327" i="1"/>
  <c r="U327" i="1"/>
  <c r="Y327" i="1" s="1"/>
  <c r="V327" i="1"/>
  <c r="W327" i="1" s="1"/>
  <c r="Z327" i="1"/>
  <c r="A202" i="1"/>
  <c r="C202" i="1"/>
  <c r="B202" i="1" s="1"/>
  <c r="F202" i="1"/>
  <c r="M202" i="1"/>
  <c r="O202" i="1"/>
  <c r="T202" i="1"/>
  <c r="U202" i="1"/>
  <c r="Y202" i="1" s="1"/>
  <c r="V202" i="1"/>
  <c r="W202" i="1" s="1"/>
  <c r="Z202" i="1"/>
  <c r="A1063" i="1"/>
  <c r="C1063" i="1"/>
  <c r="B1063" i="1" s="1"/>
  <c r="F1063" i="1"/>
  <c r="M1063" i="1"/>
  <c r="O1063" i="1"/>
  <c r="T1063" i="1"/>
  <c r="U1063" i="1"/>
  <c r="Y1063" i="1" s="1"/>
  <c r="V1063" i="1"/>
  <c r="W1063" i="1" s="1"/>
  <c r="Z1063" i="1"/>
  <c r="A1157" i="1"/>
  <c r="C1157" i="1"/>
  <c r="B1157" i="1" s="1"/>
  <c r="F1157" i="1"/>
  <c r="M1157" i="1"/>
  <c r="O1157" i="1"/>
  <c r="T1157" i="1"/>
  <c r="U1157" i="1"/>
  <c r="Y1157" i="1" s="1"/>
  <c r="V1157" i="1"/>
  <c r="W1157" i="1" s="1"/>
  <c r="Z1157" i="1"/>
  <c r="A835" i="1"/>
  <c r="C835" i="1"/>
  <c r="B835" i="1" s="1"/>
  <c r="F835" i="1"/>
  <c r="M835" i="1"/>
  <c r="O835" i="1"/>
  <c r="T835" i="1"/>
  <c r="U835" i="1"/>
  <c r="Y835" i="1" s="1"/>
  <c r="V835" i="1"/>
  <c r="W835" i="1" s="1"/>
  <c r="Z835" i="1"/>
  <c r="A182" i="1"/>
  <c r="A186" i="1"/>
  <c r="C182" i="1"/>
  <c r="B182" i="1" s="1"/>
  <c r="C186" i="1"/>
  <c r="B186" i="1" s="1"/>
  <c r="F182" i="1"/>
  <c r="F186" i="1"/>
  <c r="M182" i="1"/>
  <c r="M186" i="1"/>
  <c r="O182" i="1"/>
  <c r="O186" i="1"/>
  <c r="S186" i="1"/>
  <c r="T182" i="1"/>
  <c r="T186" i="1"/>
  <c r="U182" i="1"/>
  <c r="Y182" i="1" s="1"/>
  <c r="U186" i="1"/>
  <c r="Y186" i="1" s="1"/>
  <c r="V182" i="1"/>
  <c r="W182" i="1" s="1"/>
  <c r="V186" i="1"/>
  <c r="W186" i="1" s="1"/>
  <c r="Z182" i="1"/>
  <c r="Z186" i="1"/>
  <c r="A169" i="1"/>
  <c r="C169" i="1"/>
  <c r="B169" i="1" s="1"/>
  <c r="F169" i="1"/>
  <c r="M169" i="1"/>
  <c r="O169" i="1"/>
  <c r="T169" i="1"/>
  <c r="U169" i="1"/>
  <c r="Y169" i="1" s="1"/>
  <c r="V169" i="1"/>
  <c r="W169" i="1" s="1"/>
  <c r="Z169" i="1"/>
  <c r="T1181" i="1" l="1"/>
  <c r="X669" i="1"/>
  <c r="P669" i="1" s="1"/>
  <c r="Q669" i="1" s="1"/>
  <c r="R669" i="1" s="1"/>
  <c r="T669" i="1"/>
  <c r="X1181" i="1"/>
  <c r="P1181" i="1" s="1"/>
  <c r="Q1181" i="1" s="1"/>
  <c r="R1181" i="1" s="1"/>
  <c r="X894" i="1"/>
  <c r="P894" i="1" s="1"/>
  <c r="Q894" i="1" s="1"/>
  <c r="R894" i="1" s="1"/>
  <c r="D894" i="1" s="1"/>
  <c r="T290" i="1"/>
  <c r="X78" i="1"/>
  <c r="P78" i="1" s="1"/>
  <c r="Q78" i="1" s="1"/>
  <c r="T200" i="1"/>
  <c r="T297" i="1"/>
  <c r="X312" i="1"/>
  <c r="P312" i="1" s="1"/>
  <c r="Q312" i="1" s="1"/>
  <c r="R312" i="1" s="1"/>
  <c r="D312" i="1" s="1"/>
  <c r="X77" i="1"/>
  <c r="P77" i="1" s="1"/>
  <c r="Q77" i="1" s="1"/>
  <c r="R77" i="1" s="1"/>
  <c r="T312" i="1"/>
  <c r="X297" i="1"/>
  <c r="P297" i="1" s="1"/>
  <c r="Q297" i="1" s="1"/>
  <c r="R297" i="1" s="1"/>
  <c r="D297" i="1" s="1"/>
  <c r="D77" i="1"/>
  <c r="R78" i="1"/>
  <c r="D78" i="1" s="1"/>
  <c r="X200" i="1"/>
  <c r="P200" i="1" s="1"/>
  <c r="Q200" i="1" s="1"/>
  <c r="R200" i="1" s="1"/>
  <c r="D200" i="1" s="1"/>
  <c r="X290" i="1"/>
  <c r="P290" i="1" s="1"/>
  <c r="Q290" i="1" s="1"/>
  <c r="R290" i="1" s="1"/>
  <c r="X1014" i="1"/>
  <c r="P1014" i="1" s="1"/>
  <c r="Q1014" i="1" s="1"/>
  <c r="R1014" i="1" s="1"/>
  <c r="D1014" i="1" s="1"/>
  <c r="X253" i="1"/>
  <c r="P253" i="1" s="1"/>
  <c r="Q253" i="1" s="1"/>
  <c r="R253" i="1" s="1"/>
  <c r="D253" i="1" s="1"/>
  <c r="X202" i="1"/>
  <c r="P202" i="1" s="1"/>
  <c r="Q202" i="1" s="1"/>
  <c r="R202" i="1" s="1"/>
  <c r="D202" i="1" s="1"/>
  <c r="X327" i="1"/>
  <c r="P327" i="1" s="1"/>
  <c r="Q327" i="1" s="1"/>
  <c r="R327" i="1" s="1"/>
  <c r="X1063" i="1"/>
  <c r="P1063" i="1" s="1"/>
  <c r="Q1063" i="1" s="1"/>
  <c r="R1063" i="1" s="1"/>
  <c r="D1063" i="1" s="1"/>
  <c r="X1157" i="1"/>
  <c r="P1157" i="1" s="1"/>
  <c r="Q1157" i="1" s="1"/>
  <c r="R1157" i="1" s="1"/>
  <c r="D1157" i="1" s="1"/>
  <c r="X835" i="1"/>
  <c r="P835" i="1" s="1"/>
  <c r="Q835" i="1" s="1"/>
  <c r="R835" i="1" s="1"/>
  <c r="D835" i="1" s="1"/>
  <c r="X182" i="1"/>
  <c r="P182" i="1" s="1"/>
  <c r="Q182" i="1" s="1"/>
  <c r="R182" i="1" s="1"/>
  <c r="X169" i="1"/>
  <c r="P169" i="1" s="1"/>
  <c r="Q169" i="1" s="1"/>
  <c r="R169" i="1" s="1"/>
  <c r="D169" i="1" s="1"/>
  <c r="X186" i="1"/>
  <c r="P186" i="1" s="1"/>
  <c r="Q186" i="1" s="1"/>
  <c r="R186" i="1" s="1"/>
  <c r="D186" i="1" l="1"/>
  <c r="D182" i="1"/>
  <c r="A1117" i="1" l="1"/>
  <c r="C1117" i="1"/>
  <c r="B1117" i="1" s="1"/>
  <c r="F1117" i="1"/>
  <c r="M1117" i="1"/>
  <c r="O1117" i="1"/>
  <c r="U1117" i="1"/>
  <c r="V1117" i="1"/>
  <c r="W1117" i="1" s="1"/>
  <c r="Z1117" i="1"/>
  <c r="A1077" i="1"/>
  <c r="A632" i="1"/>
  <c r="C1077" i="1"/>
  <c r="B1077" i="1" s="1"/>
  <c r="C632" i="1"/>
  <c r="B632" i="1" s="1"/>
  <c r="F1077" i="1"/>
  <c r="F632" i="1"/>
  <c r="M1077" i="1"/>
  <c r="M632" i="1"/>
  <c r="O1077" i="1"/>
  <c r="O632" i="1"/>
  <c r="T1077" i="1"/>
  <c r="T632" i="1"/>
  <c r="U1077" i="1"/>
  <c r="Y1077" i="1" s="1"/>
  <c r="U632" i="1"/>
  <c r="Y632" i="1" s="1"/>
  <c r="V1077" i="1"/>
  <c r="W1077" i="1" s="1"/>
  <c r="V632" i="1"/>
  <c r="W632" i="1" s="1"/>
  <c r="Z1077" i="1"/>
  <c r="Z632" i="1"/>
  <c r="A631" i="1"/>
  <c r="C631" i="1"/>
  <c r="B631" i="1" s="1"/>
  <c r="F631" i="1"/>
  <c r="M631" i="1"/>
  <c r="O631" i="1"/>
  <c r="U631" i="1"/>
  <c r="Y631" i="1" s="1"/>
  <c r="V631" i="1"/>
  <c r="W631" i="1" s="1"/>
  <c r="Z631" i="1"/>
  <c r="A1076" i="1"/>
  <c r="C1076" i="1"/>
  <c r="B1076" i="1" s="1"/>
  <c r="F1076" i="1"/>
  <c r="M1076" i="1"/>
  <c r="O1076" i="1"/>
  <c r="U1076" i="1"/>
  <c r="Y1076" i="1" s="1"/>
  <c r="V1076" i="1"/>
  <c r="W1076" i="1" s="1"/>
  <c r="Z1076" i="1"/>
  <c r="A420" i="1"/>
  <c r="C420" i="1"/>
  <c r="B420" i="1" s="1"/>
  <c r="F420" i="1"/>
  <c r="O420" i="1"/>
  <c r="U420" i="1"/>
  <c r="Y420" i="1" s="1"/>
  <c r="V420" i="1"/>
  <c r="W420" i="1" s="1"/>
  <c r="Z420" i="1"/>
  <c r="A526" i="1"/>
  <c r="C526" i="1"/>
  <c r="B526" i="1" s="1"/>
  <c r="F526" i="1"/>
  <c r="M526" i="1"/>
  <c r="O526" i="1"/>
  <c r="U526" i="1"/>
  <c r="Y526" i="1" s="1"/>
  <c r="V526" i="1"/>
  <c r="W526" i="1" s="1"/>
  <c r="Z526" i="1"/>
  <c r="I101" i="104"/>
  <c r="A101" i="104"/>
  <c r="B101" i="104"/>
  <c r="C101" i="104"/>
  <c r="A668" i="1"/>
  <c r="C668" i="1"/>
  <c r="B668" i="1" s="1"/>
  <c r="F668" i="1"/>
  <c r="O668" i="1"/>
  <c r="T668" i="1"/>
  <c r="U668" i="1"/>
  <c r="Y668" i="1" s="1"/>
  <c r="V668" i="1"/>
  <c r="W668" i="1" s="1"/>
  <c r="Z668" i="1"/>
  <c r="E493" i="6"/>
  <c r="F493" i="6"/>
  <c r="I493" i="6"/>
  <c r="J493" i="6"/>
  <c r="E492" i="6"/>
  <c r="F492" i="6"/>
  <c r="I492" i="6"/>
  <c r="J492" i="6"/>
  <c r="A417" i="1"/>
  <c r="C417" i="1"/>
  <c r="B417" i="1" s="1"/>
  <c r="F417" i="1"/>
  <c r="M417" i="1"/>
  <c r="O417" i="1"/>
  <c r="U417" i="1"/>
  <c r="Y417" i="1" s="1"/>
  <c r="V417" i="1"/>
  <c r="W417" i="1" s="1"/>
  <c r="Z417" i="1"/>
  <c r="A407" i="1"/>
  <c r="C407" i="1"/>
  <c r="B407" i="1" s="1"/>
  <c r="F407" i="1"/>
  <c r="M407" i="1"/>
  <c r="O407" i="1"/>
  <c r="U407" i="1"/>
  <c r="Y407" i="1" s="1"/>
  <c r="V407" i="1"/>
  <c r="W407" i="1" s="1"/>
  <c r="Z407" i="1"/>
  <c r="A223" i="1"/>
  <c r="C223" i="1"/>
  <c r="B223" i="1" s="1"/>
  <c r="F223" i="1"/>
  <c r="M223" i="1"/>
  <c r="O223" i="1"/>
  <c r="T223" i="1"/>
  <c r="U223" i="1"/>
  <c r="Y223" i="1" s="1"/>
  <c r="V223" i="1"/>
  <c r="W223" i="1" s="1"/>
  <c r="Z223" i="1"/>
  <c r="A401" i="1"/>
  <c r="C401" i="1"/>
  <c r="B401" i="1" s="1"/>
  <c r="F401" i="1"/>
  <c r="M401" i="1"/>
  <c r="O401" i="1"/>
  <c r="T401" i="1"/>
  <c r="U401" i="1"/>
  <c r="Y401" i="1" s="1"/>
  <c r="V401" i="1"/>
  <c r="W401" i="1" s="1"/>
  <c r="Z401" i="1"/>
  <c r="A1182" i="1"/>
  <c r="C1182" i="1"/>
  <c r="B1182" i="1" s="1"/>
  <c r="F1182" i="1"/>
  <c r="M1182" i="1"/>
  <c r="O1182" i="1"/>
  <c r="U1182" i="1"/>
  <c r="Y1182" i="1" s="1"/>
  <c r="V1182" i="1"/>
  <c r="W1182" i="1" s="1"/>
  <c r="Z1182" i="1"/>
  <c r="A1023" i="1"/>
  <c r="C1023" i="1"/>
  <c r="B1023" i="1" s="1"/>
  <c r="F1023" i="1"/>
  <c r="M1023" i="1"/>
  <c r="O1023" i="1"/>
  <c r="T1023" i="1"/>
  <c r="U1023" i="1"/>
  <c r="Y1023" i="1" s="1"/>
  <c r="V1023" i="1"/>
  <c r="W1023" i="1" s="1"/>
  <c r="Z1023" i="1"/>
  <c r="A884" i="1"/>
  <c r="C884" i="1"/>
  <c r="B884" i="1" s="1"/>
  <c r="F884" i="1"/>
  <c r="M884" i="1"/>
  <c r="O884" i="1"/>
  <c r="T884" i="1"/>
  <c r="U884" i="1"/>
  <c r="Y884" i="1" s="1"/>
  <c r="V884" i="1"/>
  <c r="W884" i="1" s="1"/>
  <c r="Z884" i="1"/>
  <c r="A1142" i="1"/>
  <c r="C1142" i="1"/>
  <c r="B1142" i="1" s="1"/>
  <c r="F1142" i="1"/>
  <c r="M1142" i="1"/>
  <c r="O1142" i="1"/>
  <c r="U1142" i="1"/>
  <c r="Y1142" i="1" s="1"/>
  <c r="V1142" i="1"/>
  <c r="W1142" i="1" s="1"/>
  <c r="Z1142" i="1"/>
  <c r="A1229" i="1"/>
  <c r="C1229" i="1"/>
  <c r="B1229" i="1" s="1"/>
  <c r="F1229" i="1"/>
  <c r="M1229" i="1"/>
  <c r="O1229" i="1"/>
  <c r="U1229" i="1"/>
  <c r="Y1229" i="1" s="1"/>
  <c r="V1229" i="1"/>
  <c r="W1229" i="1" s="1"/>
  <c r="Z1229" i="1"/>
  <c r="A1228" i="1"/>
  <c r="C1228" i="1"/>
  <c r="B1228" i="1" s="1"/>
  <c r="F1228" i="1"/>
  <c r="M1228" i="1"/>
  <c r="O1228" i="1"/>
  <c r="U1228" i="1"/>
  <c r="Y1228" i="1" s="1"/>
  <c r="V1228" i="1"/>
  <c r="W1228" i="1" s="1"/>
  <c r="Z1228" i="1"/>
  <c r="A1139" i="1"/>
  <c r="C1139" i="1"/>
  <c r="B1139" i="1" s="1"/>
  <c r="F1139" i="1"/>
  <c r="M1139" i="1"/>
  <c r="O1139" i="1"/>
  <c r="U1139" i="1"/>
  <c r="Y1139" i="1" s="1"/>
  <c r="V1139" i="1"/>
  <c r="W1139" i="1" s="1"/>
  <c r="Z1139" i="1"/>
  <c r="A8" i="1"/>
  <c r="C8" i="1"/>
  <c r="B8" i="1" s="1"/>
  <c r="F8" i="1"/>
  <c r="M8" i="1"/>
  <c r="O8" i="1"/>
  <c r="U8" i="1"/>
  <c r="Y8" i="1" s="1"/>
  <c r="V8" i="1"/>
  <c r="W8" i="1" s="1"/>
  <c r="Z8" i="1"/>
  <c r="A29" i="1"/>
  <c r="C29" i="1"/>
  <c r="B29" i="1" s="1"/>
  <c r="F29" i="1"/>
  <c r="M29" i="1"/>
  <c r="O29" i="1"/>
  <c r="U29" i="1"/>
  <c r="Y29" i="1" s="1"/>
  <c r="V29" i="1"/>
  <c r="W29" i="1" s="1"/>
  <c r="Z29" i="1"/>
  <c r="A237" i="1"/>
  <c r="C237" i="1"/>
  <c r="B237" i="1" s="1"/>
  <c r="F237" i="1"/>
  <c r="M237" i="1"/>
  <c r="O237" i="1"/>
  <c r="U237" i="1"/>
  <c r="Y237" i="1" s="1"/>
  <c r="V237" i="1"/>
  <c r="W237" i="1" s="1"/>
  <c r="Z237" i="1"/>
  <c r="A238" i="1"/>
  <c r="C238" i="1"/>
  <c r="B238" i="1" s="1"/>
  <c r="F238" i="1"/>
  <c r="M238" i="1"/>
  <c r="O238" i="1"/>
  <c r="U238" i="1"/>
  <c r="Y238" i="1" s="1"/>
  <c r="V238" i="1"/>
  <c r="W238" i="1" s="1"/>
  <c r="Z238" i="1"/>
  <c r="A351" i="1"/>
  <c r="C351" i="1"/>
  <c r="B351" i="1" s="1"/>
  <c r="F351" i="1"/>
  <c r="M351" i="1"/>
  <c r="O351" i="1"/>
  <c r="U351" i="1"/>
  <c r="Y351" i="1" s="1"/>
  <c r="V351" i="1"/>
  <c r="W351" i="1" s="1"/>
  <c r="Z351" i="1"/>
  <c r="A350" i="1"/>
  <c r="C350" i="1"/>
  <c r="B350" i="1" s="1"/>
  <c r="F350" i="1"/>
  <c r="M350" i="1"/>
  <c r="O350" i="1"/>
  <c r="U350" i="1"/>
  <c r="Y350" i="1" s="1"/>
  <c r="V350" i="1"/>
  <c r="W350" i="1" s="1"/>
  <c r="Z350" i="1"/>
  <c r="A686" i="1"/>
  <c r="C686" i="1"/>
  <c r="B686" i="1" s="1"/>
  <c r="F686" i="1"/>
  <c r="M686" i="1"/>
  <c r="O686" i="1"/>
  <c r="U686" i="1"/>
  <c r="Y686" i="1" s="1"/>
  <c r="V686" i="1"/>
  <c r="W686" i="1" s="1"/>
  <c r="Z686" i="1"/>
  <c r="I83" i="104"/>
  <c r="A83" i="104"/>
  <c r="B83" i="104"/>
  <c r="C83" i="104"/>
  <c r="A506" i="1"/>
  <c r="C506" i="1"/>
  <c r="B506" i="1" s="1"/>
  <c r="F506" i="1"/>
  <c r="M506" i="1"/>
  <c r="O506" i="1"/>
  <c r="U506" i="1"/>
  <c r="Y506" i="1" s="1"/>
  <c r="V506" i="1"/>
  <c r="W506" i="1" s="1"/>
  <c r="Z506" i="1"/>
  <c r="A630" i="1"/>
  <c r="C630" i="1"/>
  <c r="B630" i="1" s="1"/>
  <c r="F630" i="1"/>
  <c r="M630" i="1"/>
  <c r="O630" i="1"/>
  <c r="U630" i="1"/>
  <c r="Y630" i="1" s="1"/>
  <c r="V630" i="1"/>
  <c r="W630" i="1" s="1"/>
  <c r="Z630" i="1"/>
  <c r="A550" i="1"/>
  <c r="C550" i="1"/>
  <c r="B550" i="1" s="1"/>
  <c r="F550" i="1"/>
  <c r="M550" i="1"/>
  <c r="O550" i="1"/>
  <c r="U550" i="1"/>
  <c r="Y550" i="1" s="1"/>
  <c r="V550" i="1"/>
  <c r="W550" i="1" s="1"/>
  <c r="Z550" i="1"/>
  <c r="A560" i="1"/>
  <c r="C560" i="1"/>
  <c r="B560" i="1" s="1"/>
  <c r="F560" i="1"/>
  <c r="M560" i="1"/>
  <c r="O560" i="1"/>
  <c r="U560" i="1"/>
  <c r="Y560" i="1" s="1"/>
  <c r="V560" i="1"/>
  <c r="W560" i="1" s="1"/>
  <c r="Z560" i="1"/>
  <c r="A649" i="1"/>
  <c r="C649" i="1"/>
  <c r="B649" i="1" s="1"/>
  <c r="F649" i="1"/>
  <c r="M649" i="1"/>
  <c r="O649" i="1"/>
  <c r="U649" i="1"/>
  <c r="Y649" i="1" s="1"/>
  <c r="V649" i="1"/>
  <c r="W649" i="1" s="1"/>
  <c r="Z649" i="1"/>
  <c r="A665" i="1"/>
  <c r="C665" i="1"/>
  <c r="B665" i="1" s="1"/>
  <c r="F665" i="1"/>
  <c r="M665" i="1"/>
  <c r="O665" i="1"/>
  <c r="U665" i="1"/>
  <c r="Y665" i="1" s="1"/>
  <c r="V665" i="1"/>
  <c r="W665" i="1" s="1"/>
  <c r="Z665" i="1"/>
  <c r="A667" i="1"/>
  <c r="C667" i="1"/>
  <c r="B667" i="1" s="1"/>
  <c r="F667" i="1"/>
  <c r="M667" i="1"/>
  <c r="U667" i="1"/>
  <c r="Y667" i="1" s="1"/>
  <c r="V667" i="1"/>
  <c r="W667" i="1" s="1"/>
  <c r="Z667" i="1"/>
  <c r="A811" i="1"/>
  <c r="C811" i="1"/>
  <c r="B811" i="1" s="1"/>
  <c r="F811" i="1"/>
  <c r="M811" i="1"/>
  <c r="O811" i="1"/>
  <c r="U811" i="1"/>
  <c r="Y811" i="1" s="1"/>
  <c r="V811" i="1"/>
  <c r="W811" i="1" s="1"/>
  <c r="Z811" i="1"/>
  <c r="A751" i="1"/>
  <c r="C751" i="1"/>
  <c r="B751" i="1" s="1"/>
  <c r="F751" i="1"/>
  <c r="M751" i="1"/>
  <c r="O751" i="1"/>
  <c r="U751" i="1"/>
  <c r="Y751" i="1" s="1"/>
  <c r="V751" i="1"/>
  <c r="W751" i="1" s="1"/>
  <c r="Z751" i="1"/>
  <c r="A752" i="1"/>
  <c r="C752" i="1"/>
  <c r="B752" i="1" s="1"/>
  <c r="F752" i="1"/>
  <c r="M752" i="1"/>
  <c r="O752" i="1"/>
  <c r="U752" i="1"/>
  <c r="Y752" i="1" s="1"/>
  <c r="V752" i="1"/>
  <c r="W752" i="1" s="1"/>
  <c r="Z752" i="1"/>
  <c r="A1032" i="1"/>
  <c r="C1032" i="1"/>
  <c r="B1032" i="1" s="1"/>
  <c r="F1032" i="1"/>
  <c r="M1032" i="1"/>
  <c r="O1032" i="1"/>
  <c r="U1032" i="1"/>
  <c r="Y1032" i="1" s="1"/>
  <c r="V1032" i="1"/>
  <c r="W1032" i="1" s="1"/>
  <c r="Z1032" i="1"/>
  <c r="M933" i="1"/>
  <c r="M1248" i="1"/>
  <c r="A933" i="1"/>
  <c r="C933" i="1"/>
  <c r="B933" i="1" s="1"/>
  <c r="F933" i="1"/>
  <c r="O933" i="1"/>
  <c r="U933" i="1"/>
  <c r="Y933" i="1" s="1"/>
  <c r="V933" i="1"/>
  <c r="W933" i="1" s="1"/>
  <c r="Z933" i="1"/>
  <c r="A1248" i="1"/>
  <c r="C1248" i="1"/>
  <c r="B1248" i="1" s="1"/>
  <c r="F1248" i="1"/>
  <c r="O1248" i="1"/>
  <c r="U1248" i="1"/>
  <c r="Y1248" i="1" s="1"/>
  <c r="V1248" i="1"/>
  <c r="W1248" i="1" s="1"/>
  <c r="Z1248" i="1"/>
  <c r="A981" i="1"/>
  <c r="C981" i="1"/>
  <c r="B981" i="1" s="1"/>
  <c r="F981" i="1"/>
  <c r="M981" i="1"/>
  <c r="O981" i="1"/>
  <c r="U981" i="1"/>
  <c r="Y981" i="1" s="1"/>
  <c r="V981" i="1"/>
  <c r="W981" i="1" s="1"/>
  <c r="Z981" i="1"/>
  <c r="A1141" i="1"/>
  <c r="C1141" i="1"/>
  <c r="B1141" i="1" s="1"/>
  <c r="F1141" i="1"/>
  <c r="M1141" i="1"/>
  <c r="O1141" i="1"/>
  <c r="U1141" i="1"/>
  <c r="Y1141" i="1" s="1"/>
  <c r="V1141" i="1"/>
  <c r="W1141" i="1" s="1"/>
  <c r="Z1141" i="1"/>
  <c r="T8" i="1" l="1"/>
  <c r="T526" i="1"/>
  <c r="T1076" i="1"/>
  <c r="X1117" i="1"/>
  <c r="X420" i="1"/>
  <c r="P420" i="1" s="1"/>
  <c r="Q420" i="1" s="1"/>
  <c r="R420" i="1" s="1"/>
  <c r="D420" i="1" s="1"/>
  <c r="Y1117" i="1"/>
  <c r="X632" i="1"/>
  <c r="P632" i="1" s="1"/>
  <c r="Q632" i="1" s="1"/>
  <c r="R632" i="1" s="1"/>
  <c r="T417" i="1"/>
  <c r="T631" i="1"/>
  <c r="T1117" i="1"/>
  <c r="T420" i="1"/>
  <c r="X1077" i="1"/>
  <c r="P1077" i="1" s="1"/>
  <c r="Q1077" i="1" s="1"/>
  <c r="R1077" i="1" s="1"/>
  <c r="D1242" i="1" s="1"/>
  <c r="X631" i="1"/>
  <c r="P631" i="1" s="1"/>
  <c r="Q631" i="1" s="1"/>
  <c r="R631" i="1" s="1"/>
  <c r="X1076" i="1"/>
  <c r="P1076" i="1" s="1"/>
  <c r="Q1076" i="1" s="1"/>
  <c r="R1076" i="1" s="1"/>
  <c r="X526" i="1"/>
  <c r="P526" i="1" s="1"/>
  <c r="Q526" i="1" s="1"/>
  <c r="R526" i="1" s="1"/>
  <c r="D526" i="1" s="1"/>
  <c r="X668" i="1"/>
  <c r="P668" i="1" s="1"/>
  <c r="R668" i="1" s="1"/>
  <c r="T407" i="1"/>
  <c r="X417" i="1"/>
  <c r="P417" i="1" s="1"/>
  <c r="Q417" i="1" s="1"/>
  <c r="R417" i="1" s="1"/>
  <c r="D417" i="1" s="1"/>
  <c r="X407" i="1"/>
  <c r="P407" i="1" s="1"/>
  <c r="Q407" i="1" s="1"/>
  <c r="R407" i="1" s="1"/>
  <c r="D407" i="1" s="1"/>
  <c r="X223" i="1"/>
  <c r="P223" i="1" s="1"/>
  <c r="Q223" i="1" s="1"/>
  <c r="R223" i="1" s="1"/>
  <c r="D223" i="1" s="1"/>
  <c r="X401" i="1"/>
  <c r="P401" i="1" s="1"/>
  <c r="Q401" i="1" s="1"/>
  <c r="R401" i="1" s="1"/>
  <c r="D401" i="1" s="1"/>
  <c r="T237" i="1"/>
  <c r="T1182" i="1"/>
  <c r="X1182" i="1"/>
  <c r="P1182" i="1" s="1"/>
  <c r="Q1182" i="1" s="1"/>
  <c r="R1182" i="1" s="1"/>
  <c r="X1023" i="1"/>
  <c r="P1023" i="1" s="1"/>
  <c r="Q1023" i="1" s="1"/>
  <c r="R1023" i="1" s="1"/>
  <c r="D1023" i="1" s="1"/>
  <c r="X884" i="1"/>
  <c r="P884" i="1" s="1"/>
  <c r="Q884" i="1" s="1"/>
  <c r="R884" i="1" s="1"/>
  <c r="D884" i="1" s="1"/>
  <c r="T29" i="1"/>
  <c r="T1142" i="1"/>
  <c r="T351" i="1"/>
  <c r="X1142" i="1"/>
  <c r="P1142" i="1" s="1"/>
  <c r="Q1142" i="1" s="1"/>
  <c r="R1142" i="1" s="1"/>
  <c r="T350" i="1"/>
  <c r="X1228" i="1"/>
  <c r="P1228" i="1" s="1"/>
  <c r="Q1228" i="1" s="1"/>
  <c r="R1228" i="1" s="1"/>
  <c r="X1229" i="1"/>
  <c r="P1229" i="1" s="1"/>
  <c r="Q1229" i="1" s="1"/>
  <c r="R1229" i="1" s="1"/>
  <c r="T1229" i="1"/>
  <c r="T238" i="1"/>
  <c r="T686" i="1"/>
  <c r="T1139" i="1"/>
  <c r="T1228" i="1"/>
  <c r="X8" i="1"/>
  <c r="P8" i="1" s="1"/>
  <c r="Q8" i="1" s="1"/>
  <c r="R8" i="1" s="1"/>
  <c r="X350" i="1"/>
  <c r="P350" i="1" s="1"/>
  <c r="Q350" i="1" s="1"/>
  <c r="R350" i="1" s="1"/>
  <c r="X29" i="1"/>
  <c r="P29" i="1" s="1"/>
  <c r="Q29" i="1" s="1"/>
  <c r="R29" i="1" s="1"/>
  <c r="X1139" i="1"/>
  <c r="P1139" i="1" s="1"/>
  <c r="Q1139" i="1" s="1"/>
  <c r="R1139" i="1" s="1"/>
  <c r="X237" i="1"/>
  <c r="P237" i="1" s="1"/>
  <c r="Q237" i="1" s="1"/>
  <c r="R237" i="1" s="1"/>
  <c r="X238" i="1"/>
  <c r="P238" i="1" s="1"/>
  <c r="Q238" i="1" s="1"/>
  <c r="R238" i="1" s="1"/>
  <c r="X351" i="1"/>
  <c r="P351" i="1" s="1"/>
  <c r="Q351" i="1" s="1"/>
  <c r="R351" i="1" s="1"/>
  <c r="T550" i="1"/>
  <c r="X686" i="1"/>
  <c r="P686" i="1" s="1"/>
  <c r="Q686" i="1" s="1"/>
  <c r="R686" i="1" s="1"/>
  <c r="T560" i="1"/>
  <c r="X506" i="1"/>
  <c r="P506" i="1" s="1"/>
  <c r="Q506" i="1" s="1"/>
  <c r="R506" i="1" s="1"/>
  <c r="D1240" i="1" s="1"/>
  <c r="T665" i="1"/>
  <c r="T506" i="1"/>
  <c r="T630" i="1"/>
  <c r="X630" i="1"/>
  <c r="P630" i="1" s="1"/>
  <c r="Q630" i="1" s="1"/>
  <c r="R630" i="1" s="1"/>
  <c r="X550" i="1"/>
  <c r="P550" i="1" s="1"/>
  <c r="Q550" i="1" s="1"/>
  <c r="R550" i="1" s="1"/>
  <c r="D550" i="1" s="1"/>
  <c r="X560" i="1"/>
  <c r="P560" i="1" s="1"/>
  <c r="Q560" i="1" s="1"/>
  <c r="R560" i="1" s="1"/>
  <c r="T751" i="1"/>
  <c r="T649" i="1"/>
  <c r="X649" i="1"/>
  <c r="P649" i="1" s="1"/>
  <c r="Q649" i="1" s="1"/>
  <c r="R649" i="1" s="1"/>
  <c r="D649" i="1" s="1"/>
  <c r="X665" i="1"/>
  <c r="P665" i="1" s="1"/>
  <c r="Q665" i="1" s="1"/>
  <c r="R665" i="1" s="1"/>
  <c r="X667" i="1"/>
  <c r="P667" i="1" s="1"/>
  <c r="Q667" i="1" s="1"/>
  <c r="R667" i="1" s="1"/>
  <c r="X751" i="1"/>
  <c r="P751" i="1" s="1"/>
  <c r="Q751" i="1" s="1"/>
  <c r="R751" i="1" s="1"/>
  <c r="T811" i="1"/>
  <c r="T667" i="1"/>
  <c r="X811" i="1"/>
  <c r="P811" i="1" s="1"/>
  <c r="Q811" i="1" s="1"/>
  <c r="R811" i="1" s="1"/>
  <c r="X752" i="1"/>
  <c r="P752" i="1" s="1"/>
  <c r="Q752" i="1" s="1"/>
  <c r="R752" i="1" s="1"/>
  <c r="X933" i="1"/>
  <c r="P933" i="1" s="1"/>
  <c r="Q933" i="1" s="1"/>
  <c r="R933" i="1" s="1"/>
  <c r="D934" i="1" s="1"/>
  <c r="T1032" i="1"/>
  <c r="T752" i="1"/>
  <c r="X1248" i="1"/>
  <c r="P1248" i="1" s="1"/>
  <c r="Q1248" i="1" s="1"/>
  <c r="R1248" i="1" s="1"/>
  <c r="D1248" i="1" s="1"/>
  <c r="T1248" i="1"/>
  <c r="X1032" i="1"/>
  <c r="P1032" i="1" s="1"/>
  <c r="Q1032" i="1" s="1"/>
  <c r="R1032" i="1" s="1"/>
  <c r="T981" i="1"/>
  <c r="T933" i="1"/>
  <c r="T1141" i="1"/>
  <c r="X981" i="1"/>
  <c r="P981" i="1" s="1"/>
  <c r="Q981" i="1" s="1"/>
  <c r="R981" i="1" s="1"/>
  <c r="X1141" i="1"/>
  <c r="P1141" i="1" s="1"/>
  <c r="Q1141" i="1" s="1"/>
  <c r="R1141" i="1" s="1"/>
  <c r="A636" i="1"/>
  <c r="C636" i="1"/>
  <c r="B636" i="1" s="1"/>
  <c r="D636" i="1"/>
  <c r="F636" i="1"/>
  <c r="M636" i="1"/>
  <c r="O636" i="1"/>
  <c r="T636" i="1"/>
  <c r="U636" i="1"/>
  <c r="Y636" i="1" s="1"/>
  <c r="V636" i="1"/>
  <c r="W636" i="1" s="1"/>
  <c r="Z636" i="1"/>
  <c r="A635" i="1"/>
  <c r="C635" i="1"/>
  <c r="B635" i="1" s="1"/>
  <c r="F635" i="1"/>
  <c r="M635" i="1"/>
  <c r="O635" i="1"/>
  <c r="T635" i="1"/>
  <c r="U635" i="1"/>
  <c r="Y635" i="1" s="1"/>
  <c r="V635" i="1"/>
  <c r="W635" i="1" s="1"/>
  <c r="Z635" i="1"/>
  <c r="A756" i="1"/>
  <c r="C756" i="1"/>
  <c r="B756" i="1" s="1"/>
  <c r="F756" i="1"/>
  <c r="M756" i="1"/>
  <c r="O756" i="1"/>
  <c r="S756" i="1"/>
  <c r="T756" i="1"/>
  <c r="U756" i="1"/>
  <c r="Y756" i="1" s="1"/>
  <c r="V756" i="1"/>
  <c r="W756" i="1" s="1"/>
  <c r="Z756" i="1"/>
  <c r="A984" i="1"/>
  <c r="C984" i="1"/>
  <c r="B984" i="1" s="1"/>
  <c r="F984" i="1"/>
  <c r="M984" i="1"/>
  <c r="O984" i="1"/>
  <c r="T984" i="1"/>
  <c r="U984" i="1"/>
  <c r="V984" i="1"/>
  <c r="W984" i="1" s="1"/>
  <c r="Z984" i="1"/>
  <c r="A1138" i="1"/>
  <c r="C1138" i="1"/>
  <c r="B1138" i="1" s="1"/>
  <c r="F1138" i="1"/>
  <c r="M1138" i="1"/>
  <c r="O1138" i="1"/>
  <c r="S1138" i="1"/>
  <c r="T1138" i="1"/>
  <c r="U1138" i="1"/>
  <c r="Y1138" i="1" s="1"/>
  <c r="V1138" i="1"/>
  <c r="W1138" i="1" s="1"/>
  <c r="Z1138" i="1"/>
  <c r="A1140" i="1"/>
  <c r="C1140" i="1"/>
  <c r="B1140" i="1" s="1"/>
  <c r="F1140" i="1"/>
  <c r="M1140" i="1"/>
  <c r="O1140" i="1"/>
  <c r="S1140" i="1"/>
  <c r="T1140" i="1"/>
  <c r="U1140" i="1"/>
  <c r="Y1140" i="1" s="1"/>
  <c r="V1140" i="1"/>
  <c r="W1140" i="1" s="1"/>
  <c r="Z1140" i="1"/>
  <c r="A252" i="1"/>
  <c r="C252" i="1"/>
  <c r="B252" i="1" s="1"/>
  <c r="D252" i="1"/>
  <c r="F252" i="1"/>
  <c r="M252" i="1"/>
  <c r="O252" i="1"/>
  <c r="S252" i="1"/>
  <c r="T252" i="1"/>
  <c r="U252" i="1"/>
  <c r="Y252" i="1" s="1"/>
  <c r="V252" i="1"/>
  <c r="W252" i="1" s="1"/>
  <c r="Z252" i="1"/>
  <c r="A326" i="1"/>
  <c r="C326" i="1"/>
  <c r="B326" i="1" s="1"/>
  <c r="D326" i="1"/>
  <c r="F326" i="1"/>
  <c r="M326" i="1"/>
  <c r="O326" i="1"/>
  <c r="S326" i="1"/>
  <c r="T326" i="1"/>
  <c r="U326" i="1"/>
  <c r="Y326" i="1" s="1"/>
  <c r="V326" i="1"/>
  <c r="W326" i="1" s="1"/>
  <c r="Z326" i="1"/>
  <c r="A187" i="1"/>
  <c r="C187" i="1"/>
  <c r="B187" i="1" s="1"/>
  <c r="D187" i="1"/>
  <c r="F187" i="1"/>
  <c r="M187" i="1"/>
  <c r="O187" i="1"/>
  <c r="S187" i="1"/>
  <c r="T187" i="1"/>
  <c r="U187" i="1"/>
  <c r="Y187" i="1" s="1"/>
  <c r="V187" i="1"/>
  <c r="W187" i="1" s="1"/>
  <c r="Z187" i="1"/>
  <c r="D560" i="1" l="1"/>
  <c r="D1235" i="1"/>
  <c r="D981" i="1"/>
  <c r="D1233" i="1"/>
  <c r="D509" i="1"/>
  <c r="D510" i="1"/>
  <c r="D634" i="1"/>
  <c r="D1032" i="1"/>
  <c r="D435" i="1"/>
  <c r="D354" i="1"/>
  <c r="D353" i="1"/>
  <c r="D352" i="1"/>
  <c r="D8" i="1"/>
  <c r="D506" i="1"/>
  <c r="D508" i="1"/>
  <c r="D507" i="1"/>
  <c r="P1117" i="1"/>
  <c r="Q1117" i="1" s="1"/>
  <c r="R1117" i="1" s="1"/>
  <c r="D1077" i="1"/>
  <c r="D632" i="1"/>
  <c r="D630" i="1"/>
  <c r="D631" i="1"/>
  <c r="D1142" i="1"/>
  <c r="D1139" i="1"/>
  <c r="D238" i="1"/>
  <c r="D237" i="1"/>
  <c r="D350" i="1"/>
  <c r="D351" i="1"/>
  <c r="D1141" i="1"/>
  <c r="D1140" i="1"/>
  <c r="D1138" i="1"/>
  <c r="X636" i="1"/>
  <c r="P636" i="1" s="1"/>
  <c r="Q636" i="1" s="1"/>
  <c r="R636" i="1" s="1"/>
  <c r="X635" i="1"/>
  <c r="P635" i="1" s="1"/>
  <c r="Q635" i="1" s="1"/>
  <c r="R635" i="1" s="1"/>
  <c r="D635" i="1" s="1"/>
  <c r="X756" i="1"/>
  <c r="P756" i="1" s="1"/>
  <c r="Q756" i="1" s="1"/>
  <c r="R756" i="1" s="1"/>
  <c r="D756" i="1" s="1"/>
  <c r="X984" i="1"/>
  <c r="P984" i="1" s="1"/>
  <c r="Q984" i="1" s="1"/>
  <c r="R984" i="1" s="1"/>
  <c r="D984" i="1" s="1"/>
  <c r="Y984" i="1"/>
  <c r="X1138" i="1"/>
  <c r="P1138" i="1" s="1"/>
  <c r="Q1138" i="1" s="1"/>
  <c r="R1138" i="1" s="1"/>
  <c r="X1140" i="1"/>
  <c r="P1140" i="1" s="1"/>
  <c r="Q1140" i="1" s="1"/>
  <c r="R1140" i="1" s="1"/>
  <c r="X326" i="1"/>
  <c r="P326" i="1" s="1"/>
  <c r="Q326" i="1" s="1"/>
  <c r="R326" i="1" s="1"/>
  <c r="X252" i="1"/>
  <c r="P252" i="1" s="1"/>
  <c r="Q252" i="1" s="1"/>
  <c r="R252" i="1" s="1"/>
  <c r="X187" i="1"/>
  <c r="P187" i="1" s="1"/>
  <c r="Q187" i="1" s="1"/>
  <c r="R187" i="1" s="1"/>
  <c r="D755" i="1" l="1"/>
  <c r="D1260" i="1"/>
  <c r="A804" i="1"/>
  <c r="C804" i="1"/>
  <c r="B804" i="1" s="1"/>
  <c r="F804" i="1"/>
  <c r="M804" i="1"/>
  <c r="O804" i="1"/>
  <c r="S804" i="1"/>
  <c r="T804" i="1"/>
  <c r="U804" i="1"/>
  <c r="Y804" i="1" s="1"/>
  <c r="V804" i="1"/>
  <c r="W804" i="1" s="1"/>
  <c r="Z804" i="1"/>
  <c r="A803" i="1"/>
  <c r="C803" i="1"/>
  <c r="B803" i="1" s="1"/>
  <c r="F803" i="1"/>
  <c r="M803" i="1"/>
  <c r="O803" i="1"/>
  <c r="S803" i="1"/>
  <c r="T803" i="1"/>
  <c r="U803" i="1"/>
  <c r="Y803" i="1" s="1"/>
  <c r="V803" i="1"/>
  <c r="W803" i="1" s="1"/>
  <c r="Z803" i="1"/>
  <c r="A1149" i="1"/>
  <c r="C1149" i="1"/>
  <c r="B1149" i="1" s="1"/>
  <c r="F1149" i="1"/>
  <c r="M1149" i="1"/>
  <c r="O1149" i="1"/>
  <c r="T1149" i="1"/>
  <c r="U1149" i="1"/>
  <c r="V1149" i="1"/>
  <c r="W1149" i="1" s="1"/>
  <c r="Z1149" i="1"/>
  <c r="A1148" i="1"/>
  <c r="C1148" i="1"/>
  <c r="B1148" i="1" s="1"/>
  <c r="F1148" i="1"/>
  <c r="M1148" i="1"/>
  <c r="O1148" i="1"/>
  <c r="T1148" i="1"/>
  <c r="U1148" i="1"/>
  <c r="V1148" i="1"/>
  <c r="W1148" i="1" s="1"/>
  <c r="Z1148" i="1"/>
  <c r="X804" i="1" l="1"/>
  <c r="P804" i="1" s="1"/>
  <c r="Q804" i="1" s="1"/>
  <c r="R804" i="1" s="1"/>
  <c r="D804" i="1" s="1"/>
  <c r="X803" i="1"/>
  <c r="P803" i="1" s="1"/>
  <c r="Q803" i="1" s="1"/>
  <c r="R803" i="1" s="1"/>
  <c r="D803" i="1" s="1"/>
  <c r="X1148" i="1"/>
  <c r="X1149" i="1"/>
  <c r="Y1149" i="1"/>
  <c r="Y1148" i="1"/>
  <c r="P1149" i="1" l="1"/>
  <c r="Q1149" i="1" s="1"/>
  <c r="R1149" i="1" s="1"/>
  <c r="P1148" i="1"/>
  <c r="Q1148" i="1" s="1"/>
  <c r="R1148" i="1" s="1"/>
  <c r="D1148" i="1"/>
  <c r="D1149" i="1"/>
  <c r="I82" i="104" l="1"/>
  <c r="A505" i="1"/>
  <c r="C505" i="1"/>
  <c r="B505" i="1" s="1"/>
  <c r="F505" i="1"/>
  <c r="M505" i="1"/>
  <c r="O505" i="1"/>
  <c r="T505" i="1"/>
  <c r="U505" i="1"/>
  <c r="Y505" i="1" s="1"/>
  <c r="V505" i="1"/>
  <c r="W505" i="1" s="1"/>
  <c r="Z505" i="1"/>
  <c r="A82" i="104"/>
  <c r="B82" i="104"/>
  <c r="C82" i="104"/>
  <c r="A185" i="1"/>
  <c r="C185" i="1"/>
  <c r="B185" i="1" s="1"/>
  <c r="F185" i="1"/>
  <c r="M185" i="1"/>
  <c r="O185" i="1"/>
  <c r="S185" i="1"/>
  <c r="T185" i="1"/>
  <c r="U185" i="1"/>
  <c r="Y185" i="1" s="1"/>
  <c r="V185" i="1"/>
  <c r="W185" i="1" s="1"/>
  <c r="Z185" i="1"/>
  <c r="A1249" i="1"/>
  <c r="C1249" i="1"/>
  <c r="B1249" i="1" s="1"/>
  <c r="F1249" i="1"/>
  <c r="M1249" i="1"/>
  <c r="O1249" i="1"/>
  <c r="U1249" i="1"/>
  <c r="Y1249" i="1" s="1"/>
  <c r="V1249" i="1"/>
  <c r="W1249" i="1" s="1"/>
  <c r="Z1249" i="1"/>
  <c r="A1127" i="1"/>
  <c r="C1127" i="1"/>
  <c r="B1127" i="1" s="1"/>
  <c r="F1127" i="1"/>
  <c r="M1127" i="1"/>
  <c r="O1127" i="1"/>
  <c r="U1127" i="1"/>
  <c r="Y1127" i="1" s="1"/>
  <c r="V1127" i="1"/>
  <c r="W1127" i="1" s="1"/>
  <c r="Z1127" i="1"/>
  <c r="A892" i="1"/>
  <c r="C892" i="1"/>
  <c r="B892" i="1" s="1"/>
  <c r="F892" i="1"/>
  <c r="M892" i="1"/>
  <c r="O892" i="1"/>
  <c r="U892" i="1"/>
  <c r="Y892" i="1" s="1"/>
  <c r="V892" i="1"/>
  <c r="W892" i="1" s="1"/>
  <c r="Z892" i="1"/>
  <c r="A1012" i="1"/>
  <c r="C1012" i="1"/>
  <c r="B1012" i="1" s="1"/>
  <c r="F1012" i="1"/>
  <c r="M1012" i="1"/>
  <c r="O1012" i="1"/>
  <c r="U1012" i="1"/>
  <c r="Y1012" i="1" s="1"/>
  <c r="V1012" i="1"/>
  <c r="W1012" i="1" s="1"/>
  <c r="Z1012" i="1"/>
  <c r="A1011" i="1"/>
  <c r="C1011" i="1"/>
  <c r="B1011" i="1" s="1"/>
  <c r="F1011" i="1"/>
  <c r="M1011" i="1"/>
  <c r="O1011" i="1"/>
  <c r="U1011" i="1"/>
  <c r="Y1011" i="1" s="1"/>
  <c r="V1011" i="1"/>
  <c r="W1011" i="1" s="1"/>
  <c r="Z1011" i="1"/>
  <c r="A959" i="1"/>
  <c r="C959" i="1"/>
  <c r="B959" i="1" s="1"/>
  <c r="F959" i="1"/>
  <c r="M959" i="1"/>
  <c r="O959" i="1"/>
  <c r="U959" i="1"/>
  <c r="Y959" i="1" s="1"/>
  <c r="V959" i="1"/>
  <c r="W959" i="1" s="1"/>
  <c r="Z959" i="1"/>
  <c r="A958" i="1"/>
  <c r="C958" i="1"/>
  <c r="B958" i="1" s="1"/>
  <c r="F958" i="1"/>
  <c r="M958" i="1"/>
  <c r="O958" i="1"/>
  <c r="U958" i="1"/>
  <c r="Y958" i="1" s="1"/>
  <c r="V958" i="1"/>
  <c r="W958" i="1" s="1"/>
  <c r="Z958" i="1"/>
  <c r="A750" i="1"/>
  <c r="C750" i="1"/>
  <c r="B750" i="1" s="1"/>
  <c r="F750" i="1"/>
  <c r="M750" i="1"/>
  <c r="O750" i="1"/>
  <c r="U750" i="1"/>
  <c r="Y750" i="1" s="1"/>
  <c r="V750" i="1"/>
  <c r="W750" i="1" s="1"/>
  <c r="Z750" i="1"/>
  <c r="A810" i="1"/>
  <c r="C810" i="1"/>
  <c r="B810" i="1" s="1"/>
  <c r="F810" i="1"/>
  <c r="M810" i="1"/>
  <c r="O810" i="1"/>
  <c r="U810" i="1"/>
  <c r="Y810" i="1" s="1"/>
  <c r="V810" i="1"/>
  <c r="W810" i="1" s="1"/>
  <c r="Z810" i="1"/>
  <c r="A932" i="1"/>
  <c r="C932" i="1"/>
  <c r="B932" i="1" s="1"/>
  <c r="F932" i="1"/>
  <c r="M932" i="1"/>
  <c r="O932" i="1"/>
  <c r="U932" i="1"/>
  <c r="Y932" i="1" s="1"/>
  <c r="V932" i="1"/>
  <c r="W932" i="1" s="1"/>
  <c r="Z932" i="1"/>
  <c r="A696" i="1"/>
  <c r="C696" i="1"/>
  <c r="B696" i="1" s="1"/>
  <c r="F696" i="1"/>
  <c r="O696" i="1"/>
  <c r="U696" i="1"/>
  <c r="Y696" i="1" s="1"/>
  <c r="V696" i="1"/>
  <c r="W696" i="1" s="1"/>
  <c r="Z696" i="1"/>
  <c r="A695" i="1"/>
  <c r="C695" i="1"/>
  <c r="B695" i="1" s="1"/>
  <c r="F695" i="1"/>
  <c r="M695" i="1"/>
  <c r="O695" i="1"/>
  <c r="U695" i="1"/>
  <c r="Y695" i="1" s="1"/>
  <c r="V695" i="1"/>
  <c r="W695" i="1" s="1"/>
  <c r="Z695" i="1"/>
  <c r="A291" i="1"/>
  <c r="C291" i="1"/>
  <c r="B291" i="1" s="1"/>
  <c r="F291" i="1"/>
  <c r="M291" i="1"/>
  <c r="O291" i="1"/>
  <c r="U291" i="1"/>
  <c r="Y291" i="1" s="1"/>
  <c r="V291" i="1"/>
  <c r="W291" i="1" s="1"/>
  <c r="Z291" i="1"/>
  <c r="A294" i="1"/>
  <c r="C294" i="1"/>
  <c r="B294" i="1" s="1"/>
  <c r="F294" i="1"/>
  <c r="M294" i="1"/>
  <c r="O294" i="1"/>
  <c r="S294" i="1"/>
  <c r="T294" i="1"/>
  <c r="U294" i="1"/>
  <c r="Y294" i="1" s="1"/>
  <c r="V294" i="1"/>
  <c r="W294" i="1" s="1"/>
  <c r="Z294" i="1"/>
  <c r="A335" i="1"/>
  <c r="C335" i="1"/>
  <c r="B335" i="1" s="1"/>
  <c r="F335" i="1"/>
  <c r="M335" i="1"/>
  <c r="O335" i="1"/>
  <c r="S335" i="1"/>
  <c r="T335" i="1"/>
  <c r="U335" i="1"/>
  <c r="Y335" i="1" s="1"/>
  <c r="V335" i="1"/>
  <c r="W335" i="1" s="1"/>
  <c r="Z335" i="1"/>
  <c r="A183" i="1"/>
  <c r="C183" i="1"/>
  <c r="B183" i="1" s="1"/>
  <c r="F183" i="1"/>
  <c r="M183" i="1"/>
  <c r="O183" i="1"/>
  <c r="S183" i="1"/>
  <c r="T183" i="1"/>
  <c r="U183" i="1"/>
  <c r="Y183" i="1" s="1"/>
  <c r="V183" i="1"/>
  <c r="W183" i="1" s="1"/>
  <c r="Z183" i="1"/>
  <c r="A251" i="1"/>
  <c r="C251" i="1"/>
  <c r="B251" i="1" s="1"/>
  <c r="D251" i="1"/>
  <c r="F251" i="1"/>
  <c r="M251" i="1"/>
  <c r="O251" i="1"/>
  <c r="S251" i="1"/>
  <c r="T251" i="1"/>
  <c r="U251" i="1"/>
  <c r="Y251" i="1" s="1"/>
  <c r="V251" i="1"/>
  <c r="W251" i="1" s="1"/>
  <c r="Z251" i="1"/>
  <c r="X505" i="1" l="1"/>
  <c r="P505" i="1" s="1"/>
  <c r="Q505" i="1" s="1"/>
  <c r="R505" i="1" s="1"/>
  <c r="T892" i="1"/>
  <c r="T1127" i="1"/>
  <c r="T1249" i="1"/>
  <c r="X1011" i="1"/>
  <c r="P1011" i="1" s="1"/>
  <c r="Q1011" i="1" s="1"/>
  <c r="R1011" i="1" s="1"/>
  <c r="X185" i="1"/>
  <c r="P185" i="1" s="1"/>
  <c r="Q185" i="1" s="1"/>
  <c r="R185" i="1" s="1"/>
  <c r="D185" i="1" s="1"/>
  <c r="X1249" i="1"/>
  <c r="P1249" i="1" s="1"/>
  <c r="Q1249" i="1" s="1"/>
  <c r="R1249" i="1" s="1"/>
  <c r="X1127" i="1"/>
  <c r="P1127" i="1" s="1"/>
  <c r="Q1127" i="1" s="1"/>
  <c r="R1127" i="1" s="1"/>
  <c r="D1127" i="1" s="1"/>
  <c r="X1012" i="1"/>
  <c r="P1012" i="1" s="1"/>
  <c r="Q1012" i="1" s="1"/>
  <c r="R1012" i="1" s="1"/>
  <c r="X892" i="1"/>
  <c r="P892" i="1" s="1"/>
  <c r="Q892" i="1" s="1"/>
  <c r="R892" i="1" s="1"/>
  <c r="T750" i="1"/>
  <c r="T1012" i="1"/>
  <c r="T959" i="1"/>
  <c r="T1011" i="1"/>
  <c r="X959" i="1"/>
  <c r="P959" i="1" s="1"/>
  <c r="Q959" i="1" s="1"/>
  <c r="R959" i="1" s="1"/>
  <c r="X958" i="1"/>
  <c r="P958" i="1" s="1"/>
  <c r="Q958" i="1" s="1"/>
  <c r="R958" i="1" s="1"/>
  <c r="D961" i="1" s="1"/>
  <c r="T932" i="1"/>
  <c r="T810" i="1"/>
  <c r="T958" i="1"/>
  <c r="X750" i="1"/>
  <c r="P750" i="1" s="1"/>
  <c r="Q750" i="1" s="1"/>
  <c r="R750" i="1" s="1"/>
  <c r="X810" i="1"/>
  <c r="P810" i="1" s="1"/>
  <c r="Q810" i="1" s="1"/>
  <c r="R810" i="1" s="1"/>
  <c r="T695" i="1"/>
  <c r="X932" i="1"/>
  <c r="P932" i="1" s="1"/>
  <c r="Q932" i="1" s="1"/>
  <c r="R932" i="1" s="1"/>
  <c r="X695" i="1"/>
  <c r="P695" i="1" s="1"/>
  <c r="Q695" i="1" s="1"/>
  <c r="R695" i="1" s="1"/>
  <c r="T696" i="1"/>
  <c r="X696" i="1"/>
  <c r="P696" i="1" s="1"/>
  <c r="Q696" i="1" s="1"/>
  <c r="R696" i="1" s="1"/>
  <c r="X291" i="1"/>
  <c r="P291" i="1" s="1"/>
  <c r="Q291" i="1" s="1"/>
  <c r="R291" i="1" s="1"/>
  <c r="T291" i="1"/>
  <c r="X294" i="1"/>
  <c r="P294" i="1" s="1"/>
  <c r="Q294" i="1" s="1"/>
  <c r="R294" i="1" s="1"/>
  <c r="D294" i="1" s="1"/>
  <c r="X183" i="1"/>
  <c r="P183" i="1" s="1"/>
  <c r="Q183" i="1" s="1"/>
  <c r="R183" i="1" s="1"/>
  <c r="D183" i="1" s="1"/>
  <c r="X335" i="1"/>
  <c r="P335" i="1" s="1"/>
  <c r="Q335" i="1" s="1"/>
  <c r="R335" i="1" s="1"/>
  <c r="D335" i="1" s="1"/>
  <c r="X251" i="1"/>
  <c r="P251" i="1" s="1"/>
  <c r="Q251" i="1" s="1"/>
  <c r="R251" i="1" s="1"/>
  <c r="D1243" i="1" l="1"/>
  <c r="D1244" i="1"/>
  <c r="D292" i="1"/>
  <c r="D1236" i="1"/>
  <c r="D1181" i="1"/>
  <c r="D1078" i="1"/>
  <c r="D1117" i="1"/>
  <c r="D754" i="1"/>
  <c r="D1076" i="1"/>
  <c r="D291" i="1"/>
  <c r="D290" i="1"/>
  <c r="D810" i="1"/>
  <c r="D811" i="1"/>
  <c r="D752" i="1"/>
  <c r="D751" i="1"/>
  <c r="D1012" i="1"/>
  <c r="D1011" i="1"/>
  <c r="A567" i="1" l="1"/>
  <c r="C567" i="1"/>
  <c r="B567" i="1" s="1"/>
  <c r="F567" i="1"/>
  <c r="O567" i="1"/>
  <c r="T567" i="1"/>
  <c r="U567" i="1"/>
  <c r="Y567" i="1" s="1"/>
  <c r="V567" i="1"/>
  <c r="W567" i="1" s="1"/>
  <c r="Z567" i="1"/>
  <c r="A666" i="1"/>
  <c r="C666" i="1"/>
  <c r="B666" i="1" s="1"/>
  <c r="F666" i="1"/>
  <c r="M666" i="1"/>
  <c r="O666" i="1"/>
  <c r="T666" i="1"/>
  <c r="U666" i="1"/>
  <c r="V666" i="1"/>
  <c r="W666" i="1" s="1"/>
  <c r="Z666" i="1"/>
  <c r="X567" i="1" l="1"/>
  <c r="P567" i="1" s="1"/>
  <c r="Q567" i="1" s="1"/>
  <c r="R567" i="1" s="1"/>
  <c r="D567" i="1" s="1"/>
  <c r="X666" i="1"/>
  <c r="Y666" i="1"/>
  <c r="R666" i="1"/>
  <c r="E146" i="6" l="1"/>
  <c r="E50" i="6"/>
  <c r="F50" i="6"/>
  <c r="I146" i="6"/>
  <c r="I50" i="6"/>
  <c r="J146" i="6"/>
  <c r="J50" i="6"/>
  <c r="E284" i="6"/>
  <c r="F284" i="6"/>
  <c r="I284" i="6"/>
  <c r="J284" i="6"/>
  <c r="D60" i="6"/>
  <c r="B19" i="16" s="1"/>
  <c r="E215" i="6"/>
  <c r="I215" i="6"/>
  <c r="J215" i="6"/>
  <c r="E90" i="6"/>
  <c r="F90" i="6"/>
  <c r="I90" i="6"/>
  <c r="J90" i="6"/>
  <c r="E38" i="6"/>
  <c r="F38" i="6"/>
  <c r="I38" i="6"/>
  <c r="J38" i="6"/>
  <c r="E529" i="6"/>
  <c r="F529" i="6"/>
  <c r="I529" i="6"/>
  <c r="J529" i="6"/>
  <c r="E149" i="6"/>
  <c r="F149" i="6"/>
  <c r="I149" i="6"/>
  <c r="J149" i="6"/>
  <c r="A909" i="1"/>
  <c r="C909" i="1"/>
  <c r="B909" i="1" s="1"/>
  <c r="F909" i="1"/>
  <c r="M909" i="1"/>
  <c r="O909" i="1"/>
  <c r="S909" i="1"/>
  <c r="T909" i="1"/>
  <c r="U909" i="1"/>
  <c r="Y909" i="1" s="1"/>
  <c r="V909" i="1"/>
  <c r="W909" i="1" s="1"/>
  <c r="Z909" i="1"/>
  <c r="A998" i="1"/>
  <c r="C998" i="1"/>
  <c r="B998" i="1" s="1"/>
  <c r="F998" i="1"/>
  <c r="M998" i="1"/>
  <c r="O998" i="1"/>
  <c r="S998" i="1"/>
  <c r="T998" i="1"/>
  <c r="U998" i="1"/>
  <c r="Y998" i="1" s="1"/>
  <c r="V998" i="1"/>
  <c r="W998" i="1" s="1"/>
  <c r="Z998" i="1"/>
  <c r="A1061" i="1"/>
  <c r="A1062" i="1"/>
  <c r="C1061" i="1"/>
  <c r="B1061" i="1" s="1"/>
  <c r="C1062" i="1"/>
  <c r="B1062" i="1" s="1"/>
  <c r="F1061" i="1"/>
  <c r="F1062" i="1"/>
  <c r="M1061" i="1"/>
  <c r="M1062" i="1"/>
  <c r="O1061" i="1"/>
  <c r="O1062" i="1"/>
  <c r="T1061" i="1"/>
  <c r="T1062" i="1"/>
  <c r="U1061" i="1"/>
  <c r="Y1061" i="1" s="1"/>
  <c r="U1062" i="1"/>
  <c r="Y1062" i="1" s="1"/>
  <c r="V1061" i="1"/>
  <c r="W1061" i="1" s="1"/>
  <c r="V1062" i="1"/>
  <c r="W1062" i="1" s="1"/>
  <c r="Z1061" i="1"/>
  <c r="Z1062" i="1"/>
  <c r="A1107" i="1"/>
  <c r="C1107" i="1"/>
  <c r="B1107" i="1" s="1"/>
  <c r="F1107" i="1"/>
  <c r="M1107" i="1"/>
  <c r="O1107" i="1"/>
  <c r="T1107" i="1"/>
  <c r="U1107" i="1"/>
  <c r="Y1107" i="1" s="1"/>
  <c r="V1107" i="1"/>
  <c r="W1107" i="1" s="1"/>
  <c r="Z1107" i="1"/>
  <c r="A833" i="1"/>
  <c r="C833" i="1"/>
  <c r="B833" i="1" s="1"/>
  <c r="F833" i="1"/>
  <c r="M833" i="1"/>
  <c r="T833" i="1"/>
  <c r="U833" i="1"/>
  <c r="Y833" i="1" s="1"/>
  <c r="V833" i="1"/>
  <c r="W833" i="1" s="1"/>
  <c r="Z833" i="1"/>
  <c r="A1094" i="1"/>
  <c r="C1094" i="1"/>
  <c r="B1094" i="1" s="1"/>
  <c r="F1094" i="1"/>
  <c r="O1094" i="1"/>
  <c r="S1094" i="1"/>
  <c r="T1094" i="1"/>
  <c r="U1094" i="1"/>
  <c r="Y1094" i="1" s="1"/>
  <c r="V1094" i="1"/>
  <c r="W1094" i="1" s="1"/>
  <c r="Z1094" i="1"/>
  <c r="A603" i="1"/>
  <c r="C603" i="1"/>
  <c r="B603" i="1" s="1"/>
  <c r="D603" i="1"/>
  <c r="F603" i="1"/>
  <c r="M603" i="1"/>
  <c r="O603" i="1"/>
  <c r="S603" i="1"/>
  <c r="T603" i="1"/>
  <c r="U603" i="1"/>
  <c r="Y603" i="1" s="1"/>
  <c r="V603" i="1"/>
  <c r="W603" i="1" s="1"/>
  <c r="Z603" i="1"/>
  <c r="A602" i="1"/>
  <c r="C602" i="1"/>
  <c r="B602" i="1" s="1"/>
  <c r="F602" i="1"/>
  <c r="M602" i="1"/>
  <c r="O602" i="1"/>
  <c r="S602" i="1"/>
  <c r="U602" i="1"/>
  <c r="Y602" i="1" s="1"/>
  <c r="V602" i="1"/>
  <c r="W602" i="1" s="1"/>
  <c r="Z602" i="1"/>
  <c r="A1204" i="1"/>
  <c r="C1204" i="1"/>
  <c r="B1204" i="1" s="1"/>
  <c r="F1204" i="1"/>
  <c r="O1204" i="1"/>
  <c r="T1204" i="1"/>
  <c r="U1204" i="1"/>
  <c r="Y1204" i="1" s="1"/>
  <c r="V1204" i="1"/>
  <c r="W1204" i="1" s="1"/>
  <c r="Z1204" i="1"/>
  <c r="A184" i="1"/>
  <c r="C184" i="1"/>
  <c r="B184" i="1" s="1"/>
  <c r="F184" i="1"/>
  <c r="M184" i="1"/>
  <c r="O184" i="1"/>
  <c r="T184" i="1"/>
  <c r="U184" i="1"/>
  <c r="Y184" i="1" s="1"/>
  <c r="V184" i="1"/>
  <c r="W184" i="1" s="1"/>
  <c r="Z184" i="1"/>
  <c r="A250" i="1"/>
  <c r="C250" i="1"/>
  <c r="B250" i="1" s="1"/>
  <c r="F250" i="1"/>
  <c r="M250" i="1"/>
  <c r="O250" i="1"/>
  <c r="T250" i="1"/>
  <c r="U250" i="1"/>
  <c r="V250" i="1"/>
  <c r="W250" i="1" s="1"/>
  <c r="Z250" i="1"/>
  <c r="X909" i="1" l="1"/>
  <c r="P909" i="1" s="1"/>
  <c r="Q909" i="1" s="1"/>
  <c r="R909" i="1" s="1"/>
  <c r="D909" i="1" s="1"/>
  <c r="X1107" i="1"/>
  <c r="P1107" i="1" s="1"/>
  <c r="Q1107" i="1" s="1"/>
  <c r="R1107" i="1" s="1"/>
  <c r="D1107" i="1" s="1"/>
  <c r="X1061" i="1"/>
  <c r="P1061" i="1" s="1"/>
  <c r="Q1061" i="1" s="1"/>
  <c r="R1061" i="1" s="1"/>
  <c r="X998" i="1"/>
  <c r="P998" i="1" s="1"/>
  <c r="Q998" i="1" s="1"/>
  <c r="R998" i="1" s="1"/>
  <c r="D998" i="1" s="1"/>
  <c r="X1062" i="1"/>
  <c r="P1062" i="1" s="1"/>
  <c r="Q1062" i="1" s="1"/>
  <c r="R1062" i="1" s="1"/>
  <c r="D1061" i="1"/>
  <c r="D1062" i="1"/>
  <c r="X833" i="1"/>
  <c r="P833" i="1" s="1"/>
  <c r="Q833" i="1" s="1"/>
  <c r="R833" i="1" s="1"/>
  <c r="D833" i="1" s="1"/>
  <c r="X1094" i="1"/>
  <c r="P1094" i="1" s="1"/>
  <c r="X603" i="1"/>
  <c r="Q603" i="1" s="1"/>
  <c r="R603" i="1" s="1"/>
  <c r="R1094" i="1"/>
  <c r="D1094" i="1" s="1"/>
  <c r="X602" i="1"/>
  <c r="P602" i="1" s="1"/>
  <c r="Q602" i="1" s="1"/>
  <c r="R602" i="1" s="1"/>
  <c r="D602" i="1" s="1"/>
  <c r="T602" i="1"/>
  <c r="X1204" i="1"/>
  <c r="P1204" i="1" s="1"/>
  <c r="Q1204" i="1" s="1"/>
  <c r="R1204" i="1" s="1"/>
  <c r="D1204" i="1" s="1"/>
  <c r="X184" i="1"/>
  <c r="P184" i="1" s="1"/>
  <c r="Q184" i="1" s="1"/>
  <c r="R184" i="1" s="1"/>
  <c r="X250" i="1"/>
  <c r="Y250" i="1"/>
  <c r="P250" i="1" l="1"/>
  <c r="Q250" i="1" s="1"/>
  <c r="R250" i="1" s="1"/>
  <c r="D250" i="1" s="1"/>
  <c r="O26" i="15" l="1"/>
  <c r="O22" i="15"/>
  <c r="O25" i="15"/>
  <c r="O21" i="15"/>
  <c r="O19" i="15"/>
  <c r="O18" i="15"/>
  <c r="O17" i="15"/>
  <c r="O16" i="15"/>
  <c r="O14" i="15"/>
  <c r="O15" i="15"/>
  <c r="O13" i="15"/>
  <c r="O12" i="15"/>
  <c r="O11" i="15"/>
  <c r="O10" i="15"/>
  <c r="O9" i="15"/>
  <c r="O7" i="15"/>
  <c r="O5" i="15"/>
  <c r="O4" i="15"/>
  <c r="O3" i="15"/>
  <c r="O2" i="15"/>
  <c r="A501" i="1"/>
  <c r="A502" i="1"/>
  <c r="A503" i="1"/>
  <c r="A504" i="1"/>
  <c r="C501" i="1"/>
  <c r="B501" i="1" s="1"/>
  <c r="C502" i="1"/>
  <c r="B502" i="1" s="1"/>
  <c r="C503" i="1"/>
  <c r="B503" i="1" s="1"/>
  <c r="C504" i="1"/>
  <c r="B504" i="1" s="1"/>
  <c r="F501" i="1"/>
  <c r="F502" i="1"/>
  <c r="F503" i="1"/>
  <c r="F504" i="1"/>
  <c r="M501" i="1"/>
  <c r="M502" i="1"/>
  <c r="M503" i="1"/>
  <c r="M504" i="1"/>
  <c r="O501" i="1"/>
  <c r="O502" i="1"/>
  <c r="O503" i="1"/>
  <c r="O504" i="1"/>
  <c r="U501" i="1"/>
  <c r="Y501" i="1" s="1"/>
  <c r="U502" i="1"/>
  <c r="Y502" i="1" s="1"/>
  <c r="U503" i="1"/>
  <c r="Y503" i="1" s="1"/>
  <c r="U504" i="1"/>
  <c r="V501" i="1"/>
  <c r="W501" i="1" s="1"/>
  <c r="V502" i="1"/>
  <c r="W502" i="1" s="1"/>
  <c r="V503" i="1"/>
  <c r="W503" i="1" s="1"/>
  <c r="V504" i="1"/>
  <c r="W504" i="1" s="1"/>
  <c r="Z501" i="1"/>
  <c r="Z502" i="1"/>
  <c r="Z503" i="1"/>
  <c r="Z504" i="1"/>
  <c r="I79" i="104"/>
  <c r="I78" i="104"/>
  <c r="I80" i="104"/>
  <c r="I81" i="104"/>
  <c r="A78" i="104"/>
  <c r="A80" i="104"/>
  <c r="A81" i="104"/>
  <c r="B78" i="104"/>
  <c r="B80" i="104"/>
  <c r="B81" i="104"/>
  <c r="C78" i="104"/>
  <c r="C80" i="104"/>
  <c r="C81" i="104"/>
  <c r="A79" i="104"/>
  <c r="B79" i="104"/>
  <c r="C79" i="104"/>
  <c r="T502" i="1" l="1"/>
  <c r="T501" i="1"/>
  <c r="T503" i="1"/>
  <c r="T504" i="1"/>
  <c r="X503" i="1"/>
  <c r="X502" i="1"/>
  <c r="P502" i="1" s="1"/>
  <c r="X501" i="1"/>
  <c r="P501" i="1" s="1"/>
  <c r="X504" i="1"/>
  <c r="Y504" i="1"/>
  <c r="P503" i="1" l="1"/>
  <c r="Q503" i="1" s="1"/>
  <c r="Q501" i="1"/>
  <c r="P504" i="1"/>
  <c r="Q502" i="1"/>
  <c r="R502" i="1" l="1"/>
  <c r="R503" i="1"/>
  <c r="Q504" i="1"/>
  <c r="R501" i="1"/>
  <c r="R504" i="1" l="1"/>
  <c r="E60" i="6" l="1"/>
  <c r="F60" i="6"/>
  <c r="I60" i="6"/>
  <c r="J60" i="6"/>
  <c r="E59" i="6"/>
  <c r="F59" i="6"/>
  <c r="I59" i="6"/>
  <c r="J59" i="6"/>
  <c r="E58" i="6"/>
  <c r="F58" i="6"/>
  <c r="I58" i="6"/>
  <c r="J58" i="6"/>
  <c r="A180" i="1"/>
  <c r="C180" i="1"/>
  <c r="B180" i="1" s="1"/>
  <c r="F180" i="1"/>
  <c r="M180" i="1"/>
  <c r="O180" i="1"/>
  <c r="S180" i="1"/>
  <c r="T180" i="1"/>
  <c r="U180" i="1"/>
  <c r="Y180" i="1" s="1"/>
  <c r="V180" i="1"/>
  <c r="W180" i="1" s="1"/>
  <c r="Z180" i="1"/>
  <c r="A176" i="1"/>
  <c r="A177" i="1"/>
  <c r="A178" i="1"/>
  <c r="A179" i="1"/>
  <c r="C176" i="1"/>
  <c r="B176" i="1" s="1"/>
  <c r="C177" i="1"/>
  <c r="B177" i="1" s="1"/>
  <c r="C178" i="1"/>
  <c r="B178" i="1" s="1"/>
  <c r="C179" i="1"/>
  <c r="B179" i="1" s="1"/>
  <c r="F176" i="1"/>
  <c r="F177" i="1"/>
  <c r="F178" i="1"/>
  <c r="F179" i="1"/>
  <c r="M176" i="1"/>
  <c r="M177" i="1"/>
  <c r="M178" i="1"/>
  <c r="M179" i="1"/>
  <c r="O176" i="1"/>
  <c r="O177" i="1"/>
  <c r="O178" i="1"/>
  <c r="O179" i="1"/>
  <c r="S176" i="1"/>
  <c r="S177" i="1"/>
  <c r="S178" i="1"/>
  <c r="S179" i="1"/>
  <c r="T176" i="1"/>
  <c r="T177" i="1"/>
  <c r="T178" i="1"/>
  <c r="T179" i="1"/>
  <c r="U176" i="1"/>
  <c r="U177" i="1"/>
  <c r="U178" i="1"/>
  <c r="Y178" i="1" s="1"/>
  <c r="U179" i="1"/>
  <c r="V176" i="1"/>
  <c r="W176" i="1" s="1"/>
  <c r="V177" i="1"/>
  <c r="W177" i="1" s="1"/>
  <c r="V178" i="1"/>
  <c r="W178" i="1" s="1"/>
  <c r="V179" i="1"/>
  <c r="W179" i="1" s="1"/>
  <c r="Z176" i="1"/>
  <c r="Z177" i="1"/>
  <c r="Z178" i="1"/>
  <c r="Z179" i="1"/>
  <c r="A175" i="1"/>
  <c r="C175" i="1"/>
  <c r="B175" i="1" s="1"/>
  <c r="F175" i="1"/>
  <c r="M175" i="1"/>
  <c r="O175" i="1"/>
  <c r="T175" i="1"/>
  <c r="U175" i="1"/>
  <c r="Y175" i="1" s="1"/>
  <c r="V175" i="1"/>
  <c r="W175" i="1" s="1"/>
  <c r="Z175" i="1"/>
  <c r="A325" i="1"/>
  <c r="C325" i="1"/>
  <c r="B325" i="1" s="1"/>
  <c r="F325" i="1"/>
  <c r="M325" i="1"/>
  <c r="O325" i="1"/>
  <c r="T325" i="1"/>
  <c r="U325" i="1"/>
  <c r="Y325" i="1" s="1"/>
  <c r="V325" i="1"/>
  <c r="W325" i="1" s="1"/>
  <c r="Z325" i="1"/>
  <c r="A1156" i="1"/>
  <c r="C1156" i="1"/>
  <c r="B1156" i="1" s="1"/>
  <c r="F1156" i="1"/>
  <c r="M1156" i="1"/>
  <c r="O1156" i="1"/>
  <c r="T1156" i="1"/>
  <c r="U1156" i="1"/>
  <c r="Y1156" i="1" s="1"/>
  <c r="V1156" i="1"/>
  <c r="W1156" i="1" s="1"/>
  <c r="Z1156" i="1"/>
  <c r="A249" i="1"/>
  <c r="C249" i="1"/>
  <c r="B249" i="1" s="1"/>
  <c r="F249" i="1"/>
  <c r="M249" i="1"/>
  <c r="O249" i="1"/>
  <c r="S249" i="1"/>
  <c r="T249" i="1"/>
  <c r="U249" i="1"/>
  <c r="Y249" i="1" s="1"/>
  <c r="V249" i="1"/>
  <c r="W249" i="1" s="1"/>
  <c r="Z249" i="1"/>
  <c r="X176" i="1" l="1"/>
  <c r="Y176" i="1"/>
  <c r="X179" i="1"/>
  <c r="X180" i="1"/>
  <c r="X175" i="1"/>
  <c r="Y179" i="1"/>
  <c r="X178" i="1"/>
  <c r="X177" i="1"/>
  <c r="Y177" i="1"/>
  <c r="X325" i="1"/>
  <c r="X1156" i="1"/>
  <c r="X249" i="1"/>
  <c r="P176" i="1" l="1"/>
  <c r="Q176" i="1" s="1"/>
  <c r="P249" i="1"/>
  <c r="P178" i="1"/>
  <c r="P1156" i="1"/>
  <c r="P325" i="1"/>
  <c r="P175" i="1"/>
  <c r="P180" i="1"/>
  <c r="P179" i="1"/>
  <c r="P177" i="1"/>
  <c r="A181" i="1"/>
  <c r="C181" i="1"/>
  <c r="B181" i="1" s="1"/>
  <c r="F181" i="1"/>
  <c r="M181" i="1"/>
  <c r="O181" i="1"/>
  <c r="T181" i="1"/>
  <c r="U181" i="1"/>
  <c r="Y181" i="1" s="1"/>
  <c r="V181" i="1"/>
  <c r="W181" i="1" s="1"/>
  <c r="Z181" i="1"/>
  <c r="A1013" i="1"/>
  <c r="C1013" i="1"/>
  <c r="B1013" i="1" s="1"/>
  <c r="F1013" i="1"/>
  <c r="M1013" i="1"/>
  <c r="O1013" i="1"/>
  <c r="T1013" i="1"/>
  <c r="U1013" i="1"/>
  <c r="Y1013" i="1" s="1"/>
  <c r="V1013" i="1"/>
  <c r="W1013" i="1" s="1"/>
  <c r="Z1013" i="1"/>
  <c r="A931" i="1"/>
  <c r="C931" i="1"/>
  <c r="B931" i="1" s="1"/>
  <c r="F931" i="1"/>
  <c r="O931" i="1"/>
  <c r="U931" i="1"/>
  <c r="Y931" i="1" s="1"/>
  <c r="V931" i="1"/>
  <c r="W931" i="1" s="1"/>
  <c r="Z931" i="1"/>
  <c r="D527" i="6"/>
  <c r="D602" i="6"/>
  <c r="E515" i="6"/>
  <c r="F515" i="6"/>
  <c r="I515" i="6"/>
  <c r="J515" i="6"/>
  <c r="E674" i="6"/>
  <c r="E661" i="6"/>
  <c r="E687" i="6"/>
  <c r="I674" i="6"/>
  <c r="I661" i="6"/>
  <c r="I687" i="6"/>
  <c r="J674" i="6"/>
  <c r="J661" i="6"/>
  <c r="J687" i="6"/>
  <c r="E480" i="6"/>
  <c r="E491" i="6"/>
  <c r="F480" i="6"/>
  <c r="F491" i="6"/>
  <c r="I480" i="6"/>
  <c r="I491" i="6"/>
  <c r="J480" i="6"/>
  <c r="J491" i="6"/>
  <c r="E464" i="6"/>
  <c r="F464" i="6"/>
  <c r="I464" i="6"/>
  <c r="J464" i="6"/>
  <c r="E465" i="6"/>
  <c r="F465" i="6"/>
  <c r="I465" i="6"/>
  <c r="J465" i="6"/>
  <c r="E430" i="6"/>
  <c r="F430" i="6"/>
  <c r="I430" i="6"/>
  <c r="J430" i="6"/>
  <c r="E420" i="6"/>
  <c r="F420" i="6"/>
  <c r="I420" i="6"/>
  <c r="J420" i="6"/>
  <c r="E528" i="6"/>
  <c r="F528" i="6"/>
  <c r="I528" i="6"/>
  <c r="J528" i="6"/>
  <c r="Q179" i="1" l="1"/>
  <c r="Q175" i="1"/>
  <c r="R176" i="1"/>
  <c r="Q178" i="1"/>
  <c r="Q180" i="1"/>
  <c r="Q177" i="1"/>
  <c r="Q325" i="1"/>
  <c r="Q1156" i="1"/>
  <c r="Q249" i="1"/>
  <c r="X1013" i="1"/>
  <c r="X181" i="1"/>
  <c r="X931" i="1"/>
  <c r="T931" i="1"/>
  <c r="A768" i="1"/>
  <c r="A769" i="1"/>
  <c r="A770" i="1"/>
  <c r="C768" i="1"/>
  <c r="B768" i="1" s="1"/>
  <c r="C769" i="1"/>
  <c r="B769" i="1" s="1"/>
  <c r="C770" i="1"/>
  <c r="B770" i="1" s="1"/>
  <c r="D768" i="1"/>
  <c r="D769" i="1"/>
  <c r="D770" i="1"/>
  <c r="F768" i="1"/>
  <c r="F769" i="1"/>
  <c r="F770" i="1"/>
  <c r="M768" i="1"/>
  <c r="M769" i="1"/>
  <c r="M770" i="1"/>
  <c r="O768" i="1"/>
  <c r="O769" i="1"/>
  <c r="O770" i="1"/>
  <c r="S768" i="1"/>
  <c r="S769" i="1"/>
  <c r="S770" i="1"/>
  <c r="T768" i="1"/>
  <c r="T769" i="1"/>
  <c r="T770" i="1"/>
  <c r="U768" i="1"/>
  <c r="Y768" i="1" s="1"/>
  <c r="U769" i="1"/>
  <c r="Y769" i="1" s="1"/>
  <c r="U770" i="1"/>
  <c r="Y770" i="1" s="1"/>
  <c r="V768" i="1"/>
  <c r="W768" i="1" s="1"/>
  <c r="V769" i="1"/>
  <c r="W769" i="1" s="1"/>
  <c r="V770" i="1"/>
  <c r="W770" i="1" s="1"/>
  <c r="Z768" i="1"/>
  <c r="Z769" i="1"/>
  <c r="Z770" i="1"/>
  <c r="A767" i="1"/>
  <c r="C767" i="1"/>
  <c r="B767" i="1" s="1"/>
  <c r="F767" i="1"/>
  <c r="M767" i="1"/>
  <c r="O767" i="1"/>
  <c r="T767" i="1"/>
  <c r="U767" i="1"/>
  <c r="Y767" i="1" s="1"/>
  <c r="V767" i="1"/>
  <c r="W767" i="1" s="1"/>
  <c r="Z767" i="1"/>
  <c r="A753" i="1"/>
  <c r="C753" i="1"/>
  <c r="B753" i="1" s="1"/>
  <c r="F753" i="1"/>
  <c r="M753" i="1"/>
  <c r="O753" i="1"/>
  <c r="U753" i="1"/>
  <c r="Y753" i="1" s="1"/>
  <c r="V753" i="1"/>
  <c r="W753" i="1" s="1"/>
  <c r="Z753" i="1"/>
  <c r="A842" i="1"/>
  <c r="C842" i="1"/>
  <c r="B842" i="1" s="1"/>
  <c r="F842" i="1"/>
  <c r="M842" i="1"/>
  <c r="O842" i="1"/>
  <c r="T842" i="1"/>
  <c r="U842" i="1"/>
  <c r="Y842" i="1" s="1"/>
  <c r="V842" i="1"/>
  <c r="W842" i="1" s="1"/>
  <c r="Z842" i="1"/>
  <c r="P931" i="1" l="1"/>
  <c r="R249" i="1"/>
  <c r="D249" i="1" s="1"/>
  <c r="R325" i="1"/>
  <c r="D325" i="1" s="1"/>
  <c r="R178" i="1"/>
  <c r="R175" i="1"/>
  <c r="P181" i="1"/>
  <c r="R180" i="1"/>
  <c r="P1013" i="1"/>
  <c r="R1156" i="1"/>
  <c r="D1156" i="1" s="1"/>
  <c r="R177" i="1"/>
  <c r="R179" i="1"/>
  <c r="X769" i="1"/>
  <c r="X767" i="1"/>
  <c r="X768" i="1"/>
  <c r="X770" i="1"/>
  <c r="X753" i="1"/>
  <c r="T753" i="1"/>
  <c r="X842" i="1"/>
  <c r="Q931" i="1" l="1"/>
  <c r="P770" i="1"/>
  <c r="Q181" i="1"/>
  <c r="P842" i="1"/>
  <c r="P768" i="1"/>
  <c r="P767" i="1"/>
  <c r="P753" i="1"/>
  <c r="P769" i="1"/>
  <c r="Q1013" i="1"/>
  <c r="Q769" i="1" l="1"/>
  <c r="Q767" i="1"/>
  <c r="Q842" i="1"/>
  <c r="Q770" i="1"/>
  <c r="R1013" i="1"/>
  <c r="D1013" i="1" s="1"/>
  <c r="Q753" i="1"/>
  <c r="Q768" i="1"/>
  <c r="R181" i="1"/>
  <c r="R931" i="1"/>
  <c r="D933" i="1" s="1"/>
  <c r="B22" i="15"/>
  <c r="C22" i="15"/>
  <c r="E514" i="6"/>
  <c r="F514" i="6"/>
  <c r="I514" i="6"/>
  <c r="J514" i="6"/>
  <c r="A76" i="1"/>
  <c r="C76" i="1"/>
  <c r="B76" i="1" s="1"/>
  <c r="F76" i="1"/>
  <c r="M76" i="1"/>
  <c r="O76" i="1"/>
  <c r="S76" i="1"/>
  <c r="T76" i="1"/>
  <c r="U76" i="1"/>
  <c r="Y76" i="1" s="1"/>
  <c r="V76" i="1"/>
  <c r="W76" i="1" s="1"/>
  <c r="Z76" i="1"/>
  <c r="A73" i="1"/>
  <c r="A74" i="1"/>
  <c r="A75" i="1"/>
  <c r="C73" i="1"/>
  <c r="B73" i="1" s="1"/>
  <c r="C74" i="1"/>
  <c r="B74" i="1" s="1"/>
  <c r="C75" i="1"/>
  <c r="B75" i="1" s="1"/>
  <c r="F73" i="1"/>
  <c r="F74" i="1"/>
  <c r="F75" i="1"/>
  <c r="M73" i="1"/>
  <c r="M74" i="1"/>
  <c r="M75" i="1"/>
  <c r="O73" i="1"/>
  <c r="O74" i="1"/>
  <c r="O75" i="1"/>
  <c r="S74" i="1"/>
  <c r="S75" i="1"/>
  <c r="T73" i="1"/>
  <c r="T75" i="1"/>
  <c r="U73" i="1"/>
  <c r="Y73" i="1" s="1"/>
  <c r="U74" i="1"/>
  <c r="Y74" i="1" s="1"/>
  <c r="U75" i="1"/>
  <c r="Y75" i="1" s="1"/>
  <c r="V73" i="1"/>
  <c r="W73" i="1" s="1"/>
  <c r="V74" i="1"/>
  <c r="W74" i="1" s="1"/>
  <c r="V75" i="1"/>
  <c r="W75" i="1" s="1"/>
  <c r="Z73" i="1"/>
  <c r="Z74" i="1"/>
  <c r="Z75" i="1"/>
  <c r="A72" i="1"/>
  <c r="C72" i="1"/>
  <c r="B72" i="1" s="1"/>
  <c r="F72" i="1"/>
  <c r="M72" i="1"/>
  <c r="O72" i="1"/>
  <c r="U72" i="1"/>
  <c r="Y72" i="1" s="1"/>
  <c r="V72" i="1"/>
  <c r="W72" i="1" s="1"/>
  <c r="Z72" i="1"/>
  <c r="A167" i="1"/>
  <c r="C167" i="1"/>
  <c r="B167" i="1" s="1"/>
  <c r="F167" i="1"/>
  <c r="M167" i="1"/>
  <c r="O167" i="1"/>
  <c r="T167" i="1"/>
  <c r="U167" i="1"/>
  <c r="Y167" i="1" s="1"/>
  <c r="V167" i="1"/>
  <c r="W167" i="1" s="1"/>
  <c r="Z167" i="1"/>
  <c r="A170" i="1"/>
  <c r="C170" i="1"/>
  <c r="B170" i="1" s="1"/>
  <c r="F170" i="1"/>
  <c r="M170" i="1"/>
  <c r="O170" i="1"/>
  <c r="S170" i="1"/>
  <c r="T170" i="1"/>
  <c r="U170" i="1"/>
  <c r="Y170" i="1" s="1"/>
  <c r="V170" i="1"/>
  <c r="W170" i="1" s="1"/>
  <c r="Z170" i="1"/>
  <c r="A195" i="1"/>
  <c r="C195" i="1"/>
  <c r="B195" i="1" s="1"/>
  <c r="F195" i="1"/>
  <c r="M195" i="1"/>
  <c r="O195" i="1"/>
  <c r="S195" i="1"/>
  <c r="T195" i="1"/>
  <c r="U195" i="1"/>
  <c r="Y195" i="1" s="1"/>
  <c r="V195" i="1"/>
  <c r="W195" i="1" s="1"/>
  <c r="Z195" i="1"/>
  <c r="A222" i="1"/>
  <c r="C222" i="1"/>
  <c r="B222" i="1" s="1"/>
  <c r="F222" i="1"/>
  <c r="M222" i="1"/>
  <c r="O222" i="1"/>
  <c r="T222" i="1"/>
  <c r="U222" i="1"/>
  <c r="Y222" i="1" s="1"/>
  <c r="V222" i="1"/>
  <c r="W222" i="1" s="1"/>
  <c r="Z222" i="1"/>
  <c r="A334" i="1"/>
  <c r="C334" i="1"/>
  <c r="B334" i="1" s="1"/>
  <c r="F334" i="1"/>
  <c r="M334" i="1"/>
  <c r="O334" i="1"/>
  <c r="S334" i="1"/>
  <c r="T334" i="1"/>
  <c r="U334" i="1"/>
  <c r="Y334" i="1" s="1"/>
  <c r="V334" i="1"/>
  <c r="W334" i="1" s="1"/>
  <c r="Z334" i="1"/>
  <c r="A348" i="1"/>
  <c r="C348" i="1"/>
  <c r="B348" i="1" s="1"/>
  <c r="F348" i="1"/>
  <c r="M348" i="1"/>
  <c r="O348" i="1"/>
  <c r="S348" i="1"/>
  <c r="T348" i="1"/>
  <c r="U348" i="1"/>
  <c r="Y348" i="1" s="1"/>
  <c r="V348" i="1"/>
  <c r="W348" i="1" s="1"/>
  <c r="Z348" i="1"/>
  <c r="A347" i="1"/>
  <c r="C347" i="1"/>
  <c r="B347" i="1" s="1"/>
  <c r="F347" i="1"/>
  <c r="M347" i="1"/>
  <c r="O347" i="1"/>
  <c r="S347" i="1"/>
  <c r="T347" i="1"/>
  <c r="U347" i="1"/>
  <c r="Y347" i="1" s="1"/>
  <c r="V347" i="1"/>
  <c r="W347" i="1" s="1"/>
  <c r="Z347" i="1"/>
  <c r="A28" i="1"/>
  <c r="C28" i="1"/>
  <c r="B28" i="1" s="1"/>
  <c r="F28" i="1"/>
  <c r="M28" i="1"/>
  <c r="O28" i="1"/>
  <c r="T28" i="1"/>
  <c r="U28" i="1"/>
  <c r="Y28" i="1" s="1"/>
  <c r="V28" i="1"/>
  <c r="W28" i="1" s="1"/>
  <c r="Z28" i="1"/>
  <c r="A27" i="1"/>
  <c r="C27" i="1"/>
  <c r="B27" i="1" s="1"/>
  <c r="F27" i="1"/>
  <c r="M27" i="1"/>
  <c r="O27" i="1"/>
  <c r="U27" i="1"/>
  <c r="Y27" i="1" s="1"/>
  <c r="V27" i="1"/>
  <c r="W27" i="1" s="1"/>
  <c r="Z27" i="1"/>
  <c r="A266" i="1"/>
  <c r="C266" i="1"/>
  <c r="B266" i="1" s="1"/>
  <c r="F266" i="1"/>
  <c r="M266" i="1"/>
  <c r="O266" i="1"/>
  <c r="U266" i="1"/>
  <c r="Y266" i="1" s="1"/>
  <c r="V266" i="1"/>
  <c r="W266" i="1" s="1"/>
  <c r="Z266" i="1"/>
  <c r="A289" i="1"/>
  <c r="C289" i="1"/>
  <c r="B289" i="1" s="1"/>
  <c r="F289" i="1"/>
  <c r="M289" i="1"/>
  <c r="O289" i="1"/>
  <c r="U289" i="1"/>
  <c r="Y289" i="1" s="1"/>
  <c r="V289" i="1"/>
  <c r="W289" i="1" s="1"/>
  <c r="Z289" i="1"/>
  <c r="A311" i="1"/>
  <c r="C311" i="1"/>
  <c r="B311" i="1" s="1"/>
  <c r="F311" i="1"/>
  <c r="M311" i="1"/>
  <c r="O311" i="1"/>
  <c r="U311" i="1"/>
  <c r="Y311" i="1" s="1"/>
  <c r="V311" i="1"/>
  <c r="W311" i="1" s="1"/>
  <c r="Z311" i="1"/>
  <c r="A349" i="1"/>
  <c r="C349" i="1"/>
  <c r="B349" i="1" s="1"/>
  <c r="F349" i="1"/>
  <c r="M349" i="1"/>
  <c r="O349" i="1"/>
  <c r="U349" i="1"/>
  <c r="Y349" i="1" s="1"/>
  <c r="V349" i="1"/>
  <c r="W349" i="1" s="1"/>
  <c r="Z349" i="1"/>
  <c r="A539" i="1"/>
  <c r="C539" i="1"/>
  <c r="B539" i="1" s="1"/>
  <c r="F539" i="1"/>
  <c r="M539" i="1"/>
  <c r="O539" i="1"/>
  <c r="U539" i="1"/>
  <c r="Y539" i="1" s="1"/>
  <c r="V539" i="1"/>
  <c r="W539" i="1" s="1"/>
  <c r="Z539" i="1"/>
  <c r="A433" i="1"/>
  <c r="C433" i="1"/>
  <c r="B433" i="1" s="1"/>
  <c r="F433" i="1"/>
  <c r="M433" i="1"/>
  <c r="O433" i="1"/>
  <c r="U433" i="1"/>
  <c r="Y433" i="1" s="1"/>
  <c r="V433" i="1"/>
  <c r="W433" i="1" s="1"/>
  <c r="Z433" i="1"/>
  <c r="A930" i="1"/>
  <c r="C930" i="1"/>
  <c r="B930" i="1" s="1"/>
  <c r="F930" i="1"/>
  <c r="M930" i="1"/>
  <c r="O930" i="1"/>
  <c r="U930" i="1"/>
  <c r="Y930" i="1" s="1"/>
  <c r="V930" i="1"/>
  <c r="W930" i="1" s="1"/>
  <c r="Z930" i="1"/>
  <c r="A497" i="1"/>
  <c r="A498" i="1"/>
  <c r="A499" i="1"/>
  <c r="A500" i="1"/>
  <c r="C497" i="1"/>
  <c r="B497" i="1" s="1"/>
  <c r="C498" i="1"/>
  <c r="B498" i="1" s="1"/>
  <c r="C499" i="1"/>
  <c r="B499" i="1" s="1"/>
  <c r="C500" i="1"/>
  <c r="B500" i="1" s="1"/>
  <c r="F497" i="1"/>
  <c r="F498" i="1"/>
  <c r="F499" i="1"/>
  <c r="F500" i="1"/>
  <c r="M497" i="1"/>
  <c r="M498" i="1"/>
  <c r="M499" i="1"/>
  <c r="M500" i="1"/>
  <c r="O497" i="1"/>
  <c r="O498" i="1"/>
  <c r="O499" i="1"/>
  <c r="O500" i="1"/>
  <c r="T497" i="1"/>
  <c r="U497" i="1"/>
  <c r="Y497" i="1" s="1"/>
  <c r="U498" i="1"/>
  <c r="Y498" i="1" s="1"/>
  <c r="U499" i="1"/>
  <c r="Y499" i="1" s="1"/>
  <c r="U500" i="1"/>
  <c r="V497" i="1"/>
  <c r="W497" i="1" s="1"/>
  <c r="V498" i="1"/>
  <c r="W498" i="1" s="1"/>
  <c r="V499" i="1"/>
  <c r="W499" i="1" s="1"/>
  <c r="V500" i="1"/>
  <c r="W500" i="1" s="1"/>
  <c r="Z497" i="1"/>
  <c r="Z498" i="1"/>
  <c r="Z499" i="1"/>
  <c r="Z500" i="1"/>
  <c r="I74" i="104"/>
  <c r="I75" i="104"/>
  <c r="I76" i="104"/>
  <c r="I77" i="104"/>
  <c r="A75" i="104"/>
  <c r="A76" i="104"/>
  <c r="A77" i="104"/>
  <c r="B75" i="104"/>
  <c r="B76" i="104"/>
  <c r="B77" i="104"/>
  <c r="C75" i="104"/>
  <c r="C76" i="104"/>
  <c r="C77" i="104"/>
  <c r="A74" i="104"/>
  <c r="B74" i="104"/>
  <c r="C74" i="104"/>
  <c r="A629" i="1"/>
  <c r="C629" i="1"/>
  <c r="B629" i="1" s="1"/>
  <c r="F629" i="1"/>
  <c r="M629" i="1"/>
  <c r="O629" i="1"/>
  <c r="U629" i="1"/>
  <c r="Y629" i="1" s="1"/>
  <c r="V629" i="1"/>
  <c r="W629" i="1" s="1"/>
  <c r="Z629" i="1"/>
  <c r="A628" i="1"/>
  <c r="C628" i="1"/>
  <c r="B628" i="1" s="1"/>
  <c r="F628" i="1"/>
  <c r="M628" i="1"/>
  <c r="O628" i="1"/>
  <c r="U628" i="1"/>
  <c r="Y628" i="1" s="1"/>
  <c r="V628" i="1"/>
  <c r="W628" i="1" s="1"/>
  <c r="Z628" i="1"/>
  <c r="A640" i="1"/>
  <c r="C640" i="1"/>
  <c r="B640" i="1" s="1"/>
  <c r="F640" i="1"/>
  <c r="M640" i="1"/>
  <c r="O640" i="1"/>
  <c r="U640" i="1"/>
  <c r="Y640" i="1" s="1"/>
  <c r="V640" i="1"/>
  <c r="W640" i="1" s="1"/>
  <c r="Z640" i="1"/>
  <c r="A642" i="1"/>
  <c r="C642" i="1"/>
  <c r="B642" i="1" s="1"/>
  <c r="F642" i="1"/>
  <c r="M642" i="1"/>
  <c r="O642" i="1"/>
  <c r="U642" i="1"/>
  <c r="Y642" i="1" s="1"/>
  <c r="V642" i="1"/>
  <c r="W642" i="1" s="1"/>
  <c r="Z642" i="1"/>
  <c r="A662" i="1"/>
  <c r="C662" i="1"/>
  <c r="B662" i="1" s="1"/>
  <c r="F662" i="1"/>
  <c r="M662" i="1"/>
  <c r="U662" i="1"/>
  <c r="Y662" i="1" s="1"/>
  <c r="V662" i="1"/>
  <c r="W662" i="1" s="1"/>
  <c r="Z662" i="1"/>
  <c r="A684" i="1"/>
  <c r="C684" i="1"/>
  <c r="B684" i="1" s="1"/>
  <c r="F684" i="1"/>
  <c r="M684" i="1"/>
  <c r="O684" i="1"/>
  <c r="U684" i="1"/>
  <c r="Y684" i="1" s="1"/>
  <c r="V684" i="1"/>
  <c r="W684" i="1" s="1"/>
  <c r="Z684" i="1"/>
  <c r="A685" i="1"/>
  <c r="C685" i="1"/>
  <c r="B685" i="1" s="1"/>
  <c r="F685" i="1"/>
  <c r="M685" i="1"/>
  <c r="O685" i="1"/>
  <c r="U685" i="1"/>
  <c r="Y685" i="1" s="1"/>
  <c r="V685" i="1"/>
  <c r="W685" i="1" s="1"/>
  <c r="Z685" i="1"/>
  <c r="A694" i="1"/>
  <c r="C694" i="1"/>
  <c r="B694" i="1" s="1"/>
  <c r="F694" i="1"/>
  <c r="O694" i="1"/>
  <c r="U694" i="1"/>
  <c r="Y694" i="1" s="1"/>
  <c r="V694" i="1"/>
  <c r="W694" i="1" s="1"/>
  <c r="Z694" i="1"/>
  <c r="A693" i="1"/>
  <c r="C693" i="1"/>
  <c r="B693" i="1" s="1"/>
  <c r="F693" i="1"/>
  <c r="M693" i="1"/>
  <c r="O693" i="1"/>
  <c r="U693" i="1"/>
  <c r="Y693" i="1" s="1"/>
  <c r="V693" i="1"/>
  <c r="W693" i="1" s="1"/>
  <c r="Z693" i="1"/>
  <c r="A692" i="1"/>
  <c r="C692" i="1"/>
  <c r="B692" i="1" s="1"/>
  <c r="F692" i="1"/>
  <c r="M692" i="1"/>
  <c r="O692" i="1"/>
  <c r="U692" i="1"/>
  <c r="Y692" i="1" s="1"/>
  <c r="V692" i="1"/>
  <c r="W692" i="1" s="1"/>
  <c r="Z692" i="1"/>
  <c r="A765" i="1"/>
  <c r="C765" i="1"/>
  <c r="B765" i="1" s="1"/>
  <c r="F765" i="1"/>
  <c r="M765" i="1"/>
  <c r="O765" i="1"/>
  <c r="U765" i="1"/>
  <c r="Y765" i="1" s="1"/>
  <c r="V765" i="1"/>
  <c r="W765" i="1" s="1"/>
  <c r="Z765" i="1"/>
  <c r="A883" i="1"/>
  <c r="C883" i="1"/>
  <c r="B883" i="1" s="1"/>
  <c r="F883" i="1"/>
  <c r="M883" i="1"/>
  <c r="O883" i="1"/>
  <c r="U883" i="1"/>
  <c r="Y883" i="1" s="1"/>
  <c r="V883" i="1"/>
  <c r="W883" i="1" s="1"/>
  <c r="Z883" i="1"/>
  <c r="A749" i="1"/>
  <c r="C749" i="1"/>
  <c r="B749" i="1" s="1"/>
  <c r="F749" i="1"/>
  <c r="M749" i="1"/>
  <c r="O749" i="1"/>
  <c r="U749" i="1"/>
  <c r="Y749" i="1" s="1"/>
  <c r="V749" i="1"/>
  <c r="W749" i="1" s="1"/>
  <c r="Z749" i="1"/>
  <c r="A747" i="1"/>
  <c r="C747" i="1"/>
  <c r="B747" i="1" s="1"/>
  <c r="F747" i="1"/>
  <c r="M747" i="1"/>
  <c r="O747" i="1"/>
  <c r="U747" i="1"/>
  <c r="Y747" i="1" s="1"/>
  <c r="V747" i="1"/>
  <c r="W747" i="1" s="1"/>
  <c r="Z747" i="1"/>
  <c r="A748" i="1"/>
  <c r="C748" i="1"/>
  <c r="B748" i="1" s="1"/>
  <c r="F748" i="1"/>
  <c r="M748" i="1"/>
  <c r="O748" i="1"/>
  <c r="U748" i="1"/>
  <c r="Y748" i="1" s="1"/>
  <c r="V748" i="1"/>
  <c r="W748" i="1" s="1"/>
  <c r="Z748" i="1"/>
  <c r="A814" i="1"/>
  <c r="A815" i="1"/>
  <c r="C814" i="1"/>
  <c r="B814" i="1" s="1"/>
  <c r="C815" i="1"/>
  <c r="B815" i="1" s="1"/>
  <c r="F814" i="1"/>
  <c r="F815" i="1"/>
  <c r="M814" i="1"/>
  <c r="M815" i="1"/>
  <c r="O814" i="1"/>
  <c r="O815" i="1"/>
  <c r="U814" i="1"/>
  <c r="Y814" i="1" s="1"/>
  <c r="U815" i="1"/>
  <c r="Y815" i="1" s="1"/>
  <c r="V814" i="1"/>
  <c r="W814" i="1" s="1"/>
  <c r="V815" i="1"/>
  <c r="W815" i="1" s="1"/>
  <c r="Z814" i="1"/>
  <c r="Z815" i="1"/>
  <c r="A107" i="104"/>
  <c r="B107" i="104"/>
  <c r="C107" i="104"/>
  <c r="A106" i="104"/>
  <c r="B106" i="104"/>
  <c r="C106" i="104"/>
  <c r="A633" i="1"/>
  <c r="C633" i="1"/>
  <c r="B633" i="1" s="1"/>
  <c r="F633" i="1"/>
  <c r="M633" i="1"/>
  <c r="O633" i="1"/>
  <c r="U633" i="1"/>
  <c r="Y633" i="1" s="1"/>
  <c r="V633" i="1"/>
  <c r="W633" i="1" s="1"/>
  <c r="Z633" i="1"/>
  <c r="A957" i="1"/>
  <c r="C957" i="1"/>
  <c r="B957" i="1" s="1"/>
  <c r="F957" i="1"/>
  <c r="M957" i="1"/>
  <c r="O957" i="1"/>
  <c r="U957" i="1"/>
  <c r="Y957" i="1" s="1"/>
  <c r="V957" i="1"/>
  <c r="W957" i="1" s="1"/>
  <c r="Z957" i="1"/>
  <c r="A956" i="1"/>
  <c r="C956" i="1"/>
  <c r="B956" i="1" s="1"/>
  <c r="F956" i="1"/>
  <c r="M956" i="1"/>
  <c r="O956" i="1"/>
  <c r="U956" i="1"/>
  <c r="Y956" i="1" s="1"/>
  <c r="V956" i="1"/>
  <c r="W956" i="1" s="1"/>
  <c r="Z956" i="1"/>
  <c r="A980" i="1"/>
  <c r="C980" i="1"/>
  <c r="B980" i="1" s="1"/>
  <c r="F980" i="1"/>
  <c r="M980" i="1"/>
  <c r="O980" i="1"/>
  <c r="U980" i="1"/>
  <c r="Y980" i="1" s="1"/>
  <c r="V980" i="1"/>
  <c r="W980" i="1" s="1"/>
  <c r="Z980" i="1"/>
  <c r="A1022" i="1"/>
  <c r="C1022" i="1"/>
  <c r="B1022" i="1" s="1"/>
  <c r="F1022" i="1"/>
  <c r="M1022" i="1"/>
  <c r="O1022" i="1"/>
  <c r="T1022" i="1"/>
  <c r="U1022" i="1"/>
  <c r="Y1022" i="1" s="1"/>
  <c r="V1022" i="1"/>
  <c r="W1022" i="1" s="1"/>
  <c r="Z1022" i="1"/>
  <c r="A1075" i="1"/>
  <c r="C1075" i="1"/>
  <c r="B1075" i="1" s="1"/>
  <c r="F1075" i="1"/>
  <c r="M1075" i="1"/>
  <c r="O1075" i="1"/>
  <c r="U1075" i="1"/>
  <c r="Y1075" i="1" s="1"/>
  <c r="V1075" i="1"/>
  <c r="W1075" i="1" s="1"/>
  <c r="Z1075" i="1"/>
  <c r="A1180" i="1"/>
  <c r="C1180" i="1"/>
  <c r="B1180" i="1" s="1"/>
  <c r="F1180" i="1"/>
  <c r="M1180" i="1"/>
  <c r="O1180" i="1"/>
  <c r="U1180" i="1"/>
  <c r="Y1180" i="1" s="1"/>
  <c r="V1180" i="1"/>
  <c r="W1180" i="1" s="1"/>
  <c r="Z1180" i="1"/>
  <c r="A1179" i="1"/>
  <c r="C1179" i="1"/>
  <c r="B1179" i="1" s="1"/>
  <c r="F1179" i="1"/>
  <c r="M1179" i="1"/>
  <c r="O1179" i="1"/>
  <c r="U1179" i="1"/>
  <c r="Y1179" i="1" s="1"/>
  <c r="V1179" i="1"/>
  <c r="W1179" i="1" s="1"/>
  <c r="Z1179" i="1"/>
  <c r="A1192" i="1"/>
  <c r="C1192" i="1"/>
  <c r="B1192" i="1" s="1"/>
  <c r="F1192" i="1"/>
  <c r="M1192" i="1"/>
  <c r="O1192" i="1"/>
  <c r="U1192" i="1"/>
  <c r="Y1192" i="1" s="1"/>
  <c r="V1192" i="1"/>
  <c r="W1192" i="1" s="1"/>
  <c r="Z1192" i="1"/>
  <c r="A1227" i="1"/>
  <c r="C1227" i="1"/>
  <c r="B1227" i="1" s="1"/>
  <c r="F1227" i="1"/>
  <c r="M1227" i="1"/>
  <c r="O1227" i="1"/>
  <c r="U1227" i="1"/>
  <c r="Y1227" i="1" s="1"/>
  <c r="V1227" i="1"/>
  <c r="W1227" i="1" s="1"/>
  <c r="Z1227" i="1"/>
  <c r="A1020" i="1"/>
  <c r="C1020" i="1"/>
  <c r="B1020" i="1" s="1"/>
  <c r="F1020" i="1"/>
  <c r="M1020" i="1"/>
  <c r="O1020" i="1"/>
  <c r="U1020" i="1"/>
  <c r="Y1020" i="1" s="1"/>
  <c r="V1020" i="1"/>
  <c r="W1020" i="1" s="1"/>
  <c r="Z1020" i="1"/>
  <c r="A174" i="1"/>
  <c r="C174" i="1"/>
  <c r="B174" i="1" s="1"/>
  <c r="F174" i="1"/>
  <c r="M174" i="1"/>
  <c r="O174" i="1"/>
  <c r="U174" i="1"/>
  <c r="Y174" i="1" s="1"/>
  <c r="V174" i="1"/>
  <c r="W174" i="1" s="1"/>
  <c r="Z174" i="1"/>
  <c r="A173" i="1"/>
  <c r="C173" i="1"/>
  <c r="B173" i="1" s="1"/>
  <c r="F173" i="1"/>
  <c r="M173" i="1"/>
  <c r="O173" i="1"/>
  <c r="U173" i="1"/>
  <c r="Y173" i="1" s="1"/>
  <c r="V173" i="1"/>
  <c r="W173" i="1" s="1"/>
  <c r="Z173" i="1"/>
  <c r="A171" i="1"/>
  <c r="C171" i="1"/>
  <c r="B171" i="1" s="1"/>
  <c r="F171" i="1"/>
  <c r="M171" i="1"/>
  <c r="O171" i="1"/>
  <c r="U171" i="1"/>
  <c r="Y171" i="1" s="1"/>
  <c r="V171" i="1"/>
  <c r="W171" i="1" s="1"/>
  <c r="Z171" i="1"/>
  <c r="A495" i="1"/>
  <c r="A496" i="1"/>
  <c r="C495" i="1"/>
  <c r="B495" i="1" s="1"/>
  <c r="C496" i="1"/>
  <c r="B496" i="1" s="1"/>
  <c r="F495" i="1"/>
  <c r="F496" i="1"/>
  <c r="M495" i="1"/>
  <c r="M496" i="1"/>
  <c r="U495" i="1"/>
  <c r="Y495" i="1" s="1"/>
  <c r="U496" i="1"/>
  <c r="Y496" i="1" s="1"/>
  <c r="V495" i="1"/>
  <c r="W495" i="1" s="1"/>
  <c r="V496" i="1"/>
  <c r="W496" i="1" s="1"/>
  <c r="Z495" i="1"/>
  <c r="Z496" i="1"/>
  <c r="O496" i="1"/>
  <c r="O495" i="1"/>
  <c r="I72" i="104"/>
  <c r="I73" i="104"/>
  <c r="A73" i="104"/>
  <c r="B73" i="104"/>
  <c r="C73" i="104"/>
  <c r="A72" i="104"/>
  <c r="B72" i="104"/>
  <c r="C72" i="104"/>
  <c r="A172" i="1"/>
  <c r="C172" i="1"/>
  <c r="B172" i="1" s="1"/>
  <c r="F172" i="1"/>
  <c r="M172" i="1"/>
  <c r="O172" i="1"/>
  <c r="U172" i="1"/>
  <c r="Y172" i="1" s="1"/>
  <c r="V172" i="1"/>
  <c r="W172" i="1" s="1"/>
  <c r="Z172" i="1"/>
  <c r="A663" i="1"/>
  <c r="C663" i="1"/>
  <c r="B663" i="1" s="1"/>
  <c r="F663" i="1"/>
  <c r="M663" i="1"/>
  <c r="O663" i="1"/>
  <c r="T663" i="1"/>
  <c r="U663" i="1"/>
  <c r="Y663" i="1" s="1"/>
  <c r="V663" i="1"/>
  <c r="W663" i="1" s="1"/>
  <c r="Z663" i="1"/>
  <c r="A802" i="1"/>
  <c r="C802" i="1"/>
  <c r="B802" i="1" s="1"/>
  <c r="F802" i="1"/>
  <c r="M802" i="1"/>
  <c r="O802" i="1"/>
  <c r="T802" i="1"/>
  <c r="U802" i="1"/>
  <c r="V802" i="1"/>
  <c r="W802" i="1" s="1"/>
  <c r="Z802" i="1"/>
  <c r="A801" i="1"/>
  <c r="C801" i="1"/>
  <c r="B801" i="1" s="1"/>
  <c r="F801" i="1"/>
  <c r="M801" i="1"/>
  <c r="O801" i="1"/>
  <c r="S801" i="1"/>
  <c r="T801" i="1"/>
  <c r="U801" i="1"/>
  <c r="V801" i="1"/>
  <c r="W801" i="1" s="1"/>
  <c r="Z801" i="1"/>
  <c r="C15" i="16" l="1"/>
  <c r="R753" i="1"/>
  <c r="D881" i="1" s="1"/>
  <c r="R770" i="1"/>
  <c r="R767" i="1"/>
  <c r="D767" i="1" s="1"/>
  <c r="R768" i="1"/>
  <c r="R842" i="1"/>
  <c r="R769" i="1"/>
  <c r="T499" i="1"/>
  <c r="T500" i="1"/>
  <c r="T498" i="1"/>
  <c r="T765" i="1"/>
  <c r="T311" i="1"/>
  <c r="T628" i="1"/>
  <c r="T266" i="1"/>
  <c r="T349" i="1"/>
  <c r="X73" i="1"/>
  <c r="X75" i="1"/>
  <c r="X76" i="1"/>
  <c r="X74" i="1"/>
  <c r="X72" i="1"/>
  <c r="T74" i="1"/>
  <c r="X195" i="1"/>
  <c r="T72" i="1"/>
  <c r="X167" i="1"/>
  <c r="X334" i="1"/>
  <c r="X170" i="1"/>
  <c r="P170" i="1" s="1"/>
  <c r="T930" i="1"/>
  <c r="X311" i="1"/>
  <c r="X347" i="1"/>
  <c r="X222" i="1"/>
  <c r="X348" i="1"/>
  <c r="X498" i="1"/>
  <c r="X28" i="1"/>
  <c r="T433" i="1"/>
  <c r="X27" i="1"/>
  <c r="X433" i="1"/>
  <c r="T539" i="1"/>
  <c r="T289" i="1"/>
  <c r="X349" i="1"/>
  <c r="X266" i="1"/>
  <c r="T27" i="1"/>
  <c r="X289" i="1"/>
  <c r="X539" i="1"/>
  <c r="X497" i="1"/>
  <c r="X930" i="1"/>
  <c r="X499" i="1"/>
  <c r="T747" i="1"/>
  <c r="T629" i="1"/>
  <c r="X500" i="1"/>
  <c r="X629" i="1"/>
  <c r="X642" i="1"/>
  <c r="T748" i="1"/>
  <c r="Y500" i="1"/>
  <c r="T693" i="1"/>
  <c r="T684" i="1"/>
  <c r="X628" i="1"/>
  <c r="X640" i="1"/>
  <c r="T640" i="1"/>
  <c r="T642" i="1"/>
  <c r="X662" i="1"/>
  <c r="T956" i="1"/>
  <c r="X684" i="1"/>
  <c r="T662" i="1"/>
  <c r="T633" i="1"/>
  <c r="T749" i="1"/>
  <c r="T692" i="1"/>
  <c r="T814" i="1"/>
  <c r="T685" i="1"/>
  <c r="X685" i="1"/>
  <c r="X693" i="1"/>
  <c r="X694" i="1"/>
  <c r="T694" i="1"/>
  <c r="T883" i="1"/>
  <c r="X692" i="1"/>
  <c r="X765" i="1"/>
  <c r="X883" i="1"/>
  <c r="T957" i="1"/>
  <c r="X747" i="1"/>
  <c r="X749" i="1"/>
  <c r="T1075" i="1"/>
  <c r="X815" i="1"/>
  <c r="X633" i="1"/>
  <c r="X748" i="1"/>
  <c r="T815" i="1"/>
  <c r="X814" i="1"/>
  <c r="X957" i="1"/>
  <c r="X980" i="1"/>
  <c r="P980" i="1" s="1"/>
  <c r="X956" i="1"/>
  <c r="T1192" i="1"/>
  <c r="T1179" i="1"/>
  <c r="T980" i="1"/>
  <c r="X1022" i="1"/>
  <c r="X1075" i="1"/>
  <c r="T1180" i="1"/>
  <c r="X1180" i="1"/>
  <c r="X1179" i="1"/>
  <c r="X1192" i="1"/>
  <c r="T1227" i="1"/>
  <c r="X1227" i="1"/>
  <c r="T1020" i="1"/>
  <c r="X1020" i="1"/>
  <c r="X174" i="1"/>
  <c r="T174" i="1"/>
  <c r="X173" i="1"/>
  <c r="T173" i="1"/>
  <c r="X171" i="1"/>
  <c r="T171" i="1"/>
  <c r="T495" i="1"/>
  <c r="X496" i="1"/>
  <c r="T496" i="1"/>
  <c r="X495" i="1"/>
  <c r="T172" i="1"/>
  <c r="X172" i="1"/>
  <c r="X663" i="1"/>
  <c r="X802" i="1"/>
  <c r="Y802" i="1"/>
  <c r="X801" i="1"/>
  <c r="Y801" i="1"/>
  <c r="P498" i="1" l="1"/>
  <c r="Q498" i="1" s="1"/>
  <c r="D753" i="1"/>
  <c r="D842" i="1"/>
  <c r="P495" i="1"/>
  <c r="P1180" i="1"/>
  <c r="P883" i="1"/>
  <c r="P930" i="1"/>
  <c r="P28" i="1"/>
  <c r="P663" i="1"/>
  <c r="P174" i="1"/>
  <c r="Q980" i="1"/>
  <c r="P748" i="1"/>
  <c r="P749" i="1"/>
  <c r="P765" i="1"/>
  <c r="P694" i="1"/>
  <c r="P642" i="1"/>
  <c r="P497" i="1"/>
  <c r="P266" i="1"/>
  <c r="P433" i="1"/>
  <c r="P311" i="1"/>
  <c r="P167" i="1"/>
  <c r="P72" i="1"/>
  <c r="P73" i="1"/>
  <c r="P1227" i="1"/>
  <c r="P662" i="1"/>
  <c r="P334" i="1"/>
  <c r="P801" i="1"/>
  <c r="P496" i="1"/>
  <c r="P1020" i="1"/>
  <c r="P1192" i="1"/>
  <c r="P1075" i="1"/>
  <c r="P957" i="1"/>
  <c r="P633" i="1"/>
  <c r="P747" i="1"/>
  <c r="P692" i="1"/>
  <c r="P693" i="1"/>
  <c r="P684" i="1"/>
  <c r="P539" i="1"/>
  <c r="P349" i="1"/>
  <c r="P27" i="1"/>
  <c r="P348" i="1"/>
  <c r="P74" i="1"/>
  <c r="P802" i="1"/>
  <c r="P956" i="1"/>
  <c r="P628" i="1"/>
  <c r="P347" i="1"/>
  <c r="P75" i="1"/>
  <c r="P171" i="1"/>
  <c r="P172" i="1"/>
  <c r="P173" i="1"/>
  <c r="P1179" i="1"/>
  <c r="P1022" i="1"/>
  <c r="P814" i="1"/>
  <c r="P815" i="1"/>
  <c r="P685" i="1"/>
  <c r="P640" i="1"/>
  <c r="P629" i="1"/>
  <c r="P499" i="1"/>
  <c r="Q499" i="1" s="1"/>
  <c r="P289" i="1"/>
  <c r="P222" i="1"/>
  <c r="Q170" i="1"/>
  <c r="P195" i="1"/>
  <c r="P76" i="1"/>
  <c r="D72" i="1"/>
  <c r="D73" i="1"/>
  <c r="D74" i="1"/>
  <c r="D75" i="1"/>
  <c r="P500" i="1"/>
  <c r="A664" i="1"/>
  <c r="C664" i="1"/>
  <c r="B664" i="1" s="1"/>
  <c r="F664" i="1"/>
  <c r="M664" i="1"/>
  <c r="O664" i="1"/>
  <c r="U664" i="1"/>
  <c r="Y664" i="1" s="1"/>
  <c r="V664" i="1"/>
  <c r="W664" i="1" s="1"/>
  <c r="Z664" i="1"/>
  <c r="A1093" i="1"/>
  <c r="C1093" i="1"/>
  <c r="B1093" i="1" s="1"/>
  <c r="F1093" i="1"/>
  <c r="O1093" i="1"/>
  <c r="S1093" i="1"/>
  <c r="T1093" i="1"/>
  <c r="U1093" i="1"/>
  <c r="Y1093" i="1" s="1"/>
  <c r="V1093" i="1"/>
  <c r="W1093" i="1" s="1"/>
  <c r="Z1093" i="1"/>
  <c r="E602" i="6"/>
  <c r="I602" i="6"/>
  <c r="J602" i="6"/>
  <c r="A324" i="1"/>
  <c r="C324" i="1"/>
  <c r="B324" i="1" s="1"/>
  <c r="F324" i="1"/>
  <c r="M324" i="1"/>
  <c r="O324" i="1"/>
  <c r="T324" i="1"/>
  <c r="U324" i="1"/>
  <c r="Y324" i="1" s="1"/>
  <c r="V324" i="1"/>
  <c r="W324" i="1" s="1"/>
  <c r="Z324" i="1"/>
  <c r="A323" i="1"/>
  <c r="C323" i="1"/>
  <c r="B323" i="1" s="1"/>
  <c r="F323" i="1"/>
  <c r="M323" i="1"/>
  <c r="O323" i="1"/>
  <c r="U323" i="1"/>
  <c r="Y323" i="1" s="1"/>
  <c r="V323" i="1"/>
  <c r="W323" i="1" s="1"/>
  <c r="Z323" i="1"/>
  <c r="A248" i="1"/>
  <c r="C248" i="1"/>
  <c r="B248" i="1" s="1"/>
  <c r="F248" i="1"/>
  <c r="M248" i="1"/>
  <c r="O248" i="1"/>
  <c r="T248" i="1"/>
  <c r="U248" i="1"/>
  <c r="Y248" i="1" s="1"/>
  <c r="V248" i="1"/>
  <c r="W248" i="1" s="1"/>
  <c r="Z248" i="1"/>
  <c r="A168" i="1"/>
  <c r="C168" i="1"/>
  <c r="B168" i="1" s="1"/>
  <c r="F168" i="1"/>
  <c r="M168" i="1"/>
  <c r="O168" i="1"/>
  <c r="S168" i="1"/>
  <c r="T168" i="1"/>
  <c r="U168" i="1"/>
  <c r="Y168" i="1" s="1"/>
  <c r="V168" i="1"/>
  <c r="W168" i="1" s="1"/>
  <c r="Z168" i="1"/>
  <c r="A235" i="1"/>
  <c r="C235" i="1"/>
  <c r="B235" i="1" s="1"/>
  <c r="F235" i="1"/>
  <c r="M235" i="1"/>
  <c r="O235" i="1"/>
  <c r="T235" i="1"/>
  <c r="U235" i="1"/>
  <c r="Y235" i="1" s="1"/>
  <c r="V235" i="1"/>
  <c r="W235" i="1" s="1"/>
  <c r="Z235" i="1"/>
  <c r="A1155" i="1"/>
  <c r="C1155" i="1"/>
  <c r="B1155" i="1" s="1"/>
  <c r="D1155" i="1"/>
  <c r="F1155" i="1"/>
  <c r="M1155" i="1"/>
  <c r="O1155" i="1"/>
  <c r="S1155" i="1"/>
  <c r="T1155" i="1"/>
  <c r="U1155" i="1"/>
  <c r="Y1155" i="1" s="1"/>
  <c r="V1155" i="1"/>
  <c r="W1155" i="1" s="1"/>
  <c r="Z1155" i="1"/>
  <c r="E513" i="6"/>
  <c r="F513" i="6"/>
  <c r="I513" i="6"/>
  <c r="J513" i="6"/>
  <c r="E305" i="6"/>
  <c r="F305" i="6"/>
  <c r="I305" i="6"/>
  <c r="J305" i="6"/>
  <c r="E49" i="6"/>
  <c r="F49" i="6"/>
  <c r="I49" i="6"/>
  <c r="J49" i="6"/>
  <c r="E145" i="6"/>
  <c r="I145" i="6"/>
  <c r="J145" i="6"/>
  <c r="E283" i="6"/>
  <c r="F283" i="6"/>
  <c r="I283" i="6"/>
  <c r="J283" i="6"/>
  <c r="E37" i="6"/>
  <c r="F37" i="6"/>
  <c r="I37" i="6"/>
  <c r="J37" i="6"/>
  <c r="E89" i="6"/>
  <c r="F89" i="6"/>
  <c r="I89" i="6"/>
  <c r="J89" i="6"/>
  <c r="E214" i="6"/>
  <c r="I214" i="6"/>
  <c r="J214" i="6"/>
  <c r="Q500" i="1" l="1"/>
  <c r="Q76" i="1"/>
  <c r="R170" i="1"/>
  <c r="Q289" i="1"/>
  <c r="Q629" i="1"/>
  <c r="Q685" i="1"/>
  <c r="Q814" i="1"/>
  <c r="R814" i="1" s="1"/>
  <c r="Q1179" i="1"/>
  <c r="Q172" i="1"/>
  <c r="Q75" i="1"/>
  <c r="Q628" i="1"/>
  <c r="Q802" i="1"/>
  <c r="Q348" i="1"/>
  <c r="Q349" i="1"/>
  <c r="R498" i="1"/>
  <c r="Q693" i="1"/>
  <c r="Q747" i="1"/>
  <c r="Q957" i="1"/>
  <c r="Q1192" i="1"/>
  <c r="Q496" i="1"/>
  <c r="Q334" i="1"/>
  <c r="Q1227" i="1"/>
  <c r="Q72" i="1"/>
  <c r="Q311" i="1"/>
  <c r="Q266" i="1"/>
  <c r="Q642" i="1"/>
  <c r="Q765" i="1"/>
  <c r="Q748" i="1"/>
  <c r="Q174" i="1"/>
  <c r="Q28" i="1"/>
  <c r="Q883" i="1"/>
  <c r="Q495" i="1"/>
  <c r="Q195" i="1"/>
  <c r="Q222" i="1"/>
  <c r="R499" i="1"/>
  <c r="Q640" i="1"/>
  <c r="Q815" i="1"/>
  <c r="Q1022" i="1"/>
  <c r="Q173" i="1"/>
  <c r="Q171" i="1"/>
  <c r="Q347" i="1"/>
  <c r="Q956" i="1"/>
  <c r="Q74" i="1"/>
  <c r="Q27" i="1"/>
  <c r="Q539" i="1"/>
  <c r="Q684" i="1"/>
  <c r="Q692" i="1"/>
  <c r="Q633" i="1"/>
  <c r="Q1075" i="1"/>
  <c r="Q1020" i="1"/>
  <c r="Q801" i="1"/>
  <c r="Q662" i="1"/>
  <c r="Q73" i="1"/>
  <c r="Q167" i="1"/>
  <c r="Q433" i="1"/>
  <c r="Q497" i="1"/>
  <c r="Q694" i="1"/>
  <c r="Q749" i="1"/>
  <c r="R980" i="1"/>
  <c r="Q663" i="1"/>
  <c r="Q930" i="1"/>
  <c r="Q1180" i="1"/>
  <c r="T664" i="1"/>
  <c r="X664" i="1"/>
  <c r="X1093" i="1"/>
  <c r="R1093" i="1"/>
  <c r="D1093" i="1" s="1"/>
  <c r="X324" i="1"/>
  <c r="X323" i="1"/>
  <c r="T323" i="1"/>
  <c r="X248" i="1"/>
  <c r="X168" i="1"/>
  <c r="X235" i="1"/>
  <c r="X1155" i="1"/>
  <c r="P1155" i="1" s="1"/>
  <c r="Q1155" i="1" l="1"/>
  <c r="P1093" i="1"/>
  <c r="R1180" i="1"/>
  <c r="R663" i="1"/>
  <c r="R749" i="1"/>
  <c r="R497" i="1"/>
  <c r="R167" i="1"/>
  <c r="R662" i="1"/>
  <c r="D669" i="1" s="1"/>
  <c r="R1020" i="1"/>
  <c r="R633" i="1"/>
  <c r="D893" i="1" s="1"/>
  <c r="R684" i="1"/>
  <c r="R27" i="1"/>
  <c r="R956" i="1"/>
  <c r="R171" i="1"/>
  <c r="R1022" i="1"/>
  <c r="D1022" i="1" s="1"/>
  <c r="R640" i="1"/>
  <c r="R222" i="1"/>
  <c r="D222" i="1" s="1"/>
  <c r="R495" i="1"/>
  <c r="R28" i="1"/>
  <c r="R748" i="1"/>
  <c r="R642" i="1"/>
  <c r="R311" i="1"/>
  <c r="R1227" i="1"/>
  <c r="R496" i="1"/>
  <c r="R957" i="1"/>
  <c r="R693" i="1"/>
  <c r="R349" i="1"/>
  <c r="R802" i="1"/>
  <c r="D802" i="1" s="1"/>
  <c r="R75" i="1"/>
  <c r="R1179" i="1"/>
  <c r="R685" i="1"/>
  <c r="R289" i="1"/>
  <c r="R76" i="1"/>
  <c r="D76" i="1" s="1"/>
  <c r="P248" i="1"/>
  <c r="P235" i="1"/>
  <c r="P323" i="1"/>
  <c r="P664" i="1"/>
  <c r="P168" i="1"/>
  <c r="P324" i="1"/>
  <c r="R930" i="1"/>
  <c r="R694" i="1"/>
  <c r="R433" i="1"/>
  <c r="R73" i="1"/>
  <c r="R801" i="1"/>
  <c r="D801" i="1" s="1"/>
  <c r="R1075" i="1"/>
  <c r="D892" i="1" s="1"/>
  <c r="R692" i="1"/>
  <c r="R539" i="1"/>
  <c r="R74" i="1"/>
  <c r="R347" i="1"/>
  <c r="R173" i="1"/>
  <c r="R815" i="1"/>
  <c r="R195" i="1"/>
  <c r="D195" i="1" s="1"/>
  <c r="R883" i="1"/>
  <c r="R174" i="1"/>
  <c r="R765" i="1"/>
  <c r="R266" i="1"/>
  <c r="R72" i="1"/>
  <c r="R334" i="1"/>
  <c r="D334" i="1" s="1"/>
  <c r="R1192" i="1"/>
  <c r="R747" i="1"/>
  <c r="R348" i="1"/>
  <c r="R628" i="1"/>
  <c r="R172" i="1"/>
  <c r="R629" i="1"/>
  <c r="R500" i="1"/>
  <c r="A773" i="1"/>
  <c r="C773" i="1"/>
  <c r="B773" i="1" s="1"/>
  <c r="F773" i="1"/>
  <c r="M773" i="1"/>
  <c r="O773" i="1"/>
  <c r="T773" i="1"/>
  <c r="U773" i="1"/>
  <c r="Y773" i="1" s="1"/>
  <c r="V773" i="1"/>
  <c r="W773" i="1" s="1"/>
  <c r="Z773" i="1"/>
  <c r="A772" i="1"/>
  <c r="C772" i="1"/>
  <c r="B772" i="1" s="1"/>
  <c r="F772" i="1"/>
  <c r="M772" i="1"/>
  <c r="O772" i="1"/>
  <c r="U772" i="1"/>
  <c r="V772" i="1"/>
  <c r="W772" i="1" s="1"/>
  <c r="Z772" i="1"/>
  <c r="A552" i="1"/>
  <c r="C552" i="1"/>
  <c r="B552" i="1" s="1"/>
  <c r="F552" i="1"/>
  <c r="O552" i="1"/>
  <c r="T552" i="1"/>
  <c r="U552" i="1"/>
  <c r="Y552" i="1" s="1"/>
  <c r="V552" i="1"/>
  <c r="W552" i="1" s="1"/>
  <c r="Z552" i="1"/>
  <c r="C5" i="16" l="1"/>
  <c r="D665" i="1"/>
  <c r="D668" i="1"/>
  <c r="D1182" i="1"/>
  <c r="D29" i="1"/>
  <c r="D1228" i="1"/>
  <c r="D1229" i="1"/>
  <c r="D686" i="1"/>
  <c r="D666" i="1"/>
  <c r="D667" i="1"/>
  <c r="D505" i="1"/>
  <c r="D1249" i="1"/>
  <c r="D498" i="1"/>
  <c r="D959" i="1"/>
  <c r="D958" i="1"/>
  <c r="D695" i="1"/>
  <c r="D696" i="1"/>
  <c r="D184" i="1"/>
  <c r="D692" i="1"/>
  <c r="D693" i="1"/>
  <c r="D694" i="1"/>
  <c r="Q168" i="1"/>
  <c r="Q323" i="1"/>
  <c r="Q248" i="1"/>
  <c r="D503" i="1"/>
  <c r="D497" i="1"/>
  <c r="D502" i="1"/>
  <c r="D496" i="1"/>
  <c r="D501" i="1"/>
  <c r="D500" i="1"/>
  <c r="D504" i="1"/>
  <c r="D499" i="1"/>
  <c r="D495" i="1"/>
  <c r="D640" i="1"/>
  <c r="D178" i="1"/>
  <c r="D170" i="1"/>
  <c r="D180" i="1"/>
  <c r="D179" i="1"/>
  <c r="D167" i="1"/>
  <c r="D176" i="1"/>
  <c r="D175" i="1"/>
  <c r="D174" i="1"/>
  <c r="D177" i="1"/>
  <c r="D181" i="1"/>
  <c r="D171" i="1"/>
  <c r="D173" i="1"/>
  <c r="D28" i="1"/>
  <c r="D27" i="1"/>
  <c r="D814" i="1"/>
  <c r="D815" i="1"/>
  <c r="D628" i="1"/>
  <c r="D629" i="1"/>
  <c r="D433" i="1"/>
  <c r="D1192" i="1"/>
  <c r="D883" i="1"/>
  <c r="D539" i="1"/>
  <c r="Q324" i="1"/>
  <c r="Q664" i="1"/>
  <c r="Q235" i="1"/>
  <c r="D348" i="1"/>
  <c r="D349" i="1"/>
  <c r="D347" i="1"/>
  <c r="D642" i="1"/>
  <c r="D956" i="1"/>
  <c r="D957" i="1"/>
  <c r="D685" i="1"/>
  <c r="D684" i="1"/>
  <c r="D1020" i="1"/>
  <c r="R1155" i="1"/>
  <c r="X773" i="1"/>
  <c r="X772" i="1"/>
  <c r="T772" i="1"/>
  <c r="Y772" i="1"/>
  <c r="X552" i="1"/>
  <c r="R664" i="1" l="1"/>
  <c r="R323" i="1"/>
  <c r="D323" i="1" s="1"/>
  <c r="P552" i="1"/>
  <c r="P773" i="1"/>
  <c r="R235" i="1"/>
  <c r="D235" i="1" s="1"/>
  <c r="R324" i="1"/>
  <c r="D324" i="1" s="1"/>
  <c r="R248" i="1"/>
  <c r="D248" i="1" s="1"/>
  <c r="R168" i="1"/>
  <c r="P772" i="1"/>
  <c r="D772" i="1"/>
  <c r="D773" i="1"/>
  <c r="Q773" i="1" l="1"/>
  <c r="Q772" i="1"/>
  <c r="Q552" i="1"/>
  <c r="A416" i="1"/>
  <c r="C416" i="1"/>
  <c r="B416" i="1" s="1"/>
  <c r="F416" i="1"/>
  <c r="M416" i="1"/>
  <c r="O416" i="1"/>
  <c r="U416" i="1"/>
  <c r="Y416" i="1" s="1"/>
  <c r="V416" i="1"/>
  <c r="W416" i="1" s="1"/>
  <c r="Z416" i="1"/>
  <c r="A1226" i="1"/>
  <c r="C1226" i="1"/>
  <c r="B1226" i="1" s="1"/>
  <c r="F1226" i="1"/>
  <c r="M1226" i="1"/>
  <c r="O1226" i="1"/>
  <c r="T1226" i="1"/>
  <c r="U1226" i="1"/>
  <c r="Y1226" i="1" s="1"/>
  <c r="V1226" i="1"/>
  <c r="W1226" i="1" s="1"/>
  <c r="Z1226" i="1"/>
  <c r="A928" i="1"/>
  <c r="A929" i="1"/>
  <c r="C928" i="1"/>
  <c r="B928" i="1" s="1"/>
  <c r="C929" i="1"/>
  <c r="B929" i="1" s="1"/>
  <c r="F928" i="1"/>
  <c r="F929" i="1"/>
  <c r="M929" i="1"/>
  <c r="O928" i="1"/>
  <c r="O929" i="1"/>
  <c r="U928" i="1"/>
  <c r="Y928" i="1" s="1"/>
  <c r="U929" i="1"/>
  <c r="Y929" i="1" s="1"/>
  <c r="V928" i="1"/>
  <c r="W928" i="1" s="1"/>
  <c r="V929" i="1"/>
  <c r="W929" i="1" s="1"/>
  <c r="Z928" i="1"/>
  <c r="Z929" i="1"/>
  <c r="A927" i="1"/>
  <c r="C927" i="1"/>
  <c r="B927" i="1" s="1"/>
  <c r="F927" i="1"/>
  <c r="M927" i="1"/>
  <c r="O927" i="1"/>
  <c r="U927" i="1"/>
  <c r="Y927" i="1" s="1"/>
  <c r="V927" i="1"/>
  <c r="W927" i="1" s="1"/>
  <c r="Z927" i="1"/>
  <c r="A878" i="1"/>
  <c r="C878" i="1"/>
  <c r="B878" i="1" s="1"/>
  <c r="F878" i="1"/>
  <c r="M878" i="1"/>
  <c r="O878" i="1"/>
  <c r="U878" i="1"/>
  <c r="Y878" i="1" s="1"/>
  <c r="V878" i="1"/>
  <c r="W878" i="1" s="1"/>
  <c r="Z878" i="1"/>
  <c r="A879" i="1"/>
  <c r="C879" i="1"/>
  <c r="B879" i="1" s="1"/>
  <c r="F879" i="1"/>
  <c r="M879" i="1"/>
  <c r="O879" i="1"/>
  <c r="U879" i="1"/>
  <c r="Y879" i="1" s="1"/>
  <c r="V879" i="1"/>
  <c r="W879" i="1" s="1"/>
  <c r="Z879" i="1"/>
  <c r="A788" i="1"/>
  <c r="C788" i="1"/>
  <c r="B788" i="1" s="1"/>
  <c r="F788" i="1"/>
  <c r="M788" i="1"/>
  <c r="O788" i="1"/>
  <c r="U788" i="1"/>
  <c r="Y788" i="1" s="1"/>
  <c r="V788" i="1"/>
  <c r="W788" i="1" s="1"/>
  <c r="Z788" i="1"/>
  <c r="A746" i="1"/>
  <c r="C746" i="1"/>
  <c r="B746" i="1" s="1"/>
  <c r="F746" i="1"/>
  <c r="M746" i="1"/>
  <c r="O746" i="1"/>
  <c r="U746" i="1"/>
  <c r="Y746" i="1" s="1"/>
  <c r="V746" i="1"/>
  <c r="W746" i="1" s="1"/>
  <c r="Z746" i="1"/>
  <c r="A744" i="1"/>
  <c r="C744" i="1"/>
  <c r="B744" i="1" s="1"/>
  <c r="F744" i="1"/>
  <c r="M744" i="1"/>
  <c r="O744" i="1"/>
  <c r="U744" i="1"/>
  <c r="Y744" i="1" s="1"/>
  <c r="V744" i="1"/>
  <c r="W744" i="1" s="1"/>
  <c r="Z744" i="1"/>
  <c r="A745" i="1"/>
  <c r="C745" i="1"/>
  <c r="B745" i="1" s="1"/>
  <c r="F745" i="1"/>
  <c r="M745" i="1"/>
  <c r="O745" i="1"/>
  <c r="U745" i="1"/>
  <c r="Y745" i="1" s="1"/>
  <c r="V745" i="1"/>
  <c r="W745" i="1" s="1"/>
  <c r="Z745" i="1"/>
  <c r="A764" i="1"/>
  <c r="C764" i="1"/>
  <c r="B764" i="1" s="1"/>
  <c r="F764" i="1"/>
  <c r="M764" i="1"/>
  <c r="O764" i="1"/>
  <c r="U764" i="1"/>
  <c r="Y764" i="1" s="1"/>
  <c r="V764" i="1"/>
  <c r="W764" i="1" s="1"/>
  <c r="Z764" i="1"/>
  <c r="A561" i="1"/>
  <c r="C561" i="1"/>
  <c r="B561" i="1" s="1"/>
  <c r="F561" i="1"/>
  <c r="M561" i="1"/>
  <c r="O561" i="1"/>
  <c r="U561" i="1"/>
  <c r="Y561" i="1" s="1"/>
  <c r="V561" i="1"/>
  <c r="W561" i="1" s="1"/>
  <c r="Z561" i="1"/>
  <c r="A423" i="1"/>
  <c r="C423" i="1"/>
  <c r="B423" i="1" s="1"/>
  <c r="F423" i="1"/>
  <c r="M423" i="1"/>
  <c r="O423" i="1"/>
  <c r="U423" i="1"/>
  <c r="Y423" i="1" s="1"/>
  <c r="V423" i="1"/>
  <c r="W423" i="1" s="1"/>
  <c r="Z423" i="1"/>
  <c r="A166" i="1"/>
  <c r="C166" i="1"/>
  <c r="B166" i="1" s="1"/>
  <c r="F166" i="1"/>
  <c r="M166" i="1"/>
  <c r="O166" i="1"/>
  <c r="T166" i="1"/>
  <c r="U166" i="1"/>
  <c r="Y166" i="1" s="1"/>
  <c r="V166" i="1"/>
  <c r="W166" i="1" s="1"/>
  <c r="Z166" i="1"/>
  <c r="A220" i="1"/>
  <c r="C220" i="1"/>
  <c r="B220" i="1" s="1"/>
  <c r="F220" i="1"/>
  <c r="M220" i="1"/>
  <c r="O220" i="1"/>
  <c r="T220" i="1"/>
  <c r="U220" i="1"/>
  <c r="Y220" i="1" s="1"/>
  <c r="V220" i="1"/>
  <c r="W220" i="1" s="1"/>
  <c r="Z220" i="1"/>
  <c r="A221" i="1"/>
  <c r="C221" i="1"/>
  <c r="B221" i="1" s="1"/>
  <c r="F221" i="1"/>
  <c r="M221" i="1"/>
  <c r="O221" i="1"/>
  <c r="T221" i="1"/>
  <c r="U221" i="1"/>
  <c r="Y221" i="1" s="1"/>
  <c r="V221" i="1"/>
  <c r="W221" i="1" s="1"/>
  <c r="Z221" i="1"/>
  <c r="A265" i="1"/>
  <c r="C265" i="1"/>
  <c r="B265" i="1" s="1"/>
  <c r="F265" i="1"/>
  <c r="M265" i="1"/>
  <c r="O265" i="1"/>
  <c r="U265" i="1"/>
  <c r="Y265" i="1" s="1"/>
  <c r="V265" i="1"/>
  <c r="W265" i="1" s="1"/>
  <c r="Z265" i="1"/>
  <c r="A165" i="1"/>
  <c r="C165" i="1"/>
  <c r="B165" i="1" s="1"/>
  <c r="F165" i="1"/>
  <c r="M165" i="1"/>
  <c r="O165" i="1"/>
  <c r="T165" i="1"/>
  <c r="U165" i="1"/>
  <c r="Y165" i="1" s="1"/>
  <c r="V165" i="1"/>
  <c r="W165" i="1" s="1"/>
  <c r="Z165" i="1"/>
  <c r="A288" i="1"/>
  <c r="C288" i="1"/>
  <c r="B288" i="1" s="1"/>
  <c r="F288" i="1"/>
  <c r="M288" i="1"/>
  <c r="O288" i="1"/>
  <c r="U288" i="1"/>
  <c r="Y288" i="1" s="1"/>
  <c r="V288" i="1"/>
  <c r="W288" i="1" s="1"/>
  <c r="Z288" i="1"/>
  <c r="A274" i="1"/>
  <c r="C274" i="1"/>
  <c r="B274" i="1" s="1"/>
  <c r="F274" i="1"/>
  <c r="M274" i="1"/>
  <c r="O274" i="1"/>
  <c r="U274" i="1"/>
  <c r="Y274" i="1" s="1"/>
  <c r="V274" i="1"/>
  <c r="W274" i="1" s="1"/>
  <c r="Z274" i="1"/>
  <c r="A310" i="1"/>
  <c r="C310" i="1"/>
  <c r="B310" i="1" s="1"/>
  <c r="F310" i="1"/>
  <c r="M310" i="1"/>
  <c r="O310" i="1"/>
  <c r="U310" i="1"/>
  <c r="Y310" i="1" s="1"/>
  <c r="V310" i="1"/>
  <c r="W310" i="1" s="1"/>
  <c r="Z310" i="1"/>
  <c r="A400" i="1"/>
  <c r="C400" i="1"/>
  <c r="B400" i="1" s="1"/>
  <c r="F400" i="1"/>
  <c r="M400" i="1"/>
  <c r="O400" i="1"/>
  <c r="U400" i="1"/>
  <c r="Y400" i="1" s="1"/>
  <c r="V400" i="1"/>
  <c r="W400" i="1" s="1"/>
  <c r="Z400" i="1"/>
  <c r="A641" i="1"/>
  <c r="C641" i="1"/>
  <c r="B641" i="1" s="1"/>
  <c r="F641" i="1"/>
  <c r="M641" i="1"/>
  <c r="O641" i="1"/>
  <c r="T641" i="1"/>
  <c r="U641" i="1"/>
  <c r="Y641" i="1" s="1"/>
  <c r="V641" i="1"/>
  <c r="W641" i="1" s="1"/>
  <c r="Z641" i="1"/>
  <c r="A999" i="1"/>
  <c r="C999" i="1"/>
  <c r="B999" i="1" s="1"/>
  <c r="F999" i="1"/>
  <c r="M999" i="1"/>
  <c r="O999" i="1"/>
  <c r="T999" i="1"/>
  <c r="U999" i="1"/>
  <c r="Y999" i="1" s="1"/>
  <c r="V999" i="1"/>
  <c r="W999" i="1" s="1"/>
  <c r="Z999" i="1"/>
  <c r="A1060" i="1"/>
  <c r="C1060" i="1"/>
  <c r="B1060" i="1" s="1"/>
  <c r="F1060" i="1"/>
  <c r="M1060" i="1"/>
  <c r="O1060" i="1"/>
  <c r="T1060" i="1"/>
  <c r="U1060" i="1"/>
  <c r="Y1060" i="1" s="1"/>
  <c r="V1060" i="1"/>
  <c r="W1060" i="1" s="1"/>
  <c r="Z1060" i="1"/>
  <c r="A1059" i="1"/>
  <c r="C1059" i="1"/>
  <c r="B1059" i="1" s="1"/>
  <c r="F1059" i="1"/>
  <c r="M1059" i="1"/>
  <c r="O1059" i="1"/>
  <c r="T1059" i="1"/>
  <c r="U1059" i="1"/>
  <c r="V1059" i="1"/>
  <c r="W1059" i="1" s="1"/>
  <c r="Z1059" i="1"/>
  <c r="A760" i="1"/>
  <c r="C760" i="1"/>
  <c r="B760" i="1" s="1"/>
  <c r="D760" i="1"/>
  <c r="F760" i="1"/>
  <c r="M760" i="1"/>
  <c r="O760" i="1"/>
  <c r="S760" i="1"/>
  <c r="T760" i="1"/>
  <c r="U760" i="1"/>
  <c r="V760" i="1"/>
  <c r="W760" i="1" s="1"/>
  <c r="Z760" i="1"/>
  <c r="A759" i="1"/>
  <c r="C759" i="1"/>
  <c r="B759" i="1" s="1"/>
  <c r="F759" i="1"/>
  <c r="M759" i="1"/>
  <c r="O759" i="1"/>
  <c r="S759" i="1"/>
  <c r="T759" i="1"/>
  <c r="U759" i="1"/>
  <c r="V759" i="1"/>
  <c r="W759" i="1" s="1"/>
  <c r="Z759" i="1"/>
  <c r="R772" i="1" l="1"/>
  <c r="R552" i="1"/>
  <c r="D552" i="1" s="1"/>
  <c r="R773" i="1"/>
  <c r="T788" i="1"/>
  <c r="T561" i="1"/>
  <c r="T929" i="1"/>
  <c r="T416" i="1"/>
  <c r="X416" i="1"/>
  <c r="T879" i="1"/>
  <c r="X1226" i="1"/>
  <c r="T764" i="1"/>
  <c r="X928" i="1"/>
  <c r="T928" i="1"/>
  <c r="X929" i="1"/>
  <c r="T745" i="1"/>
  <c r="X746" i="1"/>
  <c r="T878" i="1"/>
  <c r="X927" i="1"/>
  <c r="T927" i="1"/>
  <c r="X879" i="1"/>
  <c r="X878" i="1"/>
  <c r="X744" i="1"/>
  <c r="X788" i="1"/>
  <c r="T746" i="1"/>
  <c r="T744" i="1"/>
  <c r="X745" i="1"/>
  <c r="X764" i="1"/>
  <c r="T265" i="1"/>
  <c r="T423" i="1"/>
  <c r="X561" i="1"/>
  <c r="X423" i="1"/>
  <c r="T288" i="1"/>
  <c r="T400" i="1"/>
  <c r="X166" i="1"/>
  <c r="T274" i="1"/>
  <c r="X221" i="1"/>
  <c r="X220" i="1"/>
  <c r="X265" i="1"/>
  <c r="T310" i="1"/>
  <c r="X288" i="1"/>
  <c r="X310" i="1"/>
  <c r="X165" i="1"/>
  <c r="X641" i="1"/>
  <c r="X400" i="1"/>
  <c r="X274" i="1"/>
  <c r="X999" i="1"/>
  <c r="X1060" i="1"/>
  <c r="X1059" i="1"/>
  <c r="Y1059" i="1"/>
  <c r="X760" i="1"/>
  <c r="X759" i="1"/>
  <c r="Y760" i="1"/>
  <c r="Y759" i="1"/>
  <c r="P999" i="1" l="1"/>
  <c r="P288" i="1"/>
  <c r="P879" i="1"/>
  <c r="P928" i="1"/>
  <c r="P416" i="1"/>
  <c r="P641" i="1"/>
  <c r="P423" i="1"/>
  <c r="P764" i="1"/>
  <c r="P788" i="1"/>
  <c r="P165" i="1"/>
  <c r="P265" i="1"/>
  <c r="P166" i="1"/>
  <c r="P561" i="1"/>
  <c r="P745" i="1"/>
  <c r="P744" i="1"/>
  <c r="P927" i="1"/>
  <c r="P929" i="1"/>
  <c r="P1226" i="1"/>
  <c r="P400" i="1"/>
  <c r="P221" i="1"/>
  <c r="P746" i="1"/>
  <c r="P1060" i="1"/>
  <c r="P274" i="1"/>
  <c r="P310" i="1"/>
  <c r="P220" i="1"/>
  <c r="P878" i="1"/>
  <c r="D265" i="1"/>
  <c r="D266" i="1"/>
  <c r="D221" i="1"/>
  <c r="D220" i="1"/>
  <c r="P1059" i="1"/>
  <c r="D1059" i="1"/>
  <c r="D1060" i="1"/>
  <c r="P759" i="1"/>
  <c r="P760" i="1"/>
  <c r="Q760" i="1" l="1"/>
  <c r="Q1059" i="1"/>
  <c r="Q878" i="1"/>
  <c r="Q310" i="1"/>
  <c r="Q1060" i="1"/>
  <c r="Q221" i="1"/>
  <c r="Q1226" i="1"/>
  <c r="Q927" i="1"/>
  <c r="Q745" i="1"/>
  <c r="Q166" i="1"/>
  <c r="Q165" i="1"/>
  <c r="Q764" i="1"/>
  <c r="Q641" i="1"/>
  <c r="Q928" i="1"/>
  <c r="Q288" i="1"/>
  <c r="Q759" i="1"/>
  <c r="Q220" i="1"/>
  <c r="Q274" i="1"/>
  <c r="Q746" i="1"/>
  <c r="Q400" i="1"/>
  <c r="Q929" i="1"/>
  <c r="Q744" i="1"/>
  <c r="Q561" i="1"/>
  <c r="Q265" i="1"/>
  <c r="Q788" i="1"/>
  <c r="Q423" i="1"/>
  <c r="Q416" i="1"/>
  <c r="Q879" i="1"/>
  <c r="Q999" i="1"/>
  <c r="A494" i="1"/>
  <c r="C494" i="1"/>
  <c r="B494" i="1" s="1"/>
  <c r="F494" i="1"/>
  <c r="M494" i="1"/>
  <c r="O494" i="1"/>
  <c r="U494" i="1"/>
  <c r="Y494" i="1" s="1"/>
  <c r="V494" i="1"/>
  <c r="W494" i="1" s="1"/>
  <c r="Z494" i="1"/>
  <c r="I71" i="104"/>
  <c r="A71" i="104"/>
  <c r="B71" i="104"/>
  <c r="C71" i="104"/>
  <c r="A832" i="1"/>
  <c r="C832" i="1"/>
  <c r="B832" i="1" s="1"/>
  <c r="D832" i="1"/>
  <c r="F832" i="1"/>
  <c r="M832" i="1"/>
  <c r="S832" i="1"/>
  <c r="T832" i="1"/>
  <c r="U832" i="1"/>
  <c r="Y832" i="1" s="1"/>
  <c r="V832" i="1"/>
  <c r="W832" i="1" s="1"/>
  <c r="Z832" i="1"/>
  <c r="A908" i="1"/>
  <c r="C908" i="1"/>
  <c r="B908" i="1" s="1"/>
  <c r="D908" i="1"/>
  <c r="F908" i="1"/>
  <c r="M908" i="1"/>
  <c r="O908" i="1"/>
  <c r="S908" i="1"/>
  <c r="T908" i="1"/>
  <c r="U908" i="1"/>
  <c r="Y908" i="1" s="1"/>
  <c r="V908" i="1"/>
  <c r="W908" i="1" s="1"/>
  <c r="Z908" i="1"/>
  <c r="A1106" i="1"/>
  <c r="C1106" i="1"/>
  <c r="B1106" i="1" s="1"/>
  <c r="D1106" i="1"/>
  <c r="F1106" i="1"/>
  <c r="M1106" i="1"/>
  <c r="O1106" i="1"/>
  <c r="S1106" i="1"/>
  <c r="T1106" i="1"/>
  <c r="U1106" i="1"/>
  <c r="V1106" i="1"/>
  <c r="W1106" i="1" s="1"/>
  <c r="Z1106" i="1"/>
  <c r="R999" i="1" l="1"/>
  <c r="D999" i="1" s="1"/>
  <c r="R416" i="1"/>
  <c r="D416" i="1" s="1"/>
  <c r="R788" i="1"/>
  <c r="R561" i="1"/>
  <c r="C10" i="16" s="1"/>
  <c r="C17" i="16" s="1"/>
  <c r="R929" i="1"/>
  <c r="D932" i="1" s="1"/>
  <c r="R746" i="1"/>
  <c r="R220" i="1"/>
  <c r="R759" i="1"/>
  <c r="D759" i="1" s="1"/>
  <c r="R928" i="1"/>
  <c r="R764" i="1"/>
  <c r="R166" i="1"/>
  <c r="R927" i="1"/>
  <c r="R221" i="1"/>
  <c r="R310" i="1"/>
  <c r="R1059" i="1"/>
  <c r="R879" i="1"/>
  <c r="R423" i="1"/>
  <c r="D423" i="1" s="1"/>
  <c r="R265" i="1"/>
  <c r="R744" i="1"/>
  <c r="R400" i="1"/>
  <c r="R274" i="1"/>
  <c r="D274" i="1" s="1"/>
  <c r="R288" i="1"/>
  <c r="R641" i="1"/>
  <c r="D641" i="1" s="1"/>
  <c r="R165" i="1"/>
  <c r="R745" i="1"/>
  <c r="D750" i="1" s="1"/>
  <c r="R1226" i="1"/>
  <c r="R1060" i="1"/>
  <c r="R878" i="1"/>
  <c r="R760" i="1"/>
  <c r="T494" i="1"/>
  <c r="X494" i="1"/>
  <c r="X1106" i="1"/>
  <c r="X832" i="1"/>
  <c r="X908" i="1"/>
  <c r="Y1106" i="1"/>
  <c r="D764" i="1" l="1"/>
  <c r="D765" i="1"/>
  <c r="P908" i="1"/>
  <c r="D288" i="1"/>
  <c r="D289" i="1"/>
  <c r="D931" i="1"/>
  <c r="D930" i="1"/>
  <c r="D927" i="1"/>
  <c r="D929" i="1"/>
  <c r="D928" i="1"/>
  <c r="P832" i="1"/>
  <c r="P494" i="1"/>
  <c r="P1106" i="1"/>
  <c r="A661" i="1"/>
  <c r="C661" i="1"/>
  <c r="B661" i="1" s="1"/>
  <c r="F661" i="1"/>
  <c r="M661" i="1"/>
  <c r="O661" i="1"/>
  <c r="U661" i="1"/>
  <c r="Y661" i="1" s="1"/>
  <c r="V661" i="1"/>
  <c r="W661" i="1" s="1"/>
  <c r="Z661" i="1"/>
  <c r="A660" i="1"/>
  <c r="C660" i="1"/>
  <c r="B660" i="1" s="1"/>
  <c r="F660" i="1"/>
  <c r="M660" i="1"/>
  <c r="O660" i="1"/>
  <c r="U660" i="1"/>
  <c r="Y660" i="1" s="1"/>
  <c r="V660" i="1"/>
  <c r="W660" i="1" s="1"/>
  <c r="Z660" i="1"/>
  <c r="A525" i="1"/>
  <c r="A493" i="1"/>
  <c r="C525" i="1"/>
  <c r="B525" i="1" s="1"/>
  <c r="C493" i="1"/>
  <c r="B493" i="1" s="1"/>
  <c r="F525" i="1"/>
  <c r="F493" i="1"/>
  <c r="M525" i="1"/>
  <c r="M493" i="1"/>
  <c r="O525" i="1"/>
  <c r="O493" i="1"/>
  <c r="T525" i="1"/>
  <c r="T493" i="1"/>
  <c r="U525" i="1"/>
  <c r="Y525" i="1" s="1"/>
  <c r="U493" i="1"/>
  <c r="Y493" i="1" s="1"/>
  <c r="V525" i="1"/>
  <c r="W525" i="1" s="1"/>
  <c r="V493" i="1"/>
  <c r="W493" i="1" s="1"/>
  <c r="Z525" i="1"/>
  <c r="Z493" i="1"/>
  <c r="I70" i="104"/>
  <c r="A70" i="104"/>
  <c r="B70" i="104"/>
  <c r="C70" i="104"/>
  <c r="I100" i="104"/>
  <c r="A100" i="104"/>
  <c r="B100" i="104"/>
  <c r="C100" i="104"/>
  <c r="A601" i="1"/>
  <c r="C601" i="1"/>
  <c r="B601" i="1" s="1"/>
  <c r="D601" i="1"/>
  <c r="F601" i="1"/>
  <c r="M601" i="1"/>
  <c r="O601" i="1"/>
  <c r="S601" i="1"/>
  <c r="T601" i="1"/>
  <c r="U601" i="1"/>
  <c r="Y601" i="1" s="1"/>
  <c r="V601" i="1"/>
  <c r="W601" i="1" s="1"/>
  <c r="Z601" i="1"/>
  <c r="A600" i="1"/>
  <c r="C600" i="1"/>
  <c r="B600" i="1" s="1"/>
  <c r="D600" i="1"/>
  <c r="F600" i="1"/>
  <c r="M600" i="1"/>
  <c r="O600" i="1"/>
  <c r="S600" i="1"/>
  <c r="T600" i="1"/>
  <c r="U600" i="1"/>
  <c r="Y600" i="1" s="1"/>
  <c r="V600" i="1"/>
  <c r="W600" i="1" s="1"/>
  <c r="Z600" i="1"/>
  <c r="A1203" i="1"/>
  <c r="C1203" i="1"/>
  <c r="B1203" i="1" s="1"/>
  <c r="D1203" i="1"/>
  <c r="F1203" i="1"/>
  <c r="O1203" i="1"/>
  <c r="S1203" i="1"/>
  <c r="T1203" i="1"/>
  <c r="U1203" i="1"/>
  <c r="Y1203" i="1" s="1"/>
  <c r="V1203" i="1"/>
  <c r="W1203" i="1" s="1"/>
  <c r="Z1203" i="1"/>
  <c r="A1146" i="1"/>
  <c r="C1146" i="1"/>
  <c r="B1146" i="1" s="1"/>
  <c r="D1146" i="1"/>
  <c r="F1146" i="1"/>
  <c r="M1146" i="1"/>
  <c r="O1146" i="1"/>
  <c r="S1146" i="1"/>
  <c r="T1146" i="1"/>
  <c r="U1146" i="1"/>
  <c r="Y1146" i="1" s="1"/>
  <c r="V1146" i="1"/>
  <c r="W1146" i="1" s="1"/>
  <c r="Z1146" i="1"/>
  <c r="A1145" i="1"/>
  <c r="C1145" i="1"/>
  <c r="B1145" i="1" s="1"/>
  <c r="F1145" i="1"/>
  <c r="M1145" i="1"/>
  <c r="O1145" i="1"/>
  <c r="S1145" i="1"/>
  <c r="T1145" i="1"/>
  <c r="U1145" i="1"/>
  <c r="Y1145" i="1" s="1"/>
  <c r="V1145" i="1"/>
  <c r="W1145" i="1" s="1"/>
  <c r="Z1145" i="1"/>
  <c r="A1147" i="1"/>
  <c r="C1147" i="1"/>
  <c r="B1147" i="1" s="1"/>
  <c r="F1147" i="1"/>
  <c r="M1147" i="1"/>
  <c r="O1147" i="1"/>
  <c r="S1147" i="1"/>
  <c r="T1147" i="1"/>
  <c r="U1147" i="1"/>
  <c r="Y1147" i="1" s="1"/>
  <c r="V1147" i="1"/>
  <c r="W1147" i="1" s="1"/>
  <c r="Z1147" i="1"/>
  <c r="A1143" i="1"/>
  <c r="C1143" i="1"/>
  <c r="B1143" i="1" s="1"/>
  <c r="F1143" i="1"/>
  <c r="M1143" i="1"/>
  <c r="O1143" i="1"/>
  <c r="S1143" i="1"/>
  <c r="T1143" i="1"/>
  <c r="U1143" i="1"/>
  <c r="Y1143" i="1" s="1"/>
  <c r="V1143" i="1"/>
  <c r="W1143" i="1" s="1"/>
  <c r="Z1143" i="1"/>
  <c r="A1144" i="1"/>
  <c r="C1144" i="1"/>
  <c r="B1144" i="1" s="1"/>
  <c r="F1144" i="1"/>
  <c r="M1144" i="1"/>
  <c r="O1144" i="1"/>
  <c r="S1144" i="1"/>
  <c r="T1144" i="1"/>
  <c r="U1144" i="1"/>
  <c r="Y1144" i="1" s="1"/>
  <c r="V1144" i="1"/>
  <c r="W1144" i="1" s="1"/>
  <c r="Z1144" i="1"/>
  <c r="A877" i="1"/>
  <c r="C877" i="1"/>
  <c r="B877" i="1" s="1"/>
  <c r="F877" i="1"/>
  <c r="M877" i="1"/>
  <c r="O877" i="1"/>
  <c r="U877" i="1"/>
  <c r="Y877" i="1" s="1"/>
  <c r="V877" i="1"/>
  <c r="W877" i="1" s="1"/>
  <c r="Z877" i="1"/>
  <c r="Q908" i="1" l="1"/>
  <c r="Q494" i="1"/>
  <c r="Q1106" i="1"/>
  <c r="Q832" i="1"/>
  <c r="T660" i="1"/>
  <c r="T661" i="1"/>
  <c r="X661" i="1"/>
  <c r="X660" i="1"/>
  <c r="X493" i="1"/>
  <c r="X525" i="1"/>
  <c r="X600" i="1"/>
  <c r="T877" i="1"/>
  <c r="X601" i="1"/>
  <c r="X1203" i="1"/>
  <c r="X1146" i="1"/>
  <c r="X1144" i="1"/>
  <c r="X1143" i="1"/>
  <c r="X1147" i="1"/>
  <c r="X1145" i="1"/>
  <c r="D1147" i="1"/>
  <c r="D1144" i="1"/>
  <c r="D1145" i="1"/>
  <c r="D1143" i="1"/>
  <c r="X877" i="1"/>
  <c r="P1145" i="1" l="1"/>
  <c r="P1146" i="1"/>
  <c r="P600" i="1"/>
  <c r="P661" i="1"/>
  <c r="R832" i="1"/>
  <c r="P877" i="1"/>
  <c r="P1147" i="1"/>
  <c r="P1203" i="1"/>
  <c r="P525" i="1"/>
  <c r="P1143" i="1"/>
  <c r="Q601" i="1"/>
  <c r="P493" i="1"/>
  <c r="R1106" i="1"/>
  <c r="R908" i="1"/>
  <c r="P1144" i="1"/>
  <c r="P660" i="1"/>
  <c r="R494" i="1"/>
  <c r="A247" i="1"/>
  <c r="C247" i="1"/>
  <c r="B247" i="1" s="1"/>
  <c r="D247" i="1"/>
  <c r="F247" i="1"/>
  <c r="M247" i="1"/>
  <c r="O247" i="1"/>
  <c r="S247" i="1"/>
  <c r="T247" i="1"/>
  <c r="U247" i="1"/>
  <c r="Y247" i="1" s="1"/>
  <c r="V247" i="1"/>
  <c r="W247" i="1" s="1"/>
  <c r="Z247" i="1"/>
  <c r="E343" i="6"/>
  <c r="F343" i="6"/>
  <c r="I343" i="6"/>
  <c r="J343" i="6"/>
  <c r="E342" i="6"/>
  <c r="F342" i="6"/>
  <c r="I342" i="6"/>
  <c r="J342" i="6"/>
  <c r="A287" i="1"/>
  <c r="C287" i="1"/>
  <c r="B287" i="1" s="1"/>
  <c r="F287" i="1"/>
  <c r="M287" i="1"/>
  <c r="O287" i="1"/>
  <c r="T287" i="1"/>
  <c r="U287" i="1"/>
  <c r="V287" i="1"/>
  <c r="W287" i="1" s="1"/>
  <c r="Z287" i="1"/>
  <c r="A163" i="1"/>
  <c r="A164" i="1"/>
  <c r="C163" i="1"/>
  <c r="B163" i="1" s="1"/>
  <c r="C164" i="1"/>
  <c r="B164" i="1" s="1"/>
  <c r="F163" i="1"/>
  <c r="F164" i="1"/>
  <c r="M163" i="1"/>
  <c r="M164" i="1"/>
  <c r="O163" i="1"/>
  <c r="O164" i="1"/>
  <c r="S163" i="1"/>
  <c r="S164" i="1"/>
  <c r="T163" i="1"/>
  <c r="T164" i="1"/>
  <c r="U163" i="1"/>
  <c r="U164" i="1"/>
  <c r="Y164" i="1" s="1"/>
  <c r="V163" i="1"/>
  <c r="W163" i="1" s="1"/>
  <c r="V164" i="1"/>
  <c r="W164" i="1" s="1"/>
  <c r="Z163" i="1"/>
  <c r="Z164" i="1"/>
  <c r="A160" i="1"/>
  <c r="A161" i="1"/>
  <c r="A162" i="1"/>
  <c r="C160" i="1"/>
  <c r="B160" i="1" s="1"/>
  <c r="C161" i="1"/>
  <c r="B161" i="1" s="1"/>
  <c r="C162" i="1"/>
  <c r="B162" i="1" s="1"/>
  <c r="F160" i="1"/>
  <c r="F161" i="1"/>
  <c r="F162" i="1"/>
  <c r="M160" i="1"/>
  <c r="M161" i="1"/>
  <c r="M162" i="1"/>
  <c r="O160" i="1"/>
  <c r="O161" i="1"/>
  <c r="O162" i="1"/>
  <c r="S160" i="1"/>
  <c r="S161" i="1"/>
  <c r="S162" i="1"/>
  <c r="T160" i="1"/>
  <c r="T162" i="1"/>
  <c r="U160" i="1"/>
  <c r="Y160" i="1" s="1"/>
  <c r="U161" i="1"/>
  <c r="Y161" i="1" s="1"/>
  <c r="U162" i="1"/>
  <c r="Y162" i="1" s="1"/>
  <c r="V160" i="1"/>
  <c r="W160" i="1" s="1"/>
  <c r="V161" i="1"/>
  <c r="W161" i="1" s="1"/>
  <c r="V162" i="1"/>
  <c r="W162" i="1" s="1"/>
  <c r="Z160" i="1"/>
  <c r="Z161" i="1"/>
  <c r="Z162" i="1"/>
  <c r="A159" i="1"/>
  <c r="C159" i="1"/>
  <c r="B159" i="1" s="1"/>
  <c r="F159" i="1"/>
  <c r="M159" i="1"/>
  <c r="O159" i="1"/>
  <c r="S159" i="1"/>
  <c r="T159" i="1"/>
  <c r="U159" i="1"/>
  <c r="Y159" i="1" s="1"/>
  <c r="V159" i="1"/>
  <c r="W159" i="1" s="1"/>
  <c r="Z159" i="1"/>
  <c r="E418" i="6"/>
  <c r="F418" i="6"/>
  <c r="I418" i="6"/>
  <c r="J418" i="6"/>
  <c r="R660" i="1" l="1"/>
  <c r="Q493" i="1"/>
  <c r="Q1143" i="1"/>
  <c r="Q1203" i="1"/>
  <c r="Q877" i="1"/>
  <c r="Q661" i="1"/>
  <c r="Q1146" i="1"/>
  <c r="Q1144" i="1"/>
  <c r="R601" i="1"/>
  <c r="Q525" i="1"/>
  <c r="Q1147" i="1"/>
  <c r="Q600" i="1"/>
  <c r="Q1145" i="1"/>
  <c r="X247" i="1"/>
  <c r="X287" i="1"/>
  <c r="Y287" i="1"/>
  <c r="X164" i="1"/>
  <c r="X162" i="1"/>
  <c r="X161" i="1"/>
  <c r="X163" i="1"/>
  <c r="Y163" i="1"/>
  <c r="X160" i="1"/>
  <c r="T161" i="1"/>
  <c r="X159" i="1"/>
  <c r="R661" i="1" l="1"/>
  <c r="R1203" i="1"/>
  <c r="R493" i="1"/>
  <c r="P160" i="1"/>
  <c r="P162" i="1"/>
  <c r="P247" i="1"/>
  <c r="R600" i="1"/>
  <c r="R525" i="1"/>
  <c r="R1144" i="1"/>
  <c r="P161" i="1"/>
  <c r="P164" i="1"/>
  <c r="R1146" i="1"/>
  <c r="R877" i="1"/>
  <c r="R1143" i="1"/>
  <c r="P159" i="1"/>
  <c r="Q159" i="1" s="1"/>
  <c r="R1145" i="1"/>
  <c r="R1147" i="1"/>
  <c r="P287" i="1"/>
  <c r="P163" i="1"/>
  <c r="Q163" i="1" l="1"/>
  <c r="Q287" i="1"/>
  <c r="Q161" i="1"/>
  <c r="Q247" i="1"/>
  <c r="Q160" i="1"/>
  <c r="R159" i="1"/>
  <c r="Q164" i="1"/>
  <c r="Q162" i="1"/>
  <c r="D526" i="6"/>
  <c r="D601" i="6"/>
  <c r="R162" i="1" l="1"/>
  <c r="R247" i="1"/>
  <c r="R287" i="1"/>
  <c r="D287" i="1" s="1"/>
  <c r="R164" i="1"/>
  <c r="R160" i="1"/>
  <c r="R161" i="1"/>
  <c r="R163" i="1"/>
  <c r="E462" i="6"/>
  <c r="E429" i="6"/>
  <c r="E463" i="6"/>
  <c r="E213" i="6"/>
  <c r="E88" i="6"/>
  <c r="E512" i="6"/>
  <c r="E36" i="6"/>
  <c r="E48" i="6"/>
  <c r="E341" i="6"/>
  <c r="E601" i="6"/>
  <c r="E304" i="6"/>
  <c r="E415" i="6"/>
  <c r="E479" i="6"/>
  <c r="E490" i="6"/>
  <c r="E673" i="6"/>
  <c r="E660" i="6"/>
  <c r="E686" i="6"/>
  <c r="F462" i="6"/>
  <c r="F429" i="6"/>
  <c r="F463" i="6"/>
  <c r="F88" i="6"/>
  <c r="F512" i="6"/>
  <c r="F36" i="6"/>
  <c r="F48" i="6"/>
  <c r="F341" i="6"/>
  <c r="F304" i="6"/>
  <c r="F415" i="6"/>
  <c r="F479" i="6"/>
  <c r="F490" i="6"/>
  <c r="I462" i="6"/>
  <c r="I429" i="6"/>
  <c r="I463" i="6"/>
  <c r="I213" i="6"/>
  <c r="I88" i="6"/>
  <c r="I512" i="6"/>
  <c r="I36" i="6"/>
  <c r="I48" i="6"/>
  <c r="I341" i="6"/>
  <c r="I601" i="6"/>
  <c r="I304" i="6"/>
  <c r="I415" i="6"/>
  <c r="I479" i="6"/>
  <c r="I490" i="6"/>
  <c r="I673" i="6"/>
  <c r="I660" i="6"/>
  <c r="I686" i="6"/>
  <c r="J462" i="6"/>
  <c r="J429" i="6"/>
  <c r="J463" i="6"/>
  <c r="J213" i="6"/>
  <c r="J88" i="6"/>
  <c r="J512" i="6"/>
  <c r="J36" i="6"/>
  <c r="J48" i="6"/>
  <c r="J341" i="6"/>
  <c r="J601" i="6"/>
  <c r="J304" i="6"/>
  <c r="J415" i="6"/>
  <c r="J479" i="6"/>
  <c r="J490" i="6"/>
  <c r="J673" i="6"/>
  <c r="J660" i="6"/>
  <c r="J686" i="6"/>
  <c r="A524" i="1"/>
  <c r="C524" i="1"/>
  <c r="B524" i="1" s="1"/>
  <c r="F524" i="1"/>
  <c r="M524" i="1"/>
  <c r="O524" i="1"/>
  <c r="U524" i="1"/>
  <c r="Y524" i="1" s="1"/>
  <c r="V524" i="1"/>
  <c r="W524" i="1" s="1"/>
  <c r="Z524" i="1"/>
  <c r="I99" i="104"/>
  <c r="A99" i="104"/>
  <c r="B99" i="104"/>
  <c r="C99" i="104"/>
  <c r="A648" i="1"/>
  <c r="C648" i="1"/>
  <c r="B648" i="1" s="1"/>
  <c r="F648" i="1"/>
  <c r="M648" i="1"/>
  <c r="O648" i="1"/>
  <c r="U648" i="1"/>
  <c r="Y648" i="1" s="1"/>
  <c r="V648" i="1"/>
  <c r="W648" i="1" s="1"/>
  <c r="Z648" i="1"/>
  <c r="A787" i="1"/>
  <c r="C787" i="1"/>
  <c r="B787" i="1" s="1"/>
  <c r="F787" i="1"/>
  <c r="M787" i="1"/>
  <c r="O787" i="1"/>
  <c r="U787" i="1"/>
  <c r="Y787" i="1" s="1"/>
  <c r="V787" i="1"/>
  <c r="W787" i="1" s="1"/>
  <c r="Z787" i="1"/>
  <c r="A658" i="1"/>
  <c r="C658" i="1"/>
  <c r="B658" i="1" s="1"/>
  <c r="F658" i="1"/>
  <c r="M658" i="1"/>
  <c r="U658" i="1"/>
  <c r="Y658" i="1" s="1"/>
  <c r="V658" i="1"/>
  <c r="W658" i="1" s="1"/>
  <c r="Z658" i="1"/>
  <c r="A1021" i="1"/>
  <c r="C1021" i="1"/>
  <c r="B1021" i="1" s="1"/>
  <c r="F1021" i="1"/>
  <c r="M1021" i="1"/>
  <c r="O1021" i="1"/>
  <c r="S1021" i="1"/>
  <c r="T1021" i="1"/>
  <c r="U1021" i="1"/>
  <c r="Y1021" i="1" s="1"/>
  <c r="V1021" i="1"/>
  <c r="W1021" i="1" s="1"/>
  <c r="Z1021" i="1"/>
  <c r="E526" i="6"/>
  <c r="F526" i="6"/>
  <c r="I526" i="6"/>
  <c r="J526" i="6"/>
  <c r="E527" i="6"/>
  <c r="F527" i="6"/>
  <c r="I527" i="6"/>
  <c r="J527" i="6"/>
  <c r="E148" i="6"/>
  <c r="F148" i="6"/>
  <c r="I148" i="6"/>
  <c r="J148" i="6"/>
  <c r="A246" i="1"/>
  <c r="C246" i="1"/>
  <c r="B246" i="1" s="1"/>
  <c r="F246" i="1"/>
  <c r="M246" i="1"/>
  <c r="O246" i="1"/>
  <c r="S246" i="1"/>
  <c r="T246" i="1"/>
  <c r="U246" i="1"/>
  <c r="Y246" i="1" s="1"/>
  <c r="V246" i="1"/>
  <c r="W246" i="1" s="1"/>
  <c r="Z246" i="1"/>
  <c r="A1154" i="1"/>
  <c r="C1154" i="1"/>
  <c r="B1154" i="1" s="1"/>
  <c r="F1154" i="1"/>
  <c r="M1154" i="1"/>
  <c r="O1154" i="1"/>
  <c r="S1154" i="1"/>
  <c r="T1154" i="1"/>
  <c r="U1154" i="1"/>
  <c r="V1154" i="1"/>
  <c r="W1154" i="1" s="1"/>
  <c r="Z1154" i="1"/>
  <c r="A771" i="1"/>
  <c r="C771" i="1"/>
  <c r="T771" i="1" s="1"/>
  <c r="F771" i="1"/>
  <c r="M771" i="1"/>
  <c r="O771" i="1"/>
  <c r="S771" i="1"/>
  <c r="U771" i="1"/>
  <c r="Y771" i="1" s="1"/>
  <c r="V771" i="1"/>
  <c r="W771" i="1" s="1"/>
  <c r="Z771" i="1"/>
  <c r="T524" i="1" l="1"/>
  <c r="X524" i="1"/>
  <c r="T648" i="1"/>
  <c r="T787" i="1"/>
  <c r="X648" i="1"/>
  <c r="X787" i="1"/>
  <c r="T658" i="1"/>
  <c r="X658" i="1"/>
  <c r="X1021" i="1"/>
  <c r="X246" i="1"/>
  <c r="X1154" i="1"/>
  <c r="Y1154" i="1"/>
  <c r="X771" i="1"/>
  <c r="B771" i="1"/>
  <c r="P771" i="1" l="1"/>
  <c r="P246" i="1"/>
  <c r="P787" i="1"/>
  <c r="P524" i="1"/>
  <c r="P648" i="1"/>
  <c r="P658" i="1"/>
  <c r="P1021" i="1"/>
  <c r="D664" i="1"/>
  <c r="D663" i="1"/>
  <c r="D787" i="1"/>
  <c r="D788" i="1"/>
  <c r="D524" i="1"/>
  <c r="D525" i="1"/>
  <c r="D648" i="1"/>
  <c r="P1154" i="1"/>
  <c r="A492" i="1"/>
  <c r="C492" i="1"/>
  <c r="B492" i="1" s="1"/>
  <c r="F492" i="1"/>
  <c r="M492" i="1"/>
  <c r="O492" i="1"/>
  <c r="U492" i="1"/>
  <c r="Y492" i="1" s="1"/>
  <c r="V492" i="1"/>
  <c r="W492" i="1" s="1"/>
  <c r="Z492" i="1"/>
  <c r="I69" i="104"/>
  <c r="A69" i="104"/>
  <c r="B69" i="104"/>
  <c r="C69" i="104"/>
  <c r="A876" i="1"/>
  <c r="C876" i="1"/>
  <c r="B876" i="1" s="1"/>
  <c r="F876" i="1"/>
  <c r="M876" i="1"/>
  <c r="O876" i="1"/>
  <c r="T876" i="1"/>
  <c r="U876" i="1"/>
  <c r="V876" i="1"/>
  <c r="W876" i="1" s="1"/>
  <c r="Z876" i="1"/>
  <c r="A926" i="1"/>
  <c r="C926" i="1"/>
  <c r="B926" i="1" s="1"/>
  <c r="F926" i="1"/>
  <c r="M926" i="1"/>
  <c r="O926" i="1"/>
  <c r="U926" i="1"/>
  <c r="V926" i="1"/>
  <c r="W926" i="1" s="1"/>
  <c r="Z926" i="1"/>
  <c r="A983" i="1"/>
  <c r="C983" i="1"/>
  <c r="B983" i="1" s="1"/>
  <c r="F983" i="1"/>
  <c r="M983" i="1"/>
  <c r="O983" i="1"/>
  <c r="T983" i="1"/>
  <c r="U983" i="1"/>
  <c r="Y983" i="1" s="1"/>
  <c r="V983" i="1"/>
  <c r="W983" i="1" s="1"/>
  <c r="Z983" i="1"/>
  <c r="Q1154" i="1" l="1"/>
  <c r="Q658" i="1"/>
  <c r="Q524" i="1"/>
  <c r="Q246" i="1"/>
  <c r="Q1021" i="1"/>
  <c r="Q648" i="1"/>
  <c r="Q787" i="1"/>
  <c r="Q771" i="1"/>
  <c r="T492" i="1"/>
  <c r="X492" i="1"/>
  <c r="X876" i="1"/>
  <c r="Y876" i="1"/>
  <c r="T926" i="1"/>
  <c r="X926" i="1"/>
  <c r="Y926" i="1"/>
  <c r="X983" i="1"/>
  <c r="R771" i="1" l="1"/>
  <c r="D771" i="1" s="1"/>
  <c r="R648" i="1"/>
  <c r="R246" i="1"/>
  <c r="D246" i="1" s="1"/>
  <c r="R658" i="1"/>
  <c r="D662" i="1" s="1"/>
  <c r="P492" i="1"/>
  <c r="P983" i="1"/>
  <c r="R787" i="1"/>
  <c r="R1021" i="1"/>
  <c r="D1021" i="1" s="1"/>
  <c r="R524" i="1"/>
  <c r="R1154" i="1"/>
  <c r="D1154" i="1" s="1"/>
  <c r="P926" i="1"/>
  <c r="P876" i="1"/>
  <c r="A1225" i="1"/>
  <c r="C1225" i="1"/>
  <c r="B1225" i="1" s="1"/>
  <c r="F1225" i="1"/>
  <c r="M1225" i="1"/>
  <c r="O1225" i="1"/>
  <c r="U1225" i="1"/>
  <c r="Y1225" i="1" s="1"/>
  <c r="V1225" i="1"/>
  <c r="W1225" i="1" s="1"/>
  <c r="Z1225" i="1"/>
  <c r="A1191" i="1"/>
  <c r="C1191" i="1"/>
  <c r="B1191" i="1" s="1"/>
  <c r="F1191" i="1"/>
  <c r="M1191" i="1"/>
  <c r="O1191" i="1"/>
  <c r="U1191" i="1"/>
  <c r="Y1191" i="1" s="1"/>
  <c r="V1191" i="1"/>
  <c r="W1191" i="1" s="1"/>
  <c r="Z1191" i="1"/>
  <c r="A1178" i="1"/>
  <c r="C1178" i="1"/>
  <c r="B1178" i="1" s="1"/>
  <c r="F1178" i="1"/>
  <c r="M1178" i="1"/>
  <c r="O1178" i="1"/>
  <c r="U1178" i="1"/>
  <c r="Y1178" i="1" s="1"/>
  <c r="V1178" i="1"/>
  <c r="W1178" i="1" s="1"/>
  <c r="Z1178" i="1"/>
  <c r="A1177" i="1"/>
  <c r="C1177" i="1"/>
  <c r="B1177" i="1" s="1"/>
  <c r="F1177" i="1"/>
  <c r="M1177" i="1"/>
  <c r="O1177" i="1"/>
  <c r="U1177" i="1"/>
  <c r="Y1177" i="1" s="1"/>
  <c r="V1177" i="1"/>
  <c r="W1177" i="1" s="1"/>
  <c r="Z1177" i="1"/>
  <c r="A1074" i="1"/>
  <c r="C1074" i="1"/>
  <c r="B1074" i="1" s="1"/>
  <c r="F1074" i="1"/>
  <c r="M1074" i="1"/>
  <c r="O1074" i="1"/>
  <c r="U1074" i="1"/>
  <c r="Y1074" i="1" s="1"/>
  <c r="V1074" i="1"/>
  <c r="W1074" i="1" s="1"/>
  <c r="Z1074" i="1"/>
  <c r="A1010" i="1"/>
  <c r="C1010" i="1"/>
  <c r="B1010" i="1" s="1"/>
  <c r="F1010" i="1"/>
  <c r="M1010" i="1"/>
  <c r="O1010" i="1"/>
  <c r="U1010" i="1"/>
  <c r="Y1010" i="1" s="1"/>
  <c r="V1010" i="1"/>
  <c r="W1010" i="1" s="1"/>
  <c r="Z1010" i="1"/>
  <c r="A979" i="1"/>
  <c r="C979" i="1"/>
  <c r="B979" i="1" s="1"/>
  <c r="F979" i="1"/>
  <c r="M979" i="1"/>
  <c r="O979" i="1"/>
  <c r="U979" i="1"/>
  <c r="Y979" i="1" s="1"/>
  <c r="V979" i="1"/>
  <c r="W979" i="1" s="1"/>
  <c r="Z979" i="1"/>
  <c r="A890" i="1"/>
  <c r="C890" i="1"/>
  <c r="B890" i="1" s="1"/>
  <c r="F890" i="1"/>
  <c r="M890" i="1"/>
  <c r="O890" i="1"/>
  <c r="U890" i="1"/>
  <c r="Y890" i="1" s="1"/>
  <c r="V890" i="1"/>
  <c r="W890" i="1" s="1"/>
  <c r="Z890" i="1"/>
  <c r="A891" i="1"/>
  <c r="C891" i="1"/>
  <c r="B891" i="1" s="1"/>
  <c r="F891" i="1"/>
  <c r="M891" i="1"/>
  <c r="O891" i="1"/>
  <c r="U891" i="1"/>
  <c r="Y891" i="1" s="1"/>
  <c r="V891" i="1"/>
  <c r="W891" i="1" s="1"/>
  <c r="Z891" i="1"/>
  <c r="A432" i="1"/>
  <c r="C432" i="1"/>
  <c r="B432" i="1" s="1"/>
  <c r="F432" i="1"/>
  <c r="M432" i="1"/>
  <c r="O432" i="1"/>
  <c r="U432" i="1"/>
  <c r="Y432" i="1" s="1"/>
  <c r="V432" i="1"/>
  <c r="W432" i="1" s="1"/>
  <c r="Z432" i="1"/>
  <c r="A431" i="1"/>
  <c r="C431" i="1"/>
  <c r="B431" i="1" s="1"/>
  <c r="F431" i="1"/>
  <c r="M431" i="1"/>
  <c r="O431" i="1"/>
  <c r="U431" i="1"/>
  <c r="V431" i="1"/>
  <c r="W431" i="1" s="1"/>
  <c r="Z431" i="1"/>
  <c r="A430" i="1"/>
  <c r="C430" i="1"/>
  <c r="B430" i="1" s="1"/>
  <c r="F430" i="1"/>
  <c r="M430" i="1"/>
  <c r="O430" i="1"/>
  <c r="U430" i="1"/>
  <c r="Y430" i="1" s="1"/>
  <c r="V430" i="1"/>
  <c r="W430" i="1" s="1"/>
  <c r="Z430" i="1"/>
  <c r="A743" i="1"/>
  <c r="C743" i="1"/>
  <c r="B743" i="1" s="1"/>
  <c r="F743" i="1"/>
  <c r="M743" i="1"/>
  <c r="O743" i="1"/>
  <c r="U743" i="1"/>
  <c r="Y743" i="1" s="1"/>
  <c r="V743" i="1"/>
  <c r="W743" i="1" s="1"/>
  <c r="Z743" i="1"/>
  <c r="A742" i="1"/>
  <c r="C742" i="1"/>
  <c r="B742" i="1" s="1"/>
  <c r="F742" i="1"/>
  <c r="M742" i="1"/>
  <c r="O742" i="1"/>
  <c r="U742" i="1"/>
  <c r="Y742" i="1" s="1"/>
  <c r="V742" i="1"/>
  <c r="W742" i="1" s="1"/>
  <c r="Z742" i="1"/>
  <c r="A656" i="1"/>
  <c r="C656" i="1"/>
  <c r="B656" i="1" s="1"/>
  <c r="F656" i="1"/>
  <c r="M656" i="1"/>
  <c r="O656" i="1"/>
  <c r="U656" i="1"/>
  <c r="Y656" i="1" s="1"/>
  <c r="V656" i="1"/>
  <c r="W656" i="1" s="1"/>
  <c r="Z656" i="1"/>
  <c r="A655" i="1"/>
  <c r="C655" i="1"/>
  <c r="B655" i="1" s="1"/>
  <c r="F655" i="1"/>
  <c r="M655" i="1"/>
  <c r="O655" i="1"/>
  <c r="U655" i="1"/>
  <c r="Y655" i="1" s="1"/>
  <c r="V655" i="1"/>
  <c r="W655" i="1" s="1"/>
  <c r="Z655" i="1"/>
  <c r="A643" i="1"/>
  <c r="C643" i="1"/>
  <c r="B643" i="1" s="1"/>
  <c r="F643" i="1"/>
  <c r="M643" i="1"/>
  <c r="O643" i="1"/>
  <c r="U643" i="1"/>
  <c r="Y643" i="1" s="1"/>
  <c r="V643" i="1"/>
  <c r="W643" i="1" s="1"/>
  <c r="Z643" i="1"/>
  <c r="A559" i="1"/>
  <c r="C559" i="1"/>
  <c r="B559" i="1" s="1"/>
  <c r="F559" i="1"/>
  <c r="M559" i="1"/>
  <c r="O559" i="1"/>
  <c r="U559" i="1"/>
  <c r="Y559" i="1" s="1"/>
  <c r="V559" i="1"/>
  <c r="W559" i="1" s="1"/>
  <c r="Z559" i="1"/>
  <c r="A538" i="1"/>
  <c r="C538" i="1"/>
  <c r="B538" i="1" s="1"/>
  <c r="F538" i="1"/>
  <c r="M538" i="1"/>
  <c r="O538" i="1"/>
  <c r="U538" i="1"/>
  <c r="Y538" i="1" s="1"/>
  <c r="V538" i="1"/>
  <c r="W538" i="1" s="1"/>
  <c r="Z538" i="1"/>
  <c r="A537" i="1"/>
  <c r="C537" i="1"/>
  <c r="B537" i="1" s="1"/>
  <c r="F537" i="1"/>
  <c r="M537" i="1"/>
  <c r="O537" i="1"/>
  <c r="U537" i="1"/>
  <c r="Y537" i="1" s="1"/>
  <c r="V537" i="1"/>
  <c r="W537" i="1" s="1"/>
  <c r="Z537" i="1"/>
  <c r="A536" i="1"/>
  <c r="C536" i="1"/>
  <c r="B536" i="1" s="1"/>
  <c r="F536" i="1"/>
  <c r="M536" i="1"/>
  <c r="O536" i="1"/>
  <c r="U536" i="1"/>
  <c r="Y536" i="1" s="1"/>
  <c r="V536" i="1"/>
  <c r="W536" i="1" s="1"/>
  <c r="Z536" i="1"/>
  <c r="A627" i="1"/>
  <c r="C627" i="1"/>
  <c r="B627" i="1" s="1"/>
  <c r="F627" i="1"/>
  <c r="M627" i="1"/>
  <c r="O627" i="1"/>
  <c r="U627" i="1"/>
  <c r="Y627" i="1" s="1"/>
  <c r="V627" i="1"/>
  <c r="W627" i="1" s="1"/>
  <c r="Z627" i="1"/>
  <c r="A490" i="1"/>
  <c r="A491" i="1"/>
  <c r="C490" i="1"/>
  <c r="B490" i="1" s="1"/>
  <c r="C491" i="1"/>
  <c r="B491" i="1" s="1"/>
  <c r="F490" i="1"/>
  <c r="F491" i="1"/>
  <c r="M490" i="1"/>
  <c r="M491" i="1"/>
  <c r="O490" i="1"/>
  <c r="O491" i="1"/>
  <c r="U490" i="1"/>
  <c r="Y490" i="1" s="1"/>
  <c r="U491" i="1"/>
  <c r="Y491" i="1" s="1"/>
  <c r="V490" i="1"/>
  <c r="W490" i="1" s="1"/>
  <c r="V491" i="1"/>
  <c r="W491" i="1" s="1"/>
  <c r="Z490" i="1"/>
  <c r="Z491" i="1"/>
  <c r="I68" i="104"/>
  <c r="I67" i="104"/>
  <c r="A68" i="104"/>
  <c r="B68" i="104"/>
  <c r="C68" i="104"/>
  <c r="A67" i="104"/>
  <c r="B67" i="104"/>
  <c r="C67" i="104"/>
  <c r="A399" i="1"/>
  <c r="C399" i="1"/>
  <c r="B399" i="1" s="1"/>
  <c r="F399" i="1"/>
  <c r="M399" i="1"/>
  <c r="O399" i="1"/>
  <c r="U399" i="1"/>
  <c r="Y399" i="1" s="1"/>
  <c r="V399" i="1"/>
  <c r="W399" i="1" s="1"/>
  <c r="Z399" i="1"/>
  <c r="A333" i="1"/>
  <c r="C333" i="1"/>
  <c r="B333" i="1" s="1"/>
  <c r="F333" i="1"/>
  <c r="M333" i="1"/>
  <c r="O333" i="1"/>
  <c r="T333" i="1"/>
  <c r="U333" i="1"/>
  <c r="Y333" i="1" s="1"/>
  <c r="V333" i="1"/>
  <c r="W333" i="1" s="1"/>
  <c r="Z333" i="1"/>
  <c r="A309" i="1"/>
  <c r="C309" i="1"/>
  <c r="B309" i="1" s="1"/>
  <c r="F309" i="1"/>
  <c r="M309" i="1"/>
  <c r="O309" i="1"/>
  <c r="U309" i="1"/>
  <c r="Y309" i="1" s="1"/>
  <c r="V309" i="1"/>
  <c r="W309" i="1" s="1"/>
  <c r="Z309" i="1"/>
  <c r="A264" i="1"/>
  <c r="C264" i="1"/>
  <c r="B264" i="1" s="1"/>
  <c r="F264" i="1"/>
  <c r="M264" i="1"/>
  <c r="O264" i="1"/>
  <c r="U264" i="1"/>
  <c r="Y264" i="1" s="1"/>
  <c r="V264" i="1"/>
  <c r="W264" i="1" s="1"/>
  <c r="Z264" i="1"/>
  <c r="A236" i="1"/>
  <c r="C236" i="1"/>
  <c r="B236" i="1" s="1"/>
  <c r="F236" i="1"/>
  <c r="M236" i="1"/>
  <c r="O236" i="1"/>
  <c r="U236" i="1"/>
  <c r="V236" i="1"/>
  <c r="W236" i="1" s="1"/>
  <c r="Z236" i="1"/>
  <c r="A219" i="1"/>
  <c r="C219" i="1"/>
  <c r="B219" i="1" s="1"/>
  <c r="F219" i="1"/>
  <c r="M219" i="1"/>
  <c r="O219" i="1"/>
  <c r="T219" i="1"/>
  <c r="U219" i="1"/>
  <c r="Y219" i="1" s="1"/>
  <c r="V219" i="1"/>
  <c r="W219" i="1" s="1"/>
  <c r="Z219" i="1"/>
  <c r="A218" i="1"/>
  <c r="C218" i="1"/>
  <c r="B218" i="1" s="1"/>
  <c r="F218" i="1"/>
  <c r="M218" i="1"/>
  <c r="O218" i="1"/>
  <c r="U218" i="1"/>
  <c r="Y218" i="1" s="1"/>
  <c r="V218" i="1"/>
  <c r="W218" i="1" s="1"/>
  <c r="Z218" i="1"/>
  <c r="A149" i="1"/>
  <c r="C149" i="1"/>
  <c r="B149" i="1" s="1"/>
  <c r="F149" i="1"/>
  <c r="M149" i="1"/>
  <c r="O149" i="1"/>
  <c r="U149" i="1"/>
  <c r="Y149" i="1" s="1"/>
  <c r="V149" i="1"/>
  <c r="W149" i="1" s="1"/>
  <c r="Z149" i="1"/>
  <c r="A199" i="1"/>
  <c r="C199" i="1"/>
  <c r="B199" i="1" s="1"/>
  <c r="F199" i="1"/>
  <c r="M199" i="1"/>
  <c r="O199" i="1"/>
  <c r="U199" i="1"/>
  <c r="Y199" i="1" s="1"/>
  <c r="V199" i="1"/>
  <c r="W199" i="1" s="1"/>
  <c r="Z199" i="1"/>
  <c r="A148" i="1"/>
  <c r="C148" i="1"/>
  <c r="B148" i="1" s="1"/>
  <c r="F148" i="1"/>
  <c r="M148" i="1"/>
  <c r="O148" i="1"/>
  <c r="S148" i="1"/>
  <c r="T148" i="1"/>
  <c r="U148" i="1"/>
  <c r="Y148" i="1" s="1"/>
  <c r="V148" i="1"/>
  <c r="W148" i="1" s="1"/>
  <c r="Z148" i="1"/>
  <c r="A26" i="1"/>
  <c r="C26" i="1"/>
  <c r="B26" i="1" s="1"/>
  <c r="F26" i="1"/>
  <c r="M26" i="1"/>
  <c r="O26" i="1"/>
  <c r="U26" i="1"/>
  <c r="Y26" i="1" s="1"/>
  <c r="V26" i="1"/>
  <c r="W26" i="1" s="1"/>
  <c r="Z26" i="1"/>
  <c r="A70" i="1"/>
  <c r="C70" i="1"/>
  <c r="B70" i="1" s="1"/>
  <c r="F70" i="1"/>
  <c r="M70" i="1"/>
  <c r="O70" i="1"/>
  <c r="T70" i="1"/>
  <c r="U70" i="1"/>
  <c r="Y70" i="1" s="1"/>
  <c r="V70" i="1"/>
  <c r="W70" i="1" s="1"/>
  <c r="Z70" i="1"/>
  <c r="A71" i="1"/>
  <c r="C71" i="1"/>
  <c r="B71" i="1" s="1"/>
  <c r="F71" i="1"/>
  <c r="M71" i="1"/>
  <c r="O71" i="1"/>
  <c r="U71" i="1"/>
  <c r="Y71" i="1" s="1"/>
  <c r="V71" i="1"/>
  <c r="W71" i="1" s="1"/>
  <c r="Z71" i="1"/>
  <c r="A9" i="1"/>
  <c r="C9" i="1"/>
  <c r="B9" i="1" s="1"/>
  <c r="F9" i="1"/>
  <c r="M9" i="1"/>
  <c r="O9" i="1"/>
  <c r="U9" i="1"/>
  <c r="Y9" i="1" s="1"/>
  <c r="V9" i="1"/>
  <c r="W9" i="1" s="1"/>
  <c r="Z9" i="1"/>
  <c r="A659" i="1"/>
  <c r="C659" i="1"/>
  <c r="B659" i="1" s="1"/>
  <c r="F659" i="1"/>
  <c r="M659" i="1"/>
  <c r="O659" i="1"/>
  <c r="T659" i="1"/>
  <c r="U659" i="1"/>
  <c r="V659" i="1"/>
  <c r="W659" i="1" s="1"/>
  <c r="Z659" i="1"/>
  <c r="Q876" i="1" l="1"/>
  <c r="Q983" i="1"/>
  <c r="Q926" i="1"/>
  <c r="Q492" i="1"/>
  <c r="T1225" i="1"/>
  <c r="T1191" i="1"/>
  <c r="T890" i="1"/>
  <c r="X1178" i="1"/>
  <c r="X1225" i="1"/>
  <c r="X1177" i="1"/>
  <c r="X1191" i="1"/>
  <c r="T979" i="1"/>
  <c r="T1178" i="1"/>
  <c r="T656" i="1"/>
  <c r="T559" i="1"/>
  <c r="T1074" i="1"/>
  <c r="X1074" i="1"/>
  <c r="T1177" i="1"/>
  <c r="X1010" i="1"/>
  <c r="T432" i="1"/>
  <c r="T1010" i="1"/>
  <c r="X979" i="1"/>
  <c r="X891" i="1"/>
  <c r="X890" i="1"/>
  <c r="X236" i="1"/>
  <c r="T743" i="1"/>
  <c r="T891" i="1"/>
  <c r="X431" i="1"/>
  <c r="X432" i="1"/>
  <c r="X430" i="1"/>
  <c r="Y431" i="1"/>
  <c r="T431" i="1"/>
  <c r="T430" i="1"/>
  <c r="X743" i="1"/>
  <c r="T627" i="1"/>
  <c r="T643" i="1"/>
  <c r="T236" i="1"/>
  <c r="T309" i="1"/>
  <c r="X742" i="1"/>
  <c r="T742" i="1"/>
  <c r="X656" i="1"/>
  <c r="X655" i="1"/>
  <c r="T655" i="1"/>
  <c r="X643" i="1"/>
  <c r="X538" i="1"/>
  <c r="X559" i="1"/>
  <c r="T538" i="1"/>
  <c r="X537" i="1"/>
  <c r="T491" i="1"/>
  <c r="X536" i="1"/>
  <c r="T537" i="1"/>
  <c r="X627" i="1"/>
  <c r="T536" i="1"/>
  <c r="T26" i="1"/>
  <c r="T490" i="1"/>
  <c r="T264" i="1"/>
  <c r="T399" i="1"/>
  <c r="X399" i="1"/>
  <c r="X491" i="1"/>
  <c r="T149" i="1"/>
  <c r="X490" i="1"/>
  <c r="X148" i="1"/>
  <c r="Y236" i="1"/>
  <c r="X309" i="1"/>
  <c r="T199" i="1"/>
  <c r="X333" i="1"/>
  <c r="X264" i="1"/>
  <c r="X219" i="1"/>
  <c r="X149" i="1"/>
  <c r="X218" i="1"/>
  <c r="T218" i="1"/>
  <c r="X9" i="1"/>
  <c r="X70" i="1"/>
  <c r="X199" i="1"/>
  <c r="X26" i="1"/>
  <c r="X71" i="1"/>
  <c r="T71" i="1"/>
  <c r="T9" i="1"/>
  <c r="X659" i="1"/>
  <c r="Y659" i="1"/>
  <c r="E144" i="6"/>
  <c r="I144" i="6"/>
  <c r="J144" i="6"/>
  <c r="E282" i="6"/>
  <c r="F282" i="6"/>
  <c r="I282" i="6"/>
  <c r="J282" i="6"/>
  <c r="A157" i="1"/>
  <c r="C157" i="1"/>
  <c r="B157" i="1" s="1"/>
  <c r="F157" i="1"/>
  <c r="M157" i="1"/>
  <c r="O157" i="1"/>
  <c r="S157" i="1"/>
  <c r="T157" i="1"/>
  <c r="U157" i="1"/>
  <c r="Y157" i="1" s="1"/>
  <c r="V157" i="1"/>
  <c r="W157" i="1" s="1"/>
  <c r="Z157" i="1"/>
  <c r="A156" i="1"/>
  <c r="C156" i="1"/>
  <c r="B156" i="1" s="1"/>
  <c r="F156" i="1"/>
  <c r="M156" i="1"/>
  <c r="O156" i="1"/>
  <c r="S156" i="1"/>
  <c r="T156" i="1"/>
  <c r="U156" i="1"/>
  <c r="V156" i="1"/>
  <c r="W156" i="1" s="1"/>
  <c r="Z156" i="1"/>
  <c r="A155" i="1"/>
  <c r="C155" i="1"/>
  <c r="B155" i="1" s="1"/>
  <c r="F155" i="1"/>
  <c r="M155" i="1"/>
  <c r="O155" i="1"/>
  <c r="S155" i="1"/>
  <c r="T155" i="1"/>
  <c r="U155" i="1"/>
  <c r="V155" i="1"/>
  <c r="W155" i="1" s="1"/>
  <c r="Z155" i="1"/>
  <c r="A158" i="1"/>
  <c r="C158" i="1"/>
  <c r="B158" i="1" s="1"/>
  <c r="F158" i="1"/>
  <c r="M158" i="1"/>
  <c r="O158" i="1"/>
  <c r="S158" i="1"/>
  <c r="T158" i="1"/>
  <c r="U158" i="1"/>
  <c r="V158" i="1"/>
  <c r="W158" i="1" s="1"/>
  <c r="Z158" i="1"/>
  <c r="P70" i="1" l="1"/>
  <c r="P149" i="1"/>
  <c r="P490" i="1"/>
  <c r="P538" i="1"/>
  <c r="P656" i="1"/>
  <c r="P432" i="1"/>
  <c r="P1074" i="1"/>
  <c r="P1225" i="1"/>
  <c r="R926" i="1"/>
  <c r="D926" i="1" s="1"/>
  <c r="R876" i="1"/>
  <c r="P71" i="1"/>
  <c r="P9" i="1"/>
  <c r="P219" i="1"/>
  <c r="P309" i="1"/>
  <c r="P627" i="1"/>
  <c r="P537" i="1"/>
  <c r="P643" i="1"/>
  <c r="P431" i="1"/>
  <c r="P890" i="1"/>
  <c r="P1178" i="1"/>
  <c r="R492" i="1"/>
  <c r="P659" i="1"/>
  <c r="P26" i="1"/>
  <c r="P264" i="1"/>
  <c r="P491" i="1"/>
  <c r="P742" i="1"/>
  <c r="P891" i="1"/>
  <c r="P1010" i="1"/>
  <c r="P1191" i="1"/>
  <c r="R983" i="1"/>
  <c r="D983" i="1" s="1"/>
  <c r="P199" i="1"/>
  <c r="P218" i="1"/>
  <c r="P333" i="1"/>
  <c r="P148" i="1"/>
  <c r="P399" i="1"/>
  <c r="P536" i="1"/>
  <c r="P559" i="1"/>
  <c r="P655" i="1"/>
  <c r="P743" i="1"/>
  <c r="P430" i="1"/>
  <c r="P979" i="1"/>
  <c r="P1177" i="1"/>
  <c r="D748" i="1"/>
  <c r="D747" i="1"/>
  <c r="D1074" i="1"/>
  <c r="D1075" i="1"/>
  <c r="D1226" i="1"/>
  <c r="D1227" i="1"/>
  <c r="D168" i="1"/>
  <c r="D172" i="1"/>
  <c r="D746" i="1"/>
  <c r="D745" i="1"/>
  <c r="D744" i="1"/>
  <c r="D559" i="1"/>
  <c r="D561" i="1"/>
  <c r="D165" i="1"/>
  <c r="D166" i="1"/>
  <c r="D309" i="1"/>
  <c r="D310" i="1"/>
  <c r="D494" i="1"/>
  <c r="D661" i="1"/>
  <c r="D660" i="1"/>
  <c r="D493" i="1"/>
  <c r="D164" i="1"/>
  <c r="D163" i="1"/>
  <c r="D162" i="1"/>
  <c r="D161" i="1"/>
  <c r="D160" i="1"/>
  <c r="D159" i="1"/>
  <c r="D658" i="1"/>
  <c r="D492" i="1"/>
  <c r="P236" i="1"/>
  <c r="D432" i="1"/>
  <c r="D891" i="1"/>
  <c r="D890" i="1"/>
  <c r="D430" i="1"/>
  <c r="D431" i="1"/>
  <c r="D659" i="1"/>
  <c r="D655" i="1"/>
  <c r="D656" i="1"/>
  <c r="D538" i="1"/>
  <c r="D536" i="1"/>
  <c r="D537" i="1"/>
  <c r="D490" i="1"/>
  <c r="D491" i="1"/>
  <c r="D149" i="1"/>
  <c r="D155" i="1"/>
  <c r="D156" i="1"/>
  <c r="D157" i="1"/>
  <c r="D158" i="1"/>
  <c r="D148" i="1"/>
  <c r="D218" i="1"/>
  <c r="D219" i="1"/>
  <c r="D71" i="1"/>
  <c r="D70" i="1"/>
  <c r="X157" i="1"/>
  <c r="X156" i="1"/>
  <c r="Y156" i="1"/>
  <c r="X155" i="1"/>
  <c r="Y155" i="1"/>
  <c r="X158" i="1"/>
  <c r="Y158" i="1"/>
  <c r="A151" i="1"/>
  <c r="C151" i="1"/>
  <c r="B151" i="1" s="1"/>
  <c r="F151" i="1"/>
  <c r="M151" i="1"/>
  <c r="O151" i="1"/>
  <c r="S151" i="1"/>
  <c r="T151" i="1"/>
  <c r="U151" i="1"/>
  <c r="Y151" i="1" s="1"/>
  <c r="V151" i="1"/>
  <c r="W151" i="1" s="1"/>
  <c r="Z151" i="1"/>
  <c r="Q1177" i="1" l="1"/>
  <c r="Q430" i="1"/>
  <c r="Q655" i="1"/>
  <c r="Q536" i="1"/>
  <c r="Q148" i="1"/>
  <c r="Q218" i="1"/>
  <c r="Q1010" i="1"/>
  <c r="Q742" i="1"/>
  <c r="Q264" i="1"/>
  <c r="Q659" i="1"/>
  <c r="Q890" i="1"/>
  <c r="Q643" i="1"/>
  <c r="Q627" i="1"/>
  <c r="Q219" i="1"/>
  <c r="Q71" i="1"/>
  <c r="Q1074" i="1"/>
  <c r="P157" i="1"/>
  <c r="Q236" i="1"/>
  <c r="Q656" i="1"/>
  <c r="Q490" i="1"/>
  <c r="Q70" i="1"/>
  <c r="Q979" i="1"/>
  <c r="Q743" i="1"/>
  <c r="Q559" i="1"/>
  <c r="Q399" i="1"/>
  <c r="Q333" i="1"/>
  <c r="Q199" i="1"/>
  <c r="Q1191" i="1"/>
  <c r="Q891" i="1"/>
  <c r="Q491" i="1"/>
  <c r="Q26" i="1"/>
  <c r="Q1178" i="1"/>
  <c r="Q431" i="1"/>
  <c r="Q537" i="1"/>
  <c r="Q309" i="1"/>
  <c r="Q9" i="1"/>
  <c r="Q1225" i="1"/>
  <c r="Q432" i="1"/>
  <c r="Q538" i="1"/>
  <c r="Q149" i="1"/>
  <c r="P156" i="1"/>
  <c r="P155" i="1"/>
  <c r="P158" i="1"/>
  <c r="X151" i="1"/>
  <c r="R149" i="1" l="1"/>
  <c r="R9" i="1"/>
  <c r="D9" i="1" s="1"/>
  <c r="R537" i="1"/>
  <c r="R1178" i="1"/>
  <c r="R491" i="1"/>
  <c r="R1191" i="1"/>
  <c r="D1191" i="1" s="1"/>
  <c r="R333" i="1"/>
  <c r="D333" i="1" s="1"/>
  <c r="R559" i="1"/>
  <c r="R979" i="1"/>
  <c r="D980" i="1" s="1"/>
  <c r="R490" i="1"/>
  <c r="R236" i="1"/>
  <c r="D236" i="1" s="1"/>
  <c r="R1074" i="1"/>
  <c r="R219" i="1"/>
  <c r="R643" i="1"/>
  <c r="D643" i="1" s="1"/>
  <c r="R659" i="1"/>
  <c r="R742" i="1"/>
  <c r="D749" i="1" s="1"/>
  <c r="R218" i="1"/>
  <c r="R536" i="1"/>
  <c r="R430" i="1"/>
  <c r="R432" i="1"/>
  <c r="Q155" i="1"/>
  <c r="Q156" i="1"/>
  <c r="R538" i="1"/>
  <c r="Q158" i="1"/>
  <c r="P151" i="1"/>
  <c r="R1225" i="1"/>
  <c r="R309" i="1"/>
  <c r="D311" i="1" s="1"/>
  <c r="R431" i="1"/>
  <c r="R26" i="1"/>
  <c r="R891" i="1"/>
  <c r="D633" i="1" s="1"/>
  <c r="R199" i="1"/>
  <c r="R399" i="1"/>
  <c r="R743" i="1"/>
  <c r="R70" i="1"/>
  <c r="R656" i="1"/>
  <c r="Q157" i="1"/>
  <c r="R71" i="1"/>
  <c r="R627" i="1"/>
  <c r="R890" i="1"/>
  <c r="R264" i="1"/>
  <c r="D264" i="1" s="1"/>
  <c r="R1010" i="1"/>
  <c r="R148" i="1"/>
  <c r="R655" i="1"/>
  <c r="R1177" i="1"/>
  <c r="A245" i="1"/>
  <c r="C245" i="1"/>
  <c r="B245" i="1" s="1"/>
  <c r="D245" i="1"/>
  <c r="F245" i="1"/>
  <c r="M245" i="1"/>
  <c r="O245" i="1"/>
  <c r="S245" i="1"/>
  <c r="T245" i="1"/>
  <c r="U245" i="1"/>
  <c r="Y245" i="1" s="1"/>
  <c r="V245" i="1"/>
  <c r="W245" i="1" s="1"/>
  <c r="Z245" i="1"/>
  <c r="F57" i="6"/>
  <c r="D57" i="6"/>
  <c r="I57" i="6"/>
  <c r="A273" i="1"/>
  <c r="C273" i="1"/>
  <c r="B273" i="1" s="1"/>
  <c r="F273" i="1"/>
  <c r="M273" i="1"/>
  <c r="O273" i="1"/>
  <c r="T273" i="1"/>
  <c r="U273" i="1"/>
  <c r="Y273" i="1" s="1"/>
  <c r="V273" i="1"/>
  <c r="W273" i="1" s="1"/>
  <c r="Z273" i="1"/>
  <c r="A657" i="1"/>
  <c r="C657" i="1"/>
  <c r="B657" i="1" s="1"/>
  <c r="F657" i="1"/>
  <c r="M657" i="1"/>
  <c r="O657" i="1"/>
  <c r="S657" i="1"/>
  <c r="T657" i="1"/>
  <c r="U657" i="1"/>
  <c r="Y657" i="1" s="1"/>
  <c r="V657" i="1"/>
  <c r="W657" i="1" s="1"/>
  <c r="Z657" i="1"/>
  <c r="D199" i="1" l="1"/>
  <c r="E57" i="6"/>
  <c r="R157" i="1"/>
  <c r="D399" i="1"/>
  <c r="D400" i="1"/>
  <c r="R158" i="1"/>
  <c r="R156" i="1"/>
  <c r="D1179" i="1"/>
  <c r="D1180" i="1"/>
  <c r="Q151" i="1"/>
  <c r="R155" i="1"/>
  <c r="J57" i="6"/>
  <c r="X245" i="1"/>
  <c r="X273" i="1"/>
  <c r="P273" i="1" s="1"/>
  <c r="X657" i="1"/>
  <c r="A154" i="1"/>
  <c r="C154" i="1"/>
  <c r="B154" i="1" s="1"/>
  <c r="F154" i="1"/>
  <c r="M154" i="1"/>
  <c r="O154" i="1"/>
  <c r="T154" i="1"/>
  <c r="U154" i="1"/>
  <c r="Y154" i="1" s="1"/>
  <c r="V154" i="1"/>
  <c r="W154" i="1" s="1"/>
  <c r="Z154" i="1"/>
  <c r="A153" i="1"/>
  <c r="C153" i="1"/>
  <c r="B153" i="1" s="1"/>
  <c r="F153" i="1"/>
  <c r="M153" i="1"/>
  <c r="O153" i="1"/>
  <c r="S153" i="1"/>
  <c r="T153" i="1"/>
  <c r="U153" i="1"/>
  <c r="Y153" i="1" s="1"/>
  <c r="V153" i="1"/>
  <c r="W153" i="1" s="1"/>
  <c r="Z153" i="1"/>
  <c r="A152" i="1"/>
  <c r="C152" i="1"/>
  <c r="B152" i="1" s="1"/>
  <c r="F152" i="1"/>
  <c r="M152" i="1"/>
  <c r="O152" i="1"/>
  <c r="T152" i="1"/>
  <c r="U152" i="1"/>
  <c r="Y152" i="1" s="1"/>
  <c r="V152" i="1"/>
  <c r="W152" i="1" s="1"/>
  <c r="Z152" i="1"/>
  <c r="A201" i="1"/>
  <c r="C201" i="1"/>
  <c r="B201" i="1" s="1"/>
  <c r="F201" i="1"/>
  <c r="M201" i="1"/>
  <c r="O201" i="1"/>
  <c r="S201" i="1"/>
  <c r="T201" i="1"/>
  <c r="U201" i="1"/>
  <c r="Y201" i="1" s="1"/>
  <c r="V201" i="1"/>
  <c r="W201" i="1" s="1"/>
  <c r="Z201" i="1"/>
  <c r="A1058" i="1"/>
  <c r="C1058" i="1"/>
  <c r="B1058" i="1" s="1"/>
  <c r="D1058" i="1"/>
  <c r="F1058" i="1"/>
  <c r="M1058" i="1"/>
  <c r="O1058" i="1"/>
  <c r="S1058" i="1"/>
  <c r="T1058" i="1"/>
  <c r="U1058" i="1"/>
  <c r="Y1058" i="1" s="1"/>
  <c r="V1058" i="1"/>
  <c r="W1058" i="1" s="1"/>
  <c r="Z1058" i="1"/>
  <c r="A1057" i="1"/>
  <c r="C1057" i="1"/>
  <c r="B1057" i="1" s="1"/>
  <c r="F1057" i="1"/>
  <c r="M1057" i="1"/>
  <c r="O1057" i="1"/>
  <c r="S1057" i="1"/>
  <c r="U1057" i="1"/>
  <c r="Y1057" i="1" s="1"/>
  <c r="V1057" i="1"/>
  <c r="W1057" i="1" s="1"/>
  <c r="Z1057" i="1"/>
  <c r="A997" i="1"/>
  <c r="C997" i="1"/>
  <c r="B997" i="1" s="1"/>
  <c r="F997" i="1"/>
  <c r="M997" i="1"/>
  <c r="O997" i="1"/>
  <c r="T997" i="1"/>
  <c r="U997" i="1"/>
  <c r="Y997" i="1" s="1"/>
  <c r="V997" i="1"/>
  <c r="W997" i="1" s="1"/>
  <c r="Z997" i="1"/>
  <c r="A800" i="1"/>
  <c r="C800" i="1"/>
  <c r="B800" i="1" s="1"/>
  <c r="F800" i="1"/>
  <c r="O800" i="1"/>
  <c r="T800" i="1"/>
  <c r="U800" i="1"/>
  <c r="V800" i="1"/>
  <c r="W800" i="1" s="1"/>
  <c r="Z800" i="1"/>
  <c r="A831" i="1"/>
  <c r="C831" i="1"/>
  <c r="B831" i="1" s="1"/>
  <c r="F831" i="1"/>
  <c r="M831" i="1"/>
  <c r="O831" i="1"/>
  <c r="T831" i="1"/>
  <c r="U831" i="1"/>
  <c r="Y831" i="1" s="1"/>
  <c r="V831" i="1"/>
  <c r="W831" i="1" s="1"/>
  <c r="Z831" i="1"/>
  <c r="Q273" i="1" l="1"/>
  <c r="P245" i="1"/>
  <c r="R151" i="1"/>
  <c r="D151" i="1" s="1"/>
  <c r="P657" i="1"/>
  <c r="X154" i="1"/>
  <c r="X153" i="1"/>
  <c r="X152" i="1"/>
  <c r="X201" i="1"/>
  <c r="X1057" i="1"/>
  <c r="X1058" i="1"/>
  <c r="T1057" i="1"/>
  <c r="X997" i="1"/>
  <c r="X800" i="1"/>
  <c r="Y800" i="1"/>
  <c r="X831" i="1"/>
  <c r="P1057" i="1" l="1"/>
  <c r="P154" i="1"/>
  <c r="P152" i="1"/>
  <c r="Q657" i="1"/>
  <c r="R273" i="1"/>
  <c r="D273" i="1" s="1"/>
  <c r="P800" i="1"/>
  <c r="P831" i="1"/>
  <c r="Q831" i="1" s="1"/>
  <c r="P1058" i="1"/>
  <c r="P153" i="1"/>
  <c r="Q245" i="1"/>
  <c r="P997" i="1"/>
  <c r="P201" i="1"/>
  <c r="A1092" i="1"/>
  <c r="C1092" i="1"/>
  <c r="B1092" i="1" s="1"/>
  <c r="F1092" i="1"/>
  <c r="O1092" i="1"/>
  <c r="T1092" i="1"/>
  <c r="U1092" i="1"/>
  <c r="Y1092" i="1" s="1"/>
  <c r="V1092" i="1"/>
  <c r="W1092" i="1" s="1"/>
  <c r="Z1092" i="1"/>
  <c r="A150" i="1"/>
  <c r="C150" i="1"/>
  <c r="B150" i="1" s="1"/>
  <c r="F150" i="1"/>
  <c r="M150" i="1"/>
  <c r="O150" i="1"/>
  <c r="T150" i="1"/>
  <c r="U150" i="1"/>
  <c r="Y150" i="1" s="1"/>
  <c r="V150" i="1"/>
  <c r="W150" i="1" s="1"/>
  <c r="Z150" i="1"/>
  <c r="A758" i="1"/>
  <c r="C758" i="1"/>
  <c r="B758" i="1" s="1"/>
  <c r="F758" i="1"/>
  <c r="O758" i="1"/>
  <c r="T758" i="1"/>
  <c r="U758" i="1"/>
  <c r="Y758" i="1" s="1"/>
  <c r="V758" i="1"/>
  <c r="W758" i="1" s="1"/>
  <c r="Z758" i="1"/>
  <c r="A757" i="1"/>
  <c r="C757" i="1"/>
  <c r="B757" i="1" s="1"/>
  <c r="F757" i="1"/>
  <c r="O757" i="1"/>
  <c r="U757" i="1"/>
  <c r="Y757" i="1" s="1"/>
  <c r="V757" i="1"/>
  <c r="W757" i="1" s="1"/>
  <c r="Z757" i="1"/>
  <c r="A234" i="1"/>
  <c r="C234" i="1"/>
  <c r="B234" i="1" s="1"/>
  <c r="F234" i="1"/>
  <c r="M234" i="1"/>
  <c r="O234" i="1"/>
  <c r="S234" i="1"/>
  <c r="T234" i="1"/>
  <c r="U234" i="1"/>
  <c r="Y234" i="1" s="1"/>
  <c r="V234" i="1"/>
  <c r="W234" i="1" s="1"/>
  <c r="Z234" i="1"/>
  <c r="A147" i="1"/>
  <c r="C147" i="1"/>
  <c r="B147" i="1" s="1"/>
  <c r="F147" i="1"/>
  <c r="M147" i="1"/>
  <c r="O147" i="1"/>
  <c r="S147" i="1"/>
  <c r="T147" i="1"/>
  <c r="U147" i="1"/>
  <c r="Y147" i="1" s="1"/>
  <c r="V147" i="1"/>
  <c r="W147" i="1" s="1"/>
  <c r="Z147" i="1"/>
  <c r="Q997" i="1" l="1"/>
  <c r="Q153" i="1"/>
  <c r="R831" i="1"/>
  <c r="D831" i="1" s="1"/>
  <c r="Q201" i="1"/>
  <c r="R245" i="1"/>
  <c r="Q1058" i="1"/>
  <c r="Q800" i="1"/>
  <c r="R657" i="1"/>
  <c r="D657" i="1" s="1"/>
  <c r="Q154" i="1"/>
  <c r="Q152" i="1"/>
  <c r="Q1057" i="1"/>
  <c r="X150" i="1"/>
  <c r="X1092" i="1"/>
  <c r="R1092" i="1"/>
  <c r="D1092" i="1" s="1"/>
  <c r="X757" i="1"/>
  <c r="X758" i="1"/>
  <c r="T757" i="1"/>
  <c r="X147" i="1"/>
  <c r="X234" i="1"/>
  <c r="P234" i="1" l="1"/>
  <c r="Q757" i="1"/>
  <c r="P147" i="1"/>
  <c r="P1092" i="1"/>
  <c r="R154" i="1"/>
  <c r="D154" i="1" s="1"/>
  <c r="R800" i="1"/>
  <c r="D800" i="1" s="1"/>
  <c r="Q758" i="1"/>
  <c r="P150" i="1"/>
  <c r="R152" i="1"/>
  <c r="D152" i="1" s="1"/>
  <c r="R1058" i="1"/>
  <c r="R201" i="1"/>
  <c r="D201" i="1" s="1"/>
  <c r="R153" i="1"/>
  <c r="D153" i="1" s="1"/>
  <c r="R1057" i="1"/>
  <c r="D1057" i="1" s="1"/>
  <c r="R997" i="1"/>
  <c r="D997" i="1" s="1"/>
  <c r="D757" i="1"/>
  <c r="D758" i="1"/>
  <c r="R758" i="1" l="1"/>
  <c r="Q150" i="1"/>
  <c r="R757" i="1"/>
  <c r="Q147" i="1"/>
  <c r="Q234" i="1"/>
  <c r="A322" i="1"/>
  <c r="C322" i="1"/>
  <c r="B322" i="1" s="1"/>
  <c r="F322" i="1"/>
  <c r="M322" i="1"/>
  <c r="O322" i="1"/>
  <c r="T322" i="1"/>
  <c r="U322" i="1"/>
  <c r="Y322" i="1" s="1"/>
  <c r="V322" i="1"/>
  <c r="W322" i="1" s="1"/>
  <c r="Z322" i="1"/>
  <c r="A321" i="1"/>
  <c r="C321" i="1"/>
  <c r="B321" i="1" s="1"/>
  <c r="F321" i="1"/>
  <c r="M321" i="1"/>
  <c r="O321" i="1"/>
  <c r="S321" i="1"/>
  <c r="U321" i="1"/>
  <c r="Y321" i="1" s="1"/>
  <c r="V321" i="1"/>
  <c r="W321" i="1" s="1"/>
  <c r="Z321" i="1"/>
  <c r="A320" i="1"/>
  <c r="C320" i="1"/>
  <c r="B320" i="1" s="1"/>
  <c r="F320" i="1"/>
  <c r="M320" i="1"/>
  <c r="O320" i="1"/>
  <c r="S320" i="1"/>
  <c r="U320" i="1"/>
  <c r="Y320" i="1" s="1"/>
  <c r="V320" i="1"/>
  <c r="W320" i="1" s="1"/>
  <c r="Z320" i="1"/>
  <c r="A319" i="1"/>
  <c r="C319" i="1"/>
  <c r="B319" i="1" s="1"/>
  <c r="F319" i="1"/>
  <c r="M319" i="1"/>
  <c r="O319" i="1"/>
  <c r="S319" i="1"/>
  <c r="U319" i="1"/>
  <c r="Y319" i="1" s="1"/>
  <c r="V319" i="1"/>
  <c r="W319" i="1" s="1"/>
  <c r="Z319" i="1"/>
  <c r="A145" i="1"/>
  <c r="C145" i="1"/>
  <c r="B145" i="1" s="1"/>
  <c r="F145" i="1"/>
  <c r="M145" i="1"/>
  <c r="O145" i="1"/>
  <c r="S145" i="1"/>
  <c r="T145" i="1"/>
  <c r="U145" i="1"/>
  <c r="Y145" i="1" s="1"/>
  <c r="V145" i="1"/>
  <c r="W145" i="1" s="1"/>
  <c r="Z145" i="1"/>
  <c r="A144" i="1"/>
  <c r="C144" i="1"/>
  <c r="B144" i="1" s="1"/>
  <c r="F144" i="1"/>
  <c r="M144" i="1"/>
  <c r="O144" i="1"/>
  <c r="S144" i="1"/>
  <c r="U144" i="1"/>
  <c r="Y144" i="1" s="1"/>
  <c r="V144" i="1"/>
  <c r="W144" i="1" s="1"/>
  <c r="Z144" i="1"/>
  <c r="A244" i="1"/>
  <c r="C244" i="1"/>
  <c r="B244" i="1" s="1"/>
  <c r="F244" i="1"/>
  <c r="M244" i="1"/>
  <c r="O244" i="1"/>
  <c r="S244" i="1"/>
  <c r="U244" i="1"/>
  <c r="Y244" i="1" s="1"/>
  <c r="V244" i="1"/>
  <c r="W244" i="1" s="1"/>
  <c r="Z244" i="1"/>
  <c r="A243" i="1"/>
  <c r="C243" i="1"/>
  <c r="B243" i="1" s="1"/>
  <c r="F243" i="1"/>
  <c r="M243" i="1"/>
  <c r="O243" i="1"/>
  <c r="S243" i="1"/>
  <c r="T243" i="1"/>
  <c r="U243" i="1"/>
  <c r="Y243" i="1" s="1"/>
  <c r="V243" i="1"/>
  <c r="W243" i="1" s="1"/>
  <c r="Z243" i="1"/>
  <c r="A242" i="1"/>
  <c r="C242" i="1"/>
  <c r="B242" i="1" s="1"/>
  <c r="F242" i="1"/>
  <c r="M242" i="1"/>
  <c r="O242" i="1"/>
  <c r="S242" i="1"/>
  <c r="U242" i="1"/>
  <c r="Y242" i="1" s="1"/>
  <c r="V242" i="1"/>
  <c r="W242" i="1" s="1"/>
  <c r="Z242" i="1"/>
  <c r="R147" i="1" l="1"/>
  <c r="D147" i="1" s="1"/>
  <c r="R150" i="1"/>
  <c r="D150" i="1" s="1"/>
  <c r="R234" i="1"/>
  <c r="D234" i="1" s="1"/>
  <c r="X321" i="1"/>
  <c r="X322" i="1"/>
  <c r="T321" i="1"/>
  <c r="X320" i="1"/>
  <c r="T320" i="1"/>
  <c r="T319" i="1"/>
  <c r="X319" i="1"/>
  <c r="X145" i="1"/>
  <c r="T144" i="1"/>
  <c r="X144" i="1"/>
  <c r="T244" i="1"/>
  <c r="X244" i="1"/>
  <c r="X243" i="1"/>
  <c r="T242" i="1"/>
  <c r="X242" i="1"/>
  <c r="P242" i="1" l="1"/>
  <c r="P319" i="1"/>
  <c r="P243" i="1"/>
  <c r="P321" i="1"/>
  <c r="P244" i="1"/>
  <c r="P145" i="1"/>
  <c r="P320" i="1"/>
  <c r="P144" i="1"/>
  <c r="P322" i="1"/>
  <c r="D321" i="1"/>
  <c r="D322" i="1"/>
  <c r="D319" i="1"/>
  <c r="D320" i="1"/>
  <c r="D244" i="1"/>
  <c r="D144" i="1"/>
  <c r="D242" i="1"/>
  <c r="D243" i="1"/>
  <c r="Q144" i="1" l="1"/>
  <c r="Q145" i="1"/>
  <c r="Q321" i="1"/>
  <c r="Q319" i="1"/>
  <c r="Q322" i="1"/>
  <c r="Q320" i="1"/>
  <c r="Q244" i="1"/>
  <c r="Q243" i="1"/>
  <c r="Q242" i="1"/>
  <c r="A1105" i="1"/>
  <c r="C1105" i="1"/>
  <c r="B1105" i="1" s="1"/>
  <c r="D1105" i="1"/>
  <c r="F1105" i="1"/>
  <c r="M1105" i="1"/>
  <c r="O1105" i="1"/>
  <c r="S1105" i="1"/>
  <c r="T1105" i="1"/>
  <c r="U1105" i="1"/>
  <c r="V1105" i="1"/>
  <c r="W1105" i="1" s="1"/>
  <c r="Z1105" i="1"/>
  <c r="A830" i="1"/>
  <c r="C830" i="1"/>
  <c r="B830" i="1" s="1"/>
  <c r="D830" i="1"/>
  <c r="F830" i="1"/>
  <c r="M830" i="1"/>
  <c r="S830" i="1"/>
  <c r="T830" i="1"/>
  <c r="U830" i="1"/>
  <c r="Y830" i="1" s="1"/>
  <c r="V830" i="1"/>
  <c r="W830" i="1" s="1"/>
  <c r="Z830" i="1"/>
  <c r="A907" i="1"/>
  <c r="C907" i="1"/>
  <c r="B907" i="1" s="1"/>
  <c r="D907" i="1"/>
  <c r="F907" i="1"/>
  <c r="M907" i="1"/>
  <c r="O907" i="1"/>
  <c r="S907" i="1"/>
  <c r="T907" i="1"/>
  <c r="U907" i="1"/>
  <c r="V907" i="1"/>
  <c r="W907" i="1" s="1"/>
  <c r="Z907" i="1"/>
  <c r="A1202" i="1"/>
  <c r="C1202" i="1"/>
  <c r="B1202" i="1" s="1"/>
  <c r="D1202" i="1"/>
  <c r="F1202" i="1"/>
  <c r="O1202" i="1"/>
  <c r="S1202" i="1"/>
  <c r="T1202" i="1"/>
  <c r="U1202" i="1"/>
  <c r="Y1202" i="1" s="1"/>
  <c r="V1202" i="1"/>
  <c r="W1202" i="1" s="1"/>
  <c r="Z1202" i="1"/>
  <c r="D600" i="6"/>
  <c r="D525" i="6"/>
  <c r="R243" i="1" l="1"/>
  <c r="R320" i="1"/>
  <c r="R319" i="1"/>
  <c r="R145" i="1"/>
  <c r="D145" i="1" s="1"/>
  <c r="R242" i="1"/>
  <c r="R244" i="1"/>
  <c r="R322" i="1"/>
  <c r="R321" i="1"/>
  <c r="R144" i="1"/>
  <c r="X1105" i="1"/>
  <c r="Y1105" i="1"/>
  <c r="X907" i="1"/>
  <c r="Y907" i="1"/>
  <c r="X830" i="1"/>
  <c r="X1202" i="1"/>
  <c r="A143" i="1"/>
  <c r="C143" i="1"/>
  <c r="T143" i="1" s="1"/>
  <c r="D143" i="1"/>
  <c r="F143" i="1"/>
  <c r="M143" i="1"/>
  <c r="O143" i="1"/>
  <c r="S143" i="1"/>
  <c r="U143" i="1"/>
  <c r="Y143" i="1" s="1"/>
  <c r="V143" i="1"/>
  <c r="W143" i="1" s="1"/>
  <c r="Z143" i="1"/>
  <c r="A142" i="1"/>
  <c r="C142" i="1"/>
  <c r="B142" i="1" s="1"/>
  <c r="D142" i="1"/>
  <c r="F142" i="1"/>
  <c r="M142" i="1"/>
  <c r="O142" i="1"/>
  <c r="S142" i="1"/>
  <c r="U142" i="1"/>
  <c r="Y142" i="1" s="1"/>
  <c r="V142" i="1"/>
  <c r="W142" i="1" s="1"/>
  <c r="Z142" i="1"/>
  <c r="A141" i="1"/>
  <c r="C141" i="1"/>
  <c r="B141" i="1" s="1"/>
  <c r="D141" i="1"/>
  <c r="F141" i="1"/>
  <c r="M141" i="1"/>
  <c r="O141" i="1"/>
  <c r="S141" i="1"/>
  <c r="U141" i="1"/>
  <c r="Y141" i="1" s="1"/>
  <c r="V141" i="1"/>
  <c r="W141" i="1" s="1"/>
  <c r="Z141" i="1"/>
  <c r="A140" i="1"/>
  <c r="C140" i="1"/>
  <c r="B140" i="1" s="1"/>
  <c r="D140" i="1"/>
  <c r="F140" i="1"/>
  <c r="M140" i="1"/>
  <c r="O140" i="1"/>
  <c r="S140" i="1"/>
  <c r="U140" i="1"/>
  <c r="Y140" i="1" s="1"/>
  <c r="V140" i="1"/>
  <c r="W140" i="1" s="1"/>
  <c r="Z140" i="1"/>
  <c r="A139" i="1"/>
  <c r="C139" i="1"/>
  <c r="B139" i="1" s="1"/>
  <c r="D139" i="1"/>
  <c r="F139" i="1"/>
  <c r="M139" i="1"/>
  <c r="O139" i="1"/>
  <c r="S139" i="1"/>
  <c r="U139" i="1"/>
  <c r="Y139" i="1" s="1"/>
  <c r="V139" i="1"/>
  <c r="W139" i="1" s="1"/>
  <c r="Z139" i="1"/>
  <c r="A138" i="1"/>
  <c r="C138" i="1"/>
  <c r="B138" i="1" s="1"/>
  <c r="F138" i="1"/>
  <c r="M138" i="1"/>
  <c r="O138" i="1"/>
  <c r="S138" i="1"/>
  <c r="U138" i="1"/>
  <c r="Y138" i="1" s="1"/>
  <c r="V138" i="1"/>
  <c r="W138" i="1" s="1"/>
  <c r="Z138" i="1"/>
  <c r="E417" i="6"/>
  <c r="F417" i="6"/>
  <c r="I417" i="6"/>
  <c r="J417" i="6"/>
  <c r="E416" i="6"/>
  <c r="F416" i="6"/>
  <c r="I416" i="6"/>
  <c r="J416" i="6"/>
  <c r="E461" i="6"/>
  <c r="F461" i="6"/>
  <c r="I461" i="6"/>
  <c r="J461" i="6"/>
  <c r="A332" i="1"/>
  <c r="C332" i="1"/>
  <c r="B332" i="1" s="1"/>
  <c r="F332" i="1"/>
  <c r="M332" i="1"/>
  <c r="O332" i="1"/>
  <c r="T332" i="1"/>
  <c r="U332" i="1"/>
  <c r="Y332" i="1" s="1"/>
  <c r="V332" i="1"/>
  <c r="W332" i="1" s="1"/>
  <c r="Z332" i="1"/>
  <c r="A69" i="1"/>
  <c r="C69" i="1"/>
  <c r="B69" i="1" s="1"/>
  <c r="F69" i="1"/>
  <c r="M69" i="1"/>
  <c r="O69" i="1"/>
  <c r="S69" i="1"/>
  <c r="U69" i="1"/>
  <c r="Y69" i="1" s="1"/>
  <c r="V69" i="1"/>
  <c r="W69" i="1" s="1"/>
  <c r="Z69" i="1"/>
  <c r="A68" i="1"/>
  <c r="C68" i="1"/>
  <c r="B68" i="1" s="1"/>
  <c r="F68" i="1"/>
  <c r="M68" i="1"/>
  <c r="O68" i="1"/>
  <c r="S68" i="1"/>
  <c r="U68" i="1"/>
  <c r="V68" i="1"/>
  <c r="W68" i="1" s="1"/>
  <c r="Z68" i="1"/>
  <c r="A67" i="1"/>
  <c r="C67" i="1"/>
  <c r="B67" i="1" s="1"/>
  <c r="F67" i="1"/>
  <c r="M67" i="1"/>
  <c r="O67" i="1"/>
  <c r="U67" i="1"/>
  <c r="Y67" i="1" s="1"/>
  <c r="V67" i="1"/>
  <c r="W67" i="1" s="1"/>
  <c r="Z67" i="1"/>
  <c r="A415" i="1"/>
  <c r="C415" i="1"/>
  <c r="B415" i="1" s="1"/>
  <c r="F415" i="1"/>
  <c r="M415" i="1"/>
  <c r="O415" i="1"/>
  <c r="T415" i="1"/>
  <c r="U415" i="1"/>
  <c r="Y415" i="1" s="1"/>
  <c r="V415" i="1"/>
  <c r="W415" i="1" s="1"/>
  <c r="Z415" i="1"/>
  <c r="A406" i="1"/>
  <c r="C406" i="1"/>
  <c r="B406" i="1" s="1"/>
  <c r="F406" i="1"/>
  <c r="M406" i="1"/>
  <c r="O406" i="1"/>
  <c r="U406" i="1"/>
  <c r="Y406" i="1" s="1"/>
  <c r="V406" i="1"/>
  <c r="W406" i="1" s="1"/>
  <c r="Z406" i="1"/>
  <c r="A14" i="1"/>
  <c r="C14" i="1"/>
  <c r="B14" i="1" s="1"/>
  <c r="F14" i="1"/>
  <c r="M14" i="1"/>
  <c r="O14" i="1"/>
  <c r="T14" i="1"/>
  <c r="U14" i="1"/>
  <c r="Y14" i="1" s="1"/>
  <c r="V14" i="1"/>
  <c r="W14" i="1" s="1"/>
  <c r="Z14" i="1"/>
  <c r="A15" i="1"/>
  <c r="C15" i="1"/>
  <c r="B15" i="1" s="1"/>
  <c r="F15" i="1"/>
  <c r="M15" i="1"/>
  <c r="O15" i="1"/>
  <c r="T15" i="1"/>
  <c r="U15" i="1"/>
  <c r="Y15" i="1" s="1"/>
  <c r="V15" i="1"/>
  <c r="W15" i="1" s="1"/>
  <c r="Z15" i="1"/>
  <c r="A308" i="1"/>
  <c r="C308" i="1"/>
  <c r="B308" i="1" s="1"/>
  <c r="F308" i="1"/>
  <c r="M308" i="1"/>
  <c r="O308" i="1"/>
  <c r="U308" i="1"/>
  <c r="Y308" i="1" s="1"/>
  <c r="V308" i="1"/>
  <c r="W308" i="1" s="1"/>
  <c r="Z308" i="1"/>
  <c r="A286" i="1"/>
  <c r="C286" i="1"/>
  <c r="B286" i="1" s="1"/>
  <c r="F286" i="1"/>
  <c r="M286" i="1"/>
  <c r="O286" i="1"/>
  <c r="U286" i="1"/>
  <c r="Y286" i="1" s="1"/>
  <c r="V286" i="1"/>
  <c r="W286" i="1" s="1"/>
  <c r="Z286" i="1"/>
  <c r="A285" i="1"/>
  <c r="C285" i="1"/>
  <c r="B285" i="1" s="1"/>
  <c r="F285" i="1"/>
  <c r="M285" i="1"/>
  <c r="O285" i="1"/>
  <c r="U285" i="1"/>
  <c r="Y285" i="1" s="1"/>
  <c r="V285" i="1"/>
  <c r="W285" i="1" s="1"/>
  <c r="Z285" i="1"/>
  <c r="A240" i="1"/>
  <c r="C240" i="1"/>
  <c r="B240" i="1" s="1"/>
  <c r="F240" i="1"/>
  <c r="M240" i="1"/>
  <c r="O240" i="1"/>
  <c r="T240" i="1"/>
  <c r="U240" i="1"/>
  <c r="Y240" i="1" s="1"/>
  <c r="V240" i="1"/>
  <c r="W240" i="1" s="1"/>
  <c r="Z240" i="1"/>
  <c r="A217" i="1"/>
  <c r="C217" i="1"/>
  <c r="B217" i="1" s="1"/>
  <c r="F217" i="1"/>
  <c r="M217" i="1"/>
  <c r="O217" i="1"/>
  <c r="T217" i="1"/>
  <c r="U217" i="1"/>
  <c r="Y217" i="1" s="1"/>
  <c r="V217" i="1"/>
  <c r="W217" i="1" s="1"/>
  <c r="Z217" i="1"/>
  <c r="A137" i="1"/>
  <c r="C137" i="1"/>
  <c r="B137" i="1" s="1"/>
  <c r="F137" i="1"/>
  <c r="M137" i="1"/>
  <c r="O137" i="1"/>
  <c r="T137" i="1"/>
  <c r="U137" i="1"/>
  <c r="Y137" i="1" s="1"/>
  <c r="V137" i="1"/>
  <c r="W137" i="1" s="1"/>
  <c r="Z137" i="1"/>
  <c r="A40" i="1"/>
  <c r="C40" i="1"/>
  <c r="B40" i="1" s="1"/>
  <c r="F40" i="1"/>
  <c r="M40" i="1"/>
  <c r="O40" i="1"/>
  <c r="S40" i="1"/>
  <c r="T40" i="1"/>
  <c r="U40" i="1"/>
  <c r="Y40" i="1" s="1"/>
  <c r="V40" i="1"/>
  <c r="W40" i="1" s="1"/>
  <c r="Z40" i="1"/>
  <c r="A146" i="1"/>
  <c r="C146" i="1"/>
  <c r="B146" i="1" s="1"/>
  <c r="F146" i="1"/>
  <c r="M146" i="1"/>
  <c r="O146" i="1"/>
  <c r="T146" i="1"/>
  <c r="U146" i="1"/>
  <c r="Y146" i="1" s="1"/>
  <c r="V146" i="1"/>
  <c r="W146" i="1" s="1"/>
  <c r="Z146" i="1"/>
  <c r="A271" i="1"/>
  <c r="C271" i="1"/>
  <c r="B271" i="1" s="1"/>
  <c r="F271" i="1"/>
  <c r="M271" i="1"/>
  <c r="O271" i="1"/>
  <c r="U271" i="1"/>
  <c r="Y271" i="1" s="1"/>
  <c r="V271" i="1"/>
  <c r="W271" i="1" s="1"/>
  <c r="Z271" i="1"/>
  <c r="A24" i="1"/>
  <c r="C24" i="1"/>
  <c r="B24" i="1" s="1"/>
  <c r="F24" i="1"/>
  <c r="M24" i="1"/>
  <c r="O24" i="1"/>
  <c r="U24" i="1"/>
  <c r="Y24" i="1" s="1"/>
  <c r="V24" i="1"/>
  <c r="W24" i="1" s="1"/>
  <c r="Z24" i="1"/>
  <c r="A25" i="1"/>
  <c r="C25" i="1"/>
  <c r="B25" i="1" s="1"/>
  <c r="F25" i="1"/>
  <c r="M25" i="1"/>
  <c r="O25" i="1"/>
  <c r="U25" i="1"/>
  <c r="Y25" i="1" s="1"/>
  <c r="V25" i="1"/>
  <c r="W25" i="1" s="1"/>
  <c r="Z25" i="1"/>
  <c r="A136" i="1"/>
  <c r="C136" i="1"/>
  <c r="B136" i="1" s="1"/>
  <c r="F136" i="1"/>
  <c r="M136" i="1"/>
  <c r="O136" i="1"/>
  <c r="T136" i="1"/>
  <c r="U136" i="1"/>
  <c r="Y136" i="1" s="1"/>
  <c r="V136" i="1"/>
  <c r="W136" i="1" s="1"/>
  <c r="Z136" i="1"/>
  <c r="A671" i="1"/>
  <c r="C671" i="1"/>
  <c r="B671" i="1" s="1"/>
  <c r="F671" i="1"/>
  <c r="M671" i="1"/>
  <c r="O671" i="1"/>
  <c r="B15" i="16" s="1"/>
  <c r="U671" i="1"/>
  <c r="Y671" i="1" s="1"/>
  <c r="V671" i="1"/>
  <c r="W671" i="1" s="1"/>
  <c r="Z671" i="1"/>
  <c r="A626" i="1"/>
  <c r="C626" i="1"/>
  <c r="B626" i="1" s="1"/>
  <c r="F626" i="1"/>
  <c r="M626" i="1"/>
  <c r="O626" i="1"/>
  <c r="U626" i="1"/>
  <c r="Y626" i="1" s="1"/>
  <c r="V626" i="1"/>
  <c r="W626" i="1" s="1"/>
  <c r="Z626" i="1"/>
  <c r="A682" i="1"/>
  <c r="C682" i="1"/>
  <c r="B682" i="1" s="1"/>
  <c r="F682" i="1"/>
  <c r="M682" i="1"/>
  <c r="O682" i="1"/>
  <c r="U682" i="1"/>
  <c r="Y682" i="1" s="1"/>
  <c r="V682" i="1"/>
  <c r="W682" i="1" s="1"/>
  <c r="Z682" i="1"/>
  <c r="A740" i="1"/>
  <c r="C740" i="1"/>
  <c r="B740" i="1" s="1"/>
  <c r="F740" i="1"/>
  <c r="M740" i="1"/>
  <c r="O740" i="1"/>
  <c r="U740" i="1"/>
  <c r="Y740" i="1" s="1"/>
  <c r="V740" i="1"/>
  <c r="W740" i="1" s="1"/>
  <c r="Z740" i="1"/>
  <c r="A741" i="1"/>
  <c r="C741" i="1"/>
  <c r="B741" i="1" s="1"/>
  <c r="F741" i="1"/>
  <c r="M741" i="1"/>
  <c r="O741" i="1"/>
  <c r="U741" i="1"/>
  <c r="Y741" i="1" s="1"/>
  <c r="V741" i="1"/>
  <c r="W741" i="1" s="1"/>
  <c r="Z741" i="1"/>
  <c r="A799" i="1"/>
  <c r="C799" i="1"/>
  <c r="B799" i="1" s="1"/>
  <c r="F799" i="1"/>
  <c r="M799" i="1"/>
  <c r="O799" i="1"/>
  <c r="U799" i="1"/>
  <c r="Y799" i="1" s="1"/>
  <c r="V799" i="1"/>
  <c r="W799" i="1" s="1"/>
  <c r="Z799" i="1"/>
  <c r="A798" i="1"/>
  <c r="C798" i="1"/>
  <c r="B798" i="1" s="1"/>
  <c r="F798" i="1"/>
  <c r="M798" i="1"/>
  <c r="O798" i="1"/>
  <c r="U798" i="1"/>
  <c r="Y798" i="1" s="1"/>
  <c r="V798" i="1"/>
  <c r="W798" i="1" s="1"/>
  <c r="Z798" i="1"/>
  <c r="A805" i="1"/>
  <c r="C805" i="1"/>
  <c r="B805" i="1" s="1"/>
  <c r="F805" i="1"/>
  <c r="M805" i="1"/>
  <c r="O805" i="1"/>
  <c r="U805" i="1"/>
  <c r="Y805" i="1" s="1"/>
  <c r="V805" i="1"/>
  <c r="W805" i="1" s="1"/>
  <c r="Z805" i="1"/>
  <c r="A955" i="1"/>
  <c r="C955" i="1"/>
  <c r="B955" i="1" s="1"/>
  <c r="F955" i="1"/>
  <c r="M955" i="1"/>
  <c r="O955" i="1"/>
  <c r="U955" i="1"/>
  <c r="Y955" i="1" s="1"/>
  <c r="V955" i="1"/>
  <c r="W955" i="1" s="1"/>
  <c r="Z955" i="1"/>
  <c r="A1009" i="1"/>
  <c r="C1009" i="1"/>
  <c r="B1009" i="1" s="1"/>
  <c r="F1009" i="1"/>
  <c r="M1009" i="1"/>
  <c r="O1009" i="1"/>
  <c r="U1009" i="1"/>
  <c r="Y1009" i="1" s="1"/>
  <c r="V1009" i="1"/>
  <c r="W1009" i="1" s="1"/>
  <c r="Z1009" i="1"/>
  <c r="A1224" i="1"/>
  <c r="C1224" i="1"/>
  <c r="B1224" i="1" s="1"/>
  <c r="F1224" i="1"/>
  <c r="M1224" i="1"/>
  <c r="O1224" i="1"/>
  <c r="U1224" i="1"/>
  <c r="V1224" i="1"/>
  <c r="W1224" i="1" s="1"/>
  <c r="Z1224" i="1"/>
  <c r="A1137" i="1"/>
  <c r="C1137" i="1"/>
  <c r="B1137" i="1" s="1"/>
  <c r="F1137" i="1"/>
  <c r="M1137" i="1"/>
  <c r="O1137" i="1"/>
  <c r="U1137" i="1"/>
  <c r="Y1137" i="1" s="1"/>
  <c r="V1137" i="1"/>
  <c r="W1137" i="1" s="1"/>
  <c r="Z1137" i="1"/>
  <c r="P830" i="1" l="1"/>
  <c r="P1202" i="1"/>
  <c r="P907" i="1"/>
  <c r="P1105" i="1"/>
  <c r="X140" i="1"/>
  <c r="X142" i="1"/>
  <c r="X141" i="1"/>
  <c r="X143" i="1"/>
  <c r="B143" i="1"/>
  <c r="T308" i="1"/>
  <c r="T142" i="1"/>
  <c r="T141" i="1"/>
  <c r="T140" i="1"/>
  <c r="T138" i="1"/>
  <c r="X139" i="1"/>
  <c r="T139" i="1"/>
  <c r="X138" i="1"/>
  <c r="T285" i="1"/>
  <c r="X332" i="1"/>
  <c r="X68" i="1"/>
  <c r="Y68" i="1"/>
  <c r="X69" i="1"/>
  <c r="P69" i="1" s="1"/>
  <c r="T69" i="1"/>
  <c r="T286" i="1"/>
  <c r="T406" i="1"/>
  <c r="T68" i="1"/>
  <c r="X406" i="1"/>
  <c r="X415" i="1"/>
  <c r="T67" i="1"/>
  <c r="X67" i="1"/>
  <c r="T24" i="1"/>
  <c r="X14" i="1"/>
  <c r="T671" i="1"/>
  <c r="X15" i="1"/>
  <c r="X308" i="1"/>
  <c r="X286" i="1"/>
  <c r="X217" i="1"/>
  <c r="X285" i="1"/>
  <c r="X240" i="1"/>
  <c r="X137" i="1"/>
  <c r="T25" i="1"/>
  <c r="X40" i="1"/>
  <c r="X146" i="1"/>
  <c r="T682" i="1"/>
  <c r="T271" i="1"/>
  <c r="X271" i="1"/>
  <c r="X25" i="1"/>
  <c r="X24" i="1"/>
  <c r="X136" i="1"/>
  <c r="T955" i="1"/>
  <c r="X671" i="1"/>
  <c r="T626" i="1"/>
  <c r="T799" i="1"/>
  <c r="X626" i="1"/>
  <c r="X682" i="1"/>
  <c r="T741" i="1"/>
  <c r="X798" i="1"/>
  <c r="T1009" i="1"/>
  <c r="T798" i="1"/>
  <c r="T740" i="1"/>
  <c r="T1224" i="1"/>
  <c r="X740" i="1"/>
  <c r="X741" i="1"/>
  <c r="X799" i="1"/>
  <c r="T805" i="1"/>
  <c r="X805" i="1"/>
  <c r="X955" i="1"/>
  <c r="X1009" i="1"/>
  <c r="X1224" i="1"/>
  <c r="Y1224" i="1"/>
  <c r="X1137" i="1"/>
  <c r="T1137" i="1"/>
  <c r="A599" i="1"/>
  <c r="C599" i="1"/>
  <c r="B599" i="1" s="1"/>
  <c r="F599" i="1"/>
  <c r="M599" i="1"/>
  <c r="O599" i="1"/>
  <c r="T599" i="1"/>
  <c r="U599" i="1"/>
  <c r="Y599" i="1" s="1"/>
  <c r="V599" i="1"/>
  <c r="W599" i="1" s="1"/>
  <c r="Z599" i="1"/>
  <c r="A598" i="1"/>
  <c r="C598" i="1"/>
  <c r="B598" i="1" s="1"/>
  <c r="F598" i="1"/>
  <c r="M598" i="1"/>
  <c r="O598" i="1"/>
  <c r="T598" i="1"/>
  <c r="U598" i="1"/>
  <c r="V598" i="1"/>
  <c r="W598" i="1" s="1"/>
  <c r="Z598" i="1"/>
  <c r="A597" i="1"/>
  <c r="C597" i="1"/>
  <c r="B597" i="1" s="1"/>
  <c r="F597" i="1"/>
  <c r="M597" i="1"/>
  <c r="O597" i="1"/>
  <c r="T597" i="1"/>
  <c r="U597" i="1"/>
  <c r="Y597" i="1" s="1"/>
  <c r="V597" i="1"/>
  <c r="W597" i="1" s="1"/>
  <c r="Z597" i="1"/>
  <c r="P1009" i="1" l="1"/>
  <c r="P799" i="1"/>
  <c r="P24" i="1"/>
  <c r="P137" i="1"/>
  <c r="P286" i="1"/>
  <c r="P14" i="1"/>
  <c r="P415" i="1"/>
  <c r="P143" i="1"/>
  <c r="Q1105" i="1"/>
  <c r="P1137" i="1"/>
  <c r="P955" i="1"/>
  <c r="P741" i="1"/>
  <c r="P682" i="1"/>
  <c r="P671" i="1"/>
  <c r="P25" i="1"/>
  <c r="P146" i="1"/>
  <c r="P240" i="1"/>
  <c r="P308" i="1"/>
  <c r="P406" i="1"/>
  <c r="P332" i="1"/>
  <c r="P139" i="1"/>
  <c r="P141" i="1"/>
  <c r="Q907" i="1"/>
  <c r="P805" i="1"/>
  <c r="Q805" i="1" s="1"/>
  <c r="P740" i="1"/>
  <c r="P626" i="1"/>
  <c r="P271" i="1"/>
  <c r="P40" i="1"/>
  <c r="P285" i="1"/>
  <c r="P15" i="1"/>
  <c r="P67" i="1"/>
  <c r="Q69" i="1"/>
  <c r="P142" i="1"/>
  <c r="Q830" i="1"/>
  <c r="P798" i="1"/>
  <c r="P136" i="1"/>
  <c r="P217" i="1"/>
  <c r="P138" i="1"/>
  <c r="P140" i="1"/>
  <c r="Q1202" i="1"/>
  <c r="D626" i="1"/>
  <c r="D627" i="1"/>
  <c r="D26" i="1"/>
  <c r="D146" i="1"/>
  <c r="D136" i="1"/>
  <c r="P68" i="1"/>
  <c r="D67" i="1"/>
  <c r="D68" i="1"/>
  <c r="D15" i="1"/>
  <c r="D798" i="1"/>
  <c r="D799" i="1"/>
  <c r="P1224" i="1"/>
  <c r="X599" i="1"/>
  <c r="X598" i="1"/>
  <c r="Y598" i="1"/>
  <c r="X597" i="1"/>
  <c r="A875" i="1"/>
  <c r="C875" i="1"/>
  <c r="B875" i="1" s="1"/>
  <c r="F875" i="1"/>
  <c r="M875" i="1"/>
  <c r="O875" i="1"/>
  <c r="U875" i="1"/>
  <c r="Y875" i="1" s="1"/>
  <c r="V875" i="1"/>
  <c r="W875" i="1" s="1"/>
  <c r="Z875" i="1"/>
  <c r="A874" i="1"/>
  <c r="C874" i="1"/>
  <c r="B874" i="1" s="1"/>
  <c r="F874" i="1"/>
  <c r="M874" i="1"/>
  <c r="O874" i="1"/>
  <c r="U874" i="1"/>
  <c r="Y874" i="1" s="1"/>
  <c r="V874" i="1"/>
  <c r="W874" i="1" s="1"/>
  <c r="Z874" i="1"/>
  <c r="Q68" i="1" l="1"/>
  <c r="R1202" i="1"/>
  <c r="Q138" i="1"/>
  <c r="Q136" i="1"/>
  <c r="Q142" i="1"/>
  <c r="Q67" i="1"/>
  <c r="Q285" i="1"/>
  <c r="Q271" i="1"/>
  <c r="Q740" i="1"/>
  <c r="Q14" i="1"/>
  <c r="Q137" i="1"/>
  <c r="Q799" i="1"/>
  <c r="R907" i="1"/>
  <c r="Q139" i="1"/>
  <c r="Q406" i="1"/>
  <c r="Q240" i="1"/>
  <c r="Q25" i="1"/>
  <c r="Q682" i="1"/>
  <c r="Q955" i="1"/>
  <c r="R1105" i="1"/>
  <c r="Q599" i="1"/>
  <c r="Q597" i="1"/>
  <c r="Q1224" i="1"/>
  <c r="R805" i="1"/>
  <c r="D805" i="1" s="1"/>
  <c r="Q140" i="1"/>
  <c r="Q217" i="1"/>
  <c r="Q798" i="1"/>
  <c r="R830" i="1"/>
  <c r="R69" i="1"/>
  <c r="Q15" i="1"/>
  <c r="Q40" i="1"/>
  <c r="Q626" i="1"/>
  <c r="Q415" i="1"/>
  <c r="Q286" i="1"/>
  <c r="Q24" i="1"/>
  <c r="Q1009" i="1"/>
  <c r="Q141" i="1"/>
  <c r="Q332" i="1"/>
  <c r="Q308" i="1"/>
  <c r="Q146" i="1"/>
  <c r="Q671" i="1"/>
  <c r="Q741" i="1"/>
  <c r="Q1137" i="1"/>
  <c r="Q143" i="1"/>
  <c r="T875" i="1"/>
  <c r="P598" i="1"/>
  <c r="D597" i="1"/>
  <c r="D599" i="1"/>
  <c r="D598" i="1"/>
  <c r="T874" i="1"/>
  <c r="X875" i="1"/>
  <c r="X874" i="1"/>
  <c r="E35" i="6"/>
  <c r="E47" i="6"/>
  <c r="E87" i="6"/>
  <c r="E143" i="6"/>
  <c r="E212" i="6"/>
  <c r="E302" i="6"/>
  <c r="E340" i="6"/>
  <c r="E413" i="6"/>
  <c r="E414" i="6"/>
  <c r="E428" i="6"/>
  <c r="E458" i="6"/>
  <c r="E460" i="6"/>
  <c r="E459" i="6"/>
  <c r="E478" i="6"/>
  <c r="E489" i="6"/>
  <c r="E511" i="6"/>
  <c r="E525" i="6"/>
  <c r="E600" i="6"/>
  <c r="E672" i="6"/>
  <c r="E659" i="6"/>
  <c r="E685" i="6"/>
  <c r="F35" i="6"/>
  <c r="F47" i="6"/>
  <c r="F87" i="6"/>
  <c r="F302" i="6"/>
  <c r="F340" i="6"/>
  <c r="F413" i="6"/>
  <c r="F414" i="6"/>
  <c r="F428" i="6"/>
  <c r="F458" i="6"/>
  <c r="F460" i="6"/>
  <c r="F459" i="6"/>
  <c r="F478" i="6"/>
  <c r="F489" i="6"/>
  <c r="F511" i="6"/>
  <c r="F525" i="6"/>
  <c r="I35" i="6"/>
  <c r="I47" i="6"/>
  <c r="I87" i="6"/>
  <c r="I143" i="6"/>
  <c r="I212" i="6"/>
  <c r="I302" i="6"/>
  <c r="I340" i="6"/>
  <c r="I413" i="6"/>
  <c r="I414" i="6"/>
  <c r="I428" i="6"/>
  <c r="I458" i="6"/>
  <c r="I460" i="6"/>
  <c r="I459" i="6"/>
  <c r="I478" i="6"/>
  <c r="I489" i="6"/>
  <c r="I511" i="6"/>
  <c r="I525" i="6"/>
  <c r="I600" i="6"/>
  <c r="I672" i="6"/>
  <c r="I659" i="6"/>
  <c r="I685" i="6"/>
  <c r="J35" i="6"/>
  <c r="J47" i="6"/>
  <c r="J87" i="6"/>
  <c r="J143" i="6"/>
  <c r="J212" i="6"/>
  <c r="J302" i="6"/>
  <c r="J340" i="6"/>
  <c r="J413" i="6"/>
  <c r="J414" i="6"/>
  <c r="J428" i="6"/>
  <c r="J458" i="6"/>
  <c r="J460" i="6"/>
  <c r="J459" i="6"/>
  <c r="J478" i="6"/>
  <c r="J489" i="6"/>
  <c r="J511" i="6"/>
  <c r="J525" i="6"/>
  <c r="J600" i="6"/>
  <c r="J672" i="6"/>
  <c r="J659" i="6"/>
  <c r="J685" i="6"/>
  <c r="E281" i="6"/>
  <c r="F281" i="6"/>
  <c r="I281" i="6"/>
  <c r="J281" i="6"/>
  <c r="A976" i="1"/>
  <c r="C976" i="1"/>
  <c r="B976" i="1" s="1"/>
  <c r="F976" i="1"/>
  <c r="M976" i="1"/>
  <c r="O976" i="1"/>
  <c r="U976" i="1"/>
  <c r="V976" i="1"/>
  <c r="W976" i="1" s="1"/>
  <c r="Z976" i="1"/>
  <c r="A977" i="1"/>
  <c r="C977" i="1"/>
  <c r="B977" i="1" s="1"/>
  <c r="F977" i="1"/>
  <c r="M977" i="1"/>
  <c r="O977" i="1"/>
  <c r="U977" i="1"/>
  <c r="V977" i="1"/>
  <c r="W977" i="1" s="1"/>
  <c r="Z977" i="1"/>
  <c r="A975" i="1"/>
  <c r="C975" i="1"/>
  <c r="B975" i="1" s="1"/>
  <c r="F975" i="1"/>
  <c r="M975" i="1"/>
  <c r="O975" i="1"/>
  <c r="U975" i="1"/>
  <c r="Y975" i="1" s="1"/>
  <c r="V975" i="1"/>
  <c r="W975" i="1" s="1"/>
  <c r="Z975" i="1"/>
  <c r="A978" i="1"/>
  <c r="C978" i="1"/>
  <c r="B978" i="1" s="1"/>
  <c r="F978" i="1"/>
  <c r="M978" i="1"/>
  <c r="O978" i="1"/>
  <c r="U978" i="1"/>
  <c r="V978" i="1"/>
  <c r="W978" i="1" s="1"/>
  <c r="Z978" i="1"/>
  <c r="A954" i="1"/>
  <c r="C954" i="1"/>
  <c r="B954" i="1" s="1"/>
  <c r="F954" i="1"/>
  <c r="M954" i="1"/>
  <c r="O954" i="1"/>
  <c r="U954" i="1"/>
  <c r="Y954" i="1" s="1"/>
  <c r="V954" i="1"/>
  <c r="W954" i="1" s="1"/>
  <c r="Z954" i="1"/>
  <c r="A66" i="104"/>
  <c r="B66" i="104"/>
  <c r="C66" i="104"/>
  <c r="R1137" i="1" l="1"/>
  <c r="R671" i="1"/>
  <c r="R308" i="1"/>
  <c r="D308" i="1" s="1"/>
  <c r="R141" i="1"/>
  <c r="R682" i="1"/>
  <c r="R240" i="1"/>
  <c r="D240" i="1" s="1"/>
  <c r="R139" i="1"/>
  <c r="R799" i="1"/>
  <c r="R14" i="1"/>
  <c r="D14" i="1" s="1"/>
  <c r="R271" i="1"/>
  <c r="D271" i="1" s="1"/>
  <c r="R67" i="1"/>
  <c r="D69" i="1" s="1"/>
  <c r="R136" i="1"/>
  <c r="P874" i="1"/>
  <c r="R24" i="1"/>
  <c r="R415" i="1"/>
  <c r="D415" i="1" s="1"/>
  <c r="R40" i="1"/>
  <c r="D40" i="1" s="1"/>
  <c r="R798" i="1"/>
  <c r="R140" i="1"/>
  <c r="R1224" i="1"/>
  <c r="R143" i="1"/>
  <c r="R741" i="1"/>
  <c r="R146" i="1"/>
  <c r="R332" i="1"/>
  <c r="D332" i="1" s="1"/>
  <c r="R599" i="1"/>
  <c r="R955" i="1"/>
  <c r="R25" i="1"/>
  <c r="R406" i="1"/>
  <c r="R137" i="1"/>
  <c r="D137" i="1" s="1"/>
  <c r="R740" i="1"/>
  <c r="R285" i="1"/>
  <c r="R142" i="1"/>
  <c r="R138" i="1"/>
  <c r="D138" i="1" s="1"/>
  <c r="R68" i="1"/>
  <c r="P875" i="1"/>
  <c r="Q598" i="1"/>
  <c r="R1009" i="1"/>
  <c r="R286" i="1"/>
  <c r="R626" i="1"/>
  <c r="R15" i="1"/>
  <c r="R217" i="1"/>
  <c r="D217" i="1" s="1"/>
  <c r="R597" i="1"/>
  <c r="T976" i="1"/>
  <c r="T978" i="1"/>
  <c r="X976" i="1"/>
  <c r="X977" i="1"/>
  <c r="Y976" i="1"/>
  <c r="Y977" i="1"/>
  <c r="T975" i="1"/>
  <c r="T977" i="1"/>
  <c r="X975" i="1"/>
  <c r="X978" i="1"/>
  <c r="Y978" i="1"/>
  <c r="X954" i="1"/>
  <c r="T954" i="1"/>
  <c r="A739" i="1"/>
  <c r="C739" i="1"/>
  <c r="B739" i="1" s="1"/>
  <c r="F739" i="1"/>
  <c r="M739" i="1"/>
  <c r="O739" i="1"/>
  <c r="U739" i="1"/>
  <c r="V739" i="1"/>
  <c r="W739" i="1" s="1"/>
  <c r="Z739" i="1"/>
  <c r="A738" i="1"/>
  <c r="C738" i="1"/>
  <c r="B738" i="1" s="1"/>
  <c r="F738" i="1"/>
  <c r="M738" i="1"/>
  <c r="O738" i="1"/>
  <c r="U738" i="1"/>
  <c r="Y738" i="1" s="1"/>
  <c r="V738" i="1"/>
  <c r="W738" i="1" s="1"/>
  <c r="Z738" i="1"/>
  <c r="A763" i="1"/>
  <c r="C763" i="1"/>
  <c r="B763" i="1" s="1"/>
  <c r="F763" i="1"/>
  <c r="M763" i="1"/>
  <c r="O763" i="1"/>
  <c r="U763" i="1"/>
  <c r="Y763" i="1" s="1"/>
  <c r="V763" i="1"/>
  <c r="W763" i="1" s="1"/>
  <c r="Z763" i="1"/>
  <c r="A639" i="1"/>
  <c r="C639" i="1"/>
  <c r="B639" i="1" s="1"/>
  <c r="F639" i="1"/>
  <c r="M639" i="1"/>
  <c r="O639" i="1"/>
  <c r="U639" i="1"/>
  <c r="Y639" i="1" s="1"/>
  <c r="V639" i="1"/>
  <c r="W639" i="1" s="1"/>
  <c r="Z639" i="1"/>
  <c r="A1223" i="1"/>
  <c r="C1223" i="1"/>
  <c r="B1223" i="1" s="1"/>
  <c r="F1223" i="1"/>
  <c r="M1223" i="1"/>
  <c r="O1223" i="1"/>
  <c r="U1223" i="1"/>
  <c r="Y1223" i="1" s="1"/>
  <c r="V1223" i="1"/>
  <c r="W1223" i="1" s="1"/>
  <c r="Z1223" i="1"/>
  <c r="A357" i="1"/>
  <c r="C357" i="1"/>
  <c r="B357" i="1" s="1"/>
  <c r="F357" i="1"/>
  <c r="M357" i="1"/>
  <c r="O357" i="1"/>
  <c r="U357" i="1"/>
  <c r="Y357" i="1" s="1"/>
  <c r="V357" i="1"/>
  <c r="W357" i="1" s="1"/>
  <c r="Z357" i="1"/>
  <c r="A1190" i="1"/>
  <c r="C1190" i="1"/>
  <c r="B1190" i="1" s="1"/>
  <c r="F1190" i="1"/>
  <c r="M1190" i="1"/>
  <c r="O1190" i="1"/>
  <c r="U1190" i="1"/>
  <c r="Y1190" i="1" s="1"/>
  <c r="V1190" i="1"/>
  <c r="W1190" i="1" s="1"/>
  <c r="Z1190" i="1"/>
  <c r="A1189" i="1"/>
  <c r="C1189" i="1"/>
  <c r="B1189" i="1" s="1"/>
  <c r="F1189" i="1"/>
  <c r="M1189" i="1"/>
  <c r="O1189" i="1"/>
  <c r="U1189" i="1"/>
  <c r="V1189" i="1"/>
  <c r="W1189" i="1" s="1"/>
  <c r="Z1189" i="1"/>
  <c r="A1176" i="1"/>
  <c r="C1176" i="1"/>
  <c r="B1176" i="1" s="1"/>
  <c r="F1176" i="1"/>
  <c r="M1176" i="1"/>
  <c r="O1176" i="1"/>
  <c r="U1176" i="1"/>
  <c r="Y1176" i="1" s="1"/>
  <c r="V1176" i="1"/>
  <c r="W1176" i="1" s="1"/>
  <c r="Z1176" i="1"/>
  <c r="A1116" i="1"/>
  <c r="C1116" i="1"/>
  <c r="B1116" i="1" s="1"/>
  <c r="F1116" i="1"/>
  <c r="M1116" i="1"/>
  <c r="O1116" i="1"/>
  <c r="U1116" i="1"/>
  <c r="Y1116" i="1" s="1"/>
  <c r="V1116" i="1"/>
  <c r="W1116" i="1" s="1"/>
  <c r="Z1116" i="1"/>
  <c r="A1115" i="1"/>
  <c r="C1115" i="1"/>
  <c r="B1115" i="1" s="1"/>
  <c r="F1115" i="1"/>
  <c r="M1115" i="1"/>
  <c r="O1115" i="1"/>
  <c r="U1115" i="1"/>
  <c r="Y1115" i="1" s="1"/>
  <c r="V1115" i="1"/>
  <c r="W1115" i="1" s="1"/>
  <c r="Z1115" i="1"/>
  <c r="A1114" i="1"/>
  <c r="C1114" i="1"/>
  <c r="B1114" i="1" s="1"/>
  <c r="F1114" i="1"/>
  <c r="M1114" i="1"/>
  <c r="O1114" i="1"/>
  <c r="U1114" i="1"/>
  <c r="Y1114" i="1" s="1"/>
  <c r="V1114" i="1"/>
  <c r="W1114" i="1" s="1"/>
  <c r="Z1114" i="1"/>
  <c r="A1008" i="1"/>
  <c r="C1008" i="1"/>
  <c r="B1008" i="1" s="1"/>
  <c r="F1008" i="1"/>
  <c r="M1008" i="1"/>
  <c r="O1008" i="1"/>
  <c r="U1008" i="1"/>
  <c r="Y1008" i="1" s="1"/>
  <c r="V1008" i="1"/>
  <c r="W1008" i="1" s="1"/>
  <c r="Z1008" i="1"/>
  <c r="A973" i="1"/>
  <c r="C973" i="1"/>
  <c r="B973" i="1" s="1"/>
  <c r="F973" i="1"/>
  <c r="M973" i="1"/>
  <c r="O973" i="1"/>
  <c r="U973" i="1"/>
  <c r="Y973" i="1" s="1"/>
  <c r="V973" i="1"/>
  <c r="W973" i="1" s="1"/>
  <c r="Z973" i="1"/>
  <c r="A924" i="1"/>
  <c r="C924" i="1"/>
  <c r="B924" i="1" s="1"/>
  <c r="F924" i="1"/>
  <c r="M924" i="1"/>
  <c r="O924" i="1"/>
  <c r="U924" i="1"/>
  <c r="Y924" i="1" s="1"/>
  <c r="V924" i="1"/>
  <c r="W924" i="1" s="1"/>
  <c r="Z924" i="1"/>
  <c r="A683" i="1"/>
  <c r="C683" i="1"/>
  <c r="B683" i="1" s="1"/>
  <c r="F683" i="1"/>
  <c r="M683" i="1"/>
  <c r="O683" i="1"/>
  <c r="U683" i="1"/>
  <c r="Y683" i="1" s="1"/>
  <c r="V683" i="1"/>
  <c r="W683" i="1" s="1"/>
  <c r="Z683" i="1"/>
  <c r="A680" i="1"/>
  <c r="C680" i="1"/>
  <c r="B680" i="1" s="1"/>
  <c r="F680" i="1"/>
  <c r="M680" i="1"/>
  <c r="O680" i="1"/>
  <c r="U680" i="1"/>
  <c r="Y680" i="1" s="1"/>
  <c r="V680" i="1"/>
  <c r="W680" i="1" s="1"/>
  <c r="Z680" i="1"/>
  <c r="A681" i="1"/>
  <c r="C681" i="1"/>
  <c r="B681" i="1" s="1"/>
  <c r="F681" i="1"/>
  <c r="M681" i="1"/>
  <c r="O681" i="1"/>
  <c r="U681" i="1"/>
  <c r="Y681" i="1" s="1"/>
  <c r="V681" i="1"/>
  <c r="W681" i="1" s="1"/>
  <c r="Z681" i="1"/>
  <c r="A522" i="1"/>
  <c r="C522" i="1"/>
  <c r="B522" i="1" s="1"/>
  <c r="F522" i="1"/>
  <c r="M522" i="1"/>
  <c r="O522" i="1"/>
  <c r="U522" i="1"/>
  <c r="Y522" i="1" s="1"/>
  <c r="V522" i="1"/>
  <c r="W522" i="1" s="1"/>
  <c r="Z522" i="1"/>
  <c r="A483" i="1"/>
  <c r="C483" i="1"/>
  <c r="B483" i="1" s="1"/>
  <c r="F483" i="1"/>
  <c r="M483" i="1"/>
  <c r="O483" i="1"/>
  <c r="U483" i="1"/>
  <c r="V483" i="1"/>
  <c r="W483" i="1" s="1"/>
  <c r="Z483" i="1"/>
  <c r="I65" i="104"/>
  <c r="A65" i="104"/>
  <c r="B65" i="104"/>
  <c r="C65" i="104"/>
  <c r="P954" i="1" l="1"/>
  <c r="Q874" i="1"/>
  <c r="P975" i="1"/>
  <c r="Q875" i="1"/>
  <c r="D671" i="1"/>
  <c r="R598" i="1"/>
  <c r="D954" i="1"/>
  <c r="D955" i="1"/>
  <c r="T739" i="1"/>
  <c r="P976" i="1"/>
  <c r="T763" i="1"/>
  <c r="P977" i="1"/>
  <c r="P978" i="1"/>
  <c r="Q978" i="1" s="1"/>
  <c r="T357" i="1"/>
  <c r="T1116" i="1"/>
  <c r="T1223" i="1"/>
  <c r="X739" i="1"/>
  <c r="Y739" i="1"/>
  <c r="X738" i="1"/>
  <c r="T738" i="1"/>
  <c r="X763" i="1"/>
  <c r="T639" i="1"/>
  <c r="X639" i="1"/>
  <c r="T1176" i="1"/>
  <c r="X1223" i="1"/>
  <c r="X357" i="1"/>
  <c r="T1190" i="1"/>
  <c r="X1190" i="1"/>
  <c r="T1115" i="1"/>
  <c r="X1189" i="1"/>
  <c r="Y1189" i="1"/>
  <c r="T1189" i="1"/>
  <c r="X1176" i="1"/>
  <c r="X1116" i="1"/>
  <c r="X1115" i="1"/>
  <c r="T1008" i="1"/>
  <c r="T924" i="1"/>
  <c r="T973" i="1"/>
  <c r="T1114" i="1"/>
  <c r="X1114" i="1"/>
  <c r="X1008" i="1"/>
  <c r="X973" i="1"/>
  <c r="T680" i="1"/>
  <c r="X924" i="1"/>
  <c r="X683" i="1"/>
  <c r="T683" i="1"/>
  <c r="X680" i="1"/>
  <c r="X681" i="1"/>
  <c r="T681" i="1"/>
  <c r="T522" i="1"/>
  <c r="X522" i="1"/>
  <c r="X483" i="1"/>
  <c r="Y483" i="1"/>
  <c r="T483" i="1"/>
  <c r="E303" i="6"/>
  <c r="F303" i="6"/>
  <c r="I303" i="6"/>
  <c r="J303" i="6"/>
  <c r="A974" i="1"/>
  <c r="C974" i="1"/>
  <c r="B974" i="1" s="1"/>
  <c r="F974" i="1"/>
  <c r="M974" i="1"/>
  <c r="O974" i="1"/>
  <c r="U974" i="1"/>
  <c r="V974" i="1"/>
  <c r="W974" i="1" s="1"/>
  <c r="Z974" i="1"/>
  <c r="A873" i="1"/>
  <c r="C873" i="1"/>
  <c r="B873" i="1" s="1"/>
  <c r="F873" i="1"/>
  <c r="M873" i="1"/>
  <c r="O873" i="1"/>
  <c r="T873" i="1"/>
  <c r="U873" i="1"/>
  <c r="Y873" i="1" s="1"/>
  <c r="V873" i="1"/>
  <c r="W873" i="1" s="1"/>
  <c r="Z873" i="1"/>
  <c r="P973" i="1" l="1"/>
  <c r="P1116" i="1"/>
  <c r="P357" i="1"/>
  <c r="Q976" i="1"/>
  <c r="P681" i="1"/>
  <c r="P924" i="1"/>
  <c r="P1114" i="1"/>
  <c r="P1190" i="1"/>
  <c r="Q977" i="1"/>
  <c r="P522" i="1"/>
  <c r="P680" i="1"/>
  <c r="P1115" i="1"/>
  <c r="P639" i="1"/>
  <c r="P738" i="1"/>
  <c r="P683" i="1"/>
  <c r="P1008" i="1"/>
  <c r="P1176" i="1"/>
  <c r="P1223" i="1"/>
  <c r="P763" i="1"/>
  <c r="P739" i="1"/>
  <c r="R978" i="1"/>
  <c r="R875" i="1"/>
  <c r="R874" i="1"/>
  <c r="Q975" i="1"/>
  <c r="Q954" i="1"/>
  <c r="D1224" i="1"/>
  <c r="D1225" i="1"/>
  <c r="D1177" i="1"/>
  <c r="D1178" i="1"/>
  <c r="D1009" i="1"/>
  <c r="D1010" i="1"/>
  <c r="D742" i="1"/>
  <c r="D743" i="1"/>
  <c r="D741" i="1"/>
  <c r="D740" i="1"/>
  <c r="T974" i="1"/>
  <c r="P1189" i="1"/>
  <c r="P483" i="1"/>
  <c r="X974" i="1"/>
  <c r="Y974" i="1"/>
  <c r="X873" i="1"/>
  <c r="Q483" i="1" l="1"/>
  <c r="R954" i="1"/>
  <c r="Q763" i="1"/>
  <c r="Q1176" i="1"/>
  <c r="Q683" i="1"/>
  <c r="Q639" i="1"/>
  <c r="Q680" i="1"/>
  <c r="R977" i="1"/>
  <c r="Q1114" i="1"/>
  <c r="Q681" i="1"/>
  <c r="Q357" i="1"/>
  <c r="Q973" i="1"/>
  <c r="R975" i="1"/>
  <c r="Q739" i="1"/>
  <c r="Q1223" i="1"/>
  <c r="Q1008" i="1"/>
  <c r="Q738" i="1"/>
  <c r="Q1115" i="1"/>
  <c r="Q522" i="1"/>
  <c r="Q1190" i="1"/>
  <c r="Q924" i="1"/>
  <c r="R976" i="1"/>
  <c r="P873" i="1"/>
  <c r="Q1189" i="1"/>
  <c r="Q1116" i="1"/>
  <c r="P974" i="1"/>
  <c r="A1056" i="1"/>
  <c r="C1056" i="1"/>
  <c r="B1056" i="1" s="1"/>
  <c r="F1056" i="1"/>
  <c r="M1056" i="1"/>
  <c r="O1056" i="1"/>
  <c r="T1056" i="1"/>
  <c r="U1056" i="1"/>
  <c r="Y1056" i="1" s="1"/>
  <c r="V1056" i="1"/>
  <c r="W1056" i="1" s="1"/>
  <c r="Z1056" i="1"/>
  <c r="A1055" i="1"/>
  <c r="C1055" i="1"/>
  <c r="B1055" i="1" s="1"/>
  <c r="F1055" i="1"/>
  <c r="M1055" i="1"/>
  <c r="O1055" i="1"/>
  <c r="T1055" i="1"/>
  <c r="U1055" i="1"/>
  <c r="Y1055" i="1" s="1"/>
  <c r="V1055" i="1"/>
  <c r="W1055" i="1" s="1"/>
  <c r="Z1055" i="1"/>
  <c r="A1201" i="1"/>
  <c r="C1201" i="1"/>
  <c r="B1201" i="1" s="1"/>
  <c r="F1201" i="1"/>
  <c r="O1201" i="1"/>
  <c r="T1201" i="1"/>
  <c r="U1201" i="1"/>
  <c r="Y1201" i="1" s="1"/>
  <c r="V1201" i="1"/>
  <c r="W1201" i="1" s="1"/>
  <c r="Z1201" i="1"/>
  <c r="A996" i="1"/>
  <c r="C996" i="1"/>
  <c r="B996" i="1" s="1"/>
  <c r="F996" i="1"/>
  <c r="M996" i="1"/>
  <c r="O996" i="1"/>
  <c r="U996" i="1"/>
  <c r="V996" i="1"/>
  <c r="W996" i="1" s="1"/>
  <c r="Z996" i="1"/>
  <c r="A395" i="1"/>
  <c r="C395" i="1"/>
  <c r="B395" i="1" s="1"/>
  <c r="F395" i="1"/>
  <c r="M395" i="1"/>
  <c r="O395" i="1"/>
  <c r="T395" i="1"/>
  <c r="U395" i="1"/>
  <c r="V395" i="1"/>
  <c r="W395" i="1" s="1"/>
  <c r="Z395" i="1"/>
  <c r="A398" i="1"/>
  <c r="C398" i="1"/>
  <c r="B398" i="1" s="1"/>
  <c r="F398" i="1"/>
  <c r="M398" i="1"/>
  <c r="O398" i="1"/>
  <c r="U398" i="1"/>
  <c r="V398" i="1"/>
  <c r="W398" i="1" s="1"/>
  <c r="Z398" i="1"/>
  <c r="A393" i="1"/>
  <c r="C393" i="1"/>
  <c r="B393" i="1" s="1"/>
  <c r="F393" i="1"/>
  <c r="M393" i="1"/>
  <c r="O393" i="1"/>
  <c r="T393" i="1"/>
  <c r="U393" i="1"/>
  <c r="V393" i="1"/>
  <c r="W393" i="1" s="1"/>
  <c r="Z393" i="1"/>
  <c r="A391" i="1"/>
  <c r="C391" i="1"/>
  <c r="B391" i="1" s="1"/>
  <c r="F391" i="1"/>
  <c r="M391" i="1"/>
  <c r="O391" i="1"/>
  <c r="U391" i="1"/>
  <c r="Y391" i="1" s="1"/>
  <c r="V391" i="1"/>
  <c r="W391" i="1" s="1"/>
  <c r="Z391" i="1"/>
  <c r="A392" i="1"/>
  <c r="C392" i="1"/>
  <c r="B392" i="1" s="1"/>
  <c r="F392" i="1"/>
  <c r="M392" i="1"/>
  <c r="O392" i="1"/>
  <c r="U392" i="1"/>
  <c r="Y392" i="1" s="1"/>
  <c r="V392" i="1"/>
  <c r="W392" i="1" s="1"/>
  <c r="Z392" i="1"/>
  <c r="A387" i="1"/>
  <c r="A388" i="1"/>
  <c r="A390" i="1"/>
  <c r="C387" i="1"/>
  <c r="B387" i="1" s="1"/>
  <c r="C388" i="1"/>
  <c r="B388" i="1" s="1"/>
  <c r="C390" i="1"/>
  <c r="B390" i="1" s="1"/>
  <c r="F387" i="1"/>
  <c r="F388" i="1"/>
  <c r="F390" i="1"/>
  <c r="M387" i="1"/>
  <c r="M388" i="1"/>
  <c r="M390" i="1"/>
  <c r="O387" i="1"/>
  <c r="O388" i="1"/>
  <c r="O390" i="1"/>
  <c r="T387" i="1"/>
  <c r="T390" i="1"/>
  <c r="U387" i="1"/>
  <c r="Y387" i="1" s="1"/>
  <c r="U388" i="1"/>
  <c r="Y388" i="1" s="1"/>
  <c r="U390" i="1"/>
  <c r="Y390" i="1" s="1"/>
  <c r="V387" i="1"/>
  <c r="W387" i="1" s="1"/>
  <c r="V388" i="1"/>
  <c r="W388" i="1" s="1"/>
  <c r="V390" i="1"/>
  <c r="W390" i="1" s="1"/>
  <c r="Z387" i="1"/>
  <c r="Z388" i="1"/>
  <c r="Z390" i="1"/>
  <c r="A389" i="1"/>
  <c r="C389" i="1"/>
  <c r="B389" i="1" s="1"/>
  <c r="F389" i="1"/>
  <c r="M389" i="1"/>
  <c r="O389" i="1"/>
  <c r="U389" i="1"/>
  <c r="V389" i="1"/>
  <c r="W389" i="1" s="1"/>
  <c r="Z389" i="1"/>
  <c r="A341" i="1"/>
  <c r="C341" i="1"/>
  <c r="B341" i="1" s="1"/>
  <c r="F341" i="1"/>
  <c r="M341" i="1"/>
  <c r="O341" i="1"/>
  <c r="U341" i="1"/>
  <c r="Y341" i="1" s="1"/>
  <c r="V341" i="1"/>
  <c r="W341" i="1" s="1"/>
  <c r="Z341" i="1"/>
  <c r="A340" i="1"/>
  <c r="C340" i="1"/>
  <c r="B340" i="1" s="1"/>
  <c r="F340" i="1"/>
  <c r="M340" i="1"/>
  <c r="O340" i="1"/>
  <c r="U340" i="1"/>
  <c r="Y340" i="1" s="1"/>
  <c r="V340" i="1"/>
  <c r="W340" i="1" s="1"/>
  <c r="Z340" i="1"/>
  <c r="A1231" i="1"/>
  <c r="C1231" i="1"/>
  <c r="B1231" i="1" s="1"/>
  <c r="F1231" i="1"/>
  <c r="M1231" i="1"/>
  <c r="O1231" i="1"/>
  <c r="T1231" i="1"/>
  <c r="U1231" i="1"/>
  <c r="V1231" i="1"/>
  <c r="W1231" i="1" s="1"/>
  <c r="Z1231" i="1"/>
  <c r="Q974" i="1" l="1"/>
  <c r="R1189" i="1"/>
  <c r="R1190" i="1"/>
  <c r="R1115" i="1"/>
  <c r="R1008" i="1"/>
  <c r="R739" i="1"/>
  <c r="R973" i="1"/>
  <c r="D979" i="1" s="1"/>
  <c r="R681" i="1"/>
  <c r="R639" i="1"/>
  <c r="D639" i="1" s="1"/>
  <c r="R1176" i="1"/>
  <c r="R1116" i="1"/>
  <c r="Q873" i="1"/>
  <c r="R924" i="1"/>
  <c r="R522" i="1"/>
  <c r="R738" i="1"/>
  <c r="R1223" i="1"/>
  <c r="R357" i="1"/>
  <c r="D357" i="1" s="1"/>
  <c r="R1114" i="1"/>
  <c r="R680" i="1"/>
  <c r="R683" i="1"/>
  <c r="R763" i="1"/>
  <c r="D763" i="1" s="1"/>
  <c r="R483" i="1"/>
  <c r="X996" i="1"/>
  <c r="X1056" i="1"/>
  <c r="X1055" i="1"/>
  <c r="Y996" i="1"/>
  <c r="X1201" i="1"/>
  <c r="T996" i="1"/>
  <c r="X387" i="1"/>
  <c r="X398" i="1"/>
  <c r="X395" i="1"/>
  <c r="X391" i="1"/>
  <c r="Y395" i="1"/>
  <c r="T398" i="1"/>
  <c r="Y398" i="1"/>
  <c r="X393" i="1"/>
  <c r="Y393" i="1"/>
  <c r="T391" i="1"/>
  <c r="X392" i="1"/>
  <c r="T392" i="1"/>
  <c r="X390" i="1"/>
  <c r="X388" i="1"/>
  <c r="T388" i="1"/>
  <c r="X389" i="1"/>
  <c r="Y389" i="1"/>
  <c r="T389" i="1"/>
  <c r="T341" i="1"/>
  <c r="X341" i="1"/>
  <c r="X340" i="1"/>
  <c r="T340" i="1"/>
  <c r="X1231" i="1"/>
  <c r="Y1231" i="1"/>
  <c r="R974" i="1" l="1"/>
  <c r="P392" i="1"/>
  <c r="P1201" i="1"/>
  <c r="P340" i="1"/>
  <c r="P390" i="1"/>
  <c r="P387" i="1"/>
  <c r="P1055" i="1"/>
  <c r="R873" i="1"/>
  <c r="P388" i="1"/>
  <c r="P341" i="1"/>
  <c r="P391" i="1"/>
  <c r="P1056" i="1"/>
  <c r="P996" i="1"/>
  <c r="P398" i="1"/>
  <c r="P395" i="1"/>
  <c r="P393" i="1"/>
  <c r="P389" i="1"/>
  <c r="P1231" i="1"/>
  <c r="A872" i="1"/>
  <c r="C872" i="1"/>
  <c r="B872" i="1" s="1"/>
  <c r="F872" i="1"/>
  <c r="M872" i="1"/>
  <c r="O872" i="1"/>
  <c r="U872" i="1"/>
  <c r="Y872" i="1" s="1"/>
  <c r="V872" i="1"/>
  <c r="W872" i="1" s="1"/>
  <c r="Z872" i="1"/>
  <c r="A871" i="1"/>
  <c r="C871" i="1"/>
  <c r="B871" i="1" s="1"/>
  <c r="F871" i="1"/>
  <c r="M871" i="1"/>
  <c r="O871" i="1"/>
  <c r="U871" i="1"/>
  <c r="Y871" i="1" s="1"/>
  <c r="V871" i="1"/>
  <c r="W871" i="1" s="1"/>
  <c r="Z871" i="1"/>
  <c r="A1029" i="1"/>
  <c r="C1029" i="1"/>
  <c r="B1029" i="1" s="1"/>
  <c r="F1029" i="1"/>
  <c r="M1029" i="1"/>
  <c r="O1029" i="1"/>
  <c r="T1029" i="1"/>
  <c r="U1029" i="1"/>
  <c r="Y1029" i="1" s="1"/>
  <c r="V1029" i="1"/>
  <c r="W1029" i="1" s="1"/>
  <c r="Z1029" i="1"/>
  <c r="A870" i="1"/>
  <c r="C870" i="1"/>
  <c r="B870" i="1" s="1"/>
  <c r="F870" i="1"/>
  <c r="M870" i="1"/>
  <c r="O870" i="1"/>
  <c r="U870" i="1"/>
  <c r="Y870" i="1" s="1"/>
  <c r="V870" i="1"/>
  <c r="W870" i="1" s="1"/>
  <c r="Z870" i="1"/>
  <c r="A523" i="1"/>
  <c r="C523" i="1"/>
  <c r="B523" i="1" s="1"/>
  <c r="F523" i="1"/>
  <c r="M523" i="1"/>
  <c r="O523" i="1"/>
  <c r="U523" i="1"/>
  <c r="Y523" i="1" s="1"/>
  <c r="V523" i="1"/>
  <c r="W523" i="1" s="1"/>
  <c r="Z523" i="1"/>
  <c r="I98" i="104"/>
  <c r="A98" i="104"/>
  <c r="B98" i="104"/>
  <c r="C98" i="104"/>
  <c r="A521" i="1"/>
  <c r="C521" i="1"/>
  <c r="B521" i="1" s="1"/>
  <c r="F521" i="1"/>
  <c r="M521" i="1"/>
  <c r="O521" i="1"/>
  <c r="U521" i="1"/>
  <c r="V521" i="1"/>
  <c r="W521" i="1" s="1"/>
  <c r="Z521" i="1"/>
  <c r="I97" i="104"/>
  <c r="A97" i="104"/>
  <c r="B97" i="104"/>
  <c r="C97" i="104"/>
  <c r="A1091" i="1"/>
  <c r="C1091" i="1"/>
  <c r="B1091" i="1" s="1"/>
  <c r="F1091" i="1"/>
  <c r="O1091" i="1"/>
  <c r="T1091" i="1"/>
  <c r="U1091" i="1"/>
  <c r="Y1091" i="1" s="1"/>
  <c r="V1091" i="1"/>
  <c r="W1091" i="1" s="1"/>
  <c r="Z1091" i="1"/>
  <c r="E310" i="6"/>
  <c r="F310" i="6"/>
  <c r="I310" i="6"/>
  <c r="J310" i="6"/>
  <c r="Q389" i="1" l="1"/>
  <c r="Q996" i="1"/>
  <c r="Q391" i="1"/>
  <c r="Q341" i="1"/>
  <c r="Q393" i="1"/>
  <c r="Q387" i="1"/>
  <c r="Q340" i="1"/>
  <c r="Q392" i="1"/>
  <c r="Q395" i="1"/>
  <c r="Q1056" i="1"/>
  <c r="Q1231" i="1"/>
  <c r="Q398" i="1"/>
  <c r="Q388" i="1"/>
  <c r="Q1055" i="1"/>
  <c r="Q390" i="1"/>
  <c r="Q1201" i="1"/>
  <c r="X872" i="1"/>
  <c r="T872" i="1"/>
  <c r="T871" i="1"/>
  <c r="X871" i="1"/>
  <c r="T870" i="1"/>
  <c r="X1029" i="1"/>
  <c r="X870" i="1"/>
  <c r="T523" i="1"/>
  <c r="X523" i="1"/>
  <c r="T521" i="1"/>
  <c r="X521" i="1"/>
  <c r="Y521" i="1"/>
  <c r="X1091" i="1"/>
  <c r="R1091" i="1"/>
  <c r="D1091" i="1" s="1"/>
  <c r="A867" i="1"/>
  <c r="C867" i="1"/>
  <c r="B867" i="1" s="1"/>
  <c r="F867" i="1"/>
  <c r="M867" i="1"/>
  <c r="O867" i="1"/>
  <c r="T867" i="1"/>
  <c r="U867" i="1"/>
  <c r="Y867" i="1" s="1"/>
  <c r="V867" i="1"/>
  <c r="W867" i="1" s="1"/>
  <c r="Z867" i="1"/>
  <c r="A866" i="1"/>
  <c r="C866" i="1"/>
  <c r="B866" i="1" s="1"/>
  <c r="F866" i="1"/>
  <c r="M866" i="1"/>
  <c r="O866" i="1"/>
  <c r="U866" i="1"/>
  <c r="Y866" i="1" s="1"/>
  <c r="V866" i="1"/>
  <c r="W866" i="1" s="1"/>
  <c r="Z866" i="1"/>
  <c r="A596" i="1"/>
  <c r="C596" i="1"/>
  <c r="B596" i="1" s="1"/>
  <c r="F596" i="1"/>
  <c r="M596" i="1"/>
  <c r="O596" i="1"/>
  <c r="T596" i="1"/>
  <c r="U596" i="1"/>
  <c r="Y596" i="1" s="1"/>
  <c r="V596" i="1"/>
  <c r="W596" i="1" s="1"/>
  <c r="Z596" i="1"/>
  <c r="A595" i="1"/>
  <c r="C595" i="1"/>
  <c r="B595" i="1" s="1"/>
  <c r="F595" i="1"/>
  <c r="M595" i="1"/>
  <c r="O595" i="1"/>
  <c r="U595" i="1"/>
  <c r="Y595" i="1" s="1"/>
  <c r="V595" i="1"/>
  <c r="W595" i="1" s="1"/>
  <c r="Z595" i="1"/>
  <c r="A906" i="1"/>
  <c r="C906" i="1"/>
  <c r="B906" i="1" s="1"/>
  <c r="F906" i="1"/>
  <c r="M906" i="1"/>
  <c r="O906" i="1"/>
  <c r="S906" i="1"/>
  <c r="T906" i="1"/>
  <c r="U906" i="1"/>
  <c r="Y906" i="1" s="1"/>
  <c r="V906" i="1"/>
  <c r="W906" i="1" s="1"/>
  <c r="Z906" i="1"/>
  <c r="A829" i="1"/>
  <c r="C829" i="1"/>
  <c r="B829" i="1" s="1"/>
  <c r="F829" i="1"/>
  <c r="M829" i="1"/>
  <c r="T829" i="1"/>
  <c r="U829" i="1"/>
  <c r="Y829" i="1" s="1"/>
  <c r="V829" i="1"/>
  <c r="W829" i="1" s="1"/>
  <c r="Z829" i="1"/>
  <c r="A1104" i="1"/>
  <c r="C1104" i="1"/>
  <c r="B1104" i="1" s="1"/>
  <c r="F1104" i="1"/>
  <c r="M1104" i="1"/>
  <c r="O1104" i="1"/>
  <c r="U1104" i="1"/>
  <c r="V1104" i="1"/>
  <c r="W1104" i="1" s="1"/>
  <c r="Z1104" i="1"/>
  <c r="A1103" i="1"/>
  <c r="C1103" i="1"/>
  <c r="B1103" i="1" s="1"/>
  <c r="F1103" i="1"/>
  <c r="M1103" i="1"/>
  <c r="O1103" i="1"/>
  <c r="T1103" i="1"/>
  <c r="U1103" i="1"/>
  <c r="Y1103" i="1" s="1"/>
  <c r="V1103" i="1"/>
  <c r="W1103" i="1" s="1"/>
  <c r="Z1103" i="1"/>
  <c r="A566" i="1"/>
  <c r="C566" i="1"/>
  <c r="B566" i="1" s="1"/>
  <c r="F566" i="1"/>
  <c r="O566" i="1"/>
  <c r="T566" i="1"/>
  <c r="U566" i="1"/>
  <c r="Y566" i="1" s="1"/>
  <c r="V566" i="1"/>
  <c r="W566" i="1" s="1"/>
  <c r="Z566" i="1"/>
  <c r="A869" i="1"/>
  <c r="C869" i="1"/>
  <c r="B869" i="1" s="1"/>
  <c r="F869" i="1"/>
  <c r="M869" i="1"/>
  <c r="O869" i="1"/>
  <c r="T869" i="1"/>
  <c r="U869" i="1"/>
  <c r="Y869" i="1" s="1"/>
  <c r="V869" i="1"/>
  <c r="W869" i="1" s="1"/>
  <c r="Z869" i="1"/>
  <c r="A868" i="1"/>
  <c r="C868" i="1"/>
  <c r="B868" i="1" s="1"/>
  <c r="F868" i="1"/>
  <c r="M868" i="1"/>
  <c r="O868" i="1"/>
  <c r="T868" i="1"/>
  <c r="U868" i="1"/>
  <c r="Y868" i="1" s="1"/>
  <c r="V868" i="1"/>
  <c r="W868" i="1" s="1"/>
  <c r="Z868" i="1"/>
  <c r="P1029" i="1" l="1"/>
  <c r="R395" i="1"/>
  <c r="P1091" i="1"/>
  <c r="P523" i="1"/>
  <c r="P872" i="1"/>
  <c r="R390" i="1"/>
  <c r="R388" i="1"/>
  <c r="R1231" i="1"/>
  <c r="D1231" i="1" s="1"/>
  <c r="R392" i="1"/>
  <c r="R387" i="1"/>
  <c r="R341" i="1"/>
  <c r="R996" i="1"/>
  <c r="D996" i="1" s="1"/>
  <c r="P871" i="1"/>
  <c r="R1056" i="1"/>
  <c r="D1056" i="1" s="1"/>
  <c r="P870" i="1"/>
  <c r="R1201" i="1"/>
  <c r="D1201" i="1" s="1"/>
  <c r="R1055" i="1"/>
  <c r="D1055" i="1" s="1"/>
  <c r="R398" i="1"/>
  <c r="R340" i="1"/>
  <c r="R393" i="1"/>
  <c r="R391" i="1"/>
  <c r="R389" i="1"/>
  <c r="D879" i="1"/>
  <c r="D878" i="1"/>
  <c r="D877" i="1"/>
  <c r="D876" i="1"/>
  <c r="D875" i="1"/>
  <c r="D874" i="1"/>
  <c r="D873" i="1"/>
  <c r="D872" i="1"/>
  <c r="D870" i="1"/>
  <c r="D871" i="1"/>
  <c r="P521" i="1"/>
  <c r="X867" i="1"/>
  <c r="X866" i="1"/>
  <c r="T866" i="1"/>
  <c r="X596" i="1"/>
  <c r="X595" i="1"/>
  <c r="T595" i="1"/>
  <c r="X1104" i="1"/>
  <c r="X906" i="1"/>
  <c r="X829" i="1"/>
  <c r="Y1104" i="1"/>
  <c r="T1104" i="1"/>
  <c r="X1103" i="1"/>
  <c r="X566" i="1"/>
  <c r="X869" i="1"/>
  <c r="X868" i="1"/>
  <c r="D599" i="6"/>
  <c r="A135" i="1"/>
  <c r="C135" i="1"/>
  <c r="B135" i="1" s="1"/>
  <c r="F135" i="1"/>
  <c r="M135" i="1"/>
  <c r="O135" i="1"/>
  <c r="S135" i="1"/>
  <c r="T135" i="1"/>
  <c r="U135" i="1"/>
  <c r="V135" i="1"/>
  <c r="W135" i="1" s="1"/>
  <c r="Z135" i="1"/>
  <c r="A131" i="1"/>
  <c r="A132" i="1"/>
  <c r="A133" i="1"/>
  <c r="A134" i="1"/>
  <c r="C131" i="1"/>
  <c r="B131" i="1" s="1"/>
  <c r="C132" i="1"/>
  <c r="B132" i="1" s="1"/>
  <c r="C133" i="1"/>
  <c r="B133" i="1" s="1"/>
  <c r="C134" i="1"/>
  <c r="B134" i="1" s="1"/>
  <c r="F131" i="1"/>
  <c r="F132" i="1"/>
  <c r="F133" i="1"/>
  <c r="F134" i="1"/>
  <c r="M131" i="1"/>
  <c r="M132" i="1"/>
  <c r="M133" i="1"/>
  <c r="M134" i="1"/>
  <c r="O131" i="1"/>
  <c r="O132" i="1"/>
  <c r="O133" i="1"/>
  <c r="O134" i="1"/>
  <c r="S131" i="1"/>
  <c r="S132" i="1"/>
  <c r="S133" i="1"/>
  <c r="S134" i="1"/>
  <c r="T131" i="1"/>
  <c r="T132" i="1"/>
  <c r="T133" i="1"/>
  <c r="T134" i="1"/>
  <c r="U131" i="1"/>
  <c r="Y131" i="1" s="1"/>
  <c r="U132" i="1"/>
  <c r="Y132" i="1" s="1"/>
  <c r="U133" i="1"/>
  <c r="U134" i="1"/>
  <c r="Y134" i="1" s="1"/>
  <c r="V131" i="1"/>
  <c r="W131" i="1" s="1"/>
  <c r="V132" i="1"/>
  <c r="W132" i="1" s="1"/>
  <c r="V133" i="1"/>
  <c r="W133" i="1" s="1"/>
  <c r="V134" i="1"/>
  <c r="W134" i="1" s="1"/>
  <c r="Z131" i="1"/>
  <c r="Z132" i="1"/>
  <c r="Z133" i="1"/>
  <c r="Z134" i="1"/>
  <c r="A130" i="1"/>
  <c r="C130" i="1"/>
  <c r="B130" i="1" s="1"/>
  <c r="F130" i="1"/>
  <c r="M130" i="1"/>
  <c r="O130" i="1"/>
  <c r="S130" i="1"/>
  <c r="T130" i="1"/>
  <c r="U130" i="1"/>
  <c r="V130" i="1"/>
  <c r="W130" i="1" s="1"/>
  <c r="Z130" i="1"/>
  <c r="A13" i="1"/>
  <c r="C13" i="1"/>
  <c r="B13" i="1" s="1"/>
  <c r="F13" i="1"/>
  <c r="M13" i="1"/>
  <c r="O13" i="1"/>
  <c r="T13" i="1"/>
  <c r="U13" i="1"/>
  <c r="Y13" i="1" s="1"/>
  <c r="V13" i="1"/>
  <c r="W13" i="1" s="1"/>
  <c r="Z13" i="1"/>
  <c r="A12" i="1"/>
  <c r="C12" i="1"/>
  <c r="B12" i="1" s="1"/>
  <c r="F12" i="1"/>
  <c r="M12" i="1"/>
  <c r="O12" i="1"/>
  <c r="T12" i="1"/>
  <c r="U12" i="1"/>
  <c r="Y12" i="1" s="1"/>
  <c r="V12" i="1"/>
  <c r="W12" i="1" s="1"/>
  <c r="Z12" i="1"/>
  <c r="A129" i="1"/>
  <c r="C129" i="1"/>
  <c r="B129" i="1" s="1"/>
  <c r="F129" i="1"/>
  <c r="M129" i="1"/>
  <c r="O129" i="1"/>
  <c r="T129" i="1"/>
  <c r="U129" i="1"/>
  <c r="Y129" i="1" s="1"/>
  <c r="V129" i="1"/>
  <c r="W129" i="1" s="1"/>
  <c r="Z129" i="1"/>
  <c r="A216" i="1"/>
  <c r="C216" i="1"/>
  <c r="B216" i="1" s="1"/>
  <c r="F216" i="1"/>
  <c r="M216" i="1"/>
  <c r="O216" i="1"/>
  <c r="T216" i="1"/>
  <c r="U216" i="1"/>
  <c r="Y216" i="1" s="1"/>
  <c r="V216" i="1"/>
  <c r="W216" i="1" s="1"/>
  <c r="Z216" i="1"/>
  <c r="A284" i="1"/>
  <c r="C284" i="1"/>
  <c r="B284" i="1" s="1"/>
  <c r="F284" i="1"/>
  <c r="M284" i="1"/>
  <c r="O284" i="1"/>
  <c r="U284" i="1"/>
  <c r="V284" i="1"/>
  <c r="W284" i="1" s="1"/>
  <c r="Z284" i="1"/>
  <c r="A194" i="1"/>
  <c r="C194" i="1"/>
  <c r="B194" i="1" s="1"/>
  <c r="F194" i="1"/>
  <c r="M194" i="1"/>
  <c r="O194" i="1"/>
  <c r="T194" i="1"/>
  <c r="U194" i="1"/>
  <c r="Y194" i="1" s="1"/>
  <c r="V194" i="1"/>
  <c r="W194" i="1" s="1"/>
  <c r="Z194" i="1"/>
  <c r="A306" i="1"/>
  <c r="C306" i="1"/>
  <c r="B306" i="1" s="1"/>
  <c r="F306" i="1"/>
  <c r="M306" i="1"/>
  <c r="O306" i="1"/>
  <c r="U306" i="1"/>
  <c r="Y306" i="1" s="1"/>
  <c r="V306" i="1"/>
  <c r="W306" i="1" s="1"/>
  <c r="Z306" i="1"/>
  <c r="A307" i="1"/>
  <c r="C307" i="1"/>
  <c r="B307" i="1" s="1"/>
  <c r="F307" i="1"/>
  <c r="M307" i="1"/>
  <c r="O307" i="1"/>
  <c r="U307" i="1"/>
  <c r="Y307" i="1" s="1"/>
  <c r="V307" i="1"/>
  <c r="W307" i="1" s="1"/>
  <c r="Z307" i="1"/>
  <c r="A397" i="1"/>
  <c r="C397" i="1"/>
  <c r="B397" i="1" s="1"/>
  <c r="F397" i="1"/>
  <c r="M397" i="1"/>
  <c r="O397" i="1"/>
  <c r="U397" i="1"/>
  <c r="Y397" i="1" s="1"/>
  <c r="V397" i="1"/>
  <c r="W397" i="1" s="1"/>
  <c r="Z397" i="1"/>
  <c r="A396" i="1"/>
  <c r="C396" i="1"/>
  <c r="B396" i="1" s="1"/>
  <c r="F396" i="1"/>
  <c r="M396" i="1"/>
  <c r="O396" i="1"/>
  <c r="U396" i="1"/>
  <c r="Y396" i="1" s="1"/>
  <c r="V396" i="1"/>
  <c r="W396" i="1" s="1"/>
  <c r="Z396" i="1"/>
  <c r="A394" i="1"/>
  <c r="C394" i="1"/>
  <c r="B394" i="1" s="1"/>
  <c r="F394" i="1"/>
  <c r="M394" i="1"/>
  <c r="O394" i="1"/>
  <c r="U394" i="1"/>
  <c r="V394" i="1"/>
  <c r="W394" i="1" s="1"/>
  <c r="Z394" i="1"/>
  <c r="A66" i="1"/>
  <c r="C66" i="1"/>
  <c r="B66" i="1" s="1"/>
  <c r="F66" i="1"/>
  <c r="M66" i="1"/>
  <c r="O66" i="1"/>
  <c r="S66" i="1"/>
  <c r="T66" i="1"/>
  <c r="U66" i="1"/>
  <c r="Y66" i="1" s="1"/>
  <c r="V66" i="1"/>
  <c r="W66" i="1" s="1"/>
  <c r="Z66" i="1"/>
  <c r="A809" i="1"/>
  <c r="C809" i="1"/>
  <c r="B809" i="1" s="1"/>
  <c r="F809" i="1"/>
  <c r="M809" i="1"/>
  <c r="O809" i="1"/>
  <c r="U809" i="1"/>
  <c r="V809" i="1"/>
  <c r="W809" i="1" s="1"/>
  <c r="Z809" i="1"/>
  <c r="A736" i="1"/>
  <c r="C736" i="1"/>
  <c r="B736" i="1" s="1"/>
  <c r="F736" i="1"/>
  <c r="M736" i="1"/>
  <c r="O736" i="1"/>
  <c r="U736" i="1"/>
  <c r="Y736" i="1" s="1"/>
  <c r="V736" i="1"/>
  <c r="W736" i="1" s="1"/>
  <c r="Z736" i="1"/>
  <c r="A737" i="1"/>
  <c r="C737" i="1"/>
  <c r="B737" i="1" s="1"/>
  <c r="F737" i="1"/>
  <c r="M737" i="1"/>
  <c r="O737" i="1"/>
  <c r="U737" i="1"/>
  <c r="Y737" i="1" s="1"/>
  <c r="V737" i="1"/>
  <c r="W737" i="1" s="1"/>
  <c r="Z737" i="1"/>
  <c r="A429" i="1"/>
  <c r="C429" i="1"/>
  <c r="B429" i="1" s="1"/>
  <c r="F429" i="1"/>
  <c r="M429" i="1"/>
  <c r="O429" i="1"/>
  <c r="U429" i="1"/>
  <c r="Y429" i="1" s="1"/>
  <c r="V429" i="1"/>
  <c r="W429" i="1" s="1"/>
  <c r="Z429" i="1"/>
  <c r="A819" i="1"/>
  <c r="C819" i="1"/>
  <c r="B819" i="1" s="1"/>
  <c r="F819" i="1"/>
  <c r="M819" i="1"/>
  <c r="O819" i="1"/>
  <c r="U819" i="1"/>
  <c r="Y819" i="1" s="1"/>
  <c r="V819" i="1"/>
  <c r="W819" i="1" s="1"/>
  <c r="Z819" i="1"/>
  <c r="A923" i="1"/>
  <c r="C923" i="1"/>
  <c r="B923" i="1" s="1"/>
  <c r="F923" i="1"/>
  <c r="O923" i="1"/>
  <c r="U923" i="1"/>
  <c r="V923" i="1"/>
  <c r="W923" i="1" s="1"/>
  <c r="Z923" i="1"/>
  <c r="A972" i="1"/>
  <c r="C972" i="1"/>
  <c r="B972" i="1" s="1"/>
  <c r="F972" i="1"/>
  <c r="M972" i="1"/>
  <c r="O972" i="1"/>
  <c r="U972" i="1"/>
  <c r="Y972" i="1" s="1"/>
  <c r="V972" i="1"/>
  <c r="W972" i="1" s="1"/>
  <c r="Z972" i="1"/>
  <c r="A710" i="1"/>
  <c r="C710" i="1"/>
  <c r="B710" i="1" s="1"/>
  <c r="F710" i="1"/>
  <c r="M710" i="1"/>
  <c r="O710" i="1"/>
  <c r="U710" i="1"/>
  <c r="Y710" i="1" s="1"/>
  <c r="V710" i="1"/>
  <c r="W710" i="1" s="1"/>
  <c r="Z710" i="1"/>
  <c r="A711" i="1"/>
  <c r="C711" i="1"/>
  <c r="B711" i="1" s="1"/>
  <c r="F711" i="1"/>
  <c r="M711" i="1"/>
  <c r="O711" i="1"/>
  <c r="U711" i="1"/>
  <c r="V711" i="1"/>
  <c r="W711" i="1" s="1"/>
  <c r="Z711" i="1"/>
  <c r="A1136" i="1"/>
  <c r="C1136" i="1"/>
  <c r="B1136" i="1" s="1"/>
  <c r="F1136" i="1"/>
  <c r="M1136" i="1"/>
  <c r="O1136" i="1"/>
  <c r="U1136" i="1"/>
  <c r="Y1136" i="1" s="1"/>
  <c r="V1136" i="1"/>
  <c r="W1136" i="1" s="1"/>
  <c r="Z1136" i="1"/>
  <c r="A1019" i="1"/>
  <c r="C1019" i="1"/>
  <c r="B1019" i="1" s="1"/>
  <c r="F1019" i="1"/>
  <c r="M1019" i="1"/>
  <c r="O1019" i="1"/>
  <c r="U1019" i="1"/>
  <c r="Y1019" i="1" s="1"/>
  <c r="V1019" i="1"/>
  <c r="W1019" i="1" s="1"/>
  <c r="Z1019" i="1"/>
  <c r="P869" i="1" l="1"/>
  <c r="P866" i="1"/>
  <c r="Q870" i="1"/>
  <c r="P566" i="1"/>
  <c r="P829" i="1"/>
  <c r="Q595" i="1"/>
  <c r="P867" i="1"/>
  <c r="Q872" i="1"/>
  <c r="P868" i="1"/>
  <c r="P1103" i="1"/>
  <c r="P906" i="1"/>
  <c r="P596" i="1"/>
  <c r="Q521" i="1"/>
  <c r="Q871" i="1"/>
  <c r="Q523" i="1"/>
  <c r="Q1029" i="1"/>
  <c r="D868" i="1"/>
  <c r="D869" i="1"/>
  <c r="D866" i="1"/>
  <c r="D867" i="1"/>
  <c r="P1104" i="1"/>
  <c r="D595" i="1"/>
  <c r="D596" i="1"/>
  <c r="D1103" i="1"/>
  <c r="T710" i="1"/>
  <c r="X134" i="1"/>
  <c r="X135" i="1"/>
  <c r="X132" i="1"/>
  <c r="X131" i="1"/>
  <c r="X13" i="1"/>
  <c r="Y135" i="1"/>
  <c r="X130" i="1"/>
  <c r="X133" i="1"/>
  <c r="Y133" i="1"/>
  <c r="T736" i="1"/>
  <c r="T394" i="1"/>
  <c r="T809" i="1"/>
  <c r="Y130" i="1"/>
  <c r="X12" i="1"/>
  <c r="X129" i="1"/>
  <c r="X216" i="1"/>
  <c r="T284" i="1"/>
  <c r="X284" i="1"/>
  <c r="Y284" i="1"/>
  <c r="T429" i="1"/>
  <c r="X429" i="1"/>
  <c r="X397" i="1"/>
  <c r="T972" i="1"/>
  <c r="X194" i="1"/>
  <c r="T737" i="1"/>
  <c r="T396" i="1"/>
  <c r="T306" i="1"/>
  <c r="X306" i="1"/>
  <c r="T307" i="1"/>
  <c r="X307" i="1"/>
  <c r="T397" i="1"/>
  <c r="X396" i="1"/>
  <c r="X737" i="1"/>
  <c r="X394" i="1"/>
  <c r="Y394" i="1"/>
  <c r="X66" i="1"/>
  <c r="X809" i="1"/>
  <c r="Y809" i="1"/>
  <c r="X736" i="1"/>
  <c r="X819" i="1"/>
  <c r="T819" i="1"/>
  <c r="X923" i="1"/>
  <c r="X710" i="1"/>
  <c r="Y923" i="1"/>
  <c r="T923" i="1"/>
  <c r="X972" i="1"/>
  <c r="X711" i="1"/>
  <c r="T1136" i="1"/>
  <c r="X1136" i="1"/>
  <c r="Y711" i="1"/>
  <c r="T711" i="1"/>
  <c r="X1019" i="1"/>
  <c r="T1019" i="1"/>
  <c r="E599" i="6"/>
  <c r="I599" i="6"/>
  <c r="J599" i="6"/>
  <c r="E524" i="6"/>
  <c r="F524" i="6"/>
  <c r="I524" i="6"/>
  <c r="J524" i="6"/>
  <c r="E280" i="6"/>
  <c r="E46" i="6"/>
  <c r="E86" i="6"/>
  <c r="E142" i="6"/>
  <c r="E211" i="6"/>
  <c r="E301" i="6"/>
  <c r="E339" i="6"/>
  <c r="E34" i="6"/>
  <c r="E411" i="6"/>
  <c r="E412" i="6"/>
  <c r="E427" i="6"/>
  <c r="E455" i="6"/>
  <c r="E456" i="6"/>
  <c r="E457" i="6"/>
  <c r="E477" i="6"/>
  <c r="E488" i="6"/>
  <c r="E671" i="6"/>
  <c r="E658" i="6"/>
  <c r="E684" i="6"/>
  <c r="E510" i="6"/>
  <c r="F280" i="6"/>
  <c r="F46" i="6"/>
  <c r="F86" i="6"/>
  <c r="F301" i="6"/>
  <c r="F339" i="6"/>
  <c r="F34" i="6"/>
  <c r="F411" i="6"/>
  <c r="F412" i="6"/>
  <c r="F427" i="6"/>
  <c r="F455" i="6"/>
  <c r="F456" i="6"/>
  <c r="F457" i="6"/>
  <c r="F477" i="6"/>
  <c r="F488" i="6"/>
  <c r="F510" i="6"/>
  <c r="I280" i="6"/>
  <c r="I46" i="6"/>
  <c r="I86" i="6"/>
  <c r="I142" i="6"/>
  <c r="I211" i="6"/>
  <c r="I301" i="6"/>
  <c r="I339" i="6"/>
  <c r="I34" i="6"/>
  <c r="I411" i="6"/>
  <c r="I412" i="6"/>
  <c r="I427" i="6"/>
  <c r="I455" i="6"/>
  <c r="I456" i="6"/>
  <c r="I457" i="6"/>
  <c r="I477" i="6"/>
  <c r="I488" i="6"/>
  <c r="I671" i="6"/>
  <c r="I658" i="6"/>
  <c r="I684" i="6"/>
  <c r="I510" i="6"/>
  <c r="J280" i="6"/>
  <c r="J46" i="6"/>
  <c r="J86" i="6"/>
  <c r="J142" i="6"/>
  <c r="J211" i="6"/>
  <c r="J301" i="6"/>
  <c r="J339" i="6"/>
  <c r="J34" i="6"/>
  <c r="J411" i="6"/>
  <c r="J412" i="6"/>
  <c r="J427" i="6"/>
  <c r="J455" i="6"/>
  <c r="J456" i="6"/>
  <c r="J457" i="6"/>
  <c r="J477" i="6"/>
  <c r="J488" i="6"/>
  <c r="J671" i="6"/>
  <c r="J658" i="6"/>
  <c r="J684" i="6"/>
  <c r="J510" i="6"/>
  <c r="R1029" i="1" l="1"/>
  <c r="D1029" i="1" s="1"/>
  <c r="R871" i="1"/>
  <c r="Q868" i="1"/>
  <c r="R872" i="1"/>
  <c r="R595" i="1"/>
  <c r="Q566" i="1"/>
  <c r="Q866" i="1"/>
  <c r="P972" i="1"/>
  <c r="P307" i="1"/>
  <c r="P397" i="1"/>
  <c r="P12" i="1"/>
  <c r="P1136" i="1"/>
  <c r="P737" i="1"/>
  <c r="P429" i="1"/>
  <c r="P13" i="1"/>
  <c r="P134" i="1"/>
  <c r="P1019" i="1"/>
  <c r="P819" i="1"/>
  <c r="P66" i="1"/>
  <c r="P396" i="1"/>
  <c r="P306" i="1"/>
  <c r="P194" i="1"/>
  <c r="P216" i="1"/>
  <c r="P131" i="1"/>
  <c r="P710" i="1"/>
  <c r="P736" i="1"/>
  <c r="P129" i="1"/>
  <c r="P132" i="1"/>
  <c r="Q1104" i="1"/>
  <c r="Q596" i="1"/>
  <c r="Q1103" i="1"/>
  <c r="R523" i="1"/>
  <c r="Q867" i="1"/>
  <c r="Q829" i="1"/>
  <c r="R870" i="1"/>
  <c r="Q869" i="1"/>
  <c r="R521" i="1"/>
  <c r="Q906" i="1"/>
  <c r="D977" i="1"/>
  <c r="D976" i="1"/>
  <c r="D978" i="1"/>
  <c r="D975" i="1"/>
  <c r="D1189" i="1"/>
  <c r="D1190" i="1"/>
  <c r="D974" i="1"/>
  <c r="D973" i="1"/>
  <c r="P135" i="1"/>
  <c r="P133" i="1"/>
  <c r="P130" i="1"/>
  <c r="P284" i="1"/>
  <c r="P394" i="1"/>
  <c r="P809" i="1"/>
  <c r="P923" i="1"/>
  <c r="P711" i="1"/>
  <c r="A925" i="1"/>
  <c r="C925" i="1"/>
  <c r="B925" i="1" s="1"/>
  <c r="F925" i="1"/>
  <c r="M925" i="1"/>
  <c r="O925" i="1"/>
  <c r="T925" i="1"/>
  <c r="U925" i="1"/>
  <c r="V925" i="1"/>
  <c r="W925" i="1" s="1"/>
  <c r="Z925" i="1"/>
  <c r="I87" i="104"/>
  <c r="A87" i="104"/>
  <c r="B87" i="104"/>
  <c r="C87" i="104"/>
  <c r="A511" i="1"/>
  <c r="C511" i="1"/>
  <c r="B511" i="1" s="1"/>
  <c r="F511" i="1"/>
  <c r="M511" i="1"/>
  <c r="O511" i="1"/>
  <c r="U511" i="1"/>
  <c r="Y511" i="1" s="1"/>
  <c r="V511" i="1"/>
  <c r="W511" i="1" s="1"/>
  <c r="Z511" i="1"/>
  <c r="A519" i="1"/>
  <c r="A520" i="1"/>
  <c r="C519" i="1"/>
  <c r="B519" i="1" s="1"/>
  <c r="C520" i="1"/>
  <c r="B520" i="1" s="1"/>
  <c r="F519" i="1"/>
  <c r="F520" i="1"/>
  <c r="M519" i="1"/>
  <c r="M520" i="1"/>
  <c r="O519" i="1"/>
  <c r="O520" i="1"/>
  <c r="U519" i="1"/>
  <c r="Y519" i="1" s="1"/>
  <c r="U520" i="1"/>
  <c r="Y520" i="1" s="1"/>
  <c r="V519" i="1"/>
  <c r="W519" i="1" s="1"/>
  <c r="V520" i="1"/>
  <c r="W520" i="1" s="1"/>
  <c r="Z519" i="1"/>
  <c r="Z520" i="1"/>
  <c r="I95" i="104"/>
  <c r="I96" i="104"/>
  <c r="A96" i="104"/>
  <c r="B96" i="104"/>
  <c r="C96" i="104"/>
  <c r="A95" i="104"/>
  <c r="B95" i="104"/>
  <c r="C95" i="104"/>
  <c r="I109" i="104"/>
  <c r="I110" i="104"/>
  <c r="I111" i="104"/>
  <c r="A111" i="104"/>
  <c r="B111" i="104"/>
  <c r="C111" i="104"/>
  <c r="A110" i="104"/>
  <c r="B110" i="104"/>
  <c r="C110" i="104"/>
  <c r="A109" i="104"/>
  <c r="B109" i="104"/>
  <c r="C109" i="104"/>
  <c r="I112" i="104"/>
  <c r="A112" i="104"/>
  <c r="B112" i="104"/>
  <c r="C112" i="104"/>
  <c r="A1160" i="1"/>
  <c r="C1160" i="1"/>
  <c r="B1160" i="1" s="1"/>
  <c r="F1160" i="1"/>
  <c r="M1160" i="1"/>
  <c r="O1160" i="1"/>
  <c r="T1160" i="1"/>
  <c r="U1160" i="1"/>
  <c r="Y1160" i="1" s="1"/>
  <c r="V1160" i="1"/>
  <c r="W1160" i="1" s="1"/>
  <c r="Z1160" i="1"/>
  <c r="A987" i="1"/>
  <c r="C987" i="1"/>
  <c r="B987" i="1" s="1"/>
  <c r="F987" i="1"/>
  <c r="M987" i="1"/>
  <c r="O987" i="1"/>
  <c r="U987" i="1"/>
  <c r="V987" i="1"/>
  <c r="W987" i="1" s="1"/>
  <c r="Z987" i="1"/>
  <c r="A986" i="1"/>
  <c r="C986" i="1"/>
  <c r="B986" i="1" s="1"/>
  <c r="F986" i="1"/>
  <c r="M986" i="1"/>
  <c r="O986" i="1"/>
  <c r="U986" i="1"/>
  <c r="Y986" i="1" s="1"/>
  <c r="V986" i="1"/>
  <c r="W986" i="1" s="1"/>
  <c r="Z986" i="1"/>
  <c r="A985" i="1"/>
  <c r="C985" i="1"/>
  <c r="B985" i="1" s="1"/>
  <c r="F985" i="1"/>
  <c r="M985" i="1"/>
  <c r="O985" i="1"/>
  <c r="U985" i="1"/>
  <c r="Y985" i="1" s="1"/>
  <c r="V985" i="1"/>
  <c r="W985" i="1" s="1"/>
  <c r="Z985" i="1"/>
  <c r="A482" i="1"/>
  <c r="C482" i="1"/>
  <c r="B482" i="1" s="1"/>
  <c r="F482" i="1"/>
  <c r="M482" i="1"/>
  <c r="O482" i="1"/>
  <c r="U482" i="1"/>
  <c r="Y482" i="1" s="1"/>
  <c r="V482" i="1"/>
  <c r="W482" i="1" s="1"/>
  <c r="Z482" i="1"/>
  <c r="I64" i="104"/>
  <c r="A64" i="104"/>
  <c r="B64" i="104"/>
  <c r="C64" i="104"/>
  <c r="M697" i="1"/>
  <c r="Q394" i="1" l="1"/>
  <c r="Q135" i="1"/>
  <c r="Q711" i="1"/>
  <c r="Q284" i="1"/>
  <c r="Q129" i="1"/>
  <c r="Q710" i="1"/>
  <c r="Q1136" i="1"/>
  <c r="Q923" i="1"/>
  <c r="Q130" i="1"/>
  <c r="R906" i="1"/>
  <c r="D906" i="1" s="1"/>
  <c r="R869" i="1"/>
  <c r="R829" i="1"/>
  <c r="D829" i="1" s="1"/>
  <c r="R596" i="1"/>
  <c r="Q132" i="1"/>
  <c r="Q216" i="1"/>
  <c r="Q306" i="1"/>
  <c r="Q66" i="1"/>
  <c r="Q1019" i="1"/>
  <c r="Q13" i="1"/>
  <c r="Q737" i="1"/>
  <c r="Q397" i="1"/>
  <c r="Q972" i="1"/>
  <c r="R566" i="1"/>
  <c r="D566" i="1" s="1"/>
  <c r="Q809" i="1"/>
  <c r="Q133" i="1"/>
  <c r="Q736" i="1"/>
  <c r="Q131" i="1"/>
  <c r="R867" i="1"/>
  <c r="R1103" i="1"/>
  <c r="R1104" i="1"/>
  <c r="D1104" i="1" s="1"/>
  <c r="Q194" i="1"/>
  <c r="Q396" i="1"/>
  <c r="Q819" i="1"/>
  <c r="Q134" i="1"/>
  <c r="Q429" i="1"/>
  <c r="Q12" i="1"/>
  <c r="Q307" i="1"/>
  <c r="R866" i="1"/>
  <c r="R868" i="1"/>
  <c r="D285" i="1"/>
  <c r="D286" i="1"/>
  <c r="T511" i="1"/>
  <c r="T520" i="1"/>
  <c r="X511" i="1"/>
  <c r="X925" i="1"/>
  <c r="Y925" i="1"/>
  <c r="T519" i="1"/>
  <c r="X520" i="1"/>
  <c r="X519" i="1"/>
  <c r="X1160" i="1"/>
  <c r="X987" i="1"/>
  <c r="T987" i="1"/>
  <c r="Y987" i="1"/>
  <c r="T985" i="1"/>
  <c r="T986" i="1"/>
  <c r="X986" i="1"/>
  <c r="X985" i="1"/>
  <c r="X482" i="1"/>
  <c r="T482" i="1"/>
  <c r="R923" i="1" l="1"/>
  <c r="D924" i="1" s="1"/>
  <c r="R135" i="1"/>
  <c r="R710" i="1"/>
  <c r="R284" i="1"/>
  <c r="R12" i="1"/>
  <c r="D12" i="1" s="1"/>
  <c r="R134" i="1"/>
  <c r="R396" i="1"/>
  <c r="R397" i="1"/>
  <c r="R13" i="1"/>
  <c r="D13" i="1" s="1"/>
  <c r="R66" i="1"/>
  <c r="D66" i="1" s="1"/>
  <c r="R216" i="1"/>
  <c r="D216" i="1" s="1"/>
  <c r="R130" i="1"/>
  <c r="R394" i="1"/>
  <c r="P482" i="1"/>
  <c r="P1160" i="1"/>
  <c r="R307" i="1"/>
  <c r="R429" i="1"/>
  <c r="R819" i="1"/>
  <c r="R194" i="1"/>
  <c r="D194" i="1" s="1"/>
  <c r="R131" i="1"/>
  <c r="R133" i="1"/>
  <c r="R972" i="1"/>
  <c r="R737" i="1"/>
  <c r="R1019" i="1"/>
  <c r="R306" i="1"/>
  <c r="R132" i="1"/>
  <c r="P985" i="1"/>
  <c r="P519" i="1"/>
  <c r="P986" i="1"/>
  <c r="P520" i="1"/>
  <c r="P511" i="1"/>
  <c r="R736" i="1"/>
  <c r="R809" i="1"/>
  <c r="R1136" i="1"/>
  <c r="R129" i="1"/>
  <c r="R711" i="1"/>
  <c r="D710" i="1" s="1"/>
  <c r="D522" i="1"/>
  <c r="D482" i="1"/>
  <c r="D483" i="1"/>
  <c r="D521" i="1"/>
  <c r="D523" i="1"/>
  <c r="P925" i="1"/>
  <c r="D519" i="1"/>
  <c r="D520" i="1"/>
  <c r="P987" i="1"/>
  <c r="Q985" i="1" l="1"/>
  <c r="Q925" i="1"/>
  <c r="Q520" i="1"/>
  <c r="Q1160" i="1"/>
  <c r="Q987" i="1"/>
  <c r="Q519" i="1"/>
  <c r="Q482" i="1"/>
  <c r="Q511" i="1"/>
  <c r="Q986" i="1"/>
  <c r="D986" i="1"/>
  <c r="D985" i="1"/>
  <c r="A1113" i="1"/>
  <c r="C1113" i="1"/>
  <c r="B1113" i="1" s="1"/>
  <c r="F1113" i="1"/>
  <c r="M1113" i="1"/>
  <c r="O1113" i="1"/>
  <c r="U1113" i="1"/>
  <c r="Y1113" i="1" s="1"/>
  <c r="V1113" i="1"/>
  <c r="W1113" i="1" s="1"/>
  <c r="Z1113" i="1"/>
  <c r="M936" i="1"/>
  <c r="A936" i="1"/>
  <c r="C936" i="1"/>
  <c r="B936" i="1" s="1"/>
  <c r="F936" i="1"/>
  <c r="O936" i="1"/>
  <c r="U936" i="1"/>
  <c r="Y936" i="1" s="1"/>
  <c r="V936" i="1"/>
  <c r="W936" i="1" s="1"/>
  <c r="Z936" i="1"/>
  <c r="A1221" i="1"/>
  <c r="C1221" i="1"/>
  <c r="B1221" i="1" s="1"/>
  <c r="F1221" i="1"/>
  <c r="M1221" i="1"/>
  <c r="O1221" i="1"/>
  <c r="U1221" i="1"/>
  <c r="Y1221" i="1" s="1"/>
  <c r="V1221" i="1"/>
  <c r="W1221" i="1" s="1"/>
  <c r="Z1221" i="1"/>
  <c r="A1222" i="1"/>
  <c r="C1222" i="1"/>
  <c r="B1222" i="1" s="1"/>
  <c r="F1222" i="1"/>
  <c r="M1222" i="1"/>
  <c r="O1222" i="1"/>
  <c r="U1222" i="1"/>
  <c r="Y1222" i="1" s="1"/>
  <c r="V1222" i="1"/>
  <c r="W1222" i="1" s="1"/>
  <c r="Z1222" i="1"/>
  <c r="A1174" i="1"/>
  <c r="C1174" i="1"/>
  <c r="B1174" i="1" s="1"/>
  <c r="F1174" i="1"/>
  <c r="M1174" i="1"/>
  <c r="O1174" i="1"/>
  <c r="U1174" i="1"/>
  <c r="Y1174" i="1" s="1"/>
  <c r="V1174" i="1"/>
  <c r="W1174" i="1" s="1"/>
  <c r="Z1174" i="1"/>
  <c r="A1175" i="1"/>
  <c r="C1175" i="1"/>
  <c r="B1175" i="1" s="1"/>
  <c r="F1175" i="1"/>
  <c r="M1175" i="1"/>
  <c r="O1175" i="1"/>
  <c r="U1175" i="1"/>
  <c r="Y1175" i="1" s="1"/>
  <c r="V1175" i="1"/>
  <c r="W1175" i="1" s="1"/>
  <c r="Z1175" i="1"/>
  <c r="A1125" i="1"/>
  <c r="C1125" i="1"/>
  <c r="B1125" i="1" s="1"/>
  <c r="F1125" i="1"/>
  <c r="M1125" i="1"/>
  <c r="O1125" i="1"/>
  <c r="U1125" i="1"/>
  <c r="Y1125" i="1" s="1"/>
  <c r="V1125" i="1"/>
  <c r="W1125" i="1" s="1"/>
  <c r="Z1125" i="1"/>
  <c r="A1126" i="1"/>
  <c r="C1126" i="1"/>
  <c r="B1126" i="1" s="1"/>
  <c r="F1126" i="1"/>
  <c r="M1126" i="1"/>
  <c r="O1126" i="1"/>
  <c r="U1126" i="1"/>
  <c r="Y1126" i="1" s="1"/>
  <c r="V1126" i="1"/>
  <c r="W1126" i="1" s="1"/>
  <c r="Z1126" i="1"/>
  <c r="A1073" i="1"/>
  <c r="C1073" i="1"/>
  <c r="B1073" i="1" s="1"/>
  <c r="F1073" i="1"/>
  <c r="M1073" i="1"/>
  <c r="O1073" i="1"/>
  <c r="U1073" i="1"/>
  <c r="Y1073" i="1" s="1"/>
  <c r="V1073" i="1"/>
  <c r="W1073" i="1" s="1"/>
  <c r="Z1073" i="1"/>
  <c r="A1031" i="1"/>
  <c r="C1031" i="1"/>
  <c r="B1031" i="1" s="1"/>
  <c r="F1031" i="1"/>
  <c r="M1031" i="1"/>
  <c r="O1031" i="1"/>
  <c r="U1031" i="1"/>
  <c r="Y1031" i="1" s="1"/>
  <c r="V1031" i="1"/>
  <c r="W1031" i="1" s="1"/>
  <c r="Z1031" i="1"/>
  <c r="A1007" i="1"/>
  <c r="C1007" i="1"/>
  <c r="B1007" i="1" s="1"/>
  <c r="F1007" i="1"/>
  <c r="M1007" i="1"/>
  <c r="O1007" i="1"/>
  <c r="U1007" i="1"/>
  <c r="Y1007" i="1" s="1"/>
  <c r="V1007" i="1"/>
  <c r="W1007" i="1" s="1"/>
  <c r="Z1007" i="1"/>
  <c r="A1006" i="1"/>
  <c r="C1006" i="1"/>
  <c r="B1006" i="1" s="1"/>
  <c r="F1006" i="1"/>
  <c r="M1006" i="1"/>
  <c r="O1006" i="1"/>
  <c r="U1006" i="1"/>
  <c r="Y1006" i="1" s="1"/>
  <c r="V1006" i="1"/>
  <c r="W1006" i="1" s="1"/>
  <c r="Z1006" i="1"/>
  <c r="A735" i="1"/>
  <c r="C735" i="1"/>
  <c r="B735" i="1" s="1"/>
  <c r="F735" i="1"/>
  <c r="M735" i="1"/>
  <c r="O735" i="1"/>
  <c r="U735" i="1"/>
  <c r="Y735" i="1" s="1"/>
  <c r="V735" i="1"/>
  <c r="W735" i="1" s="1"/>
  <c r="Z735" i="1"/>
  <c r="A734" i="1"/>
  <c r="C734" i="1"/>
  <c r="B734" i="1" s="1"/>
  <c r="F734" i="1"/>
  <c r="M734" i="1"/>
  <c r="O734" i="1"/>
  <c r="U734" i="1"/>
  <c r="Y734" i="1" s="1"/>
  <c r="V734" i="1"/>
  <c r="W734" i="1" s="1"/>
  <c r="Z734" i="1"/>
  <c r="A762" i="1"/>
  <c r="C762" i="1"/>
  <c r="B762" i="1" s="1"/>
  <c r="F762" i="1"/>
  <c r="M762" i="1"/>
  <c r="O762" i="1"/>
  <c r="U762" i="1"/>
  <c r="Y762" i="1" s="1"/>
  <c r="V762" i="1"/>
  <c r="W762" i="1" s="1"/>
  <c r="Z762" i="1"/>
  <c r="A691" i="1"/>
  <c r="C691" i="1"/>
  <c r="B691" i="1" s="1"/>
  <c r="F691" i="1"/>
  <c r="M691" i="1"/>
  <c r="O691" i="1"/>
  <c r="U691" i="1"/>
  <c r="Y691" i="1" s="1"/>
  <c r="V691" i="1"/>
  <c r="W691" i="1" s="1"/>
  <c r="Z691" i="1"/>
  <c r="A679" i="1"/>
  <c r="C679" i="1"/>
  <c r="B679" i="1" s="1"/>
  <c r="F679" i="1"/>
  <c r="M679" i="1"/>
  <c r="O679" i="1"/>
  <c r="U679" i="1"/>
  <c r="V679" i="1"/>
  <c r="W679" i="1" s="1"/>
  <c r="Z679" i="1"/>
  <c r="A647" i="1"/>
  <c r="C647" i="1"/>
  <c r="B647" i="1" s="1"/>
  <c r="F647" i="1"/>
  <c r="M647" i="1"/>
  <c r="O647" i="1"/>
  <c r="U647" i="1"/>
  <c r="V647" i="1"/>
  <c r="W647" i="1" s="1"/>
  <c r="Z647" i="1"/>
  <c r="A702" i="1"/>
  <c r="C702" i="1"/>
  <c r="B702" i="1" s="1"/>
  <c r="F702" i="1"/>
  <c r="M702" i="1"/>
  <c r="O702" i="1"/>
  <c r="S702" i="1"/>
  <c r="T702" i="1"/>
  <c r="U702" i="1"/>
  <c r="Y702" i="1" s="1"/>
  <c r="V702" i="1"/>
  <c r="W702" i="1" s="1"/>
  <c r="Z702" i="1"/>
  <c r="A624" i="1"/>
  <c r="C624" i="1"/>
  <c r="B624" i="1" s="1"/>
  <c r="F624" i="1"/>
  <c r="M624" i="1"/>
  <c r="O624" i="1"/>
  <c r="U624" i="1"/>
  <c r="Y624" i="1" s="1"/>
  <c r="V624" i="1"/>
  <c r="W624" i="1" s="1"/>
  <c r="Z624" i="1"/>
  <c r="A625" i="1"/>
  <c r="C625" i="1"/>
  <c r="B625" i="1" s="1"/>
  <c r="F625" i="1"/>
  <c r="M625" i="1"/>
  <c r="O625" i="1"/>
  <c r="U625" i="1"/>
  <c r="Y625" i="1" s="1"/>
  <c r="V625" i="1"/>
  <c r="W625" i="1" s="1"/>
  <c r="Z625" i="1"/>
  <c r="R511" i="1" l="1"/>
  <c r="D511" i="1" s="1"/>
  <c r="R519" i="1"/>
  <c r="R1160" i="1"/>
  <c r="D1160" i="1" s="1"/>
  <c r="R925" i="1"/>
  <c r="R986" i="1"/>
  <c r="R482" i="1"/>
  <c r="R987" i="1"/>
  <c r="D987" i="1" s="1"/>
  <c r="R520" i="1"/>
  <c r="R985" i="1"/>
  <c r="T1222" i="1"/>
  <c r="X1113" i="1"/>
  <c r="T1113" i="1"/>
  <c r="T691" i="1"/>
  <c r="X936" i="1"/>
  <c r="T762" i="1"/>
  <c r="X1222" i="1"/>
  <c r="T735" i="1"/>
  <c r="X1031" i="1"/>
  <c r="T1174" i="1"/>
  <c r="T1006" i="1"/>
  <c r="T1073" i="1"/>
  <c r="T734" i="1"/>
  <c r="T936" i="1"/>
  <c r="T1221" i="1"/>
  <c r="X1221" i="1"/>
  <c r="X1174" i="1"/>
  <c r="T1175" i="1"/>
  <c r="X1175" i="1"/>
  <c r="T1125" i="1"/>
  <c r="X1125" i="1"/>
  <c r="T1126" i="1"/>
  <c r="X1126" i="1"/>
  <c r="X1073" i="1"/>
  <c r="T1031" i="1"/>
  <c r="X734" i="1"/>
  <c r="X1007" i="1"/>
  <c r="T1007" i="1"/>
  <c r="X691" i="1"/>
  <c r="X1006" i="1"/>
  <c r="X735" i="1"/>
  <c r="X762" i="1"/>
  <c r="T679" i="1"/>
  <c r="T624" i="1"/>
  <c r="X624" i="1"/>
  <c r="X679" i="1"/>
  <c r="Y679" i="1"/>
  <c r="T647" i="1"/>
  <c r="X647" i="1"/>
  <c r="Y647" i="1"/>
  <c r="X702" i="1"/>
  <c r="X625" i="1"/>
  <c r="T625" i="1"/>
  <c r="P702" i="1" l="1"/>
  <c r="P691" i="1"/>
  <c r="P1125" i="1"/>
  <c r="P1174" i="1"/>
  <c r="P1031" i="1"/>
  <c r="P936" i="1"/>
  <c r="P679" i="1"/>
  <c r="P762" i="1"/>
  <c r="P1073" i="1"/>
  <c r="P1221" i="1"/>
  <c r="P624" i="1"/>
  <c r="Q624" i="1" s="1"/>
  <c r="P735" i="1"/>
  <c r="P1007" i="1"/>
  <c r="P1126" i="1"/>
  <c r="P1175" i="1"/>
  <c r="P1222" i="1"/>
  <c r="P625" i="1"/>
  <c r="P1006" i="1"/>
  <c r="P734" i="1"/>
  <c r="P1113" i="1"/>
  <c r="D1113" i="1"/>
  <c r="D1115" i="1"/>
  <c r="D1008" i="1"/>
  <c r="D1114" i="1"/>
  <c r="D1126" i="1"/>
  <c r="D1125" i="1"/>
  <c r="D1006" i="1"/>
  <c r="D1007" i="1"/>
  <c r="P647" i="1"/>
  <c r="D625" i="1"/>
  <c r="D624" i="1"/>
  <c r="Q647" i="1" l="1"/>
  <c r="Q1113" i="1"/>
  <c r="Q1006" i="1"/>
  <c r="Q1222" i="1"/>
  <c r="Q1126" i="1"/>
  <c r="Q735" i="1"/>
  <c r="Q1221" i="1"/>
  <c r="Q762" i="1"/>
  <c r="Q936" i="1"/>
  <c r="Q1174" i="1"/>
  <c r="Q691" i="1"/>
  <c r="Q734" i="1"/>
  <c r="Q625" i="1"/>
  <c r="Q1175" i="1"/>
  <c r="Q1007" i="1"/>
  <c r="R624" i="1"/>
  <c r="Q1073" i="1"/>
  <c r="Q679" i="1"/>
  <c r="Q1031" i="1"/>
  <c r="Q1125" i="1"/>
  <c r="Q702" i="1"/>
  <c r="A437" i="1"/>
  <c r="C437" i="1"/>
  <c r="B437" i="1" s="1"/>
  <c r="F437" i="1"/>
  <c r="M437" i="1"/>
  <c r="O437" i="1"/>
  <c r="T437" i="1"/>
  <c r="U437" i="1"/>
  <c r="Y437" i="1" s="1"/>
  <c r="V437" i="1"/>
  <c r="W437" i="1" s="1"/>
  <c r="Z437" i="1"/>
  <c r="A36" i="1"/>
  <c r="C36" i="1"/>
  <c r="B36" i="1" s="1"/>
  <c r="F36" i="1"/>
  <c r="M36" i="1"/>
  <c r="O36" i="1"/>
  <c r="T36" i="1"/>
  <c r="U36" i="1"/>
  <c r="Y36" i="1" s="1"/>
  <c r="V36" i="1"/>
  <c r="W36" i="1" s="1"/>
  <c r="Z36" i="1"/>
  <c r="A263" i="1"/>
  <c r="C263" i="1"/>
  <c r="B263" i="1" s="1"/>
  <c r="F263" i="1"/>
  <c r="M263" i="1"/>
  <c r="O263" i="1"/>
  <c r="U263" i="1"/>
  <c r="Y263" i="1" s="1"/>
  <c r="V263" i="1"/>
  <c r="W263" i="1" s="1"/>
  <c r="Z263" i="1"/>
  <c r="A314" i="1"/>
  <c r="C314" i="1"/>
  <c r="B314" i="1" s="1"/>
  <c r="F314" i="1"/>
  <c r="M314" i="1"/>
  <c r="O314" i="1"/>
  <c r="U314" i="1"/>
  <c r="Y314" i="1" s="1"/>
  <c r="V314" i="1"/>
  <c r="W314" i="1" s="1"/>
  <c r="Z314" i="1"/>
  <c r="A414" i="1"/>
  <c r="C414" i="1"/>
  <c r="B414" i="1" s="1"/>
  <c r="F414" i="1"/>
  <c r="M414" i="1"/>
  <c r="O414" i="1"/>
  <c r="U414" i="1"/>
  <c r="Y414" i="1" s="1"/>
  <c r="V414" i="1"/>
  <c r="W414" i="1" s="1"/>
  <c r="Z414" i="1"/>
  <c r="A413" i="1"/>
  <c r="C413" i="1"/>
  <c r="B413" i="1" s="1"/>
  <c r="F413" i="1"/>
  <c r="M413" i="1"/>
  <c r="O413" i="1"/>
  <c r="U413" i="1"/>
  <c r="Y413" i="1" s="1"/>
  <c r="V413" i="1"/>
  <c r="W413" i="1" s="1"/>
  <c r="Z413" i="1"/>
  <c r="A346" i="1"/>
  <c r="C346" i="1"/>
  <c r="B346" i="1" s="1"/>
  <c r="F346" i="1"/>
  <c r="M346" i="1"/>
  <c r="O346" i="1"/>
  <c r="U346" i="1"/>
  <c r="Y346" i="1" s="1"/>
  <c r="V346" i="1"/>
  <c r="W346" i="1" s="1"/>
  <c r="Z346" i="1"/>
  <c r="A127" i="1"/>
  <c r="C127" i="1"/>
  <c r="B127" i="1" s="1"/>
  <c r="F127" i="1"/>
  <c r="M127" i="1"/>
  <c r="O127" i="1"/>
  <c r="T127" i="1"/>
  <c r="U127" i="1"/>
  <c r="Y127" i="1" s="1"/>
  <c r="V127" i="1"/>
  <c r="W127" i="1" s="1"/>
  <c r="Z127" i="1"/>
  <c r="A128" i="1"/>
  <c r="C128" i="1"/>
  <c r="B128" i="1" s="1"/>
  <c r="F128" i="1"/>
  <c r="M128" i="1"/>
  <c r="O128" i="1"/>
  <c r="S128" i="1"/>
  <c r="T128" i="1"/>
  <c r="U128" i="1"/>
  <c r="Y128" i="1" s="1"/>
  <c r="V128" i="1"/>
  <c r="W128" i="1" s="1"/>
  <c r="Z128" i="1"/>
  <c r="A215" i="1"/>
  <c r="C215" i="1"/>
  <c r="B215" i="1" s="1"/>
  <c r="F215" i="1"/>
  <c r="M215" i="1"/>
  <c r="O215" i="1"/>
  <c r="T215" i="1"/>
  <c r="U215" i="1"/>
  <c r="Y215" i="1" s="1"/>
  <c r="V215" i="1"/>
  <c r="W215" i="1" s="1"/>
  <c r="Z215" i="1"/>
  <c r="A565" i="1"/>
  <c r="C565" i="1"/>
  <c r="B565" i="1" s="1"/>
  <c r="F565" i="1"/>
  <c r="O565" i="1"/>
  <c r="T565" i="1"/>
  <c r="U565" i="1"/>
  <c r="Y565" i="1" s="1"/>
  <c r="V565" i="1"/>
  <c r="W565" i="1" s="1"/>
  <c r="Z565" i="1"/>
  <c r="A922" i="1"/>
  <c r="C922" i="1"/>
  <c r="B922" i="1" s="1"/>
  <c r="F922" i="1"/>
  <c r="M922" i="1"/>
  <c r="O922" i="1"/>
  <c r="U922" i="1"/>
  <c r="Y922" i="1" s="1"/>
  <c r="V922" i="1"/>
  <c r="W922" i="1" s="1"/>
  <c r="Z922" i="1"/>
  <c r="A1054" i="1"/>
  <c r="C1054" i="1"/>
  <c r="B1054" i="1" s="1"/>
  <c r="D1054" i="1"/>
  <c r="F1054" i="1"/>
  <c r="M1054" i="1"/>
  <c r="O1054" i="1"/>
  <c r="S1054" i="1"/>
  <c r="T1054" i="1"/>
  <c r="U1054" i="1"/>
  <c r="Y1054" i="1" s="1"/>
  <c r="V1054" i="1"/>
  <c r="W1054" i="1" s="1"/>
  <c r="Z1054" i="1"/>
  <c r="A1053" i="1"/>
  <c r="C1053" i="1"/>
  <c r="B1053" i="1" s="1"/>
  <c r="D1053" i="1"/>
  <c r="F1053" i="1"/>
  <c r="M1053" i="1"/>
  <c r="O1053" i="1"/>
  <c r="S1053" i="1"/>
  <c r="T1053" i="1"/>
  <c r="U1053" i="1"/>
  <c r="Y1053" i="1" s="1"/>
  <c r="V1053" i="1"/>
  <c r="W1053" i="1" s="1"/>
  <c r="Z1053" i="1"/>
  <c r="A1135" i="1"/>
  <c r="C1135" i="1"/>
  <c r="B1135" i="1" s="1"/>
  <c r="F1135" i="1"/>
  <c r="M1135" i="1"/>
  <c r="O1135" i="1"/>
  <c r="U1135" i="1"/>
  <c r="Y1135" i="1" s="1"/>
  <c r="V1135" i="1"/>
  <c r="W1135" i="1" s="1"/>
  <c r="Z1135" i="1"/>
  <c r="A995" i="1"/>
  <c r="C995" i="1"/>
  <c r="B995" i="1" s="1"/>
  <c r="D995" i="1"/>
  <c r="F995" i="1"/>
  <c r="M995" i="1"/>
  <c r="O995" i="1"/>
  <c r="S995" i="1"/>
  <c r="T995" i="1"/>
  <c r="U995" i="1"/>
  <c r="Y995" i="1" s="1"/>
  <c r="V995" i="1"/>
  <c r="W995" i="1" s="1"/>
  <c r="Z995" i="1"/>
  <c r="A356" i="1"/>
  <c r="C356" i="1"/>
  <c r="B356" i="1" s="1"/>
  <c r="F356" i="1"/>
  <c r="M356" i="1"/>
  <c r="O356" i="1"/>
  <c r="T356" i="1"/>
  <c r="U356" i="1"/>
  <c r="V356" i="1"/>
  <c r="W356" i="1" s="1"/>
  <c r="Z356" i="1"/>
  <c r="R1125" i="1" l="1"/>
  <c r="R679" i="1"/>
  <c r="R1175" i="1"/>
  <c r="R734" i="1"/>
  <c r="R1174" i="1"/>
  <c r="R762" i="1"/>
  <c r="R735" i="1"/>
  <c r="R1222" i="1"/>
  <c r="R1113" i="1"/>
  <c r="D1116" i="1" s="1"/>
  <c r="R702" i="1"/>
  <c r="D702" i="1" s="1"/>
  <c r="R1031" i="1"/>
  <c r="D1031" i="1" s="1"/>
  <c r="R1073" i="1"/>
  <c r="R1007" i="1"/>
  <c r="R625" i="1"/>
  <c r="R691" i="1"/>
  <c r="R936" i="1"/>
  <c r="D936" i="1" s="1"/>
  <c r="R1221" i="1"/>
  <c r="R1126" i="1"/>
  <c r="R1006" i="1"/>
  <c r="R647" i="1"/>
  <c r="T1135" i="1"/>
  <c r="T314" i="1"/>
  <c r="T346" i="1"/>
  <c r="X437" i="1"/>
  <c r="T413" i="1"/>
  <c r="X36" i="1"/>
  <c r="T263" i="1"/>
  <c r="X263" i="1"/>
  <c r="X314" i="1"/>
  <c r="T414" i="1"/>
  <c r="X414" i="1"/>
  <c r="X413" i="1"/>
  <c r="X346" i="1"/>
  <c r="X127" i="1"/>
  <c r="X128" i="1"/>
  <c r="X215" i="1"/>
  <c r="X565" i="1"/>
  <c r="T922" i="1"/>
  <c r="X1053" i="1"/>
  <c r="X922" i="1"/>
  <c r="X1054" i="1"/>
  <c r="X1135" i="1"/>
  <c r="R1135" i="1"/>
  <c r="D1137" i="1" s="1"/>
  <c r="X995" i="1"/>
  <c r="X356" i="1"/>
  <c r="Y356" i="1"/>
  <c r="A1200" i="1"/>
  <c r="C1200" i="1"/>
  <c r="B1200" i="1" s="1"/>
  <c r="D1200" i="1"/>
  <c r="F1200" i="1"/>
  <c r="O1200" i="1"/>
  <c r="S1200" i="1"/>
  <c r="T1200" i="1"/>
  <c r="U1200" i="1"/>
  <c r="Y1200" i="1" s="1"/>
  <c r="V1200" i="1"/>
  <c r="W1200" i="1" s="1"/>
  <c r="Z1200" i="1"/>
  <c r="A1090" i="1"/>
  <c r="C1090" i="1"/>
  <c r="B1090" i="1" s="1"/>
  <c r="F1090" i="1"/>
  <c r="O1090" i="1"/>
  <c r="T1090" i="1"/>
  <c r="U1090" i="1"/>
  <c r="Y1090" i="1" s="1"/>
  <c r="V1090" i="1"/>
  <c r="W1090" i="1" s="1"/>
  <c r="Z1090" i="1"/>
  <c r="A1089" i="1"/>
  <c r="C1089" i="1"/>
  <c r="B1089" i="1" s="1"/>
  <c r="F1089" i="1"/>
  <c r="O1089" i="1"/>
  <c r="T1089" i="1"/>
  <c r="U1089" i="1"/>
  <c r="Y1089" i="1" s="1"/>
  <c r="V1089" i="1"/>
  <c r="W1089" i="1" s="1"/>
  <c r="Z1089" i="1"/>
  <c r="A1230" i="1"/>
  <c r="C1230" i="1"/>
  <c r="B1230" i="1" s="1"/>
  <c r="F1230" i="1"/>
  <c r="M1230" i="1"/>
  <c r="O1230" i="1"/>
  <c r="S1230" i="1"/>
  <c r="T1230" i="1"/>
  <c r="U1230" i="1"/>
  <c r="Y1230" i="1" s="1"/>
  <c r="V1230" i="1"/>
  <c r="W1230" i="1" s="1"/>
  <c r="Z1230" i="1"/>
  <c r="P128" i="1" l="1"/>
  <c r="P1135" i="1"/>
  <c r="P1053" i="1"/>
  <c r="P414" i="1"/>
  <c r="P127" i="1"/>
  <c r="P36" i="1"/>
  <c r="P356" i="1"/>
  <c r="P1054" i="1"/>
  <c r="P565" i="1"/>
  <c r="P346" i="1"/>
  <c r="P314" i="1"/>
  <c r="P995" i="1"/>
  <c r="P922" i="1"/>
  <c r="P215" i="1"/>
  <c r="P413" i="1"/>
  <c r="P263" i="1"/>
  <c r="P437" i="1"/>
  <c r="D925" i="1"/>
  <c r="D923" i="1"/>
  <c r="D413" i="1"/>
  <c r="D414" i="1"/>
  <c r="X1200" i="1"/>
  <c r="X1089" i="1"/>
  <c r="X1090" i="1"/>
  <c r="R1090" i="1"/>
  <c r="D1090" i="1" s="1"/>
  <c r="X1230" i="1"/>
  <c r="Q346" i="1" l="1"/>
  <c r="Q1054" i="1"/>
  <c r="Q36" i="1"/>
  <c r="Q414" i="1"/>
  <c r="Q437" i="1"/>
  <c r="Q413" i="1"/>
  <c r="Q922" i="1"/>
  <c r="P1090" i="1"/>
  <c r="P1089" i="1"/>
  <c r="Q314" i="1"/>
  <c r="Q565" i="1"/>
  <c r="Q356" i="1"/>
  <c r="Q127" i="1"/>
  <c r="Q1053" i="1"/>
  <c r="P1230" i="1"/>
  <c r="P1200" i="1"/>
  <c r="Q263" i="1"/>
  <c r="Q215" i="1"/>
  <c r="Q995" i="1"/>
  <c r="Q128" i="1"/>
  <c r="D1230" i="1"/>
  <c r="A905" i="1"/>
  <c r="C905" i="1"/>
  <c r="B905" i="1" s="1"/>
  <c r="D905" i="1"/>
  <c r="F905" i="1"/>
  <c r="M905" i="1"/>
  <c r="O905" i="1"/>
  <c r="S905" i="1"/>
  <c r="T905" i="1"/>
  <c r="U905" i="1"/>
  <c r="Y905" i="1" s="1"/>
  <c r="V905" i="1"/>
  <c r="W905" i="1" s="1"/>
  <c r="Z905" i="1"/>
  <c r="A62" i="104"/>
  <c r="B62" i="104"/>
  <c r="C62" i="104"/>
  <c r="I62" i="104"/>
  <c r="A318" i="1"/>
  <c r="C318" i="1"/>
  <c r="B318" i="1" s="1"/>
  <c r="D318" i="1"/>
  <c r="F318" i="1"/>
  <c r="M318" i="1"/>
  <c r="O318" i="1"/>
  <c r="S318" i="1"/>
  <c r="T318" i="1"/>
  <c r="U318" i="1"/>
  <c r="Y318" i="1" s="1"/>
  <c r="V318" i="1"/>
  <c r="W318" i="1" s="1"/>
  <c r="Z318" i="1"/>
  <c r="A317" i="1"/>
  <c r="C317" i="1"/>
  <c r="B317" i="1" s="1"/>
  <c r="F317" i="1"/>
  <c r="M317" i="1"/>
  <c r="O317" i="1"/>
  <c r="T317" i="1"/>
  <c r="U317" i="1"/>
  <c r="V317" i="1"/>
  <c r="W317" i="1" s="1"/>
  <c r="Z317" i="1"/>
  <c r="A828" i="1"/>
  <c r="C828" i="1"/>
  <c r="B828" i="1" s="1"/>
  <c r="F828" i="1"/>
  <c r="M828" i="1"/>
  <c r="T828" i="1"/>
  <c r="U828" i="1"/>
  <c r="Y828" i="1" s="1"/>
  <c r="V828" i="1"/>
  <c r="W828" i="1" s="1"/>
  <c r="Z828" i="1"/>
  <c r="I63" i="104"/>
  <c r="A1150" i="1"/>
  <c r="C1150" i="1"/>
  <c r="B1150" i="1" s="1"/>
  <c r="F1150" i="1"/>
  <c r="M1150" i="1"/>
  <c r="O1150" i="1"/>
  <c r="S1150" i="1"/>
  <c r="T1150" i="1"/>
  <c r="U1150" i="1"/>
  <c r="Y1150" i="1" s="1"/>
  <c r="V1150" i="1"/>
  <c r="W1150" i="1" s="1"/>
  <c r="Z1150" i="1"/>
  <c r="R128" i="1" l="1"/>
  <c r="R215" i="1"/>
  <c r="D215" i="1" s="1"/>
  <c r="Q1200" i="1"/>
  <c r="R1053" i="1"/>
  <c r="R356" i="1"/>
  <c r="D356" i="1" s="1"/>
  <c r="R314" i="1"/>
  <c r="D314" i="1" s="1"/>
  <c r="R413" i="1"/>
  <c r="R414" i="1"/>
  <c r="R1054" i="1"/>
  <c r="R995" i="1"/>
  <c r="R263" i="1"/>
  <c r="D263" i="1" s="1"/>
  <c r="Q1230" i="1"/>
  <c r="R127" i="1"/>
  <c r="R565" i="1"/>
  <c r="D565" i="1" s="1"/>
  <c r="R1089" i="1"/>
  <c r="D1089" i="1" s="1"/>
  <c r="R922" i="1"/>
  <c r="R437" i="1"/>
  <c r="D437" i="1" s="1"/>
  <c r="R36" i="1"/>
  <c r="R346" i="1"/>
  <c r="X905" i="1"/>
  <c r="X318" i="1"/>
  <c r="X317" i="1"/>
  <c r="Y317" i="1"/>
  <c r="X828" i="1"/>
  <c r="X1150" i="1"/>
  <c r="A690" i="1"/>
  <c r="C690" i="1"/>
  <c r="B690" i="1" s="1"/>
  <c r="F690" i="1"/>
  <c r="M690" i="1"/>
  <c r="O690" i="1"/>
  <c r="U690" i="1"/>
  <c r="V690" i="1"/>
  <c r="W690" i="1" s="1"/>
  <c r="Z690" i="1"/>
  <c r="A63" i="104"/>
  <c r="B63" i="104"/>
  <c r="C63" i="104"/>
  <c r="P1150" i="1" l="1"/>
  <c r="P318" i="1"/>
  <c r="P828" i="1"/>
  <c r="P905" i="1"/>
  <c r="R1230" i="1"/>
  <c r="R1200" i="1"/>
  <c r="P317" i="1"/>
  <c r="T690" i="1"/>
  <c r="X690" i="1"/>
  <c r="Y690" i="1"/>
  <c r="A790" i="1"/>
  <c r="C790" i="1"/>
  <c r="B790" i="1" s="1"/>
  <c r="F790" i="1"/>
  <c r="M790" i="1"/>
  <c r="U790" i="1"/>
  <c r="Y790" i="1" s="1"/>
  <c r="V790" i="1"/>
  <c r="W790" i="1" s="1"/>
  <c r="Z790" i="1"/>
  <c r="A818" i="1"/>
  <c r="C818" i="1"/>
  <c r="B818" i="1" s="1"/>
  <c r="F818" i="1"/>
  <c r="M818" i="1"/>
  <c r="O818" i="1"/>
  <c r="U818" i="1"/>
  <c r="Y818" i="1" s="1"/>
  <c r="V818" i="1"/>
  <c r="W818" i="1" s="1"/>
  <c r="Z818" i="1"/>
  <c r="A970" i="1"/>
  <c r="C970" i="1"/>
  <c r="B970" i="1" s="1"/>
  <c r="F970" i="1"/>
  <c r="M970" i="1"/>
  <c r="O970" i="1"/>
  <c r="U970" i="1"/>
  <c r="Y970" i="1" s="1"/>
  <c r="V970" i="1"/>
  <c r="W970" i="1" s="1"/>
  <c r="Z970" i="1"/>
  <c r="A971" i="1"/>
  <c r="C971" i="1"/>
  <c r="B971" i="1" s="1"/>
  <c r="F971" i="1"/>
  <c r="M971" i="1"/>
  <c r="O971" i="1"/>
  <c r="U971" i="1"/>
  <c r="Y971" i="1" s="1"/>
  <c r="V971" i="1"/>
  <c r="W971" i="1" s="1"/>
  <c r="Z971" i="1"/>
  <c r="A733" i="1"/>
  <c r="C733" i="1"/>
  <c r="B733" i="1" s="1"/>
  <c r="F733" i="1"/>
  <c r="M733" i="1"/>
  <c r="O733" i="1"/>
  <c r="U733" i="1"/>
  <c r="Y733" i="1" s="1"/>
  <c r="V733" i="1"/>
  <c r="W733" i="1" s="1"/>
  <c r="Z733" i="1"/>
  <c r="A558" i="1"/>
  <c r="C558" i="1"/>
  <c r="B558" i="1" s="1"/>
  <c r="F558" i="1"/>
  <c r="M558" i="1"/>
  <c r="O558" i="1"/>
  <c r="U558" i="1"/>
  <c r="Y558" i="1" s="1"/>
  <c r="V558" i="1"/>
  <c r="W558" i="1" s="1"/>
  <c r="Z558" i="1"/>
  <c r="A65" i="1"/>
  <c r="C65" i="1"/>
  <c r="B65" i="1" s="1"/>
  <c r="F65" i="1"/>
  <c r="M65" i="1"/>
  <c r="O65" i="1"/>
  <c r="S65" i="1"/>
  <c r="T65" i="1"/>
  <c r="U65" i="1"/>
  <c r="Y65" i="1" s="1"/>
  <c r="V65" i="1"/>
  <c r="W65" i="1" s="1"/>
  <c r="Z65" i="1"/>
  <c r="Q905" i="1" l="1"/>
  <c r="Q318" i="1"/>
  <c r="Q317" i="1"/>
  <c r="Q828" i="1"/>
  <c r="Q1150" i="1"/>
  <c r="P690" i="1"/>
  <c r="D690" i="1"/>
  <c r="D691" i="1"/>
  <c r="T733" i="1"/>
  <c r="T818" i="1"/>
  <c r="T790" i="1"/>
  <c r="T971" i="1"/>
  <c r="X790" i="1"/>
  <c r="X818" i="1"/>
  <c r="T970" i="1"/>
  <c r="X970" i="1"/>
  <c r="X971" i="1"/>
  <c r="X733" i="1"/>
  <c r="T558" i="1"/>
  <c r="X558" i="1"/>
  <c r="X65" i="1"/>
  <c r="R318" i="1" l="1"/>
  <c r="P970" i="1"/>
  <c r="P733" i="1"/>
  <c r="P818" i="1"/>
  <c r="R1150" i="1"/>
  <c r="D1150" i="1" s="1"/>
  <c r="P558" i="1"/>
  <c r="P65" i="1"/>
  <c r="P971" i="1"/>
  <c r="P790" i="1"/>
  <c r="Q690" i="1"/>
  <c r="R317" i="1"/>
  <c r="D317" i="1" s="1"/>
  <c r="R905" i="1"/>
  <c r="R828" i="1"/>
  <c r="D828" i="1" s="1"/>
  <c r="D738" i="1"/>
  <c r="D739" i="1"/>
  <c r="D818" i="1"/>
  <c r="D819" i="1"/>
  <c r="A484" i="1"/>
  <c r="A485" i="1"/>
  <c r="A486" i="1"/>
  <c r="A487" i="1"/>
  <c r="A488" i="1"/>
  <c r="A489" i="1"/>
  <c r="C484" i="1"/>
  <c r="B484" i="1" s="1"/>
  <c r="C485" i="1"/>
  <c r="B485" i="1" s="1"/>
  <c r="C486" i="1"/>
  <c r="B486" i="1" s="1"/>
  <c r="C487" i="1"/>
  <c r="B487" i="1" s="1"/>
  <c r="C488" i="1"/>
  <c r="B488" i="1" s="1"/>
  <c r="C489" i="1"/>
  <c r="B489" i="1" s="1"/>
  <c r="F484" i="1"/>
  <c r="F485" i="1"/>
  <c r="F486" i="1"/>
  <c r="F487" i="1"/>
  <c r="F488" i="1"/>
  <c r="F489" i="1"/>
  <c r="M484" i="1"/>
  <c r="M485" i="1"/>
  <c r="M486" i="1"/>
  <c r="M487" i="1"/>
  <c r="M488" i="1"/>
  <c r="M489" i="1"/>
  <c r="O484" i="1"/>
  <c r="O485" i="1"/>
  <c r="O486" i="1"/>
  <c r="O487" i="1"/>
  <c r="O488" i="1"/>
  <c r="O489" i="1"/>
  <c r="T484" i="1"/>
  <c r="T488" i="1"/>
  <c r="U484" i="1"/>
  <c r="Y484" i="1" s="1"/>
  <c r="U485" i="1"/>
  <c r="Y485" i="1" s="1"/>
  <c r="U486" i="1"/>
  <c r="U487" i="1"/>
  <c r="U488" i="1"/>
  <c r="Y488" i="1" s="1"/>
  <c r="U489" i="1"/>
  <c r="Y489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Z484" i="1"/>
  <c r="Z485" i="1"/>
  <c r="Z486" i="1"/>
  <c r="Z487" i="1"/>
  <c r="Z488" i="1"/>
  <c r="Z489" i="1"/>
  <c r="I57" i="104"/>
  <c r="I58" i="104"/>
  <c r="I59" i="104"/>
  <c r="I60" i="104"/>
  <c r="I61" i="104"/>
  <c r="I56" i="104"/>
  <c r="A56" i="104"/>
  <c r="A57" i="104"/>
  <c r="A58" i="104"/>
  <c r="A59" i="104"/>
  <c r="A60" i="104"/>
  <c r="A61" i="104"/>
  <c r="B56" i="104"/>
  <c r="B57" i="104"/>
  <c r="B58" i="104"/>
  <c r="B59" i="104"/>
  <c r="B60" i="104"/>
  <c r="B61" i="104"/>
  <c r="C56" i="104"/>
  <c r="C57" i="104"/>
  <c r="C58" i="104"/>
  <c r="C59" i="104"/>
  <c r="C60" i="104"/>
  <c r="C61" i="104"/>
  <c r="A283" i="1"/>
  <c r="C283" i="1"/>
  <c r="B283" i="1" s="1"/>
  <c r="F283" i="1"/>
  <c r="M283" i="1"/>
  <c r="O283" i="1"/>
  <c r="U283" i="1"/>
  <c r="Y283" i="1" s="1"/>
  <c r="V283" i="1"/>
  <c r="W283" i="1" s="1"/>
  <c r="Z283" i="1"/>
  <c r="A345" i="1"/>
  <c r="C345" i="1"/>
  <c r="B345" i="1" s="1"/>
  <c r="F345" i="1"/>
  <c r="M345" i="1"/>
  <c r="O345" i="1"/>
  <c r="U345" i="1"/>
  <c r="Y345" i="1" s="1"/>
  <c r="V345" i="1"/>
  <c r="W345" i="1" s="1"/>
  <c r="Z345" i="1"/>
  <c r="A344" i="1"/>
  <c r="C344" i="1"/>
  <c r="B344" i="1" s="1"/>
  <c r="F344" i="1"/>
  <c r="M344" i="1"/>
  <c r="O344" i="1"/>
  <c r="U344" i="1"/>
  <c r="Y344" i="1" s="1"/>
  <c r="V344" i="1"/>
  <c r="W344" i="1" s="1"/>
  <c r="Z344" i="1"/>
  <c r="A64" i="1"/>
  <c r="C64" i="1"/>
  <c r="B64" i="1" s="1"/>
  <c r="F64" i="1"/>
  <c r="M64" i="1"/>
  <c r="O64" i="1"/>
  <c r="T64" i="1"/>
  <c r="U64" i="1"/>
  <c r="Y64" i="1" s="1"/>
  <c r="V64" i="1"/>
  <c r="W64" i="1" s="1"/>
  <c r="Z64" i="1"/>
  <c r="A39" i="1"/>
  <c r="C39" i="1"/>
  <c r="B39" i="1" s="1"/>
  <c r="F39" i="1"/>
  <c r="M39" i="1"/>
  <c r="O39" i="1"/>
  <c r="T39" i="1"/>
  <c r="U39" i="1"/>
  <c r="Y39" i="1" s="1"/>
  <c r="V39" i="1"/>
  <c r="W39" i="1" s="1"/>
  <c r="Z39" i="1"/>
  <c r="A293" i="1"/>
  <c r="C293" i="1"/>
  <c r="B293" i="1" s="1"/>
  <c r="F293" i="1"/>
  <c r="M293" i="1"/>
  <c r="O293" i="1"/>
  <c r="T293" i="1"/>
  <c r="U293" i="1"/>
  <c r="Y293" i="1" s="1"/>
  <c r="V293" i="1"/>
  <c r="W293" i="1" s="1"/>
  <c r="Z293" i="1"/>
  <c r="A331" i="1"/>
  <c r="C331" i="1"/>
  <c r="B331" i="1" s="1"/>
  <c r="F331" i="1"/>
  <c r="M331" i="1"/>
  <c r="O331" i="1"/>
  <c r="T331" i="1"/>
  <c r="U331" i="1"/>
  <c r="Y331" i="1" s="1"/>
  <c r="V331" i="1"/>
  <c r="W331" i="1" s="1"/>
  <c r="Z331" i="1"/>
  <c r="A63" i="1"/>
  <c r="C63" i="1"/>
  <c r="B63" i="1" s="1"/>
  <c r="F63" i="1"/>
  <c r="M63" i="1"/>
  <c r="O63" i="1"/>
  <c r="T63" i="1"/>
  <c r="U63" i="1"/>
  <c r="Y63" i="1" s="1"/>
  <c r="V63" i="1"/>
  <c r="W63" i="1" s="1"/>
  <c r="Z63" i="1"/>
  <c r="A594" i="1"/>
  <c r="C594" i="1"/>
  <c r="B594" i="1" s="1"/>
  <c r="F594" i="1"/>
  <c r="M594" i="1"/>
  <c r="O594" i="1"/>
  <c r="T594" i="1"/>
  <c r="U594" i="1"/>
  <c r="Y594" i="1" s="1"/>
  <c r="V594" i="1"/>
  <c r="W594" i="1" s="1"/>
  <c r="Z594" i="1"/>
  <c r="A593" i="1"/>
  <c r="C593" i="1"/>
  <c r="B593" i="1" s="1"/>
  <c r="F593" i="1"/>
  <c r="M593" i="1"/>
  <c r="O593" i="1"/>
  <c r="U593" i="1"/>
  <c r="V593" i="1"/>
  <c r="W593" i="1" s="1"/>
  <c r="Z593" i="1"/>
  <c r="R690" i="1" l="1"/>
  <c r="Q971" i="1"/>
  <c r="Q558" i="1"/>
  <c r="Q818" i="1"/>
  <c r="Q970" i="1"/>
  <c r="Q790" i="1"/>
  <c r="Q65" i="1"/>
  <c r="Q733" i="1"/>
  <c r="T485" i="1"/>
  <c r="T283" i="1"/>
  <c r="X489" i="1"/>
  <c r="X485" i="1"/>
  <c r="X487" i="1"/>
  <c r="T489" i="1"/>
  <c r="X488" i="1"/>
  <c r="X484" i="1"/>
  <c r="X486" i="1"/>
  <c r="Y487" i="1"/>
  <c r="T487" i="1"/>
  <c r="Y486" i="1"/>
  <c r="T486" i="1"/>
  <c r="X283" i="1"/>
  <c r="X344" i="1"/>
  <c r="X345" i="1"/>
  <c r="T345" i="1"/>
  <c r="T344" i="1"/>
  <c r="X64" i="1"/>
  <c r="X39" i="1"/>
  <c r="X594" i="1"/>
  <c r="X293" i="1"/>
  <c r="X331" i="1"/>
  <c r="X63" i="1"/>
  <c r="X593" i="1"/>
  <c r="Y593" i="1"/>
  <c r="T593" i="1"/>
  <c r="R593" i="1"/>
  <c r="D598" i="6"/>
  <c r="E598" i="6" s="1"/>
  <c r="F598" i="6"/>
  <c r="I598" i="6"/>
  <c r="E521" i="6"/>
  <c r="F521" i="6"/>
  <c r="I521" i="6"/>
  <c r="J521" i="6"/>
  <c r="E509" i="6"/>
  <c r="F509" i="6"/>
  <c r="I509" i="6"/>
  <c r="J509" i="6"/>
  <c r="E670" i="6"/>
  <c r="E657" i="6"/>
  <c r="E683" i="6"/>
  <c r="I670" i="6"/>
  <c r="I657" i="6"/>
  <c r="I683" i="6"/>
  <c r="J670" i="6"/>
  <c r="J657" i="6"/>
  <c r="J683" i="6"/>
  <c r="E476" i="6"/>
  <c r="E487" i="6"/>
  <c r="F476" i="6"/>
  <c r="F487" i="6"/>
  <c r="I476" i="6"/>
  <c r="I487" i="6"/>
  <c r="J476" i="6"/>
  <c r="J487" i="6"/>
  <c r="E454" i="6"/>
  <c r="F454" i="6"/>
  <c r="I454" i="6"/>
  <c r="J454" i="6"/>
  <c r="E453" i="6"/>
  <c r="F453" i="6"/>
  <c r="I453" i="6"/>
  <c r="J453" i="6"/>
  <c r="E452" i="6"/>
  <c r="F452" i="6"/>
  <c r="I452" i="6"/>
  <c r="J452" i="6"/>
  <c r="E426" i="6"/>
  <c r="F426" i="6"/>
  <c r="I426" i="6"/>
  <c r="J426" i="6"/>
  <c r="E410" i="6"/>
  <c r="F410" i="6"/>
  <c r="I410" i="6"/>
  <c r="J410" i="6"/>
  <c r="E409" i="6"/>
  <c r="F409" i="6"/>
  <c r="I409" i="6"/>
  <c r="J409" i="6"/>
  <c r="E33" i="6"/>
  <c r="F33" i="6"/>
  <c r="I33" i="6"/>
  <c r="J33" i="6"/>
  <c r="E338" i="6"/>
  <c r="F338" i="6"/>
  <c r="I338" i="6"/>
  <c r="J338" i="6"/>
  <c r="E44" i="6"/>
  <c r="E85" i="6"/>
  <c r="E141" i="6"/>
  <c r="E210" i="6"/>
  <c r="E300" i="6"/>
  <c r="F44" i="6"/>
  <c r="F85" i="6"/>
  <c r="F300" i="6"/>
  <c r="I44" i="6"/>
  <c r="I85" i="6"/>
  <c r="I141" i="6"/>
  <c r="I210" i="6"/>
  <c r="I300" i="6"/>
  <c r="J44" i="6"/>
  <c r="J85" i="6"/>
  <c r="J141" i="6"/>
  <c r="J210" i="6"/>
  <c r="J300" i="6"/>
  <c r="A1173" i="1"/>
  <c r="C1173" i="1"/>
  <c r="B1173" i="1" s="1"/>
  <c r="F1173" i="1"/>
  <c r="M1173" i="1"/>
  <c r="O1173" i="1"/>
  <c r="U1173" i="1"/>
  <c r="Y1173" i="1" s="1"/>
  <c r="V1173" i="1"/>
  <c r="W1173" i="1" s="1"/>
  <c r="Z1173" i="1"/>
  <c r="A1220" i="1"/>
  <c r="C1220" i="1"/>
  <c r="B1220" i="1" s="1"/>
  <c r="F1220" i="1"/>
  <c r="M1220" i="1"/>
  <c r="O1220" i="1"/>
  <c r="U1220" i="1"/>
  <c r="Y1220" i="1" s="1"/>
  <c r="V1220" i="1"/>
  <c r="W1220" i="1" s="1"/>
  <c r="Z1220" i="1"/>
  <c r="A953" i="1"/>
  <c r="C953" i="1"/>
  <c r="B953" i="1" s="1"/>
  <c r="F953" i="1"/>
  <c r="M953" i="1"/>
  <c r="O953" i="1"/>
  <c r="U953" i="1"/>
  <c r="Y953" i="1" s="1"/>
  <c r="V953" i="1"/>
  <c r="W953" i="1" s="1"/>
  <c r="Z953" i="1"/>
  <c r="A548" i="1"/>
  <c r="C548" i="1"/>
  <c r="B548" i="1" s="1"/>
  <c r="F548" i="1"/>
  <c r="M548" i="1"/>
  <c r="O548" i="1"/>
  <c r="U548" i="1"/>
  <c r="Y548" i="1" s="1"/>
  <c r="V548" i="1"/>
  <c r="W548" i="1" s="1"/>
  <c r="Z548" i="1"/>
  <c r="A549" i="1"/>
  <c r="C549" i="1"/>
  <c r="B549" i="1" s="1"/>
  <c r="F549" i="1"/>
  <c r="M549" i="1"/>
  <c r="O549" i="1"/>
  <c r="U549" i="1"/>
  <c r="Y549" i="1" s="1"/>
  <c r="V549" i="1"/>
  <c r="W549" i="1" s="1"/>
  <c r="Z549" i="1"/>
  <c r="A969" i="1"/>
  <c r="C969" i="1"/>
  <c r="B969" i="1" s="1"/>
  <c r="F969" i="1"/>
  <c r="M969" i="1"/>
  <c r="O969" i="1"/>
  <c r="U969" i="1"/>
  <c r="Y969" i="1" s="1"/>
  <c r="V969" i="1"/>
  <c r="W969" i="1" s="1"/>
  <c r="Z969" i="1"/>
  <c r="A882" i="1"/>
  <c r="C882" i="1"/>
  <c r="B882" i="1" s="1"/>
  <c r="F882" i="1"/>
  <c r="M882" i="1"/>
  <c r="O882" i="1"/>
  <c r="U882" i="1"/>
  <c r="Y882" i="1" s="1"/>
  <c r="V882" i="1"/>
  <c r="W882" i="1" s="1"/>
  <c r="Z882" i="1"/>
  <c r="A761" i="1"/>
  <c r="C761" i="1"/>
  <c r="B761" i="1" s="1"/>
  <c r="F761" i="1"/>
  <c r="M761" i="1"/>
  <c r="O761" i="1"/>
  <c r="U761" i="1"/>
  <c r="Y761" i="1" s="1"/>
  <c r="V761" i="1"/>
  <c r="W761" i="1" s="1"/>
  <c r="Z761" i="1"/>
  <c r="A952" i="1"/>
  <c r="C952" i="1"/>
  <c r="B952" i="1" s="1"/>
  <c r="F952" i="1"/>
  <c r="M952" i="1"/>
  <c r="O952" i="1"/>
  <c r="U952" i="1"/>
  <c r="Y952" i="1" s="1"/>
  <c r="V952" i="1"/>
  <c r="W952" i="1" s="1"/>
  <c r="Z952" i="1"/>
  <c r="A701" i="1"/>
  <c r="C701" i="1"/>
  <c r="B701" i="1" s="1"/>
  <c r="F701" i="1"/>
  <c r="M701" i="1"/>
  <c r="O701" i="1"/>
  <c r="T701" i="1"/>
  <c r="U701" i="1"/>
  <c r="Y701" i="1" s="1"/>
  <c r="V701" i="1"/>
  <c r="W701" i="1" s="1"/>
  <c r="Z701" i="1"/>
  <c r="A214" i="1"/>
  <c r="C214" i="1"/>
  <c r="B214" i="1" s="1"/>
  <c r="F214" i="1"/>
  <c r="M214" i="1"/>
  <c r="O214" i="1"/>
  <c r="T214" i="1"/>
  <c r="U214" i="1"/>
  <c r="Y214" i="1" s="1"/>
  <c r="V214" i="1"/>
  <c r="W214" i="1" s="1"/>
  <c r="Z214" i="1"/>
  <c r="A23" i="1"/>
  <c r="C23" i="1"/>
  <c r="B23" i="1" s="1"/>
  <c r="F23" i="1"/>
  <c r="M23" i="1"/>
  <c r="O23" i="1"/>
  <c r="U23" i="1"/>
  <c r="Y23" i="1" s="1"/>
  <c r="V23" i="1"/>
  <c r="W23" i="1" s="1"/>
  <c r="Z23" i="1"/>
  <c r="A193" i="1"/>
  <c r="C193" i="1"/>
  <c r="B193" i="1" s="1"/>
  <c r="F193" i="1"/>
  <c r="M193" i="1"/>
  <c r="O193" i="1"/>
  <c r="T193" i="1"/>
  <c r="U193" i="1"/>
  <c r="Y193" i="1" s="1"/>
  <c r="V193" i="1"/>
  <c r="W193" i="1" s="1"/>
  <c r="Z193" i="1"/>
  <c r="A405" i="1"/>
  <c r="C405" i="1"/>
  <c r="B405" i="1" s="1"/>
  <c r="F405" i="1"/>
  <c r="M405" i="1"/>
  <c r="O405" i="1"/>
  <c r="U405" i="1"/>
  <c r="Y405" i="1" s="1"/>
  <c r="V405" i="1"/>
  <c r="W405" i="1" s="1"/>
  <c r="Z405" i="1"/>
  <c r="A6" i="1"/>
  <c r="C6" i="1"/>
  <c r="B6" i="1" s="1"/>
  <c r="F6" i="1"/>
  <c r="M6" i="1"/>
  <c r="O6" i="1"/>
  <c r="U6" i="1"/>
  <c r="Y6" i="1" s="1"/>
  <c r="V6" i="1"/>
  <c r="W6" i="1" s="1"/>
  <c r="Z6" i="1"/>
  <c r="A305" i="1"/>
  <c r="C305" i="1"/>
  <c r="B305" i="1" s="1"/>
  <c r="F305" i="1"/>
  <c r="M305" i="1"/>
  <c r="O305" i="1"/>
  <c r="S305" i="1"/>
  <c r="T305" i="1"/>
  <c r="U305" i="1"/>
  <c r="Y305" i="1" s="1"/>
  <c r="V305" i="1"/>
  <c r="W305" i="1" s="1"/>
  <c r="Z305" i="1"/>
  <c r="A35" i="1"/>
  <c r="C35" i="1"/>
  <c r="B35" i="1" s="1"/>
  <c r="F35" i="1"/>
  <c r="M35" i="1"/>
  <c r="O35" i="1"/>
  <c r="U35" i="1"/>
  <c r="Y35" i="1" s="1"/>
  <c r="V35" i="1"/>
  <c r="W35" i="1" s="1"/>
  <c r="Z35" i="1"/>
  <c r="A1172" i="1"/>
  <c r="C1172" i="1"/>
  <c r="T1172" i="1" s="1"/>
  <c r="F1172" i="1"/>
  <c r="M1172" i="1"/>
  <c r="O1172" i="1"/>
  <c r="U1172" i="1"/>
  <c r="Y1172" i="1" s="1"/>
  <c r="V1172" i="1"/>
  <c r="W1172" i="1" s="1"/>
  <c r="Z1172" i="1"/>
  <c r="P594" i="1" l="1"/>
  <c r="R65" i="1"/>
  <c r="D65" i="1" s="1"/>
  <c r="P63" i="1"/>
  <c r="P39" i="1"/>
  <c r="P345" i="1"/>
  <c r="P484" i="1"/>
  <c r="P485" i="1"/>
  <c r="R818" i="1"/>
  <c r="R971" i="1"/>
  <c r="P331" i="1"/>
  <c r="P64" i="1"/>
  <c r="P344" i="1"/>
  <c r="P488" i="1"/>
  <c r="P489" i="1"/>
  <c r="R733" i="1"/>
  <c r="R790" i="1"/>
  <c r="D790" i="1" s="1"/>
  <c r="P293" i="1"/>
  <c r="P283" i="1"/>
  <c r="R970" i="1"/>
  <c r="R558" i="1"/>
  <c r="D558" i="1" s="1"/>
  <c r="P486" i="1"/>
  <c r="P487" i="1"/>
  <c r="J598" i="6"/>
  <c r="D593" i="1"/>
  <c r="D594" i="1"/>
  <c r="T953" i="1"/>
  <c r="T1173" i="1"/>
  <c r="X1173" i="1"/>
  <c r="T1220" i="1"/>
  <c r="X1220" i="1"/>
  <c r="T882" i="1"/>
  <c r="X953" i="1"/>
  <c r="T548" i="1"/>
  <c r="X548" i="1"/>
  <c r="X549" i="1"/>
  <c r="X882" i="1"/>
  <c r="T549" i="1"/>
  <c r="T969" i="1"/>
  <c r="T952" i="1"/>
  <c r="X969" i="1"/>
  <c r="X761" i="1"/>
  <c r="T761" i="1"/>
  <c r="X952" i="1"/>
  <c r="T23" i="1"/>
  <c r="X701" i="1"/>
  <c r="T35" i="1"/>
  <c r="T6" i="1"/>
  <c r="X214" i="1"/>
  <c r="T405" i="1"/>
  <c r="X23" i="1"/>
  <c r="P23" i="1" s="1"/>
  <c r="X193" i="1"/>
  <c r="X405" i="1"/>
  <c r="X6" i="1"/>
  <c r="X305" i="1"/>
  <c r="X35" i="1"/>
  <c r="X1172" i="1"/>
  <c r="B1172" i="1"/>
  <c r="A676" i="1"/>
  <c r="C676" i="1"/>
  <c r="B676" i="1" s="1"/>
  <c r="F676" i="1"/>
  <c r="M676" i="1"/>
  <c r="O676" i="1"/>
  <c r="U676" i="1"/>
  <c r="Y676" i="1" s="1"/>
  <c r="V676" i="1"/>
  <c r="W676" i="1" s="1"/>
  <c r="Z676" i="1"/>
  <c r="A546" i="1"/>
  <c r="C546" i="1"/>
  <c r="B546" i="1" s="1"/>
  <c r="F546" i="1"/>
  <c r="M546" i="1"/>
  <c r="O546" i="1"/>
  <c r="T546" i="1"/>
  <c r="U546" i="1"/>
  <c r="Y546" i="1" s="1"/>
  <c r="V546" i="1"/>
  <c r="W546" i="1" s="1"/>
  <c r="Z546" i="1"/>
  <c r="A545" i="1"/>
  <c r="C545" i="1"/>
  <c r="B545" i="1" s="1"/>
  <c r="F545" i="1"/>
  <c r="M545" i="1"/>
  <c r="O545" i="1"/>
  <c r="T545" i="1"/>
  <c r="U545" i="1"/>
  <c r="Y545" i="1" s="1"/>
  <c r="V545" i="1"/>
  <c r="W545" i="1" s="1"/>
  <c r="Z545" i="1"/>
  <c r="A478" i="1"/>
  <c r="A479" i="1"/>
  <c r="A480" i="1"/>
  <c r="A481" i="1"/>
  <c r="C478" i="1"/>
  <c r="B478" i="1" s="1"/>
  <c r="C479" i="1"/>
  <c r="B479" i="1" s="1"/>
  <c r="C480" i="1"/>
  <c r="B480" i="1" s="1"/>
  <c r="C481" i="1"/>
  <c r="B481" i="1" s="1"/>
  <c r="F478" i="1"/>
  <c r="F479" i="1"/>
  <c r="F480" i="1"/>
  <c r="F481" i="1"/>
  <c r="M478" i="1"/>
  <c r="M479" i="1"/>
  <c r="M480" i="1"/>
  <c r="M481" i="1"/>
  <c r="O478" i="1"/>
  <c r="O479" i="1"/>
  <c r="O480" i="1"/>
  <c r="O481" i="1"/>
  <c r="T478" i="1"/>
  <c r="U478" i="1"/>
  <c r="Y478" i="1" s="1"/>
  <c r="U479" i="1"/>
  <c r="Y479" i="1" s="1"/>
  <c r="U480" i="1"/>
  <c r="Y480" i="1" s="1"/>
  <c r="U481" i="1"/>
  <c r="Y481" i="1" s="1"/>
  <c r="V478" i="1"/>
  <c r="W478" i="1" s="1"/>
  <c r="V479" i="1"/>
  <c r="W479" i="1" s="1"/>
  <c r="V480" i="1"/>
  <c r="W480" i="1" s="1"/>
  <c r="V481" i="1"/>
  <c r="W481" i="1" s="1"/>
  <c r="Z478" i="1"/>
  <c r="Z479" i="1"/>
  <c r="Z480" i="1"/>
  <c r="Z481" i="1"/>
  <c r="I52" i="104"/>
  <c r="I53" i="104"/>
  <c r="I54" i="104"/>
  <c r="I55" i="104"/>
  <c r="A52" i="104"/>
  <c r="A53" i="104"/>
  <c r="A54" i="104"/>
  <c r="A55" i="104"/>
  <c r="B52" i="104"/>
  <c r="B53" i="104"/>
  <c r="B54" i="104"/>
  <c r="B55" i="104"/>
  <c r="C52" i="104"/>
  <c r="C53" i="104"/>
  <c r="C54" i="104"/>
  <c r="C55" i="104"/>
  <c r="A732" i="1"/>
  <c r="C732" i="1"/>
  <c r="B732" i="1" s="1"/>
  <c r="F732" i="1"/>
  <c r="M732" i="1"/>
  <c r="O732" i="1"/>
  <c r="U732" i="1"/>
  <c r="Y732" i="1" s="1"/>
  <c r="V732" i="1"/>
  <c r="W732" i="1" s="1"/>
  <c r="Z732" i="1"/>
  <c r="A213" i="1"/>
  <c r="C213" i="1"/>
  <c r="B213" i="1" s="1"/>
  <c r="F213" i="1"/>
  <c r="M213" i="1"/>
  <c r="O213" i="1"/>
  <c r="U213" i="1"/>
  <c r="Y213" i="1" s="1"/>
  <c r="V213" i="1"/>
  <c r="W213" i="1" s="1"/>
  <c r="Z213" i="1"/>
  <c r="A921" i="1"/>
  <c r="C921" i="1"/>
  <c r="B921" i="1" s="1"/>
  <c r="F921" i="1"/>
  <c r="O921" i="1"/>
  <c r="U921" i="1"/>
  <c r="Y921" i="1" s="1"/>
  <c r="V921" i="1"/>
  <c r="W921" i="1" s="1"/>
  <c r="Z921" i="1"/>
  <c r="A623" i="1"/>
  <c r="C623" i="1"/>
  <c r="B623" i="1" s="1"/>
  <c r="F623" i="1"/>
  <c r="M623" i="1"/>
  <c r="O623" i="1"/>
  <c r="U623" i="1"/>
  <c r="Y623" i="1" s="1"/>
  <c r="V623" i="1"/>
  <c r="W623" i="1" s="1"/>
  <c r="Z623" i="1"/>
  <c r="A808" i="1"/>
  <c r="C808" i="1"/>
  <c r="B808" i="1" s="1"/>
  <c r="F808" i="1"/>
  <c r="M808" i="1"/>
  <c r="O808" i="1"/>
  <c r="U808" i="1"/>
  <c r="Y808" i="1" s="1"/>
  <c r="V808" i="1"/>
  <c r="W808" i="1" s="1"/>
  <c r="Z808" i="1"/>
  <c r="A547" i="1"/>
  <c r="C547" i="1"/>
  <c r="B547" i="1" s="1"/>
  <c r="F547" i="1"/>
  <c r="M547" i="1"/>
  <c r="O547" i="1"/>
  <c r="U547" i="1"/>
  <c r="Y547" i="1" s="1"/>
  <c r="V547" i="1"/>
  <c r="W547" i="1" s="1"/>
  <c r="Z547" i="1"/>
  <c r="A1219" i="1"/>
  <c r="C1219" i="1"/>
  <c r="B1219" i="1" s="1"/>
  <c r="F1219" i="1"/>
  <c r="M1219" i="1"/>
  <c r="O1219" i="1"/>
  <c r="U1219" i="1"/>
  <c r="Y1219" i="1" s="1"/>
  <c r="V1219" i="1"/>
  <c r="W1219" i="1" s="1"/>
  <c r="Z1219" i="1"/>
  <c r="A62" i="1"/>
  <c r="C62" i="1"/>
  <c r="B62" i="1" s="1"/>
  <c r="F62" i="1"/>
  <c r="M62" i="1"/>
  <c r="O62" i="1"/>
  <c r="S62" i="1"/>
  <c r="T62" i="1"/>
  <c r="U62" i="1"/>
  <c r="Y62" i="1" s="1"/>
  <c r="V62" i="1"/>
  <c r="W62" i="1" s="1"/>
  <c r="Z62" i="1"/>
  <c r="A61" i="1"/>
  <c r="C61" i="1"/>
  <c r="B61" i="1" s="1"/>
  <c r="F61" i="1"/>
  <c r="M61" i="1"/>
  <c r="O61" i="1"/>
  <c r="S61" i="1"/>
  <c r="T61" i="1"/>
  <c r="U61" i="1"/>
  <c r="Y61" i="1" s="1"/>
  <c r="V61" i="1"/>
  <c r="W61" i="1" s="1"/>
  <c r="Z61" i="1"/>
  <c r="A60" i="1"/>
  <c r="C60" i="1"/>
  <c r="B60" i="1" s="1"/>
  <c r="F60" i="1"/>
  <c r="M60" i="1"/>
  <c r="O60" i="1"/>
  <c r="U60" i="1"/>
  <c r="Y60" i="1" s="1"/>
  <c r="V60" i="1"/>
  <c r="W60" i="1" s="1"/>
  <c r="Z60" i="1"/>
  <c r="A59" i="1"/>
  <c r="C59" i="1"/>
  <c r="B59" i="1" s="1"/>
  <c r="F59" i="1"/>
  <c r="M59" i="1"/>
  <c r="O59" i="1"/>
  <c r="S59" i="1"/>
  <c r="U59" i="1"/>
  <c r="V59" i="1"/>
  <c r="W59" i="1" s="1"/>
  <c r="Z59" i="1"/>
  <c r="A343" i="1"/>
  <c r="C343" i="1"/>
  <c r="B343" i="1" s="1"/>
  <c r="F343" i="1"/>
  <c r="M343" i="1"/>
  <c r="O343" i="1"/>
  <c r="U343" i="1"/>
  <c r="Y343" i="1" s="1"/>
  <c r="V343" i="1"/>
  <c r="W343" i="1" s="1"/>
  <c r="Z343" i="1"/>
  <c r="A342" i="1"/>
  <c r="C342" i="1"/>
  <c r="B342" i="1" s="1"/>
  <c r="F342" i="1"/>
  <c r="M342" i="1"/>
  <c r="O342" i="1"/>
  <c r="U342" i="1"/>
  <c r="Y342" i="1" s="1"/>
  <c r="V342" i="1"/>
  <c r="W342" i="1" s="1"/>
  <c r="Z342" i="1"/>
  <c r="A304" i="1"/>
  <c r="C304" i="1"/>
  <c r="B304" i="1" s="1"/>
  <c r="F304" i="1"/>
  <c r="M304" i="1"/>
  <c r="O304" i="1"/>
  <c r="U304" i="1"/>
  <c r="Y304" i="1" s="1"/>
  <c r="V304" i="1"/>
  <c r="W304" i="1" s="1"/>
  <c r="Z304" i="1"/>
  <c r="A198" i="1"/>
  <c r="C198" i="1"/>
  <c r="B198" i="1" s="1"/>
  <c r="F198" i="1"/>
  <c r="M198" i="1"/>
  <c r="O198" i="1"/>
  <c r="U198" i="1"/>
  <c r="Y198" i="1" s="1"/>
  <c r="V198" i="1"/>
  <c r="W198" i="1" s="1"/>
  <c r="Z198" i="1"/>
  <c r="A34" i="1"/>
  <c r="C34" i="1"/>
  <c r="B34" i="1" s="1"/>
  <c r="F34" i="1"/>
  <c r="M34" i="1"/>
  <c r="O34" i="1"/>
  <c r="U34" i="1"/>
  <c r="Y34" i="1" s="1"/>
  <c r="V34" i="1"/>
  <c r="W34" i="1" s="1"/>
  <c r="Z34" i="1"/>
  <c r="A301" i="1"/>
  <c r="C301" i="1"/>
  <c r="B301" i="1" s="1"/>
  <c r="F301" i="1"/>
  <c r="M301" i="1"/>
  <c r="O301" i="1"/>
  <c r="U301" i="1"/>
  <c r="Y301" i="1" s="1"/>
  <c r="V301" i="1"/>
  <c r="W301" i="1" s="1"/>
  <c r="Z301" i="1"/>
  <c r="A412" i="1"/>
  <c r="C412" i="1"/>
  <c r="B412" i="1" s="1"/>
  <c r="F412" i="1"/>
  <c r="M412" i="1"/>
  <c r="O412" i="1"/>
  <c r="U412" i="1"/>
  <c r="Y412" i="1" s="1"/>
  <c r="V412" i="1"/>
  <c r="W412" i="1" s="1"/>
  <c r="Z412" i="1"/>
  <c r="A126" i="1"/>
  <c r="C126" i="1"/>
  <c r="B126" i="1" s="1"/>
  <c r="F126" i="1"/>
  <c r="M126" i="1"/>
  <c r="O126" i="1"/>
  <c r="S126" i="1"/>
  <c r="T126" i="1"/>
  <c r="U126" i="1"/>
  <c r="V126" i="1"/>
  <c r="W126" i="1" s="1"/>
  <c r="Z126" i="1"/>
  <c r="A125" i="1"/>
  <c r="C125" i="1"/>
  <c r="B125" i="1" s="1"/>
  <c r="F125" i="1"/>
  <c r="M125" i="1"/>
  <c r="O125" i="1"/>
  <c r="T125" i="1"/>
  <c r="U125" i="1"/>
  <c r="Y125" i="1" s="1"/>
  <c r="V125" i="1"/>
  <c r="W125" i="1" s="1"/>
  <c r="Z125" i="1"/>
  <c r="A1018" i="1"/>
  <c r="C1018" i="1"/>
  <c r="B1018" i="1" s="1"/>
  <c r="F1018" i="1"/>
  <c r="M1018" i="1"/>
  <c r="O1018" i="1"/>
  <c r="U1018" i="1"/>
  <c r="V1018" i="1"/>
  <c r="W1018" i="1" s="1"/>
  <c r="Z1018" i="1"/>
  <c r="A1188" i="1"/>
  <c r="C1188" i="1"/>
  <c r="B1188" i="1" s="1"/>
  <c r="F1188" i="1"/>
  <c r="M1188" i="1"/>
  <c r="O1188" i="1"/>
  <c r="U1188" i="1"/>
  <c r="Y1188" i="1" s="1"/>
  <c r="V1188" i="1"/>
  <c r="W1188" i="1" s="1"/>
  <c r="Z1188" i="1"/>
  <c r="A1171" i="1"/>
  <c r="C1171" i="1"/>
  <c r="B1171" i="1" s="1"/>
  <c r="F1171" i="1"/>
  <c r="M1171" i="1"/>
  <c r="O1171" i="1"/>
  <c r="U1171" i="1"/>
  <c r="Y1171" i="1" s="1"/>
  <c r="V1171" i="1"/>
  <c r="W1171" i="1" s="1"/>
  <c r="Z1171" i="1"/>
  <c r="A1170" i="1"/>
  <c r="C1170" i="1"/>
  <c r="B1170" i="1" s="1"/>
  <c r="F1170" i="1"/>
  <c r="M1170" i="1"/>
  <c r="O1170" i="1"/>
  <c r="U1170" i="1"/>
  <c r="Y1170" i="1" s="1"/>
  <c r="V1170" i="1"/>
  <c r="W1170" i="1" s="1"/>
  <c r="Z1170" i="1"/>
  <c r="A1072" i="1"/>
  <c r="C1072" i="1"/>
  <c r="B1072" i="1" s="1"/>
  <c r="F1072" i="1"/>
  <c r="M1072" i="1"/>
  <c r="O1072" i="1"/>
  <c r="U1072" i="1"/>
  <c r="Y1072" i="1" s="1"/>
  <c r="V1072" i="1"/>
  <c r="W1072" i="1" s="1"/>
  <c r="Z1072" i="1"/>
  <c r="A967" i="1"/>
  <c r="C967" i="1"/>
  <c r="B967" i="1" s="1"/>
  <c r="F967" i="1"/>
  <c r="M967" i="1"/>
  <c r="O967" i="1"/>
  <c r="U967" i="1"/>
  <c r="Y967" i="1" s="1"/>
  <c r="V967" i="1"/>
  <c r="W967" i="1" s="1"/>
  <c r="Z967" i="1"/>
  <c r="A968" i="1"/>
  <c r="C968" i="1"/>
  <c r="B968" i="1" s="1"/>
  <c r="F968" i="1"/>
  <c r="M968" i="1"/>
  <c r="O968" i="1"/>
  <c r="U968" i="1"/>
  <c r="Y968" i="1" s="1"/>
  <c r="V968" i="1"/>
  <c r="W968" i="1" s="1"/>
  <c r="Z968" i="1"/>
  <c r="A950" i="1"/>
  <c r="C950" i="1"/>
  <c r="B950" i="1" s="1"/>
  <c r="F950" i="1"/>
  <c r="M950" i="1"/>
  <c r="O950" i="1"/>
  <c r="U950" i="1"/>
  <c r="Y950" i="1" s="1"/>
  <c r="V950" i="1"/>
  <c r="W950" i="1" s="1"/>
  <c r="Z950" i="1"/>
  <c r="A951" i="1"/>
  <c r="C951" i="1"/>
  <c r="B951" i="1" s="1"/>
  <c r="F951" i="1"/>
  <c r="M951" i="1"/>
  <c r="O951" i="1"/>
  <c r="U951" i="1"/>
  <c r="Y951" i="1" s="1"/>
  <c r="V951" i="1"/>
  <c r="W951" i="1" s="1"/>
  <c r="Z951" i="1"/>
  <c r="A919" i="1"/>
  <c r="C919" i="1"/>
  <c r="B919" i="1" s="1"/>
  <c r="F919" i="1"/>
  <c r="M919" i="1"/>
  <c r="O919" i="1"/>
  <c r="U919" i="1"/>
  <c r="V919" i="1"/>
  <c r="W919" i="1" s="1"/>
  <c r="Z919" i="1"/>
  <c r="A918" i="1"/>
  <c r="C918" i="1"/>
  <c r="B918" i="1" s="1"/>
  <c r="F918" i="1"/>
  <c r="M918" i="1"/>
  <c r="O918" i="1"/>
  <c r="U918" i="1"/>
  <c r="Y918" i="1" s="1"/>
  <c r="V918" i="1"/>
  <c r="W918" i="1" s="1"/>
  <c r="Z918" i="1"/>
  <c r="A920" i="1"/>
  <c r="C920" i="1"/>
  <c r="B920" i="1" s="1"/>
  <c r="F920" i="1"/>
  <c r="O920" i="1"/>
  <c r="U920" i="1"/>
  <c r="Y920" i="1" s="1"/>
  <c r="V920" i="1"/>
  <c r="W920" i="1" s="1"/>
  <c r="Z920" i="1"/>
  <c r="A786" i="1"/>
  <c r="C786" i="1"/>
  <c r="B786" i="1" s="1"/>
  <c r="F786" i="1"/>
  <c r="M786" i="1"/>
  <c r="O786" i="1"/>
  <c r="U786" i="1"/>
  <c r="Y786" i="1" s="1"/>
  <c r="V786" i="1"/>
  <c r="W786" i="1" s="1"/>
  <c r="Z786" i="1"/>
  <c r="A428" i="1"/>
  <c r="C428" i="1"/>
  <c r="B428" i="1" s="1"/>
  <c r="F428" i="1"/>
  <c r="M428" i="1"/>
  <c r="O428" i="1"/>
  <c r="U428" i="1"/>
  <c r="Y428" i="1" s="1"/>
  <c r="V428" i="1"/>
  <c r="W428" i="1" s="1"/>
  <c r="Z428" i="1"/>
  <c r="A731" i="1"/>
  <c r="C731" i="1"/>
  <c r="B731" i="1" s="1"/>
  <c r="F731" i="1"/>
  <c r="M731" i="1"/>
  <c r="O731" i="1"/>
  <c r="U731" i="1"/>
  <c r="Y731" i="1" s="1"/>
  <c r="V731" i="1"/>
  <c r="W731" i="1" s="1"/>
  <c r="Z731" i="1"/>
  <c r="A646" i="1"/>
  <c r="C646" i="1"/>
  <c r="B646" i="1" s="1"/>
  <c r="F646" i="1"/>
  <c r="M646" i="1"/>
  <c r="O646" i="1"/>
  <c r="U646" i="1"/>
  <c r="Y646" i="1" s="1"/>
  <c r="V646" i="1"/>
  <c r="W646" i="1" s="1"/>
  <c r="Z646" i="1"/>
  <c r="A535" i="1"/>
  <c r="C535" i="1"/>
  <c r="B535" i="1" s="1"/>
  <c r="F535" i="1"/>
  <c r="M535" i="1"/>
  <c r="O535" i="1"/>
  <c r="U535" i="1"/>
  <c r="Y535" i="1" s="1"/>
  <c r="V535" i="1"/>
  <c r="W535" i="1" s="1"/>
  <c r="Z535" i="1"/>
  <c r="A534" i="1"/>
  <c r="C534" i="1"/>
  <c r="B534" i="1" s="1"/>
  <c r="F534" i="1"/>
  <c r="M534" i="1"/>
  <c r="O534" i="1"/>
  <c r="U534" i="1"/>
  <c r="Y534" i="1" s="1"/>
  <c r="V534" i="1"/>
  <c r="W534" i="1" s="1"/>
  <c r="Z534" i="1"/>
  <c r="A622" i="1"/>
  <c r="C622" i="1"/>
  <c r="B622" i="1" s="1"/>
  <c r="F622" i="1"/>
  <c r="M622" i="1"/>
  <c r="O622" i="1"/>
  <c r="U622" i="1"/>
  <c r="Y622" i="1" s="1"/>
  <c r="V622" i="1"/>
  <c r="W622" i="1" s="1"/>
  <c r="Z622" i="1"/>
  <c r="O474" i="1"/>
  <c r="O470" i="1"/>
  <c r="A518" i="1"/>
  <c r="A470" i="1"/>
  <c r="A471" i="1"/>
  <c r="A472" i="1"/>
  <c r="A473" i="1"/>
  <c r="A474" i="1"/>
  <c r="A475" i="1"/>
  <c r="A476" i="1"/>
  <c r="A477" i="1"/>
  <c r="C518" i="1"/>
  <c r="B518" i="1" s="1"/>
  <c r="C470" i="1"/>
  <c r="B470" i="1" s="1"/>
  <c r="C471" i="1"/>
  <c r="B471" i="1" s="1"/>
  <c r="C472" i="1"/>
  <c r="B472" i="1" s="1"/>
  <c r="C473" i="1"/>
  <c r="T473" i="1" s="1"/>
  <c r="C474" i="1"/>
  <c r="B474" i="1" s="1"/>
  <c r="C475" i="1"/>
  <c r="B475" i="1" s="1"/>
  <c r="C476" i="1"/>
  <c r="B476" i="1" s="1"/>
  <c r="C477" i="1"/>
  <c r="T477" i="1" s="1"/>
  <c r="F518" i="1"/>
  <c r="F470" i="1"/>
  <c r="F471" i="1"/>
  <c r="F472" i="1"/>
  <c r="F473" i="1"/>
  <c r="F474" i="1"/>
  <c r="F475" i="1"/>
  <c r="F476" i="1"/>
  <c r="F477" i="1"/>
  <c r="M518" i="1"/>
  <c r="M471" i="1"/>
  <c r="M472" i="1"/>
  <c r="M473" i="1"/>
  <c r="M474" i="1"/>
  <c r="M475" i="1"/>
  <c r="M476" i="1"/>
  <c r="M477" i="1"/>
  <c r="O518" i="1"/>
  <c r="O471" i="1"/>
  <c r="O472" i="1"/>
  <c r="O473" i="1"/>
  <c r="O475" i="1"/>
  <c r="O476" i="1"/>
  <c r="O477" i="1"/>
  <c r="T470" i="1"/>
  <c r="U518" i="1"/>
  <c r="Y518" i="1" s="1"/>
  <c r="U470" i="1"/>
  <c r="Y470" i="1" s="1"/>
  <c r="U471" i="1"/>
  <c r="Y471" i="1" s="1"/>
  <c r="U472" i="1"/>
  <c r="Y472" i="1" s="1"/>
  <c r="U473" i="1"/>
  <c r="U474" i="1"/>
  <c r="Y474" i="1" s="1"/>
  <c r="U475" i="1"/>
  <c r="Y475" i="1" s="1"/>
  <c r="U476" i="1"/>
  <c r="Y476" i="1" s="1"/>
  <c r="U477" i="1"/>
  <c r="Y477" i="1" s="1"/>
  <c r="V518" i="1"/>
  <c r="W518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Z518" i="1"/>
  <c r="Z470" i="1"/>
  <c r="Z471" i="1"/>
  <c r="Z472" i="1"/>
  <c r="Z473" i="1"/>
  <c r="Z474" i="1"/>
  <c r="Z475" i="1"/>
  <c r="Z476" i="1"/>
  <c r="Z477" i="1"/>
  <c r="I51" i="104"/>
  <c r="A51" i="104"/>
  <c r="B51" i="104"/>
  <c r="C51" i="104"/>
  <c r="I44" i="104"/>
  <c r="I45" i="104"/>
  <c r="I46" i="104"/>
  <c r="I47" i="104"/>
  <c r="I48" i="104"/>
  <c r="I49" i="104"/>
  <c r="I50" i="104"/>
  <c r="A45" i="104"/>
  <c r="A46" i="104"/>
  <c r="A47" i="104"/>
  <c r="A48" i="104"/>
  <c r="A49" i="104"/>
  <c r="A50" i="104"/>
  <c r="B45" i="104"/>
  <c r="B46" i="104"/>
  <c r="B47" i="104"/>
  <c r="B48" i="104"/>
  <c r="B49" i="104"/>
  <c r="B50" i="104"/>
  <c r="C45" i="104"/>
  <c r="C46" i="104"/>
  <c r="C47" i="104"/>
  <c r="C48" i="104"/>
  <c r="C49" i="104"/>
  <c r="C50" i="104"/>
  <c r="A44" i="104"/>
  <c r="B44" i="104"/>
  <c r="C44" i="104"/>
  <c r="I94" i="104"/>
  <c r="A94" i="104"/>
  <c r="B94" i="104"/>
  <c r="C94" i="104"/>
  <c r="A1052" i="1"/>
  <c r="C1052" i="1"/>
  <c r="B1052" i="1" s="1"/>
  <c r="F1052" i="1"/>
  <c r="M1052" i="1"/>
  <c r="O1052" i="1"/>
  <c r="S1052" i="1"/>
  <c r="T1052" i="1"/>
  <c r="U1052" i="1"/>
  <c r="Y1052" i="1" s="1"/>
  <c r="V1052" i="1"/>
  <c r="W1052" i="1" s="1"/>
  <c r="Z1052" i="1"/>
  <c r="A1051" i="1"/>
  <c r="C1051" i="1"/>
  <c r="B1051" i="1" s="1"/>
  <c r="F1051" i="1"/>
  <c r="M1051" i="1"/>
  <c r="O1051" i="1"/>
  <c r="S1051" i="1"/>
  <c r="U1051" i="1"/>
  <c r="V1051" i="1"/>
  <c r="W1051" i="1" s="1"/>
  <c r="Z1051" i="1"/>
  <c r="P1172" i="1" l="1"/>
  <c r="P405" i="1"/>
  <c r="P214" i="1"/>
  <c r="P969" i="1"/>
  <c r="P882" i="1"/>
  <c r="P953" i="1"/>
  <c r="Q487" i="1"/>
  <c r="Q283" i="1"/>
  <c r="Q484" i="1"/>
  <c r="Q39" i="1"/>
  <c r="P35" i="1"/>
  <c r="P193" i="1"/>
  <c r="P952" i="1"/>
  <c r="P549" i="1"/>
  <c r="P1173" i="1"/>
  <c r="Q486" i="1"/>
  <c r="Q489" i="1"/>
  <c r="Q344" i="1"/>
  <c r="Q331" i="1"/>
  <c r="P305" i="1"/>
  <c r="Q23" i="1"/>
  <c r="P548" i="1"/>
  <c r="P1220" i="1"/>
  <c r="Q293" i="1"/>
  <c r="Q485" i="1"/>
  <c r="Q345" i="1"/>
  <c r="Q63" i="1"/>
  <c r="Q594" i="1"/>
  <c r="P6" i="1"/>
  <c r="P701" i="1"/>
  <c r="P761" i="1"/>
  <c r="Q488" i="1"/>
  <c r="Q64" i="1"/>
  <c r="D405" i="1"/>
  <c r="D406" i="1"/>
  <c r="D23" i="1"/>
  <c r="D25" i="1"/>
  <c r="D1176" i="1"/>
  <c r="D398" i="1"/>
  <c r="D395" i="1"/>
  <c r="D392" i="1"/>
  <c r="D393" i="1"/>
  <c r="D391" i="1"/>
  <c r="D397" i="1"/>
  <c r="D387" i="1"/>
  <c r="D388" i="1"/>
  <c r="D390" i="1"/>
  <c r="D389" i="1"/>
  <c r="D396" i="1"/>
  <c r="D394" i="1"/>
  <c r="D761" i="1"/>
  <c r="D762" i="1"/>
  <c r="T480" i="1"/>
  <c r="T623" i="1"/>
  <c r="T481" i="1"/>
  <c r="T479" i="1"/>
  <c r="X481" i="1"/>
  <c r="T676" i="1"/>
  <c r="T808" i="1"/>
  <c r="X676" i="1"/>
  <c r="T732" i="1"/>
  <c r="X478" i="1"/>
  <c r="X546" i="1"/>
  <c r="X545" i="1"/>
  <c r="T547" i="1"/>
  <c r="T301" i="1"/>
  <c r="T304" i="1"/>
  <c r="T786" i="1"/>
  <c r="X479" i="1"/>
  <c r="T342" i="1"/>
  <c r="X480" i="1"/>
  <c r="X732" i="1"/>
  <c r="T213" i="1"/>
  <c r="X213" i="1"/>
  <c r="P213" i="1" s="1"/>
  <c r="Q213" i="1" s="1"/>
  <c r="R213" i="1" s="1"/>
  <c r="D213" i="1" s="1"/>
  <c r="T921" i="1"/>
  <c r="X921" i="1"/>
  <c r="T1188" i="1"/>
  <c r="T412" i="1"/>
  <c r="T198" i="1"/>
  <c r="T34" i="1"/>
  <c r="T343" i="1"/>
  <c r="X623" i="1"/>
  <c r="X808" i="1"/>
  <c r="X547" i="1"/>
  <c r="X62" i="1"/>
  <c r="X1219" i="1"/>
  <c r="T1219" i="1"/>
  <c r="X61" i="1"/>
  <c r="X59" i="1"/>
  <c r="X343" i="1"/>
  <c r="Y59" i="1"/>
  <c r="X60" i="1"/>
  <c r="T60" i="1"/>
  <c r="T59" i="1"/>
  <c r="X342" i="1"/>
  <c r="X304" i="1"/>
  <c r="X198" i="1"/>
  <c r="X34" i="1"/>
  <c r="X301" i="1"/>
  <c r="T1171" i="1"/>
  <c r="X125" i="1"/>
  <c r="X412" i="1"/>
  <c r="X126" i="1"/>
  <c r="Y126" i="1"/>
  <c r="T967" i="1"/>
  <c r="X1171" i="1"/>
  <c r="X1018" i="1"/>
  <c r="Y1018" i="1"/>
  <c r="T1018" i="1"/>
  <c r="X1188" i="1"/>
  <c r="T968" i="1"/>
  <c r="T1170" i="1"/>
  <c r="X1170" i="1"/>
  <c r="T1072" i="1"/>
  <c r="X1072" i="1"/>
  <c r="T918" i="1"/>
  <c r="X967" i="1"/>
  <c r="X950" i="1"/>
  <c r="X968" i="1"/>
  <c r="X951" i="1"/>
  <c r="T950" i="1"/>
  <c r="T951" i="1"/>
  <c r="T919" i="1"/>
  <c r="T535" i="1"/>
  <c r="X919" i="1"/>
  <c r="Y919" i="1"/>
  <c r="X918" i="1"/>
  <c r="T920" i="1"/>
  <c r="X920" i="1"/>
  <c r="X786" i="1"/>
  <c r="X428" i="1"/>
  <c r="T428" i="1"/>
  <c r="T731" i="1"/>
  <c r="X646" i="1"/>
  <c r="X731" i="1"/>
  <c r="T646" i="1"/>
  <c r="T622" i="1"/>
  <c r="T474" i="1"/>
  <c r="X535" i="1"/>
  <c r="T472" i="1"/>
  <c r="X534" i="1"/>
  <c r="T534" i="1"/>
  <c r="X473" i="1"/>
  <c r="T476" i="1"/>
  <c r="X474" i="1"/>
  <c r="X470" i="1"/>
  <c r="Y473" i="1"/>
  <c r="X622" i="1"/>
  <c r="X477" i="1"/>
  <c r="X518" i="1"/>
  <c r="P518" i="1" s="1"/>
  <c r="Q518" i="1" s="1"/>
  <c r="R518" i="1" s="1"/>
  <c r="D518" i="1" s="1"/>
  <c r="T475" i="1"/>
  <c r="T471" i="1"/>
  <c r="B477" i="1"/>
  <c r="B473" i="1"/>
  <c r="X476" i="1"/>
  <c r="X472" i="1"/>
  <c r="T518" i="1"/>
  <c r="M470" i="1"/>
  <c r="X475" i="1"/>
  <c r="X471" i="1"/>
  <c r="X1052" i="1"/>
  <c r="T1051" i="1"/>
  <c r="X1051" i="1"/>
  <c r="Y1051" i="1"/>
  <c r="P475" i="1" l="1"/>
  <c r="P476" i="1"/>
  <c r="P535" i="1"/>
  <c r="P731" i="1"/>
  <c r="P428" i="1"/>
  <c r="P918" i="1"/>
  <c r="P968" i="1"/>
  <c r="P1072" i="1"/>
  <c r="P301" i="1"/>
  <c r="P342" i="1"/>
  <c r="P808" i="1"/>
  <c r="P480" i="1"/>
  <c r="P546" i="1"/>
  <c r="R63" i="1"/>
  <c r="D63" i="1" s="1"/>
  <c r="R485" i="1"/>
  <c r="Q1220" i="1"/>
  <c r="R23" i="1"/>
  <c r="D24" i="1" s="1"/>
  <c r="R344" i="1"/>
  <c r="R486" i="1"/>
  <c r="Q549" i="1"/>
  <c r="Q193" i="1"/>
  <c r="R488" i="1"/>
  <c r="Q701" i="1"/>
  <c r="R39" i="1"/>
  <c r="D39" i="1" s="1"/>
  <c r="R283" i="1"/>
  <c r="D284" i="1" s="1"/>
  <c r="Q953" i="1"/>
  <c r="Q969" i="1"/>
  <c r="Q405" i="1"/>
  <c r="P478" i="1"/>
  <c r="P1052" i="1"/>
  <c r="P477" i="1"/>
  <c r="P474" i="1"/>
  <c r="P534" i="1"/>
  <c r="P920" i="1"/>
  <c r="P967" i="1"/>
  <c r="P1170" i="1"/>
  <c r="P125" i="1"/>
  <c r="P198" i="1"/>
  <c r="P62" i="1"/>
  <c r="P479" i="1"/>
  <c r="P481" i="1"/>
  <c r="R594" i="1"/>
  <c r="R345" i="1"/>
  <c r="R293" i="1"/>
  <c r="D293" i="1" s="1"/>
  <c r="Q548" i="1"/>
  <c r="Q305" i="1"/>
  <c r="R331" i="1"/>
  <c r="D331" i="1" s="1"/>
  <c r="R489" i="1"/>
  <c r="Q1173" i="1"/>
  <c r="Q952" i="1"/>
  <c r="Q35" i="1"/>
  <c r="P470" i="1"/>
  <c r="P646" i="1"/>
  <c r="P786" i="1"/>
  <c r="P950" i="1"/>
  <c r="P1188" i="1"/>
  <c r="P1171" i="1"/>
  <c r="P412" i="1"/>
  <c r="P34" i="1"/>
  <c r="P343" i="1"/>
  <c r="P1219" i="1"/>
  <c r="P623" i="1"/>
  <c r="P471" i="1"/>
  <c r="P472" i="1"/>
  <c r="P622" i="1"/>
  <c r="P951" i="1"/>
  <c r="P304" i="1"/>
  <c r="P60" i="1"/>
  <c r="P61" i="1"/>
  <c r="P547" i="1"/>
  <c r="P921" i="1"/>
  <c r="P732" i="1"/>
  <c r="P545" i="1"/>
  <c r="P676" i="1"/>
  <c r="R64" i="1"/>
  <c r="D64" i="1" s="1"/>
  <c r="Q761" i="1"/>
  <c r="Q6" i="1"/>
  <c r="R484" i="1"/>
  <c r="R487" i="1"/>
  <c r="Q882" i="1"/>
  <c r="Q214" i="1"/>
  <c r="Q1172" i="1"/>
  <c r="D683" i="1"/>
  <c r="D682" i="1"/>
  <c r="D681" i="1"/>
  <c r="D680" i="1"/>
  <c r="D341" i="1"/>
  <c r="D340" i="1"/>
  <c r="D307" i="1"/>
  <c r="D306" i="1"/>
  <c r="D808" i="1"/>
  <c r="D809" i="1"/>
  <c r="D737" i="1"/>
  <c r="D736" i="1"/>
  <c r="D428" i="1"/>
  <c r="D429" i="1"/>
  <c r="D548" i="1"/>
  <c r="D711" i="1"/>
  <c r="D1220" i="1"/>
  <c r="D1222" i="1"/>
  <c r="D1072" i="1"/>
  <c r="D1073" i="1"/>
  <c r="D734" i="1"/>
  <c r="D735" i="1"/>
  <c r="D676" i="1"/>
  <c r="D679" i="1"/>
  <c r="D646" i="1"/>
  <c r="D647" i="1"/>
  <c r="D346" i="1"/>
  <c r="D344" i="1"/>
  <c r="D345" i="1"/>
  <c r="D953" i="1"/>
  <c r="D545" i="1"/>
  <c r="D549" i="1"/>
  <c r="D952" i="1"/>
  <c r="D304" i="1"/>
  <c r="D305" i="1"/>
  <c r="D34" i="1"/>
  <c r="D35" i="1"/>
  <c r="D547" i="1"/>
  <c r="D546" i="1"/>
  <c r="P59" i="1"/>
  <c r="D61" i="1"/>
  <c r="D62" i="1"/>
  <c r="D59" i="1"/>
  <c r="D60" i="1"/>
  <c r="D343" i="1"/>
  <c r="D342" i="1"/>
  <c r="P126" i="1"/>
  <c r="P1018" i="1"/>
  <c r="D951" i="1"/>
  <c r="D950" i="1"/>
  <c r="P919" i="1"/>
  <c r="P473" i="1"/>
  <c r="P1051" i="1"/>
  <c r="D1051" i="1"/>
  <c r="D1052" i="1"/>
  <c r="R952" i="1" l="1"/>
  <c r="R305" i="1"/>
  <c r="Q479" i="1"/>
  <c r="Q534" i="1"/>
  <c r="Q477" i="1"/>
  <c r="Q478" i="1"/>
  <c r="R969" i="1"/>
  <c r="R701" i="1"/>
  <c r="D701" i="1" s="1"/>
  <c r="Q476" i="1"/>
  <c r="R214" i="1"/>
  <c r="D214" i="1" s="1"/>
  <c r="R6" i="1"/>
  <c r="D6" i="1" s="1"/>
  <c r="Q545" i="1"/>
  <c r="Q921" i="1"/>
  <c r="Q61" i="1"/>
  <c r="Q304" i="1"/>
  <c r="Q622" i="1"/>
  <c r="Q471" i="1"/>
  <c r="Q1219" i="1"/>
  <c r="Q34" i="1"/>
  <c r="Q1171" i="1"/>
  <c r="Q950" i="1"/>
  <c r="Q646" i="1"/>
  <c r="Q198" i="1"/>
  <c r="Q1170" i="1"/>
  <c r="R193" i="1"/>
  <c r="Q546" i="1"/>
  <c r="Q808" i="1"/>
  <c r="Q301" i="1"/>
  <c r="Q968" i="1"/>
  <c r="Q428" i="1"/>
  <c r="Q535" i="1"/>
  <c r="Q473" i="1"/>
  <c r="Q1018" i="1"/>
  <c r="Q59" i="1"/>
  <c r="R35" i="1"/>
  <c r="R1173" i="1"/>
  <c r="R548" i="1"/>
  <c r="Q481" i="1"/>
  <c r="Q62" i="1"/>
  <c r="Q920" i="1"/>
  <c r="Q474" i="1"/>
  <c r="Q1052" i="1"/>
  <c r="R405" i="1"/>
  <c r="R953" i="1"/>
  <c r="Q475" i="1"/>
  <c r="Q1051" i="1"/>
  <c r="Q919" i="1"/>
  <c r="Q126" i="1"/>
  <c r="R1172" i="1"/>
  <c r="R882" i="1"/>
  <c r="D882" i="1" s="1"/>
  <c r="R761" i="1"/>
  <c r="Q676" i="1"/>
  <c r="Q732" i="1"/>
  <c r="Q547" i="1"/>
  <c r="Q60" i="1"/>
  <c r="Q951" i="1"/>
  <c r="Q472" i="1"/>
  <c r="Q623" i="1"/>
  <c r="Q343" i="1"/>
  <c r="Q412" i="1"/>
  <c r="Q1188" i="1"/>
  <c r="Q786" i="1"/>
  <c r="Q470" i="1"/>
  <c r="Q125" i="1"/>
  <c r="Q967" i="1"/>
  <c r="R549" i="1"/>
  <c r="R1220" i="1"/>
  <c r="D1223" i="1" s="1"/>
  <c r="Q480" i="1"/>
  <c r="Q342" i="1"/>
  <c r="Q1072" i="1"/>
  <c r="Q918" i="1"/>
  <c r="Q731" i="1"/>
  <c r="D1018" i="1"/>
  <c r="D1019" i="1"/>
  <c r="D922" i="1"/>
  <c r="D486" i="1"/>
  <c r="D484" i="1"/>
  <c r="D489" i="1"/>
  <c r="D487" i="1"/>
  <c r="D488" i="1"/>
  <c r="D485" i="1"/>
  <c r="D478" i="1"/>
  <c r="D479" i="1"/>
  <c r="D480" i="1"/>
  <c r="D481" i="1"/>
  <c r="D921" i="1"/>
  <c r="D919" i="1"/>
  <c r="D918" i="1"/>
  <c r="D471" i="1"/>
  <c r="D477" i="1"/>
  <c r="D470" i="1"/>
  <c r="D474" i="1"/>
  <c r="D473" i="1"/>
  <c r="D476" i="1"/>
  <c r="D472" i="1"/>
  <c r="D475" i="1"/>
  <c r="A43" i="104"/>
  <c r="B43" i="104"/>
  <c r="C43" i="104"/>
  <c r="I43" i="104"/>
  <c r="E279" i="6"/>
  <c r="F279" i="6"/>
  <c r="I279" i="6"/>
  <c r="J279" i="6"/>
  <c r="E523" i="6"/>
  <c r="F523" i="6"/>
  <c r="I523" i="6"/>
  <c r="J523" i="6"/>
  <c r="A865" i="1"/>
  <c r="C865" i="1"/>
  <c r="B865" i="1" s="1"/>
  <c r="F865" i="1"/>
  <c r="M865" i="1"/>
  <c r="O865" i="1"/>
  <c r="U865" i="1"/>
  <c r="V865" i="1"/>
  <c r="W865" i="1" s="1"/>
  <c r="Z865" i="1"/>
  <c r="A864" i="1"/>
  <c r="C864" i="1"/>
  <c r="B864" i="1" s="1"/>
  <c r="F864" i="1"/>
  <c r="M864" i="1"/>
  <c r="O864" i="1"/>
  <c r="U864" i="1"/>
  <c r="Y864" i="1" s="1"/>
  <c r="V864" i="1"/>
  <c r="W864" i="1" s="1"/>
  <c r="Z864" i="1"/>
  <c r="A863" i="1"/>
  <c r="C863" i="1"/>
  <c r="B863" i="1" s="1"/>
  <c r="F863" i="1"/>
  <c r="M863" i="1"/>
  <c r="O863" i="1"/>
  <c r="S863" i="1"/>
  <c r="T863" i="1"/>
  <c r="U863" i="1"/>
  <c r="V863" i="1"/>
  <c r="W863" i="1" s="1"/>
  <c r="Z863" i="1"/>
  <c r="R731" i="1" l="1"/>
  <c r="R1072" i="1"/>
  <c r="R480" i="1"/>
  <c r="R125" i="1"/>
  <c r="R786" i="1"/>
  <c r="R412" i="1"/>
  <c r="D412" i="1" s="1"/>
  <c r="R623" i="1"/>
  <c r="R951" i="1"/>
  <c r="R547" i="1"/>
  <c r="R676" i="1"/>
  <c r="R126" i="1"/>
  <c r="R1051" i="1"/>
  <c r="R1052" i="1"/>
  <c r="R920" i="1"/>
  <c r="R481" i="1"/>
  <c r="R59" i="1"/>
  <c r="R473" i="1"/>
  <c r="R428" i="1"/>
  <c r="R301" i="1"/>
  <c r="D301" i="1" s="1"/>
  <c r="R546" i="1"/>
  <c r="R1170" i="1"/>
  <c r="R646" i="1"/>
  <c r="R1171" i="1"/>
  <c r="R1219" i="1"/>
  <c r="D1221" i="1" s="1"/>
  <c r="R622" i="1"/>
  <c r="R61" i="1"/>
  <c r="R545" i="1"/>
  <c r="R478" i="1"/>
  <c r="R534" i="1"/>
  <c r="R918" i="1"/>
  <c r="R342" i="1"/>
  <c r="R967" i="1"/>
  <c r="R470" i="1"/>
  <c r="R1188" i="1"/>
  <c r="D1188" i="1" s="1"/>
  <c r="R343" i="1"/>
  <c r="R472" i="1"/>
  <c r="R60" i="1"/>
  <c r="R732" i="1"/>
  <c r="R919" i="1"/>
  <c r="D920" i="1" s="1"/>
  <c r="R475" i="1"/>
  <c r="R474" i="1"/>
  <c r="R62" i="1"/>
  <c r="R1018" i="1"/>
  <c r="R535" i="1"/>
  <c r="R968" i="1"/>
  <c r="D972" i="1" s="1"/>
  <c r="R808" i="1"/>
  <c r="R198" i="1"/>
  <c r="R950" i="1"/>
  <c r="R34" i="1"/>
  <c r="D36" i="1" s="1"/>
  <c r="R471" i="1"/>
  <c r="R304" i="1"/>
  <c r="R921" i="1"/>
  <c r="R476" i="1"/>
  <c r="R477" i="1"/>
  <c r="R479" i="1"/>
  <c r="T865" i="1"/>
  <c r="X865" i="1"/>
  <c r="Y865" i="1"/>
  <c r="X864" i="1"/>
  <c r="T864" i="1"/>
  <c r="X863" i="1"/>
  <c r="Y863" i="1"/>
  <c r="P864" i="1" l="1"/>
  <c r="P865" i="1"/>
  <c r="P863" i="1"/>
  <c r="Q864" i="1" l="1"/>
  <c r="Q863" i="1"/>
  <c r="Q865" i="1"/>
  <c r="A994" i="1"/>
  <c r="C994" i="1"/>
  <c r="B994" i="1" s="1"/>
  <c r="F994" i="1"/>
  <c r="M994" i="1"/>
  <c r="O994" i="1"/>
  <c r="T994" i="1"/>
  <c r="U994" i="1"/>
  <c r="Y994" i="1" s="1"/>
  <c r="V994" i="1"/>
  <c r="W994" i="1" s="1"/>
  <c r="Z994" i="1"/>
  <c r="E522" i="6"/>
  <c r="F522" i="6"/>
  <c r="I522" i="6"/>
  <c r="J522" i="6"/>
  <c r="A11" i="1"/>
  <c r="C11" i="1"/>
  <c r="B11" i="1" s="1"/>
  <c r="F11" i="1"/>
  <c r="M11" i="1"/>
  <c r="O11" i="1"/>
  <c r="T11" i="1"/>
  <c r="U11" i="1"/>
  <c r="Y11" i="1" s="1"/>
  <c r="V11" i="1"/>
  <c r="W11" i="1" s="1"/>
  <c r="Z11" i="1"/>
  <c r="A192" i="1"/>
  <c r="C192" i="1"/>
  <c r="B192" i="1" s="1"/>
  <c r="F192" i="1"/>
  <c r="M192" i="1"/>
  <c r="O192" i="1"/>
  <c r="T192" i="1"/>
  <c r="U192" i="1"/>
  <c r="V192" i="1"/>
  <c r="W192" i="1" s="1"/>
  <c r="Z192" i="1"/>
  <c r="A212" i="1"/>
  <c r="C212" i="1"/>
  <c r="B212" i="1" s="1"/>
  <c r="F212" i="1"/>
  <c r="M212" i="1"/>
  <c r="O212" i="1"/>
  <c r="T212" i="1"/>
  <c r="U212" i="1"/>
  <c r="Y212" i="1" s="1"/>
  <c r="V212" i="1"/>
  <c r="W212" i="1" s="1"/>
  <c r="Z212" i="1"/>
  <c r="R863" i="1" l="1"/>
  <c r="R865" i="1"/>
  <c r="R864" i="1"/>
  <c r="X994" i="1"/>
  <c r="X11" i="1"/>
  <c r="X192" i="1"/>
  <c r="Y192" i="1"/>
  <c r="X212" i="1"/>
  <c r="P11" i="1" l="1"/>
  <c r="P994" i="1"/>
  <c r="P212" i="1"/>
  <c r="P192" i="1"/>
  <c r="Q994" i="1" l="1"/>
  <c r="Q192" i="1"/>
  <c r="Q212" i="1"/>
  <c r="Q11" i="1"/>
  <c r="A564" i="1"/>
  <c r="C564" i="1"/>
  <c r="B564" i="1" s="1"/>
  <c r="F564" i="1"/>
  <c r="M564" i="1"/>
  <c r="O564" i="1"/>
  <c r="S564" i="1"/>
  <c r="T564" i="1"/>
  <c r="U564" i="1"/>
  <c r="Y564" i="1" s="1"/>
  <c r="V564" i="1"/>
  <c r="W564" i="1" s="1"/>
  <c r="Z564" i="1"/>
  <c r="A904" i="1"/>
  <c r="C904" i="1"/>
  <c r="B904" i="1" s="1"/>
  <c r="D904" i="1"/>
  <c r="F904" i="1"/>
  <c r="M904" i="1"/>
  <c r="O904" i="1"/>
  <c r="S904" i="1"/>
  <c r="T904" i="1"/>
  <c r="U904" i="1"/>
  <c r="Y904" i="1" s="1"/>
  <c r="V904" i="1"/>
  <c r="W904" i="1" s="1"/>
  <c r="Z904" i="1"/>
  <c r="A1028" i="1"/>
  <c r="C1028" i="1"/>
  <c r="B1028" i="1" s="1"/>
  <c r="F1028" i="1"/>
  <c r="M1028" i="1"/>
  <c r="O1028" i="1"/>
  <c r="T1028" i="1"/>
  <c r="U1028" i="1"/>
  <c r="V1028" i="1"/>
  <c r="W1028" i="1" s="1"/>
  <c r="Z1028" i="1"/>
  <c r="R11" i="1" l="1"/>
  <c r="D11" i="1" s="1"/>
  <c r="R192" i="1"/>
  <c r="R212" i="1"/>
  <c r="D212" i="1" s="1"/>
  <c r="R994" i="1"/>
  <c r="D994" i="1" s="1"/>
  <c r="X564" i="1"/>
  <c r="X904" i="1"/>
  <c r="X1028" i="1"/>
  <c r="Y1028" i="1"/>
  <c r="P564" i="1" l="1"/>
  <c r="P904" i="1"/>
  <c r="P1028" i="1"/>
  <c r="M1026" i="1"/>
  <c r="A1026" i="1"/>
  <c r="C1026" i="1"/>
  <c r="B1026" i="1" s="1"/>
  <c r="F1026" i="1"/>
  <c r="O1026" i="1"/>
  <c r="U1026" i="1"/>
  <c r="V1026" i="1"/>
  <c r="W1026" i="1" s="1"/>
  <c r="Z1026" i="1"/>
  <c r="A827" i="1"/>
  <c r="C827" i="1"/>
  <c r="B827" i="1" s="1"/>
  <c r="D827" i="1"/>
  <c r="F827" i="1"/>
  <c r="M827" i="1"/>
  <c r="S827" i="1"/>
  <c r="T827" i="1"/>
  <c r="U827" i="1"/>
  <c r="Y827" i="1" s="1"/>
  <c r="V827" i="1"/>
  <c r="W827" i="1" s="1"/>
  <c r="Z827" i="1"/>
  <c r="A1199" i="1"/>
  <c r="C1199" i="1"/>
  <c r="B1199" i="1" s="1"/>
  <c r="D1199" i="1"/>
  <c r="F1199" i="1"/>
  <c r="O1199" i="1"/>
  <c r="S1199" i="1"/>
  <c r="T1199" i="1"/>
  <c r="U1199" i="1"/>
  <c r="V1199" i="1"/>
  <c r="W1199" i="1" s="1"/>
  <c r="Z1199" i="1"/>
  <c r="Q904" i="1" l="1"/>
  <c r="Q1028" i="1"/>
  <c r="Q564" i="1"/>
  <c r="X1026" i="1"/>
  <c r="T1026" i="1"/>
  <c r="Y1026" i="1"/>
  <c r="X827" i="1"/>
  <c r="X1199" i="1"/>
  <c r="Y1199" i="1"/>
  <c r="R564" i="1" l="1"/>
  <c r="D564" i="1" s="1"/>
  <c r="R1028" i="1"/>
  <c r="D1028" i="1" s="1"/>
  <c r="P827" i="1"/>
  <c r="R904" i="1"/>
  <c r="P1026" i="1"/>
  <c r="P1199" i="1"/>
  <c r="E45" i="6"/>
  <c r="F45" i="6"/>
  <c r="I45" i="6"/>
  <c r="J45" i="6"/>
  <c r="A123" i="1"/>
  <c r="C123" i="1"/>
  <c r="B123" i="1" s="1"/>
  <c r="F123" i="1"/>
  <c r="M123" i="1"/>
  <c r="O123" i="1"/>
  <c r="S123" i="1"/>
  <c r="T123" i="1"/>
  <c r="U123" i="1"/>
  <c r="Y123" i="1" s="1"/>
  <c r="V123" i="1"/>
  <c r="W123" i="1" s="1"/>
  <c r="Z123" i="1"/>
  <c r="A122" i="1"/>
  <c r="C122" i="1"/>
  <c r="B122" i="1" s="1"/>
  <c r="F122" i="1"/>
  <c r="M122" i="1"/>
  <c r="O122" i="1"/>
  <c r="S122" i="1"/>
  <c r="U122" i="1"/>
  <c r="V122" i="1"/>
  <c r="W122" i="1" s="1"/>
  <c r="Z122" i="1"/>
  <c r="A119" i="1"/>
  <c r="A120" i="1"/>
  <c r="A121" i="1"/>
  <c r="C119" i="1"/>
  <c r="B119" i="1" s="1"/>
  <c r="C120" i="1"/>
  <c r="B120" i="1" s="1"/>
  <c r="C121" i="1"/>
  <c r="B121" i="1" s="1"/>
  <c r="F119" i="1"/>
  <c r="F120" i="1"/>
  <c r="F121" i="1"/>
  <c r="M119" i="1"/>
  <c r="M120" i="1"/>
  <c r="M121" i="1"/>
  <c r="O119" i="1"/>
  <c r="O120" i="1"/>
  <c r="O121" i="1"/>
  <c r="S119" i="1"/>
  <c r="S120" i="1"/>
  <c r="S121" i="1"/>
  <c r="T119" i="1"/>
  <c r="T120" i="1"/>
  <c r="T121" i="1"/>
  <c r="U119" i="1"/>
  <c r="U120" i="1"/>
  <c r="Y120" i="1" s="1"/>
  <c r="U121" i="1"/>
  <c r="Y121" i="1" s="1"/>
  <c r="V119" i="1"/>
  <c r="W119" i="1" s="1"/>
  <c r="V120" i="1"/>
  <c r="W120" i="1" s="1"/>
  <c r="V121" i="1"/>
  <c r="W121" i="1" s="1"/>
  <c r="Z119" i="1"/>
  <c r="Z120" i="1"/>
  <c r="Z121" i="1"/>
  <c r="A118" i="1"/>
  <c r="C118" i="1"/>
  <c r="B118" i="1" s="1"/>
  <c r="F118" i="1"/>
  <c r="M118" i="1"/>
  <c r="O118" i="1"/>
  <c r="S118" i="1"/>
  <c r="T118" i="1"/>
  <c r="U118" i="1"/>
  <c r="V118" i="1"/>
  <c r="W118" i="1" s="1"/>
  <c r="Z118" i="1"/>
  <c r="O618" i="1"/>
  <c r="Q1026" i="1" l="1"/>
  <c r="Q827" i="1"/>
  <c r="Q1199" i="1"/>
  <c r="X122" i="1"/>
  <c r="X121" i="1"/>
  <c r="Y122" i="1"/>
  <c r="X120" i="1"/>
  <c r="X123" i="1"/>
  <c r="T122" i="1"/>
  <c r="X119" i="1"/>
  <c r="Y119" i="1"/>
  <c r="X118" i="1"/>
  <c r="Y118" i="1"/>
  <c r="E597" i="6"/>
  <c r="I597" i="6"/>
  <c r="J597" i="6"/>
  <c r="E508" i="6"/>
  <c r="F508" i="6"/>
  <c r="I508" i="6"/>
  <c r="J508" i="6"/>
  <c r="E407" i="6"/>
  <c r="F407" i="6"/>
  <c r="I407" i="6"/>
  <c r="J407" i="6"/>
  <c r="A124" i="1"/>
  <c r="C124" i="1"/>
  <c r="B124" i="1" s="1"/>
  <c r="F124" i="1"/>
  <c r="M124" i="1"/>
  <c r="O124" i="1"/>
  <c r="U124" i="1"/>
  <c r="Y124" i="1" s="1"/>
  <c r="V124" i="1"/>
  <c r="W124" i="1" s="1"/>
  <c r="Z124" i="1"/>
  <c r="P120" i="1" l="1"/>
  <c r="R1199" i="1"/>
  <c r="R1026" i="1"/>
  <c r="D1026" i="1" s="1"/>
  <c r="P121" i="1"/>
  <c r="P123" i="1"/>
  <c r="R827" i="1"/>
  <c r="P122" i="1"/>
  <c r="P118" i="1"/>
  <c r="P119" i="1"/>
  <c r="T124" i="1"/>
  <c r="X124" i="1"/>
  <c r="P124" i="1" l="1"/>
  <c r="Q119" i="1"/>
  <c r="Q118" i="1"/>
  <c r="Q122" i="1"/>
  <c r="Q121" i="1"/>
  <c r="Q123" i="1"/>
  <c r="Q120" i="1"/>
  <c r="D135" i="1"/>
  <c r="D133" i="1"/>
  <c r="D134" i="1"/>
  <c r="D131" i="1"/>
  <c r="D132" i="1"/>
  <c r="D129" i="1"/>
  <c r="D130" i="1"/>
  <c r="D128" i="1"/>
  <c r="D127" i="1"/>
  <c r="D125" i="1"/>
  <c r="D126" i="1"/>
  <c r="D122" i="1"/>
  <c r="D123" i="1"/>
  <c r="D119" i="1"/>
  <c r="D120" i="1"/>
  <c r="D121" i="1"/>
  <c r="D124" i="1"/>
  <c r="D118" i="1"/>
  <c r="R123" i="1" l="1"/>
  <c r="R122" i="1"/>
  <c r="R119" i="1"/>
  <c r="R120" i="1"/>
  <c r="R121" i="1"/>
  <c r="R118" i="1"/>
  <c r="Q124" i="1"/>
  <c r="E278" i="6"/>
  <c r="F278" i="6"/>
  <c r="I278" i="6"/>
  <c r="J278" i="6"/>
  <c r="E408" i="6"/>
  <c r="E425" i="6"/>
  <c r="E449" i="6"/>
  <c r="E450" i="6"/>
  <c r="E451" i="6"/>
  <c r="E475" i="6"/>
  <c r="E486" i="6"/>
  <c r="E507" i="6"/>
  <c r="E520" i="6"/>
  <c r="E596" i="6"/>
  <c r="E669" i="6"/>
  <c r="E656" i="6"/>
  <c r="E682" i="6"/>
  <c r="F408" i="6"/>
  <c r="F425" i="6"/>
  <c r="F449" i="6"/>
  <c r="F450" i="6"/>
  <c r="F451" i="6"/>
  <c r="F475" i="6"/>
  <c r="F486" i="6"/>
  <c r="F507" i="6"/>
  <c r="F520" i="6"/>
  <c r="I408" i="6"/>
  <c r="I425" i="6"/>
  <c r="I449" i="6"/>
  <c r="I450" i="6"/>
  <c r="I451" i="6"/>
  <c r="I475" i="6"/>
  <c r="I486" i="6"/>
  <c r="I507" i="6"/>
  <c r="I520" i="6"/>
  <c r="I596" i="6"/>
  <c r="I669" i="6"/>
  <c r="I656" i="6"/>
  <c r="I682" i="6"/>
  <c r="J408" i="6"/>
  <c r="J425" i="6"/>
  <c r="J449" i="6"/>
  <c r="J450" i="6"/>
  <c r="J451" i="6"/>
  <c r="J475" i="6"/>
  <c r="J486" i="6"/>
  <c r="J507" i="6"/>
  <c r="J520" i="6"/>
  <c r="J596" i="6"/>
  <c r="J669" i="6"/>
  <c r="J656" i="6"/>
  <c r="J682" i="6"/>
  <c r="E32" i="6"/>
  <c r="E43" i="6"/>
  <c r="E84" i="6"/>
  <c r="E140" i="6"/>
  <c r="E209" i="6"/>
  <c r="E277" i="6"/>
  <c r="E299" i="6"/>
  <c r="E337" i="6"/>
  <c r="E406" i="6"/>
  <c r="F32" i="6"/>
  <c r="F43" i="6"/>
  <c r="F84" i="6"/>
  <c r="F277" i="6"/>
  <c r="F299" i="6"/>
  <c r="F337" i="6"/>
  <c r="F406" i="6"/>
  <c r="I32" i="6"/>
  <c r="I43" i="6"/>
  <c r="I84" i="6"/>
  <c r="I140" i="6"/>
  <c r="I209" i="6"/>
  <c r="I277" i="6"/>
  <c r="I299" i="6"/>
  <c r="I337" i="6"/>
  <c r="I406" i="6"/>
  <c r="J32" i="6"/>
  <c r="J43" i="6"/>
  <c r="J84" i="6"/>
  <c r="J140" i="6"/>
  <c r="J209" i="6"/>
  <c r="J277" i="6"/>
  <c r="J299" i="6"/>
  <c r="J337" i="6"/>
  <c r="J406" i="6"/>
  <c r="R124" i="1" l="1"/>
  <c r="Q587" i="1"/>
  <c r="Q585" i="1"/>
  <c r="Q584" i="1"/>
  <c r="Q583" i="1"/>
  <c r="Q582" i="1"/>
  <c r="Q580" i="1"/>
  <c r="Q579" i="1"/>
  <c r="Q577" i="1"/>
  <c r="Q576" i="1"/>
  <c r="Q575" i="1"/>
  <c r="Q574" i="1"/>
  <c r="Q573" i="1"/>
  <c r="Q572" i="1"/>
  <c r="Q571" i="1"/>
  <c r="Q591" i="1"/>
  <c r="A592" i="1"/>
  <c r="C592" i="1"/>
  <c r="B592" i="1" s="1"/>
  <c r="D592" i="1"/>
  <c r="F592" i="1"/>
  <c r="M592" i="1"/>
  <c r="O592" i="1"/>
  <c r="S592" i="1"/>
  <c r="T592" i="1"/>
  <c r="U592" i="1"/>
  <c r="Y592" i="1" s="1"/>
  <c r="V592" i="1"/>
  <c r="W592" i="1" s="1"/>
  <c r="Z592" i="1"/>
  <c r="A591" i="1"/>
  <c r="C591" i="1"/>
  <c r="B591" i="1" s="1"/>
  <c r="D591" i="1"/>
  <c r="F591" i="1"/>
  <c r="M591" i="1"/>
  <c r="O591" i="1"/>
  <c r="S591" i="1"/>
  <c r="T591" i="1"/>
  <c r="U591" i="1"/>
  <c r="Y591" i="1" s="1"/>
  <c r="V591" i="1"/>
  <c r="W591" i="1" s="1"/>
  <c r="Z591" i="1"/>
  <c r="A1102" i="1"/>
  <c r="C1102" i="1"/>
  <c r="B1102" i="1" s="1"/>
  <c r="D1102" i="1"/>
  <c r="F1102" i="1"/>
  <c r="M1102" i="1"/>
  <c r="O1102" i="1"/>
  <c r="S1102" i="1"/>
  <c r="T1102" i="1"/>
  <c r="U1102" i="1"/>
  <c r="V1102" i="1"/>
  <c r="W1102" i="1" s="1"/>
  <c r="Z1102" i="1"/>
  <c r="X591" i="1" l="1"/>
  <c r="X592" i="1"/>
  <c r="X1102" i="1"/>
  <c r="Y1102" i="1"/>
  <c r="A316" i="1"/>
  <c r="C316" i="1"/>
  <c r="B316" i="1" s="1"/>
  <c r="D316" i="1"/>
  <c r="F316" i="1"/>
  <c r="M316" i="1"/>
  <c r="O316" i="1"/>
  <c r="S316" i="1"/>
  <c r="T316" i="1"/>
  <c r="U316" i="1"/>
  <c r="Y316" i="1" s="1"/>
  <c r="V316" i="1"/>
  <c r="W316" i="1" s="1"/>
  <c r="Z316" i="1"/>
  <c r="A1217" i="1"/>
  <c r="C1217" i="1"/>
  <c r="B1217" i="1" s="1"/>
  <c r="F1217" i="1"/>
  <c r="M1217" i="1"/>
  <c r="O1217" i="1"/>
  <c r="T1217" i="1"/>
  <c r="U1217" i="1"/>
  <c r="Y1217" i="1" s="1"/>
  <c r="V1217" i="1"/>
  <c r="W1217" i="1" s="1"/>
  <c r="Z1217" i="1"/>
  <c r="A1218" i="1"/>
  <c r="C1218" i="1"/>
  <c r="B1218" i="1" s="1"/>
  <c r="F1218" i="1"/>
  <c r="M1218" i="1"/>
  <c r="O1218" i="1"/>
  <c r="T1218" i="1"/>
  <c r="U1218" i="1"/>
  <c r="Y1218" i="1" s="1"/>
  <c r="V1218" i="1"/>
  <c r="W1218" i="1" s="1"/>
  <c r="Z1218" i="1"/>
  <c r="A1169" i="1"/>
  <c r="C1169" i="1"/>
  <c r="B1169" i="1" s="1"/>
  <c r="F1169" i="1"/>
  <c r="M1169" i="1"/>
  <c r="O1169" i="1"/>
  <c r="U1169" i="1"/>
  <c r="Y1169" i="1" s="1"/>
  <c r="V1169" i="1"/>
  <c r="W1169" i="1" s="1"/>
  <c r="Z1169" i="1"/>
  <c r="A1168" i="1"/>
  <c r="C1168" i="1"/>
  <c r="B1168" i="1" s="1"/>
  <c r="F1168" i="1"/>
  <c r="M1168" i="1"/>
  <c r="O1168" i="1"/>
  <c r="U1168" i="1"/>
  <c r="Y1168" i="1" s="1"/>
  <c r="V1168" i="1"/>
  <c r="W1168" i="1" s="1"/>
  <c r="Z1168" i="1"/>
  <c r="A1133" i="1"/>
  <c r="C1133" i="1"/>
  <c r="B1133" i="1" s="1"/>
  <c r="F1133" i="1"/>
  <c r="M1133" i="1"/>
  <c r="O1133" i="1"/>
  <c r="U1133" i="1"/>
  <c r="Y1133" i="1" s="1"/>
  <c r="V1133" i="1"/>
  <c r="W1133" i="1" s="1"/>
  <c r="Z1133" i="1"/>
  <c r="A966" i="1"/>
  <c r="C966" i="1"/>
  <c r="B966" i="1" s="1"/>
  <c r="F966" i="1"/>
  <c r="M966" i="1"/>
  <c r="O966" i="1"/>
  <c r="U966" i="1"/>
  <c r="Y966" i="1" s="1"/>
  <c r="V966" i="1"/>
  <c r="W966" i="1" s="1"/>
  <c r="Z966" i="1"/>
  <c r="A949" i="1"/>
  <c r="C949" i="1"/>
  <c r="B949" i="1" s="1"/>
  <c r="F949" i="1"/>
  <c r="M949" i="1"/>
  <c r="O949" i="1"/>
  <c r="U949" i="1"/>
  <c r="Y949" i="1" s="1"/>
  <c r="V949" i="1"/>
  <c r="W949" i="1" s="1"/>
  <c r="Z949" i="1"/>
  <c r="A889" i="1"/>
  <c r="C889" i="1"/>
  <c r="B889" i="1" s="1"/>
  <c r="F889" i="1"/>
  <c r="M889" i="1"/>
  <c r="O889" i="1"/>
  <c r="U889" i="1"/>
  <c r="Y889" i="1" s="1"/>
  <c r="V889" i="1"/>
  <c r="W889" i="1" s="1"/>
  <c r="Z889" i="1"/>
  <c r="A784" i="1"/>
  <c r="C784" i="1"/>
  <c r="B784" i="1" s="1"/>
  <c r="F784" i="1"/>
  <c r="M784" i="1"/>
  <c r="O784" i="1"/>
  <c r="U784" i="1"/>
  <c r="Y784" i="1" s="1"/>
  <c r="V784" i="1"/>
  <c r="W784" i="1" s="1"/>
  <c r="Z784" i="1"/>
  <c r="A785" i="1"/>
  <c r="C785" i="1"/>
  <c r="B785" i="1" s="1"/>
  <c r="F785" i="1"/>
  <c r="M785" i="1"/>
  <c r="O785" i="1"/>
  <c r="U785" i="1"/>
  <c r="Y785" i="1" s="1"/>
  <c r="V785" i="1"/>
  <c r="W785" i="1" s="1"/>
  <c r="Z785" i="1"/>
  <c r="A783" i="1"/>
  <c r="C783" i="1"/>
  <c r="B783" i="1" s="1"/>
  <c r="F783" i="1"/>
  <c r="M783" i="1"/>
  <c r="O783" i="1"/>
  <c r="U783" i="1"/>
  <c r="Y783" i="1" s="1"/>
  <c r="V783" i="1"/>
  <c r="W783" i="1" s="1"/>
  <c r="Z783" i="1"/>
  <c r="A782" i="1"/>
  <c r="C782" i="1"/>
  <c r="B782" i="1" s="1"/>
  <c r="F782" i="1"/>
  <c r="M782" i="1"/>
  <c r="O782" i="1"/>
  <c r="U782" i="1"/>
  <c r="Y782" i="1" s="1"/>
  <c r="V782" i="1"/>
  <c r="W782" i="1" s="1"/>
  <c r="Z782" i="1"/>
  <c r="A730" i="1"/>
  <c r="C730" i="1"/>
  <c r="B730" i="1" s="1"/>
  <c r="F730" i="1"/>
  <c r="M730" i="1"/>
  <c r="O730" i="1"/>
  <c r="U730" i="1"/>
  <c r="Y730" i="1" s="1"/>
  <c r="V730" i="1"/>
  <c r="W730" i="1" s="1"/>
  <c r="Z730" i="1"/>
  <c r="A709" i="1"/>
  <c r="C709" i="1"/>
  <c r="B709" i="1" s="1"/>
  <c r="F709" i="1"/>
  <c r="M709" i="1"/>
  <c r="O709" i="1"/>
  <c r="U709" i="1"/>
  <c r="Y709" i="1" s="1"/>
  <c r="V709" i="1"/>
  <c r="W709" i="1" s="1"/>
  <c r="Z709" i="1"/>
  <c r="A533" i="1"/>
  <c r="C533" i="1"/>
  <c r="B533" i="1" s="1"/>
  <c r="F533" i="1"/>
  <c r="M533" i="1"/>
  <c r="O533" i="1"/>
  <c r="U533" i="1"/>
  <c r="Y533" i="1" s="1"/>
  <c r="V533" i="1"/>
  <c r="W533" i="1" s="1"/>
  <c r="Z533" i="1"/>
  <c r="A621" i="1"/>
  <c r="C621" i="1"/>
  <c r="B621" i="1" s="1"/>
  <c r="F621" i="1"/>
  <c r="M621" i="1"/>
  <c r="O621" i="1"/>
  <c r="U621" i="1"/>
  <c r="Y621" i="1" s="1"/>
  <c r="V621" i="1"/>
  <c r="W621" i="1" s="1"/>
  <c r="Z621" i="1"/>
  <c r="A270" i="1"/>
  <c r="C270" i="1"/>
  <c r="B270" i="1" s="1"/>
  <c r="F270" i="1"/>
  <c r="M270" i="1"/>
  <c r="O270" i="1"/>
  <c r="S270" i="1"/>
  <c r="T270" i="1"/>
  <c r="U270" i="1"/>
  <c r="Y270" i="1" s="1"/>
  <c r="V270" i="1"/>
  <c r="W270" i="1" s="1"/>
  <c r="Z270" i="1"/>
  <c r="A269" i="1"/>
  <c r="C269" i="1"/>
  <c r="B269" i="1" s="1"/>
  <c r="F269" i="1"/>
  <c r="M269" i="1"/>
  <c r="O269" i="1"/>
  <c r="U269" i="1"/>
  <c r="Y269" i="1" s="1"/>
  <c r="V269" i="1"/>
  <c r="W269" i="1" s="1"/>
  <c r="Z269" i="1"/>
  <c r="A1134" i="1"/>
  <c r="C1134" i="1"/>
  <c r="B1134" i="1" s="1"/>
  <c r="F1134" i="1"/>
  <c r="M1134" i="1"/>
  <c r="O1134" i="1"/>
  <c r="U1134" i="1"/>
  <c r="Y1134" i="1" s="1"/>
  <c r="V1134" i="1"/>
  <c r="W1134" i="1" s="1"/>
  <c r="Z1134" i="1"/>
  <c r="A384" i="1"/>
  <c r="C384" i="1"/>
  <c r="B384" i="1" s="1"/>
  <c r="F384" i="1"/>
  <c r="M384" i="1"/>
  <c r="O384" i="1"/>
  <c r="T384" i="1"/>
  <c r="U384" i="1"/>
  <c r="V384" i="1"/>
  <c r="W384" i="1" s="1"/>
  <c r="Z384" i="1"/>
  <c r="A383" i="1"/>
  <c r="C383" i="1"/>
  <c r="B383" i="1" s="1"/>
  <c r="F383" i="1"/>
  <c r="M383" i="1"/>
  <c r="O383" i="1"/>
  <c r="T383" i="1"/>
  <c r="U383" i="1"/>
  <c r="Y383" i="1" s="1"/>
  <c r="V383" i="1"/>
  <c r="W383" i="1" s="1"/>
  <c r="Z383" i="1"/>
  <c r="A38" i="1"/>
  <c r="C38" i="1"/>
  <c r="B38" i="1" s="1"/>
  <c r="D38" i="1"/>
  <c r="F38" i="1"/>
  <c r="M38" i="1"/>
  <c r="O38" i="1"/>
  <c r="S38" i="1"/>
  <c r="T38" i="1"/>
  <c r="U38" i="1"/>
  <c r="V38" i="1"/>
  <c r="W38" i="1" s="1"/>
  <c r="Z38" i="1"/>
  <c r="A57" i="1"/>
  <c r="C57" i="1"/>
  <c r="B57" i="1" s="1"/>
  <c r="D57" i="1"/>
  <c r="F57" i="1"/>
  <c r="M57" i="1"/>
  <c r="O57" i="1"/>
  <c r="S57" i="1"/>
  <c r="T57" i="1"/>
  <c r="U57" i="1"/>
  <c r="Y57" i="1" s="1"/>
  <c r="V57" i="1"/>
  <c r="W57" i="1" s="1"/>
  <c r="Z57" i="1"/>
  <c r="A58" i="1"/>
  <c r="C58" i="1"/>
  <c r="B58" i="1" s="1"/>
  <c r="D58" i="1"/>
  <c r="F58" i="1"/>
  <c r="M58" i="1"/>
  <c r="O58" i="1"/>
  <c r="S58" i="1"/>
  <c r="T58" i="1"/>
  <c r="U58" i="1"/>
  <c r="Y58" i="1" s="1"/>
  <c r="V58" i="1"/>
  <c r="W58" i="1" s="1"/>
  <c r="Z58" i="1"/>
  <c r="A381" i="1"/>
  <c r="C381" i="1"/>
  <c r="B381" i="1" s="1"/>
  <c r="F381" i="1"/>
  <c r="M381" i="1"/>
  <c r="O381" i="1"/>
  <c r="T381" i="1"/>
  <c r="U381" i="1"/>
  <c r="Y381" i="1" s="1"/>
  <c r="V381" i="1"/>
  <c r="W381" i="1" s="1"/>
  <c r="Z381" i="1"/>
  <c r="A281" i="1"/>
  <c r="C281" i="1"/>
  <c r="B281" i="1" s="1"/>
  <c r="F281" i="1"/>
  <c r="M281" i="1"/>
  <c r="O281" i="1"/>
  <c r="U281" i="1"/>
  <c r="Y281" i="1" s="1"/>
  <c r="V281" i="1"/>
  <c r="W281" i="1" s="1"/>
  <c r="Z281" i="1"/>
  <c r="A280" i="1"/>
  <c r="C280" i="1"/>
  <c r="B280" i="1" s="1"/>
  <c r="F280" i="1"/>
  <c r="M280" i="1"/>
  <c r="O280" i="1"/>
  <c r="U280" i="1"/>
  <c r="Y280" i="1" s="1"/>
  <c r="V280" i="1"/>
  <c r="W280" i="1" s="1"/>
  <c r="Z280" i="1"/>
  <c r="A282" i="1"/>
  <c r="C282" i="1"/>
  <c r="B282" i="1" s="1"/>
  <c r="F282" i="1"/>
  <c r="M282" i="1"/>
  <c r="O282" i="1"/>
  <c r="U282" i="1"/>
  <c r="Y282" i="1" s="1"/>
  <c r="V282" i="1"/>
  <c r="W282" i="1" s="1"/>
  <c r="Z282" i="1"/>
  <c r="A258" i="1"/>
  <c r="C258" i="1"/>
  <c r="B258" i="1" s="1"/>
  <c r="D258" i="1"/>
  <c r="F258" i="1"/>
  <c r="M258" i="1"/>
  <c r="O258" i="1"/>
  <c r="S258" i="1"/>
  <c r="T258" i="1"/>
  <c r="U258" i="1"/>
  <c r="Y258" i="1" s="1"/>
  <c r="V258" i="1"/>
  <c r="W258" i="1" s="1"/>
  <c r="Z258" i="1"/>
  <c r="A419" i="1"/>
  <c r="C419" i="1"/>
  <c r="B419" i="1" s="1"/>
  <c r="F419" i="1"/>
  <c r="O419" i="1"/>
  <c r="U419" i="1"/>
  <c r="Y419" i="1" s="1"/>
  <c r="V419" i="1"/>
  <c r="W419" i="1" s="1"/>
  <c r="Z419" i="1"/>
  <c r="A211" i="1"/>
  <c r="C211" i="1"/>
  <c r="B211" i="1" s="1"/>
  <c r="D211" i="1"/>
  <c r="F211" i="1"/>
  <c r="M211" i="1"/>
  <c r="O211" i="1"/>
  <c r="S211" i="1"/>
  <c r="T211" i="1"/>
  <c r="U211" i="1"/>
  <c r="Y211" i="1" s="1"/>
  <c r="V211" i="1"/>
  <c r="W211" i="1" s="1"/>
  <c r="Z211" i="1"/>
  <c r="A210" i="1"/>
  <c r="C210" i="1"/>
  <c r="B210" i="1" s="1"/>
  <c r="D210" i="1"/>
  <c r="F210" i="1"/>
  <c r="M210" i="1"/>
  <c r="O210" i="1"/>
  <c r="S210" i="1"/>
  <c r="T210" i="1"/>
  <c r="U210" i="1"/>
  <c r="V210" i="1"/>
  <c r="W210" i="1" s="1"/>
  <c r="Z210" i="1"/>
  <c r="A197" i="1"/>
  <c r="C197" i="1"/>
  <c r="B197" i="1" s="1"/>
  <c r="F197" i="1"/>
  <c r="M197" i="1"/>
  <c r="O197" i="1"/>
  <c r="U197" i="1"/>
  <c r="Y197" i="1" s="1"/>
  <c r="V197" i="1"/>
  <c r="W197" i="1" s="1"/>
  <c r="Z197" i="1"/>
  <c r="A191" i="1"/>
  <c r="C191" i="1"/>
  <c r="B191" i="1" s="1"/>
  <c r="F191" i="1"/>
  <c r="M191" i="1"/>
  <c r="O191" i="1"/>
  <c r="U191" i="1"/>
  <c r="Y191" i="1" s="1"/>
  <c r="V191" i="1"/>
  <c r="W191" i="1" s="1"/>
  <c r="Z191" i="1"/>
  <c r="A117" i="1"/>
  <c r="C117" i="1"/>
  <c r="B117" i="1" s="1"/>
  <c r="D117" i="1"/>
  <c r="F117" i="1"/>
  <c r="M117" i="1"/>
  <c r="O117" i="1"/>
  <c r="S117" i="1"/>
  <c r="T117" i="1"/>
  <c r="U117" i="1"/>
  <c r="Y117" i="1" s="1"/>
  <c r="V117" i="1"/>
  <c r="W117" i="1" s="1"/>
  <c r="Z117" i="1"/>
  <c r="A22" i="1"/>
  <c r="C22" i="1"/>
  <c r="B22" i="1" s="1"/>
  <c r="F22" i="1"/>
  <c r="M22" i="1"/>
  <c r="O22" i="1"/>
  <c r="U22" i="1"/>
  <c r="V22" i="1"/>
  <c r="W22" i="1" s="1"/>
  <c r="Z22" i="1"/>
  <c r="A386" i="1"/>
  <c r="C386" i="1"/>
  <c r="B386" i="1" s="1"/>
  <c r="F386" i="1"/>
  <c r="M386" i="1"/>
  <c r="O386" i="1"/>
  <c r="U386" i="1"/>
  <c r="V386" i="1"/>
  <c r="W386" i="1" s="1"/>
  <c r="Z386" i="1"/>
  <c r="A385" i="1"/>
  <c r="C385" i="1"/>
  <c r="B385" i="1" s="1"/>
  <c r="F385" i="1"/>
  <c r="M385" i="1"/>
  <c r="O385" i="1"/>
  <c r="U385" i="1"/>
  <c r="Y385" i="1" s="1"/>
  <c r="V385" i="1"/>
  <c r="W385" i="1" s="1"/>
  <c r="Z385" i="1"/>
  <c r="A382" i="1"/>
  <c r="C382" i="1"/>
  <c r="B382" i="1" s="1"/>
  <c r="F382" i="1"/>
  <c r="M382" i="1"/>
  <c r="O382" i="1"/>
  <c r="U382" i="1"/>
  <c r="Y382" i="1" s="1"/>
  <c r="V382" i="1"/>
  <c r="W382" i="1" s="1"/>
  <c r="Z382" i="1"/>
  <c r="A380" i="1"/>
  <c r="C380" i="1"/>
  <c r="B380" i="1" s="1"/>
  <c r="F380" i="1"/>
  <c r="M380" i="1"/>
  <c r="O380" i="1"/>
  <c r="T380" i="1"/>
  <c r="U380" i="1"/>
  <c r="Y380" i="1" s="1"/>
  <c r="V380" i="1"/>
  <c r="W380" i="1" s="1"/>
  <c r="Z380" i="1"/>
  <c r="K812" i="1"/>
  <c r="A620" i="1"/>
  <c r="C620" i="1"/>
  <c r="B620" i="1" s="1"/>
  <c r="F620" i="1"/>
  <c r="M620" i="1"/>
  <c r="O620" i="1"/>
  <c r="U620" i="1"/>
  <c r="Y620" i="1" s="1"/>
  <c r="V620" i="1"/>
  <c r="W620" i="1" s="1"/>
  <c r="Z620" i="1"/>
  <c r="A619" i="1"/>
  <c r="C619" i="1"/>
  <c r="B619" i="1" s="1"/>
  <c r="F619" i="1"/>
  <c r="M619" i="1"/>
  <c r="O619" i="1"/>
  <c r="U619" i="1"/>
  <c r="Y619" i="1" s="1"/>
  <c r="V619" i="1"/>
  <c r="W619" i="1" s="1"/>
  <c r="Z619" i="1"/>
  <c r="A654" i="1"/>
  <c r="C654" i="1"/>
  <c r="B654" i="1" s="1"/>
  <c r="F654" i="1"/>
  <c r="M654" i="1"/>
  <c r="O654" i="1"/>
  <c r="U654" i="1"/>
  <c r="Y654" i="1" s="1"/>
  <c r="V654" i="1"/>
  <c r="W654" i="1" s="1"/>
  <c r="Z654" i="1"/>
  <c r="A678" i="1"/>
  <c r="C678" i="1"/>
  <c r="B678" i="1" s="1"/>
  <c r="F678" i="1"/>
  <c r="M678" i="1"/>
  <c r="O678" i="1"/>
  <c r="U678" i="1"/>
  <c r="Y678" i="1" s="1"/>
  <c r="V678" i="1"/>
  <c r="W678" i="1" s="1"/>
  <c r="Z678" i="1"/>
  <c r="A729" i="1"/>
  <c r="C729" i="1"/>
  <c r="B729" i="1" s="1"/>
  <c r="F729" i="1"/>
  <c r="M729" i="1"/>
  <c r="O729" i="1"/>
  <c r="U729" i="1"/>
  <c r="Y729" i="1" s="1"/>
  <c r="V729" i="1"/>
  <c r="W729" i="1" s="1"/>
  <c r="Z729" i="1"/>
  <c r="A781" i="1"/>
  <c r="C781" i="1"/>
  <c r="B781" i="1" s="1"/>
  <c r="F781" i="1"/>
  <c r="M781" i="1"/>
  <c r="O781" i="1"/>
  <c r="U781" i="1"/>
  <c r="Y781" i="1" s="1"/>
  <c r="V781" i="1"/>
  <c r="W781" i="1" s="1"/>
  <c r="Z781" i="1"/>
  <c r="A948" i="1"/>
  <c r="C948" i="1"/>
  <c r="B948" i="1" s="1"/>
  <c r="F948" i="1"/>
  <c r="M948" i="1"/>
  <c r="O948" i="1"/>
  <c r="U948" i="1"/>
  <c r="Y948" i="1" s="1"/>
  <c r="V948" i="1"/>
  <c r="W948" i="1" s="1"/>
  <c r="Z948" i="1"/>
  <c r="A947" i="1"/>
  <c r="C947" i="1"/>
  <c r="B947" i="1" s="1"/>
  <c r="F947" i="1"/>
  <c r="M947" i="1"/>
  <c r="O947" i="1"/>
  <c r="U947" i="1"/>
  <c r="Y947" i="1" s="1"/>
  <c r="V947" i="1"/>
  <c r="W947" i="1" s="1"/>
  <c r="Z947" i="1"/>
  <c r="A946" i="1"/>
  <c r="C946" i="1"/>
  <c r="B946" i="1" s="1"/>
  <c r="F946" i="1"/>
  <c r="M946" i="1"/>
  <c r="O946" i="1"/>
  <c r="U946" i="1"/>
  <c r="Y946" i="1" s="1"/>
  <c r="V946" i="1"/>
  <c r="W946" i="1" s="1"/>
  <c r="Z946" i="1"/>
  <c r="A1005" i="1"/>
  <c r="C1005" i="1"/>
  <c r="B1005" i="1" s="1"/>
  <c r="F1005" i="1"/>
  <c r="M1005" i="1"/>
  <c r="O1005" i="1"/>
  <c r="U1005" i="1"/>
  <c r="Y1005" i="1" s="1"/>
  <c r="V1005" i="1"/>
  <c r="W1005" i="1" s="1"/>
  <c r="Z1005" i="1"/>
  <c r="A1112" i="1"/>
  <c r="C1112" i="1"/>
  <c r="B1112" i="1" s="1"/>
  <c r="F1112" i="1"/>
  <c r="M1112" i="1"/>
  <c r="O1112" i="1"/>
  <c r="U1112" i="1"/>
  <c r="Y1112" i="1" s="1"/>
  <c r="V1112" i="1"/>
  <c r="W1112" i="1" s="1"/>
  <c r="Z1112" i="1"/>
  <c r="A1132" i="1"/>
  <c r="C1132" i="1"/>
  <c r="B1132" i="1" s="1"/>
  <c r="F1132" i="1"/>
  <c r="M1132" i="1"/>
  <c r="O1132" i="1"/>
  <c r="U1132" i="1"/>
  <c r="Y1132" i="1" s="1"/>
  <c r="V1132" i="1"/>
  <c r="W1132" i="1" s="1"/>
  <c r="Z1132" i="1"/>
  <c r="A464" i="1"/>
  <c r="A465" i="1"/>
  <c r="A466" i="1"/>
  <c r="A467" i="1"/>
  <c r="A517" i="1"/>
  <c r="A468" i="1"/>
  <c r="A469" i="1"/>
  <c r="C464" i="1"/>
  <c r="B464" i="1" s="1"/>
  <c r="C465" i="1"/>
  <c r="B465" i="1" s="1"/>
  <c r="C466" i="1"/>
  <c r="B466" i="1" s="1"/>
  <c r="C467" i="1"/>
  <c r="B467" i="1" s="1"/>
  <c r="C517" i="1"/>
  <c r="B517" i="1" s="1"/>
  <c r="C468" i="1"/>
  <c r="B468" i="1" s="1"/>
  <c r="C469" i="1"/>
  <c r="B469" i="1" s="1"/>
  <c r="F464" i="1"/>
  <c r="F465" i="1"/>
  <c r="F466" i="1"/>
  <c r="F467" i="1"/>
  <c r="F517" i="1"/>
  <c r="F468" i="1"/>
  <c r="F469" i="1"/>
  <c r="M464" i="1"/>
  <c r="M465" i="1"/>
  <c r="M466" i="1"/>
  <c r="M467" i="1"/>
  <c r="M517" i="1"/>
  <c r="M468" i="1"/>
  <c r="M469" i="1"/>
  <c r="O464" i="1"/>
  <c r="O465" i="1"/>
  <c r="O466" i="1"/>
  <c r="O467" i="1"/>
  <c r="O517" i="1"/>
  <c r="O468" i="1"/>
  <c r="O469" i="1"/>
  <c r="T464" i="1"/>
  <c r="T465" i="1"/>
  <c r="T466" i="1"/>
  <c r="U464" i="1"/>
  <c r="Y464" i="1" s="1"/>
  <c r="U465" i="1"/>
  <c r="Y465" i="1" s="1"/>
  <c r="U466" i="1"/>
  <c r="Y466" i="1" s="1"/>
  <c r="U467" i="1"/>
  <c r="Y467" i="1" s="1"/>
  <c r="U517" i="1"/>
  <c r="Y517" i="1" s="1"/>
  <c r="U468" i="1"/>
  <c r="Y468" i="1" s="1"/>
  <c r="U469" i="1"/>
  <c r="V464" i="1"/>
  <c r="W464" i="1" s="1"/>
  <c r="V465" i="1"/>
  <c r="W465" i="1" s="1"/>
  <c r="V466" i="1"/>
  <c r="W466" i="1" s="1"/>
  <c r="V467" i="1"/>
  <c r="W467" i="1" s="1"/>
  <c r="V517" i="1"/>
  <c r="W517" i="1" s="1"/>
  <c r="V468" i="1"/>
  <c r="W468" i="1" s="1"/>
  <c r="V469" i="1"/>
  <c r="W469" i="1" s="1"/>
  <c r="Z464" i="1"/>
  <c r="Z465" i="1"/>
  <c r="Z466" i="1"/>
  <c r="Z467" i="1"/>
  <c r="Z517" i="1"/>
  <c r="Z468" i="1"/>
  <c r="Z469" i="1"/>
  <c r="I42" i="104"/>
  <c r="A42" i="104"/>
  <c r="B42" i="104"/>
  <c r="C42" i="104"/>
  <c r="I41" i="104"/>
  <c r="A41" i="104"/>
  <c r="B41" i="104"/>
  <c r="C41" i="104"/>
  <c r="I93" i="104"/>
  <c r="A93" i="104"/>
  <c r="B93" i="104"/>
  <c r="C93" i="104"/>
  <c r="I40" i="104"/>
  <c r="I39" i="104"/>
  <c r="A40" i="104"/>
  <c r="B40" i="104"/>
  <c r="C40" i="104"/>
  <c r="A39" i="104"/>
  <c r="B39" i="104"/>
  <c r="C39" i="104"/>
  <c r="I38" i="104"/>
  <c r="A38" i="104"/>
  <c r="B38" i="104"/>
  <c r="C38" i="104"/>
  <c r="I37" i="104"/>
  <c r="A37" i="104"/>
  <c r="B37" i="104"/>
  <c r="C37" i="104"/>
  <c r="R591" i="1" l="1"/>
  <c r="T785" i="1"/>
  <c r="T533" i="1"/>
  <c r="T949" i="1"/>
  <c r="T467" i="1"/>
  <c r="T621" i="1"/>
  <c r="T966" i="1"/>
  <c r="P1102" i="1"/>
  <c r="Q1102" i="1" s="1"/>
  <c r="P592" i="1"/>
  <c r="T468" i="1"/>
  <c r="X316" i="1"/>
  <c r="T517" i="1"/>
  <c r="X1217" i="1"/>
  <c r="T784" i="1"/>
  <c r="X1168" i="1"/>
  <c r="X1169" i="1"/>
  <c r="T782" i="1"/>
  <c r="X966" i="1"/>
  <c r="X1218" i="1"/>
  <c r="T730" i="1"/>
  <c r="T889" i="1"/>
  <c r="T1168" i="1"/>
  <c r="T1133" i="1"/>
  <c r="T1169" i="1"/>
  <c r="X889" i="1"/>
  <c r="T783" i="1"/>
  <c r="X1133" i="1"/>
  <c r="T269" i="1"/>
  <c r="X785" i="1"/>
  <c r="X949" i="1"/>
  <c r="X784" i="1"/>
  <c r="X783" i="1"/>
  <c r="X782" i="1"/>
  <c r="T1134" i="1"/>
  <c r="X269" i="1"/>
  <c r="X621" i="1"/>
  <c r="X730" i="1"/>
  <c r="X709" i="1"/>
  <c r="X270" i="1"/>
  <c r="T282" i="1"/>
  <c r="T22" i="1"/>
  <c r="T197" i="1"/>
  <c r="T709" i="1"/>
  <c r="X533" i="1"/>
  <c r="X258" i="1"/>
  <c r="T280" i="1"/>
  <c r="X282" i="1"/>
  <c r="T281" i="1"/>
  <c r="X1134" i="1"/>
  <c r="X384" i="1"/>
  <c r="X58" i="1"/>
  <c r="Y384" i="1"/>
  <c r="X281" i="1"/>
  <c r="X38" i="1"/>
  <c r="Y38" i="1"/>
  <c r="T620" i="1"/>
  <c r="T191" i="1"/>
  <c r="X383" i="1"/>
  <c r="X117" i="1"/>
  <c r="X210" i="1"/>
  <c r="T385" i="1"/>
  <c r="X280" i="1"/>
  <c r="X191" i="1"/>
  <c r="P191" i="1" s="1"/>
  <c r="X197" i="1"/>
  <c r="Y210" i="1"/>
  <c r="X211" i="1"/>
  <c r="X381" i="1"/>
  <c r="X57" i="1"/>
  <c r="X419" i="1"/>
  <c r="T419" i="1"/>
  <c r="X385" i="1"/>
  <c r="X22" i="1"/>
  <c r="T386" i="1"/>
  <c r="T654" i="1"/>
  <c r="X386" i="1"/>
  <c r="Y22" i="1"/>
  <c r="Y386" i="1"/>
  <c r="T382" i="1"/>
  <c r="T619" i="1"/>
  <c r="T469" i="1"/>
  <c r="X382" i="1"/>
  <c r="X380" i="1"/>
  <c r="T947" i="1"/>
  <c r="X620" i="1"/>
  <c r="X946" i="1"/>
  <c r="P946" i="1" s="1"/>
  <c r="X654" i="1"/>
  <c r="X517" i="1"/>
  <c r="X619" i="1"/>
  <c r="P619" i="1" s="1"/>
  <c r="X678" i="1"/>
  <c r="X1112" i="1"/>
  <c r="T946" i="1"/>
  <c r="T729" i="1"/>
  <c r="X729" i="1"/>
  <c r="T678" i="1"/>
  <c r="X465" i="1"/>
  <c r="X948" i="1"/>
  <c r="X781" i="1"/>
  <c r="T781" i="1"/>
  <c r="X1005" i="1"/>
  <c r="X947" i="1"/>
  <c r="T948" i="1"/>
  <c r="T1005" i="1"/>
  <c r="X468" i="1"/>
  <c r="T1112" i="1"/>
  <c r="X464" i="1"/>
  <c r="X1132" i="1"/>
  <c r="X469" i="1"/>
  <c r="X466" i="1"/>
  <c r="T1132" i="1"/>
  <c r="X467" i="1"/>
  <c r="Y469" i="1"/>
  <c r="P621" i="1" l="1"/>
  <c r="Q621" i="1" s="1"/>
  <c r="P57" i="1"/>
  <c r="P533" i="1"/>
  <c r="P464" i="1"/>
  <c r="P781" i="1"/>
  <c r="P729" i="1"/>
  <c r="P1112" i="1"/>
  <c r="P654" i="1"/>
  <c r="P380" i="1"/>
  <c r="Q191" i="1"/>
  <c r="P381" i="1"/>
  <c r="P117" i="1"/>
  <c r="P58" i="1"/>
  <c r="P282" i="1"/>
  <c r="P270" i="1"/>
  <c r="P269" i="1"/>
  <c r="P784" i="1"/>
  <c r="P1133" i="1"/>
  <c r="P1218" i="1"/>
  <c r="P1168" i="1"/>
  <c r="P316" i="1"/>
  <c r="P1132" i="1"/>
  <c r="P517" i="1"/>
  <c r="P385" i="1"/>
  <c r="P197" i="1"/>
  <c r="P783" i="1"/>
  <c r="P1169" i="1"/>
  <c r="P466" i="1"/>
  <c r="P947" i="1"/>
  <c r="P948" i="1"/>
  <c r="Q946" i="1"/>
  <c r="P678" i="1"/>
  <c r="P382" i="1"/>
  <c r="P211" i="1"/>
  <c r="P280" i="1"/>
  <c r="P383" i="1"/>
  <c r="P709" i="1"/>
  <c r="P949" i="1"/>
  <c r="P966" i="1"/>
  <c r="P467" i="1"/>
  <c r="R1102" i="1"/>
  <c r="P468" i="1"/>
  <c r="P1005" i="1"/>
  <c r="P465" i="1"/>
  <c r="Q619" i="1"/>
  <c r="P620" i="1"/>
  <c r="P419" i="1"/>
  <c r="P281" i="1"/>
  <c r="R1134" i="1"/>
  <c r="P258" i="1"/>
  <c r="P730" i="1"/>
  <c r="P782" i="1"/>
  <c r="P785" i="1"/>
  <c r="P889" i="1"/>
  <c r="P1217" i="1"/>
  <c r="Q592" i="1"/>
  <c r="D1219" i="1"/>
  <c r="D1175" i="1"/>
  <c r="D1174" i="1"/>
  <c r="D971" i="1"/>
  <c r="D970" i="1"/>
  <c r="D283" i="1"/>
  <c r="D1172" i="1"/>
  <c r="D1173" i="1"/>
  <c r="D967" i="1"/>
  <c r="D969" i="1"/>
  <c r="D731" i="1"/>
  <c r="D732" i="1"/>
  <c r="D622" i="1"/>
  <c r="D623" i="1"/>
  <c r="D197" i="1"/>
  <c r="D198" i="1"/>
  <c r="D1170" i="1"/>
  <c r="D1171" i="1"/>
  <c r="D966" i="1"/>
  <c r="D968" i="1"/>
  <c r="D786" i="1"/>
  <c r="D191" i="1"/>
  <c r="D192" i="1"/>
  <c r="D1218" i="1"/>
  <c r="D1217" i="1"/>
  <c r="P384" i="1"/>
  <c r="D269" i="1"/>
  <c r="D270" i="1"/>
  <c r="P210" i="1"/>
  <c r="P38" i="1"/>
  <c r="P386" i="1"/>
  <c r="P22" i="1"/>
  <c r="P469" i="1"/>
  <c r="R619" i="1" l="1"/>
  <c r="Q1005" i="1"/>
  <c r="Q469" i="1"/>
  <c r="Q210" i="1"/>
  <c r="Q22" i="1"/>
  <c r="Q386" i="1"/>
  <c r="R592" i="1"/>
  <c r="Q889" i="1"/>
  <c r="Q782" i="1"/>
  <c r="Q258" i="1"/>
  <c r="Q281" i="1"/>
  <c r="Q966" i="1"/>
  <c r="Q709" i="1"/>
  <c r="Q383" i="1"/>
  <c r="Q211" i="1"/>
  <c r="Q678" i="1"/>
  <c r="Q948" i="1"/>
  <c r="Q466" i="1"/>
  <c r="Q783" i="1"/>
  <c r="Q385" i="1"/>
  <c r="Q1132" i="1"/>
  <c r="Q1168" i="1"/>
  <c r="Q1133" i="1"/>
  <c r="Q269" i="1"/>
  <c r="Q282" i="1"/>
  <c r="Q117" i="1"/>
  <c r="R191" i="1"/>
  <c r="D193" i="1" s="1"/>
  <c r="Q654" i="1"/>
  <c r="Q729" i="1"/>
  <c r="Q464" i="1"/>
  <c r="Q57" i="1"/>
  <c r="Q38" i="1"/>
  <c r="Q384" i="1"/>
  <c r="Q620" i="1"/>
  <c r="Q465" i="1"/>
  <c r="Q468" i="1"/>
  <c r="Q1217" i="1"/>
  <c r="Q785" i="1"/>
  <c r="Q730" i="1"/>
  <c r="Q419" i="1"/>
  <c r="Q467" i="1"/>
  <c r="Q949" i="1"/>
  <c r="Q280" i="1"/>
  <c r="Q382" i="1"/>
  <c r="R946" i="1"/>
  <c r="Q947" i="1"/>
  <c r="Q1169" i="1"/>
  <c r="Q197" i="1"/>
  <c r="Q517" i="1"/>
  <c r="Q316" i="1"/>
  <c r="Q1218" i="1"/>
  <c r="Q784" i="1"/>
  <c r="Q270" i="1"/>
  <c r="Q58" i="1"/>
  <c r="Q381" i="1"/>
  <c r="Q380" i="1"/>
  <c r="Q1112" i="1"/>
  <c r="Q781" i="1"/>
  <c r="Q533" i="1"/>
  <c r="R621" i="1"/>
  <c r="I105" i="104"/>
  <c r="A813" i="1"/>
  <c r="C813" i="1"/>
  <c r="B813" i="1" s="1"/>
  <c r="F813" i="1"/>
  <c r="M813" i="1"/>
  <c r="O813" i="1"/>
  <c r="U813" i="1"/>
  <c r="Y813" i="1" s="1"/>
  <c r="V813" i="1"/>
  <c r="W813" i="1" s="1"/>
  <c r="Z813" i="1"/>
  <c r="A105" i="104"/>
  <c r="B105" i="104"/>
  <c r="C105" i="104"/>
  <c r="R533" i="1" l="1"/>
  <c r="R1112" i="1"/>
  <c r="R381" i="1"/>
  <c r="R270" i="1"/>
  <c r="R1218" i="1"/>
  <c r="R517" i="1"/>
  <c r="D517" i="1" s="1"/>
  <c r="R1169" i="1"/>
  <c r="R280" i="1"/>
  <c r="R467" i="1"/>
  <c r="R730" i="1"/>
  <c r="D733" i="1" s="1"/>
  <c r="R1217" i="1"/>
  <c r="R465" i="1"/>
  <c r="R384" i="1"/>
  <c r="R57" i="1"/>
  <c r="R729" i="1"/>
  <c r="R781" i="1"/>
  <c r="R380" i="1"/>
  <c r="R58" i="1"/>
  <c r="R784" i="1"/>
  <c r="R316" i="1"/>
  <c r="R197" i="1"/>
  <c r="R947" i="1"/>
  <c r="R382" i="1"/>
  <c r="R949" i="1"/>
  <c r="R419" i="1"/>
  <c r="D419" i="1" s="1"/>
  <c r="R785" i="1"/>
  <c r="R468" i="1"/>
  <c r="R620" i="1"/>
  <c r="R38" i="1"/>
  <c r="R464" i="1"/>
  <c r="R654" i="1"/>
  <c r="D654" i="1" s="1"/>
  <c r="R117" i="1"/>
  <c r="R269" i="1"/>
  <c r="R1168" i="1"/>
  <c r="R385" i="1"/>
  <c r="R466" i="1"/>
  <c r="R678" i="1"/>
  <c r="R383" i="1"/>
  <c r="R966" i="1"/>
  <c r="R258" i="1"/>
  <c r="R889" i="1"/>
  <c r="D889" i="1" s="1"/>
  <c r="R386" i="1"/>
  <c r="R210" i="1"/>
  <c r="R1005" i="1"/>
  <c r="D1005" i="1" s="1"/>
  <c r="R282" i="1"/>
  <c r="R1133" i="1"/>
  <c r="D1136" i="1" s="1"/>
  <c r="R1132" i="1"/>
  <c r="D1135" i="1" s="1"/>
  <c r="R783" i="1"/>
  <c r="R948" i="1"/>
  <c r="R211" i="1"/>
  <c r="R709" i="1"/>
  <c r="D709" i="1" s="1"/>
  <c r="R281" i="1"/>
  <c r="R782" i="1"/>
  <c r="R22" i="1"/>
  <c r="R469" i="1"/>
  <c r="X813" i="1"/>
  <c r="T813" i="1"/>
  <c r="P813" i="1" l="1"/>
  <c r="A841" i="1"/>
  <c r="C841" i="1"/>
  <c r="B841" i="1" s="1"/>
  <c r="F841" i="1"/>
  <c r="M841" i="1"/>
  <c r="O841" i="1"/>
  <c r="T841" i="1"/>
  <c r="U841" i="1"/>
  <c r="Y841" i="1" s="1"/>
  <c r="V841" i="1"/>
  <c r="W841" i="1" s="1"/>
  <c r="Z841" i="1"/>
  <c r="A840" i="1"/>
  <c r="C840" i="1"/>
  <c r="B840" i="1" s="1"/>
  <c r="F840" i="1"/>
  <c r="M840" i="1"/>
  <c r="O840" i="1"/>
  <c r="U840" i="1"/>
  <c r="Y840" i="1" s="1"/>
  <c r="V840" i="1"/>
  <c r="W840" i="1" s="1"/>
  <c r="Z840" i="1"/>
  <c r="A607" i="1"/>
  <c r="C607" i="1"/>
  <c r="B607" i="1" s="1"/>
  <c r="F607" i="1"/>
  <c r="M607" i="1"/>
  <c r="O607" i="1"/>
  <c r="T607" i="1"/>
  <c r="U607" i="1"/>
  <c r="Y607" i="1" s="1"/>
  <c r="V607" i="1"/>
  <c r="W607" i="1" s="1"/>
  <c r="Z607" i="1"/>
  <c r="A1121" i="1"/>
  <c r="C1121" i="1"/>
  <c r="B1121" i="1" s="1"/>
  <c r="F1121" i="1"/>
  <c r="O1121" i="1"/>
  <c r="T1121" i="1"/>
  <c r="U1121" i="1"/>
  <c r="Y1121" i="1" s="1"/>
  <c r="V1121" i="1"/>
  <c r="W1121" i="1" s="1"/>
  <c r="Z1121" i="1"/>
  <c r="A1122" i="1"/>
  <c r="C1122" i="1"/>
  <c r="B1122" i="1" s="1"/>
  <c r="F1122" i="1"/>
  <c r="M1122" i="1"/>
  <c r="O1122" i="1"/>
  <c r="T1122" i="1"/>
  <c r="U1122" i="1"/>
  <c r="Y1122" i="1" s="1"/>
  <c r="V1122" i="1"/>
  <c r="W1122" i="1" s="1"/>
  <c r="Z1122" i="1"/>
  <c r="A993" i="1"/>
  <c r="C993" i="1"/>
  <c r="B993" i="1" s="1"/>
  <c r="F993" i="1"/>
  <c r="M993" i="1"/>
  <c r="O993" i="1"/>
  <c r="T993" i="1"/>
  <c r="U993" i="1"/>
  <c r="Y993" i="1" s="1"/>
  <c r="V993" i="1"/>
  <c r="W993" i="1" s="1"/>
  <c r="Z993" i="1"/>
  <c r="A1050" i="1"/>
  <c r="C1050" i="1"/>
  <c r="B1050" i="1" s="1"/>
  <c r="F1050" i="1"/>
  <c r="M1050" i="1"/>
  <c r="O1050" i="1"/>
  <c r="U1050" i="1"/>
  <c r="V1050" i="1"/>
  <c r="W1050" i="1" s="1"/>
  <c r="Z1050" i="1"/>
  <c r="A1049" i="1"/>
  <c r="C1049" i="1"/>
  <c r="B1049" i="1" s="1"/>
  <c r="F1049" i="1"/>
  <c r="M1049" i="1"/>
  <c r="O1049" i="1"/>
  <c r="U1049" i="1"/>
  <c r="Y1049" i="1" s="1"/>
  <c r="V1049" i="1"/>
  <c r="W1049" i="1" s="1"/>
  <c r="Z1049" i="1"/>
  <c r="A1119" i="1"/>
  <c r="C1119" i="1"/>
  <c r="B1119" i="1" s="1"/>
  <c r="F1119" i="1"/>
  <c r="M1119" i="1"/>
  <c r="O1119" i="1"/>
  <c r="T1119" i="1"/>
  <c r="U1119" i="1"/>
  <c r="V1119" i="1"/>
  <c r="W1119" i="1" s="1"/>
  <c r="Z1119" i="1"/>
  <c r="Q813" i="1" l="1"/>
  <c r="X841" i="1"/>
  <c r="X840" i="1"/>
  <c r="T840" i="1"/>
  <c r="X607" i="1"/>
  <c r="X993" i="1"/>
  <c r="X1121" i="1"/>
  <c r="X1122" i="1"/>
  <c r="T1049" i="1"/>
  <c r="T1050" i="1"/>
  <c r="X1049" i="1"/>
  <c r="X1050" i="1"/>
  <c r="Y1050" i="1"/>
  <c r="X1119" i="1"/>
  <c r="Y1119" i="1"/>
  <c r="A862" i="1"/>
  <c r="C862" i="1"/>
  <c r="B862" i="1" s="1"/>
  <c r="F862" i="1"/>
  <c r="M862" i="1"/>
  <c r="O862" i="1"/>
  <c r="U862" i="1"/>
  <c r="Y862" i="1" s="1"/>
  <c r="V862" i="1"/>
  <c r="W862" i="1" s="1"/>
  <c r="Z862" i="1"/>
  <c r="A861" i="1"/>
  <c r="C861" i="1"/>
  <c r="B861" i="1" s="1"/>
  <c r="F861" i="1"/>
  <c r="M861" i="1"/>
  <c r="O861" i="1"/>
  <c r="U861" i="1"/>
  <c r="Y861" i="1" s="1"/>
  <c r="V861" i="1"/>
  <c r="W861" i="1" s="1"/>
  <c r="Z861" i="1"/>
  <c r="P993" i="1" l="1"/>
  <c r="P841" i="1"/>
  <c r="P607" i="1"/>
  <c r="P1122" i="1"/>
  <c r="R813" i="1"/>
  <c r="D813" i="1" s="1"/>
  <c r="P1049" i="1"/>
  <c r="P1121" i="1"/>
  <c r="P840" i="1"/>
  <c r="D840" i="1"/>
  <c r="D841" i="1"/>
  <c r="P1050" i="1"/>
  <c r="D1049" i="1"/>
  <c r="D1050" i="1"/>
  <c r="P1119" i="1"/>
  <c r="T862" i="1"/>
  <c r="X862" i="1"/>
  <c r="T861" i="1"/>
  <c r="X861" i="1"/>
  <c r="P861" i="1" s="1"/>
  <c r="Q861" i="1" l="1"/>
  <c r="Q1119" i="1"/>
  <c r="Q1121" i="1"/>
  <c r="Q1122" i="1"/>
  <c r="Q841" i="1"/>
  <c r="P862" i="1"/>
  <c r="Q1050" i="1"/>
  <c r="Q840" i="1"/>
  <c r="Q1049" i="1"/>
  <c r="Q607" i="1"/>
  <c r="Q993" i="1"/>
  <c r="A315" i="1"/>
  <c r="C315" i="1"/>
  <c r="B315" i="1" s="1"/>
  <c r="F315" i="1"/>
  <c r="M315" i="1"/>
  <c r="O315" i="1"/>
  <c r="S315" i="1"/>
  <c r="T315" i="1"/>
  <c r="U315" i="1"/>
  <c r="Y315" i="1" s="1"/>
  <c r="V315" i="1"/>
  <c r="W315" i="1" s="1"/>
  <c r="Z315" i="1"/>
  <c r="A796" i="1"/>
  <c r="C796" i="1"/>
  <c r="B796" i="1" s="1"/>
  <c r="F796" i="1"/>
  <c r="M796" i="1"/>
  <c r="O796" i="1"/>
  <c r="S796" i="1"/>
  <c r="T796" i="1"/>
  <c r="U796" i="1"/>
  <c r="V796" i="1"/>
  <c r="W796" i="1" s="1"/>
  <c r="Z796" i="1"/>
  <c r="A233" i="1"/>
  <c r="C233" i="1"/>
  <c r="B233" i="1" s="1"/>
  <c r="F233" i="1"/>
  <c r="M233" i="1"/>
  <c r="O233" i="1"/>
  <c r="S233" i="1"/>
  <c r="T233" i="1"/>
  <c r="U233" i="1"/>
  <c r="Y233" i="1" s="1"/>
  <c r="V233" i="1"/>
  <c r="W233" i="1" s="1"/>
  <c r="Z233" i="1"/>
  <c r="A860" i="1"/>
  <c r="C860" i="1"/>
  <c r="B860" i="1" s="1"/>
  <c r="F860" i="1"/>
  <c r="M860" i="1"/>
  <c r="O860" i="1"/>
  <c r="S860" i="1"/>
  <c r="T860" i="1"/>
  <c r="U860" i="1"/>
  <c r="V860" i="1"/>
  <c r="W860" i="1" s="1"/>
  <c r="Z860" i="1"/>
  <c r="R607" i="1" l="1"/>
  <c r="D607" i="1" s="1"/>
  <c r="R840" i="1"/>
  <c r="Q862" i="1"/>
  <c r="R1122" i="1"/>
  <c r="D1122" i="1" s="1"/>
  <c r="R1119" i="1"/>
  <c r="D1119" i="1" s="1"/>
  <c r="R993" i="1"/>
  <c r="D993" i="1" s="1"/>
  <c r="R1049" i="1"/>
  <c r="R1050" i="1"/>
  <c r="R841" i="1"/>
  <c r="R1121" i="1"/>
  <c r="D1121" i="1" s="1"/>
  <c r="R861" i="1"/>
  <c r="X315" i="1"/>
  <c r="X796" i="1"/>
  <c r="Y796" i="1"/>
  <c r="X233" i="1"/>
  <c r="X860" i="1"/>
  <c r="Y860" i="1"/>
  <c r="P315" i="1" l="1"/>
  <c r="R862" i="1"/>
  <c r="P233" i="1"/>
  <c r="P796" i="1"/>
  <c r="P860" i="1"/>
  <c r="A903" i="1"/>
  <c r="C903" i="1"/>
  <c r="B903" i="1" s="1"/>
  <c r="F903" i="1"/>
  <c r="M903" i="1"/>
  <c r="O903" i="1"/>
  <c r="T903" i="1"/>
  <c r="U903" i="1"/>
  <c r="Y903" i="1" s="1"/>
  <c r="V903" i="1"/>
  <c r="W903" i="1" s="1"/>
  <c r="Z903" i="1"/>
  <c r="A1101" i="1"/>
  <c r="C1101" i="1"/>
  <c r="B1101" i="1" s="1"/>
  <c r="F1101" i="1"/>
  <c r="M1101" i="1"/>
  <c r="O1101" i="1"/>
  <c r="T1101" i="1"/>
  <c r="U1101" i="1"/>
  <c r="V1101" i="1"/>
  <c r="W1101" i="1" s="1"/>
  <c r="Z1101" i="1"/>
  <c r="Q796" i="1" l="1"/>
  <c r="Q233" i="1"/>
  <c r="Q315" i="1"/>
  <c r="Q860" i="1"/>
  <c r="X903" i="1"/>
  <c r="X1101" i="1"/>
  <c r="Y1101" i="1"/>
  <c r="A839" i="1"/>
  <c r="C839" i="1"/>
  <c r="B839" i="1" s="1"/>
  <c r="F839" i="1"/>
  <c r="M839" i="1"/>
  <c r="O839" i="1"/>
  <c r="T839" i="1"/>
  <c r="U839" i="1"/>
  <c r="Y839" i="1" s="1"/>
  <c r="V839" i="1"/>
  <c r="W839" i="1" s="1"/>
  <c r="Z839" i="1"/>
  <c r="A826" i="1"/>
  <c r="C826" i="1"/>
  <c r="B826" i="1" s="1"/>
  <c r="F826" i="1"/>
  <c r="M826" i="1"/>
  <c r="S826" i="1"/>
  <c r="T826" i="1"/>
  <c r="U826" i="1"/>
  <c r="Y826" i="1" s="1"/>
  <c r="V826" i="1"/>
  <c r="W826" i="1" s="1"/>
  <c r="Z826" i="1"/>
  <c r="A618" i="1"/>
  <c r="C618" i="1"/>
  <c r="B618" i="1" s="1"/>
  <c r="F618" i="1"/>
  <c r="M618" i="1"/>
  <c r="U618" i="1"/>
  <c r="Y618" i="1" s="1"/>
  <c r="V618" i="1"/>
  <c r="W618" i="1" s="1"/>
  <c r="Z618" i="1"/>
  <c r="A780" i="1"/>
  <c r="C780" i="1"/>
  <c r="B780" i="1" s="1"/>
  <c r="F780" i="1"/>
  <c r="M780" i="1"/>
  <c r="O780" i="1"/>
  <c r="U780" i="1"/>
  <c r="Y780" i="1" s="1"/>
  <c r="V780" i="1"/>
  <c r="W780" i="1" s="1"/>
  <c r="Z780" i="1"/>
  <c r="A1167" i="1"/>
  <c r="C1167" i="1"/>
  <c r="B1167" i="1" s="1"/>
  <c r="F1167" i="1"/>
  <c r="M1167" i="1"/>
  <c r="O1167" i="1"/>
  <c r="U1167" i="1"/>
  <c r="Y1167" i="1" s="1"/>
  <c r="V1167" i="1"/>
  <c r="W1167" i="1" s="1"/>
  <c r="Z1167" i="1"/>
  <c r="A677" i="1"/>
  <c r="C677" i="1"/>
  <c r="B677" i="1" s="1"/>
  <c r="F677" i="1"/>
  <c r="M677" i="1"/>
  <c r="O677" i="1"/>
  <c r="U677" i="1"/>
  <c r="Y677" i="1" s="1"/>
  <c r="V677" i="1"/>
  <c r="W677" i="1" s="1"/>
  <c r="Z677" i="1"/>
  <c r="A2" i="1"/>
  <c r="C2" i="1"/>
  <c r="B2" i="1" s="1"/>
  <c r="F2" i="1"/>
  <c r="M2" i="1"/>
  <c r="O2" i="1"/>
  <c r="T2" i="1"/>
  <c r="U2" i="1"/>
  <c r="Y2" i="1" s="1"/>
  <c r="V2" i="1"/>
  <c r="W2" i="1" s="1"/>
  <c r="Z2" i="1"/>
  <c r="A887" i="1"/>
  <c r="C887" i="1"/>
  <c r="B887" i="1" s="1"/>
  <c r="F887" i="1"/>
  <c r="M887" i="1"/>
  <c r="O887" i="1"/>
  <c r="U887" i="1"/>
  <c r="Y887" i="1" s="1"/>
  <c r="V887" i="1"/>
  <c r="W887" i="1" s="1"/>
  <c r="Z887" i="1"/>
  <c r="R233" i="1" l="1"/>
  <c r="D233" i="1" s="1"/>
  <c r="P903" i="1"/>
  <c r="R315" i="1"/>
  <c r="D315" i="1" s="1"/>
  <c r="R860" i="1"/>
  <c r="R796" i="1"/>
  <c r="D796" i="1" s="1"/>
  <c r="P1101" i="1"/>
  <c r="T618" i="1"/>
  <c r="X839" i="1"/>
  <c r="T780" i="1"/>
  <c r="X618" i="1"/>
  <c r="T1167" i="1"/>
  <c r="X826" i="1"/>
  <c r="X780" i="1"/>
  <c r="T677" i="1"/>
  <c r="X1167" i="1"/>
  <c r="X677" i="1"/>
  <c r="X2" i="1"/>
  <c r="T887" i="1"/>
  <c r="X887" i="1"/>
  <c r="P887" i="1" l="1"/>
  <c r="P618" i="1"/>
  <c r="Q1101" i="1"/>
  <c r="P677" i="1"/>
  <c r="P826" i="1"/>
  <c r="P839" i="1"/>
  <c r="Q903" i="1"/>
  <c r="P1167" i="1"/>
  <c r="P2" i="1"/>
  <c r="P780" i="1"/>
  <c r="D1168" i="1"/>
  <c r="D1169" i="1"/>
  <c r="D785" i="1"/>
  <c r="D784" i="1"/>
  <c r="D781" i="1"/>
  <c r="D782" i="1"/>
  <c r="D783" i="1"/>
  <c r="D677" i="1"/>
  <c r="D678" i="1"/>
  <c r="Q780" i="1" l="1"/>
  <c r="Q1167" i="1"/>
  <c r="Q839" i="1"/>
  <c r="Q677" i="1"/>
  <c r="Q618" i="1"/>
  <c r="Q2" i="1"/>
  <c r="R903" i="1"/>
  <c r="D903" i="1" s="1"/>
  <c r="Q826" i="1"/>
  <c r="R1101" i="1"/>
  <c r="D1101" i="1" s="1"/>
  <c r="Q887" i="1"/>
  <c r="A29" i="104"/>
  <c r="B29" i="104"/>
  <c r="C29" i="104"/>
  <c r="I29" i="104"/>
  <c r="A1198" i="1"/>
  <c r="C1198" i="1"/>
  <c r="B1198" i="1" s="1"/>
  <c r="F1198" i="1"/>
  <c r="O1198" i="1"/>
  <c r="S1198" i="1"/>
  <c r="U1198" i="1"/>
  <c r="Y1198" i="1" s="1"/>
  <c r="V1198" i="1"/>
  <c r="W1198" i="1" s="1"/>
  <c r="Z1198" i="1"/>
  <c r="A110" i="1"/>
  <c r="A111" i="1"/>
  <c r="A112" i="1"/>
  <c r="A113" i="1"/>
  <c r="A114" i="1"/>
  <c r="C110" i="1"/>
  <c r="B110" i="1" s="1"/>
  <c r="C111" i="1"/>
  <c r="T111" i="1" s="1"/>
  <c r="C112" i="1"/>
  <c r="B112" i="1" s="1"/>
  <c r="C113" i="1"/>
  <c r="B113" i="1" s="1"/>
  <c r="C114" i="1"/>
  <c r="B114" i="1" s="1"/>
  <c r="F110" i="1"/>
  <c r="F111" i="1"/>
  <c r="F112" i="1"/>
  <c r="F113" i="1"/>
  <c r="F114" i="1"/>
  <c r="M110" i="1"/>
  <c r="M111" i="1"/>
  <c r="M112" i="1"/>
  <c r="M113" i="1"/>
  <c r="M114" i="1"/>
  <c r="O110" i="1"/>
  <c r="O111" i="1"/>
  <c r="O112" i="1"/>
  <c r="O113" i="1"/>
  <c r="O114" i="1"/>
  <c r="S110" i="1"/>
  <c r="T110" i="1"/>
  <c r="T112" i="1"/>
  <c r="T113" i="1"/>
  <c r="T114" i="1"/>
  <c r="U110" i="1"/>
  <c r="Y110" i="1" s="1"/>
  <c r="U111" i="1"/>
  <c r="Y111" i="1" s="1"/>
  <c r="U112" i="1"/>
  <c r="Y112" i="1" s="1"/>
  <c r="U113" i="1"/>
  <c r="U114" i="1"/>
  <c r="Y114" i="1" s="1"/>
  <c r="V110" i="1"/>
  <c r="W110" i="1" s="1"/>
  <c r="V111" i="1"/>
  <c r="W111" i="1" s="1"/>
  <c r="V112" i="1"/>
  <c r="W112" i="1" s="1"/>
  <c r="V113" i="1"/>
  <c r="W113" i="1" s="1"/>
  <c r="V114" i="1"/>
  <c r="W114" i="1" s="1"/>
  <c r="Z110" i="1"/>
  <c r="Z111" i="1"/>
  <c r="Z112" i="1"/>
  <c r="Z113" i="1"/>
  <c r="Z114" i="1"/>
  <c r="A590" i="1"/>
  <c r="C590" i="1"/>
  <c r="B590" i="1" s="1"/>
  <c r="D590" i="1"/>
  <c r="F590" i="1"/>
  <c r="M590" i="1"/>
  <c r="O590" i="1"/>
  <c r="S590" i="1"/>
  <c r="T590" i="1"/>
  <c r="U590" i="1"/>
  <c r="Y590" i="1" s="1"/>
  <c r="V590" i="1"/>
  <c r="W590" i="1" s="1"/>
  <c r="Z590" i="1"/>
  <c r="A589" i="1"/>
  <c r="C589" i="1"/>
  <c r="T589" i="1" s="1"/>
  <c r="F589" i="1"/>
  <c r="M589" i="1"/>
  <c r="O589" i="1"/>
  <c r="S589" i="1"/>
  <c r="U589" i="1"/>
  <c r="Y589" i="1" s="1"/>
  <c r="V589" i="1"/>
  <c r="W589" i="1" s="1"/>
  <c r="Z589" i="1"/>
  <c r="A421" i="1"/>
  <c r="C421" i="1"/>
  <c r="B421" i="1" s="1"/>
  <c r="F421" i="1"/>
  <c r="O421" i="1"/>
  <c r="T421" i="1"/>
  <c r="U421" i="1"/>
  <c r="Y421" i="1" s="1"/>
  <c r="V421" i="1"/>
  <c r="W421" i="1" s="1"/>
  <c r="Z421" i="1"/>
  <c r="A1088" i="1"/>
  <c r="C1088" i="1"/>
  <c r="B1088" i="1" s="1"/>
  <c r="F1088" i="1"/>
  <c r="O1088" i="1"/>
  <c r="S1088" i="1"/>
  <c r="T1088" i="1"/>
  <c r="U1088" i="1"/>
  <c r="Y1088" i="1" s="1"/>
  <c r="V1088" i="1"/>
  <c r="W1088" i="1" s="1"/>
  <c r="Z1088" i="1"/>
  <c r="A33" i="1"/>
  <c r="C33" i="1"/>
  <c r="B33" i="1" s="1"/>
  <c r="F33" i="1"/>
  <c r="M33" i="1"/>
  <c r="U33" i="1"/>
  <c r="Y33" i="1" s="1"/>
  <c r="V33" i="1"/>
  <c r="W33" i="1" s="1"/>
  <c r="Z33" i="1"/>
  <c r="A638" i="1"/>
  <c r="C638" i="1"/>
  <c r="B638" i="1" s="1"/>
  <c r="F638" i="1"/>
  <c r="M638" i="1"/>
  <c r="O638" i="1"/>
  <c r="U638" i="1"/>
  <c r="Y638" i="1" s="1"/>
  <c r="V638" i="1"/>
  <c r="W638" i="1" s="1"/>
  <c r="Z638" i="1"/>
  <c r="A262" i="1"/>
  <c r="C262" i="1"/>
  <c r="B262" i="1" s="1"/>
  <c r="F262" i="1"/>
  <c r="M262" i="1"/>
  <c r="O262" i="1"/>
  <c r="U262" i="1"/>
  <c r="Y262" i="1" s="1"/>
  <c r="V262" i="1"/>
  <c r="W262" i="1" s="1"/>
  <c r="Z262" i="1"/>
  <c r="A379" i="1"/>
  <c r="C379" i="1"/>
  <c r="B379" i="1" s="1"/>
  <c r="F379" i="1"/>
  <c r="M379" i="1"/>
  <c r="O379" i="1"/>
  <c r="U379" i="1"/>
  <c r="Y379" i="1" s="1"/>
  <c r="V379" i="1"/>
  <c r="W379" i="1" s="1"/>
  <c r="Z379" i="1"/>
  <c r="A378" i="1"/>
  <c r="C378" i="1"/>
  <c r="B378" i="1" s="1"/>
  <c r="F378" i="1"/>
  <c r="M378" i="1"/>
  <c r="O378" i="1"/>
  <c r="U378" i="1"/>
  <c r="Y378" i="1" s="1"/>
  <c r="V378" i="1"/>
  <c r="W378" i="1" s="1"/>
  <c r="Z378" i="1"/>
  <c r="A377" i="1"/>
  <c r="C377" i="1"/>
  <c r="B377" i="1" s="1"/>
  <c r="F377" i="1"/>
  <c r="M377" i="1"/>
  <c r="O377" i="1"/>
  <c r="U377" i="1"/>
  <c r="Y377" i="1" s="1"/>
  <c r="V377" i="1"/>
  <c r="W377" i="1" s="1"/>
  <c r="Z377" i="1"/>
  <c r="A376" i="1"/>
  <c r="C376" i="1"/>
  <c r="B376" i="1" s="1"/>
  <c r="F376" i="1"/>
  <c r="M376" i="1"/>
  <c r="O376" i="1"/>
  <c r="U376" i="1"/>
  <c r="Y376" i="1" s="1"/>
  <c r="V376" i="1"/>
  <c r="W376" i="1" s="1"/>
  <c r="Z376" i="1"/>
  <c r="A895" i="1"/>
  <c r="C895" i="1"/>
  <c r="B895" i="1" s="1"/>
  <c r="F895" i="1"/>
  <c r="M895" i="1"/>
  <c r="O895" i="1"/>
  <c r="T895" i="1"/>
  <c r="U895" i="1"/>
  <c r="Y895" i="1" s="1"/>
  <c r="V895" i="1"/>
  <c r="W895" i="1" s="1"/>
  <c r="Z895" i="1"/>
  <c r="A56" i="1"/>
  <c r="C56" i="1"/>
  <c r="B56" i="1" s="1"/>
  <c r="F56" i="1"/>
  <c r="M56" i="1"/>
  <c r="O56" i="1"/>
  <c r="T56" i="1"/>
  <c r="U56" i="1"/>
  <c r="V56" i="1"/>
  <c r="W56" i="1" s="1"/>
  <c r="Z56" i="1"/>
  <c r="A116" i="1"/>
  <c r="C116" i="1"/>
  <c r="B116" i="1" s="1"/>
  <c r="F116" i="1"/>
  <c r="M116" i="1"/>
  <c r="O116" i="1"/>
  <c r="T116" i="1"/>
  <c r="U116" i="1"/>
  <c r="Y116" i="1" s="1"/>
  <c r="V116" i="1"/>
  <c r="W116" i="1" s="1"/>
  <c r="Z116" i="1"/>
  <c r="A115" i="1"/>
  <c r="C115" i="1"/>
  <c r="B115" i="1" s="1"/>
  <c r="F115" i="1"/>
  <c r="M115" i="1"/>
  <c r="O115" i="1"/>
  <c r="T115" i="1"/>
  <c r="U115" i="1"/>
  <c r="Y115" i="1" s="1"/>
  <c r="V115" i="1"/>
  <c r="W115" i="1" s="1"/>
  <c r="Z115" i="1"/>
  <c r="R887" i="1" l="1"/>
  <c r="D887" i="1" s="1"/>
  <c r="R826" i="1"/>
  <c r="D826" i="1" s="1"/>
  <c r="R2" i="1"/>
  <c r="R677" i="1"/>
  <c r="R1167" i="1"/>
  <c r="R618" i="1"/>
  <c r="R839" i="1"/>
  <c r="D839" i="1" s="1"/>
  <c r="R780" i="1"/>
  <c r="T262" i="1"/>
  <c r="X1198" i="1"/>
  <c r="T1198" i="1"/>
  <c r="X110" i="1"/>
  <c r="X114" i="1"/>
  <c r="X113" i="1"/>
  <c r="X111" i="1"/>
  <c r="X112" i="1"/>
  <c r="Y113" i="1"/>
  <c r="B111" i="1"/>
  <c r="X589" i="1"/>
  <c r="X590" i="1"/>
  <c r="B589" i="1"/>
  <c r="X421" i="1"/>
  <c r="X1088" i="1"/>
  <c r="R1088" i="1"/>
  <c r="D1088" i="1" s="1"/>
  <c r="T638" i="1"/>
  <c r="T33" i="1"/>
  <c r="X33" i="1"/>
  <c r="T379" i="1"/>
  <c r="X638" i="1"/>
  <c r="X379" i="1"/>
  <c r="T378" i="1"/>
  <c r="X262" i="1"/>
  <c r="X378" i="1"/>
  <c r="T377" i="1"/>
  <c r="X377" i="1"/>
  <c r="T376" i="1"/>
  <c r="X376" i="1"/>
  <c r="X115" i="1"/>
  <c r="X895" i="1"/>
  <c r="X116" i="1"/>
  <c r="X56" i="1"/>
  <c r="Y56" i="1"/>
  <c r="D2" i="1" l="1"/>
  <c r="P895" i="1"/>
  <c r="P377" i="1"/>
  <c r="P33" i="1"/>
  <c r="P1088" i="1"/>
  <c r="P589" i="1"/>
  <c r="P111" i="1"/>
  <c r="P116" i="1"/>
  <c r="P112" i="1"/>
  <c r="P262" i="1"/>
  <c r="P110" i="1"/>
  <c r="P115" i="1"/>
  <c r="P379" i="1"/>
  <c r="P421" i="1"/>
  <c r="P1198" i="1"/>
  <c r="P376" i="1"/>
  <c r="P378" i="1"/>
  <c r="P638" i="1"/>
  <c r="P114" i="1"/>
  <c r="Q590" i="1"/>
  <c r="P113" i="1"/>
  <c r="D116" i="1"/>
  <c r="D115" i="1"/>
  <c r="D111" i="1"/>
  <c r="D110" i="1"/>
  <c r="D112" i="1"/>
  <c r="D114" i="1"/>
  <c r="D113" i="1"/>
  <c r="P56" i="1"/>
  <c r="Q1198" i="1" l="1"/>
  <c r="Q56" i="1"/>
  <c r="Q113" i="1"/>
  <c r="Q114" i="1"/>
  <c r="Q378" i="1"/>
  <c r="Q379" i="1"/>
  <c r="Q110" i="1"/>
  <c r="Q112" i="1"/>
  <c r="Q111" i="1"/>
  <c r="Q377" i="1"/>
  <c r="R590" i="1"/>
  <c r="Q638" i="1"/>
  <c r="Q376" i="1"/>
  <c r="Q421" i="1"/>
  <c r="Q115" i="1"/>
  <c r="Q262" i="1"/>
  <c r="Q116" i="1"/>
  <c r="Q589" i="1"/>
  <c r="Q33" i="1"/>
  <c r="Q895" i="1"/>
  <c r="R1198" i="1" l="1"/>
  <c r="D1198" i="1" s="1"/>
  <c r="R116" i="1"/>
  <c r="R376" i="1"/>
  <c r="R111" i="1"/>
  <c r="R110" i="1"/>
  <c r="R33" i="1"/>
  <c r="R895" i="1"/>
  <c r="D895" i="1" s="1"/>
  <c r="R262" i="1"/>
  <c r="D262" i="1" s="1"/>
  <c r="R112" i="1"/>
  <c r="R379" i="1"/>
  <c r="R378" i="1"/>
  <c r="R113" i="1"/>
  <c r="R115" i="1"/>
  <c r="R589" i="1"/>
  <c r="D589" i="1" s="1"/>
  <c r="R421" i="1"/>
  <c r="D421" i="1" s="1"/>
  <c r="R638" i="1"/>
  <c r="D638" i="1" s="1"/>
  <c r="R377" i="1"/>
  <c r="R114" i="1"/>
  <c r="R56" i="1"/>
  <c r="D56" i="1" s="1"/>
  <c r="A728" i="1"/>
  <c r="C728" i="1"/>
  <c r="B728" i="1" s="1"/>
  <c r="F728" i="1"/>
  <c r="M728" i="1"/>
  <c r="O728" i="1"/>
  <c r="U728" i="1"/>
  <c r="Y728" i="1" s="1"/>
  <c r="V728" i="1"/>
  <c r="W728" i="1" s="1"/>
  <c r="Z728" i="1"/>
  <c r="A462" i="1"/>
  <c r="A463" i="1"/>
  <c r="C462" i="1"/>
  <c r="B462" i="1" s="1"/>
  <c r="C463" i="1"/>
  <c r="B463" i="1" s="1"/>
  <c r="F462" i="1"/>
  <c r="F463" i="1"/>
  <c r="M462" i="1"/>
  <c r="M463" i="1"/>
  <c r="O462" i="1"/>
  <c r="O463" i="1"/>
  <c r="U462" i="1"/>
  <c r="Y462" i="1" s="1"/>
  <c r="U463" i="1"/>
  <c r="Y463" i="1" s="1"/>
  <c r="V462" i="1"/>
  <c r="W462" i="1" s="1"/>
  <c r="V463" i="1"/>
  <c r="W463" i="1" s="1"/>
  <c r="Z462" i="1"/>
  <c r="Z463" i="1"/>
  <c r="A945" i="1"/>
  <c r="C945" i="1"/>
  <c r="B945" i="1" s="1"/>
  <c r="F945" i="1"/>
  <c r="M945" i="1"/>
  <c r="O945" i="1"/>
  <c r="U945" i="1"/>
  <c r="Y945" i="1" s="1"/>
  <c r="V945" i="1"/>
  <c r="W945" i="1" s="1"/>
  <c r="Z945" i="1"/>
  <c r="T462" i="1" l="1"/>
  <c r="T463" i="1"/>
  <c r="X945" i="1"/>
  <c r="X462" i="1"/>
  <c r="X728" i="1"/>
  <c r="T945" i="1"/>
  <c r="T728" i="1"/>
  <c r="X463" i="1"/>
  <c r="A544" i="1"/>
  <c r="C544" i="1"/>
  <c r="B544" i="1" s="1"/>
  <c r="F544" i="1"/>
  <c r="M544" i="1"/>
  <c r="O544" i="1"/>
  <c r="U544" i="1"/>
  <c r="Y544" i="1" s="1"/>
  <c r="V544" i="1"/>
  <c r="W544" i="1" s="1"/>
  <c r="Z544" i="1"/>
  <c r="A543" i="1"/>
  <c r="C543" i="1"/>
  <c r="B543" i="1" s="1"/>
  <c r="F543" i="1"/>
  <c r="M543" i="1"/>
  <c r="O543" i="1"/>
  <c r="U543" i="1"/>
  <c r="Y543" i="1" s="1"/>
  <c r="V543" i="1"/>
  <c r="W543" i="1" s="1"/>
  <c r="Z543" i="1"/>
  <c r="A617" i="1"/>
  <c r="C617" i="1"/>
  <c r="B617" i="1" s="1"/>
  <c r="F617" i="1"/>
  <c r="M617" i="1"/>
  <c r="O617" i="1"/>
  <c r="U617" i="1"/>
  <c r="Y617" i="1" s="1"/>
  <c r="V617" i="1"/>
  <c r="W617" i="1" s="1"/>
  <c r="Z617" i="1"/>
  <c r="A55" i="1"/>
  <c r="C55" i="1"/>
  <c r="B55" i="1" s="1"/>
  <c r="F55" i="1"/>
  <c r="M55" i="1"/>
  <c r="O55" i="1"/>
  <c r="S55" i="1"/>
  <c r="T55" i="1"/>
  <c r="U55" i="1"/>
  <c r="Y55" i="1" s="1"/>
  <c r="V55" i="1"/>
  <c r="W55" i="1" s="1"/>
  <c r="Z55" i="1"/>
  <c r="A303" i="1"/>
  <c r="C303" i="1"/>
  <c r="B303" i="1" s="1"/>
  <c r="F303" i="1"/>
  <c r="M303" i="1"/>
  <c r="O303" i="1"/>
  <c r="U303" i="1"/>
  <c r="Y303" i="1" s="1"/>
  <c r="V303" i="1"/>
  <c r="W303" i="1" s="1"/>
  <c r="Z303" i="1"/>
  <c r="A300" i="1"/>
  <c r="C300" i="1"/>
  <c r="B300" i="1" s="1"/>
  <c r="F300" i="1"/>
  <c r="M300" i="1"/>
  <c r="O300" i="1"/>
  <c r="U300" i="1"/>
  <c r="V300" i="1"/>
  <c r="W300" i="1" s="1"/>
  <c r="Z300" i="1"/>
  <c r="A241" i="1"/>
  <c r="C241" i="1"/>
  <c r="B241" i="1" s="1"/>
  <c r="F241" i="1"/>
  <c r="M241" i="1"/>
  <c r="O241" i="1"/>
  <c r="U241" i="1"/>
  <c r="Y241" i="1" s="1"/>
  <c r="V241" i="1"/>
  <c r="W241" i="1" s="1"/>
  <c r="Z241" i="1"/>
  <c r="A109" i="1"/>
  <c r="C109" i="1"/>
  <c r="B109" i="1" s="1"/>
  <c r="F109" i="1"/>
  <c r="M109" i="1"/>
  <c r="O109" i="1"/>
  <c r="S109" i="1"/>
  <c r="T109" i="1"/>
  <c r="U109" i="1"/>
  <c r="Y109" i="1" s="1"/>
  <c r="V109" i="1"/>
  <c r="W109" i="1" s="1"/>
  <c r="Z109" i="1"/>
  <c r="A21" i="1"/>
  <c r="C21" i="1"/>
  <c r="B21" i="1" s="1"/>
  <c r="F21" i="1"/>
  <c r="M21" i="1"/>
  <c r="O21" i="1"/>
  <c r="U21" i="1"/>
  <c r="Y21" i="1" s="1"/>
  <c r="V21" i="1"/>
  <c r="W21" i="1" s="1"/>
  <c r="Z21" i="1"/>
  <c r="I36" i="104"/>
  <c r="I35" i="104"/>
  <c r="A36" i="104"/>
  <c r="B36" i="104"/>
  <c r="C36" i="104"/>
  <c r="A35" i="104"/>
  <c r="B35" i="104"/>
  <c r="C35" i="104"/>
  <c r="P463" i="1" l="1"/>
  <c r="P462" i="1"/>
  <c r="P945" i="1"/>
  <c r="P728" i="1"/>
  <c r="D947" i="1"/>
  <c r="D946" i="1"/>
  <c r="D948" i="1"/>
  <c r="T544" i="1"/>
  <c r="T617" i="1"/>
  <c r="X300" i="1"/>
  <c r="T543" i="1"/>
  <c r="X544" i="1"/>
  <c r="T303" i="1"/>
  <c r="X543" i="1"/>
  <c r="X617" i="1"/>
  <c r="X55" i="1"/>
  <c r="X303" i="1"/>
  <c r="T241" i="1"/>
  <c r="T300" i="1"/>
  <c r="Y300" i="1"/>
  <c r="T21" i="1"/>
  <c r="X241" i="1"/>
  <c r="X21" i="1"/>
  <c r="X109" i="1"/>
  <c r="A1004" i="1"/>
  <c r="C1004" i="1"/>
  <c r="B1004" i="1" s="1"/>
  <c r="F1004" i="1"/>
  <c r="M1004" i="1"/>
  <c r="O1004" i="1"/>
  <c r="S1004" i="1"/>
  <c r="T1004" i="1"/>
  <c r="U1004" i="1"/>
  <c r="Y1004" i="1" s="1"/>
  <c r="V1004" i="1"/>
  <c r="W1004" i="1" s="1"/>
  <c r="Z1004" i="1"/>
  <c r="A992" i="1"/>
  <c r="C992" i="1"/>
  <c r="B992" i="1" s="1"/>
  <c r="F992" i="1"/>
  <c r="M992" i="1"/>
  <c r="O992" i="1"/>
  <c r="T992" i="1"/>
  <c r="U992" i="1"/>
  <c r="V992" i="1"/>
  <c r="W992" i="1" s="1"/>
  <c r="Z992" i="1"/>
  <c r="A700" i="1"/>
  <c r="C700" i="1"/>
  <c r="B700" i="1" s="1"/>
  <c r="F700" i="1"/>
  <c r="M700" i="1"/>
  <c r="O700" i="1"/>
  <c r="T700" i="1"/>
  <c r="U700" i="1"/>
  <c r="Y700" i="1" s="1"/>
  <c r="V700" i="1"/>
  <c r="W700" i="1" s="1"/>
  <c r="Z700" i="1"/>
  <c r="A1131" i="1"/>
  <c r="C1131" i="1"/>
  <c r="B1131" i="1" s="1"/>
  <c r="F1131" i="1"/>
  <c r="M1131" i="1"/>
  <c r="O1131" i="1"/>
  <c r="U1131" i="1"/>
  <c r="Y1131" i="1" s="1"/>
  <c r="V1131" i="1"/>
  <c r="W1131" i="1" s="1"/>
  <c r="Z1131" i="1"/>
  <c r="A1017" i="1"/>
  <c r="C1017" i="1"/>
  <c r="B1017" i="1" s="1"/>
  <c r="F1017" i="1"/>
  <c r="M1017" i="1"/>
  <c r="O1017" i="1"/>
  <c r="U1017" i="1"/>
  <c r="Y1017" i="1" s="1"/>
  <c r="V1017" i="1"/>
  <c r="W1017" i="1" s="1"/>
  <c r="Z1017" i="1"/>
  <c r="A1111" i="1"/>
  <c r="C1111" i="1"/>
  <c r="B1111" i="1" s="1"/>
  <c r="F1111" i="1"/>
  <c r="M1111" i="1"/>
  <c r="O1111" i="1"/>
  <c r="U1111" i="1"/>
  <c r="Y1111" i="1" s="1"/>
  <c r="V1111" i="1"/>
  <c r="W1111" i="1" s="1"/>
  <c r="Z1111" i="1"/>
  <c r="A1071" i="1"/>
  <c r="C1071" i="1"/>
  <c r="B1071" i="1" s="1"/>
  <c r="F1071" i="1"/>
  <c r="M1071" i="1"/>
  <c r="O1071" i="1"/>
  <c r="U1071" i="1"/>
  <c r="Y1071" i="1" s="1"/>
  <c r="V1071" i="1"/>
  <c r="W1071" i="1" s="1"/>
  <c r="Z1071" i="1"/>
  <c r="A1070" i="1"/>
  <c r="C1070" i="1"/>
  <c r="B1070" i="1" s="1"/>
  <c r="F1070" i="1"/>
  <c r="M1070" i="1"/>
  <c r="U1070" i="1"/>
  <c r="Y1070" i="1" s="1"/>
  <c r="V1070" i="1"/>
  <c r="W1070" i="1" s="1"/>
  <c r="Z1070" i="1"/>
  <c r="A1025" i="1"/>
  <c r="C1025" i="1"/>
  <c r="B1025" i="1" s="1"/>
  <c r="F1025" i="1"/>
  <c r="M1025" i="1"/>
  <c r="O1025" i="1"/>
  <c r="U1025" i="1"/>
  <c r="Y1025" i="1" s="1"/>
  <c r="V1025" i="1"/>
  <c r="W1025" i="1" s="1"/>
  <c r="Z1025" i="1"/>
  <c r="A1187" i="1"/>
  <c r="C1187" i="1"/>
  <c r="B1187" i="1" s="1"/>
  <c r="F1187" i="1"/>
  <c r="M1187" i="1"/>
  <c r="O1187" i="1"/>
  <c r="U1187" i="1"/>
  <c r="Y1187" i="1" s="1"/>
  <c r="V1187" i="1"/>
  <c r="W1187" i="1" s="1"/>
  <c r="Z1187" i="1"/>
  <c r="A897" i="1"/>
  <c r="C897" i="1"/>
  <c r="B897" i="1" s="1"/>
  <c r="F897" i="1"/>
  <c r="M897" i="1"/>
  <c r="O897" i="1"/>
  <c r="U897" i="1"/>
  <c r="Y897" i="1" s="1"/>
  <c r="V897" i="1"/>
  <c r="W897" i="1" s="1"/>
  <c r="Z897" i="1"/>
  <c r="A557" i="1"/>
  <c r="C557" i="1"/>
  <c r="B557" i="1" s="1"/>
  <c r="F557" i="1"/>
  <c r="M557" i="1"/>
  <c r="O557" i="1"/>
  <c r="U557" i="1"/>
  <c r="Y557" i="1" s="1"/>
  <c r="V557" i="1"/>
  <c r="W557" i="1" s="1"/>
  <c r="Z557" i="1"/>
  <c r="A461" i="1"/>
  <c r="C461" i="1"/>
  <c r="B461" i="1" s="1"/>
  <c r="F461" i="1"/>
  <c r="M461" i="1"/>
  <c r="O461" i="1"/>
  <c r="U461" i="1"/>
  <c r="Y461" i="1" s="1"/>
  <c r="V461" i="1"/>
  <c r="W461" i="1" s="1"/>
  <c r="Z461" i="1"/>
  <c r="A460" i="1"/>
  <c r="C460" i="1"/>
  <c r="B460" i="1" s="1"/>
  <c r="F460" i="1"/>
  <c r="M460" i="1"/>
  <c r="O460" i="1"/>
  <c r="U460" i="1"/>
  <c r="Y460" i="1" s="1"/>
  <c r="V460" i="1"/>
  <c r="W460" i="1" s="1"/>
  <c r="Z460" i="1"/>
  <c r="A459" i="1"/>
  <c r="C459" i="1"/>
  <c r="B459" i="1" s="1"/>
  <c r="F459" i="1"/>
  <c r="M459" i="1"/>
  <c r="O459" i="1"/>
  <c r="U459" i="1"/>
  <c r="Y459" i="1" s="1"/>
  <c r="V459" i="1"/>
  <c r="W459" i="1" s="1"/>
  <c r="Z459" i="1"/>
  <c r="I32" i="104"/>
  <c r="I33" i="104"/>
  <c r="I34" i="104"/>
  <c r="A34" i="104"/>
  <c r="B34" i="104"/>
  <c r="C34" i="104"/>
  <c r="A33" i="104"/>
  <c r="B33" i="104"/>
  <c r="C33" i="104"/>
  <c r="A32" i="104"/>
  <c r="B32" i="104"/>
  <c r="C32" i="104"/>
  <c r="A859" i="1"/>
  <c r="C859" i="1"/>
  <c r="B859" i="1" s="1"/>
  <c r="F859" i="1"/>
  <c r="M859" i="1"/>
  <c r="O859" i="1"/>
  <c r="U859" i="1"/>
  <c r="Y859" i="1" s="1"/>
  <c r="V859" i="1"/>
  <c r="W859" i="1" s="1"/>
  <c r="Z859" i="1"/>
  <c r="A858" i="1"/>
  <c r="C858" i="1"/>
  <c r="B858" i="1" s="1"/>
  <c r="F858" i="1"/>
  <c r="M858" i="1"/>
  <c r="O858" i="1"/>
  <c r="U858" i="1"/>
  <c r="Y858" i="1" s="1"/>
  <c r="V858" i="1"/>
  <c r="W858" i="1" s="1"/>
  <c r="Z858" i="1"/>
  <c r="A857" i="1"/>
  <c r="C857" i="1"/>
  <c r="B857" i="1" s="1"/>
  <c r="F857" i="1"/>
  <c r="M857" i="1"/>
  <c r="O857" i="1"/>
  <c r="U857" i="1"/>
  <c r="Y857" i="1" s="1"/>
  <c r="V857" i="1"/>
  <c r="W857" i="1" s="1"/>
  <c r="Z857" i="1"/>
  <c r="A779" i="1"/>
  <c r="C779" i="1"/>
  <c r="B779" i="1" s="1"/>
  <c r="F779" i="1"/>
  <c r="M779" i="1"/>
  <c r="O779" i="1"/>
  <c r="U779" i="1"/>
  <c r="V779" i="1"/>
  <c r="W779" i="1" s="1"/>
  <c r="Z779" i="1"/>
  <c r="A727" i="1"/>
  <c r="C727" i="1"/>
  <c r="B727" i="1" s="1"/>
  <c r="F727" i="1"/>
  <c r="M727" i="1"/>
  <c r="O727" i="1"/>
  <c r="U727" i="1"/>
  <c r="Y727" i="1" s="1"/>
  <c r="V727" i="1"/>
  <c r="W727" i="1" s="1"/>
  <c r="Z727" i="1"/>
  <c r="A726" i="1"/>
  <c r="C726" i="1"/>
  <c r="B726" i="1" s="1"/>
  <c r="F726" i="1"/>
  <c r="M726" i="1"/>
  <c r="O726" i="1"/>
  <c r="U726" i="1"/>
  <c r="Y726" i="1" s="1"/>
  <c r="V726" i="1"/>
  <c r="W726" i="1" s="1"/>
  <c r="Z726" i="1"/>
  <c r="A725" i="1"/>
  <c r="C725" i="1"/>
  <c r="B725" i="1" s="1"/>
  <c r="F725" i="1"/>
  <c r="M725" i="1"/>
  <c r="O725" i="1"/>
  <c r="U725" i="1"/>
  <c r="Y725" i="1" s="1"/>
  <c r="V725" i="1"/>
  <c r="W725" i="1" s="1"/>
  <c r="Z725" i="1"/>
  <c r="A807" i="1"/>
  <c r="C807" i="1"/>
  <c r="B807" i="1" s="1"/>
  <c r="F807" i="1"/>
  <c r="M807" i="1"/>
  <c r="O807" i="1"/>
  <c r="U807" i="1"/>
  <c r="Y807" i="1" s="1"/>
  <c r="V807" i="1"/>
  <c r="W807" i="1" s="1"/>
  <c r="Z807" i="1"/>
  <c r="A699" i="1"/>
  <c r="C699" i="1"/>
  <c r="B699" i="1" s="1"/>
  <c r="F699" i="1"/>
  <c r="M699" i="1"/>
  <c r="O699" i="1"/>
  <c r="S699" i="1"/>
  <c r="T699" i="1"/>
  <c r="U699" i="1"/>
  <c r="Y699" i="1" s="1"/>
  <c r="V699" i="1"/>
  <c r="W699" i="1" s="1"/>
  <c r="Z699" i="1"/>
  <c r="A411" i="1"/>
  <c r="C411" i="1"/>
  <c r="B411" i="1" s="1"/>
  <c r="F411" i="1"/>
  <c r="M411" i="1"/>
  <c r="O411" i="1"/>
  <c r="U411" i="1"/>
  <c r="Y411" i="1" s="1"/>
  <c r="V411" i="1"/>
  <c r="W411" i="1" s="1"/>
  <c r="Z411" i="1"/>
  <c r="A404" i="1"/>
  <c r="C404" i="1"/>
  <c r="B404" i="1" s="1"/>
  <c r="F404" i="1"/>
  <c r="M404" i="1"/>
  <c r="O404" i="1"/>
  <c r="U404" i="1"/>
  <c r="Y404" i="1" s="1"/>
  <c r="V404" i="1"/>
  <c r="W404" i="1" s="1"/>
  <c r="Z404" i="1"/>
  <c r="A279" i="1"/>
  <c r="C279" i="1"/>
  <c r="B279" i="1" s="1"/>
  <c r="F279" i="1"/>
  <c r="M279" i="1"/>
  <c r="O279" i="1"/>
  <c r="U279" i="1"/>
  <c r="Y279" i="1" s="1"/>
  <c r="V279" i="1"/>
  <c r="W279" i="1" s="1"/>
  <c r="Z279" i="1"/>
  <c r="A375" i="1"/>
  <c r="C375" i="1"/>
  <c r="B375" i="1" s="1"/>
  <c r="F375" i="1"/>
  <c r="M375" i="1"/>
  <c r="O375" i="1"/>
  <c r="U375" i="1"/>
  <c r="Y375" i="1" s="1"/>
  <c r="V375" i="1"/>
  <c r="W375" i="1" s="1"/>
  <c r="Z375" i="1"/>
  <c r="A209" i="1"/>
  <c r="C209" i="1"/>
  <c r="B209" i="1" s="1"/>
  <c r="D209" i="1"/>
  <c r="F209" i="1"/>
  <c r="M209" i="1"/>
  <c r="O209" i="1"/>
  <c r="S209" i="1"/>
  <c r="T209" i="1"/>
  <c r="U209" i="1"/>
  <c r="Y209" i="1" s="1"/>
  <c r="V209" i="1"/>
  <c r="W209" i="1" s="1"/>
  <c r="Z209" i="1"/>
  <c r="A208" i="1"/>
  <c r="C208" i="1"/>
  <c r="B208" i="1" s="1"/>
  <c r="F208" i="1"/>
  <c r="M208" i="1"/>
  <c r="O208" i="1"/>
  <c r="T208" i="1"/>
  <c r="U208" i="1"/>
  <c r="Y208" i="1" s="1"/>
  <c r="V208" i="1"/>
  <c r="W208" i="1" s="1"/>
  <c r="Z208" i="1"/>
  <c r="A20" i="1"/>
  <c r="C20" i="1"/>
  <c r="B20" i="1" s="1"/>
  <c r="F20" i="1"/>
  <c r="M20" i="1"/>
  <c r="O20" i="1"/>
  <c r="U20" i="1"/>
  <c r="Y20" i="1" s="1"/>
  <c r="V20" i="1"/>
  <c r="W20" i="1" s="1"/>
  <c r="Z20" i="1"/>
  <c r="A19" i="1"/>
  <c r="C19" i="1"/>
  <c r="B19" i="1" s="1"/>
  <c r="F19" i="1"/>
  <c r="M19" i="1"/>
  <c r="O19" i="1"/>
  <c r="U19" i="1"/>
  <c r="Y19" i="1" s="1"/>
  <c r="V19" i="1"/>
  <c r="W19" i="1" s="1"/>
  <c r="Z19" i="1"/>
  <c r="A532" i="1"/>
  <c r="C532" i="1"/>
  <c r="B532" i="1" s="1"/>
  <c r="F532" i="1"/>
  <c r="M532" i="1"/>
  <c r="O532" i="1"/>
  <c r="U532" i="1"/>
  <c r="V532" i="1"/>
  <c r="W532" i="1" s="1"/>
  <c r="Z532" i="1"/>
  <c r="P21" i="1" l="1"/>
  <c r="P617" i="1"/>
  <c r="Q728" i="1"/>
  <c r="P241" i="1"/>
  <c r="P543" i="1"/>
  <c r="Q462" i="1"/>
  <c r="P303" i="1"/>
  <c r="Q945" i="1"/>
  <c r="P109" i="1"/>
  <c r="P55" i="1"/>
  <c r="P544" i="1"/>
  <c r="Q463" i="1"/>
  <c r="D618" i="1"/>
  <c r="D620" i="1"/>
  <c r="D619" i="1"/>
  <c r="P300" i="1"/>
  <c r="X1004" i="1"/>
  <c r="T1131" i="1"/>
  <c r="X992" i="1"/>
  <c r="Y992" i="1"/>
  <c r="T1071" i="1"/>
  <c r="T1111" i="1"/>
  <c r="T557" i="1"/>
  <c r="T1017" i="1"/>
  <c r="X700" i="1"/>
  <c r="X1131" i="1"/>
  <c r="T1187" i="1"/>
  <c r="X1017" i="1"/>
  <c r="T779" i="1"/>
  <c r="T1025" i="1"/>
  <c r="T1070" i="1"/>
  <c r="T461" i="1"/>
  <c r="X1111" i="1"/>
  <c r="X1071" i="1"/>
  <c r="X1070" i="1"/>
  <c r="X1025" i="1"/>
  <c r="X1187" i="1"/>
  <c r="T897" i="1"/>
  <c r="X897" i="1"/>
  <c r="X557" i="1"/>
  <c r="T726" i="1"/>
  <c r="X461" i="1"/>
  <c r="X460" i="1"/>
  <c r="T460" i="1"/>
  <c r="T20" i="1"/>
  <c r="T727" i="1"/>
  <c r="X459" i="1"/>
  <c r="T459" i="1"/>
  <c r="X859" i="1"/>
  <c r="T859" i="1"/>
  <c r="T375" i="1"/>
  <c r="T807" i="1"/>
  <c r="T857" i="1"/>
  <c r="T279" i="1"/>
  <c r="X209" i="1"/>
  <c r="X857" i="1"/>
  <c r="T411" i="1"/>
  <c r="T532" i="1"/>
  <c r="T404" i="1"/>
  <c r="T858" i="1"/>
  <c r="X858" i="1"/>
  <c r="X19" i="1"/>
  <c r="X20" i="1"/>
  <c r="X208" i="1"/>
  <c r="P208" i="1" s="1"/>
  <c r="X779" i="1"/>
  <c r="X807" i="1"/>
  <c r="Y779" i="1"/>
  <c r="X727" i="1"/>
  <c r="X726" i="1"/>
  <c r="T725" i="1"/>
  <c r="X725" i="1"/>
  <c r="X699" i="1"/>
  <c r="X411" i="1"/>
  <c r="X404" i="1"/>
  <c r="X279" i="1"/>
  <c r="X375" i="1"/>
  <c r="T19" i="1"/>
  <c r="X532" i="1"/>
  <c r="Y532" i="1"/>
  <c r="R463" i="1" l="1"/>
  <c r="Q55" i="1"/>
  <c r="Q617" i="1"/>
  <c r="Q303" i="1"/>
  <c r="Q543" i="1"/>
  <c r="Q544" i="1"/>
  <c r="Q109" i="1"/>
  <c r="R728" i="1"/>
  <c r="Q21" i="1"/>
  <c r="P279" i="1"/>
  <c r="P725" i="1"/>
  <c r="P20" i="1"/>
  <c r="P209" i="1"/>
  <c r="P459" i="1"/>
  <c r="P460" i="1"/>
  <c r="P897" i="1"/>
  <c r="P1070" i="1"/>
  <c r="P532" i="1"/>
  <c r="P404" i="1"/>
  <c r="P807" i="1"/>
  <c r="P19" i="1"/>
  <c r="P461" i="1"/>
  <c r="P1071" i="1"/>
  <c r="Q1131" i="1"/>
  <c r="P411" i="1"/>
  <c r="P726" i="1"/>
  <c r="P858" i="1"/>
  <c r="P859" i="1"/>
  <c r="P1187" i="1"/>
  <c r="P1111" i="1"/>
  <c r="P700" i="1"/>
  <c r="P1004" i="1"/>
  <c r="P375" i="1"/>
  <c r="P699" i="1"/>
  <c r="P727" i="1"/>
  <c r="Q208" i="1"/>
  <c r="P857" i="1"/>
  <c r="P557" i="1"/>
  <c r="P1025" i="1"/>
  <c r="P1017" i="1"/>
  <c r="Q300" i="1"/>
  <c r="R945" i="1"/>
  <c r="D949" i="1" s="1"/>
  <c r="R462" i="1"/>
  <c r="Q241" i="1"/>
  <c r="D534" i="1"/>
  <c r="D535" i="1"/>
  <c r="D729" i="1"/>
  <c r="D730" i="1"/>
  <c r="D532" i="1"/>
  <c r="D533" i="1"/>
  <c r="D383" i="1"/>
  <c r="D384" i="1"/>
  <c r="D381" i="1"/>
  <c r="D279" i="1"/>
  <c r="D280" i="1"/>
  <c r="D281" i="1"/>
  <c r="D282" i="1"/>
  <c r="D379" i="1"/>
  <c r="D380" i="1"/>
  <c r="D385" i="1"/>
  <c r="D382" i="1"/>
  <c r="D386" i="1"/>
  <c r="D1111" i="1"/>
  <c r="D1112" i="1"/>
  <c r="D377" i="1"/>
  <c r="D378" i="1"/>
  <c r="D375" i="1"/>
  <c r="D376" i="1"/>
  <c r="D21" i="1"/>
  <c r="P992" i="1"/>
  <c r="D699" i="1"/>
  <c r="D1070" i="1"/>
  <c r="D1071" i="1"/>
  <c r="P779" i="1"/>
  <c r="D19" i="1"/>
  <c r="D20" i="1"/>
  <c r="A1216" i="1"/>
  <c r="C1216" i="1"/>
  <c r="B1216" i="1" s="1"/>
  <c r="F1216" i="1"/>
  <c r="M1216" i="1"/>
  <c r="O1216" i="1"/>
  <c r="U1216" i="1"/>
  <c r="Y1216" i="1" s="1"/>
  <c r="V1216" i="1"/>
  <c r="W1216" i="1" s="1"/>
  <c r="Z1216" i="1"/>
  <c r="A458" i="1"/>
  <c r="C458" i="1"/>
  <c r="B458" i="1" s="1"/>
  <c r="F458" i="1"/>
  <c r="M458" i="1"/>
  <c r="O458" i="1"/>
  <c r="U458" i="1"/>
  <c r="Y458" i="1" s="1"/>
  <c r="V458" i="1"/>
  <c r="W458" i="1" s="1"/>
  <c r="Z458" i="1"/>
  <c r="A457" i="1"/>
  <c r="C457" i="1"/>
  <c r="B457" i="1" s="1"/>
  <c r="F457" i="1"/>
  <c r="M457" i="1"/>
  <c r="O457" i="1"/>
  <c r="U457" i="1"/>
  <c r="Y457" i="1" s="1"/>
  <c r="V457" i="1"/>
  <c r="W457" i="1" s="1"/>
  <c r="Z457" i="1"/>
  <c r="I31" i="104"/>
  <c r="I30" i="104"/>
  <c r="A31" i="104"/>
  <c r="B31" i="104"/>
  <c r="C31" i="104"/>
  <c r="A30" i="104"/>
  <c r="B30" i="104"/>
  <c r="C30" i="104"/>
  <c r="A856" i="1"/>
  <c r="C856" i="1"/>
  <c r="B856" i="1" s="1"/>
  <c r="F856" i="1"/>
  <c r="M856" i="1"/>
  <c r="O856" i="1"/>
  <c r="U856" i="1"/>
  <c r="Y856" i="1" s="1"/>
  <c r="V856" i="1"/>
  <c r="W856" i="1" s="1"/>
  <c r="Z856" i="1"/>
  <c r="A855" i="1"/>
  <c r="C855" i="1"/>
  <c r="B855" i="1" s="1"/>
  <c r="F855" i="1"/>
  <c r="M855" i="1"/>
  <c r="O855" i="1"/>
  <c r="U855" i="1"/>
  <c r="Y855" i="1" s="1"/>
  <c r="V855" i="1"/>
  <c r="W855" i="1" s="1"/>
  <c r="Z855" i="1"/>
  <c r="A588" i="1"/>
  <c r="C588" i="1"/>
  <c r="B588" i="1" s="1"/>
  <c r="F588" i="1"/>
  <c r="M588" i="1"/>
  <c r="O588" i="1"/>
  <c r="U588" i="1"/>
  <c r="Y588" i="1" s="1"/>
  <c r="V588" i="1"/>
  <c r="W588" i="1" s="1"/>
  <c r="Z588" i="1"/>
  <c r="A232" i="1"/>
  <c r="C232" i="1"/>
  <c r="B232" i="1" s="1"/>
  <c r="D232" i="1"/>
  <c r="F232" i="1"/>
  <c r="M232" i="1"/>
  <c r="O232" i="1"/>
  <c r="S232" i="1"/>
  <c r="T232" i="1"/>
  <c r="U232" i="1"/>
  <c r="V232" i="1"/>
  <c r="W232" i="1" s="1"/>
  <c r="Z232" i="1"/>
  <c r="A795" i="1"/>
  <c r="C795" i="1"/>
  <c r="B795" i="1" s="1"/>
  <c r="F795" i="1"/>
  <c r="M795" i="1"/>
  <c r="O795" i="1"/>
  <c r="T795" i="1"/>
  <c r="U795" i="1"/>
  <c r="Y795" i="1" s="1"/>
  <c r="V795" i="1"/>
  <c r="W795" i="1" s="1"/>
  <c r="Z795" i="1"/>
  <c r="A104" i="1"/>
  <c r="A105" i="1"/>
  <c r="A106" i="1"/>
  <c r="A107" i="1"/>
  <c r="A108" i="1"/>
  <c r="C104" i="1"/>
  <c r="B104" i="1" s="1"/>
  <c r="C105" i="1"/>
  <c r="B105" i="1" s="1"/>
  <c r="C106" i="1"/>
  <c r="B106" i="1" s="1"/>
  <c r="C107" i="1"/>
  <c r="B107" i="1" s="1"/>
  <c r="C108" i="1"/>
  <c r="B108" i="1" s="1"/>
  <c r="F104" i="1"/>
  <c r="F105" i="1"/>
  <c r="F106" i="1"/>
  <c r="F107" i="1"/>
  <c r="F108" i="1"/>
  <c r="M104" i="1"/>
  <c r="M105" i="1"/>
  <c r="M106" i="1"/>
  <c r="M107" i="1"/>
  <c r="M108" i="1"/>
  <c r="O104" i="1"/>
  <c r="O105" i="1"/>
  <c r="O106" i="1"/>
  <c r="O107" i="1"/>
  <c r="O108" i="1"/>
  <c r="S104" i="1"/>
  <c r="S105" i="1"/>
  <c r="S106" i="1"/>
  <c r="S107" i="1"/>
  <c r="S108" i="1"/>
  <c r="T104" i="1"/>
  <c r="T105" i="1"/>
  <c r="T106" i="1"/>
  <c r="T107" i="1"/>
  <c r="T108" i="1"/>
  <c r="U104" i="1"/>
  <c r="Y104" i="1" s="1"/>
  <c r="U105" i="1"/>
  <c r="Y105" i="1" s="1"/>
  <c r="U106" i="1"/>
  <c r="Y106" i="1" s="1"/>
  <c r="U107" i="1"/>
  <c r="Y107" i="1" s="1"/>
  <c r="U108" i="1"/>
  <c r="Y108" i="1" s="1"/>
  <c r="V104" i="1"/>
  <c r="W104" i="1" s="1"/>
  <c r="V105" i="1"/>
  <c r="W105" i="1" s="1"/>
  <c r="V106" i="1"/>
  <c r="W106" i="1" s="1"/>
  <c r="V107" i="1"/>
  <c r="W107" i="1" s="1"/>
  <c r="V108" i="1"/>
  <c r="W108" i="1" s="1"/>
  <c r="Z104" i="1"/>
  <c r="Z105" i="1"/>
  <c r="Z106" i="1"/>
  <c r="Z107" i="1"/>
  <c r="Z108" i="1"/>
  <c r="E404" i="6"/>
  <c r="E405" i="6"/>
  <c r="F404" i="6"/>
  <c r="F405" i="6"/>
  <c r="I404" i="6"/>
  <c r="I405" i="6"/>
  <c r="J404" i="6"/>
  <c r="J405" i="6"/>
  <c r="E402" i="6"/>
  <c r="E403" i="6"/>
  <c r="E474" i="6"/>
  <c r="E485" i="6"/>
  <c r="E668" i="6"/>
  <c r="E655" i="6"/>
  <c r="E681" i="6"/>
  <c r="F402" i="6"/>
  <c r="F403" i="6"/>
  <c r="F474" i="6"/>
  <c r="F485" i="6"/>
  <c r="I402" i="6"/>
  <c r="I403" i="6"/>
  <c r="I474" i="6"/>
  <c r="I485" i="6"/>
  <c r="I668" i="6"/>
  <c r="I655" i="6"/>
  <c r="I681" i="6"/>
  <c r="J402" i="6"/>
  <c r="J403" i="6"/>
  <c r="J474" i="6"/>
  <c r="J485" i="6"/>
  <c r="J668" i="6"/>
  <c r="J655" i="6"/>
  <c r="J681" i="6"/>
  <c r="E336" i="6"/>
  <c r="E424" i="6"/>
  <c r="E447" i="6"/>
  <c r="E506" i="6"/>
  <c r="E448" i="6"/>
  <c r="E595" i="6"/>
  <c r="E42" i="6"/>
  <c r="F336" i="6"/>
  <c r="F424" i="6"/>
  <c r="F447" i="6"/>
  <c r="F506" i="6"/>
  <c r="F448" i="6"/>
  <c r="F42" i="6"/>
  <c r="I336" i="6"/>
  <c r="I424" i="6"/>
  <c r="I447" i="6"/>
  <c r="I506" i="6"/>
  <c r="I448" i="6"/>
  <c r="I595" i="6"/>
  <c r="I42" i="6"/>
  <c r="J336" i="6"/>
  <c r="J424" i="6"/>
  <c r="J447" i="6"/>
  <c r="J506" i="6"/>
  <c r="J448" i="6"/>
  <c r="J595" i="6"/>
  <c r="J42" i="6"/>
  <c r="E519" i="6"/>
  <c r="E276" i="6"/>
  <c r="E446" i="6"/>
  <c r="E31" i="6"/>
  <c r="E83" i="6"/>
  <c r="E139" i="6"/>
  <c r="E208" i="6"/>
  <c r="E298" i="6"/>
  <c r="F519" i="6"/>
  <c r="F276" i="6"/>
  <c r="F446" i="6"/>
  <c r="F31" i="6"/>
  <c r="F83" i="6"/>
  <c r="F298" i="6"/>
  <c r="I519" i="6"/>
  <c r="I276" i="6"/>
  <c r="I446" i="6"/>
  <c r="I31" i="6"/>
  <c r="I83" i="6"/>
  <c r="I139" i="6"/>
  <c r="I208" i="6"/>
  <c r="I298" i="6"/>
  <c r="J519" i="6"/>
  <c r="J276" i="6"/>
  <c r="J446" i="6"/>
  <c r="J31" i="6"/>
  <c r="J83" i="6"/>
  <c r="J139" i="6"/>
  <c r="J208" i="6"/>
  <c r="J298" i="6"/>
  <c r="A1087" i="1"/>
  <c r="C1087" i="1"/>
  <c r="B1087" i="1" s="1"/>
  <c r="F1087" i="1"/>
  <c r="O1087" i="1"/>
  <c r="S1087" i="1"/>
  <c r="T1087" i="1"/>
  <c r="U1087" i="1"/>
  <c r="Y1087" i="1" s="1"/>
  <c r="V1087" i="1"/>
  <c r="W1087" i="1" s="1"/>
  <c r="Z1087" i="1"/>
  <c r="A1086" i="1"/>
  <c r="C1086" i="1"/>
  <c r="B1086" i="1" s="1"/>
  <c r="F1086" i="1"/>
  <c r="M1086" i="1"/>
  <c r="O1086" i="1"/>
  <c r="S1086" i="1"/>
  <c r="T1086" i="1"/>
  <c r="U1086" i="1"/>
  <c r="Y1086" i="1" s="1"/>
  <c r="V1086" i="1"/>
  <c r="W1086" i="1" s="1"/>
  <c r="Z1086" i="1"/>
  <c r="A1100" i="1"/>
  <c r="C1100" i="1"/>
  <c r="B1100" i="1" s="1"/>
  <c r="F1100" i="1"/>
  <c r="M1100" i="1"/>
  <c r="O1100" i="1"/>
  <c r="S1100" i="1"/>
  <c r="T1100" i="1"/>
  <c r="U1100" i="1"/>
  <c r="Y1100" i="1" s="1"/>
  <c r="V1100" i="1"/>
  <c r="W1100" i="1" s="1"/>
  <c r="Z1100" i="1"/>
  <c r="A825" i="1"/>
  <c r="C825" i="1"/>
  <c r="B825" i="1" s="1"/>
  <c r="F825" i="1"/>
  <c r="M825" i="1"/>
  <c r="U825" i="1"/>
  <c r="Y825" i="1" s="1"/>
  <c r="V825" i="1"/>
  <c r="W825" i="1" s="1"/>
  <c r="Z825" i="1"/>
  <c r="A1048" i="1"/>
  <c r="C1048" i="1"/>
  <c r="B1048" i="1" s="1"/>
  <c r="F1048" i="1"/>
  <c r="M1048" i="1"/>
  <c r="O1048" i="1"/>
  <c r="U1048" i="1"/>
  <c r="Y1048" i="1" s="1"/>
  <c r="V1048" i="1"/>
  <c r="W1048" i="1" s="1"/>
  <c r="Z1048" i="1"/>
  <c r="A1047" i="1"/>
  <c r="C1047" i="1"/>
  <c r="B1047" i="1" s="1"/>
  <c r="F1047" i="1"/>
  <c r="M1047" i="1"/>
  <c r="O1047" i="1"/>
  <c r="U1047" i="1"/>
  <c r="Y1047" i="1" s="1"/>
  <c r="V1047" i="1"/>
  <c r="W1047" i="1" s="1"/>
  <c r="Z1047" i="1"/>
  <c r="A902" i="1"/>
  <c r="C902" i="1"/>
  <c r="B902" i="1" s="1"/>
  <c r="F902" i="1"/>
  <c r="M902" i="1"/>
  <c r="O902" i="1"/>
  <c r="T902" i="1"/>
  <c r="U902" i="1"/>
  <c r="V902" i="1"/>
  <c r="W902" i="1" s="1"/>
  <c r="Z902" i="1"/>
  <c r="A1197" i="1"/>
  <c r="C1197" i="1"/>
  <c r="B1197" i="1" s="1"/>
  <c r="F1197" i="1"/>
  <c r="O1197" i="1"/>
  <c r="T1197" i="1"/>
  <c r="U1197" i="1"/>
  <c r="Y1197" i="1" s="1"/>
  <c r="V1197" i="1"/>
  <c r="W1197" i="1" s="1"/>
  <c r="Z1197" i="1"/>
  <c r="A587" i="1"/>
  <c r="C587" i="1"/>
  <c r="B587" i="1" s="1"/>
  <c r="F587" i="1"/>
  <c r="M587" i="1"/>
  <c r="O587" i="1"/>
  <c r="U587" i="1"/>
  <c r="Y587" i="1" s="1"/>
  <c r="V587" i="1"/>
  <c r="W587" i="1" s="1"/>
  <c r="Z587" i="1"/>
  <c r="A586" i="1"/>
  <c r="C586" i="1"/>
  <c r="B586" i="1" s="1"/>
  <c r="F586" i="1"/>
  <c r="M586" i="1"/>
  <c r="O586" i="1"/>
  <c r="T586" i="1"/>
  <c r="U586" i="1"/>
  <c r="Y586" i="1" s="1"/>
  <c r="V586" i="1"/>
  <c r="W586" i="1" s="1"/>
  <c r="Z586" i="1"/>
  <c r="E680" i="6"/>
  <c r="I680" i="6"/>
  <c r="J680" i="6"/>
  <c r="E654" i="6"/>
  <c r="I654" i="6"/>
  <c r="J654" i="6"/>
  <c r="E667" i="6"/>
  <c r="I667" i="6"/>
  <c r="J667" i="6"/>
  <c r="E473" i="6"/>
  <c r="F473" i="6"/>
  <c r="I473" i="6"/>
  <c r="J473" i="6"/>
  <c r="E401" i="6"/>
  <c r="F401" i="6"/>
  <c r="I401" i="6"/>
  <c r="J401" i="6"/>
  <c r="E400" i="6"/>
  <c r="F400" i="6"/>
  <c r="I400" i="6"/>
  <c r="J400" i="6"/>
  <c r="E484" i="6"/>
  <c r="F484" i="6"/>
  <c r="I484" i="6"/>
  <c r="J484" i="6"/>
  <c r="E41" i="6"/>
  <c r="F41" i="6"/>
  <c r="I41" i="6"/>
  <c r="J41" i="6"/>
  <c r="E594" i="6"/>
  <c r="I594" i="6"/>
  <c r="J594" i="6"/>
  <c r="E505" i="6"/>
  <c r="F505" i="6"/>
  <c r="I505" i="6"/>
  <c r="J505" i="6"/>
  <c r="E444" i="6"/>
  <c r="F444" i="6"/>
  <c r="I444" i="6"/>
  <c r="J444" i="6"/>
  <c r="E445" i="6"/>
  <c r="F445" i="6"/>
  <c r="I445" i="6"/>
  <c r="J445" i="6"/>
  <c r="E518" i="6"/>
  <c r="E443" i="6"/>
  <c r="E423" i="6"/>
  <c r="F518" i="6"/>
  <c r="F443" i="6"/>
  <c r="F423" i="6"/>
  <c r="I518" i="6"/>
  <c r="I443" i="6"/>
  <c r="I423" i="6"/>
  <c r="J518" i="6"/>
  <c r="J443" i="6"/>
  <c r="J423" i="6"/>
  <c r="E138" i="6"/>
  <c r="I138" i="6"/>
  <c r="J138" i="6"/>
  <c r="R241" i="1" l="1"/>
  <c r="D241" i="1" s="1"/>
  <c r="Q1017" i="1"/>
  <c r="Q557" i="1"/>
  <c r="R208" i="1"/>
  <c r="D208" i="1" s="1"/>
  <c r="Q699" i="1"/>
  <c r="Q1004" i="1"/>
  <c r="Q1111" i="1"/>
  <c r="Q859" i="1"/>
  <c r="Q779" i="1"/>
  <c r="Q992" i="1"/>
  <c r="Q726" i="1"/>
  <c r="R1131" i="1"/>
  <c r="Q461" i="1"/>
  <c r="Q807" i="1"/>
  <c r="Q532" i="1"/>
  <c r="Q897" i="1"/>
  <c r="Q459" i="1"/>
  <c r="Q20" i="1"/>
  <c r="Q279" i="1"/>
  <c r="R544" i="1"/>
  <c r="R303" i="1"/>
  <c r="D303" i="1" s="1"/>
  <c r="R55" i="1"/>
  <c r="D55" i="1" s="1"/>
  <c r="R300" i="1"/>
  <c r="Q1025" i="1"/>
  <c r="Q857" i="1"/>
  <c r="Q727" i="1"/>
  <c r="Q375" i="1"/>
  <c r="Q700" i="1"/>
  <c r="Q1187" i="1"/>
  <c r="Q858" i="1"/>
  <c r="Q411" i="1"/>
  <c r="Q1071" i="1"/>
  <c r="Q19" i="1"/>
  <c r="Q404" i="1"/>
  <c r="Q1070" i="1"/>
  <c r="Q460" i="1"/>
  <c r="Q209" i="1"/>
  <c r="Q725" i="1"/>
  <c r="R21" i="1"/>
  <c r="R109" i="1"/>
  <c r="D109" i="1" s="1"/>
  <c r="R543" i="1"/>
  <c r="R617" i="1"/>
  <c r="D621" i="1" s="1"/>
  <c r="T856" i="1"/>
  <c r="T458" i="1"/>
  <c r="T1216" i="1"/>
  <c r="X1216" i="1"/>
  <c r="X458" i="1"/>
  <c r="T588" i="1"/>
  <c r="T457" i="1"/>
  <c r="X457" i="1"/>
  <c r="T855" i="1"/>
  <c r="X856" i="1"/>
  <c r="X855" i="1"/>
  <c r="X588" i="1"/>
  <c r="X232" i="1"/>
  <c r="Y232" i="1"/>
  <c r="X795" i="1"/>
  <c r="X106" i="1"/>
  <c r="X108" i="1"/>
  <c r="X104" i="1"/>
  <c r="X107" i="1"/>
  <c r="X105" i="1"/>
  <c r="D105" i="1"/>
  <c r="D106" i="1"/>
  <c r="D107" i="1"/>
  <c r="D104" i="1"/>
  <c r="D108" i="1"/>
  <c r="X1087" i="1"/>
  <c r="T1048" i="1"/>
  <c r="X1086" i="1"/>
  <c r="R1087" i="1"/>
  <c r="D1086" i="1"/>
  <c r="D1087" i="1"/>
  <c r="R1086" i="1"/>
  <c r="T1047" i="1"/>
  <c r="T825" i="1"/>
  <c r="X1100" i="1"/>
  <c r="X825" i="1"/>
  <c r="X1048" i="1"/>
  <c r="X1047" i="1"/>
  <c r="X902" i="1"/>
  <c r="Y902" i="1"/>
  <c r="X1197" i="1"/>
  <c r="T587" i="1"/>
  <c r="X587" i="1"/>
  <c r="R587" i="1" s="1"/>
  <c r="X586" i="1"/>
  <c r="I92" i="104"/>
  <c r="A454" i="1"/>
  <c r="C454" i="1"/>
  <c r="B454" i="1" s="1"/>
  <c r="F454" i="1"/>
  <c r="M454" i="1"/>
  <c r="O454" i="1"/>
  <c r="T454" i="1"/>
  <c r="U454" i="1"/>
  <c r="Y454" i="1" s="1"/>
  <c r="V454" i="1"/>
  <c r="W454" i="1" s="1"/>
  <c r="Z454" i="1"/>
  <c r="A453" i="1"/>
  <c r="C453" i="1"/>
  <c r="B453" i="1" s="1"/>
  <c r="F453" i="1"/>
  <c r="M453" i="1"/>
  <c r="O453" i="1"/>
  <c r="U453" i="1"/>
  <c r="Y453" i="1" s="1"/>
  <c r="V453" i="1"/>
  <c r="W453" i="1" s="1"/>
  <c r="Z453" i="1"/>
  <c r="A452" i="1"/>
  <c r="C452" i="1"/>
  <c r="B452" i="1" s="1"/>
  <c r="F452" i="1"/>
  <c r="M452" i="1"/>
  <c r="O452" i="1"/>
  <c r="U452" i="1"/>
  <c r="Y452" i="1" s="1"/>
  <c r="V452" i="1"/>
  <c r="W452" i="1" s="1"/>
  <c r="Z452" i="1"/>
  <c r="P104" i="1" l="1"/>
  <c r="P856" i="1"/>
  <c r="P586" i="1"/>
  <c r="P825" i="1"/>
  <c r="P1086" i="1"/>
  <c r="P105" i="1"/>
  <c r="P108" i="1"/>
  <c r="R1111" i="1"/>
  <c r="R699" i="1"/>
  <c r="R557" i="1"/>
  <c r="D557" i="1" s="1"/>
  <c r="P1197" i="1"/>
  <c r="P1048" i="1"/>
  <c r="P1100" i="1"/>
  <c r="P107" i="1"/>
  <c r="P106" i="1"/>
  <c r="P588" i="1"/>
  <c r="P457" i="1"/>
  <c r="P458" i="1"/>
  <c r="R209" i="1"/>
  <c r="R1070" i="1"/>
  <c r="R19" i="1"/>
  <c r="R411" i="1"/>
  <c r="R1187" i="1"/>
  <c r="D33" i="1" s="1"/>
  <c r="R375" i="1"/>
  <c r="R857" i="1"/>
  <c r="R20" i="1"/>
  <c r="D22" i="1" s="1"/>
  <c r="R897" i="1"/>
  <c r="D897" i="1" s="1"/>
  <c r="R807" i="1"/>
  <c r="D807" i="1" s="1"/>
  <c r="R992" i="1"/>
  <c r="D992" i="1" s="1"/>
  <c r="P1047" i="1"/>
  <c r="P1087" i="1"/>
  <c r="P795" i="1"/>
  <c r="Q795" i="1" s="1"/>
  <c r="P855" i="1"/>
  <c r="P1216" i="1"/>
  <c r="R859" i="1"/>
  <c r="R1004" i="1"/>
  <c r="D1004" i="1" s="1"/>
  <c r="R1017" i="1"/>
  <c r="R725" i="1"/>
  <c r="R460" i="1"/>
  <c r="R404" i="1"/>
  <c r="D404" i="1" s="1"/>
  <c r="R1071" i="1"/>
  <c r="R858" i="1"/>
  <c r="R700" i="1"/>
  <c r="D700" i="1" s="1"/>
  <c r="R727" i="1"/>
  <c r="R1025" i="1"/>
  <c r="D1025" i="1" s="1"/>
  <c r="R279" i="1"/>
  <c r="R459" i="1"/>
  <c r="R532" i="1"/>
  <c r="R461" i="1"/>
  <c r="R726" i="1"/>
  <c r="R779" i="1"/>
  <c r="D780" i="1" s="1"/>
  <c r="D863" i="1"/>
  <c r="D864" i="1"/>
  <c r="D865" i="1"/>
  <c r="Q586" i="1"/>
  <c r="Q588" i="1"/>
  <c r="D467" i="1"/>
  <c r="D468" i="1"/>
  <c r="D464" i="1"/>
  <c r="D465" i="1"/>
  <c r="D466" i="1"/>
  <c r="D469" i="1"/>
  <c r="D860" i="1"/>
  <c r="D862" i="1"/>
  <c r="D861" i="1"/>
  <c r="D461" i="1"/>
  <c r="D462" i="1"/>
  <c r="D463" i="1"/>
  <c r="D459" i="1"/>
  <c r="D460" i="1"/>
  <c r="D859" i="1"/>
  <c r="D857" i="1"/>
  <c r="D858" i="1"/>
  <c r="D457" i="1"/>
  <c r="D458" i="1"/>
  <c r="D855" i="1"/>
  <c r="D856" i="1"/>
  <c r="P232" i="1"/>
  <c r="Q232" i="1" s="1"/>
  <c r="D1047" i="1"/>
  <c r="D1048" i="1"/>
  <c r="P902" i="1"/>
  <c r="X452" i="1"/>
  <c r="X454" i="1"/>
  <c r="X453" i="1"/>
  <c r="T453" i="1"/>
  <c r="T452" i="1"/>
  <c r="Q902" i="1" l="1"/>
  <c r="Q1216" i="1"/>
  <c r="R795" i="1"/>
  <c r="D795" i="1" s="1"/>
  <c r="Q1047" i="1"/>
  <c r="Q457" i="1"/>
  <c r="Q106" i="1"/>
  <c r="Q1100" i="1"/>
  <c r="Q1197" i="1"/>
  <c r="Q105" i="1"/>
  <c r="Q825" i="1"/>
  <c r="Q856" i="1"/>
  <c r="P452" i="1"/>
  <c r="R232" i="1"/>
  <c r="P453" i="1"/>
  <c r="R588" i="1"/>
  <c r="D588" i="1" s="1"/>
  <c r="P454" i="1"/>
  <c r="R586" i="1"/>
  <c r="Q855" i="1"/>
  <c r="Q458" i="1"/>
  <c r="Q107" i="1"/>
  <c r="Q1048" i="1"/>
  <c r="Q108" i="1"/>
  <c r="Q104" i="1"/>
  <c r="A854" i="1"/>
  <c r="C854" i="1"/>
  <c r="B854" i="1" s="1"/>
  <c r="F854" i="1"/>
  <c r="M854" i="1"/>
  <c r="O854" i="1"/>
  <c r="S854" i="1"/>
  <c r="T854" i="1"/>
  <c r="U854" i="1"/>
  <c r="Y854" i="1" s="1"/>
  <c r="V854" i="1"/>
  <c r="W854" i="1" s="1"/>
  <c r="Z854" i="1"/>
  <c r="A816" i="1"/>
  <c r="C816" i="1"/>
  <c r="B816" i="1" s="1"/>
  <c r="F816" i="1"/>
  <c r="M816" i="1"/>
  <c r="O816" i="1"/>
  <c r="U816" i="1"/>
  <c r="Y816" i="1" s="1"/>
  <c r="V816" i="1"/>
  <c r="W816" i="1" s="1"/>
  <c r="Z816" i="1"/>
  <c r="A789" i="1"/>
  <c r="C789" i="1"/>
  <c r="B789" i="1" s="1"/>
  <c r="F789" i="1"/>
  <c r="M789" i="1"/>
  <c r="O789" i="1"/>
  <c r="U789" i="1"/>
  <c r="Y789" i="1" s="1"/>
  <c r="V789" i="1"/>
  <c r="W789" i="1" s="1"/>
  <c r="Z789" i="1"/>
  <c r="A724" i="1"/>
  <c r="C724" i="1"/>
  <c r="B724" i="1" s="1"/>
  <c r="F724" i="1"/>
  <c r="M724" i="1"/>
  <c r="O724" i="1"/>
  <c r="U724" i="1"/>
  <c r="Y724" i="1" s="1"/>
  <c r="V724" i="1"/>
  <c r="W724" i="1" s="1"/>
  <c r="Z724" i="1"/>
  <c r="A965" i="1"/>
  <c r="C965" i="1"/>
  <c r="B965" i="1" s="1"/>
  <c r="F965" i="1"/>
  <c r="M965" i="1"/>
  <c r="O965" i="1"/>
  <c r="U965" i="1"/>
  <c r="Y965" i="1" s="1"/>
  <c r="V965" i="1"/>
  <c r="W965" i="1" s="1"/>
  <c r="Z965" i="1"/>
  <c r="A1215" i="1"/>
  <c r="C1215" i="1"/>
  <c r="B1215" i="1" s="1"/>
  <c r="F1215" i="1"/>
  <c r="M1215" i="1"/>
  <c r="O1215" i="1"/>
  <c r="U1215" i="1"/>
  <c r="Y1215" i="1" s="1"/>
  <c r="V1215" i="1"/>
  <c r="W1215" i="1" s="1"/>
  <c r="Z1215" i="1"/>
  <c r="A653" i="1"/>
  <c r="C653" i="1"/>
  <c r="B653" i="1" s="1"/>
  <c r="F653" i="1"/>
  <c r="M653" i="1"/>
  <c r="O653" i="1"/>
  <c r="U653" i="1"/>
  <c r="Y653" i="1" s="1"/>
  <c r="V653" i="1"/>
  <c r="W653" i="1" s="1"/>
  <c r="Z653" i="1"/>
  <c r="A723" i="1"/>
  <c r="C723" i="1"/>
  <c r="B723" i="1" s="1"/>
  <c r="F723" i="1"/>
  <c r="M723" i="1"/>
  <c r="O723" i="1"/>
  <c r="U723" i="1"/>
  <c r="Y723" i="1" s="1"/>
  <c r="V723" i="1"/>
  <c r="W723" i="1" s="1"/>
  <c r="Z723" i="1"/>
  <c r="A542" i="1"/>
  <c r="C542" i="1"/>
  <c r="B542" i="1" s="1"/>
  <c r="F542" i="1"/>
  <c r="M542" i="1"/>
  <c r="O542" i="1"/>
  <c r="U542" i="1"/>
  <c r="V542" i="1"/>
  <c r="W542" i="1" s="1"/>
  <c r="Z542" i="1"/>
  <c r="A944" i="1"/>
  <c r="C944" i="1"/>
  <c r="B944" i="1" s="1"/>
  <c r="F944" i="1"/>
  <c r="M944" i="1"/>
  <c r="O944" i="1"/>
  <c r="U944" i="1"/>
  <c r="Y944" i="1" s="1"/>
  <c r="V944" i="1"/>
  <c r="W944" i="1" s="1"/>
  <c r="Z944" i="1"/>
  <c r="A722" i="1"/>
  <c r="C722" i="1"/>
  <c r="B722" i="1" s="1"/>
  <c r="F722" i="1"/>
  <c r="M722" i="1"/>
  <c r="O722" i="1"/>
  <c r="U722" i="1"/>
  <c r="Y722" i="1" s="1"/>
  <c r="V722" i="1"/>
  <c r="W722" i="1" s="1"/>
  <c r="Z722" i="1"/>
  <c r="A721" i="1"/>
  <c r="C721" i="1"/>
  <c r="B721" i="1" s="1"/>
  <c r="F721" i="1"/>
  <c r="M721" i="1"/>
  <c r="O721" i="1"/>
  <c r="U721" i="1"/>
  <c r="Y721" i="1" s="1"/>
  <c r="V721" i="1"/>
  <c r="W721" i="1" s="1"/>
  <c r="Z721" i="1"/>
  <c r="A516" i="1"/>
  <c r="C516" i="1"/>
  <c r="B516" i="1" s="1"/>
  <c r="F516" i="1"/>
  <c r="M516" i="1"/>
  <c r="O516" i="1"/>
  <c r="U516" i="1"/>
  <c r="V516" i="1"/>
  <c r="W516" i="1" s="1"/>
  <c r="Z516" i="1"/>
  <c r="A515" i="1"/>
  <c r="C515" i="1"/>
  <c r="B515" i="1" s="1"/>
  <c r="F515" i="1"/>
  <c r="M515" i="1"/>
  <c r="O515" i="1"/>
  <c r="U515" i="1"/>
  <c r="Y515" i="1" s="1"/>
  <c r="V515" i="1"/>
  <c r="W515" i="1" s="1"/>
  <c r="Z515" i="1"/>
  <c r="A92" i="104"/>
  <c r="B92" i="104"/>
  <c r="C92" i="104"/>
  <c r="I91" i="104"/>
  <c r="A91" i="104"/>
  <c r="B91" i="104"/>
  <c r="C91" i="104"/>
  <c r="A1016" i="1"/>
  <c r="C1016" i="1"/>
  <c r="B1016" i="1" s="1"/>
  <c r="F1016" i="1"/>
  <c r="M1016" i="1"/>
  <c r="U1016" i="1"/>
  <c r="V1016" i="1"/>
  <c r="W1016" i="1" s="1"/>
  <c r="Z1016" i="1"/>
  <c r="A1186" i="1"/>
  <c r="C1186" i="1"/>
  <c r="B1186" i="1" s="1"/>
  <c r="F1186" i="1"/>
  <c r="M1186" i="1"/>
  <c r="O1186" i="1"/>
  <c r="U1186" i="1"/>
  <c r="Y1186" i="1" s="1"/>
  <c r="V1186" i="1"/>
  <c r="W1186" i="1" s="1"/>
  <c r="Z1186" i="1"/>
  <c r="A1166" i="1"/>
  <c r="C1166" i="1"/>
  <c r="B1166" i="1" s="1"/>
  <c r="F1166" i="1"/>
  <c r="M1166" i="1"/>
  <c r="O1166" i="1"/>
  <c r="U1166" i="1"/>
  <c r="Y1166" i="1" s="1"/>
  <c r="V1166" i="1"/>
  <c r="W1166" i="1" s="1"/>
  <c r="Z1166" i="1"/>
  <c r="A1165" i="1"/>
  <c r="C1165" i="1"/>
  <c r="B1165" i="1" s="1"/>
  <c r="F1165" i="1"/>
  <c r="M1165" i="1"/>
  <c r="O1165" i="1"/>
  <c r="U1165" i="1"/>
  <c r="Y1165" i="1" s="1"/>
  <c r="V1165" i="1"/>
  <c r="W1165" i="1" s="1"/>
  <c r="Z1165" i="1"/>
  <c r="A1130" i="1"/>
  <c r="C1130" i="1"/>
  <c r="B1130" i="1" s="1"/>
  <c r="F1130" i="1"/>
  <c r="M1130" i="1"/>
  <c r="O1130" i="1"/>
  <c r="U1130" i="1"/>
  <c r="Y1130" i="1" s="1"/>
  <c r="V1130" i="1"/>
  <c r="W1130" i="1" s="1"/>
  <c r="Z1130" i="1"/>
  <c r="A942" i="1"/>
  <c r="C942" i="1"/>
  <c r="B942" i="1" s="1"/>
  <c r="F942" i="1"/>
  <c r="M942" i="1"/>
  <c r="O942" i="1"/>
  <c r="U942" i="1"/>
  <c r="Y942" i="1" s="1"/>
  <c r="V942" i="1"/>
  <c r="W942" i="1" s="1"/>
  <c r="Z942" i="1"/>
  <c r="A941" i="1"/>
  <c r="C941" i="1"/>
  <c r="T941" i="1" s="1"/>
  <c r="F941" i="1"/>
  <c r="M941" i="1"/>
  <c r="O941" i="1"/>
  <c r="U941" i="1"/>
  <c r="Y941" i="1" s="1"/>
  <c r="V941" i="1"/>
  <c r="W941" i="1" s="1"/>
  <c r="Z941" i="1"/>
  <c r="A940" i="1"/>
  <c r="C940" i="1"/>
  <c r="B940" i="1" s="1"/>
  <c r="F940" i="1"/>
  <c r="M940" i="1"/>
  <c r="O940" i="1"/>
  <c r="U940" i="1"/>
  <c r="Y940" i="1" s="1"/>
  <c r="V940" i="1"/>
  <c r="W940" i="1" s="1"/>
  <c r="Z940" i="1"/>
  <c r="A943" i="1"/>
  <c r="C943" i="1"/>
  <c r="B943" i="1" s="1"/>
  <c r="F943" i="1"/>
  <c r="O943" i="1"/>
  <c r="U943" i="1"/>
  <c r="V943" i="1"/>
  <c r="W943" i="1" s="1"/>
  <c r="Z943" i="1"/>
  <c r="R104" i="1" l="1"/>
  <c r="R1048" i="1"/>
  <c r="R458" i="1"/>
  <c r="R108" i="1"/>
  <c r="R107" i="1"/>
  <c r="R855" i="1"/>
  <c r="Q454" i="1"/>
  <c r="Q453" i="1"/>
  <c r="Q452" i="1"/>
  <c r="R825" i="1"/>
  <c r="D825" i="1" s="1"/>
  <c r="R1197" i="1"/>
  <c r="D1197" i="1" s="1"/>
  <c r="R106" i="1"/>
  <c r="R1047" i="1"/>
  <c r="R1216" i="1"/>
  <c r="R856" i="1"/>
  <c r="R105" i="1"/>
  <c r="R1100" i="1"/>
  <c r="D1100" i="1" s="1"/>
  <c r="R457" i="1"/>
  <c r="R902" i="1"/>
  <c r="D902" i="1" s="1"/>
  <c r="T789" i="1"/>
  <c r="T816" i="1"/>
  <c r="X854" i="1"/>
  <c r="X816" i="1"/>
  <c r="T1016" i="1"/>
  <c r="T721" i="1"/>
  <c r="X723" i="1"/>
  <c r="X789" i="1"/>
  <c r="T724" i="1"/>
  <c r="X724" i="1"/>
  <c r="X965" i="1"/>
  <c r="T965" i="1"/>
  <c r="T1215" i="1"/>
  <c r="X1215" i="1"/>
  <c r="X653" i="1"/>
  <c r="T653" i="1"/>
  <c r="T723" i="1"/>
  <c r="T542" i="1"/>
  <c r="X542" i="1"/>
  <c r="Y542" i="1"/>
  <c r="X944" i="1"/>
  <c r="T516" i="1"/>
  <c r="T944" i="1"/>
  <c r="T722" i="1"/>
  <c r="X722" i="1"/>
  <c r="X721" i="1"/>
  <c r="T515" i="1"/>
  <c r="X515" i="1"/>
  <c r="X516" i="1"/>
  <c r="Y516" i="1"/>
  <c r="X1016" i="1"/>
  <c r="Y1016" i="1"/>
  <c r="X1186" i="1"/>
  <c r="T1186" i="1"/>
  <c r="B941" i="1"/>
  <c r="X1165" i="1"/>
  <c r="X1166" i="1"/>
  <c r="T1166" i="1"/>
  <c r="T1165" i="1"/>
  <c r="X1130" i="1"/>
  <c r="T942" i="1"/>
  <c r="X940" i="1"/>
  <c r="X942" i="1"/>
  <c r="T1130" i="1"/>
  <c r="X941" i="1"/>
  <c r="T943" i="1"/>
  <c r="T940" i="1"/>
  <c r="X943" i="1"/>
  <c r="Y943" i="1"/>
  <c r="A917" i="1"/>
  <c r="C917" i="1"/>
  <c r="B917" i="1" s="1"/>
  <c r="F917" i="1"/>
  <c r="M917" i="1"/>
  <c r="O917" i="1"/>
  <c r="U917" i="1"/>
  <c r="Y917" i="1" s="1"/>
  <c r="V917" i="1"/>
  <c r="W917" i="1" s="1"/>
  <c r="Z917" i="1"/>
  <c r="A778" i="1"/>
  <c r="C778" i="1"/>
  <c r="B778" i="1" s="1"/>
  <c r="F778" i="1"/>
  <c r="M778" i="1"/>
  <c r="O778" i="1"/>
  <c r="U778" i="1"/>
  <c r="Y778" i="1" s="1"/>
  <c r="V778" i="1"/>
  <c r="W778" i="1" s="1"/>
  <c r="Z778" i="1"/>
  <c r="A720" i="1"/>
  <c r="C720" i="1"/>
  <c r="B720" i="1" s="1"/>
  <c r="F720" i="1"/>
  <c r="M720" i="1"/>
  <c r="O720" i="1"/>
  <c r="U720" i="1"/>
  <c r="Y720" i="1" s="1"/>
  <c r="V720" i="1"/>
  <c r="W720" i="1" s="1"/>
  <c r="Z720" i="1"/>
  <c r="A531" i="1"/>
  <c r="C531" i="1"/>
  <c r="B531" i="1" s="1"/>
  <c r="F531" i="1"/>
  <c r="O531" i="1"/>
  <c r="U531" i="1"/>
  <c r="Y531" i="1" s="1"/>
  <c r="V531" i="1"/>
  <c r="W531" i="1" s="1"/>
  <c r="Z531" i="1"/>
  <c r="A614" i="1"/>
  <c r="C614" i="1"/>
  <c r="B614" i="1" s="1"/>
  <c r="F614" i="1"/>
  <c r="M614" i="1"/>
  <c r="O614" i="1"/>
  <c r="U614" i="1"/>
  <c r="Y614" i="1" s="1"/>
  <c r="V614" i="1"/>
  <c r="W614" i="1" s="1"/>
  <c r="Z614" i="1"/>
  <c r="A616" i="1"/>
  <c r="C616" i="1"/>
  <c r="B616" i="1" s="1"/>
  <c r="F616" i="1"/>
  <c r="M616" i="1"/>
  <c r="O616" i="1"/>
  <c r="U616" i="1"/>
  <c r="Y616" i="1" s="1"/>
  <c r="V616" i="1"/>
  <c r="W616" i="1" s="1"/>
  <c r="Z616" i="1"/>
  <c r="A615" i="1"/>
  <c r="C615" i="1"/>
  <c r="B615" i="1" s="1"/>
  <c r="F615" i="1"/>
  <c r="M615" i="1"/>
  <c r="O615" i="1"/>
  <c r="U615" i="1"/>
  <c r="Y615" i="1" s="1"/>
  <c r="V615" i="1"/>
  <c r="W615" i="1" s="1"/>
  <c r="Z615" i="1"/>
  <c r="A670" i="1"/>
  <c r="C670" i="1"/>
  <c r="B670" i="1" s="1"/>
  <c r="F670" i="1"/>
  <c r="M670" i="1"/>
  <c r="O670" i="1"/>
  <c r="U670" i="1"/>
  <c r="V670" i="1"/>
  <c r="W670" i="1" s="1"/>
  <c r="Z670" i="1"/>
  <c r="A456" i="1"/>
  <c r="C456" i="1"/>
  <c r="B456" i="1" s="1"/>
  <c r="F456" i="1"/>
  <c r="M456" i="1"/>
  <c r="O456" i="1"/>
  <c r="U456" i="1"/>
  <c r="Y456" i="1" s="1"/>
  <c r="V456" i="1"/>
  <c r="W456" i="1" s="1"/>
  <c r="Z456" i="1"/>
  <c r="A455" i="1"/>
  <c r="C455" i="1"/>
  <c r="B455" i="1" s="1"/>
  <c r="F455" i="1"/>
  <c r="M455" i="1"/>
  <c r="O455" i="1"/>
  <c r="U455" i="1"/>
  <c r="Y455" i="1" s="1"/>
  <c r="V455" i="1"/>
  <c r="W455" i="1" s="1"/>
  <c r="Z455" i="1"/>
  <c r="A26" i="104"/>
  <c r="B26" i="104"/>
  <c r="C26" i="104"/>
  <c r="I26" i="104"/>
  <c r="I27" i="104"/>
  <c r="A27" i="104"/>
  <c r="B27" i="104"/>
  <c r="C27" i="104"/>
  <c r="A422" i="1"/>
  <c r="C422" i="1"/>
  <c r="B422" i="1" s="1"/>
  <c r="F422" i="1"/>
  <c r="M422" i="1"/>
  <c r="O422" i="1"/>
  <c r="U422" i="1"/>
  <c r="Y422" i="1" s="1"/>
  <c r="V422" i="1"/>
  <c r="W422" i="1" s="1"/>
  <c r="Z422" i="1"/>
  <c r="A207" i="1"/>
  <c r="C207" i="1"/>
  <c r="B207" i="1" s="1"/>
  <c r="F207" i="1"/>
  <c r="M207" i="1"/>
  <c r="O207" i="1"/>
  <c r="T207" i="1"/>
  <c r="U207" i="1"/>
  <c r="Y207" i="1" s="1"/>
  <c r="V207" i="1"/>
  <c r="W207" i="1" s="1"/>
  <c r="Z207" i="1"/>
  <c r="A206" i="1"/>
  <c r="C206" i="1"/>
  <c r="B206" i="1" s="1"/>
  <c r="F206" i="1"/>
  <c r="M206" i="1"/>
  <c r="O206" i="1"/>
  <c r="S206" i="1"/>
  <c r="T206" i="1"/>
  <c r="U206" i="1"/>
  <c r="Y206" i="1" s="1"/>
  <c r="V206" i="1"/>
  <c r="W206" i="1" s="1"/>
  <c r="Z206" i="1"/>
  <c r="A355" i="1"/>
  <c r="C355" i="1"/>
  <c r="B355" i="1" s="1"/>
  <c r="F355" i="1"/>
  <c r="M355" i="1"/>
  <c r="O355" i="1"/>
  <c r="U355" i="1"/>
  <c r="V355" i="1"/>
  <c r="W355" i="1" s="1"/>
  <c r="Z355" i="1"/>
  <c r="A339" i="1"/>
  <c r="C339" i="1"/>
  <c r="B339" i="1" s="1"/>
  <c r="F339" i="1"/>
  <c r="M339" i="1"/>
  <c r="O339" i="1"/>
  <c r="U339" i="1"/>
  <c r="Y339" i="1" s="1"/>
  <c r="V339" i="1"/>
  <c r="W339" i="1" s="1"/>
  <c r="Z339" i="1"/>
  <c r="A338" i="1"/>
  <c r="C338" i="1"/>
  <c r="B338" i="1" s="1"/>
  <c r="F338" i="1"/>
  <c r="M338" i="1"/>
  <c r="O338" i="1"/>
  <c r="T338" i="1"/>
  <c r="U338" i="1"/>
  <c r="Y338" i="1" s="1"/>
  <c r="V338" i="1"/>
  <c r="W338" i="1" s="1"/>
  <c r="Z338" i="1"/>
  <c r="A53" i="1"/>
  <c r="C53" i="1"/>
  <c r="B53" i="1" s="1"/>
  <c r="F53" i="1"/>
  <c r="M53" i="1"/>
  <c r="O53" i="1"/>
  <c r="T53" i="1"/>
  <c r="U53" i="1"/>
  <c r="Y53" i="1" s="1"/>
  <c r="V53" i="1"/>
  <c r="W53" i="1" s="1"/>
  <c r="Z53" i="1"/>
  <c r="A54" i="1"/>
  <c r="C54" i="1"/>
  <c r="B54" i="1" s="1"/>
  <c r="F54" i="1"/>
  <c r="M54" i="1"/>
  <c r="O54" i="1"/>
  <c r="S54" i="1"/>
  <c r="T54" i="1"/>
  <c r="U54" i="1"/>
  <c r="Y54" i="1" s="1"/>
  <c r="V54" i="1"/>
  <c r="W54" i="1" s="1"/>
  <c r="Z54" i="1"/>
  <c r="A330" i="1"/>
  <c r="C330" i="1"/>
  <c r="B330" i="1" s="1"/>
  <c r="F330" i="1"/>
  <c r="M330" i="1"/>
  <c r="O330" i="1"/>
  <c r="S330" i="1"/>
  <c r="T330" i="1"/>
  <c r="U330" i="1"/>
  <c r="Y330" i="1" s="1"/>
  <c r="V330" i="1"/>
  <c r="W330" i="1" s="1"/>
  <c r="Z330" i="1"/>
  <c r="A261" i="1"/>
  <c r="C261" i="1"/>
  <c r="B261" i="1" s="1"/>
  <c r="F261" i="1"/>
  <c r="M261" i="1"/>
  <c r="O261" i="1"/>
  <c r="U261" i="1"/>
  <c r="Y261" i="1" s="1"/>
  <c r="V261" i="1"/>
  <c r="W261" i="1" s="1"/>
  <c r="Z261" i="1"/>
  <c r="A7" i="1"/>
  <c r="C7" i="1"/>
  <c r="B7" i="1" s="1"/>
  <c r="F7" i="1"/>
  <c r="M7" i="1"/>
  <c r="O7" i="1"/>
  <c r="U7" i="1"/>
  <c r="Y7" i="1" s="1"/>
  <c r="V7" i="1"/>
  <c r="W7" i="1" s="1"/>
  <c r="Z7" i="1"/>
  <c r="A313" i="1"/>
  <c r="C313" i="1"/>
  <c r="B313" i="1" s="1"/>
  <c r="F313" i="1"/>
  <c r="M313" i="1"/>
  <c r="O313" i="1"/>
  <c r="U313" i="1"/>
  <c r="Y313" i="1" s="1"/>
  <c r="V313" i="1"/>
  <c r="W313" i="1" s="1"/>
  <c r="Z313" i="1"/>
  <c r="A853" i="1"/>
  <c r="C853" i="1"/>
  <c r="B853" i="1" s="1"/>
  <c r="F853" i="1"/>
  <c r="M853" i="1"/>
  <c r="O853" i="1"/>
  <c r="U853" i="1"/>
  <c r="V853" i="1"/>
  <c r="W853" i="1" s="1"/>
  <c r="Z853" i="1"/>
  <c r="A585" i="1"/>
  <c r="C585" i="1"/>
  <c r="B585" i="1" s="1"/>
  <c r="F585" i="1"/>
  <c r="M585" i="1"/>
  <c r="O585" i="1"/>
  <c r="U585" i="1"/>
  <c r="Y585" i="1" s="1"/>
  <c r="V585" i="1"/>
  <c r="W585" i="1" s="1"/>
  <c r="Z585" i="1"/>
  <c r="A991" i="1"/>
  <c r="C991" i="1"/>
  <c r="B991" i="1" s="1"/>
  <c r="D991" i="1"/>
  <c r="F991" i="1"/>
  <c r="M991" i="1"/>
  <c r="O991" i="1"/>
  <c r="S991" i="1"/>
  <c r="T991" i="1"/>
  <c r="U991" i="1"/>
  <c r="Y991" i="1" s="1"/>
  <c r="V991" i="1"/>
  <c r="W991" i="1" s="1"/>
  <c r="Z991" i="1"/>
  <c r="A298" i="1"/>
  <c r="C298" i="1"/>
  <c r="B298" i="1" s="1"/>
  <c r="F298" i="1"/>
  <c r="M298" i="1"/>
  <c r="O298" i="1"/>
  <c r="U298" i="1"/>
  <c r="V298" i="1"/>
  <c r="W298" i="1" s="1"/>
  <c r="Z298" i="1"/>
  <c r="A103" i="1"/>
  <c r="C103" i="1"/>
  <c r="B103" i="1" s="1"/>
  <c r="F103" i="1"/>
  <c r="M103" i="1"/>
  <c r="O103" i="1"/>
  <c r="S103" i="1"/>
  <c r="T103" i="1"/>
  <c r="U103" i="1"/>
  <c r="V103" i="1"/>
  <c r="W103" i="1" s="1"/>
  <c r="Z103" i="1"/>
  <c r="R453" i="1" l="1"/>
  <c r="P940" i="1"/>
  <c r="P721" i="1"/>
  <c r="P1215" i="1"/>
  <c r="P724" i="1"/>
  <c r="P942" i="1"/>
  <c r="P653" i="1"/>
  <c r="P965" i="1"/>
  <c r="P723" i="1"/>
  <c r="P854" i="1"/>
  <c r="P941" i="1"/>
  <c r="P1166" i="1"/>
  <c r="P1186" i="1"/>
  <c r="P722" i="1"/>
  <c r="P944" i="1"/>
  <c r="R452" i="1"/>
  <c r="R454" i="1"/>
  <c r="P943" i="1"/>
  <c r="P1130" i="1"/>
  <c r="P1165" i="1"/>
  <c r="P515" i="1"/>
  <c r="P789" i="1"/>
  <c r="P816" i="1"/>
  <c r="D1132" i="1"/>
  <c r="D1134" i="1"/>
  <c r="D1130" i="1"/>
  <c r="D1131" i="1"/>
  <c r="D1186" i="1"/>
  <c r="D1187" i="1"/>
  <c r="P542" i="1"/>
  <c r="P516" i="1"/>
  <c r="P1016" i="1"/>
  <c r="T917" i="1"/>
  <c r="T616" i="1"/>
  <c r="X917" i="1"/>
  <c r="T615" i="1"/>
  <c r="T531" i="1"/>
  <c r="T778" i="1"/>
  <c r="X778" i="1"/>
  <c r="T720" i="1"/>
  <c r="X720" i="1"/>
  <c r="P720" i="1" s="1"/>
  <c r="T422" i="1"/>
  <c r="X531" i="1"/>
  <c r="X615" i="1"/>
  <c r="T614" i="1"/>
  <c r="X614" i="1"/>
  <c r="X616" i="1"/>
  <c r="X670" i="1"/>
  <c r="T670" i="1"/>
  <c r="Y670" i="1"/>
  <c r="T456" i="1"/>
  <c r="X455" i="1"/>
  <c r="X456" i="1"/>
  <c r="T339" i="1"/>
  <c r="T455" i="1"/>
  <c r="X422" i="1"/>
  <c r="X207" i="1"/>
  <c r="X206" i="1"/>
  <c r="T261" i="1"/>
  <c r="X355" i="1"/>
  <c r="T355" i="1"/>
  <c r="T298" i="1"/>
  <c r="X339" i="1"/>
  <c r="X7" i="1"/>
  <c r="Y355" i="1"/>
  <c r="X261" i="1"/>
  <c r="X53" i="1"/>
  <c r="X338" i="1"/>
  <c r="X54" i="1"/>
  <c r="X330" i="1"/>
  <c r="T7" i="1"/>
  <c r="X313" i="1"/>
  <c r="T313" i="1"/>
  <c r="X853" i="1"/>
  <c r="Y853" i="1"/>
  <c r="T853" i="1"/>
  <c r="X585" i="1"/>
  <c r="T585" i="1"/>
  <c r="X991" i="1"/>
  <c r="X298" i="1"/>
  <c r="Y298" i="1"/>
  <c r="X103" i="1"/>
  <c r="Y103" i="1"/>
  <c r="A374" i="1"/>
  <c r="C374" i="1"/>
  <c r="B374" i="1" s="1"/>
  <c r="F374" i="1"/>
  <c r="M374" i="1"/>
  <c r="O374" i="1"/>
  <c r="U374" i="1"/>
  <c r="Y374" i="1" s="1"/>
  <c r="V374" i="1"/>
  <c r="W374" i="1" s="1"/>
  <c r="Z374" i="1"/>
  <c r="A373" i="1"/>
  <c r="C373" i="1"/>
  <c r="B373" i="1" s="1"/>
  <c r="F373" i="1"/>
  <c r="M373" i="1"/>
  <c r="O373" i="1"/>
  <c r="U373" i="1"/>
  <c r="V373" i="1"/>
  <c r="W373" i="1" s="1"/>
  <c r="Z373" i="1"/>
  <c r="A372" i="1"/>
  <c r="C372" i="1"/>
  <c r="B372" i="1" s="1"/>
  <c r="F372" i="1"/>
  <c r="M372" i="1"/>
  <c r="O372" i="1"/>
  <c r="U372" i="1"/>
  <c r="Y372" i="1" s="1"/>
  <c r="V372" i="1"/>
  <c r="W372" i="1" s="1"/>
  <c r="Z372" i="1"/>
  <c r="A205" i="1"/>
  <c r="C205" i="1"/>
  <c r="B205" i="1" s="1"/>
  <c r="D205" i="1"/>
  <c r="F205" i="1"/>
  <c r="M205" i="1"/>
  <c r="O205" i="1"/>
  <c r="S205" i="1"/>
  <c r="T205" i="1"/>
  <c r="U205" i="1"/>
  <c r="Y205" i="1" s="1"/>
  <c r="V205" i="1"/>
  <c r="W205" i="1" s="1"/>
  <c r="Z205" i="1"/>
  <c r="A51" i="1"/>
  <c r="C51" i="1"/>
  <c r="B51" i="1" s="1"/>
  <c r="F51" i="1"/>
  <c r="M51" i="1"/>
  <c r="O51" i="1"/>
  <c r="S51" i="1"/>
  <c r="T51" i="1"/>
  <c r="U51" i="1"/>
  <c r="Y51" i="1" s="1"/>
  <c r="V51" i="1"/>
  <c r="W51" i="1" s="1"/>
  <c r="Z51" i="1"/>
  <c r="A52" i="1"/>
  <c r="C52" i="1"/>
  <c r="B52" i="1" s="1"/>
  <c r="F52" i="1"/>
  <c r="M52" i="1"/>
  <c r="O52" i="1"/>
  <c r="U52" i="1"/>
  <c r="Y52" i="1" s="1"/>
  <c r="V52" i="1"/>
  <c r="W52" i="1" s="1"/>
  <c r="Z52" i="1"/>
  <c r="A410" i="1"/>
  <c r="C410" i="1"/>
  <c r="B410" i="1" s="1"/>
  <c r="F410" i="1"/>
  <c r="M410" i="1"/>
  <c r="O410" i="1"/>
  <c r="U410" i="1"/>
  <c r="Y410" i="1" s="1"/>
  <c r="V410" i="1"/>
  <c r="W410" i="1" s="1"/>
  <c r="Z410" i="1"/>
  <c r="A278" i="1"/>
  <c r="C278" i="1"/>
  <c r="B278" i="1" s="1"/>
  <c r="F278" i="1"/>
  <c r="M278" i="1"/>
  <c r="O278" i="1"/>
  <c r="U278" i="1"/>
  <c r="Y278" i="1" s="1"/>
  <c r="V278" i="1"/>
  <c r="W278" i="1" s="1"/>
  <c r="Z278" i="1"/>
  <c r="A5" i="1"/>
  <c r="C5" i="1"/>
  <c r="B5" i="1" s="1"/>
  <c r="F5" i="1"/>
  <c r="M5" i="1"/>
  <c r="O5" i="1"/>
  <c r="U5" i="1"/>
  <c r="Y5" i="1" s="1"/>
  <c r="V5" i="1"/>
  <c r="W5" i="1" s="1"/>
  <c r="Z5" i="1"/>
  <c r="A1213" i="1"/>
  <c r="C1213" i="1"/>
  <c r="B1213" i="1" s="1"/>
  <c r="F1213" i="1"/>
  <c r="M1213" i="1"/>
  <c r="O1213" i="1"/>
  <c r="U1213" i="1"/>
  <c r="Y1213" i="1" s="1"/>
  <c r="V1213" i="1"/>
  <c r="W1213" i="1" s="1"/>
  <c r="Z1213" i="1"/>
  <c r="A1214" i="1"/>
  <c r="C1214" i="1"/>
  <c r="T1214" i="1" s="1"/>
  <c r="F1214" i="1"/>
  <c r="M1214" i="1"/>
  <c r="O1214" i="1"/>
  <c r="U1214" i="1"/>
  <c r="Y1214" i="1" s="1"/>
  <c r="V1214" i="1"/>
  <c r="W1214" i="1" s="1"/>
  <c r="Z1214" i="1"/>
  <c r="A1164" i="1"/>
  <c r="C1164" i="1"/>
  <c r="B1164" i="1" s="1"/>
  <c r="F1164" i="1"/>
  <c r="M1164" i="1"/>
  <c r="O1164" i="1"/>
  <c r="U1164" i="1"/>
  <c r="Y1164" i="1" s="1"/>
  <c r="V1164" i="1"/>
  <c r="W1164" i="1" s="1"/>
  <c r="Z1164" i="1"/>
  <c r="A1030" i="1"/>
  <c r="C1030" i="1"/>
  <c r="T1030" i="1" s="1"/>
  <c r="F1030" i="1"/>
  <c r="M1030" i="1"/>
  <c r="O1030" i="1"/>
  <c r="U1030" i="1"/>
  <c r="Y1030" i="1" s="1"/>
  <c r="V1030" i="1"/>
  <c r="W1030" i="1" s="1"/>
  <c r="Z1030" i="1"/>
  <c r="A698" i="1"/>
  <c r="C698" i="1"/>
  <c r="B698" i="1" s="1"/>
  <c r="F698" i="1"/>
  <c r="M698" i="1"/>
  <c r="O698" i="1"/>
  <c r="U698" i="1"/>
  <c r="Y698" i="1" s="1"/>
  <c r="V698" i="1"/>
  <c r="W698" i="1" s="1"/>
  <c r="Z698" i="1"/>
  <c r="A688" i="1"/>
  <c r="C688" i="1"/>
  <c r="B688" i="1" s="1"/>
  <c r="F688" i="1"/>
  <c r="M688" i="1"/>
  <c r="O688" i="1"/>
  <c r="U688" i="1"/>
  <c r="Y688" i="1" s="1"/>
  <c r="V688" i="1"/>
  <c r="W688" i="1" s="1"/>
  <c r="Z688" i="1"/>
  <c r="A689" i="1"/>
  <c r="C689" i="1"/>
  <c r="B689" i="1" s="1"/>
  <c r="F689" i="1"/>
  <c r="M689" i="1"/>
  <c r="O689" i="1"/>
  <c r="U689" i="1"/>
  <c r="Y689" i="1" s="1"/>
  <c r="V689" i="1"/>
  <c r="W689" i="1" s="1"/>
  <c r="Z689" i="1"/>
  <c r="A652" i="1"/>
  <c r="C652" i="1"/>
  <c r="B652" i="1" s="1"/>
  <c r="F652" i="1"/>
  <c r="M652" i="1"/>
  <c r="O652" i="1"/>
  <c r="U652" i="1"/>
  <c r="Y652" i="1" s="1"/>
  <c r="V652" i="1"/>
  <c r="W652" i="1" s="1"/>
  <c r="Z652" i="1"/>
  <c r="A901" i="1"/>
  <c r="C901" i="1"/>
  <c r="B901" i="1" s="1"/>
  <c r="F901" i="1"/>
  <c r="M901" i="1"/>
  <c r="S901" i="1"/>
  <c r="T901" i="1"/>
  <c r="U901" i="1"/>
  <c r="Y901" i="1" s="1"/>
  <c r="V901" i="1"/>
  <c r="W901" i="1" s="1"/>
  <c r="Z901" i="1"/>
  <c r="E297" i="6"/>
  <c r="F297" i="6"/>
  <c r="I297" i="6"/>
  <c r="J297" i="6"/>
  <c r="E82" i="6"/>
  <c r="F82" i="6"/>
  <c r="I82" i="6"/>
  <c r="J82" i="6"/>
  <c r="E30" i="6"/>
  <c r="E335" i="6"/>
  <c r="F30" i="6"/>
  <c r="F335" i="6"/>
  <c r="I30" i="6"/>
  <c r="I335" i="6"/>
  <c r="J30" i="6"/>
  <c r="J335" i="6"/>
  <c r="E275" i="6"/>
  <c r="F275" i="6"/>
  <c r="I275" i="6"/>
  <c r="J275" i="6"/>
  <c r="A231" i="1"/>
  <c r="C231" i="1"/>
  <c r="B231" i="1" s="1"/>
  <c r="D231" i="1"/>
  <c r="F231" i="1"/>
  <c r="M231" i="1"/>
  <c r="O231" i="1"/>
  <c r="S231" i="1"/>
  <c r="T231" i="1"/>
  <c r="U231" i="1"/>
  <c r="Y231" i="1" s="1"/>
  <c r="V231" i="1"/>
  <c r="W231" i="1" s="1"/>
  <c r="Z231" i="1"/>
  <c r="A794" i="1"/>
  <c r="C794" i="1"/>
  <c r="B794" i="1" s="1"/>
  <c r="D794" i="1"/>
  <c r="F794" i="1"/>
  <c r="M794" i="1"/>
  <c r="O794" i="1"/>
  <c r="S794" i="1"/>
  <c r="T794" i="1"/>
  <c r="U794" i="1"/>
  <c r="Y794" i="1" s="1"/>
  <c r="V794" i="1"/>
  <c r="W794" i="1" s="1"/>
  <c r="Z794" i="1"/>
  <c r="M1099" i="1"/>
  <c r="A1099" i="1"/>
  <c r="C1099" i="1"/>
  <c r="B1099" i="1" s="1"/>
  <c r="D1099" i="1"/>
  <c r="F1099" i="1"/>
  <c r="O1099" i="1"/>
  <c r="S1099" i="1"/>
  <c r="T1099" i="1"/>
  <c r="U1099" i="1"/>
  <c r="V1099" i="1"/>
  <c r="W1099" i="1" s="1"/>
  <c r="Z1099" i="1"/>
  <c r="P991" i="1" l="1"/>
  <c r="P53" i="1"/>
  <c r="P339" i="1"/>
  <c r="P616" i="1"/>
  <c r="P531" i="1"/>
  <c r="P778" i="1"/>
  <c r="P917" i="1"/>
  <c r="Q516" i="1"/>
  <c r="Q724" i="1"/>
  <c r="Q721" i="1"/>
  <c r="P330" i="1"/>
  <c r="P261" i="1"/>
  <c r="P206" i="1"/>
  <c r="P614" i="1"/>
  <c r="Q542" i="1"/>
  <c r="Q816" i="1"/>
  <c r="Q515" i="1"/>
  <c r="Q1130" i="1"/>
  <c r="Q944" i="1"/>
  <c r="Q1186" i="1"/>
  <c r="Q941" i="1"/>
  <c r="Q854" i="1"/>
  <c r="Q965" i="1"/>
  <c r="Q942" i="1"/>
  <c r="R585" i="1"/>
  <c r="D587" i="1" s="1"/>
  <c r="P54" i="1"/>
  <c r="P207" i="1"/>
  <c r="P456" i="1"/>
  <c r="Q720" i="1"/>
  <c r="Q1215" i="1"/>
  <c r="Q940" i="1"/>
  <c r="P313" i="1"/>
  <c r="P338" i="1"/>
  <c r="P7" i="1"/>
  <c r="P422" i="1"/>
  <c r="P455" i="1"/>
  <c r="P615" i="1"/>
  <c r="Q1016" i="1"/>
  <c r="Q789" i="1"/>
  <c r="Q1165" i="1"/>
  <c r="Q943" i="1"/>
  <c r="Q722" i="1"/>
  <c r="Q1166" i="1"/>
  <c r="Q723" i="1"/>
  <c r="Q653" i="1"/>
  <c r="D7" i="1"/>
  <c r="D727" i="1"/>
  <c r="D728" i="1"/>
  <c r="D543" i="1"/>
  <c r="D544" i="1"/>
  <c r="D617" i="1"/>
  <c r="D1016" i="1"/>
  <c r="D1017" i="1"/>
  <c r="D778" i="1"/>
  <c r="D779" i="1"/>
  <c r="D725" i="1"/>
  <c r="D726" i="1"/>
  <c r="T5" i="1"/>
  <c r="D585" i="1"/>
  <c r="D586" i="1"/>
  <c r="P670" i="1"/>
  <c r="D614" i="1"/>
  <c r="D615" i="1"/>
  <c r="D616" i="1"/>
  <c r="P355" i="1"/>
  <c r="D206" i="1"/>
  <c r="T374" i="1"/>
  <c r="D338" i="1"/>
  <c r="P853" i="1"/>
  <c r="T373" i="1"/>
  <c r="T372" i="1"/>
  <c r="T278" i="1"/>
  <c r="P298" i="1"/>
  <c r="T410" i="1"/>
  <c r="P103" i="1"/>
  <c r="T1213" i="1"/>
  <c r="X373" i="1"/>
  <c r="X374" i="1"/>
  <c r="X205" i="1"/>
  <c r="Y373" i="1"/>
  <c r="X372" i="1"/>
  <c r="T1164" i="1"/>
  <c r="X51" i="1"/>
  <c r="B1030" i="1"/>
  <c r="B1214" i="1"/>
  <c r="T52" i="1"/>
  <c r="X52" i="1"/>
  <c r="X410" i="1"/>
  <c r="X278" i="1"/>
  <c r="T689" i="1"/>
  <c r="X1164" i="1"/>
  <c r="X5" i="1"/>
  <c r="X1213" i="1"/>
  <c r="X1214" i="1"/>
  <c r="X1030" i="1"/>
  <c r="T698" i="1"/>
  <c r="T652" i="1"/>
  <c r="X698" i="1"/>
  <c r="T688" i="1"/>
  <c r="X688" i="1"/>
  <c r="X689" i="1"/>
  <c r="X652" i="1"/>
  <c r="X901" i="1"/>
  <c r="X794" i="1"/>
  <c r="X1099" i="1"/>
  <c r="X231" i="1"/>
  <c r="R794" i="1"/>
  <c r="Y1099" i="1"/>
  <c r="P901" i="1" l="1"/>
  <c r="P1030" i="1"/>
  <c r="P1164" i="1"/>
  <c r="P52" i="1"/>
  <c r="P51" i="1"/>
  <c r="P205" i="1"/>
  <c r="Q103" i="1"/>
  <c r="P231" i="1"/>
  <c r="P652" i="1"/>
  <c r="P698" i="1"/>
  <c r="P1214" i="1"/>
  <c r="P374" i="1"/>
  <c r="R723" i="1"/>
  <c r="R722" i="1"/>
  <c r="R1165" i="1"/>
  <c r="R1016" i="1"/>
  <c r="D300" i="1" s="1"/>
  <c r="Q455" i="1"/>
  <c r="Q7" i="1"/>
  <c r="Q313" i="1"/>
  <c r="R940" i="1"/>
  <c r="R720" i="1"/>
  <c r="Q207" i="1"/>
  <c r="R942" i="1"/>
  <c r="R854" i="1"/>
  <c r="D854" i="1" s="1"/>
  <c r="R1186" i="1"/>
  <c r="R1130" i="1"/>
  <c r="D1133" i="1" s="1"/>
  <c r="R816" i="1"/>
  <c r="D816" i="1" s="1"/>
  <c r="Q614" i="1"/>
  <c r="Q261" i="1"/>
  <c r="R724" i="1"/>
  <c r="Q917" i="1"/>
  <c r="Q531" i="1"/>
  <c r="Q339" i="1"/>
  <c r="Q991" i="1"/>
  <c r="P689" i="1"/>
  <c r="P1213" i="1"/>
  <c r="P278" i="1"/>
  <c r="P372" i="1"/>
  <c r="Q298" i="1"/>
  <c r="Q853" i="1"/>
  <c r="Q355" i="1"/>
  <c r="Q670" i="1"/>
  <c r="P688" i="1"/>
  <c r="P5" i="1"/>
  <c r="P410" i="1"/>
  <c r="R653" i="1"/>
  <c r="R1166" i="1"/>
  <c r="D1167" i="1" s="1"/>
  <c r="R943" i="1"/>
  <c r="R789" i="1"/>
  <c r="D789" i="1" s="1"/>
  <c r="Q615" i="1"/>
  <c r="Q422" i="1"/>
  <c r="Q338" i="1"/>
  <c r="R1215" i="1"/>
  <c r="Q456" i="1"/>
  <c r="Q54" i="1"/>
  <c r="R965" i="1"/>
  <c r="R941" i="1"/>
  <c r="R944" i="1"/>
  <c r="R515" i="1"/>
  <c r="R542" i="1"/>
  <c r="Q206" i="1"/>
  <c r="Q330" i="1"/>
  <c r="R721" i="1"/>
  <c r="R516" i="1"/>
  <c r="Q778" i="1"/>
  <c r="Q616" i="1"/>
  <c r="Q53" i="1"/>
  <c r="D5" i="1"/>
  <c r="D410" i="1"/>
  <c r="D411" i="1"/>
  <c r="D652" i="1"/>
  <c r="D653" i="1"/>
  <c r="D1030" i="1"/>
  <c r="D313" i="1"/>
  <c r="P373" i="1"/>
  <c r="D52" i="1"/>
  <c r="D51" i="1"/>
  <c r="P1099" i="1"/>
  <c r="Q373" i="1" l="1"/>
  <c r="Q1099" i="1"/>
  <c r="R616" i="1"/>
  <c r="R330" i="1"/>
  <c r="D330" i="1" s="1"/>
  <c r="R456" i="1"/>
  <c r="R338" i="1"/>
  <c r="R615" i="1"/>
  <c r="Q5" i="1"/>
  <c r="R670" i="1"/>
  <c r="D670" i="1" s="1"/>
  <c r="R853" i="1"/>
  <c r="D853" i="1" s="1"/>
  <c r="Q372" i="1"/>
  <c r="Q1213" i="1"/>
  <c r="R991" i="1"/>
  <c r="R531" i="1"/>
  <c r="R614" i="1"/>
  <c r="R207" i="1"/>
  <c r="D207" i="1" s="1"/>
  <c r="R7" i="1"/>
  <c r="Q374" i="1"/>
  <c r="Q698" i="1"/>
  <c r="Q231" i="1"/>
  <c r="Q205" i="1"/>
  <c r="Q52" i="1"/>
  <c r="Q1030" i="1"/>
  <c r="R53" i="1"/>
  <c r="D53" i="1" s="1"/>
  <c r="R778" i="1"/>
  <c r="R206" i="1"/>
  <c r="R54" i="1"/>
  <c r="D54" i="1" s="1"/>
  <c r="R422" i="1"/>
  <c r="D422" i="1" s="1"/>
  <c r="Q410" i="1"/>
  <c r="Q688" i="1"/>
  <c r="R355" i="1"/>
  <c r="D355" i="1" s="1"/>
  <c r="R298" i="1"/>
  <c r="D298" i="1" s="1"/>
  <c r="Q278" i="1"/>
  <c r="Q689" i="1"/>
  <c r="R339" i="1"/>
  <c r="D339" i="1" s="1"/>
  <c r="R917" i="1"/>
  <c r="D917" i="1" s="1"/>
  <c r="R261" i="1"/>
  <c r="D261" i="1" s="1"/>
  <c r="R313" i="1"/>
  <c r="R455" i="1"/>
  <c r="Q1214" i="1"/>
  <c r="Q652" i="1"/>
  <c r="R103" i="1"/>
  <c r="D103" i="1" s="1"/>
  <c r="Q51" i="1"/>
  <c r="Q1164" i="1"/>
  <c r="Q901" i="1"/>
  <c r="A838" i="1"/>
  <c r="C838" i="1"/>
  <c r="B838" i="1" s="1"/>
  <c r="F838" i="1"/>
  <c r="M838" i="1"/>
  <c r="O838" i="1"/>
  <c r="T838" i="1"/>
  <c r="U838" i="1"/>
  <c r="Y838" i="1" s="1"/>
  <c r="V838" i="1"/>
  <c r="W838" i="1" s="1"/>
  <c r="Z838" i="1"/>
  <c r="A837" i="1"/>
  <c r="C837" i="1"/>
  <c r="B837" i="1" s="1"/>
  <c r="F837" i="1"/>
  <c r="M837" i="1"/>
  <c r="O837" i="1"/>
  <c r="U837" i="1"/>
  <c r="Y837" i="1" s="1"/>
  <c r="V837" i="1"/>
  <c r="W837" i="1" s="1"/>
  <c r="Z837" i="1"/>
  <c r="A836" i="1"/>
  <c r="C836" i="1"/>
  <c r="B836" i="1" s="1"/>
  <c r="F836" i="1"/>
  <c r="M836" i="1"/>
  <c r="O836" i="1"/>
  <c r="S836" i="1"/>
  <c r="T836" i="1"/>
  <c r="U836" i="1"/>
  <c r="Y836" i="1" s="1"/>
  <c r="V836" i="1"/>
  <c r="W836" i="1" s="1"/>
  <c r="Z836" i="1"/>
  <c r="A824" i="1"/>
  <c r="C824" i="1"/>
  <c r="B824" i="1" s="1"/>
  <c r="F824" i="1"/>
  <c r="M824" i="1"/>
  <c r="T824" i="1"/>
  <c r="U824" i="1"/>
  <c r="Y824" i="1" s="1"/>
  <c r="V824" i="1"/>
  <c r="W824" i="1" s="1"/>
  <c r="Z824" i="1"/>
  <c r="E274" i="6"/>
  <c r="F274" i="6"/>
  <c r="I274" i="6"/>
  <c r="J274" i="6"/>
  <c r="E440" i="6"/>
  <c r="F440" i="6"/>
  <c r="I440" i="6"/>
  <c r="J440" i="6"/>
  <c r="E442" i="6"/>
  <c r="F442" i="6"/>
  <c r="I442" i="6"/>
  <c r="J442" i="6"/>
  <c r="E422" i="6"/>
  <c r="F422" i="6"/>
  <c r="I422" i="6"/>
  <c r="J422" i="6"/>
  <c r="E441" i="6"/>
  <c r="F441" i="6"/>
  <c r="I441" i="6"/>
  <c r="J441" i="6"/>
  <c r="E472" i="6"/>
  <c r="E666" i="6"/>
  <c r="E653" i="6"/>
  <c r="E679" i="6"/>
  <c r="F472" i="6"/>
  <c r="I472" i="6"/>
  <c r="I666" i="6"/>
  <c r="I653" i="6"/>
  <c r="I679" i="6"/>
  <c r="J472" i="6"/>
  <c r="J666" i="6"/>
  <c r="J653" i="6"/>
  <c r="J679" i="6"/>
  <c r="E483" i="6"/>
  <c r="E29" i="6"/>
  <c r="E81" i="6"/>
  <c r="E137" i="6"/>
  <c r="E207" i="6"/>
  <c r="E273" i="6"/>
  <c r="E296" i="6"/>
  <c r="E334" i="6"/>
  <c r="E504" i="6"/>
  <c r="E593" i="6"/>
  <c r="E398" i="6"/>
  <c r="E399" i="6"/>
  <c r="F483" i="6"/>
  <c r="F29" i="6"/>
  <c r="F81" i="6"/>
  <c r="F273" i="6"/>
  <c r="F296" i="6"/>
  <c r="F334" i="6"/>
  <c r="F504" i="6"/>
  <c r="F398" i="6"/>
  <c r="F399" i="6"/>
  <c r="I483" i="6"/>
  <c r="I29" i="6"/>
  <c r="I81" i="6"/>
  <c r="I137" i="6"/>
  <c r="I207" i="6"/>
  <c r="I273" i="6"/>
  <c r="I296" i="6"/>
  <c r="I334" i="6"/>
  <c r="I504" i="6"/>
  <c r="I593" i="6"/>
  <c r="I398" i="6"/>
  <c r="I399" i="6"/>
  <c r="J483" i="6"/>
  <c r="J29" i="6"/>
  <c r="J81" i="6"/>
  <c r="J137" i="6"/>
  <c r="J207" i="6"/>
  <c r="J273" i="6"/>
  <c r="J296" i="6"/>
  <c r="J334" i="6"/>
  <c r="J504" i="6"/>
  <c r="J593" i="6"/>
  <c r="J398" i="6"/>
  <c r="J399" i="6"/>
  <c r="A852" i="1"/>
  <c r="C852" i="1"/>
  <c r="B852" i="1" s="1"/>
  <c r="F852" i="1"/>
  <c r="M852" i="1"/>
  <c r="O852" i="1"/>
  <c r="U852" i="1"/>
  <c r="Y852" i="1" s="1"/>
  <c r="V852" i="1"/>
  <c r="W852" i="1" s="1"/>
  <c r="Z852" i="1"/>
  <c r="A22" i="104"/>
  <c r="B22" i="104"/>
  <c r="C22" i="104"/>
  <c r="I22" i="104"/>
  <c r="I23" i="104"/>
  <c r="I24" i="104"/>
  <c r="I25" i="104"/>
  <c r="A24" i="104"/>
  <c r="A25" i="104"/>
  <c r="B24" i="104"/>
  <c r="B25" i="104"/>
  <c r="C24" i="104"/>
  <c r="C25" i="104"/>
  <c r="A23" i="104"/>
  <c r="B23" i="104"/>
  <c r="C23" i="104"/>
  <c r="A851" i="1"/>
  <c r="C851" i="1"/>
  <c r="B851" i="1" s="1"/>
  <c r="F851" i="1"/>
  <c r="M851" i="1"/>
  <c r="O851" i="1"/>
  <c r="U851" i="1"/>
  <c r="Y851" i="1" s="1"/>
  <c r="V851" i="1"/>
  <c r="W851" i="1" s="1"/>
  <c r="Z851" i="1"/>
  <c r="A606" i="1"/>
  <c r="C606" i="1"/>
  <c r="B606" i="1" s="1"/>
  <c r="F606" i="1"/>
  <c r="M606" i="1"/>
  <c r="O606" i="1"/>
  <c r="S606" i="1"/>
  <c r="T606" i="1"/>
  <c r="U606" i="1"/>
  <c r="Y606" i="1" s="1"/>
  <c r="V606" i="1"/>
  <c r="W606" i="1" s="1"/>
  <c r="Z606" i="1"/>
  <c r="A514" i="1"/>
  <c r="C514" i="1"/>
  <c r="T514" i="1" s="1"/>
  <c r="F514" i="1"/>
  <c r="M514" i="1"/>
  <c r="O514" i="1"/>
  <c r="U514" i="1"/>
  <c r="Y514" i="1" s="1"/>
  <c r="V514" i="1"/>
  <c r="W514" i="1" s="1"/>
  <c r="Z514" i="1"/>
  <c r="I90" i="104"/>
  <c r="A90" i="104"/>
  <c r="B90" i="104"/>
  <c r="C90" i="104"/>
  <c r="A451" i="1"/>
  <c r="C451" i="1"/>
  <c r="B451" i="1" s="1"/>
  <c r="F451" i="1"/>
  <c r="M451" i="1"/>
  <c r="O451" i="1"/>
  <c r="U451" i="1"/>
  <c r="Y451" i="1" s="1"/>
  <c r="V451" i="1"/>
  <c r="W451" i="1" s="1"/>
  <c r="Z451" i="1"/>
  <c r="I28" i="104"/>
  <c r="A28" i="104"/>
  <c r="B28" i="104"/>
  <c r="C28" i="104"/>
  <c r="A584" i="1"/>
  <c r="C584" i="1"/>
  <c r="B584" i="1" s="1"/>
  <c r="F584" i="1"/>
  <c r="M584" i="1"/>
  <c r="O584" i="1"/>
  <c r="S584" i="1"/>
  <c r="T584" i="1"/>
  <c r="U584" i="1"/>
  <c r="Y584" i="1" s="1"/>
  <c r="V584" i="1"/>
  <c r="W584" i="1" s="1"/>
  <c r="Z584" i="1"/>
  <c r="A583" i="1"/>
  <c r="C583" i="1"/>
  <c r="B583" i="1" s="1"/>
  <c r="F583" i="1"/>
  <c r="M583" i="1"/>
  <c r="O583" i="1"/>
  <c r="S583" i="1"/>
  <c r="U583" i="1"/>
  <c r="Y583" i="1" s="1"/>
  <c r="V583" i="1"/>
  <c r="W583" i="1" s="1"/>
  <c r="Z583" i="1"/>
  <c r="A582" i="1"/>
  <c r="C582" i="1"/>
  <c r="B582" i="1" s="1"/>
  <c r="F582" i="1"/>
  <c r="M582" i="1"/>
  <c r="O582" i="1"/>
  <c r="S582" i="1"/>
  <c r="U582" i="1"/>
  <c r="Y582" i="1" s="1"/>
  <c r="V582" i="1"/>
  <c r="W582" i="1" s="1"/>
  <c r="Z582" i="1"/>
  <c r="A581" i="1"/>
  <c r="C581" i="1"/>
  <c r="B581" i="1" s="1"/>
  <c r="F581" i="1"/>
  <c r="M581" i="1"/>
  <c r="O581" i="1"/>
  <c r="S581" i="1"/>
  <c r="U581" i="1"/>
  <c r="Y581" i="1" s="1"/>
  <c r="V581" i="1"/>
  <c r="W581" i="1" s="1"/>
  <c r="Z581" i="1"/>
  <c r="A580" i="1"/>
  <c r="C580" i="1"/>
  <c r="B580" i="1" s="1"/>
  <c r="F580" i="1"/>
  <c r="M580" i="1"/>
  <c r="O580" i="1"/>
  <c r="S580" i="1"/>
  <c r="U580" i="1"/>
  <c r="V580" i="1"/>
  <c r="W580" i="1" s="1"/>
  <c r="Z580" i="1"/>
  <c r="A1085" i="1"/>
  <c r="C1085" i="1"/>
  <c r="B1085" i="1" s="1"/>
  <c r="F1085" i="1"/>
  <c r="O1085" i="1"/>
  <c r="T1085" i="1"/>
  <c r="U1085" i="1"/>
  <c r="Y1085" i="1" s="1"/>
  <c r="V1085" i="1"/>
  <c r="W1085" i="1" s="1"/>
  <c r="Z1085" i="1"/>
  <c r="A1196" i="1"/>
  <c r="C1196" i="1"/>
  <c r="B1196" i="1" s="1"/>
  <c r="F1196" i="1"/>
  <c r="O1196" i="1"/>
  <c r="T1196" i="1"/>
  <c r="U1196" i="1"/>
  <c r="Y1196" i="1" s="1"/>
  <c r="V1196" i="1"/>
  <c r="W1196" i="1" s="1"/>
  <c r="Z1196" i="1"/>
  <c r="A1046" i="1"/>
  <c r="C1046" i="1"/>
  <c r="B1046" i="1" s="1"/>
  <c r="F1046" i="1"/>
  <c r="M1046" i="1"/>
  <c r="O1046" i="1"/>
  <c r="S1046" i="1"/>
  <c r="T1046" i="1"/>
  <c r="U1046" i="1"/>
  <c r="Y1046" i="1" s="1"/>
  <c r="V1046" i="1"/>
  <c r="W1046" i="1" s="1"/>
  <c r="Z1046" i="1"/>
  <c r="A1045" i="1"/>
  <c r="C1045" i="1"/>
  <c r="B1045" i="1" s="1"/>
  <c r="F1045" i="1"/>
  <c r="M1045" i="1"/>
  <c r="O1045" i="1"/>
  <c r="S1045" i="1"/>
  <c r="T1045" i="1"/>
  <c r="U1045" i="1"/>
  <c r="V1045" i="1"/>
  <c r="W1045" i="1" s="1"/>
  <c r="Z1045" i="1"/>
  <c r="R1164" i="1" l="1"/>
  <c r="R901" i="1"/>
  <c r="D901" i="1" s="1"/>
  <c r="R51" i="1"/>
  <c r="R652" i="1"/>
  <c r="R278" i="1"/>
  <c r="R1030" i="1"/>
  <c r="R205" i="1"/>
  <c r="R698" i="1"/>
  <c r="D698" i="1" s="1"/>
  <c r="R372" i="1"/>
  <c r="R689" i="1"/>
  <c r="R1213" i="1"/>
  <c r="R1099" i="1"/>
  <c r="R688" i="1"/>
  <c r="R52" i="1"/>
  <c r="R231" i="1"/>
  <c r="R374" i="1"/>
  <c r="R5" i="1"/>
  <c r="R1214" i="1"/>
  <c r="R410" i="1"/>
  <c r="R373" i="1"/>
  <c r="X837" i="1"/>
  <c r="X838" i="1"/>
  <c r="T837" i="1"/>
  <c r="X836" i="1"/>
  <c r="X824" i="1"/>
  <c r="X852" i="1"/>
  <c r="T851" i="1"/>
  <c r="T852" i="1"/>
  <c r="X851" i="1"/>
  <c r="X606" i="1"/>
  <c r="T451" i="1"/>
  <c r="B514" i="1"/>
  <c r="X514" i="1"/>
  <c r="X451" i="1"/>
  <c r="X584" i="1"/>
  <c r="X583" i="1"/>
  <c r="T583" i="1"/>
  <c r="X582" i="1"/>
  <c r="T582" i="1"/>
  <c r="X580" i="1"/>
  <c r="Y580" i="1"/>
  <c r="X581" i="1"/>
  <c r="T581" i="1"/>
  <c r="T580" i="1"/>
  <c r="X1085" i="1"/>
  <c r="R1085" i="1"/>
  <c r="D1085" i="1" s="1"/>
  <c r="X1196" i="1"/>
  <c r="X1046" i="1"/>
  <c r="X1045" i="1"/>
  <c r="Y1045" i="1"/>
  <c r="A850" i="1"/>
  <c r="C850" i="1"/>
  <c r="B850" i="1" s="1"/>
  <c r="F850" i="1"/>
  <c r="M850" i="1"/>
  <c r="O850" i="1"/>
  <c r="T850" i="1"/>
  <c r="U850" i="1"/>
  <c r="Y850" i="1" s="1"/>
  <c r="V850" i="1"/>
  <c r="W850" i="1" s="1"/>
  <c r="Z850" i="1"/>
  <c r="E206" i="6"/>
  <c r="I206" i="6"/>
  <c r="J206" i="6"/>
  <c r="E40" i="6"/>
  <c r="F40" i="6"/>
  <c r="I40" i="6"/>
  <c r="J40" i="6"/>
  <c r="B3" i="15"/>
  <c r="C3" i="15"/>
  <c r="E205" i="6"/>
  <c r="I205" i="6"/>
  <c r="J205" i="6"/>
  <c r="A102" i="1"/>
  <c r="C102" i="1"/>
  <c r="B102" i="1" s="1"/>
  <c r="F102" i="1"/>
  <c r="M102" i="1"/>
  <c r="O102" i="1"/>
  <c r="S102" i="1"/>
  <c r="T102" i="1"/>
  <c r="U102" i="1"/>
  <c r="V102" i="1"/>
  <c r="W102" i="1" s="1"/>
  <c r="Z102" i="1"/>
  <c r="A101" i="1"/>
  <c r="C101" i="1"/>
  <c r="B101" i="1" s="1"/>
  <c r="F101" i="1"/>
  <c r="M101" i="1"/>
  <c r="O101" i="1"/>
  <c r="T101" i="1"/>
  <c r="U101" i="1"/>
  <c r="V101" i="1"/>
  <c r="W101" i="1" s="1"/>
  <c r="Z101" i="1"/>
  <c r="A100" i="1"/>
  <c r="C100" i="1"/>
  <c r="B100" i="1" s="1"/>
  <c r="F100" i="1"/>
  <c r="M100" i="1"/>
  <c r="O100" i="1"/>
  <c r="S100" i="1"/>
  <c r="T100" i="1"/>
  <c r="U100" i="1"/>
  <c r="V100" i="1"/>
  <c r="W100" i="1" s="1"/>
  <c r="Z100" i="1"/>
  <c r="A99" i="1"/>
  <c r="C99" i="1"/>
  <c r="B99" i="1" s="1"/>
  <c r="F99" i="1"/>
  <c r="M99" i="1"/>
  <c r="O99" i="1"/>
  <c r="T99" i="1"/>
  <c r="U99" i="1"/>
  <c r="V99" i="1"/>
  <c r="W99" i="1" s="1"/>
  <c r="Z99" i="1"/>
  <c r="A98" i="1"/>
  <c r="C98" i="1"/>
  <c r="B98" i="1" s="1"/>
  <c r="F98" i="1"/>
  <c r="M98" i="1"/>
  <c r="O98" i="1"/>
  <c r="S98" i="1"/>
  <c r="T98" i="1"/>
  <c r="U98" i="1"/>
  <c r="Y98" i="1" s="1"/>
  <c r="V98" i="1"/>
  <c r="W98" i="1" s="1"/>
  <c r="Z98" i="1"/>
  <c r="A703" i="1"/>
  <c r="C703" i="1"/>
  <c r="B703" i="1" s="1"/>
  <c r="F703" i="1"/>
  <c r="M703" i="1"/>
  <c r="O703" i="1"/>
  <c r="T703" i="1"/>
  <c r="U703" i="1"/>
  <c r="V703" i="1"/>
  <c r="W703" i="1" s="1"/>
  <c r="Z703" i="1"/>
  <c r="A708" i="1"/>
  <c r="C708" i="1"/>
  <c r="B708" i="1" s="1"/>
  <c r="F708" i="1"/>
  <c r="M708" i="1"/>
  <c r="O708" i="1"/>
  <c r="T708" i="1"/>
  <c r="U708" i="1"/>
  <c r="Y708" i="1" s="1"/>
  <c r="V708" i="1"/>
  <c r="W708" i="1" s="1"/>
  <c r="Z708" i="1"/>
  <c r="A707" i="1"/>
  <c r="C707" i="1"/>
  <c r="B707" i="1" s="1"/>
  <c r="F707" i="1"/>
  <c r="M707" i="1"/>
  <c r="O707" i="1"/>
  <c r="T707" i="1"/>
  <c r="U707" i="1"/>
  <c r="Y707" i="1" s="1"/>
  <c r="V707" i="1"/>
  <c r="W707" i="1" s="1"/>
  <c r="Z707" i="1"/>
  <c r="A540" i="1"/>
  <c r="C540" i="1"/>
  <c r="B540" i="1" s="1"/>
  <c r="F540" i="1"/>
  <c r="M540" i="1"/>
  <c r="O540" i="1"/>
  <c r="U540" i="1"/>
  <c r="Y540" i="1" s="1"/>
  <c r="V540" i="1"/>
  <c r="W540" i="1" s="1"/>
  <c r="Z540" i="1"/>
  <c r="A541" i="1"/>
  <c r="C541" i="1"/>
  <c r="B541" i="1" s="1"/>
  <c r="F541" i="1"/>
  <c r="M541" i="1"/>
  <c r="O541" i="1"/>
  <c r="U541" i="1"/>
  <c r="Y541" i="1" s="1"/>
  <c r="V541" i="1"/>
  <c r="W541" i="1" s="1"/>
  <c r="Z541" i="1"/>
  <c r="A645" i="1"/>
  <c r="C645" i="1"/>
  <c r="B645" i="1" s="1"/>
  <c r="F645" i="1"/>
  <c r="M645" i="1"/>
  <c r="O645" i="1"/>
  <c r="U645" i="1"/>
  <c r="Y645" i="1" s="1"/>
  <c r="V645" i="1"/>
  <c r="W645" i="1" s="1"/>
  <c r="Z645" i="1"/>
  <c r="A687" i="1"/>
  <c r="C687" i="1"/>
  <c r="B687" i="1" s="1"/>
  <c r="F687" i="1"/>
  <c r="M687" i="1"/>
  <c r="O687" i="1"/>
  <c r="U687" i="1"/>
  <c r="Y687" i="1" s="1"/>
  <c r="V687" i="1"/>
  <c r="W687" i="1" s="1"/>
  <c r="Z687" i="1"/>
  <c r="A427" i="1"/>
  <c r="C427" i="1"/>
  <c r="B427" i="1" s="1"/>
  <c r="F427" i="1"/>
  <c r="M427" i="1"/>
  <c r="O427" i="1"/>
  <c r="U427" i="1"/>
  <c r="Y427" i="1" s="1"/>
  <c r="V427" i="1"/>
  <c r="W427" i="1" s="1"/>
  <c r="Z427" i="1"/>
  <c r="A964" i="1"/>
  <c r="C964" i="1"/>
  <c r="B964" i="1" s="1"/>
  <c r="F964" i="1"/>
  <c r="M964" i="1"/>
  <c r="O964" i="1"/>
  <c r="U964" i="1"/>
  <c r="Y964" i="1" s="1"/>
  <c r="V964" i="1"/>
  <c r="W964" i="1" s="1"/>
  <c r="Z964" i="1"/>
  <c r="A963" i="1"/>
  <c r="C963" i="1"/>
  <c r="B963" i="1" s="1"/>
  <c r="F963" i="1"/>
  <c r="M963" i="1"/>
  <c r="O963" i="1"/>
  <c r="U963" i="1"/>
  <c r="Y963" i="1" s="1"/>
  <c r="V963" i="1"/>
  <c r="W963" i="1" s="1"/>
  <c r="Z963" i="1"/>
  <c r="A1163" i="1"/>
  <c r="C1163" i="1"/>
  <c r="B1163" i="1" s="1"/>
  <c r="F1163" i="1"/>
  <c r="M1163" i="1"/>
  <c r="O1163" i="1"/>
  <c r="U1163" i="1"/>
  <c r="Y1163" i="1" s="1"/>
  <c r="V1163" i="1"/>
  <c r="W1163" i="1" s="1"/>
  <c r="Z1163" i="1"/>
  <c r="A1162" i="1"/>
  <c r="C1162" i="1"/>
  <c r="B1162" i="1" s="1"/>
  <c r="F1162" i="1"/>
  <c r="M1162" i="1"/>
  <c r="O1162" i="1"/>
  <c r="U1162" i="1"/>
  <c r="Y1162" i="1" s="1"/>
  <c r="V1162" i="1"/>
  <c r="W1162" i="1" s="1"/>
  <c r="Z1162" i="1"/>
  <c r="A277" i="1"/>
  <c r="C277" i="1"/>
  <c r="B277" i="1" s="1"/>
  <c r="F277" i="1"/>
  <c r="M277" i="1"/>
  <c r="O277" i="1"/>
  <c r="U277" i="1"/>
  <c r="Y277" i="1" s="1"/>
  <c r="V277" i="1"/>
  <c r="W277" i="1" s="1"/>
  <c r="Z277" i="1"/>
  <c r="A276" i="1"/>
  <c r="C276" i="1"/>
  <c r="B276" i="1" s="1"/>
  <c r="F276" i="1"/>
  <c r="M276" i="1"/>
  <c r="O276" i="1"/>
  <c r="U276" i="1"/>
  <c r="Y276" i="1" s="1"/>
  <c r="V276" i="1"/>
  <c r="W276" i="1" s="1"/>
  <c r="Z276" i="1"/>
  <c r="A268" i="1"/>
  <c r="C268" i="1"/>
  <c r="B268" i="1" s="1"/>
  <c r="F268" i="1"/>
  <c r="M268" i="1"/>
  <c r="O268" i="1"/>
  <c r="U268" i="1"/>
  <c r="Y268" i="1" s="1"/>
  <c r="V268" i="1"/>
  <c r="W268" i="1" s="1"/>
  <c r="Z268" i="1"/>
  <c r="A32" i="1"/>
  <c r="C32" i="1"/>
  <c r="B32" i="1" s="1"/>
  <c r="F32" i="1"/>
  <c r="M32" i="1"/>
  <c r="O32" i="1"/>
  <c r="U32" i="1"/>
  <c r="Y32" i="1" s="1"/>
  <c r="V32" i="1"/>
  <c r="W32" i="1" s="1"/>
  <c r="Z32" i="1"/>
  <c r="A31" i="1"/>
  <c r="C31" i="1"/>
  <c r="B31" i="1" s="1"/>
  <c r="F31" i="1"/>
  <c r="M31" i="1"/>
  <c r="O31" i="1"/>
  <c r="U31" i="1"/>
  <c r="Y31" i="1" s="1"/>
  <c r="V31" i="1"/>
  <c r="W31" i="1" s="1"/>
  <c r="Z31" i="1"/>
  <c r="A296" i="1"/>
  <c r="C296" i="1"/>
  <c r="B296" i="1" s="1"/>
  <c r="F296" i="1"/>
  <c r="M296" i="1"/>
  <c r="O296" i="1"/>
  <c r="S296" i="1"/>
  <c r="T296" i="1"/>
  <c r="U296" i="1"/>
  <c r="V296" i="1"/>
  <c r="W296" i="1" s="1"/>
  <c r="Z296" i="1"/>
  <c r="A4" i="1"/>
  <c r="C4" i="1"/>
  <c r="B4" i="1" s="1"/>
  <c r="F4" i="1"/>
  <c r="M4" i="1"/>
  <c r="O4" i="1"/>
  <c r="S4" i="1"/>
  <c r="T4" i="1"/>
  <c r="U4" i="1"/>
  <c r="Y4" i="1" s="1"/>
  <c r="V4" i="1"/>
  <c r="W4" i="1" s="1"/>
  <c r="Z4" i="1"/>
  <c r="A18" i="1"/>
  <c r="C18" i="1"/>
  <c r="B18" i="1" s="1"/>
  <c r="F18" i="1"/>
  <c r="M18" i="1"/>
  <c r="O18" i="1"/>
  <c r="U18" i="1"/>
  <c r="Y18" i="1" s="1"/>
  <c r="V18" i="1"/>
  <c r="W18" i="1" s="1"/>
  <c r="Z18" i="1"/>
  <c r="A196" i="1"/>
  <c r="C196" i="1"/>
  <c r="B196" i="1" s="1"/>
  <c r="F196" i="1"/>
  <c r="M196" i="1"/>
  <c r="O196" i="1"/>
  <c r="U196" i="1"/>
  <c r="Y196" i="1" s="1"/>
  <c r="V196" i="1"/>
  <c r="W196" i="1" s="1"/>
  <c r="Z196" i="1"/>
  <c r="A204" i="1"/>
  <c r="C204" i="1"/>
  <c r="B204" i="1" s="1"/>
  <c r="F204" i="1"/>
  <c r="M204" i="1"/>
  <c r="O204" i="1"/>
  <c r="T204" i="1"/>
  <c r="U204" i="1"/>
  <c r="Y204" i="1" s="1"/>
  <c r="V204" i="1"/>
  <c r="W204" i="1" s="1"/>
  <c r="Z204" i="1"/>
  <c r="A272" i="1"/>
  <c r="C272" i="1"/>
  <c r="B272" i="1" s="1"/>
  <c r="F272" i="1"/>
  <c r="M272" i="1"/>
  <c r="O272" i="1"/>
  <c r="U272" i="1"/>
  <c r="Y272" i="1" s="1"/>
  <c r="V272" i="1"/>
  <c r="W272" i="1" s="1"/>
  <c r="Z272" i="1"/>
  <c r="A302" i="1"/>
  <c r="C302" i="1"/>
  <c r="B302" i="1" s="1"/>
  <c r="F302" i="1"/>
  <c r="M302" i="1"/>
  <c r="O302" i="1"/>
  <c r="U302" i="1"/>
  <c r="Y302" i="1" s="1"/>
  <c r="V302" i="1"/>
  <c r="W302" i="1" s="1"/>
  <c r="Z302" i="1"/>
  <c r="A371" i="1"/>
  <c r="C371" i="1"/>
  <c r="B371" i="1" s="1"/>
  <c r="F371" i="1"/>
  <c r="M371" i="1"/>
  <c r="O371" i="1"/>
  <c r="U371" i="1"/>
  <c r="Y371" i="1" s="1"/>
  <c r="V371" i="1"/>
  <c r="W371" i="1" s="1"/>
  <c r="Z371" i="1"/>
  <c r="A370" i="1"/>
  <c r="C370" i="1"/>
  <c r="B370" i="1" s="1"/>
  <c r="F370" i="1"/>
  <c r="M370" i="1"/>
  <c r="O370" i="1"/>
  <c r="U370" i="1"/>
  <c r="Y370" i="1" s="1"/>
  <c r="V370" i="1"/>
  <c r="W370" i="1" s="1"/>
  <c r="Z370" i="1"/>
  <c r="A50" i="1"/>
  <c r="C50" i="1"/>
  <c r="B50" i="1" s="1"/>
  <c r="F50" i="1"/>
  <c r="M50" i="1"/>
  <c r="O50" i="1"/>
  <c r="T50" i="1"/>
  <c r="U50" i="1"/>
  <c r="Y50" i="1" s="1"/>
  <c r="V50" i="1"/>
  <c r="W50" i="1" s="1"/>
  <c r="Z50" i="1"/>
  <c r="A611" i="1"/>
  <c r="C611" i="1"/>
  <c r="B611" i="1" s="1"/>
  <c r="F611" i="1"/>
  <c r="M611" i="1"/>
  <c r="O611" i="1"/>
  <c r="U611" i="1"/>
  <c r="Y611" i="1" s="1"/>
  <c r="V611" i="1"/>
  <c r="W611" i="1" s="1"/>
  <c r="Z611" i="1"/>
  <c r="A612" i="1"/>
  <c r="C612" i="1"/>
  <c r="B612" i="1" s="1"/>
  <c r="F612" i="1"/>
  <c r="M612" i="1"/>
  <c r="O612" i="1"/>
  <c r="U612" i="1"/>
  <c r="Y612" i="1" s="1"/>
  <c r="V612" i="1"/>
  <c r="W612" i="1" s="1"/>
  <c r="Z612" i="1"/>
  <c r="A613" i="1"/>
  <c r="C613" i="1"/>
  <c r="B613" i="1" s="1"/>
  <c r="F613" i="1"/>
  <c r="M613" i="1"/>
  <c r="O613" i="1"/>
  <c r="U613" i="1"/>
  <c r="Y613" i="1" s="1"/>
  <c r="V613" i="1"/>
  <c r="W613" i="1" s="1"/>
  <c r="Z613" i="1"/>
  <c r="A529" i="1"/>
  <c r="C529" i="1"/>
  <c r="B529" i="1" s="1"/>
  <c r="F529" i="1"/>
  <c r="O529" i="1"/>
  <c r="U529" i="1"/>
  <c r="Y529" i="1" s="1"/>
  <c r="V529" i="1"/>
  <c r="W529" i="1" s="1"/>
  <c r="Z529" i="1"/>
  <c r="A530" i="1"/>
  <c r="C530" i="1"/>
  <c r="B530" i="1" s="1"/>
  <c r="F530" i="1"/>
  <c r="O530" i="1"/>
  <c r="U530" i="1"/>
  <c r="Y530" i="1" s="1"/>
  <c r="V530" i="1"/>
  <c r="W530" i="1" s="1"/>
  <c r="Z530" i="1"/>
  <c r="A608" i="1"/>
  <c r="C608" i="1"/>
  <c r="B608" i="1" s="1"/>
  <c r="F608" i="1"/>
  <c r="M608" i="1"/>
  <c r="O608" i="1"/>
  <c r="U608" i="1"/>
  <c r="Y608" i="1" s="1"/>
  <c r="V608" i="1"/>
  <c r="W608" i="1" s="1"/>
  <c r="Z608" i="1"/>
  <c r="A563" i="1"/>
  <c r="C563" i="1"/>
  <c r="B563" i="1" s="1"/>
  <c r="F563" i="1"/>
  <c r="O563" i="1"/>
  <c r="T563" i="1"/>
  <c r="U563" i="1"/>
  <c r="Y563" i="1" s="1"/>
  <c r="V563" i="1"/>
  <c r="W563" i="1" s="1"/>
  <c r="Z563" i="1"/>
  <c r="A806" i="1"/>
  <c r="C806" i="1"/>
  <c r="B806" i="1" s="1"/>
  <c r="F806" i="1"/>
  <c r="M806" i="1"/>
  <c r="O806" i="1"/>
  <c r="U806" i="1"/>
  <c r="Y806" i="1" s="1"/>
  <c r="V806" i="1"/>
  <c r="W806" i="1" s="1"/>
  <c r="Z806" i="1"/>
  <c r="A719" i="1"/>
  <c r="C719" i="1"/>
  <c r="B719" i="1" s="1"/>
  <c r="F719" i="1"/>
  <c r="M719" i="1"/>
  <c r="O719" i="1"/>
  <c r="U719" i="1"/>
  <c r="V719" i="1"/>
  <c r="W719" i="1" s="1"/>
  <c r="Z719" i="1"/>
  <c r="A426" i="1"/>
  <c r="C426" i="1"/>
  <c r="B426" i="1" s="1"/>
  <c r="F426" i="1"/>
  <c r="M426" i="1"/>
  <c r="O426" i="1"/>
  <c r="U426" i="1"/>
  <c r="Y426" i="1" s="1"/>
  <c r="V426" i="1"/>
  <c r="W426" i="1" s="1"/>
  <c r="Z426" i="1"/>
  <c r="A938" i="1"/>
  <c r="C938" i="1"/>
  <c r="B938" i="1" s="1"/>
  <c r="F938" i="1"/>
  <c r="M938" i="1"/>
  <c r="O938" i="1"/>
  <c r="T938" i="1"/>
  <c r="U938" i="1"/>
  <c r="Y938" i="1" s="1"/>
  <c r="V938" i="1"/>
  <c r="W938" i="1" s="1"/>
  <c r="Z938" i="1"/>
  <c r="A939" i="1"/>
  <c r="C939" i="1"/>
  <c r="B939" i="1" s="1"/>
  <c r="F939" i="1"/>
  <c r="M939" i="1"/>
  <c r="O939" i="1"/>
  <c r="U939" i="1"/>
  <c r="Y939" i="1" s="1"/>
  <c r="V939" i="1"/>
  <c r="W939" i="1" s="1"/>
  <c r="Z939" i="1"/>
  <c r="A1069" i="1"/>
  <c r="C1069" i="1"/>
  <c r="B1069" i="1" s="1"/>
  <c r="F1069" i="1"/>
  <c r="M1069" i="1"/>
  <c r="O1069" i="1"/>
  <c r="U1069" i="1"/>
  <c r="Y1069" i="1" s="1"/>
  <c r="V1069" i="1"/>
  <c r="W1069" i="1" s="1"/>
  <c r="Z1069" i="1"/>
  <c r="A1212" i="1"/>
  <c r="C1212" i="1"/>
  <c r="B1212" i="1" s="1"/>
  <c r="F1212" i="1"/>
  <c r="M1212" i="1"/>
  <c r="O1212" i="1"/>
  <c r="U1212" i="1"/>
  <c r="Y1212" i="1" s="1"/>
  <c r="V1212" i="1"/>
  <c r="W1212" i="1" s="1"/>
  <c r="Z1212" i="1"/>
  <c r="A849" i="1"/>
  <c r="C849" i="1"/>
  <c r="B849" i="1" s="1"/>
  <c r="F849" i="1"/>
  <c r="M849" i="1"/>
  <c r="O849" i="1"/>
  <c r="U849" i="1"/>
  <c r="Y849" i="1" s="1"/>
  <c r="V849" i="1"/>
  <c r="W849" i="1" s="1"/>
  <c r="Z849" i="1"/>
  <c r="A848" i="1"/>
  <c r="C848" i="1"/>
  <c r="B848" i="1" s="1"/>
  <c r="F848" i="1"/>
  <c r="M848" i="1"/>
  <c r="O848" i="1"/>
  <c r="U848" i="1"/>
  <c r="Y848" i="1" s="1"/>
  <c r="V848" i="1"/>
  <c r="W848" i="1" s="1"/>
  <c r="Z848" i="1"/>
  <c r="A847" i="1"/>
  <c r="C847" i="1"/>
  <c r="B847" i="1" s="1"/>
  <c r="F847" i="1"/>
  <c r="M847" i="1"/>
  <c r="O847" i="1"/>
  <c r="U847" i="1"/>
  <c r="Y847" i="1" s="1"/>
  <c r="V847" i="1"/>
  <c r="W847" i="1" s="1"/>
  <c r="Z847" i="1"/>
  <c r="A846" i="1"/>
  <c r="C846" i="1"/>
  <c r="B846" i="1" s="1"/>
  <c r="F846" i="1"/>
  <c r="M846" i="1"/>
  <c r="O846" i="1"/>
  <c r="U846" i="1"/>
  <c r="V846" i="1"/>
  <c r="W846" i="1" s="1"/>
  <c r="Z846" i="1"/>
  <c r="A448" i="1"/>
  <c r="C448" i="1"/>
  <c r="B448" i="1" s="1"/>
  <c r="F448" i="1"/>
  <c r="M448" i="1"/>
  <c r="O448" i="1"/>
  <c r="U448" i="1"/>
  <c r="Y448" i="1" s="1"/>
  <c r="V448" i="1"/>
  <c r="W448" i="1" s="1"/>
  <c r="Z448" i="1"/>
  <c r="A449" i="1"/>
  <c r="C449" i="1"/>
  <c r="B449" i="1" s="1"/>
  <c r="F449" i="1"/>
  <c r="M449" i="1"/>
  <c r="O449" i="1"/>
  <c r="U449" i="1"/>
  <c r="Y449" i="1" s="1"/>
  <c r="V449" i="1"/>
  <c r="W449" i="1" s="1"/>
  <c r="Z449" i="1"/>
  <c r="I20" i="104"/>
  <c r="I19" i="104"/>
  <c r="A20" i="104"/>
  <c r="B20" i="104"/>
  <c r="C20" i="104"/>
  <c r="A19" i="104"/>
  <c r="B19" i="104"/>
  <c r="C19" i="104"/>
  <c r="A450" i="1"/>
  <c r="C450" i="1"/>
  <c r="B450" i="1" s="1"/>
  <c r="F450" i="1"/>
  <c r="M450" i="1"/>
  <c r="O450" i="1"/>
  <c r="U450" i="1"/>
  <c r="Y450" i="1" s="1"/>
  <c r="V450" i="1"/>
  <c r="W450" i="1" s="1"/>
  <c r="Z450" i="1"/>
  <c r="I21" i="104"/>
  <c r="A21" i="104"/>
  <c r="B21" i="104"/>
  <c r="C21" i="104"/>
  <c r="A715" i="1"/>
  <c r="C715" i="1"/>
  <c r="B715" i="1" s="1"/>
  <c r="F715" i="1"/>
  <c r="M715" i="1"/>
  <c r="O715" i="1"/>
  <c r="U715" i="1"/>
  <c r="Y715" i="1" s="1"/>
  <c r="V715" i="1"/>
  <c r="W715" i="1" s="1"/>
  <c r="Z715" i="1"/>
  <c r="P1196" i="1" l="1"/>
  <c r="R584" i="1"/>
  <c r="P824" i="1"/>
  <c r="P837" i="1"/>
  <c r="P581" i="1"/>
  <c r="R582" i="1"/>
  <c r="P451" i="1"/>
  <c r="P606" i="1"/>
  <c r="P852" i="1"/>
  <c r="P836" i="1"/>
  <c r="P1085" i="1"/>
  <c r="P514" i="1"/>
  <c r="P851" i="1"/>
  <c r="P1046" i="1"/>
  <c r="R583" i="1"/>
  <c r="P838" i="1"/>
  <c r="D453" i="1"/>
  <c r="D454" i="1"/>
  <c r="D456" i="1"/>
  <c r="D452" i="1"/>
  <c r="D514" i="1"/>
  <c r="D515" i="1"/>
  <c r="D451" i="1"/>
  <c r="D455" i="1"/>
  <c r="D836" i="1"/>
  <c r="D837" i="1"/>
  <c r="D838" i="1"/>
  <c r="R580" i="1"/>
  <c r="D584" i="1" s="1"/>
  <c r="T18" i="1"/>
  <c r="D582" i="1"/>
  <c r="D583" i="1"/>
  <c r="D580" i="1"/>
  <c r="D581" i="1"/>
  <c r="P1045" i="1"/>
  <c r="D1045" i="1"/>
  <c r="D1046" i="1"/>
  <c r="X850" i="1"/>
  <c r="T687" i="1"/>
  <c r="X102" i="1"/>
  <c r="T645" i="1"/>
  <c r="X101" i="1"/>
  <c r="Y102" i="1"/>
  <c r="X99" i="1"/>
  <c r="Y101" i="1"/>
  <c r="T268" i="1"/>
  <c r="X100" i="1"/>
  <c r="Y100" i="1"/>
  <c r="Y99" i="1"/>
  <c r="T963" i="1"/>
  <c r="X98" i="1"/>
  <c r="X708" i="1"/>
  <c r="X703" i="1"/>
  <c r="Y703" i="1"/>
  <c r="T541" i="1"/>
  <c r="T1163" i="1"/>
  <c r="T540" i="1"/>
  <c r="T964" i="1"/>
  <c r="T32" i="1"/>
  <c r="T427" i="1"/>
  <c r="T276" i="1"/>
  <c r="T277" i="1"/>
  <c r="T31" i="1"/>
  <c r="X707" i="1"/>
  <c r="X540" i="1"/>
  <c r="T1162" i="1"/>
  <c r="T272" i="1"/>
  <c r="X541" i="1"/>
  <c r="X645" i="1"/>
  <c r="X687" i="1"/>
  <c r="X427" i="1"/>
  <c r="X964" i="1"/>
  <c r="X1163" i="1"/>
  <c r="X963" i="1"/>
  <c r="X1162" i="1"/>
  <c r="X277" i="1"/>
  <c r="X268" i="1"/>
  <c r="P268" i="1" s="1"/>
  <c r="X276" i="1"/>
  <c r="P276" i="1" s="1"/>
  <c r="X32" i="1"/>
  <c r="P32" i="1" s="1"/>
  <c r="X31" i="1"/>
  <c r="X296" i="1"/>
  <c r="Y296" i="1"/>
  <c r="X4" i="1"/>
  <c r="X204" i="1"/>
  <c r="X196" i="1"/>
  <c r="X18" i="1"/>
  <c r="T196" i="1"/>
  <c r="X50" i="1"/>
  <c r="X272" i="1"/>
  <c r="T302" i="1"/>
  <c r="X302" i="1"/>
  <c r="T611" i="1"/>
  <c r="T371" i="1"/>
  <c r="T613" i="1"/>
  <c r="X371" i="1"/>
  <c r="T612" i="1"/>
  <c r="T608" i="1"/>
  <c r="T370" i="1"/>
  <c r="X370" i="1"/>
  <c r="X611" i="1"/>
  <c r="X612" i="1"/>
  <c r="X613" i="1"/>
  <c r="X529" i="1"/>
  <c r="T529" i="1"/>
  <c r="T530" i="1"/>
  <c r="X530" i="1"/>
  <c r="X608" i="1"/>
  <c r="X806" i="1"/>
  <c r="X563" i="1"/>
  <c r="T806" i="1"/>
  <c r="T719" i="1"/>
  <c r="X426" i="1"/>
  <c r="X719" i="1"/>
  <c r="T426" i="1"/>
  <c r="Y719" i="1"/>
  <c r="X938" i="1"/>
  <c r="T939" i="1"/>
  <c r="X939" i="1"/>
  <c r="T1069" i="1"/>
  <c r="X1069" i="1"/>
  <c r="T849" i="1"/>
  <c r="T1212" i="1"/>
  <c r="X1212" i="1"/>
  <c r="X849" i="1"/>
  <c r="T848" i="1"/>
  <c r="X848" i="1"/>
  <c r="T847" i="1"/>
  <c r="X846" i="1"/>
  <c r="T450" i="1"/>
  <c r="Y846" i="1"/>
  <c r="X847" i="1"/>
  <c r="T846" i="1"/>
  <c r="X448" i="1"/>
  <c r="T448" i="1"/>
  <c r="X449" i="1"/>
  <c r="T449" i="1"/>
  <c r="X450" i="1"/>
  <c r="X715" i="1"/>
  <c r="T715" i="1"/>
  <c r="A1002" i="1"/>
  <c r="C1002" i="1"/>
  <c r="B1002" i="1" s="1"/>
  <c r="F1002" i="1"/>
  <c r="M1002" i="1"/>
  <c r="O1002" i="1"/>
  <c r="T1002" i="1"/>
  <c r="U1002" i="1"/>
  <c r="Y1002" i="1" s="1"/>
  <c r="V1002" i="1"/>
  <c r="W1002" i="1" s="1"/>
  <c r="Z1002" i="1"/>
  <c r="A1084" i="1"/>
  <c r="C1084" i="1"/>
  <c r="B1084" i="1" s="1"/>
  <c r="F1084" i="1"/>
  <c r="M1084" i="1"/>
  <c r="O1084" i="1"/>
  <c r="T1084" i="1"/>
  <c r="U1084" i="1"/>
  <c r="Y1084" i="1" s="1"/>
  <c r="V1084" i="1"/>
  <c r="W1084" i="1" s="1"/>
  <c r="Z1084" i="1"/>
  <c r="A1083" i="1"/>
  <c r="C1083" i="1"/>
  <c r="B1083" i="1" s="1"/>
  <c r="F1083" i="1"/>
  <c r="M1083" i="1"/>
  <c r="O1083" i="1"/>
  <c r="T1083" i="1"/>
  <c r="U1083" i="1"/>
  <c r="Y1083" i="1" s="1"/>
  <c r="V1083" i="1"/>
  <c r="W1083" i="1" s="1"/>
  <c r="Z1083" i="1"/>
  <c r="Q1082" i="1"/>
  <c r="M579" i="1"/>
  <c r="A1082" i="1"/>
  <c r="C1082" i="1"/>
  <c r="B1082" i="1" s="1"/>
  <c r="F1082" i="1"/>
  <c r="O1082" i="1"/>
  <c r="U1082" i="1"/>
  <c r="Y1082" i="1" s="1"/>
  <c r="V1082" i="1"/>
  <c r="W1082" i="1" s="1"/>
  <c r="Z1082" i="1"/>
  <c r="A1195" i="1"/>
  <c r="C1195" i="1"/>
  <c r="B1195" i="1" s="1"/>
  <c r="F1195" i="1"/>
  <c r="O1195" i="1"/>
  <c r="U1195" i="1"/>
  <c r="Y1195" i="1" s="1"/>
  <c r="V1195" i="1"/>
  <c r="W1195" i="1" s="1"/>
  <c r="Z1195" i="1"/>
  <c r="A579" i="1"/>
  <c r="C579" i="1"/>
  <c r="B579" i="1" s="1"/>
  <c r="F579" i="1"/>
  <c r="O579" i="1"/>
  <c r="U579" i="1"/>
  <c r="Y579" i="1" s="1"/>
  <c r="V579" i="1"/>
  <c r="W579" i="1" s="1"/>
  <c r="Z579" i="1"/>
  <c r="O578" i="1"/>
  <c r="A230" i="1"/>
  <c r="C230" i="1"/>
  <c r="B230" i="1" s="1"/>
  <c r="F230" i="1"/>
  <c r="M230" i="1"/>
  <c r="O230" i="1"/>
  <c r="T230" i="1"/>
  <c r="U230" i="1"/>
  <c r="Y230" i="1" s="1"/>
  <c r="V230" i="1"/>
  <c r="W230" i="1" s="1"/>
  <c r="Z230" i="1"/>
  <c r="A823" i="1"/>
  <c r="C823" i="1"/>
  <c r="B823" i="1" s="1"/>
  <c r="F823" i="1"/>
  <c r="M823" i="1"/>
  <c r="O823" i="1"/>
  <c r="U823" i="1"/>
  <c r="Y823" i="1" s="1"/>
  <c r="V823" i="1"/>
  <c r="W823" i="1" s="1"/>
  <c r="Z823" i="1"/>
  <c r="A1185" i="1"/>
  <c r="C1185" i="1"/>
  <c r="B1185" i="1" s="1"/>
  <c r="F1185" i="1"/>
  <c r="M1185" i="1"/>
  <c r="O1185" i="1"/>
  <c r="S1185" i="1"/>
  <c r="T1185" i="1"/>
  <c r="U1185" i="1"/>
  <c r="Y1185" i="1" s="1"/>
  <c r="V1185" i="1"/>
  <c r="W1185" i="1" s="1"/>
  <c r="Z1185" i="1"/>
  <c r="A793" i="1"/>
  <c r="C793" i="1"/>
  <c r="B793" i="1" s="1"/>
  <c r="F793" i="1"/>
  <c r="M793" i="1"/>
  <c r="O793" i="1"/>
  <c r="T793" i="1"/>
  <c r="U793" i="1"/>
  <c r="Y793" i="1" s="1"/>
  <c r="V793" i="1"/>
  <c r="W793" i="1" s="1"/>
  <c r="Z793" i="1"/>
  <c r="M578" i="1"/>
  <c r="A578" i="1"/>
  <c r="C578" i="1"/>
  <c r="B578" i="1" s="1"/>
  <c r="F578" i="1"/>
  <c r="U578" i="1"/>
  <c r="Y578" i="1" s="1"/>
  <c r="V578" i="1"/>
  <c r="W578" i="1" s="1"/>
  <c r="Z578" i="1"/>
  <c r="A577" i="1"/>
  <c r="C577" i="1"/>
  <c r="B577" i="1" s="1"/>
  <c r="F577" i="1"/>
  <c r="M577" i="1"/>
  <c r="O577" i="1"/>
  <c r="T577" i="1"/>
  <c r="U577" i="1"/>
  <c r="Y577" i="1" s="1"/>
  <c r="V577" i="1"/>
  <c r="W577" i="1" s="1"/>
  <c r="Z577" i="1"/>
  <c r="A576" i="1"/>
  <c r="C576" i="1"/>
  <c r="B576" i="1" s="1"/>
  <c r="F576" i="1"/>
  <c r="M576" i="1"/>
  <c r="O576" i="1"/>
  <c r="T576" i="1"/>
  <c r="U576" i="1"/>
  <c r="Y576" i="1" s="1"/>
  <c r="V576" i="1"/>
  <c r="W576" i="1" s="1"/>
  <c r="Z576" i="1"/>
  <c r="A575" i="1"/>
  <c r="C575" i="1"/>
  <c r="B575" i="1" s="1"/>
  <c r="F575" i="1"/>
  <c r="M575" i="1"/>
  <c r="O575" i="1"/>
  <c r="U575" i="1"/>
  <c r="Y575" i="1" s="1"/>
  <c r="V575" i="1"/>
  <c r="W575" i="1" s="1"/>
  <c r="Z575" i="1"/>
  <c r="A900" i="1"/>
  <c r="C900" i="1"/>
  <c r="B900" i="1" s="1"/>
  <c r="F900" i="1"/>
  <c r="M900" i="1"/>
  <c r="O900" i="1"/>
  <c r="T900" i="1"/>
  <c r="U900" i="1"/>
  <c r="Y900" i="1" s="1"/>
  <c r="V900" i="1"/>
  <c r="W900" i="1" s="1"/>
  <c r="Z900" i="1"/>
  <c r="A1044" i="1"/>
  <c r="C1044" i="1"/>
  <c r="B1044" i="1" s="1"/>
  <c r="F1044" i="1"/>
  <c r="M1044" i="1"/>
  <c r="O1044" i="1"/>
  <c r="U1044" i="1"/>
  <c r="Y1044" i="1" s="1"/>
  <c r="V1044" i="1"/>
  <c r="W1044" i="1" s="1"/>
  <c r="Z1044" i="1"/>
  <c r="A1043" i="1"/>
  <c r="C1043" i="1"/>
  <c r="B1043" i="1" s="1"/>
  <c r="F1043" i="1"/>
  <c r="M1043" i="1"/>
  <c r="O1043" i="1"/>
  <c r="U1043" i="1"/>
  <c r="V1043" i="1"/>
  <c r="W1043" i="1" s="1"/>
  <c r="Z1043" i="1"/>
  <c r="A1042" i="1"/>
  <c r="C1042" i="1"/>
  <c r="B1042" i="1" s="1"/>
  <c r="F1042" i="1"/>
  <c r="M1042" i="1"/>
  <c r="O1042" i="1"/>
  <c r="U1042" i="1"/>
  <c r="Y1042" i="1" s="1"/>
  <c r="V1042" i="1"/>
  <c r="W1042" i="1" s="1"/>
  <c r="Z1042" i="1"/>
  <c r="A1041" i="1"/>
  <c r="C1041" i="1"/>
  <c r="B1041" i="1" s="1"/>
  <c r="F1041" i="1"/>
  <c r="M1041" i="1"/>
  <c r="O1041" i="1"/>
  <c r="U1041" i="1"/>
  <c r="Y1041" i="1" s="1"/>
  <c r="V1041" i="1"/>
  <c r="W1041" i="1" s="1"/>
  <c r="Z1041" i="1"/>
  <c r="A1098" i="1"/>
  <c r="C1098" i="1"/>
  <c r="B1098" i="1" s="1"/>
  <c r="F1098" i="1"/>
  <c r="M1098" i="1"/>
  <c r="O1098" i="1"/>
  <c r="U1098" i="1"/>
  <c r="Y1098" i="1" s="1"/>
  <c r="V1098" i="1"/>
  <c r="W1098" i="1" s="1"/>
  <c r="Z1098" i="1"/>
  <c r="Q581" i="1" l="1"/>
  <c r="R581" i="1" s="1"/>
  <c r="P849" i="1"/>
  <c r="P1069" i="1"/>
  <c r="P938" i="1"/>
  <c r="P426" i="1"/>
  <c r="P806" i="1"/>
  <c r="P611" i="1"/>
  <c r="P50" i="1"/>
  <c r="P204" i="1"/>
  <c r="P31" i="1"/>
  <c r="P277" i="1"/>
  <c r="P964" i="1"/>
  <c r="P541" i="1"/>
  <c r="P707" i="1"/>
  <c r="P708" i="1"/>
  <c r="Q514" i="1"/>
  <c r="Q824" i="1"/>
  <c r="Q1196" i="1"/>
  <c r="P449" i="1"/>
  <c r="P847" i="1"/>
  <c r="P1212" i="1"/>
  <c r="P608" i="1"/>
  <c r="P529" i="1"/>
  <c r="P370" i="1"/>
  <c r="P371" i="1"/>
  <c r="P302" i="1"/>
  <c r="P4" i="1"/>
  <c r="Q32" i="1"/>
  <c r="P1162" i="1"/>
  <c r="P427" i="1"/>
  <c r="P98" i="1"/>
  <c r="Q1045" i="1"/>
  <c r="Q838" i="1"/>
  <c r="Q1046" i="1"/>
  <c r="Q836" i="1"/>
  <c r="Q606" i="1"/>
  <c r="P715" i="1"/>
  <c r="P848" i="1"/>
  <c r="P939" i="1"/>
  <c r="P530" i="1"/>
  <c r="P613" i="1"/>
  <c r="P18" i="1"/>
  <c r="Q276" i="1"/>
  <c r="P963" i="1"/>
  <c r="P687" i="1"/>
  <c r="P850" i="1"/>
  <c r="Q851" i="1"/>
  <c r="Q837" i="1"/>
  <c r="P450" i="1"/>
  <c r="P448" i="1"/>
  <c r="P563" i="1"/>
  <c r="P612" i="1"/>
  <c r="P272" i="1"/>
  <c r="P196" i="1"/>
  <c r="Q268" i="1"/>
  <c r="P1163" i="1"/>
  <c r="P645" i="1"/>
  <c r="P540" i="1"/>
  <c r="P703" i="1"/>
  <c r="Q852" i="1"/>
  <c r="Q451" i="1"/>
  <c r="D196" i="1"/>
  <c r="D1215" i="1"/>
  <c r="D1216" i="1"/>
  <c r="D965" i="1"/>
  <c r="D540" i="1"/>
  <c r="D542" i="1"/>
  <c r="D942" i="1"/>
  <c r="D944" i="1"/>
  <c r="D1166" i="1"/>
  <c r="D1165" i="1"/>
  <c r="D943" i="1"/>
  <c r="D941" i="1"/>
  <c r="D940" i="1"/>
  <c r="D1164" i="1"/>
  <c r="D687" i="1"/>
  <c r="D689" i="1"/>
  <c r="D851" i="1"/>
  <c r="D852" i="1"/>
  <c r="P101" i="1"/>
  <c r="P99" i="1"/>
  <c r="P102" i="1"/>
  <c r="P100" i="1"/>
  <c r="D963" i="1"/>
  <c r="D964" i="1"/>
  <c r="D1162" i="1"/>
  <c r="D1163" i="1"/>
  <c r="D276" i="1"/>
  <c r="D277" i="1"/>
  <c r="D32" i="1"/>
  <c r="D31" i="1"/>
  <c r="P296" i="1"/>
  <c r="D611" i="1"/>
  <c r="D613" i="1"/>
  <c r="D612" i="1"/>
  <c r="P719" i="1"/>
  <c r="D939" i="1"/>
  <c r="D938" i="1"/>
  <c r="P846" i="1"/>
  <c r="X1002" i="1"/>
  <c r="X1084" i="1"/>
  <c r="X1083" i="1"/>
  <c r="X1195" i="1"/>
  <c r="X1082" i="1"/>
  <c r="T1082" i="1"/>
  <c r="R1082" i="1"/>
  <c r="X579" i="1"/>
  <c r="T1195" i="1"/>
  <c r="T579" i="1"/>
  <c r="X823" i="1"/>
  <c r="X230" i="1"/>
  <c r="X1185" i="1"/>
  <c r="P1185" i="1" s="1"/>
  <c r="T823" i="1"/>
  <c r="X793" i="1"/>
  <c r="X575" i="1"/>
  <c r="X576" i="1"/>
  <c r="X577" i="1"/>
  <c r="T1042" i="1"/>
  <c r="X578" i="1"/>
  <c r="X900" i="1"/>
  <c r="T575" i="1"/>
  <c r="T578" i="1"/>
  <c r="X1044" i="1"/>
  <c r="P1044" i="1" s="1"/>
  <c r="T1041" i="1"/>
  <c r="T1044" i="1"/>
  <c r="X1041" i="1"/>
  <c r="X1043" i="1"/>
  <c r="T1098" i="1"/>
  <c r="Y1043" i="1"/>
  <c r="T1043" i="1"/>
  <c r="X1042" i="1"/>
  <c r="X1098" i="1"/>
  <c r="P1195" i="1" l="1"/>
  <c r="P1041" i="1"/>
  <c r="P793" i="1"/>
  <c r="P823" i="1"/>
  <c r="P1083" i="1"/>
  <c r="Q846" i="1"/>
  <c r="R577" i="1"/>
  <c r="P1084" i="1"/>
  <c r="Q99" i="1"/>
  <c r="Q963" i="1"/>
  <c r="Q18" i="1"/>
  <c r="Q530" i="1"/>
  <c r="Q848" i="1"/>
  <c r="Q427" i="1"/>
  <c r="R32" i="1"/>
  <c r="Q302" i="1"/>
  <c r="Q370" i="1"/>
  <c r="Q608" i="1"/>
  <c r="Q847" i="1"/>
  <c r="Q707" i="1"/>
  <c r="Q964" i="1"/>
  <c r="Q31" i="1"/>
  <c r="Q50" i="1"/>
  <c r="Q806" i="1"/>
  <c r="Q938" i="1"/>
  <c r="Q849" i="1"/>
  <c r="P1098" i="1"/>
  <c r="P900" i="1"/>
  <c r="R576" i="1"/>
  <c r="Q1185" i="1"/>
  <c r="P1042" i="1"/>
  <c r="Q1044" i="1"/>
  <c r="P578" i="1"/>
  <c r="Q578" i="1" s="1"/>
  <c r="R575" i="1"/>
  <c r="R579" i="1"/>
  <c r="D579" i="1" s="1"/>
  <c r="P1002" i="1"/>
  <c r="Q719" i="1"/>
  <c r="Q296" i="1"/>
  <c r="Q101" i="1"/>
  <c r="R451" i="1"/>
  <c r="Q540" i="1"/>
  <c r="Q1163" i="1"/>
  <c r="Q196" i="1"/>
  <c r="Q612" i="1"/>
  <c r="Q448" i="1"/>
  <c r="R851" i="1"/>
  <c r="R836" i="1"/>
  <c r="R838" i="1"/>
  <c r="R824" i="1"/>
  <c r="D824" i="1" s="1"/>
  <c r="Q100" i="1"/>
  <c r="Q687" i="1"/>
  <c r="R276" i="1"/>
  <c r="Q613" i="1"/>
  <c r="Q939" i="1"/>
  <c r="Q715" i="1"/>
  <c r="Q98" i="1"/>
  <c r="Q1162" i="1"/>
  <c r="Q4" i="1"/>
  <c r="Q371" i="1"/>
  <c r="Q529" i="1"/>
  <c r="Q1212" i="1"/>
  <c r="Q449" i="1"/>
  <c r="Q708" i="1"/>
  <c r="Q541" i="1"/>
  <c r="Q277" i="1"/>
  <c r="Q204" i="1"/>
  <c r="Q611" i="1"/>
  <c r="Q426" i="1"/>
  <c r="Q1069" i="1"/>
  <c r="Q102" i="1"/>
  <c r="R852" i="1"/>
  <c r="Q703" i="1"/>
  <c r="Q645" i="1"/>
  <c r="R268" i="1"/>
  <c r="D268" i="1" s="1"/>
  <c r="Q272" i="1"/>
  <c r="Q563" i="1"/>
  <c r="Q450" i="1"/>
  <c r="R837" i="1"/>
  <c r="Q850" i="1"/>
  <c r="R606" i="1"/>
  <c r="D606" i="1" s="1"/>
  <c r="R1046" i="1"/>
  <c r="R1045" i="1"/>
  <c r="R1196" i="1"/>
  <c r="D1196" i="1" s="1"/>
  <c r="R514" i="1"/>
  <c r="D516" i="1" s="1"/>
  <c r="D722" i="1"/>
  <c r="D723" i="1"/>
  <c r="D720" i="1"/>
  <c r="D721" i="1"/>
  <c r="P230" i="1"/>
  <c r="D578" i="1"/>
  <c r="D1084" i="1"/>
  <c r="D1082" i="1"/>
  <c r="D1083" i="1"/>
  <c r="P1043" i="1"/>
  <c r="D575" i="1"/>
  <c r="D576" i="1"/>
  <c r="D577" i="1"/>
  <c r="D1044" i="1"/>
  <c r="D1042" i="1"/>
  <c r="D1043" i="1"/>
  <c r="D1041" i="1"/>
  <c r="Q1195" i="1" l="1"/>
  <c r="Q1043" i="1"/>
  <c r="R578" i="1"/>
  <c r="R850" i="1"/>
  <c r="R450" i="1"/>
  <c r="R272" i="1"/>
  <c r="D272" i="1" s="1"/>
  <c r="R645" i="1"/>
  <c r="D645" i="1" s="1"/>
  <c r="R1069" i="1"/>
  <c r="R611" i="1"/>
  <c r="R277" i="1"/>
  <c r="D278" i="1" s="1"/>
  <c r="R708" i="1"/>
  <c r="R1212" i="1"/>
  <c r="R371" i="1"/>
  <c r="R1162" i="1"/>
  <c r="R715" i="1"/>
  <c r="R613" i="1"/>
  <c r="R687" i="1"/>
  <c r="D688" i="1" s="1"/>
  <c r="R448" i="1"/>
  <c r="R196" i="1"/>
  <c r="R540" i="1"/>
  <c r="R101" i="1"/>
  <c r="R719" i="1"/>
  <c r="D724" i="1" s="1"/>
  <c r="R1044" i="1"/>
  <c r="Q1098" i="1"/>
  <c r="R938" i="1"/>
  <c r="R50" i="1"/>
  <c r="D50" i="1" s="1"/>
  <c r="R964" i="1"/>
  <c r="R847" i="1"/>
  <c r="R370" i="1"/>
  <c r="R848" i="1"/>
  <c r="R18" i="1"/>
  <c r="R99" i="1"/>
  <c r="Q1083" i="1"/>
  <c r="Q793" i="1"/>
  <c r="R563" i="1"/>
  <c r="R703" i="1"/>
  <c r="D703" i="1" s="1"/>
  <c r="R102" i="1"/>
  <c r="R426" i="1"/>
  <c r="R204" i="1"/>
  <c r="D204" i="1" s="1"/>
  <c r="R541" i="1"/>
  <c r="R449" i="1"/>
  <c r="R529" i="1"/>
  <c r="R4" i="1"/>
  <c r="R98" i="1"/>
  <c r="R939" i="1"/>
  <c r="D945" i="1" s="1"/>
  <c r="R100" i="1"/>
  <c r="R612" i="1"/>
  <c r="R1163" i="1"/>
  <c r="R296" i="1"/>
  <c r="D296" i="1" s="1"/>
  <c r="Q1002" i="1"/>
  <c r="Q230" i="1"/>
  <c r="Q1042" i="1"/>
  <c r="R1185" i="1"/>
  <c r="Q900" i="1"/>
  <c r="R849" i="1"/>
  <c r="R806" i="1"/>
  <c r="D806" i="1" s="1"/>
  <c r="R31" i="1"/>
  <c r="R707" i="1"/>
  <c r="R608" i="1"/>
  <c r="D608" i="1" s="1"/>
  <c r="R302" i="1"/>
  <c r="D302" i="1" s="1"/>
  <c r="R427" i="1"/>
  <c r="R530" i="1"/>
  <c r="R963" i="1"/>
  <c r="Q1084" i="1"/>
  <c r="R846" i="1"/>
  <c r="Q823" i="1"/>
  <c r="Q1041" i="1"/>
  <c r="A990" i="1"/>
  <c r="C990" i="1"/>
  <c r="B990" i="1" s="1"/>
  <c r="F990" i="1"/>
  <c r="M990" i="1"/>
  <c r="O990" i="1"/>
  <c r="T990" i="1"/>
  <c r="U990" i="1"/>
  <c r="Y990" i="1" s="1"/>
  <c r="V990" i="1"/>
  <c r="W990" i="1" s="1"/>
  <c r="Z990" i="1"/>
  <c r="A812" i="1"/>
  <c r="C812" i="1"/>
  <c r="B812" i="1" s="1"/>
  <c r="F812" i="1"/>
  <c r="M812" i="1"/>
  <c r="O812" i="1"/>
  <c r="U812" i="1"/>
  <c r="Y812" i="1" s="1"/>
  <c r="V812" i="1"/>
  <c r="W812" i="1" s="1"/>
  <c r="Z812" i="1"/>
  <c r="I104" i="104"/>
  <c r="A104" i="104"/>
  <c r="B104" i="104"/>
  <c r="C104" i="104"/>
  <c r="A528" i="1"/>
  <c r="C528" i="1"/>
  <c r="B528" i="1" s="1"/>
  <c r="F528" i="1"/>
  <c r="M528" i="1"/>
  <c r="O528" i="1"/>
  <c r="U528" i="1"/>
  <c r="Y528" i="1" s="1"/>
  <c r="V528" i="1"/>
  <c r="W528" i="1" s="1"/>
  <c r="Z528" i="1"/>
  <c r="D4" i="1" l="1"/>
  <c r="R1195" i="1"/>
  <c r="D1195" i="1" s="1"/>
  <c r="R1041" i="1"/>
  <c r="R823" i="1"/>
  <c r="D823" i="1" s="1"/>
  <c r="R1084" i="1"/>
  <c r="R900" i="1"/>
  <c r="D900" i="1" s="1"/>
  <c r="R1042" i="1"/>
  <c r="R1002" i="1"/>
  <c r="R1098" i="1"/>
  <c r="D1098" i="1" s="1"/>
  <c r="R230" i="1"/>
  <c r="D230" i="1" s="1"/>
  <c r="R1083" i="1"/>
  <c r="R793" i="1"/>
  <c r="D793" i="1" s="1"/>
  <c r="R1043" i="1"/>
  <c r="T812" i="1"/>
  <c r="X812" i="1"/>
  <c r="X990" i="1"/>
  <c r="T528" i="1"/>
  <c r="X528" i="1"/>
  <c r="P528" i="1" l="1"/>
  <c r="P812" i="1"/>
  <c r="P990" i="1"/>
  <c r="D529" i="1"/>
  <c r="D541" i="1"/>
  <c r="D528" i="1"/>
  <c r="D530" i="1"/>
  <c r="A49" i="1"/>
  <c r="C49" i="1"/>
  <c r="B49" i="1" s="1"/>
  <c r="F49" i="1"/>
  <c r="M49" i="1"/>
  <c r="O49" i="1"/>
  <c r="S49" i="1"/>
  <c r="T49" i="1"/>
  <c r="U49" i="1"/>
  <c r="Y49" i="1" s="1"/>
  <c r="V49" i="1"/>
  <c r="W49" i="1" s="1"/>
  <c r="Z49" i="1"/>
  <c r="A48" i="1"/>
  <c r="C48" i="1"/>
  <c r="B48" i="1" s="1"/>
  <c r="F48" i="1"/>
  <c r="M48" i="1"/>
  <c r="O48" i="1"/>
  <c r="U48" i="1"/>
  <c r="Y48" i="1" s="1"/>
  <c r="V48" i="1"/>
  <c r="W48" i="1" s="1"/>
  <c r="Z48" i="1"/>
  <c r="Q812" i="1" l="1"/>
  <c r="Q990" i="1"/>
  <c r="Q528" i="1"/>
  <c r="X49" i="1"/>
  <c r="X48" i="1"/>
  <c r="T48" i="1"/>
  <c r="A257" i="1"/>
  <c r="C257" i="1"/>
  <c r="B257" i="1" s="1"/>
  <c r="F257" i="1"/>
  <c r="M257" i="1"/>
  <c r="O257" i="1"/>
  <c r="S257" i="1"/>
  <c r="T257" i="1"/>
  <c r="U257" i="1"/>
  <c r="Y257" i="1" s="1"/>
  <c r="V257" i="1"/>
  <c r="W257" i="1" s="1"/>
  <c r="Z257" i="1"/>
  <c r="A716" i="1"/>
  <c r="C716" i="1"/>
  <c r="B716" i="1" s="1"/>
  <c r="F716" i="1"/>
  <c r="M716" i="1"/>
  <c r="O716" i="1"/>
  <c r="U716" i="1"/>
  <c r="Y716" i="1" s="1"/>
  <c r="V716" i="1"/>
  <c r="W716" i="1" s="1"/>
  <c r="Z716" i="1"/>
  <c r="A718" i="1"/>
  <c r="C718" i="1"/>
  <c r="B718" i="1" s="1"/>
  <c r="F718" i="1"/>
  <c r="M718" i="1"/>
  <c r="O718" i="1"/>
  <c r="U718" i="1"/>
  <c r="Y718" i="1" s="1"/>
  <c r="V718" i="1"/>
  <c r="W718" i="1" s="1"/>
  <c r="Z718" i="1"/>
  <c r="A717" i="1"/>
  <c r="C717" i="1"/>
  <c r="B717" i="1" s="1"/>
  <c r="F717" i="1"/>
  <c r="M717" i="1"/>
  <c r="O717" i="1"/>
  <c r="U717" i="1"/>
  <c r="Y717" i="1" s="1"/>
  <c r="V717" i="1"/>
  <c r="W717" i="1" s="1"/>
  <c r="Z717" i="1"/>
  <c r="A697" i="1"/>
  <c r="C697" i="1"/>
  <c r="B697" i="1" s="1"/>
  <c r="F697" i="1"/>
  <c r="O697" i="1"/>
  <c r="U697" i="1"/>
  <c r="Y697" i="1" s="1"/>
  <c r="V697" i="1"/>
  <c r="W697" i="1" s="1"/>
  <c r="Z697" i="1"/>
  <c r="A555" i="1"/>
  <c r="C555" i="1"/>
  <c r="B555" i="1" s="1"/>
  <c r="F555" i="1"/>
  <c r="M555" i="1"/>
  <c r="O555" i="1"/>
  <c r="U555" i="1"/>
  <c r="Y555" i="1" s="1"/>
  <c r="V555" i="1"/>
  <c r="W555" i="1" s="1"/>
  <c r="Z555" i="1"/>
  <c r="A675" i="1"/>
  <c r="C675" i="1"/>
  <c r="B675" i="1" s="1"/>
  <c r="F675" i="1"/>
  <c r="M675" i="1"/>
  <c r="O675" i="1"/>
  <c r="U675" i="1"/>
  <c r="Y675" i="1" s="1"/>
  <c r="V675" i="1"/>
  <c r="W675" i="1" s="1"/>
  <c r="Z675" i="1"/>
  <c r="A777" i="1"/>
  <c r="C777" i="1"/>
  <c r="B777" i="1" s="1"/>
  <c r="F777" i="1"/>
  <c r="M777" i="1"/>
  <c r="O777" i="1"/>
  <c r="U777" i="1"/>
  <c r="Y777" i="1" s="1"/>
  <c r="V777" i="1"/>
  <c r="W777" i="1" s="1"/>
  <c r="Z777" i="1"/>
  <c r="A1068" i="1"/>
  <c r="C1068" i="1"/>
  <c r="B1068" i="1" s="1"/>
  <c r="F1068" i="1"/>
  <c r="M1068" i="1"/>
  <c r="O1068" i="1"/>
  <c r="U1068" i="1"/>
  <c r="Y1068" i="1" s="1"/>
  <c r="V1068" i="1"/>
  <c r="W1068" i="1" s="1"/>
  <c r="Z1068" i="1"/>
  <c r="A1210" i="1"/>
  <c r="C1210" i="1"/>
  <c r="B1210" i="1" s="1"/>
  <c r="F1210" i="1"/>
  <c r="M1210" i="1"/>
  <c r="O1210" i="1"/>
  <c r="U1210" i="1"/>
  <c r="Y1210" i="1" s="1"/>
  <c r="V1210" i="1"/>
  <c r="W1210" i="1" s="1"/>
  <c r="Z1210" i="1"/>
  <c r="A1211" i="1"/>
  <c r="C1211" i="1"/>
  <c r="B1211" i="1" s="1"/>
  <c r="F1211" i="1"/>
  <c r="M1211" i="1"/>
  <c r="O1211" i="1"/>
  <c r="U1211" i="1"/>
  <c r="Y1211" i="1" s="1"/>
  <c r="V1211" i="1"/>
  <c r="W1211" i="1" s="1"/>
  <c r="Z1211" i="1"/>
  <c r="A1184" i="1"/>
  <c r="C1184" i="1"/>
  <c r="B1184" i="1" s="1"/>
  <c r="F1184" i="1"/>
  <c r="M1184" i="1"/>
  <c r="O1184" i="1"/>
  <c r="U1184" i="1"/>
  <c r="Y1184" i="1" s="1"/>
  <c r="V1184" i="1"/>
  <c r="W1184" i="1" s="1"/>
  <c r="Z1184" i="1"/>
  <c r="A425" i="1"/>
  <c r="C425" i="1"/>
  <c r="B425" i="1" s="1"/>
  <c r="F425" i="1"/>
  <c r="M425" i="1"/>
  <c r="O425" i="1"/>
  <c r="U425" i="1"/>
  <c r="Y425" i="1" s="1"/>
  <c r="V425" i="1"/>
  <c r="W425" i="1" s="1"/>
  <c r="Z425" i="1"/>
  <c r="A556" i="1"/>
  <c r="C556" i="1"/>
  <c r="B556" i="1" s="1"/>
  <c r="F556" i="1"/>
  <c r="M556" i="1"/>
  <c r="O556" i="1"/>
  <c r="U556" i="1"/>
  <c r="Y556" i="1" s="1"/>
  <c r="V556" i="1"/>
  <c r="W556" i="1" s="1"/>
  <c r="Z556" i="1"/>
  <c r="A513" i="1"/>
  <c r="C513" i="1"/>
  <c r="B513" i="1" s="1"/>
  <c r="F513" i="1"/>
  <c r="M513" i="1"/>
  <c r="O513" i="1"/>
  <c r="U513" i="1"/>
  <c r="Y513" i="1" s="1"/>
  <c r="V513" i="1"/>
  <c r="W513" i="1" s="1"/>
  <c r="Z513" i="1"/>
  <c r="A447" i="1"/>
  <c r="C447" i="1"/>
  <c r="B447" i="1" s="1"/>
  <c r="F447" i="1"/>
  <c r="M447" i="1"/>
  <c r="O447" i="1"/>
  <c r="U447" i="1"/>
  <c r="V447" i="1"/>
  <c r="W447" i="1" s="1"/>
  <c r="Z447" i="1"/>
  <c r="A446" i="1"/>
  <c r="C446" i="1"/>
  <c r="B446" i="1" s="1"/>
  <c r="F446" i="1"/>
  <c r="M446" i="1"/>
  <c r="O446" i="1"/>
  <c r="U446" i="1"/>
  <c r="Y446" i="1" s="1"/>
  <c r="V446" i="1"/>
  <c r="W446" i="1" s="1"/>
  <c r="Z446" i="1"/>
  <c r="I89" i="104"/>
  <c r="I18" i="104"/>
  <c r="I17" i="104"/>
  <c r="A89" i="104"/>
  <c r="B89" i="104"/>
  <c r="C89" i="104"/>
  <c r="A18" i="104"/>
  <c r="B18" i="104"/>
  <c r="C18" i="104"/>
  <c r="A17" i="104"/>
  <c r="B17" i="104"/>
  <c r="C17" i="104"/>
  <c r="R528" i="1" l="1"/>
  <c r="D531" i="1" s="1"/>
  <c r="P48" i="1"/>
  <c r="R812" i="1"/>
  <c r="D812" i="1" s="1"/>
  <c r="P49" i="1"/>
  <c r="R990" i="1"/>
  <c r="D990" i="1" s="1"/>
  <c r="T555" i="1"/>
  <c r="T697" i="1"/>
  <c r="T675" i="1"/>
  <c r="X257" i="1"/>
  <c r="T716" i="1"/>
  <c r="X716" i="1"/>
  <c r="T717" i="1"/>
  <c r="X717" i="1"/>
  <c r="T718" i="1"/>
  <c r="X718" i="1"/>
  <c r="X697" i="1"/>
  <c r="X555" i="1"/>
  <c r="X675" i="1"/>
  <c r="T777" i="1"/>
  <c r="X777" i="1"/>
  <c r="T425" i="1"/>
  <c r="T1184" i="1"/>
  <c r="X1210" i="1"/>
  <c r="T1068" i="1"/>
  <c r="X1068" i="1"/>
  <c r="T1210" i="1"/>
  <c r="T1211" i="1"/>
  <c r="X1211" i="1"/>
  <c r="X1184" i="1"/>
  <c r="X425" i="1"/>
  <c r="T556" i="1"/>
  <c r="X556" i="1"/>
  <c r="T513" i="1"/>
  <c r="T446" i="1"/>
  <c r="T447" i="1"/>
  <c r="X513" i="1"/>
  <c r="X447" i="1"/>
  <c r="Y447" i="1"/>
  <c r="X446" i="1"/>
  <c r="P513" i="1" l="1"/>
  <c r="P556" i="1"/>
  <c r="P1211" i="1"/>
  <c r="P777" i="1"/>
  <c r="P697" i="1"/>
  <c r="P446" i="1"/>
  <c r="P1210" i="1"/>
  <c r="P716" i="1"/>
  <c r="P1184" i="1"/>
  <c r="P1068" i="1"/>
  <c r="P555" i="1"/>
  <c r="P717" i="1"/>
  <c r="P257" i="1"/>
  <c r="Q48" i="1"/>
  <c r="P425" i="1"/>
  <c r="P675" i="1"/>
  <c r="Q49" i="1"/>
  <c r="D697" i="1"/>
  <c r="D1214" i="1"/>
  <c r="D1213" i="1"/>
  <c r="D425" i="1"/>
  <c r="D426" i="1"/>
  <c r="D1068" i="1"/>
  <c r="D1069" i="1"/>
  <c r="D1212" i="1"/>
  <c r="D1184" i="1"/>
  <c r="D1185" i="1"/>
  <c r="P718" i="1"/>
  <c r="D556" i="1"/>
  <c r="D555" i="1"/>
  <c r="D1211" i="1"/>
  <c r="D1210" i="1"/>
  <c r="P447" i="1"/>
  <c r="Q675" i="1" l="1"/>
  <c r="R48" i="1"/>
  <c r="D48" i="1" s="1"/>
  <c r="Q717" i="1"/>
  <c r="Q1068" i="1"/>
  <c r="Q716" i="1"/>
  <c r="Q446" i="1"/>
  <c r="Q777" i="1"/>
  <c r="Q556" i="1"/>
  <c r="Q447" i="1"/>
  <c r="Q718" i="1"/>
  <c r="R49" i="1"/>
  <c r="D49" i="1" s="1"/>
  <c r="Q425" i="1"/>
  <c r="Q257" i="1"/>
  <c r="Q555" i="1"/>
  <c r="Q1184" i="1"/>
  <c r="Q1210" i="1"/>
  <c r="Q697" i="1"/>
  <c r="Q1211" i="1"/>
  <c r="Q513" i="1"/>
  <c r="D719" i="1"/>
  <c r="D448" i="1"/>
  <c r="D449" i="1"/>
  <c r="D450" i="1"/>
  <c r="D715" i="1"/>
  <c r="D446" i="1"/>
  <c r="D718" i="1"/>
  <c r="D717" i="1"/>
  <c r="R1211" i="1" l="1"/>
  <c r="R1210" i="1"/>
  <c r="R555" i="1"/>
  <c r="R425" i="1"/>
  <c r="D427" i="1" s="1"/>
  <c r="R718" i="1"/>
  <c r="D716" i="1" s="1"/>
  <c r="R556" i="1"/>
  <c r="R446" i="1"/>
  <c r="R1068" i="1"/>
  <c r="R513" i="1"/>
  <c r="D513" i="1" s="1"/>
  <c r="R1184" i="1"/>
  <c r="R257" i="1"/>
  <c r="D257" i="1" s="1"/>
  <c r="R447" i="1"/>
  <c r="D447" i="1" s="1"/>
  <c r="R777" i="1"/>
  <c r="D777" i="1" s="1"/>
  <c r="R716" i="1"/>
  <c r="R717" i="1"/>
  <c r="R675" i="1"/>
  <c r="D675" i="1" s="1"/>
  <c r="O644" i="1"/>
  <c r="A637" i="1"/>
  <c r="C637" i="1"/>
  <c r="B637" i="1" s="1"/>
  <c r="D637" i="1"/>
  <c r="F637" i="1"/>
  <c r="M637" i="1"/>
  <c r="O637" i="1"/>
  <c r="S637" i="1"/>
  <c r="T637" i="1"/>
  <c r="U637" i="1"/>
  <c r="Y637" i="1" s="1"/>
  <c r="V637" i="1"/>
  <c r="W637" i="1" s="1"/>
  <c r="Z637" i="1"/>
  <c r="X637" i="1" l="1"/>
  <c r="A913" i="1"/>
  <c r="C913" i="1"/>
  <c r="B913" i="1" s="1"/>
  <c r="F913" i="1"/>
  <c r="M913" i="1"/>
  <c r="O913" i="1"/>
  <c r="T913" i="1"/>
  <c r="U913" i="1"/>
  <c r="Y913" i="1" s="1"/>
  <c r="V913" i="1"/>
  <c r="W913" i="1" s="1"/>
  <c r="Z913" i="1"/>
  <c r="A937" i="1"/>
  <c r="C937" i="1"/>
  <c r="B937" i="1" s="1"/>
  <c r="F937" i="1"/>
  <c r="M937" i="1"/>
  <c r="O937" i="1"/>
  <c r="T937" i="1"/>
  <c r="U937" i="1"/>
  <c r="Y937" i="1" s="1"/>
  <c r="V937" i="1"/>
  <c r="W937" i="1" s="1"/>
  <c r="Z937" i="1"/>
  <c r="A1194" i="1"/>
  <c r="C1194" i="1"/>
  <c r="B1194" i="1" s="1"/>
  <c r="F1194" i="1"/>
  <c r="O1194" i="1"/>
  <c r="T1194" i="1"/>
  <c r="U1194" i="1"/>
  <c r="Y1194" i="1" s="1"/>
  <c r="V1194" i="1"/>
  <c r="W1194" i="1" s="1"/>
  <c r="Z1194" i="1"/>
  <c r="A989" i="1"/>
  <c r="C989" i="1"/>
  <c r="B989" i="1" s="1"/>
  <c r="F989" i="1"/>
  <c r="M989" i="1"/>
  <c r="O989" i="1"/>
  <c r="T989" i="1"/>
  <c r="U989" i="1"/>
  <c r="Y989" i="1" s="1"/>
  <c r="V989" i="1"/>
  <c r="W989" i="1" s="1"/>
  <c r="Z989" i="1"/>
  <c r="A574" i="1"/>
  <c r="C574" i="1"/>
  <c r="B574" i="1" s="1"/>
  <c r="F574" i="1"/>
  <c r="M574" i="1"/>
  <c r="O574" i="1"/>
  <c r="T574" i="1"/>
  <c r="U574" i="1"/>
  <c r="Y574" i="1" s="1"/>
  <c r="V574" i="1"/>
  <c r="W574" i="1" s="1"/>
  <c r="Z574" i="1"/>
  <c r="A97" i="1"/>
  <c r="C97" i="1"/>
  <c r="B97" i="1" s="1"/>
  <c r="F97" i="1"/>
  <c r="M97" i="1"/>
  <c r="O97" i="1"/>
  <c r="S97" i="1"/>
  <c r="T97" i="1"/>
  <c r="U97" i="1"/>
  <c r="Y97" i="1" s="1"/>
  <c r="V97" i="1"/>
  <c r="W97" i="1" s="1"/>
  <c r="Z97" i="1"/>
  <c r="A96" i="1"/>
  <c r="C96" i="1"/>
  <c r="B96" i="1" s="1"/>
  <c r="F96" i="1"/>
  <c r="M96" i="1"/>
  <c r="O96" i="1"/>
  <c r="S96" i="1"/>
  <c r="T96" i="1"/>
  <c r="U96" i="1"/>
  <c r="Y96" i="1" s="1"/>
  <c r="V96" i="1"/>
  <c r="W96" i="1" s="1"/>
  <c r="Z96" i="1"/>
  <c r="A95" i="1"/>
  <c r="C95" i="1"/>
  <c r="B95" i="1" s="1"/>
  <c r="F95" i="1"/>
  <c r="M95" i="1"/>
  <c r="O95" i="1"/>
  <c r="T95" i="1"/>
  <c r="U95" i="1"/>
  <c r="V95" i="1"/>
  <c r="W95" i="1" s="1"/>
  <c r="Z95" i="1"/>
  <c r="A94" i="1"/>
  <c r="C94" i="1"/>
  <c r="B94" i="1" s="1"/>
  <c r="F94" i="1"/>
  <c r="M94" i="1"/>
  <c r="O94" i="1"/>
  <c r="T94" i="1"/>
  <c r="U94" i="1"/>
  <c r="Y94" i="1" s="1"/>
  <c r="V94" i="1"/>
  <c r="W94" i="1" s="1"/>
  <c r="Z94" i="1"/>
  <c r="A93" i="1"/>
  <c r="C93" i="1"/>
  <c r="B93" i="1" s="1"/>
  <c r="F93" i="1"/>
  <c r="M93" i="1"/>
  <c r="O93" i="1"/>
  <c r="U93" i="1"/>
  <c r="Y93" i="1" s="1"/>
  <c r="V93" i="1"/>
  <c r="W93" i="1" s="1"/>
  <c r="Z93" i="1"/>
  <c r="A92" i="1"/>
  <c r="C92" i="1"/>
  <c r="B92" i="1" s="1"/>
  <c r="F92" i="1"/>
  <c r="M92" i="1"/>
  <c r="O92" i="1"/>
  <c r="T92" i="1"/>
  <c r="U92" i="1"/>
  <c r="Y92" i="1" s="1"/>
  <c r="V92" i="1"/>
  <c r="W92" i="1" s="1"/>
  <c r="Z92" i="1"/>
  <c r="E517" i="6"/>
  <c r="F517" i="6"/>
  <c r="I517" i="6"/>
  <c r="J517" i="6"/>
  <c r="B25" i="15"/>
  <c r="C25" i="15"/>
  <c r="E421" i="6"/>
  <c r="F421" i="6"/>
  <c r="I421" i="6"/>
  <c r="J421" i="6"/>
  <c r="B16" i="15"/>
  <c r="C16" i="15"/>
  <c r="E482" i="6"/>
  <c r="F482" i="6"/>
  <c r="I482" i="6"/>
  <c r="J482" i="6"/>
  <c r="B19" i="15"/>
  <c r="C19" i="15"/>
  <c r="E503" i="6"/>
  <c r="F503" i="6"/>
  <c r="I503" i="6"/>
  <c r="J503" i="6"/>
  <c r="E437" i="6"/>
  <c r="F437" i="6"/>
  <c r="I437" i="6"/>
  <c r="J437" i="6"/>
  <c r="E439" i="6"/>
  <c r="F439" i="6"/>
  <c r="I439" i="6"/>
  <c r="J439" i="6"/>
  <c r="E438" i="6"/>
  <c r="F438" i="6"/>
  <c r="I438" i="6"/>
  <c r="J438" i="6"/>
  <c r="E471" i="6"/>
  <c r="F471" i="6"/>
  <c r="I471" i="6"/>
  <c r="J471" i="6"/>
  <c r="E436" i="6"/>
  <c r="F436" i="6"/>
  <c r="I436" i="6"/>
  <c r="J436" i="6"/>
  <c r="E396" i="6"/>
  <c r="E397" i="6"/>
  <c r="F396" i="6"/>
  <c r="F397" i="6"/>
  <c r="I396" i="6"/>
  <c r="I397" i="6"/>
  <c r="J396" i="6"/>
  <c r="J397" i="6"/>
  <c r="E592" i="6"/>
  <c r="I592" i="6"/>
  <c r="J592" i="6"/>
  <c r="A444" i="1"/>
  <c r="A445" i="1"/>
  <c r="C444" i="1"/>
  <c r="B444" i="1" s="1"/>
  <c r="C445" i="1"/>
  <c r="B445" i="1" s="1"/>
  <c r="F444" i="1"/>
  <c r="F445" i="1"/>
  <c r="M444" i="1"/>
  <c r="M445" i="1"/>
  <c r="O444" i="1"/>
  <c r="O445" i="1"/>
  <c r="T444" i="1"/>
  <c r="T445" i="1"/>
  <c r="U444" i="1"/>
  <c r="Y444" i="1" s="1"/>
  <c r="U445" i="1"/>
  <c r="Y445" i="1" s="1"/>
  <c r="V444" i="1"/>
  <c r="W444" i="1" s="1"/>
  <c r="V445" i="1"/>
  <c r="W445" i="1" s="1"/>
  <c r="Z444" i="1"/>
  <c r="Z445" i="1"/>
  <c r="I15" i="104"/>
  <c r="A15" i="104"/>
  <c r="B15" i="104"/>
  <c r="C15" i="104"/>
  <c r="I16" i="104"/>
  <c r="A16" i="104"/>
  <c r="B16" i="104"/>
  <c r="C16" i="104"/>
  <c r="A1027" i="1"/>
  <c r="C1027" i="1"/>
  <c r="B1027" i="1" s="1"/>
  <c r="F1027" i="1"/>
  <c r="M1027" i="1"/>
  <c r="O1027" i="1"/>
  <c r="T1027" i="1"/>
  <c r="U1027" i="1"/>
  <c r="Y1027" i="1" s="1"/>
  <c r="V1027" i="1"/>
  <c r="W1027" i="1" s="1"/>
  <c r="Z1027" i="1"/>
  <c r="A1153" i="1"/>
  <c r="C1153" i="1"/>
  <c r="B1153" i="1" s="1"/>
  <c r="F1153" i="1"/>
  <c r="M1153" i="1"/>
  <c r="O1153" i="1"/>
  <c r="U1153" i="1"/>
  <c r="V1153" i="1"/>
  <c r="W1153" i="1" s="1"/>
  <c r="Z1153" i="1"/>
  <c r="A91" i="1"/>
  <c r="C91" i="1"/>
  <c r="B91" i="1" s="1"/>
  <c r="F91" i="1"/>
  <c r="M91" i="1"/>
  <c r="O91" i="1"/>
  <c r="T91" i="1"/>
  <c r="U91" i="1"/>
  <c r="Y91" i="1" s="1"/>
  <c r="V91" i="1"/>
  <c r="W91" i="1" s="1"/>
  <c r="Z91" i="1"/>
  <c r="A47" i="1"/>
  <c r="C47" i="1"/>
  <c r="B47" i="1" s="1"/>
  <c r="F47" i="1"/>
  <c r="M47" i="1"/>
  <c r="O47" i="1"/>
  <c r="T47" i="1"/>
  <c r="U47" i="1"/>
  <c r="Y47" i="1" s="1"/>
  <c r="V47" i="1"/>
  <c r="W47" i="1" s="1"/>
  <c r="Z47" i="1"/>
  <c r="P637" i="1" l="1"/>
  <c r="X913" i="1"/>
  <c r="X937" i="1"/>
  <c r="X1194" i="1"/>
  <c r="X574" i="1"/>
  <c r="X989" i="1"/>
  <c r="X96" i="1"/>
  <c r="X97" i="1"/>
  <c r="X94" i="1"/>
  <c r="X95" i="1"/>
  <c r="Y95" i="1"/>
  <c r="X93" i="1"/>
  <c r="X92" i="1"/>
  <c r="T93" i="1"/>
  <c r="X445" i="1"/>
  <c r="X444" i="1"/>
  <c r="X1027" i="1"/>
  <c r="T1153" i="1"/>
  <c r="X1153" i="1"/>
  <c r="Y1153" i="1"/>
  <c r="X91" i="1"/>
  <c r="X47" i="1"/>
  <c r="P91" i="1" l="1"/>
  <c r="P444" i="1"/>
  <c r="P94" i="1"/>
  <c r="R574" i="1"/>
  <c r="D574" i="1" s="1"/>
  <c r="P445" i="1"/>
  <c r="P93" i="1"/>
  <c r="P97" i="1"/>
  <c r="P1194" i="1"/>
  <c r="P92" i="1"/>
  <c r="P47" i="1"/>
  <c r="P96" i="1"/>
  <c r="P937" i="1"/>
  <c r="Q637" i="1"/>
  <c r="P1027" i="1"/>
  <c r="P989" i="1"/>
  <c r="P913" i="1"/>
  <c r="P95" i="1"/>
  <c r="P1153" i="1"/>
  <c r="A369" i="1"/>
  <c r="C369" i="1"/>
  <c r="T369" i="1" s="1"/>
  <c r="F369" i="1"/>
  <c r="M369" i="1"/>
  <c r="O369" i="1"/>
  <c r="U369" i="1"/>
  <c r="Y369" i="1" s="1"/>
  <c r="V369" i="1"/>
  <c r="W369" i="1" s="1"/>
  <c r="Z369" i="1"/>
  <c r="A368" i="1"/>
  <c r="C368" i="1"/>
  <c r="B368" i="1" s="1"/>
  <c r="F368" i="1"/>
  <c r="M368" i="1"/>
  <c r="O368" i="1"/>
  <c r="U368" i="1"/>
  <c r="Y368" i="1" s="1"/>
  <c r="V368" i="1"/>
  <c r="W368" i="1" s="1"/>
  <c r="Z368" i="1"/>
  <c r="A367" i="1"/>
  <c r="C367" i="1"/>
  <c r="B367" i="1" s="1"/>
  <c r="F367" i="1"/>
  <c r="M367" i="1"/>
  <c r="O367" i="1"/>
  <c r="U367" i="1"/>
  <c r="V367" i="1"/>
  <c r="W367" i="1" s="1"/>
  <c r="Z367" i="1"/>
  <c r="Q444" i="1" l="1"/>
  <c r="Q913" i="1"/>
  <c r="Q937" i="1"/>
  <c r="Q1153" i="1"/>
  <c r="Q1027" i="1"/>
  <c r="Q47" i="1"/>
  <c r="Q1194" i="1"/>
  <c r="Q93" i="1"/>
  <c r="Q95" i="1"/>
  <c r="Q989" i="1"/>
  <c r="R637" i="1"/>
  <c r="Q96" i="1"/>
  <c r="Q92" i="1"/>
  <c r="Q97" i="1"/>
  <c r="Q445" i="1"/>
  <c r="Q94" i="1"/>
  <c r="Q91" i="1"/>
  <c r="X369" i="1"/>
  <c r="X368" i="1"/>
  <c r="B369" i="1"/>
  <c r="T368" i="1"/>
  <c r="X367" i="1"/>
  <c r="T367" i="1"/>
  <c r="Y367" i="1"/>
  <c r="A916" i="1"/>
  <c r="C916" i="1"/>
  <c r="B916" i="1" s="1"/>
  <c r="F916" i="1"/>
  <c r="O916" i="1"/>
  <c r="U916" i="1"/>
  <c r="Y916" i="1" s="1"/>
  <c r="V916" i="1"/>
  <c r="W916" i="1" s="1"/>
  <c r="Z916" i="1"/>
  <c r="A1003" i="1"/>
  <c r="C1003" i="1"/>
  <c r="B1003" i="1" s="1"/>
  <c r="F1003" i="1"/>
  <c r="M1003" i="1"/>
  <c r="O1003" i="1"/>
  <c r="U1003" i="1"/>
  <c r="V1003" i="1"/>
  <c r="W1003" i="1" s="1"/>
  <c r="Z1003" i="1"/>
  <c r="R91" i="1" l="1"/>
  <c r="R445" i="1"/>
  <c r="R92" i="1"/>
  <c r="R95" i="1"/>
  <c r="R1194" i="1"/>
  <c r="D1194" i="1" s="1"/>
  <c r="R1027" i="1"/>
  <c r="D1027" i="1" s="1"/>
  <c r="P368" i="1"/>
  <c r="R913" i="1"/>
  <c r="P369" i="1"/>
  <c r="R94" i="1"/>
  <c r="R97" i="1"/>
  <c r="R96" i="1"/>
  <c r="R989" i="1"/>
  <c r="D989" i="1" s="1"/>
  <c r="R93" i="1"/>
  <c r="R47" i="1"/>
  <c r="D47" i="1" s="1"/>
  <c r="R1153" i="1"/>
  <c r="D1153" i="1" s="1"/>
  <c r="R937" i="1"/>
  <c r="D937" i="1" s="1"/>
  <c r="R444" i="1"/>
  <c r="P367" i="1"/>
  <c r="D367" i="1"/>
  <c r="T916" i="1"/>
  <c r="T1003" i="1"/>
  <c r="X916" i="1"/>
  <c r="X1003" i="1"/>
  <c r="Y1003" i="1"/>
  <c r="A706" i="1"/>
  <c r="C706" i="1"/>
  <c r="B706" i="1" s="1"/>
  <c r="F706" i="1"/>
  <c r="M706" i="1"/>
  <c r="O706" i="1"/>
  <c r="T706" i="1"/>
  <c r="U706" i="1"/>
  <c r="Y706" i="1" s="1"/>
  <c r="V706" i="1"/>
  <c r="W706" i="1" s="1"/>
  <c r="Z706" i="1"/>
  <c r="A705" i="1"/>
  <c r="C705" i="1"/>
  <c r="B705" i="1" s="1"/>
  <c r="F705" i="1"/>
  <c r="M705" i="1"/>
  <c r="O705" i="1"/>
  <c r="U705" i="1"/>
  <c r="Y705" i="1" s="1"/>
  <c r="V705" i="1"/>
  <c r="W705" i="1" s="1"/>
  <c r="Z705" i="1"/>
  <c r="A704" i="1"/>
  <c r="C704" i="1"/>
  <c r="B704" i="1" s="1"/>
  <c r="F704" i="1"/>
  <c r="M704" i="1"/>
  <c r="O704" i="1"/>
  <c r="U704" i="1"/>
  <c r="Y704" i="1" s="1"/>
  <c r="V704" i="1"/>
  <c r="W704" i="1" s="1"/>
  <c r="Z704" i="1"/>
  <c r="A674" i="1"/>
  <c r="C674" i="1"/>
  <c r="B674" i="1" s="1"/>
  <c r="F674" i="1"/>
  <c r="M674" i="1"/>
  <c r="O674" i="1"/>
  <c r="U674" i="1"/>
  <c r="Y674" i="1" s="1"/>
  <c r="V674" i="1"/>
  <c r="W674" i="1" s="1"/>
  <c r="Z674" i="1"/>
  <c r="A17" i="1"/>
  <c r="C17" i="1"/>
  <c r="B17" i="1" s="1"/>
  <c r="F17" i="1"/>
  <c r="M17" i="1"/>
  <c r="O17" i="1"/>
  <c r="U17" i="1"/>
  <c r="Y17" i="1" s="1"/>
  <c r="V17" i="1"/>
  <c r="W17" i="1" s="1"/>
  <c r="Z17" i="1"/>
  <c r="A16" i="1"/>
  <c r="C16" i="1"/>
  <c r="B16" i="1" s="1"/>
  <c r="F16" i="1"/>
  <c r="M16" i="1"/>
  <c r="O16" i="1"/>
  <c r="U16" i="1"/>
  <c r="Y16" i="1" s="1"/>
  <c r="V16" i="1"/>
  <c r="W16" i="1" s="1"/>
  <c r="Z16" i="1"/>
  <c r="A46" i="1"/>
  <c r="C46" i="1"/>
  <c r="B46" i="1" s="1"/>
  <c r="F46" i="1"/>
  <c r="M46" i="1"/>
  <c r="O46" i="1"/>
  <c r="T46" i="1"/>
  <c r="U46" i="1"/>
  <c r="Y46" i="1" s="1"/>
  <c r="V46" i="1"/>
  <c r="W46" i="1" s="1"/>
  <c r="Z46" i="1"/>
  <c r="A30" i="1"/>
  <c r="C30" i="1"/>
  <c r="B30" i="1" s="1"/>
  <c r="F30" i="1"/>
  <c r="M30" i="1"/>
  <c r="O30" i="1"/>
  <c r="U30" i="1"/>
  <c r="Y30" i="1" s="1"/>
  <c r="V30" i="1"/>
  <c r="W30" i="1" s="1"/>
  <c r="Z30" i="1"/>
  <c r="A260" i="1"/>
  <c r="C260" i="1"/>
  <c r="B260" i="1" s="1"/>
  <c r="F260" i="1"/>
  <c r="M260" i="1"/>
  <c r="O260" i="1"/>
  <c r="U260" i="1"/>
  <c r="Y260" i="1" s="1"/>
  <c r="V260" i="1"/>
  <c r="W260" i="1" s="1"/>
  <c r="Z260" i="1"/>
  <c r="A337" i="1"/>
  <c r="C337" i="1"/>
  <c r="B337" i="1" s="1"/>
  <c r="F337" i="1"/>
  <c r="M337" i="1"/>
  <c r="O337" i="1"/>
  <c r="U337" i="1"/>
  <c r="Y337" i="1" s="1"/>
  <c r="V337" i="1"/>
  <c r="W337" i="1" s="1"/>
  <c r="Z337" i="1"/>
  <c r="A409" i="1"/>
  <c r="C409" i="1"/>
  <c r="B409" i="1" s="1"/>
  <c r="F409" i="1"/>
  <c r="M409" i="1"/>
  <c r="O409" i="1"/>
  <c r="U409" i="1"/>
  <c r="Y409" i="1" s="1"/>
  <c r="V409" i="1"/>
  <c r="W409" i="1" s="1"/>
  <c r="Z409" i="1"/>
  <c r="A610" i="1"/>
  <c r="C610" i="1"/>
  <c r="B610" i="1" s="1"/>
  <c r="F610" i="1"/>
  <c r="M610" i="1"/>
  <c r="O610" i="1"/>
  <c r="U610" i="1"/>
  <c r="Y610" i="1" s="1"/>
  <c r="V610" i="1"/>
  <c r="W610" i="1" s="1"/>
  <c r="Z610" i="1"/>
  <c r="A651" i="1"/>
  <c r="C651" i="1"/>
  <c r="B651" i="1" s="1"/>
  <c r="F651" i="1"/>
  <c r="M651" i="1"/>
  <c r="O651" i="1"/>
  <c r="U651" i="1"/>
  <c r="Y651" i="1" s="1"/>
  <c r="V651" i="1"/>
  <c r="W651" i="1" s="1"/>
  <c r="Z651" i="1"/>
  <c r="A650" i="1"/>
  <c r="C650" i="1"/>
  <c r="B650" i="1" s="1"/>
  <c r="F650" i="1"/>
  <c r="M650" i="1"/>
  <c r="O650" i="1"/>
  <c r="U650" i="1"/>
  <c r="Y650" i="1" s="1"/>
  <c r="V650" i="1"/>
  <c r="W650" i="1" s="1"/>
  <c r="Z650" i="1"/>
  <c r="A229" i="1"/>
  <c r="C229" i="1"/>
  <c r="B229" i="1" s="1"/>
  <c r="F229" i="1"/>
  <c r="M229" i="1"/>
  <c r="O229" i="1"/>
  <c r="T229" i="1"/>
  <c r="U229" i="1"/>
  <c r="Y229" i="1" s="1"/>
  <c r="V229" i="1"/>
  <c r="W229" i="1" s="1"/>
  <c r="Z229" i="1"/>
  <c r="A766" i="1"/>
  <c r="C766" i="1"/>
  <c r="B766" i="1" s="1"/>
  <c r="F766" i="1"/>
  <c r="M766" i="1"/>
  <c r="O766" i="1"/>
  <c r="T766" i="1"/>
  <c r="U766" i="1"/>
  <c r="Y766" i="1" s="1"/>
  <c r="V766" i="1"/>
  <c r="W766" i="1" s="1"/>
  <c r="Z766" i="1"/>
  <c r="A911" i="1"/>
  <c r="C911" i="1"/>
  <c r="B911" i="1" s="1"/>
  <c r="F911" i="1"/>
  <c r="O911" i="1"/>
  <c r="U911" i="1"/>
  <c r="Y911" i="1" s="1"/>
  <c r="V911" i="1"/>
  <c r="W911" i="1" s="1"/>
  <c r="Z911" i="1"/>
  <c r="A1097" i="1"/>
  <c r="C1097" i="1"/>
  <c r="B1097" i="1" s="1"/>
  <c r="F1097" i="1"/>
  <c r="M1097" i="1"/>
  <c r="O1097" i="1"/>
  <c r="T1097" i="1"/>
  <c r="U1097" i="1"/>
  <c r="Y1097" i="1" s="1"/>
  <c r="V1097" i="1"/>
  <c r="W1097" i="1" s="1"/>
  <c r="Z1097" i="1"/>
  <c r="A792" i="1"/>
  <c r="C792" i="1"/>
  <c r="B792" i="1" s="1"/>
  <c r="F792" i="1"/>
  <c r="M792" i="1"/>
  <c r="O792" i="1"/>
  <c r="T792" i="1"/>
  <c r="U792" i="1"/>
  <c r="Y792" i="1" s="1"/>
  <c r="V792" i="1"/>
  <c r="W792" i="1" s="1"/>
  <c r="Z792" i="1"/>
  <c r="E665" i="6"/>
  <c r="E652" i="6"/>
  <c r="E678" i="6"/>
  <c r="E28" i="6"/>
  <c r="E80" i="6"/>
  <c r="E136" i="6"/>
  <c r="E272" i="6"/>
  <c r="E295" i="6"/>
  <c r="E333" i="6"/>
  <c r="F28" i="6"/>
  <c r="F80" i="6"/>
  <c r="F272" i="6"/>
  <c r="F295" i="6"/>
  <c r="F333" i="6"/>
  <c r="I665" i="6"/>
  <c r="I652" i="6"/>
  <c r="I678" i="6"/>
  <c r="I28" i="6"/>
  <c r="I80" i="6"/>
  <c r="I136" i="6"/>
  <c r="I272" i="6"/>
  <c r="I295" i="6"/>
  <c r="I333" i="6"/>
  <c r="J665" i="6"/>
  <c r="J652" i="6"/>
  <c r="J678" i="6"/>
  <c r="J28" i="6"/>
  <c r="J80" i="6"/>
  <c r="J136" i="6"/>
  <c r="J272" i="6"/>
  <c r="J295" i="6"/>
  <c r="J333" i="6"/>
  <c r="A644" i="1"/>
  <c r="C644" i="1"/>
  <c r="B644" i="1" s="1"/>
  <c r="F644" i="1"/>
  <c r="U644" i="1"/>
  <c r="V644" i="1"/>
  <c r="W644" i="1" s="1"/>
  <c r="Z644" i="1"/>
  <c r="A672" i="1"/>
  <c r="C672" i="1"/>
  <c r="B672" i="1" s="1"/>
  <c r="F672" i="1"/>
  <c r="M672" i="1"/>
  <c r="O672" i="1"/>
  <c r="S672" i="1"/>
  <c r="T672" i="1"/>
  <c r="U672" i="1"/>
  <c r="Y672" i="1" s="1"/>
  <c r="V672" i="1"/>
  <c r="W672" i="1" s="1"/>
  <c r="Z672" i="1"/>
  <c r="A673" i="1"/>
  <c r="C673" i="1"/>
  <c r="B673" i="1" s="1"/>
  <c r="F673" i="1"/>
  <c r="M673" i="1"/>
  <c r="O673" i="1"/>
  <c r="U673" i="1"/>
  <c r="Y673" i="1" s="1"/>
  <c r="V673" i="1"/>
  <c r="W673" i="1" s="1"/>
  <c r="Z673" i="1"/>
  <c r="A573" i="1"/>
  <c r="C573" i="1"/>
  <c r="B573" i="1" s="1"/>
  <c r="F573" i="1"/>
  <c r="M573" i="1"/>
  <c r="O573" i="1"/>
  <c r="S573" i="1"/>
  <c r="T573" i="1"/>
  <c r="U573" i="1"/>
  <c r="Y573" i="1" s="1"/>
  <c r="V573" i="1"/>
  <c r="W573" i="1" s="1"/>
  <c r="Z573" i="1"/>
  <c r="A572" i="1"/>
  <c r="C572" i="1"/>
  <c r="B572" i="1" s="1"/>
  <c r="F572" i="1"/>
  <c r="M572" i="1"/>
  <c r="O572" i="1"/>
  <c r="S572" i="1"/>
  <c r="U572" i="1"/>
  <c r="Y572" i="1" s="1"/>
  <c r="V572" i="1"/>
  <c r="W572" i="1" s="1"/>
  <c r="Z572" i="1"/>
  <c r="A571" i="1"/>
  <c r="C571" i="1"/>
  <c r="B571" i="1" s="1"/>
  <c r="F571" i="1"/>
  <c r="M571" i="1"/>
  <c r="O571" i="1"/>
  <c r="S571" i="1"/>
  <c r="U571" i="1"/>
  <c r="V571" i="1"/>
  <c r="W571" i="1" s="1"/>
  <c r="Z571" i="1"/>
  <c r="A570" i="1"/>
  <c r="C570" i="1"/>
  <c r="B570" i="1" s="1"/>
  <c r="F570" i="1"/>
  <c r="M570" i="1"/>
  <c r="O570" i="1"/>
  <c r="S570" i="1"/>
  <c r="U570" i="1"/>
  <c r="Y570" i="1" s="1"/>
  <c r="V570" i="1"/>
  <c r="W570" i="1" s="1"/>
  <c r="Z570" i="1"/>
  <c r="A1038" i="1"/>
  <c r="A1039" i="1"/>
  <c r="A1040" i="1"/>
  <c r="C1038" i="1"/>
  <c r="B1038" i="1" s="1"/>
  <c r="C1039" i="1"/>
  <c r="B1039" i="1" s="1"/>
  <c r="C1040" i="1"/>
  <c r="B1040" i="1" s="1"/>
  <c r="F1038" i="1"/>
  <c r="F1039" i="1"/>
  <c r="F1040" i="1"/>
  <c r="M1038" i="1"/>
  <c r="M1039" i="1"/>
  <c r="M1040" i="1"/>
  <c r="O1038" i="1"/>
  <c r="O1039" i="1"/>
  <c r="O1040" i="1"/>
  <c r="S1038" i="1"/>
  <c r="S1039" i="1"/>
  <c r="S1040" i="1"/>
  <c r="T1038" i="1"/>
  <c r="T1040" i="1"/>
  <c r="U1038" i="1"/>
  <c r="Y1038" i="1" s="1"/>
  <c r="U1039" i="1"/>
  <c r="Y1039" i="1" s="1"/>
  <c r="U1040" i="1"/>
  <c r="Y1040" i="1" s="1"/>
  <c r="V1038" i="1"/>
  <c r="W1038" i="1" s="1"/>
  <c r="V1039" i="1"/>
  <c r="W1039" i="1" s="1"/>
  <c r="V1040" i="1"/>
  <c r="W1040" i="1" s="1"/>
  <c r="Z1038" i="1"/>
  <c r="Z1039" i="1"/>
  <c r="Z1040" i="1"/>
  <c r="A1037" i="1"/>
  <c r="C1037" i="1"/>
  <c r="B1037" i="1" s="1"/>
  <c r="F1037" i="1"/>
  <c r="M1037" i="1"/>
  <c r="O1037" i="1"/>
  <c r="S1037" i="1"/>
  <c r="U1037" i="1"/>
  <c r="Y1037" i="1" s="1"/>
  <c r="V1037" i="1"/>
  <c r="W1037" i="1" s="1"/>
  <c r="Z1037" i="1"/>
  <c r="A899" i="1"/>
  <c r="C899" i="1"/>
  <c r="B899" i="1" s="1"/>
  <c r="F899" i="1"/>
  <c r="M899" i="1"/>
  <c r="S899" i="1"/>
  <c r="T899" i="1"/>
  <c r="U899" i="1"/>
  <c r="Y899" i="1" s="1"/>
  <c r="V899" i="1"/>
  <c r="W899" i="1" s="1"/>
  <c r="Z899" i="1"/>
  <c r="A822" i="1"/>
  <c r="C822" i="1"/>
  <c r="B822" i="1" s="1"/>
  <c r="F822" i="1"/>
  <c r="M822" i="1"/>
  <c r="O822" i="1"/>
  <c r="T822" i="1"/>
  <c r="U822" i="1"/>
  <c r="Y822" i="1" s="1"/>
  <c r="V822" i="1"/>
  <c r="W822" i="1" s="1"/>
  <c r="Z822" i="1"/>
  <c r="A1161" i="1"/>
  <c r="C1161" i="1"/>
  <c r="B1161" i="1" s="1"/>
  <c r="F1161" i="1"/>
  <c r="M1161" i="1"/>
  <c r="O1161" i="1"/>
  <c r="U1161" i="1"/>
  <c r="Y1161" i="1" s="1"/>
  <c r="V1161" i="1"/>
  <c r="W1161" i="1" s="1"/>
  <c r="Z1161" i="1"/>
  <c r="A888" i="1"/>
  <c r="C888" i="1"/>
  <c r="B888" i="1" s="1"/>
  <c r="F888" i="1"/>
  <c r="M888" i="1"/>
  <c r="O888" i="1"/>
  <c r="U888" i="1"/>
  <c r="Y888" i="1" s="1"/>
  <c r="V888" i="1"/>
  <c r="W888" i="1" s="1"/>
  <c r="Z888" i="1"/>
  <c r="A886" i="1"/>
  <c r="C886" i="1"/>
  <c r="B886" i="1" s="1"/>
  <c r="F886" i="1"/>
  <c r="M886" i="1"/>
  <c r="O886" i="1"/>
  <c r="U886" i="1"/>
  <c r="Y886" i="1" s="1"/>
  <c r="V886" i="1"/>
  <c r="W886" i="1" s="1"/>
  <c r="Z886" i="1"/>
  <c r="A885" i="1"/>
  <c r="C885" i="1"/>
  <c r="B885" i="1" s="1"/>
  <c r="F885" i="1"/>
  <c r="M885" i="1"/>
  <c r="O885" i="1"/>
  <c r="U885" i="1"/>
  <c r="Y885" i="1" s="1"/>
  <c r="V885" i="1"/>
  <c r="W885" i="1" s="1"/>
  <c r="Z885" i="1"/>
  <c r="A817" i="1"/>
  <c r="C817" i="1"/>
  <c r="B817" i="1" s="1"/>
  <c r="F817" i="1"/>
  <c r="M817" i="1"/>
  <c r="O817" i="1"/>
  <c r="U817" i="1"/>
  <c r="Y817" i="1" s="1"/>
  <c r="V817" i="1"/>
  <c r="W817" i="1" s="1"/>
  <c r="Z817" i="1"/>
  <c r="A797" i="1"/>
  <c r="C797" i="1"/>
  <c r="B797" i="1" s="1"/>
  <c r="F797" i="1"/>
  <c r="M797" i="1"/>
  <c r="O797" i="1"/>
  <c r="U797" i="1"/>
  <c r="Y797" i="1" s="1"/>
  <c r="V797" i="1"/>
  <c r="W797" i="1" s="1"/>
  <c r="Z797" i="1"/>
  <c r="A609" i="1"/>
  <c r="C609" i="1"/>
  <c r="B609" i="1" s="1"/>
  <c r="F609" i="1"/>
  <c r="M609" i="1"/>
  <c r="O609" i="1"/>
  <c r="U609" i="1"/>
  <c r="V609" i="1"/>
  <c r="W609" i="1" s="1"/>
  <c r="Z609" i="1"/>
  <c r="A436" i="1"/>
  <c r="C436" i="1"/>
  <c r="B436" i="1" s="1"/>
  <c r="F436" i="1"/>
  <c r="O436" i="1"/>
  <c r="S436" i="1"/>
  <c r="T436" i="1"/>
  <c r="U436" i="1"/>
  <c r="Y436" i="1" s="1"/>
  <c r="V436" i="1"/>
  <c r="W436" i="1" s="1"/>
  <c r="Z436" i="1"/>
  <c r="A366" i="1"/>
  <c r="C366" i="1"/>
  <c r="B366" i="1" s="1"/>
  <c r="F366" i="1"/>
  <c r="M366" i="1"/>
  <c r="O366" i="1"/>
  <c r="T366" i="1"/>
  <c r="U366" i="1"/>
  <c r="Y366" i="1" s="1"/>
  <c r="V366" i="1"/>
  <c r="W366" i="1" s="1"/>
  <c r="Z366" i="1"/>
  <c r="A365" i="1"/>
  <c r="C365" i="1"/>
  <c r="B365" i="1" s="1"/>
  <c r="F365" i="1"/>
  <c r="M365" i="1"/>
  <c r="O365" i="1"/>
  <c r="U365" i="1"/>
  <c r="Y365" i="1" s="1"/>
  <c r="V365" i="1"/>
  <c r="W365" i="1" s="1"/>
  <c r="Z365" i="1"/>
  <c r="A364" i="1"/>
  <c r="C364" i="1"/>
  <c r="B364" i="1" s="1"/>
  <c r="F364" i="1"/>
  <c r="M364" i="1"/>
  <c r="O364" i="1"/>
  <c r="U364" i="1"/>
  <c r="Y364" i="1" s="1"/>
  <c r="V364" i="1"/>
  <c r="W364" i="1" s="1"/>
  <c r="Z364" i="1"/>
  <c r="A363" i="1"/>
  <c r="C363" i="1"/>
  <c r="B363" i="1" s="1"/>
  <c r="F363" i="1"/>
  <c r="M363" i="1"/>
  <c r="O363" i="1"/>
  <c r="U363" i="1"/>
  <c r="Y363" i="1" s="1"/>
  <c r="V363" i="1"/>
  <c r="W363" i="1" s="1"/>
  <c r="Z363" i="1"/>
  <c r="A362" i="1"/>
  <c r="C362" i="1"/>
  <c r="B362" i="1" s="1"/>
  <c r="F362" i="1"/>
  <c r="M362" i="1"/>
  <c r="O362" i="1"/>
  <c r="U362" i="1"/>
  <c r="Y362" i="1" s="1"/>
  <c r="V362" i="1"/>
  <c r="W362" i="1" s="1"/>
  <c r="Z362" i="1"/>
  <c r="A361" i="1"/>
  <c r="C361" i="1"/>
  <c r="B361" i="1" s="1"/>
  <c r="F361" i="1"/>
  <c r="M361" i="1"/>
  <c r="O361" i="1"/>
  <c r="U361" i="1"/>
  <c r="Y361" i="1" s="1"/>
  <c r="V361" i="1"/>
  <c r="W361" i="1" s="1"/>
  <c r="Z361" i="1"/>
  <c r="P916" i="1" l="1"/>
  <c r="Q367" i="1"/>
  <c r="Q369" i="1"/>
  <c r="Q368" i="1"/>
  <c r="D368" i="1"/>
  <c r="D374" i="1"/>
  <c r="D373" i="1"/>
  <c r="D371" i="1"/>
  <c r="D372" i="1"/>
  <c r="D369" i="1"/>
  <c r="D370" i="1"/>
  <c r="T610" i="1"/>
  <c r="T674" i="1"/>
  <c r="T17" i="1"/>
  <c r="P1003" i="1"/>
  <c r="T30" i="1"/>
  <c r="T704" i="1"/>
  <c r="T650" i="1"/>
  <c r="X706" i="1"/>
  <c r="P706" i="1" s="1"/>
  <c r="X705" i="1"/>
  <c r="T409" i="1"/>
  <c r="T705" i="1"/>
  <c r="X704" i="1"/>
  <c r="T337" i="1"/>
  <c r="X674" i="1"/>
  <c r="X17" i="1"/>
  <c r="X16" i="1"/>
  <c r="T16" i="1"/>
  <c r="X46" i="1"/>
  <c r="X30" i="1"/>
  <c r="T260" i="1"/>
  <c r="T911" i="1"/>
  <c r="T651" i="1"/>
  <c r="X260" i="1"/>
  <c r="P260" i="1" s="1"/>
  <c r="Q260" i="1" s="1"/>
  <c r="R260" i="1" s="1"/>
  <c r="D260" i="1" s="1"/>
  <c r="X337" i="1"/>
  <c r="X409" i="1"/>
  <c r="X610" i="1"/>
  <c r="X651" i="1"/>
  <c r="X650" i="1"/>
  <c r="X229" i="1"/>
  <c r="X766" i="1"/>
  <c r="X1097" i="1"/>
  <c r="X911" i="1"/>
  <c r="X792" i="1"/>
  <c r="T673" i="1"/>
  <c r="X644" i="1"/>
  <c r="T1161" i="1"/>
  <c r="X672" i="1"/>
  <c r="Y644" i="1"/>
  <c r="T644" i="1"/>
  <c r="X572" i="1"/>
  <c r="X673" i="1"/>
  <c r="P673" i="1" s="1"/>
  <c r="X573" i="1"/>
  <c r="X571" i="1"/>
  <c r="X1039" i="1"/>
  <c r="Y571" i="1"/>
  <c r="T572" i="1"/>
  <c r="T571" i="1"/>
  <c r="X1040" i="1"/>
  <c r="X570" i="1"/>
  <c r="T570" i="1"/>
  <c r="X1038" i="1"/>
  <c r="X1037" i="1"/>
  <c r="T1039" i="1"/>
  <c r="T1037" i="1"/>
  <c r="X899" i="1"/>
  <c r="X822" i="1"/>
  <c r="T817" i="1"/>
  <c r="T886" i="1"/>
  <c r="T888" i="1"/>
  <c r="X1161" i="1"/>
  <c r="X888" i="1"/>
  <c r="X886" i="1"/>
  <c r="T609" i="1"/>
  <c r="T885" i="1"/>
  <c r="X885" i="1"/>
  <c r="X797" i="1"/>
  <c r="X609" i="1"/>
  <c r="T797" i="1"/>
  <c r="X817" i="1"/>
  <c r="Y609" i="1"/>
  <c r="X436" i="1"/>
  <c r="X366" i="1"/>
  <c r="X365" i="1"/>
  <c r="T365" i="1"/>
  <c r="X364" i="1"/>
  <c r="T362" i="1"/>
  <c r="T364" i="1"/>
  <c r="X361" i="1"/>
  <c r="P361" i="1" s="1"/>
  <c r="T363" i="1"/>
  <c r="X363" i="1"/>
  <c r="P363" i="1" s="1"/>
  <c r="X362" i="1"/>
  <c r="P362" i="1" s="1"/>
  <c r="T361" i="1"/>
  <c r="Q363" i="1" l="1"/>
  <c r="P1038" i="1"/>
  <c r="P1097" i="1"/>
  <c r="P651" i="1"/>
  <c r="P30" i="1"/>
  <c r="P17" i="1"/>
  <c r="Q361" i="1"/>
  <c r="P797" i="1"/>
  <c r="P886" i="1"/>
  <c r="R573" i="1"/>
  <c r="P766" i="1"/>
  <c r="P610" i="1"/>
  <c r="P46" i="1"/>
  <c r="P674" i="1"/>
  <c r="R367" i="1"/>
  <c r="P364" i="1"/>
  <c r="P436" i="1"/>
  <c r="P899" i="1"/>
  <c r="Q362" i="1"/>
  <c r="P365" i="1"/>
  <c r="P817" i="1"/>
  <c r="P885" i="1"/>
  <c r="P888" i="1"/>
  <c r="Q673" i="1"/>
  <c r="P672" i="1"/>
  <c r="P792" i="1"/>
  <c r="P229" i="1"/>
  <c r="P409" i="1"/>
  <c r="P705" i="1"/>
  <c r="R368" i="1"/>
  <c r="P366" i="1"/>
  <c r="P1161" i="1"/>
  <c r="P822" i="1"/>
  <c r="P1037" i="1"/>
  <c r="P1040" i="1"/>
  <c r="P1039" i="1"/>
  <c r="R572" i="1"/>
  <c r="P911" i="1"/>
  <c r="P650" i="1"/>
  <c r="P337" i="1"/>
  <c r="P16" i="1"/>
  <c r="P704" i="1"/>
  <c r="Q706" i="1"/>
  <c r="Q1003" i="1"/>
  <c r="R369" i="1"/>
  <c r="Q916" i="1"/>
  <c r="P570" i="1"/>
  <c r="P644" i="1"/>
  <c r="D674" i="1"/>
  <c r="D16" i="1"/>
  <c r="D17" i="1"/>
  <c r="D650" i="1"/>
  <c r="D651" i="1"/>
  <c r="D673" i="1"/>
  <c r="D672" i="1"/>
  <c r="R571" i="1"/>
  <c r="D572" i="1"/>
  <c r="D573" i="1"/>
  <c r="D570" i="1"/>
  <c r="D571" i="1"/>
  <c r="D1037" i="1"/>
  <c r="D1038" i="1"/>
  <c r="D1039" i="1"/>
  <c r="D1040" i="1"/>
  <c r="D885" i="1"/>
  <c r="D886" i="1"/>
  <c r="P609" i="1"/>
  <c r="A551" i="1"/>
  <c r="C551" i="1"/>
  <c r="B551" i="1" s="1"/>
  <c r="F551" i="1"/>
  <c r="O551" i="1"/>
  <c r="T551" i="1"/>
  <c r="U551" i="1"/>
  <c r="Y551" i="1" s="1"/>
  <c r="V551" i="1"/>
  <c r="W551" i="1" s="1"/>
  <c r="Z551" i="1"/>
  <c r="A360" i="1"/>
  <c r="C360" i="1"/>
  <c r="B360" i="1" s="1"/>
  <c r="F360" i="1"/>
  <c r="M360" i="1"/>
  <c r="O360" i="1"/>
  <c r="U360" i="1"/>
  <c r="Y360" i="1" s="1"/>
  <c r="V360" i="1"/>
  <c r="W360" i="1" s="1"/>
  <c r="Z360" i="1"/>
  <c r="A359" i="1"/>
  <c r="C359" i="1"/>
  <c r="B359" i="1" s="1"/>
  <c r="F359" i="1"/>
  <c r="M359" i="1"/>
  <c r="O359" i="1"/>
  <c r="U359" i="1"/>
  <c r="Y359" i="1" s="1"/>
  <c r="V359" i="1"/>
  <c r="W359" i="1" s="1"/>
  <c r="Z359" i="1"/>
  <c r="A358" i="1"/>
  <c r="C358" i="1"/>
  <c r="B358" i="1" s="1"/>
  <c r="F358" i="1"/>
  <c r="M358" i="1"/>
  <c r="O358" i="1"/>
  <c r="U358" i="1"/>
  <c r="Y358" i="1" s="1"/>
  <c r="V358" i="1"/>
  <c r="W358" i="1" s="1"/>
  <c r="Z358" i="1"/>
  <c r="A1120" i="1"/>
  <c r="C1120" i="1"/>
  <c r="B1120" i="1" s="1"/>
  <c r="F1120" i="1"/>
  <c r="M1120" i="1"/>
  <c r="O1120" i="1"/>
  <c r="U1120" i="1"/>
  <c r="Y1120" i="1" s="1"/>
  <c r="V1120" i="1"/>
  <c r="W1120" i="1" s="1"/>
  <c r="Z1120" i="1"/>
  <c r="A37" i="1"/>
  <c r="C37" i="1"/>
  <c r="B37" i="1" s="1"/>
  <c r="F37" i="1"/>
  <c r="M37" i="1"/>
  <c r="O37" i="1"/>
  <c r="U37" i="1"/>
  <c r="Y37" i="1" s="1"/>
  <c r="V37" i="1"/>
  <c r="W37" i="1" s="1"/>
  <c r="Z37" i="1"/>
  <c r="A275" i="1"/>
  <c r="C275" i="1"/>
  <c r="B275" i="1" s="1"/>
  <c r="F275" i="1"/>
  <c r="M275" i="1"/>
  <c r="O275" i="1"/>
  <c r="U275" i="1"/>
  <c r="Y275" i="1" s="1"/>
  <c r="V275" i="1"/>
  <c r="W275" i="1" s="1"/>
  <c r="Z275" i="1"/>
  <c r="A424" i="1"/>
  <c r="C424" i="1"/>
  <c r="B424" i="1" s="1"/>
  <c r="F424" i="1"/>
  <c r="M424" i="1"/>
  <c r="O424" i="1"/>
  <c r="U424" i="1"/>
  <c r="Y424" i="1" s="1"/>
  <c r="V424" i="1"/>
  <c r="W424" i="1" s="1"/>
  <c r="Z424" i="1"/>
  <c r="A1209" i="1"/>
  <c r="C1209" i="1"/>
  <c r="B1209" i="1" s="1"/>
  <c r="F1209" i="1"/>
  <c r="M1209" i="1"/>
  <c r="O1209" i="1"/>
  <c r="U1209" i="1"/>
  <c r="Y1209" i="1" s="1"/>
  <c r="V1209" i="1"/>
  <c r="W1209" i="1" s="1"/>
  <c r="Z1209" i="1"/>
  <c r="A1208" i="1"/>
  <c r="C1208" i="1"/>
  <c r="B1208" i="1" s="1"/>
  <c r="F1208" i="1"/>
  <c r="M1208" i="1"/>
  <c r="O1208" i="1"/>
  <c r="U1208" i="1"/>
  <c r="Y1208" i="1" s="1"/>
  <c r="V1208" i="1"/>
  <c r="W1208" i="1" s="1"/>
  <c r="Z1208" i="1"/>
  <c r="A962" i="1"/>
  <c r="C962" i="1"/>
  <c r="B962" i="1" s="1"/>
  <c r="F962" i="1"/>
  <c r="M962" i="1"/>
  <c r="O962" i="1"/>
  <c r="U962" i="1"/>
  <c r="Y962" i="1" s="1"/>
  <c r="V962" i="1"/>
  <c r="W962" i="1" s="1"/>
  <c r="Z962" i="1"/>
  <c r="A915" i="1"/>
  <c r="C915" i="1"/>
  <c r="B915" i="1" s="1"/>
  <c r="F915" i="1"/>
  <c r="M915" i="1"/>
  <c r="O915" i="1"/>
  <c r="U915" i="1"/>
  <c r="Y915" i="1" s="1"/>
  <c r="V915" i="1"/>
  <c r="W915" i="1" s="1"/>
  <c r="Z915" i="1"/>
  <c r="A1124" i="1"/>
  <c r="C1124" i="1"/>
  <c r="B1124" i="1" s="1"/>
  <c r="F1124" i="1"/>
  <c r="M1124" i="1"/>
  <c r="O1124" i="1"/>
  <c r="U1124" i="1"/>
  <c r="V1124" i="1"/>
  <c r="W1124" i="1" s="1"/>
  <c r="Z1124" i="1"/>
  <c r="A1118" i="1"/>
  <c r="C1118" i="1"/>
  <c r="B1118" i="1" s="1"/>
  <c r="F1118" i="1"/>
  <c r="M1118" i="1"/>
  <c r="O1118" i="1"/>
  <c r="U1118" i="1"/>
  <c r="Y1118" i="1" s="1"/>
  <c r="V1118" i="1"/>
  <c r="W1118" i="1" s="1"/>
  <c r="Z1118" i="1"/>
  <c r="A44" i="1"/>
  <c r="C44" i="1"/>
  <c r="B44" i="1" s="1"/>
  <c r="D44" i="1"/>
  <c r="F44" i="1"/>
  <c r="M44" i="1"/>
  <c r="O44" i="1"/>
  <c r="S44" i="1"/>
  <c r="T44" i="1"/>
  <c r="U44" i="1"/>
  <c r="V44" i="1"/>
  <c r="W44" i="1" s="1"/>
  <c r="Z44" i="1"/>
  <c r="A45" i="1"/>
  <c r="C45" i="1"/>
  <c r="B45" i="1" s="1"/>
  <c r="F45" i="1"/>
  <c r="M45" i="1"/>
  <c r="O45" i="1"/>
  <c r="T45" i="1"/>
  <c r="U45" i="1"/>
  <c r="Y45" i="1" s="1"/>
  <c r="V45" i="1"/>
  <c r="W45" i="1" s="1"/>
  <c r="Z45" i="1"/>
  <c r="A90" i="1"/>
  <c r="C90" i="1"/>
  <c r="B90" i="1" s="1"/>
  <c r="F90" i="1"/>
  <c r="M90" i="1"/>
  <c r="O90" i="1"/>
  <c r="T90" i="1"/>
  <c r="U90" i="1"/>
  <c r="Y90" i="1" s="1"/>
  <c r="V90" i="1"/>
  <c r="W90" i="1" s="1"/>
  <c r="Z90" i="1"/>
  <c r="A86" i="1"/>
  <c r="A87" i="1"/>
  <c r="A88" i="1"/>
  <c r="A89" i="1"/>
  <c r="C86" i="1"/>
  <c r="B86" i="1" s="1"/>
  <c r="C87" i="1"/>
  <c r="B87" i="1" s="1"/>
  <c r="C88" i="1"/>
  <c r="B88" i="1" s="1"/>
  <c r="C89" i="1"/>
  <c r="B89" i="1" s="1"/>
  <c r="F86" i="1"/>
  <c r="F87" i="1"/>
  <c r="F88" i="1"/>
  <c r="F89" i="1"/>
  <c r="M86" i="1"/>
  <c r="M87" i="1"/>
  <c r="M88" i="1"/>
  <c r="M89" i="1"/>
  <c r="O86" i="1"/>
  <c r="O87" i="1"/>
  <c r="O88" i="1"/>
  <c r="O89" i="1"/>
  <c r="T86" i="1"/>
  <c r="T87" i="1"/>
  <c r="T88" i="1"/>
  <c r="T89" i="1"/>
  <c r="U86" i="1"/>
  <c r="Y86" i="1" s="1"/>
  <c r="U87" i="1"/>
  <c r="Y87" i="1" s="1"/>
  <c r="U88" i="1"/>
  <c r="U89" i="1"/>
  <c r="Y89" i="1" s="1"/>
  <c r="V86" i="1"/>
  <c r="W86" i="1" s="1"/>
  <c r="V87" i="1"/>
  <c r="W87" i="1" s="1"/>
  <c r="V88" i="1"/>
  <c r="W88" i="1" s="1"/>
  <c r="V89" i="1"/>
  <c r="W89" i="1" s="1"/>
  <c r="Z86" i="1"/>
  <c r="Z87" i="1"/>
  <c r="Z88" i="1"/>
  <c r="Z89" i="1"/>
  <c r="A85" i="1"/>
  <c r="C85" i="1"/>
  <c r="B85" i="1" s="1"/>
  <c r="F85" i="1"/>
  <c r="M85" i="1"/>
  <c r="O85" i="1"/>
  <c r="T85" i="1"/>
  <c r="U85" i="1"/>
  <c r="Y85" i="1" s="1"/>
  <c r="V85" i="1"/>
  <c r="W85" i="1" s="1"/>
  <c r="Z85" i="1"/>
  <c r="E394" i="6"/>
  <c r="E395" i="6"/>
  <c r="F394" i="6"/>
  <c r="F395" i="6"/>
  <c r="I394" i="6"/>
  <c r="I395" i="6"/>
  <c r="J394" i="6"/>
  <c r="J395" i="6"/>
  <c r="R916" i="1" l="1"/>
  <c r="D913" i="1" s="1"/>
  <c r="R1003" i="1"/>
  <c r="Q704" i="1"/>
  <c r="Q337" i="1"/>
  <c r="Q911" i="1"/>
  <c r="Q1039" i="1"/>
  <c r="Q1037" i="1"/>
  <c r="Q1161" i="1"/>
  <c r="Q409" i="1"/>
  <c r="Q792" i="1"/>
  <c r="R673" i="1"/>
  <c r="Q885" i="1"/>
  <c r="Q365" i="1"/>
  <c r="Q899" i="1"/>
  <c r="Q364" i="1"/>
  <c r="Q674" i="1"/>
  <c r="Q610" i="1"/>
  <c r="Q797" i="1"/>
  <c r="Q17" i="1"/>
  <c r="Q651" i="1"/>
  <c r="Q1038" i="1"/>
  <c r="Q609" i="1"/>
  <c r="Q570" i="1"/>
  <c r="R706" i="1"/>
  <c r="Q16" i="1"/>
  <c r="Q650" i="1"/>
  <c r="Q1040" i="1"/>
  <c r="Q822" i="1"/>
  <c r="Q366" i="1"/>
  <c r="Q705" i="1"/>
  <c r="Q229" i="1"/>
  <c r="Q672" i="1"/>
  <c r="Q888" i="1"/>
  <c r="Q817" i="1"/>
  <c r="R362" i="1"/>
  <c r="Q436" i="1"/>
  <c r="Q46" i="1"/>
  <c r="Q766" i="1"/>
  <c r="Q886" i="1"/>
  <c r="R361" i="1"/>
  <c r="Q30" i="1"/>
  <c r="Q1097" i="1"/>
  <c r="R363" i="1"/>
  <c r="D644" i="1"/>
  <c r="Q644" i="1"/>
  <c r="D609" i="1"/>
  <c r="D610" i="1"/>
  <c r="X551" i="1"/>
  <c r="T360" i="1"/>
  <c r="X360" i="1"/>
  <c r="X359" i="1"/>
  <c r="T359" i="1"/>
  <c r="T358" i="1"/>
  <c r="X358" i="1"/>
  <c r="T424" i="1"/>
  <c r="T1120" i="1"/>
  <c r="X1120" i="1"/>
  <c r="X37" i="1"/>
  <c r="T37" i="1"/>
  <c r="T275" i="1"/>
  <c r="T1209" i="1"/>
  <c r="T962" i="1"/>
  <c r="X45" i="1"/>
  <c r="T1124" i="1"/>
  <c r="X275" i="1"/>
  <c r="X89" i="1"/>
  <c r="X424" i="1"/>
  <c r="X1209" i="1"/>
  <c r="T1208" i="1"/>
  <c r="X1208" i="1"/>
  <c r="X962" i="1"/>
  <c r="T915" i="1"/>
  <c r="X915" i="1"/>
  <c r="X1124" i="1"/>
  <c r="Y1124" i="1"/>
  <c r="X87" i="1"/>
  <c r="X86" i="1"/>
  <c r="X1118" i="1"/>
  <c r="T1118" i="1"/>
  <c r="X88" i="1"/>
  <c r="X44" i="1"/>
  <c r="Y44" i="1"/>
  <c r="Y88" i="1"/>
  <c r="X90" i="1"/>
  <c r="X85" i="1"/>
  <c r="E470" i="6"/>
  <c r="F470" i="6"/>
  <c r="I470" i="6"/>
  <c r="J470" i="6"/>
  <c r="E392" i="6"/>
  <c r="E393" i="6"/>
  <c r="E664" i="6"/>
  <c r="E651" i="6"/>
  <c r="E677" i="6"/>
  <c r="F392" i="6"/>
  <c r="F393" i="6"/>
  <c r="I392" i="6"/>
  <c r="I393" i="6"/>
  <c r="I664" i="6"/>
  <c r="I651" i="6"/>
  <c r="I677" i="6"/>
  <c r="J392" i="6"/>
  <c r="J393" i="6"/>
  <c r="J664" i="6"/>
  <c r="J651" i="6"/>
  <c r="J677" i="6"/>
  <c r="E502" i="6"/>
  <c r="E591" i="6"/>
  <c r="E435" i="6"/>
  <c r="F502" i="6"/>
  <c r="F435" i="6"/>
  <c r="I502" i="6"/>
  <c r="I591" i="6"/>
  <c r="I435" i="6"/>
  <c r="J502" i="6"/>
  <c r="J591" i="6"/>
  <c r="J435" i="6"/>
  <c r="E433" i="6"/>
  <c r="E434" i="6"/>
  <c r="F433" i="6"/>
  <c r="F434" i="6"/>
  <c r="I433" i="6"/>
  <c r="I434" i="6"/>
  <c r="J433" i="6"/>
  <c r="J434" i="6"/>
  <c r="E79" i="6"/>
  <c r="F79" i="6"/>
  <c r="I79" i="6"/>
  <c r="J79" i="6"/>
  <c r="E203" i="6"/>
  <c r="I203" i="6"/>
  <c r="J203" i="6"/>
  <c r="A443" i="1"/>
  <c r="C443" i="1"/>
  <c r="B443" i="1" s="1"/>
  <c r="F443" i="1"/>
  <c r="M443" i="1"/>
  <c r="O443" i="1"/>
  <c r="U443" i="1"/>
  <c r="Y443" i="1" s="1"/>
  <c r="V443" i="1"/>
  <c r="W443" i="1" s="1"/>
  <c r="Z443" i="1"/>
  <c r="A442" i="1"/>
  <c r="C442" i="1"/>
  <c r="B442" i="1" s="1"/>
  <c r="F442" i="1"/>
  <c r="M442" i="1"/>
  <c r="O442" i="1"/>
  <c r="U442" i="1"/>
  <c r="Y442" i="1" s="1"/>
  <c r="V442" i="1"/>
  <c r="W442" i="1" s="1"/>
  <c r="Z442" i="1"/>
  <c r="I13" i="104"/>
  <c r="I14" i="104"/>
  <c r="A13" i="104"/>
  <c r="B13" i="104"/>
  <c r="C13" i="104"/>
  <c r="A14" i="104"/>
  <c r="B14" i="104"/>
  <c r="C14" i="104"/>
  <c r="A914" i="1"/>
  <c r="C914" i="1"/>
  <c r="B914" i="1" s="1"/>
  <c r="F914" i="1"/>
  <c r="O914" i="1"/>
  <c r="U914" i="1"/>
  <c r="V914" i="1"/>
  <c r="W914" i="1" s="1"/>
  <c r="Z914" i="1"/>
  <c r="A912" i="1"/>
  <c r="C912" i="1"/>
  <c r="B912" i="1" s="1"/>
  <c r="F912" i="1"/>
  <c r="M912" i="1"/>
  <c r="O912" i="1"/>
  <c r="U912" i="1"/>
  <c r="Y912" i="1" s="1"/>
  <c r="V912" i="1"/>
  <c r="W912" i="1" s="1"/>
  <c r="Z912" i="1"/>
  <c r="A982" i="1"/>
  <c r="C982" i="1"/>
  <c r="B982" i="1" s="1"/>
  <c r="F982" i="1"/>
  <c r="M982" i="1"/>
  <c r="O982" i="1"/>
  <c r="U982" i="1"/>
  <c r="Y982" i="1" s="1"/>
  <c r="V982" i="1"/>
  <c r="W982" i="1" s="1"/>
  <c r="Z982" i="1"/>
  <c r="A1001" i="1"/>
  <c r="C1001" i="1"/>
  <c r="B1001" i="1" s="1"/>
  <c r="F1001" i="1"/>
  <c r="M1001" i="1"/>
  <c r="O1001" i="1"/>
  <c r="U1001" i="1"/>
  <c r="Y1001" i="1" s="1"/>
  <c r="V1001" i="1"/>
  <c r="W1001" i="1" s="1"/>
  <c r="Z1001" i="1"/>
  <c r="A1183" i="1"/>
  <c r="C1183" i="1"/>
  <c r="B1183" i="1" s="1"/>
  <c r="F1183" i="1"/>
  <c r="M1183" i="1"/>
  <c r="O1183" i="1"/>
  <c r="U1183" i="1"/>
  <c r="Y1183" i="1" s="1"/>
  <c r="V1183" i="1"/>
  <c r="W1183" i="1" s="1"/>
  <c r="Z1183" i="1"/>
  <c r="A1110" i="1"/>
  <c r="C1110" i="1"/>
  <c r="B1110" i="1" s="1"/>
  <c r="F1110" i="1"/>
  <c r="M1110" i="1"/>
  <c r="O1110" i="1"/>
  <c r="U1110" i="1"/>
  <c r="Y1110" i="1" s="1"/>
  <c r="V1110" i="1"/>
  <c r="W1110" i="1" s="1"/>
  <c r="Z1110" i="1"/>
  <c r="A1015" i="1"/>
  <c r="C1015" i="1"/>
  <c r="B1015" i="1" s="1"/>
  <c r="F1015" i="1"/>
  <c r="M1015" i="1"/>
  <c r="O1015" i="1"/>
  <c r="U1015" i="1"/>
  <c r="Y1015" i="1" s="1"/>
  <c r="V1015" i="1"/>
  <c r="W1015" i="1" s="1"/>
  <c r="Z1015" i="1"/>
  <c r="A1207" i="1"/>
  <c r="C1207" i="1"/>
  <c r="B1207" i="1" s="1"/>
  <c r="F1207" i="1"/>
  <c r="M1207" i="1"/>
  <c r="O1207" i="1"/>
  <c r="U1207" i="1"/>
  <c r="Y1207" i="1" s="1"/>
  <c r="V1207" i="1"/>
  <c r="W1207" i="1" s="1"/>
  <c r="Z1207" i="1"/>
  <c r="A1129" i="1"/>
  <c r="C1129" i="1"/>
  <c r="B1129" i="1" s="1"/>
  <c r="F1129" i="1"/>
  <c r="M1129" i="1"/>
  <c r="O1129" i="1"/>
  <c r="U1129" i="1"/>
  <c r="Y1129" i="1" s="1"/>
  <c r="V1129" i="1"/>
  <c r="W1129" i="1" s="1"/>
  <c r="Z1129" i="1"/>
  <c r="A1109" i="1"/>
  <c r="C1109" i="1"/>
  <c r="B1109" i="1" s="1"/>
  <c r="F1109" i="1"/>
  <c r="M1109" i="1"/>
  <c r="O1109" i="1"/>
  <c r="U1109" i="1"/>
  <c r="Y1109" i="1" s="1"/>
  <c r="V1109" i="1"/>
  <c r="W1109" i="1" s="1"/>
  <c r="Z1109" i="1"/>
  <c r="A1067" i="1"/>
  <c r="C1067" i="1"/>
  <c r="B1067" i="1" s="1"/>
  <c r="F1067" i="1"/>
  <c r="M1067" i="1"/>
  <c r="O1067" i="1"/>
  <c r="U1067" i="1"/>
  <c r="Y1067" i="1" s="1"/>
  <c r="V1067" i="1"/>
  <c r="W1067" i="1" s="1"/>
  <c r="Z1067" i="1"/>
  <c r="A776" i="1"/>
  <c r="C776" i="1"/>
  <c r="B776" i="1" s="1"/>
  <c r="F776" i="1"/>
  <c r="M776" i="1"/>
  <c r="O776" i="1"/>
  <c r="U776" i="1"/>
  <c r="Y776" i="1" s="1"/>
  <c r="V776" i="1"/>
  <c r="W776" i="1" s="1"/>
  <c r="Z776" i="1"/>
  <c r="A713" i="1"/>
  <c r="C713" i="1"/>
  <c r="B713" i="1" s="1"/>
  <c r="F713" i="1"/>
  <c r="M713" i="1"/>
  <c r="O713" i="1"/>
  <c r="U713" i="1"/>
  <c r="Y713" i="1" s="1"/>
  <c r="V713" i="1"/>
  <c r="W713" i="1" s="1"/>
  <c r="Z713" i="1"/>
  <c r="A712" i="1"/>
  <c r="C712" i="1"/>
  <c r="B712" i="1" s="1"/>
  <c r="F712" i="1"/>
  <c r="M712" i="1"/>
  <c r="O712" i="1"/>
  <c r="U712" i="1"/>
  <c r="Y712" i="1" s="1"/>
  <c r="V712" i="1"/>
  <c r="W712" i="1" s="1"/>
  <c r="Z712" i="1"/>
  <c r="A714" i="1"/>
  <c r="C714" i="1"/>
  <c r="B714" i="1" s="1"/>
  <c r="F714" i="1"/>
  <c r="M714" i="1"/>
  <c r="O714" i="1"/>
  <c r="U714" i="1"/>
  <c r="Y714" i="1" s="1"/>
  <c r="V714" i="1"/>
  <c r="W714" i="1" s="1"/>
  <c r="Z714" i="1"/>
  <c r="A554" i="1"/>
  <c r="C554" i="1"/>
  <c r="B554" i="1" s="1"/>
  <c r="F554" i="1"/>
  <c r="M554" i="1"/>
  <c r="O554" i="1"/>
  <c r="U554" i="1"/>
  <c r="Y554" i="1" s="1"/>
  <c r="V554" i="1"/>
  <c r="W554" i="1" s="1"/>
  <c r="Z554" i="1"/>
  <c r="A527" i="1"/>
  <c r="C527" i="1"/>
  <c r="B527" i="1" s="1"/>
  <c r="F527" i="1"/>
  <c r="M527" i="1"/>
  <c r="O527" i="1"/>
  <c r="U527" i="1"/>
  <c r="Y527" i="1" s="1"/>
  <c r="V527" i="1"/>
  <c r="W527" i="1" s="1"/>
  <c r="Z527" i="1"/>
  <c r="A259" i="1"/>
  <c r="C259" i="1"/>
  <c r="B259" i="1" s="1"/>
  <c r="F259" i="1"/>
  <c r="M259" i="1"/>
  <c r="O259" i="1"/>
  <c r="U259" i="1"/>
  <c r="Y259" i="1" s="1"/>
  <c r="V259" i="1"/>
  <c r="W259" i="1" s="1"/>
  <c r="Z259" i="1"/>
  <c r="A336" i="1"/>
  <c r="C336" i="1"/>
  <c r="B336" i="1" s="1"/>
  <c r="F336" i="1"/>
  <c r="M336" i="1"/>
  <c r="O336" i="1"/>
  <c r="U336" i="1"/>
  <c r="Y336" i="1" s="1"/>
  <c r="V336" i="1"/>
  <c r="W336" i="1" s="1"/>
  <c r="Z336" i="1"/>
  <c r="A82" i="1"/>
  <c r="C82" i="1"/>
  <c r="B82" i="1" s="1"/>
  <c r="F82" i="1"/>
  <c r="M82" i="1"/>
  <c r="O82" i="1"/>
  <c r="S82" i="1"/>
  <c r="T82" i="1"/>
  <c r="U82" i="1"/>
  <c r="Y82" i="1" s="1"/>
  <c r="V82" i="1"/>
  <c r="W82" i="1" s="1"/>
  <c r="Z82" i="1"/>
  <c r="A84" i="1"/>
  <c r="C84" i="1"/>
  <c r="B84" i="1" s="1"/>
  <c r="F84" i="1"/>
  <c r="M84" i="1"/>
  <c r="O84" i="1"/>
  <c r="T84" i="1"/>
  <c r="U84" i="1"/>
  <c r="Y84" i="1" s="1"/>
  <c r="V84" i="1"/>
  <c r="W84" i="1" s="1"/>
  <c r="Z84" i="1"/>
  <c r="A83" i="1"/>
  <c r="C83" i="1"/>
  <c r="B83" i="1" s="1"/>
  <c r="F83" i="1"/>
  <c r="M83" i="1"/>
  <c r="O83" i="1"/>
  <c r="S83" i="1"/>
  <c r="T83" i="1"/>
  <c r="U83" i="1"/>
  <c r="Y83" i="1" s="1"/>
  <c r="V83" i="1"/>
  <c r="W83" i="1" s="1"/>
  <c r="Z83" i="1"/>
  <c r="A203" i="1"/>
  <c r="C203" i="1"/>
  <c r="B203" i="1" s="1"/>
  <c r="F203" i="1"/>
  <c r="M203" i="1"/>
  <c r="O203" i="1"/>
  <c r="S203" i="1"/>
  <c r="T203" i="1"/>
  <c r="U203" i="1"/>
  <c r="Y203" i="1" s="1"/>
  <c r="V203" i="1"/>
  <c r="W203" i="1" s="1"/>
  <c r="Z203" i="1"/>
  <c r="A329" i="1"/>
  <c r="C329" i="1"/>
  <c r="B329" i="1" s="1"/>
  <c r="F329" i="1"/>
  <c r="M329" i="1"/>
  <c r="O329" i="1"/>
  <c r="U329" i="1"/>
  <c r="Y329" i="1" s="1"/>
  <c r="V329" i="1"/>
  <c r="W329" i="1" s="1"/>
  <c r="Z329" i="1"/>
  <c r="A408" i="1"/>
  <c r="C408" i="1"/>
  <c r="B408" i="1" s="1"/>
  <c r="F408" i="1"/>
  <c r="M408" i="1"/>
  <c r="O408" i="1"/>
  <c r="U408" i="1"/>
  <c r="Y408" i="1" s="1"/>
  <c r="V408" i="1"/>
  <c r="W408" i="1" s="1"/>
  <c r="Z408" i="1"/>
  <c r="A42" i="1"/>
  <c r="C42" i="1"/>
  <c r="B42" i="1" s="1"/>
  <c r="F42" i="1"/>
  <c r="M42" i="1"/>
  <c r="O42" i="1"/>
  <c r="T42" i="1"/>
  <c r="U42" i="1"/>
  <c r="Y42" i="1" s="1"/>
  <c r="V42" i="1"/>
  <c r="W42" i="1" s="1"/>
  <c r="Z42" i="1"/>
  <c r="A41" i="1"/>
  <c r="C41" i="1"/>
  <c r="B41" i="1" s="1"/>
  <c r="F41" i="1"/>
  <c r="M41" i="1"/>
  <c r="O41" i="1"/>
  <c r="U41" i="1"/>
  <c r="Y41" i="1" s="1"/>
  <c r="V41" i="1"/>
  <c r="W41" i="1" s="1"/>
  <c r="Z41" i="1"/>
  <c r="A43" i="1"/>
  <c r="C43" i="1"/>
  <c r="B43" i="1" s="1"/>
  <c r="F43" i="1"/>
  <c r="M43" i="1"/>
  <c r="O43" i="1"/>
  <c r="T43" i="1"/>
  <c r="U43" i="1"/>
  <c r="V43" i="1"/>
  <c r="W43" i="1" s="1"/>
  <c r="Z43" i="1"/>
  <c r="A512" i="1"/>
  <c r="C512" i="1"/>
  <c r="B512" i="1" s="1"/>
  <c r="F512" i="1"/>
  <c r="M512" i="1"/>
  <c r="O512" i="1"/>
  <c r="U512" i="1"/>
  <c r="Y512" i="1" s="1"/>
  <c r="V512" i="1"/>
  <c r="W512" i="1" s="1"/>
  <c r="Z512" i="1"/>
  <c r="I88" i="104"/>
  <c r="A88" i="104"/>
  <c r="B88" i="104"/>
  <c r="C88" i="104"/>
  <c r="A81" i="1"/>
  <c r="C81" i="1"/>
  <c r="B81" i="1" s="1"/>
  <c r="F81" i="1"/>
  <c r="M81" i="1"/>
  <c r="O81" i="1"/>
  <c r="U81" i="1"/>
  <c r="V81" i="1"/>
  <c r="W81" i="1" s="1"/>
  <c r="Z81" i="1"/>
  <c r="A441" i="1"/>
  <c r="C441" i="1"/>
  <c r="B441" i="1" s="1"/>
  <c r="F441" i="1"/>
  <c r="M441" i="1"/>
  <c r="O441" i="1"/>
  <c r="U441" i="1"/>
  <c r="Y441" i="1" s="1"/>
  <c r="V441" i="1"/>
  <c r="W441" i="1" s="1"/>
  <c r="Z441" i="1"/>
  <c r="I12" i="104"/>
  <c r="A12" i="104"/>
  <c r="B12" i="104"/>
  <c r="C12" i="104"/>
  <c r="R697" i="1" l="1"/>
  <c r="P85" i="1"/>
  <c r="Q1118" i="1"/>
  <c r="P1124" i="1"/>
  <c r="P1208" i="1"/>
  <c r="P89" i="1"/>
  <c r="P37" i="1"/>
  <c r="P358" i="1"/>
  <c r="P359" i="1"/>
  <c r="R651" i="1"/>
  <c r="R797" i="1"/>
  <c r="D797" i="1" s="1"/>
  <c r="R674" i="1"/>
  <c r="P90" i="1"/>
  <c r="P86" i="1"/>
  <c r="P915" i="1"/>
  <c r="P275" i="1"/>
  <c r="P1120" i="1"/>
  <c r="P360" i="1"/>
  <c r="R30" i="1"/>
  <c r="D30" i="1" s="1"/>
  <c r="R886" i="1"/>
  <c r="R46" i="1"/>
  <c r="D46" i="1" s="1"/>
  <c r="R888" i="1"/>
  <c r="R229" i="1"/>
  <c r="D229" i="1" s="1"/>
  <c r="R366" i="1"/>
  <c r="R1040" i="1"/>
  <c r="R16" i="1"/>
  <c r="R570" i="1"/>
  <c r="R364" i="1"/>
  <c r="R365" i="1"/>
  <c r="R409" i="1"/>
  <c r="D409" i="1" s="1"/>
  <c r="R1037" i="1"/>
  <c r="R911" i="1"/>
  <c r="R704" i="1"/>
  <c r="P87" i="1"/>
  <c r="P1209" i="1"/>
  <c r="R644" i="1"/>
  <c r="R1038" i="1"/>
  <c r="R17" i="1"/>
  <c r="D18" i="1" s="1"/>
  <c r="R610" i="1"/>
  <c r="P962" i="1"/>
  <c r="P424" i="1"/>
  <c r="P45" i="1"/>
  <c r="P551" i="1"/>
  <c r="R1097" i="1"/>
  <c r="D1097" i="1" s="1"/>
  <c r="R766" i="1"/>
  <c r="D766" i="1" s="1"/>
  <c r="R436" i="1"/>
  <c r="D436" i="1" s="1"/>
  <c r="R817" i="1"/>
  <c r="D817" i="1" s="1"/>
  <c r="R672" i="1"/>
  <c r="R705" i="1"/>
  <c r="R822" i="1"/>
  <c r="D822" i="1" s="1"/>
  <c r="R650" i="1"/>
  <c r="R609" i="1"/>
  <c r="R899" i="1"/>
  <c r="D899" i="1" s="1"/>
  <c r="R885" i="1"/>
  <c r="R792" i="1"/>
  <c r="D792" i="1" s="1"/>
  <c r="R1161" i="1"/>
  <c r="R1039" i="1"/>
  <c r="R337" i="1"/>
  <c r="P88" i="1"/>
  <c r="Q88" i="1" s="1"/>
  <c r="P44" i="1"/>
  <c r="T443" i="1"/>
  <c r="X443" i="1"/>
  <c r="X442" i="1"/>
  <c r="T1110" i="1"/>
  <c r="T442" i="1"/>
  <c r="X914" i="1"/>
  <c r="T914" i="1"/>
  <c r="Y914" i="1"/>
  <c r="T912" i="1"/>
  <c r="X982" i="1"/>
  <c r="T982" i="1"/>
  <c r="X912" i="1"/>
  <c r="T1001" i="1"/>
  <c r="T527" i="1"/>
  <c r="T714" i="1"/>
  <c r="T1067" i="1"/>
  <c r="T259" i="1"/>
  <c r="T1109" i="1"/>
  <c r="X1001" i="1"/>
  <c r="X527" i="1"/>
  <c r="T1183" i="1"/>
  <c r="X1183" i="1"/>
  <c r="X1110" i="1"/>
  <c r="T776" i="1"/>
  <c r="T1015" i="1"/>
  <c r="X1015" i="1"/>
  <c r="T1207" i="1"/>
  <c r="X1207" i="1"/>
  <c r="T336" i="1"/>
  <c r="T1129" i="1"/>
  <c r="X1129" i="1"/>
  <c r="X1109" i="1"/>
  <c r="T554" i="1"/>
  <c r="X1067" i="1"/>
  <c r="X714" i="1"/>
  <c r="X776" i="1"/>
  <c r="T713" i="1"/>
  <c r="X713" i="1"/>
  <c r="T712" i="1"/>
  <c r="X712" i="1"/>
  <c r="X554" i="1"/>
  <c r="X84" i="1"/>
  <c r="X203" i="1"/>
  <c r="X259" i="1"/>
  <c r="X336" i="1"/>
  <c r="X82" i="1"/>
  <c r="X83" i="1"/>
  <c r="X329" i="1"/>
  <c r="T329" i="1"/>
  <c r="T408" i="1"/>
  <c r="X42" i="1"/>
  <c r="X408" i="1"/>
  <c r="T512" i="1"/>
  <c r="T41" i="1"/>
  <c r="X41" i="1"/>
  <c r="X43" i="1"/>
  <c r="Y43" i="1"/>
  <c r="T441" i="1"/>
  <c r="X512" i="1"/>
  <c r="T81" i="1"/>
  <c r="X81" i="1"/>
  <c r="Y81" i="1"/>
  <c r="X441" i="1"/>
  <c r="A844" i="1"/>
  <c r="C844" i="1"/>
  <c r="B844" i="1" s="1"/>
  <c r="F844" i="1"/>
  <c r="M844" i="1"/>
  <c r="O844" i="1"/>
  <c r="T844" i="1"/>
  <c r="U844" i="1"/>
  <c r="Y844" i="1" s="1"/>
  <c r="V844" i="1"/>
  <c r="W844" i="1" s="1"/>
  <c r="Z844" i="1"/>
  <c r="A845" i="1"/>
  <c r="C845" i="1"/>
  <c r="B845" i="1" s="1"/>
  <c r="F845" i="1"/>
  <c r="M845" i="1"/>
  <c r="O845" i="1"/>
  <c r="U845" i="1"/>
  <c r="Y845" i="1" s="1"/>
  <c r="V845" i="1"/>
  <c r="W845" i="1" s="1"/>
  <c r="Z845" i="1"/>
  <c r="A1193" i="1"/>
  <c r="C1193" i="1"/>
  <c r="B1193" i="1" s="1"/>
  <c r="F1193" i="1"/>
  <c r="O1193" i="1"/>
  <c r="T1193" i="1"/>
  <c r="U1193" i="1"/>
  <c r="V1193" i="1"/>
  <c r="W1193" i="1" s="1"/>
  <c r="Z1193" i="1"/>
  <c r="A1081" i="1"/>
  <c r="C1081" i="1"/>
  <c r="B1081" i="1" s="1"/>
  <c r="F1081" i="1"/>
  <c r="M1081" i="1"/>
  <c r="O1081" i="1"/>
  <c r="U1081" i="1"/>
  <c r="Y1081" i="1" s="1"/>
  <c r="V1081" i="1"/>
  <c r="W1081" i="1" s="1"/>
  <c r="Z1081" i="1"/>
  <c r="A569" i="1"/>
  <c r="C569" i="1"/>
  <c r="B569" i="1" s="1"/>
  <c r="F569" i="1"/>
  <c r="M569" i="1"/>
  <c r="O569" i="1"/>
  <c r="T569" i="1"/>
  <c r="U569" i="1"/>
  <c r="Y569" i="1" s="1"/>
  <c r="V569" i="1"/>
  <c r="W569" i="1" s="1"/>
  <c r="Z569" i="1"/>
  <c r="A1151" i="1"/>
  <c r="C1151" i="1"/>
  <c r="B1151" i="1" s="1"/>
  <c r="F1151" i="1"/>
  <c r="M1151" i="1"/>
  <c r="O1151" i="1"/>
  <c r="U1151" i="1"/>
  <c r="Y1151" i="1" s="1"/>
  <c r="V1151" i="1"/>
  <c r="W1151" i="1" s="1"/>
  <c r="Z1151" i="1"/>
  <c r="A1096" i="1"/>
  <c r="C1096" i="1"/>
  <c r="B1096" i="1" s="1"/>
  <c r="F1096" i="1"/>
  <c r="M1096" i="1"/>
  <c r="O1096" i="1"/>
  <c r="T1096" i="1"/>
  <c r="U1096" i="1"/>
  <c r="Y1096" i="1" s="1"/>
  <c r="V1096" i="1"/>
  <c r="W1096" i="1" s="1"/>
  <c r="Z1096" i="1"/>
  <c r="A228" i="1"/>
  <c r="C228" i="1"/>
  <c r="B228" i="1" s="1"/>
  <c r="F228" i="1"/>
  <c r="M228" i="1"/>
  <c r="O228" i="1"/>
  <c r="T228" i="1"/>
  <c r="U228" i="1"/>
  <c r="Y228" i="1" s="1"/>
  <c r="V228" i="1"/>
  <c r="W228" i="1" s="1"/>
  <c r="Z228" i="1"/>
  <c r="A791" i="1"/>
  <c r="C791" i="1"/>
  <c r="B791" i="1" s="1"/>
  <c r="F791" i="1"/>
  <c r="M791" i="1"/>
  <c r="O791" i="1"/>
  <c r="U791" i="1"/>
  <c r="Y791" i="1" s="1"/>
  <c r="V791" i="1"/>
  <c r="W791" i="1" s="1"/>
  <c r="Z791" i="1"/>
  <c r="A988" i="1"/>
  <c r="C988" i="1"/>
  <c r="B988" i="1" s="1"/>
  <c r="F988" i="1"/>
  <c r="M988" i="1"/>
  <c r="O988" i="1"/>
  <c r="T988" i="1"/>
  <c r="U988" i="1"/>
  <c r="Y988" i="1" s="1"/>
  <c r="V988" i="1"/>
  <c r="W988" i="1" s="1"/>
  <c r="Z988" i="1"/>
  <c r="A568" i="1"/>
  <c r="C568" i="1"/>
  <c r="B568" i="1" s="1"/>
  <c r="F568" i="1"/>
  <c r="M568" i="1"/>
  <c r="O568" i="1"/>
  <c r="T568" i="1"/>
  <c r="U568" i="1"/>
  <c r="Y568" i="1" s="1"/>
  <c r="V568" i="1"/>
  <c r="W568" i="1" s="1"/>
  <c r="Z568" i="1"/>
  <c r="A1036" i="1"/>
  <c r="C1036" i="1"/>
  <c r="B1036" i="1" s="1"/>
  <c r="F1036" i="1"/>
  <c r="M1036" i="1"/>
  <c r="O1036" i="1"/>
  <c r="T1036" i="1"/>
  <c r="U1036" i="1"/>
  <c r="Y1036" i="1" s="1"/>
  <c r="V1036" i="1"/>
  <c r="W1036" i="1" s="1"/>
  <c r="Z1036" i="1"/>
  <c r="A1034" i="1"/>
  <c r="C1034" i="1"/>
  <c r="B1034" i="1" s="1"/>
  <c r="F1034" i="1"/>
  <c r="M1034" i="1"/>
  <c r="O1034" i="1"/>
  <c r="U1034" i="1"/>
  <c r="Y1034" i="1" s="1"/>
  <c r="V1034" i="1"/>
  <c r="W1034" i="1" s="1"/>
  <c r="Z1034" i="1"/>
  <c r="A1035" i="1"/>
  <c r="C1035" i="1"/>
  <c r="B1035" i="1" s="1"/>
  <c r="F1035" i="1"/>
  <c r="M1035" i="1"/>
  <c r="O1035" i="1"/>
  <c r="U1035" i="1"/>
  <c r="Y1035" i="1" s="1"/>
  <c r="V1035" i="1"/>
  <c r="W1035" i="1" s="1"/>
  <c r="Z1035" i="1"/>
  <c r="A1033" i="1"/>
  <c r="C1033" i="1"/>
  <c r="B1033" i="1" s="1"/>
  <c r="F1033" i="1"/>
  <c r="M1033" i="1"/>
  <c r="O1033" i="1"/>
  <c r="U1033" i="1"/>
  <c r="V1033" i="1"/>
  <c r="W1033" i="1" s="1"/>
  <c r="Z1033" i="1"/>
  <c r="A440" i="1"/>
  <c r="C440" i="1"/>
  <c r="B440" i="1" s="1"/>
  <c r="F440" i="1"/>
  <c r="M440" i="1"/>
  <c r="O440" i="1"/>
  <c r="U440" i="1"/>
  <c r="V440" i="1"/>
  <c r="W440" i="1" s="1"/>
  <c r="Z440" i="1"/>
  <c r="I11" i="104"/>
  <c r="A11" i="104"/>
  <c r="B11" i="104"/>
  <c r="C11" i="104"/>
  <c r="P82" i="1" l="1"/>
  <c r="Q1120" i="1"/>
  <c r="Q915" i="1"/>
  <c r="Q90" i="1"/>
  <c r="Q358" i="1"/>
  <c r="Q89" i="1"/>
  <c r="Q1124" i="1"/>
  <c r="Q85" i="1"/>
  <c r="P84" i="1"/>
  <c r="P714" i="1"/>
  <c r="P1001" i="1"/>
  <c r="P442" i="1"/>
  <c r="R88" i="1"/>
  <c r="Q551" i="1"/>
  <c r="Q424" i="1"/>
  <c r="P408" i="1"/>
  <c r="P336" i="1"/>
  <c r="P554" i="1"/>
  <c r="P1015" i="1"/>
  <c r="P1183" i="1"/>
  <c r="P982" i="1"/>
  <c r="P443" i="1"/>
  <c r="Q1209" i="1"/>
  <c r="P42" i="1"/>
  <c r="P329" i="1"/>
  <c r="P259" i="1"/>
  <c r="Q360" i="1"/>
  <c r="Q275" i="1"/>
  <c r="Q86" i="1"/>
  <c r="Q359" i="1"/>
  <c r="Q37" i="1"/>
  <c r="Q1208" i="1"/>
  <c r="R1118" i="1"/>
  <c r="D1118" i="1" s="1"/>
  <c r="Q45" i="1"/>
  <c r="Q962" i="1"/>
  <c r="P441" i="1"/>
  <c r="P512" i="1"/>
  <c r="P41" i="1"/>
  <c r="P83" i="1"/>
  <c r="P203" i="1"/>
  <c r="P712" i="1"/>
  <c r="P776" i="1"/>
  <c r="P1109" i="1"/>
  <c r="P1207" i="1"/>
  <c r="P527" i="1"/>
  <c r="P912" i="1"/>
  <c r="Q44" i="1"/>
  <c r="Q87" i="1"/>
  <c r="D1001" i="1"/>
  <c r="D1003" i="1"/>
  <c r="P914" i="1"/>
  <c r="P1129" i="1"/>
  <c r="P1110" i="1"/>
  <c r="P713" i="1"/>
  <c r="P1067" i="1"/>
  <c r="P43" i="1"/>
  <c r="D43" i="1"/>
  <c r="D41" i="1"/>
  <c r="P81" i="1"/>
  <c r="X844" i="1"/>
  <c r="T845" i="1"/>
  <c r="X845" i="1"/>
  <c r="X1193" i="1"/>
  <c r="Y1193" i="1"/>
  <c r="T1081" i="1"/>
  <c r="X569" i="1"/>
  <c r="X1081" i="1"/>
  <c r="X791" i="1"/>
  <c r="X568" i="1"/>
  <c r="T1151" i="1"/>
  <c r="X1151" i="1"/>
  <c r="X1096" i="1"/>
  <c r="X228" i="1"/>
  <c r="T791" i="1"/>
  <c r="X988" i="1"/>
  <c r="X1035" i="1"/>
  <c r="X1036" i="1"/>
  <c r="X1033" i="1"/>
  <c r="T1034" i="1"/>
  <c r="T1035" i="1"/>
  <c r="X1034" i="1"/>
  <c r="T1033" i="1"/>
  <c r="Y1033" i="1"/>
  <c r="T440" i="1"/>
  <c r="X440" i="1"/>
  <c r="Y440" i="1"/>
  <c r="R87" i="1" l="1"/>
  <c r="Q912" i="1"/>
  <c r="Q1207" i="1"/>
  <c r="Q776" i="1"/>
  <c r="Q203" i="1"/>
  <c r="R45" i="1"/>
  <c r="D45" i="1" s="1"/>
  <c r="P1035" i="1"/>
  <c r="P1096" i="1"/>
  <c r="P791" i="1"/>
  <c r="Q569" i="1"/>
  <c r="Q81" i="1"/>
  <c r="Q1067" i="1"/>
  <c r="Q914" i="1"/>
  <c r="Q512" i="1"/>
  <c r="Q443" i="1"/>
  <c r="R1124" i="1"/>
  <c r="D1124" i="1" s="1"/>
  <c r="R358" i="1"/>
  <c r="R915" i="1"/>
  <c r="Q82" i="1"/>
  <c r="P1034" i="1"/>
  <c r="P1036" i="1"/>
  <c r="P228" i="1"/>
  <c r="P568" i="1"/>
  <c r="P845" i="1"/>
  <c r="Q713" i="1"/>
  <c r="R37" i="1"/>
  <c r="R86" i="1"/>
  <c r="R360" i="1"/>
  <c r="Q329" i="1"/>
  <c r="Q1183" i="1"/>
  <c r="Q554" i="1"/>
  <c r="Q408" i="1"/>
  <c r="R551" i="1"/>
  <c r="D551" i="1" s="1"/>
  <c r="Q442" i="1"/>
  <c r="Q714" i="1"/>
  <c r="Q41" i="1"/>
  <c r="Q441" i="1"/>
  <c r="R1209" i="1"/>
  <c r="R85" i="1"/>
  <c r="R89" i="1"/>
  <c r="R90" i="1"/>
  <c r="R1120" i="1"/>
  <c r="D1120" i="1" s="1"/>
  <c r="Q1110" i="1"/>
  <c r="P988" i="1"/>
  <c r="P1151" i="1"/>
  <c r="P1081" i="1"/>
  <c r="P844" i="1"/>
  <c r="Q43" i="1"/>
  <c r="Q1129" i="1"/>
  <c r="R44" i="1"/>
  <c r="Q527" i="1"/>
  <c r="Q1109" i="1"/>
  <c r="Q712" i="1"/>
  <c r="Q83" i="1"/>
  <c r="R962" i="1"/>
  <c r="R1208" i="1"/>
  <c r="R359" i="1"/>
  <c r="R275" i="1"/>
  <c r="D275" i="1" s="1"/>
  <c r="Q259" i="1"/>
  <c r="Q42" i="1"/>
  <c r="Q982" i="1"/>
  <c r="Q1015" i="1"/>
  <c r="Q336" i="1"/>
  <c r="R424" i="1"/>
  <c r="D424" i="1" s="1"/>
  <c r="Q1001" i="1"/>
  <c r="Q84" i="1"/>
  <c r="D100" i="1"/>
  <c r="D101" i="1"/>
  <c r="D98" i="1"/>
  <c r="D99" i="1"/>
  <c r="D848" i="1"/>
  <c r="D849" i="1"/>
  <c r="D846" i="1"/>
  <c r="D847" i="1"/>
  <c r="D96" i="1"/>
  <c r="D97" i="1"/>
  <c r="D94" i="1"/>
  <c r="D95" i="1"/>
  <c r="D91" i="1"/>
  <c r="D93" i="1"/>
  <c r="D92" i="1"/>
  <c r="D911" i="1"/>
  <c r="D916" i="1"/>
  <c r="D915" i="1"/>
  <c r="D912" i="1"/>
  <c r="D1109" i="1"/>
  <c r="D1110" i="1"/>
  <c r="D845" i="1"/>
  <c r="D844" i="1"/>
  <c r="P1193" i="1"/>
  <c r="D568" i="1"/>
  <c r="P1033" i="1"/>
  <c r="D1034" i="1"/>
  <c r="D1036" i="1"/>
  <c r="D1033" i="1"/>
  <c r="D1035" i="1"/>
  <c r="P440" i="1"/>
  <c r="D37" i="1" l="1"/>
  <c r="R1001" i="1"/>
  <c r="D1002" i="1" s="1"/>
  <c r="R336" i="1"/>
  <c r="R982" i="1"/>
  <c r="D982" i="1" s="1"/>
  <c r="R259" i="1"/>
  <c r="D259" i="1" s="1"/>
  <c r="R712" i="1"/>
  <c r="R527" i="1"/>
  <c r="R43" i="1"/>
  <c r="D42" i="1" s="1"/>
  <c r="Q1081" i="1"/>
  <c r="Q988" i="1"/>
  <c r="R41" i="1"/>
  <c r="R442" i="1"/>
  <c r="R408" i="1"/>
  <c r="R1183" i="1"/>
  <c r="D1183" i="1" s="1"/>
  <c r="R329" i="1"/>
  <c r="D329" i="1" s="1"/>
  <c r="R713" i="1"/>
  <c r="Q568" i="1"/>
  <c r="Q1036" i="1"/>
  <c r="R512" i="1"/>
  <c r="D512" i="1" s="1"/>
  <c r="R1067" i="1"/>
  <c r="R569" i="1"/>
  <c r="D569" i="1" s="1"/>
  <c r="Q1193" i="1"/>
  <c r="Q791" i="1"/>
  <c r="Q1035" i="1"/>
  <c r="R776" i="1"/>
  <c r="D776" i="1" s="1"/>
  <c r="R912" i="1"/>
  <c r="Q440" i="1"/>
  <c r="R84" i="1"/>
  <c r="R1015" i="1"/>
  <c r="D1015" i="1" s="1"/>
  <c r="R42" i="1"/>
  <c r="R83" i="1"/>
  <c r="R1109" i="1"/>
  <c r="R1129" i="1"/>
  <c r="Q844" i="1"/>
  <c r="Q1151" i="1"/>
  <c r="R1110" i="1"/>
  <c r="R441" i="1"/>
  <c r="R714" i="1"/>
  <c r="R554" i="1"/>
  <c r="Q845" i="1"/>
  <c r="Q228" i="1"/>
  <c r="Q1034" i="1"/>
  <c r="R82" i="1"/>
  <c r="R443" i="1"/>
  <c r="R914" i="1"/>
  <c r="D914" i="1" s="1"/>
  <c r="R81" i="1"/>
  <c r="D102" i="1" s="1"/>
  <c r="Q1033" i="1"/>
  <c r="Q1096" i="1"/>
  <c r="R203" i="1"/>
  <c r="D203" i="1" s="1"/>
  <c r="R1207" i="1"/>
  <c r="A898" i="1"/>
  <c r="C898" i="1"/>
  <c r="B898" i="1" s="1"/>
  <c r="F898" i="1"/>
  <c r="M898" i="1"/>
  <c r="O898" i="1"/>
  <c r="U898" i="1"/>
  <c r="Y898" i="1" s="1"/>
  <c r="V898" i="1"/>
  <c r="W898" i="1" s="1"/>
  <c r="Z898" i="1"/>
  <c r="B18" i="15"/>
  <c r="C18" i="15"/>
  <c r="E469" i="6"/>
  <c r="F469" i="6"/>
  <c r="I469" i="6"/>
  <c r="J469" i="6"/>
  <c r="A439" i="1"/>
  <c r="C439" i="1"/>
  <c r="B439" i="1" s="1"/>
  <c r="F439" i="1"/>
  <c r="M439" i="1"/>
  <c r="O439" i="1"/>
  <c r="U439" i="1"/>
  <c r="Y439" i="1" s="1"/>
  <c r="V439" i="1"/>
  <c r="W439" i="1" s="1"/>
  <c r="Z439" i="1"/>
  <c r="I10" i="104"/>
  <c r="A10" i="104"/>
  <c r="B10" i="104"/>
  <c r="C10" i="104"/>
  <c r="A438" i="1"/>
  <c r="C438" i="1"/>
  <c r="B438" i="1" s="1"/>
  <c r="F438" i="1"/>
  <c r="M438" i="1"/>
  <c r="O438" i="1"/>
  <c r="U438" i="1"/>
  <c r="V438" i="1"/>
  <c r="W438" i="1" s="1"/>
  <c r="Z438" i="1"/>
  <c r="I9" i="104"/>
  <c r="A9" i="104"/>
  <c r="B9" i="104"/>
  <c r="C9" i="104"/>
  <c r="R791" i="1" l="1"/>
  <c r="D791" i="1" s="1"/>
  <c r="R228" i="1"/>
  <c r="D228" i="1" s="1"/>
  <c r="R844" i="1"/>
  <c r="R1035" i="1"/>
  <c r="R1193" i="1"/>
  <c r="D1193" i="1" s="1"/>
  <c r="R568" i="1"/>
  <c r="R1034" i="1"/>
  <c r="R845" i="1"/>
  <c r="D850" i="1" s="1"/>
  <c r="R1151" i="1"/>
  <c r="D1151" i="1" s="1"/>
  <c r="R988" i="1"/>
  <c r="D988" i="1" s="1"/>
  <c r="R440" i="1"/>
  <c r="R1036" i="1"/>
  <c r="R1096" i="1"/>
  <c r="D1096" i="1" s="1"/>
  <c r="R1033" i="1"/>
  <c r="R1081" i="1"/>
  <c r="D1081" i="1" s="1"/>
  <c r="T898" i="1"/>
  <c r="X898" i="1"/>
  <c r="T439" i="1"/>
  <c r="X439" i="1"/>
  <c r="T438" i="1"/>
  <c r="X438" i="1"/>
  <c r="Y438" i="1"/>
  <c r="A821" i="1"/>
  <c r="C821" i="1"/>
  <c r="B821" i="1" s="1"/>
  <c r="F821" i="1"/>
  <c r="M821" i="1"/>
  <c r="O821" i="1"/>
  <c r="T821" i="1"/>
  <c r="U821" i="1"/>
  <c r="Y821" i="1" s="1"/>
  <c r="V821" i="1"/>
  <c r="W821" i="1" s="1"/>
  <c r="Z821" i="1"/>
  <c r="O1206" i="1"/>
  <c r="A1206" i="1"/>
  <c r="C1206" i="1"/>
  <c r="B1206" i="1" s="1"/>
  <c r="F1206" i="1"/>
  <c r="M1206" i="1"/>
  <c r="U1206" i="1"/>
  <c r="Y1206" i="1" s="1"/>
  <c r="V1206" i="1"/>
  <c r="W1206" i="1" s="1"/>
  <c r="Z1206" i="1"/>
  <c r="A299" i="1"/>
  <c r="C299" i="1"/>
  <c r="B299" i="1" s="1"/>
  <c r="F299" i="1"/>
  <c r="M299" i="1"/>
  <c r="O299" i="1"/>
  <c r="U299" i="1"/>
  <c r="Y299" i="1" s="1"/>
  <c r="V299" i="1"/>
  <c r="W299" i="1" s="1"/>
  <c r="Z299" i="1"/>
  <c r="A239" i="1"/>
  <c r="C239" i="1"/>
  <c r="B239" i="1" s="1"/>
  <c r="F239" i="1"/>
  <c r="M239" i="1"/>
  <c r="O239" i="1"/>
  <c r="U239" i="1"/>
  <c r="Y239" i="1" s="1"/>
  <c r="V239" i="1"/>
  <c r="W239" i="1" s="1"/>
  <c r="Z239" i="1"/>
  <c r="E135" i="6"/>
  <c r="I135" i="6"/>
  <c r="J135" i="6"/>
  <c r="E78" i="6"/>
  <c r="E332" i="6"/>
  <c r="E294" i="6"/>
  <c r="E271" i="6"/>
  <c r="E202" i="6"/>
  <c r="F78" i="6"/>
  <c r="F332" i="6"/>
  <c r="F294" i="6"/>
  <c r="F271" i="6"/>
  <c r="I78" i="6"/>
  <c r="I332" i="6"/>
  <c r="I294" i="6"/>
  <c r="I271" i="6"/>
  <c r="I202" i="6"/>
  <c r="J78" i="6"/>
  <c r="J332" i="6"/>
  <c r="J294" i="6"/>
  <c r="J271" i="6"/>
  <c r="J202" i="6"/>
  <c r="E27" i="6"/>
  <c r="F27" i="6"/>
  <c r="I27" i="6"/>
  <c r="J27" i="6"/>
  <c r="E590" i="6"/>
  <c r="I590" i="6"/>
  <c r="J590" i="6"/>
  <c r="E55" i="6"/>
  <c r="F55" i="6"/>
  <c r="I55" i="6"/>
  <c r="J55" i="6"/>
  <c r="E650" i="6"/>
  <c r="I650" i="6"/>
  <c r="J650" i="6"/>
  <c r="P898" i="1" l="1"/>
  <c r="P439" i="1"/>
  <c r="P438" i="1"/>
  <c r="X821" i="1"/>
  <c r="T299" i="1"/>
  <c r="X1206" i="1"/>
  <c r="T1206" i="1"/>
  <c r="X299" i="1"/>
  <c r="T239" i="1"/>
  <c r="X239" i="1"/>
  <c r="E391" i="6"/>
  <c r="F391" i="6"/>
  <c r="I391" i="6"/>
  <c r="J391" i="6"/>
  <c r="I2" i="104"/>
  <c r="A2" i="104"/>
  <c r="B2" i="104"/>
  <c r="C2" i="104"/>
  <c r="E270" i="6"/>
  <c r="F270" i="6"/>
  <c r="I270" i="6"/>
  <c r="J270" i="6"/>
  <c r="I7" i="104"/>
  <c r="I8" i="104"/>
  <c r="I6" i="104"/>
  <c r="A6" i="104"/>
  <c r="B6" i="104"/>
  <c r="C6" i="104"/>
  <c r="A8" i="104"/>
  <c r="B8" i="104"/>
  <c r="C8" i="104"/>
  <c r="A7" i="104"/>
  <c r="B7" i="104"/>
  <c r="C7" i="104"/>
  <c r="Q438" i="1" l="1"/>
  <c r="Q898" i="1"/>
  <c r="P239" i="1"/>
  <c r="P1206" i="1"/>
  <c r="P299" i="1"/>
  <c r="P821" i="1"/>
  <c r="Q439" i="1"/>
  <c r="D1208" i="1"/>
  <c r="D1209" i="1"/>
  <c r="D1206" i="1"/>
  <c r="D1207" i="1"/>
  <c r="I5" i="104"/>
  <c r="A5" i="104"/>
  <c r="B5" i="104"/>
  <c r="C5" i="104"/>
  <c r="I4" i="104"/>
  <c r="A4" i="104"/>
  <c r="B4" i="104"/>
  <c r="C4" i="104"/>
  <c r="I3" i="104"/>
  <c r="A3" i="104"/>
  <c r="B3" i="104"/>
  <c r="C3" i="104"/>
  <c r="R898" i="1" l="1"/>
  <c r="D898" i="1" s="1"/>
  <c r="Q821" i="1"/>
  <c r="Q239" i="1"/>
  <c r="R438" i="1"/>
  <c r="R439" i="1"/>
  <c r="Q299" i="1"/>
  <c r="Q1206" i="1"/>
  <c r="D299" i="1"/>
  <c r="A562" i="1"/>
  <c r="C562" i="1"/>
  <c r="B562" i="1" s="1"/>
  <c r="F562" i="1"/>
  <c r="M562" i="1"/>
  <c r="O562" i="1"/>
  <c r="U562" i="1"/>
  <c r="Y562" i="1" s="1"/>
  <c r="V562" i="1"/>
  <c r="W562" i="1" s="1"/>
  <c r="Z562" i="1"/>
  <c r="I103" i="104"/>
  <c r="A103" i="104"/>
  <c r="B103" i="104"/>
  <c r="C103" i="104"/>
  <c r="I102" i="104"/>
  <c r="A102" i="104"/>
  <c r="B102" i="104"/>
  <c r="C102" i="104"/>
  <c r="E26" i="6"/>
  <c r="E77" i="6"/>
  <c r="E134" i="6"/>
  <c r="E201" i="6"/>
  <c r="E269" i="6"/>
  <c r="E293" i="6"/>
  <c r="E331" i="6"/>
  <c r="E501" i="6"/>
  <c r="F26" i="6"/>
  <c r="F77" i="6"/>
  <c r="F269" i="6"/>
  <c r="F293" i="6"/>
  <c r="F331" i="6"/>
  <c r="F501" i="6"/>
  <c r="I26" i="6"/>
  <c r="I77" i="6"/>
  <c r="I134" i="6"/>
  <c r="I201" i="6"/>
  <c r="I269" i="6"/>
  <c r="I293" i="6"/>
  <c r="I331" i="6"/>
  <c r="I501" i="6"/>
  <c r="J26" i="6"/>
  <c r="J77" i="6"/>
  <c r="J134" i="6"/>
  <c r="J201" i="6"/>
  <c r="J269" i="6"/>
  <c r="J293" i="6"/>
  <c r="J331" i="6"/>
  <c r="J501" i="6"/>
  <c r="C26" i="15"/>
  <c r="C21" i="15"/>
  <c r="C17" i="15"/>
  <c r="C14" i="15"/>
  <c r="C15" i="15"/>
  <c r="C13" i="15"/>
  <c r="C12" i="15"/>
  <c r="C11" i="15"/>
  <c r="C10" i="15"/>
  <c r="C9" i="15"/>
  <c r="C7" i="15"/>
  <c r="C5" i="15"/>
  <c r="C4" i="15"/>
  <c r="C2" i="15"/>
  <c r="E589" i="6"/>
  <c r="E390" i="6"/>
  <c r="F390" i="6"/>
  <c r="I589" i="6"/>
  <c r="I390" i="6"/>
  <c r="J589" i="6"/>
  <c r="J390" i="6"/>
  <c r="E500" i="6"/>
  <c r="F500" i="6"/>
  <c r="I500" i="6"/>
  <c r="J500" i="6"/>
  <c r="R1206" i="1" l="1"/>
  <c r="R299" i="1"/>
  <c r="R239" i="1"/>
  <c r="D239" i="1" s="1"/>
  <c r="R821" i="1"/>
  <c r="D821" i="1" s="1"/>
  <c r="D445" i="1"/>
  <c r="D444" i="1"/>
  <c r="D337" i="1"/>
  <c r="D365" i="1"/>
  <c r="D366" i="1"/>
  <c r="D363" i="1"/>
  <c r="D364" i="1"/>
  <c r="D362" i="1"/>
  <c r="D361" i="1"/>
  <c r="D358" i="1"/>
  <c r="D360" i="1"/>
  <c r="D359" i="1"/>
  <c r="D86" i="1"/>
  <c r="D87" i="1"/>
  <c r="D88" i="1"/>
  <c r="D89" i="1"/>
  <c r="D82" i="1"/>
  <c r="D85" i="1"/>
  <c r="D443" i="1"/>
  <c r="D442" i="1"/>
  <c r="D83" i="1"/>
  <c r="D84" i="1"/>
  <c r="D408" i="1"/>
  <c r="D81" i="1"/>
  <c r="D441" i="1"/>
  <c r="D440" i="1"/>
  <c r="D439" i="1"/>
  <c r="D438" i="1"/>
  <c r="T562" i="1"/>
  <c r="X562" i="1"/>
  <c r="P562" i="1" l="1"/>
  <c r="D562" i="1"/>
  <c r="D563" i="1"/>
  <c r="D888" i="1"/>
  <c r="D714" i="1"/>
  <c r="D713" i="1"/>
  <c r="D712" i="1"/>
  <c r="D554" i="1"/>
  <c r="D336" i="1"/>
  <c r="E268" i="6"/>
  <c r="F268" i="6"/>
  <c r="I268" i="6"/>
  <c r="J268" i="6"/>
  <c r="E25" i="6"/>
  <c r="E76" i="6"/>
  <c r="E330" i="6"/>
  <c r="E292" i="6"/>
  <c r="E133" i="6"/>
  <c r="E200" i="6"/>
  <c r="F25" i="6"/>
  <c r="F76" i="6"/>
  <c r="F330" i="6"/>
  <c r="F292" i="6"/>
  <c r="I25" i="6"/>
  <c r="I76" i="6"/>
  <c r="I330" i="6"/>
  <c r="I292" i="6"/>
  <c r="I133" i="6"/>
  <c r="I200" i="6"/>
  <c r="J25" i="6"/>
  <c r="J76" i="6"/>
  <c r="J330" i="6"/>
  <c r="J292" i="6"/>
  <c r="J133" i="6"/>
  <c r="J200" i="6"/>
  <c r="E290" i="6"/>
  <c r="F290" i="6"/>
  <c r="I290" i="6"/>
  <c r="J290" i="6"/>
  <c r="B26" i="15"/>
  <c r="B21" i="15"/>
  <c r="B17" i="15"/>
  <c r="B14" i="15"/>
  <c r="B15" i="15"/>
  <c r="B13" i="15"/>
  <c r="B12" i="15"/>
  <c r="B11" i="15"/>
  <c r="B10" i="15"/>
  <c r="B9" i="15"/>
  <c r="B7" i="15"/>
  <c r="B5" i="15"/>
  <c r="B4" i="15"/>
  <c r="B2" i="15"/>
  <c r="C649" i="6"/>
  <c r="F737" i="6" s="1"/>
  <c r="Q27" i="15" l="1"/>
  <c r="F692" i="6"/>
  <c r="P27" i="15"/>
  <c r="G27" i="15"/>
  <c r="K27" i="15"/>
  <c r="D27" i="15"/>
  <c r="H27" i="15"/>
  <c r="L27" i="15"/>
  <c r="E27" i="15"/>
  <c r="I27" i="15"/>
  <c r="M27" i="15"/>
  <c r="F27" i="15"/>
  <c r="J27" i="15"/>
  <c r="N27" i="15"/>
  <c r="P28" i="15"/>
  <c r="F28" i="15"/>
  <c r="J28" i="15"/>
  <c r="N28" i="15"/>
  <c r="G28" i="15"/>
  <c r="K28" i="15"/>
  <c r="D28" i="15"/>
  <c r="H28" i="15"/>
  <c r="L28" i="15"/>
  <c r="E28" i="15"/>
  <c r="I28" i="15"/>
  <c r="M28" i="15"/>
  <c r="P29" i="15"/>
  <c r="D29" i="15"/>
  <c r="H29" i="15"/>
  <c r="L29" i="15"/>
  <c r="E29" i="15"/>
  <c r="I29" i="15"/>
  <c r="M29" i="15"/>
  <c r="F29" i="15"/>
  <c r="J29" i="15"/>
  <c r="N29" i="15"/>
  <c r="G29" i="15"/>
  <c r="K29" i="15"/>
  <c r="F688" i="6"/>
  <c r="F675" i="6"/>
  <c r="F662" i="6"/>
  <c r="F674" i="6"/>
  <c r="O28" i="15"/>
  <c r="F687" i="6"/>
  <c r="O29" i="15"/>
  <c r="F661" i="6"/>
  <c r="O27" i="15"/>
  <c r="D527" i="1"/>
  <c r="D962" i="1"/>
  <c r="D90" i="1"/>
  <c r="Q562" i="1"/>
  <c r="F660" i="6"/>
  <c r="F673" i="6"/>
  <c r="F686" i="6"/>
  <c r="F685" i="6"/>
  <c r="F659" i="6"/>
  <c r="F672" i="6"/>
  <c r="F671" i="6"/>
  <c r="F684" i="6"/>
  <c r="F658" i="6"/>
  <c r="F683" i="6"/>
  <c r="F657" i="6"/>
  <c r="F670" i="6"/>
  <c r="F669" i="6"/>
  <c r="F682" i="6"/>
  <c r="F656" i="6"/>
  <c r="F681" i="6"/>
  <c r="F655" i="6"/>
  <c r="F668" i="6"/>
  <c r="F667" i="6"/>
  <c r="F680" i="6"/>
  <c r="F654" i="6"/>
  <c r="F666" i="6"/>
  <c r="F679" i="6"/>
  <c r="F653" i="6"/>
  <c r="F651" i="6"/>
  <c r="F652" i="6"/>
  <c r="F677" i="6"/>
  <c r="F678" i="6"/>
  <c r="F664" i="6"/>
  <c r="F665" i="6"/>
  <c r="C29" i="15"/>
  <c r="C27" i="15"/>
  <c r="F650" i="6"/>
  <c r="C28" i="15"/>
  <c r="B29" i="15"/>
  <c r="B27" i="15"/>
  <c r="B28" i="15"/>
  <c r="D1067" i="1" l="1"/>
  <c r="R562" i="1"/>
  <c r="D1161" i="1"/>
  <c r="C7" i="16" l="1"/>
  <c r="C6" i="16"/>
  <c r="D708" i="1"/>
  <c r="D706" i="1"/>
  <c r="D707" i="1"/>
  <c r="D704" i="1"/>
  <c r="D705" i="1"/>
  <c r="C8" i="16" l="1"/>
  <c r="D1129" i="1"/>
  <c r="E649" i="6" l="1"/>
  <c r="F649" i="6"/>
  <c r="I649" i="6"/>
  <c r="J649" i="6"/>
  <c r="E389" i="6"/>
  <c r="F389" i="6"/>
  <c r="I389" i="6"/>
  <c r="J389" i="6"/>
  <c r="E588" i="6"/>
  <c r="I588" i="6"/>
  <c r="J588" i="6"/>
  <c r="E499" i="6"/>
  <c r="F499" i="6"/>
  <c r="I499" i="6"/>
  <c r="J499" i="6"/>
  <c r="E132" i="6"/>
  <c r="E267" i="6"/>
  <c r="E199" i="6"/>
  <c r="F267" i="6"/>
  <c r="I132" i="6"/>
  <c r="I267" i="6"/>
  <c r="I199" i="6"/>
  <c r="J132" i="6"/>
  <c r="J267" i="6"/>
  <c r="J199" i="6"/>
  <c r="E24" i="6"/>
  <c r="E75" i="6"/>
  <c r="E329" i="6"/>
  <c r="E291" i="6"/>
  <c r="F24" i="6"/>
  <c r="F75" i="6"/>
  <c r="F329" i="6"/>
  <c r="F291" i="6"/>
  <c r="I24" i="6"/>
  <c r="I75" i="6"/>
  <c r="I329" i="6"/>
  <c r="I291" i="6"/>
  <c r="J24" i="6"/>
  <c r="J75" i="6"/>
  <c r="J329" i="6"/>
  <c r="J291" i="6"/>
  <c r="E92" i="6" l="1"/>
  <c r="E217" i="6"/>
  <c r="E532" i="6"/>
  <c r="E344" i="6"/>
  <c r="E345" i="6"/>
  <c r="E93" i="6"/>
  <c r="E533" i="6"/>
  <c r="E218" i="6"/>
  <c r="E534" i="6"/>
  <c r="E346" i="6"/>
  <c r="E94" i="6"/>
  <c r="E535" i="6"/>
  <c r="E219" i="6"/>
  <c r="E347" i="6"/>
  <c r="E95" i="6"/>
  <c r="E536" i="6"/>
  <c r="E220" i="6"/>
  <c r="E348" i="6"/>
  <c r="E96" i="6"/>
  <c r="E221" i="6"/>
  <c r="E537" i="6"/>
  <c r="E349" i="6"/>
  <c r="E350" i="6"/>
  <c r="E97" i="6"/>
  <c r="E222" i="6"/>
  <c r="E538" i="6"/>
  <c r="E351" i="6"/>
  <c r="E98" i="6"/>
  <c r="E539" i="6"/>
  <c r="E223" i="6"/>
  <c r="E352" i="6"/>
  <c r="E151" i="6"/>
  <c r="E152" i="6"/>
  <c r="E153" i="6"/>
  <c r="E154" i="6"/>
  <c r="E155" i="6"/>
  <c r="E156" i="6"/>
  <c r="E157" i="6"/>
  <c r="E158" i="6"/>
  <c r="E99" i="6"/>
  <c r="E540" i="6"/>
  <c r="E224" i="6"/>
  <c r="E353" i="6"/>
  <c r="E159" i="6"/>
  <c r="E100" i="6"/>
  <c r="E225" i="6"/>
  <c r="E541" i="6"/>
  <c r="E354" i="6"/>
  <c r="E160" i="6"/>
  <c r="E161" i="6"/>
  <c r="E101" i="6"/>
  <c r="E542" i="6"/>
  <c r="E226" i="6"/>
  <c r="E355" i="6"/>
  <c r="E102" i="6"/>
  <c r="E543" i="6"/>
  <c r="E227" i="6"/>
  <c r="E356" i="6"/>
  <c r="E162" i="6"/>
  <c r="E103" i="6"/>
  <c r="E544" i="6"/>
  <c r="E228" i="6"/>
  <c r="E357" i="6"/>
  <c r="E163" i="6"/>
  <c r="E229" i="6"/>
  <c r="E104" i="6"/>
  <c r="E545" i="6"/>
  <c r="E230" i="6"/>
  <c r="E358" i="6"/>
  <c r="E164" i="6"/>
  <c r="E546" i="6"/>
  <c r="E105" i="6"/>
  <c r="E165" i="6"/>
  <c r="E231" i="6"/>
  <c r="E547" i="6"/>
  <c r="E232" i="6"/>
  <c r="E359" i="6"/>
  <c r="E166" i="6"/>
  <c r="E106" i="6"/>
  <c r="E548" i="6"/>
  <c r="E233" i="6"/>
  <c r="E234" i="6"/>
  <c r="E360" i="6"/>
  <c r="E167" i="6"/>
  <c r="E235" i="6"/>
  <c r="E52" i="6"/>
  <c r="E549" i="6"/>
  <c r="E361" i="6"/>
  <c r="E168" i="6"/>
  <c r="E169" i="6"/>
  <c r="E236" i="6"/>
  <c r="E170" i="6"/>
  <c r="E237" i="6"/>
  <c r="E171" i="6"/>
  <c r="E550" i="6"/>
  <c r="E551" i="6"/>
  <c r="E307" i="6"/>
  <c r="E172" i="6"/>
  <c r="E238" i="6"/>
  <c r="E362" i="6"/>
  <c r="E107" i="6"/>
  <c r="E552" i="6"/>
  <c r="E363" i="6"/>
  <c r="E173" i="6"/>
  <c r="E239" i="6"/>
  <c r="E108" i="6"/>
  <c r="E554" i="6"/>
  <c r="E555" i="6"/>
  <c r="E556" i="6"/>
  <c r="E364" i="6"/>
  <c r="E109" i="6"/>
  <c r="E174" i="6"/>
  <c r="E240" i="6"/>
  <c r="E110" i="6"/>
  <c r="E557" i="6"/>
  <c r="E365" i="6"/>
  <c r="E558" i="6"/>
  <c r="E111" i="6"/>
  <c r="E175" i="6"/>
  <c r="E241" i="6"/>
  <c r="E559" i="6"/>
  <c r="E53" i="6"/>
  <c r="E242" i="6"/>
  <c r="E366" i="6"/>
  <c r="E560" i="6"/>
  <c r="E561" i="6"/>
  <c r="E2" i="6"/>
  <c r="E112" i="6"/>
  <c r="E176" i="6"/>
  <c r="E243" i="6"/>
  <c r="E605" i="6"/>
  <c r="E367" i="6"/>
  <c r="E113" i="6"/>
  <c r="E177" i="6"/>
  <c r="E244" i="6"/>
  <c r="E562" i="6"/>
  <c r="E563" i="6"/>
  <c r="E178" i="6"/>
  <c r="E3" i="6"/>
  <c r="E245" i="6"/>
  <c r="E564" i="6"/>
  <c r="E606" i="6"/>
  <c r="E368" i="6"/>
  <c r="E114" i="6"/>
  <c r="E4" i="6"/>
  <c r="E179" i="6"/>
  <c r="E246" i="6"/>
  <c r="E180" i="6"/>
  <c r="E565" i="6"/>
  <c r="E607" i="6"/>
  <c r="E369" i="6"/>
  <c r="E566" i="6"/>
  <c r="E115" i="6"/>
  <c r="E181" i="6"/>
  <c r="E311" i="6"/>
  <c r="E370" i="6"/>
  <c r="E371" i="6"/>
  <c r="E567" i="6"/>
  <c r="E608" i="6"/>
  <c r="E568" i="6"/>
  <c r="E569" i="6"/>
  <c r="E247" i="6"/>
  <c r="E248" i="6"/>
  <c r="E312" i="6"/>
  <c r="E182" i="6"/>
  <c r="E570" i="6"/>
  <c r="E609" i="6"/>
  <c r="E372" i="6"/>
  <c r="E610" i="6"/>
  <c r="E116" i="6"/>
  <c r="E183" i="6"/>
  <c r="E249" i="6"/>
  <c r="E313" i="6"/>
  <c r="E250" i="6"/>
  <c r="E5" i="6"/>
  <c r="E611" i="6"/>
  <c r="E571" i="6"/>
  <c r="E373" i="6"/>
  <c r="E612" i="6"/>
  <c r="E251" i="6"/>
  <c r="E613" i="6"/>
  <c r="E6" i="6"/>
  <c r="E117" i="6"/>
  <c r="E184" i="6"/>
  <c r="E252" i="6"/>
  <c r="E314" i="6"/>
  <c r="E614" i="6"/>
  <c r="E615" i="6"/>
  <c r="E374" i="6"/>
  <c r="E616" i="6"/>
  <c r="E61" i="6"/>
  <c r="E617" i="6"/>
  <c r="E118" i="6"/>
  <c r="E7" i="6"/>
  <c r="E185" i="6"/>
  <c r="E253" i="6"/>
  <c r="E315" i="6"/>
  <c r="E572" i="6"/>
  <c r="E618" i="6"/>
  <c r="E375" i="6"/>
  <c r="E619" i="6"/>
  <c r="E620" i="6"/>
  <c r="E621" i="6"/>
  <c r="E8" i="6"/>
  <c r="E62" i="6"/>
  <c r="E119" i="6"/>
  <c r="E186" i="6"/>
  <c r="E254" i="6"/>
  <c r="E316" i="6"/>
  <c r="E573" i="6"/>
  <c r="E376" i="6"/>
  <c r="E622" i="6"/>
  <c r="E308" i="6"/>
  <c r="E623" i="6"/>
  <c r="E120" i="6"/>
  <c r="E63" i="6"/>
  <c r="E187" i="6"/>
  <c r="E255" i="6"/>
  <c r="E317" i="6"/>
  <c r="E624" i="6"/>
  <c r="E625" i="6"/>
  <c r="E626" i="6"/>
  <c r="E574" i="6"/>
  <c r="E627" i="6"/>
  <c r="E628" i="6"/>
  <c r="E629" i="6"/>
  <c r="E377" i="6"/>
  <c r="E630" i="6"/>
  <c r="E9" i="6"/>
  <c r="E64" i="6"/>
  <c r="E121" i="6"/>
  <c r="E188" i="6"/>
  <c r="E256" i="6"/>
  <c r="E318" i="6"/>
  <c r="E631" i="6"/>
  <c r="E575" i="6"/>
  <c r="E632" i="6"/>
  <c r="E378" i="6"/>
  <c r="E633" i="6"/>
  <c r="E634" i="6"/>
  <c r="E10" i="6"/>
  <c r="E65" i="6"/>
  <c r="E122" i="6"/>
  <c r="E189" i="6"/>
  <c r="E257" i="6"/>
  <c r="E319" i="6"/>
  <c r="E576" i="6"/>
  <c r="E54" i="6"/>
  <c r="E635" i="6"/>
  <c r="E636" i="6"/>
  <c r="E637" i="6"/>
  <c r="E577" i="6"/>
  <c r="E578" i="6"/>
  <c r="E638" i="6"/>
  <c r="E379" i="6"/>
  <c r="E11" i="6"/>
  <c r="E66" i="6"/>
  <c r="E123" i="6"/>
  <c r="E190" i="6"/>
  <c r="E258" i="6"/>
  <c r="E320" i="6"/>
  <c r="E579" i="6"/>
  <c r="E639" i="6"/>
  <c r="E380" i="6"/>
  <c r="E640" i="6"/>
  <c r="E12" i="6"/>
  <c r="E67" i="6"/>
  <c r="E124" i="6"/>
  <c r="E191" i="6"/>
  <c r="E259" i="6"/>
  <c r="E321" i="6"/>
  <c r="E580" i="6"/>
  <c r="E381" i="6"/>
  <c r="E641" i="6"/>
  <c r="E13" i="6"/>
  <c r="E68" i="6"/>
  <c r="E192" i="6"/>
  <c r="E260" i="6"/>
  <c r="E322" i="6"/>
  <c r="E125" i="6"/>
  <c r="E581" i="6"/>
  <c r="E382" i="6"/>
  <c r="E642" i="6"/>
  <c r="E14" i="6"/>
  <c r="E69" i="6"/>
  <c r="E126" i="6"/>
  <c r="E193" i="6"/>
  <c r="E261" i="6"/>
  <c r="E323" i="6"/>
  <c r="E582" i="6"/>
  <c r="E643" i="6"/>
  <c r="E15" i="6"/>
  <c r="E70" i="6"/>
  <c r="E127" i="6"/>
  <c r="E194" i="6"/>
  <c r="E262" i="6"/>
  <c r="E324" i="6"/>
  <c r="E583" i="6"/>
  <c r="E644" i="6"/>
  <c r="E71" i="6"/>
  <c r="E195" i="6"/>
  <c r="E263" i="6"/>
  <c r="E325" i="6"/>
  <c r="E128" i="6"/>
  <c r="E494" i="6"/>
  <c r="E286" i="6"/>
  <c r="E584" i="6"/>
  <c r="E385" i="6"/>
  <c r="E645" i="6"/>
  <c r="E16" i="6"/>
  <c r="E72" i="6"/>
  <c r="E264" i="6"/>
  <c r="E326" i="6"/>
  <c r="E585" i="6"/>
  <c r="E287" i="6"/>
  <c r="E646" i="6"/>
  <c r="E386" i="6"/>
  <c r="E17" i="6"/>
  <c r="E18" i="6"/>
  <c r="E19" i="6"/>
  <c r="E20" i="6"/>
  <c r="E21" i="6"/>
  <c r="E496" i="6"/>
  <c r="E22" i="6"/>
  <c r="E73" i="6"/>
  <c r="E265" i="6"/>
  <c r="E327" i="6"/>
  <c r="E586" i="6"/>
  <c r="E387" i="6"/>
  <c r="E497" i="6"/>
  <c r="E647" i="6"/>
  <c r="E288" i="6"/>
  <c r="E23" i="6"/>
  <c r="E74" i="6"/>
  <c r="E328" i="6"/>
  <c r="E498" i="6"/>
  <c r="E131" i="6"/>
  <c r="E266" i="6"/>
  <c r="E289" i="6"/>
  <c r="E587" i="6"/>
  <c r="E388" i="6"/>
  <c r="E648" i="6"/>
  <c r="F388" i="6" l="1"/>
  <c r="F648" i="6"/>
  <c r="I388" i="6"/>
  <c r="I648" i="6"/>
  <c r="J388" i="6"/>
  <c r="J648" i="6"/>
  <c r="I587" i="6" l="1"/>
  <c r="J587" i="6"/>
  <c r="F289" i="6"/>
  <c r="I289" i="6"/>
  <c r="J289" i="6"/>
  <c r="F266" i="6"/>
  <c r="I266" i="6"/>
  <c r="I131" i="6"/>
  <c r="J131" i="6"/>
  <c r="F498" i="6"/>
  <c r="I498" i="6"/>
  <c r="J498" i="6"/>
  <c r="C198" i="6"/>
  <c r="F328" i="6"/>
  <c r="I328" i="6"/>
  <c r="J328" i="6"/>
  <c r="F74" i="6"/>
  <c r="I74" i="6"/>
  <c r="J74" i="6"/>
  <c r="F23" i="6"/>
  <c r="I23" i="6"/>
  <c r="J23" i="6"/>
  <c r="F288" i="6"/>
  <c r="I288" i="6"/>
  <c r="J288" i="6"/>
  <c r="E198" i="6" l="1"/>
  <c r="J266" i="6"/>
  <c r="F647" i="6" l="1"/>
  <c r="I647" i="6"/>
  <c r="J647" i="6"/>
  <c r="F497" i="6"/>
  <c r="I497" i="6"/>
  <c r="J497" i="6"/>
  <c r="B10" i="16" l="1"/>
  <c r="F387" i="6"/>
  <c r="I387" i="6"/>
  <c r="J387" i="6"/>
  <c r="B17" i="16" l="1"/>
  <c r="F496" i="6" l="1"/>
  <c r="I496" i="6"/>
  <c r="J496" i="6"/>
  <c r="I586" i="6"/>
  <c r="J586" i="6"/>
  <c r="F327" i="6" l="1"/>
  <c r="I327" i="6"/>
  <c r="J327" i="6"/>
  <c r="I265" i="6"/>
  <c r="C197" i="6"/>
  <c r="C130" i="6"/>
  <c r="F73" i="6"/>
  <c r="I73" i="6"/>
  <c r="J73" i="6"/>
  <c r="F22" i="6"/>
  <c r="I22" i="6"/>
  <c r="J22" i="6"/>
  <c r="E197" i="6" l="1"/>
  <c r="E130" i="6"/>
  <c r="J265" i="6"/>
  <c r="J197" i="6"/>
  <c r="I197" i="6"/>
  <c r="F646" i="6"/>
  <c r="I646" i="6"/>
  <c r="J646" i="6"/>
  <c r="F21" i="6" l="1"/>
  <c r="I21" i="6"/>
  <c r="J21" i="6"/>
  <c r="F19" i="6" l="1"/>
  <c r="F20" i="6"/>
  <c r="I19" i="6"/>
  <c r="I20" i="6"/>
  <c r="J19" i="6"/>
  <c r="J20" i="6"/>
  <c r="F18" i="6"/>
  <c r="I18" i="6"/>
  <c r="J18" i="6"/>
  <c r="F17" i="6"/>
  <c r="I17" i="6"/>
  <c r="J17" i="6"/>
  <c r="F386" i="6" l="1"/>
  <c r="I386" i="6"/>
  <c r="J386" i="6"/>
  <c r="F287" i="6"/>
  <c r="I287" i="6"/>
  <c r="J287" i="6"/>
  <c r="I585" i="6" l="1"/>
  <c r="J585" i="6"/>
  <c r="D495" i="6"/>
  <c r="E495" i="6" s="1"/>
  <c r="F495" i="6"/>
  <c r="I495" i="6"/>
  <c r="J495" i="6" l="1"/>
  <c r="I578" i="6" l="1"/>
  <c r="J578" i="6"/>
  <c r="F326" i="6" l="1"/>
  <c r="I326" i="6"/>
  <c r="J326" i="6"/>
  <c r="D196" i="6"/>
  <c r="C196" i="6" s="1"/>
  <c r="Q8" i="15" s="1"/>
  <c r="D129" i="6"/>
  <c r="C129" i="6" s="1"/>
  <c r="F72" i="6"/>
  <c r="I72" i="6"/>
  <c r="J72" i="6"/>
  <c r="F16" i="6"/>
  <c r="I16" i="6"/>
  <c r="J16" i="6"/>
  <c r="F645" i="6"/>
  <c r="I645" i="6"/>
  <c r="J645" i="6"/>
  <c r="Q6" i="15" l="1"/>
  <c r="C11" i="16"/>
  <c r="C9" i="16" s="1"/>
  <c r="P8" i="15"/>
  <c r="F8" i="15"/>
  <c r="D8" i="15"/>
  <c r="M8" i="15"/>
  <c r="K8" i="15"/>
  <c r="I8" i="15"/>
  <c r="G8" i="15"/>
  <c r="E8" i="15"/>
  <c r="N8" i="15"/>
  <c r="L8" i="15"/>
  <c r="J8" i="15"/>
  <c r="H8" i="15"/>
  <c r="P6" i="15"/>
  <c r="J6" i="15"/>
  <c r="D6" i="15"/>
  <c r="I6" i="15"/>
  <c r="N6" i="15"/>
  <c r="H6" i="15"/>
  <c r="M6" i="15"/>
  <c r="G6" i="15"/>
  <c r="L6" i="15"/>
  <c r="F6" i="15"/>
  <c r="K6" i="15"/>
  <c r="E6" i="15"/>
  <c r="F216" i="6"/>
  <c r="J216" i="6" s="1"/>
  <c r="F147" i="6"/>
  <c r="J147" i="6" s="1"/>
  <c r="O6" i="15"/>
  <c r="F146" i="6"/>
  <c r="O8" i="15"/>
  <c r="F215" i="6"/>
  <c r="F145" i="6"/>
  <c r="F214" i="6"/>
  <c r="F213" i="6"/>
  <c r="F144" i="6"/>
  <c r="F143" i="6"/>
  <c r="F212" i="6"/>
  <c r="F142" i="6"/>
  <c r="F211" i="6"/>
  <c r="F141" i="6"/>
  <c r="F210" i="6"/>
  <c r="F140" i="6"/>
  <c r="F209" i="6"/>
  <c r="F139" i="6"/>
  <c r="F208" i="6"/>
  <c r="F138" i="6"/>
  <c r="F207" i="6"/>
  <c r="F137" i="6"/>
  <c r="F205" i="6"/>
  <c r="F206" i="6"/>
  <c r="F136" i="6"/>
  <c r="F203" i="6"/>
  <c r="F135" i="6"/>
  <c r="F202" i="6"/>
  <c r="F134" i="6"/>
  <c r="F201" i="6"/>
  <c r="F133" i="6"/>
  <c r="C6" i="15"/>
  <c r="F200" i="6"/>
  <c r="C8" i="15"/>
  <c r="B6" i="15"/>
  <c r="B8" i="15"/>
  <c r="E129" i="6"/>
  <c r="F132" i="6"/>
  <c r="E196" i="6"/>
  <c r="F199" i="6"/>
  <c r="F131" i="6"/>
  <c r="F197" i="6"/>
  <c r="J264" i="6"/>
  <c r="I264" i="6"/>
  <c r="F196" i="6"/>
  <c r="I196" i="6"/>
  <c r="J196" i="6"/>
  <c r="J129" i="6"/>
  <c r="F129" i="6"/>
  <c r="I129" i="6"/>
  <c r="F385" i="6" l="1"/>
  <c r="I385" i="6"/>
  <c r="J385" i="6"/>
  <c r="I204" i="6" l="1"/>
  <c r="E204" i="6"/>
  <c r="J204" i="6"/>
  <c r="F204" i="6"/>
  <c r="D494" i="6"/>
  <c r="F494" i="6"/>
  <c r="I494" i="6"/>
  <c r="J494" i="6"/>
  <c r="I584" i="6"/>
  <c r="J584" i="6"/>
  <c r="F286" i="6"/>
  <c r="I286" i="6"/>
  <c r="J286" i="6"/>
  <c r="D309" i="6"/>
  <c r="F309" i="6"/>
  <c r="I309" i="6"/>
  <c r="F71" i="6"/>
  <c r="I71" i="6"/>
  <c r="J71" i="6"/>
  <c r="F325" i="6"/>
  <c r="I325" i="6"/>
  <c r="J325" i="6"/>
  <c r="F644" i="6"/>
  <c r="I644" i="6"/>
  <c r="J644" i="6"/>
  <c r="E309" i="6" l="1"/>
  <c r="J309" i="6"/>
  <c r="D384" i="6"/>
  <c r="E384" i="6" s="1"/>
  <c r="D383" i="6"/>
  <c r="F383" i="6"/>
  <c r="F384" i="6"/>
  <c r="I383" i="6"/>
  <c r="I384" i="6"/>
  <c r="I583" i="6"/>
  <c r="J583" i="6"/>
  <c r="E383" i="6" l="1"/>
  <c r="J383" i="6"/>
  <c r="J384" i="6"/>
  <c r="F70" i="6"/>
  <c r="I70" i="6"/>
  <c r="J70" i="6"/>
  <c r="J127" i="6"/>
  <c r="F127" i="6"/>
  <c r="J194" i="6"/>
  <c r="F194" i="6"/>
  <c r="I194" i="6"/>
  <c r="F324" i="6"/>
  <c r="I324" i="6"/>
  <c r="J324" i="6"/>
  <c r="F15" i="6"/>
  <c r="I15" i="6"/>
  <c r="J15" i="6"/>
  <c r="F643" i="6"/>
  <c r="I643" i="6"/>
  <c r="J643" i="6"/>
  <c r="J195" i="6" l="1"/>
  <c r="F195" i="6"/>
  <c r="I195" i="6"/>
  <c r="J128" i="6"/>
  <c r="F128" i="6"/>
  <c r="I128" i="6"/>
  <c r="I127" i="6"/>
  <c r="F217" i="6" l="1"/>
  <c r="F344" i="6"/>
  <c r="F345" i="6"/>
  <c r="F93" i="6"/>
  <c r="F218" i="6"/>
  <c r="F346" i="6"/>
  <c r="F94" i="6"/>
  <c r="F219" i="6"/>
  <c r="F347" i="6"/>
  <c r="F95" i="6"/>
  <c r="F220" i="6"/>
  <c r="F348" i="6"/>
  <c r="F96" i="6"/>
  <c r="F221" i="6"/>
  <c r="F349" i="6"/>
  <c r="F350" i="6"/>
  <c r="F97" i="6"/>
  <c r="F222" i="6"/>
  <c r="F351" i="6"/>
  <c r="F98" i="6"/>
  <c r="F223" i="6"/>
  <c r="F352" i="6"/>
  <c r="F151" i="6"/>
  <c r="F152" i="6"/>
  <c r="F153" i="6"/>
  <c r="F154" i="6"/>
  <c r="F155" i="6"/>
  <c r="F156" i="6"/>
  <c r="F157" i="6"/>
  <c r="F158" i="6"/>
  <c r="F99" i="6"/>
  <c r="F224" i="6"/>
  <c r="F353" i="6"/>
  <c r="F159" i="6"/>
  <c r="F100" i="6"/>
  <c r="F225" i="6"/>
  <c r="F354" i="6"/>
  <c r="F160" i="6"/>
  <c r="F161" i="6"/>
  <c r="F101" i="6"/>
  <c r="F226" i="6"/>
  <c r="F355" i="6"/>
  <c r="F102" i="6"/>
  <c r="F227" i="6"/>
  <c r="F356" i="6"/>
  <c r="F162" i="6"/>
  <c r="F103" i="6"/>
  <c r="F228" i="6"/>
  <c r="F357" i="6"/>
  <c r="F163" i="6"/>
  <c r="F229" i="6"/>
  <c r="F104" i="6"/>
  <c r="F230" i="6"/>
  <c r="F358" i="6"/>
  <c r="F164" i="6"/>
  <c r="F105" i="6"/>
  <c r="F165" i="6"/>
  <c r="F231" i="6"/>
  <c r="F232" i="6"/>
  <c r="F359" i="6"/>
  <c r="F166" i="6"/>
  <c r="F106" i="6"/>
  <c r="F233" i="6"/>
  <c r="F234" i="6"/>
  <c r="F360" i="6"/>
  <c r="F167" i="6"/>
  <c r="F235" i="6"/>
  <c r="F52" i="6"/>
  <c r="F361" i="6"/>
  <c r="F168" i="6"/>
  <c r="F169" i="6"/>
  <c r="F236" i="6"/>
  <c r="F170" i="6"/>
  <c r="F237" i="6"/>
  <c r="F171" i="6"/>
  <c r="F307" i="6"/>
  <c r="F172" i="6"/>
  <c r="F238" i="6"/>
  <c r="F362" i="6"/>
  <c r="F107" i="6"/>
  <c r="F363" i="6"/>
  <c r="F173" i="6"/>
  <c r="F239" i="6"/>
  <c r="F108" i="6"/>
  <c r="F308" i="6"/>
  <c r="F364" i="6"/>
  <c r="F109" i="6"/>
  <c r="F174" i="6"/>
  <c r="F240" i="6"/>
  <c r="F110" i="6"/>
  <c r="F365" i="6"/>
  <c r="F111" i="6"/>
  <c r="F175" i="6"/>
  <c r="F241" i="6"/>
  <c r="F53" i="6"/>
  <c r="F242" i="6"/>
  <c r="F366" i="6"/>
  <c r="F2" i="6"/>
  <c r="F112" i="6"/>
  <c r="F176" i="6"/>
  <c r="F243" i="6"/>
  <c r="F605" i="6"/>
  <c r="F367" i="6"/>
  <c r="F113" i="6"/>
  <c r="F177" i="6"/>
  <c r="F244" i="6"/>
  <c r="F178" i="6"/>
  <c r="F3" i="6"/>
  <c r="F245" i="6"/>
  <c r="F606" i="6"/>
  <c r="F368" i="6"/>
  <c r="F114" i="6"/>
  <c r="F4" i="6"/>
  <c r="F179" i="6"/>
  <c r="F180" i="6"/>
  <c r="F607" i="6"/>
  <c r="F369" i="6"/>
  <c r="F115" i="6"/>
  <c r="F181" i="6"/>
  <c r="F311" i="6"/>
  <c r="F370" i="6"/>
  <c r="F371" i="6"/>
  <c r="F608" i="6"/>
  <c r="F312" i="6"/>
  <c r="F182" i="6"/>
  <c r="F609" i="6"/>
  <c r="F372" i="6"/>
  <c r="F610" i="6"/>
  <c r="F116" i="6"/>
  <c r="F183" i="6"/>
  <c r="F313" i="6"/>
  <c r="F5" i="6"/>
  <c r="F611" i="6"/>
  <c r="F373" i="6"/>
  <c r="F612" i="6"/>
  <c r="F613" i="6"/>
  <c r="F6" i="6"/>
  <c r="F117" i="6"/>
  <c r="F184" i="6"/>
  <c r="F314" i="6"/>
  <c r="F614" i="6"/>
  <c r="F615" i="6"/>
  <c r="F374" i="6"/>
  <c r="F616" i="6"/>
  <c r="F61" i="6"/>
  <c r="F617" i="6"/>
  <c r="F118" i="6"/>
  <c r="F7" i="6"/>
  <c r="F185" i="6"/>
  <c r="F315" i="6"/>
  <c r="F618" i="6"/>
  <c r="F375" i="6"/>
  <c r="F619" i="6"/>
  <c r="F620" i="6"/>
  <c r="F621" i="6"/>
  <c r="F8" i="6"/>
  <c r="F62" i="6"/>
  <c r="F119" i="6"/>
  <c r="F186" i="6"/>
  <c r="F316" i="6"/>
  <c r="F376" i="6"/>
  <c r="F622" i="6"/>
  <c r="F623" i="6"/>
  <c r="F120" i="6"/>
  <c r="F63" i="6"/>
  <c r="F187" i="6"/>
  <c r="F317" i="6"/>
  <c r="F624" i="6"/>
  <c r="F625" i="6"/>
  <c r="F626" i="6"/>
  <c r="F627" i="6"/>
  <c r="F628" i="6"/>
  <c r="F629" i="6"/>
  <c r="F377" i="6"/>
  <c r="F630" i="6"/>
  <c r="F9" i="6"/>
  <c r="F64" i="6"/>
  <c r="F121" i="6"/>
  <c r="F188" i="6"/>
  <c r="F318" i="6"/>
  <c r="F631" i="6"/>
  <c r="F632" i="6"/>
  <c r="F378" i="6"/>
  <c r="F633" i="6"/>
  <c r="F634" i="6"/>
  <c r="F10" i="6"/>
  <c r="F65" i="6"/>
  <c r="F122" i="6"/>
  <c r="F189" i="6"/>
  <c r="F319" i="6"/>
  <c r="F54" i="6"/>
  <c r="F635" i="6"/>
  <c r="F636" i="6"/>
  <c r="F637" i="6"/>
  <c r="F638" i="6"/>
  <c r="F379" i="6"/>
  <c r="F11" i="6"/>
  <c r="F66" i="6"/>
  <c r="F123" i="6"/>
  <c r="F190" i="6"/>
  <c r="F320" i="6"/>
  <c r="F639" i="6"/>
  <c r="F380" i="6"/>
  <c r="F640" i="6"/>
  <c r="F12" i="6"/>
  <c r="F67" i="6"/>
  <c r="F124" i="6"/>
  <c r="F191" i="6"/>
  <c r="F321" i="6"/>
  <c r="F381" i="6"/>
  <c r="F641" i="6"/>
  <c r="F642" i="6"/>
  <c r="F192" i="6"/>
  <c r="F382" i="6"/>
  <c r="F125" i="6"/>
  <c r="F14" i="6"/>
  <c r="F69" i="6"/>
  <c r="F126" i="6"/>
  <c r="F193" i="6"/>
  <c r="F323" i="6"/>
  <c r="F13" i="6"/>
  <c r="F68" i="6"/>
  <c r="F322" i="6"/>
  <c r="F92" i="6"/>
  <c r="I582" i="6" l="1"/>
  <c r="J582" i="6"/>
  <c r="I262" i="6" l="1"/>
  <c r="J262" i="6"/>
  <c r="I642" i="6" l="1"/>
  <c r="J642" i="6"/>
  <c r="I263" i="6" l="1"/>
  <c r="J263" i="6"/>
  <c r="I639" i="6" l="1"/>
  <c r="I380" i="6"/>
  <c r="I640" i="6"/>
  <c r="I12" i="6"/>
  <c r="I67" i="6"/>
  <c r="I124" i="6"/>
  <c r="I191" i="6"/>
  <c r="I259" i="6"/>
  <c r="I321" i="6"/>
  <c r="I580" i="6"/>
  <c r="I381" i="6"/>
  <c r="I641" i="6"/>
  <c r="I13" i="6"/>
  <c r="I68" i="6"/>
  <c r="I192" i="6"/>
  <c r="I260" i="6"/>
  <c r="I322" i="6"/>
  <c r="I125" i="6"/>
  <c r="I581" i="6"/>
  <c r="I382" i="6"/>
  <c r="I14" i="6"/>
  <c r="I69" i="6"/>
  <c r="I126" i="6"/>
  <c r="I193" i="6"/>
  <c r="I261" i="6"/>
  <c r="I323" i="6"/>
  <c r="J639" i="6"/>
  <c r="J380" i="6"/>
  <c r="J640" i="6"/>
  <c r="J12" i="6"/>
  <c r="J67" i="6"/>
  <c r="J124" i="6"/>
  <c r="J191" i="6"/>
  <c r="J259" i="6"/>
  <c r="J321" i="6"/>
  <c r="J580" i="6"/>
  <c r="J381" i="6"/>
  <c r="J641" i="6"/>
  <c r="J13" i="6"/>
  <c r="J68" i="6"/>
  <c r="J192" i="6"/>
  <c r="J260" i="6"/>
  <c r="J322" i="6"/>
  <c r="J125" i="6"/>
  <c r="J581" i="6"/>
  <c r="J382" i="6"/>
  <c r="J14" i="6"/>
  <c r="J69" i="6"/>
  <c r="J126" i="6"/>
  <c r="J193" i="6"/>
  <c r="J261" i="6"/>
  <c r="J323" i="6"/>
  <c r="J579" i="6" l="1"/>
  <c r="I579" i="6"/>
  <c r="J258" i="6"/>
  <c r="J190" i="6"/>
  <c r="I190" i="6"/>
  <c r="J123" i="6"/>
  <c r="I123" i="6"/>
  <c r="J66" i="6"/>
  <c r="I66" i="6"/>
  <c r="J11" i="6"/>
  <c r="I11" i="6"/>
  <c r="J379" i="6"/>
  <c r="I379" i="6"/>
  <c r="J638" i="6"/>
  <c r="I638" i="6"/>
  <c r="J577" i="6"/>
  <c r="I577" i="6"/>
  <c r="J637" i="6"/>
  <c r="I637" i="6"/>
  <c r="J636" i="6"/>
  <c r="I636" i="6"/>
  <c r="J635" i="6"/>
  <c r="I635" i="6"/>
  <c r="J54" i="6"/>
  <c r="I54" i="6"/>
  <c r="J576" i="6"/>
  <c r="I576" i="6"/>
  <c r="J122" i="6"/>
  <c r="I122" i="6"/>
  <c r="J65" i="6"/>
  <c r="I65" i="6"/>
  <c r="J10" i="6"/>
  <c r="I10" i="6"/>
  <c r="J634" i="6"/>
  <c r="I634" i="6"/>
  <c r="J633" i="6"/>
  <c r="I633" i="6"/>
  <c r="J378" i="6"/>
  <c r="I378" i="6"/>
  <c r="J632" i="6"/>
  <c r="I632" i="6"/>
  <c r="J575" i="6"/>
  <c r="I575" i="6"/>
  <c r="J631" i="6"/>
  <c r="I631" i="6"/>
  <c r="J318" i="6"/>
  <c r="I318" i="6"/>
  <c r="J256" i="6"/>
  <c r="I256" i="6"/>
  <c r="J188" i="6"/>
  <c r="I188" i="6"/>
  <c r="J121" i="6"/>
  <c r="I121" i="6"/>
  <c r="J64" i="6"/>
  <c r="I64" i="6"/>
  <c r="J9" i="6"/>
  <c r="I9" i="6"/>
  <c r="J630" i="6"/>
  <c r="I630" i="6"/>
  <c r="J377" i="6"/>
  <c r="I377" i="6"/>
  <c r="J629" i="6"/>
  <c r="I629" i="6"/>
  <c r="J628" i="6"/>
  <c r="I628" i="6"/>
  <c r="J627" i="6"/>
  <c r="I627" i="6"/>
  <c r="J574" i="6"/>
  <c r="I574" i="6"/>
  <c r="J626" i="6"/>
  <c r="I626" i="6"/>
  <c r="J625" i="6"/>
  <c r="I625" i="6"/>
  <c r="J624" i="6"/>
  <c r="I624" i="6"/>
  <c r="J317" i="6"/>
  <c r="I317" i="6"/>
  <c r="J255" i="6"/>
  <c r="I255" i="6"/>
  <c r="J187" i="6"/>
  <c r="I187" i="6"/>
  <c r="J63" i="6"/>
  <c r="I63" i="6"/>
  <c r="J120" i="6"/>
  <c r="I120" i="6"/>
  <c r="J623" i="6"/>
  <c r="I623" i="6"/>
  <c r="J622" i="6"/>
  <c r="I622" i="6"/>
  <c r="J376" i="6"/>
  <c r="I376" i="6"/>
  <c r="J573" i="6"/>
  <c r="I573" i="6"/>
  <c r="J316" i="6"/>
  <c r="I316" i="6"/>
  <c r="J254" i="6"/>
  <c r="I254" i="6"/>
  <c r="J186" i="6"/>
  <c r="I186" i="6"/>
  <c r="J119" i="6"/>
  <c r="I119" i="6"/>
  <c r="J62" i="6"/>
  <c r="I62" i="6"/>
  <c r="J8" i="6"/>
  <c r="I8" i="6"/>
  <c r="J621" i="6"/>
  <c r="I621" i="6"/>
  <c r="J620" i="6"/>
  <c r="I620" i="6"/>
  <c r="J619" i="6"/>
  <c r="I619" i="6"/>
  <c r="J375" i="6"/>
  <c r="I375" i="6"/>
  <c r="J618" i="6"/>
  <c r="I618" i="6"/>
  <c r="J572" i="6"/>
  <c r="I572" i="6"/>
  <c r="J315" i="6"/>
  <c r="I315" i="6"/>
  <c r="J253" i="6"/>
  <c r="I253" i="6"/>
  <c r="J185" i="6"/>
  <c r="I185" i="6"/>
  <c r="J7" i="6"/>
  <c r="I7" i="6"/>
  <c r="J118" i="6"/>
  <c r="I118" i="6"/>
  <c r="J617" i="6"/>
  <c r="I617" i="6"/>
  <c r="J61" i="6"/>
  <c r="I61" i="6"/>
  <c r="J616" i="6"/>
  <c r="I616" i="6"/>
  <c r="J374" i="6"/>
  <c r="I374" i="6"/>
  <c r="J615" i="6"/>
  <c r="I615" i="6"/>
  <c r="J614" i="6"/>
  <c r="I614" i="6"/>
  <c r="J314" i="6"/>
  <c r="I314" i="6"/>
  <c r="J252" i="6"/>
  <c r="I252" i="6"/>
  <c r="J184" i="6"/>
  <c r="I184" i="6"/>
  <c r="J117" i="6"/>
  <c r="I117" i="6"/>
  <c r="J6" i="6"/>
  <c r="I6" i="6"/>
  <c r="J613" i="6"/>
  <c r="I613" i="6"/>
  <c r="J251" i="6"/>
  <c r="I251" i="6"/>
  <c r="J612" i="6"/>
  <c r="I612" i="6"/>
  <c r="J373" i="6"/>
  <c r="I373" i="6"/>
  <c r="J571" i="6"/>
  <c r="I571" i="6"/>
  <c r="J611" i="6"/>
  <c r="I611" i="6"/>
  <c r="J5" i="6"/>
  <c r="I5" i="6"/>
  <c r="J250" i="6"/>
  <c r="I250" i="6"/>
  <c r="J313" i="6"/>
  <c r="I313" i="6"/>
  <c r="J249" i="6"/>
  <c r="I249" i="6"/>
  <c r="J183" i="6"/>
  <c r="I183" i="6"/>
  <c r="J116" i="6"/>
  <c r="I116" i="6"/>
  <c r="J610" i="6"/>
  <c r="I610" i="6"/>
  <c r="J372" i="6"/>
  <c r="I372" i="6"/>
  <c r="J609" i="6"/>
  <c r="I609" i="6"/>
  <c r="J570" i="6"/>
  <c r="I570" i="6"/>
  <c r="J182" i="6"/>
  <c r="I182" i="6"/>
  <c r="J312" i="6"/>
  <c r="I312" i="6"/>
  <c r="J248" i="6"/>
  <c r="I248" i="6"/>
  <c r="J569" i="6"/>
  <c r="I569" i="6"/>
  <c r="J568" i="6"/>
  <c r="I568" i="6"/>
  <c r="J608" i="6"/>
  <c r="I608" i="6"/>
  <c r="J567" i="6"/>
  <c r="I567" i="6"/>
  <c r="J371" i="6"/>
  <c r="I371" i="6"/>
  <c r="J370" i="6"/>
  <c r="I370" i="6"/>
  <c r="J311" i="6"/>
  <c r="I311" i="6"/>
  <c r="J181" i="6"/>
  <c r="I181" i="6"/>
  <c r="J115" i="6"/>
  <c r="I115" i="6"/>
  <c r="J566" i="6"/>
  <c r="I566" i="6"/>
  <c r="J369" i="6"/>
  <c r="I369" i="6"/>
  <c r="J607" i="6"/>
  <c r="I607" i="6"/>
  <c r="J565" i="6"/>
  <c r="I565" i="6"/>
  <c r="J180" i="6"/>
  <c r="I180" i="6"/>
  <c r="J246" i="6"/>
  <c r="I246" i="6"/>
  <c r="J179" i="6"/>
  <c r="I179" i="6"/>
  <c r="J4" i="6"/>
  <c r="I4" i="6"/>
  <c r="J114" i="6"/>
  <c r="I114" i="6"/>
  <c r="J368" i="6"/>
  <c r="I368" i="6"/>
  <c r="J606" i="6"/>
  <c r="I606" i="6"/>
  <c r="J564" i="6"/>
  <c r="I564" i="6"/>
  <c r="J245" i="6"/>
  <c r="I245" i="6"/>
  <c r="J3" i="6"/>
  <c r="I3" i="6"/>
  <c r="J178" i="6"/>
  <c r="I178" i="6"/>
  <c r="J563" i="6"/>
  <c r="I563" i="6"/>
  <c r="J562" i="6"/>
  <c r="I562" i="6"/>
  <c r="J244" i="6"/>
  <c r="I244" i="6"/>
  <c r="J177" i="6"/>
  <c r="I177" i="6"/>
  <c r="J113" i="6"/>
  <c r="I113" i="6"/>
  <c r="J367" i="6"/>
  <c r="I367" i="6"/>
  <c r="J605" i="6"/>
  <c r="I605" i="6"/>
  <c r="J243" i="6"/>
  <c r="I243" i="6"/>
  <c r="J176" i="6"/>
  <c r="I176" i="6"/>
  <c r="J112" i="6"/>
  <c r="I112" i="6"/>
  <c r="J2" i="6"/>
  <c r="I2" i="6"/>
  <c r="J561" i="6"/>
  <c r="I561" i="6"/>
  <c r="J560" i="6"/>
  <c r="I560" i="6"/>
  <c r="J366" i="6"/>
  <c r="I366" i="6"/>
  <c r="J242" i="6"/>
  <c r="I242" i="6"/>
  <c r="J53" i="6"/>
  <c r="I53" i="6"/>
  <c r="J559" i="6"/>
  <c r="I559" i="6"/>
  <c r="J241" i="6"/>
  <c r="I241" i="6"/>
  <c r="J175" i="6"/>
  <c r="I175" i="6"/>
  <c r="J111" i="6"/>
  <c r="I111" i="6"/>
  <c r="J558" i="6"/>
  <c r="I558" i="6"/>
  <c r="J365" i="6"/>
  <c r="I365" i="6"/>
  <c r="J557" i="6"/>
  <c r="I557" i="6"/>
  <c r="J110" i="6"/>
  <c r="I110" i="6"/>
  <c r="J240" i="6"/>
  <c r="I240" i="6"/>
  <c r="J174" i="6"/>
  <c r="I174" i="6"/>
  <c r="J109" i="6"/>
  <c r="I109" i="6"/>
  <c r="J364" i="6"/>
  <c r="I364" i="6"/>
  <c r="J556" i="6"/>
  <c r="I556" i="6"/>
  <c r="J555" i="6"/>
  <c r="I555" i="6"/>
  <c r="J554" i="6"/>
  <c r="I554" i="6"/>
  <c r="J308" i="6"/>
  <c r="I308" i="6"/>
  <c r="J108" i="6"/>
  <c r="I108" i="6"/>
  <c r="J239" i="6"/>
  <c r="I239" i="6"/>
  <c r="J173" i="6"/>
  <c r="I173" i="6"/>
  <c r="J553" i="6"/>
  <c r="I553" i="6"/>
  <c r="J363" i="6"/>
  <c r="I363" i="6"/>
  <c r="J552" i="6"/>
  <c r="I552" i="6"/>
  <c r="J107" i="6"/>
  <c r="I107" i="6"/>
  <c r="J362" i="6"/>
  <c r="I362" i="6"/>
  <c r="J238" i="6"/>
  <c r="I238" i="6"/>
  <c r="J172" i="6"/>
  <c r="I172" i="6"/>
  <c r="J307" i="6"/>
  <c r="I307" i="6"/>
  <c r="J551" i="6"/>
  <c r="I551" i="6"/>
  <c r="J550" i="6"/>
  <c r="I550" i="6"/>
  <c r="J171" i="6"/>
  <c r="I171" i="6"/>
  <c r="J237" i="6"/>
  <c r="I237" i="6"/>
  <c r="J170" i="6"/>
  <c r="I170" i="6"/>
  <c r="J236" i="6"/>
  <c r="I236" i="6"/>
  <c r="J169" i="6"/>
  <c r="I169" i="6"/>
  <c r="J168" i="6"/>
  <c r="I168" i="6"/>
  <c r="I361" i="6"/>
  <c r="J549" i="6"/>
  <c r="I549" i="6"/>
  <c r="J52" i="6"/>
  <c r="I52" i="6"/>
  <c r="J235" i="6"/>
  <c r="I235" i="6"/>
  <c r="J167" i="6"/>
  <c r="I167" i="6"/>
  <c r="J360" i="6"/>
  <c r="I360" i="6"/>
  <c r="J234" i="6"/>
  <c r="I234" i="6"/>
  <c r="J233" i="6"/>
  <c r="I233" i="6"/>
  <c r="J548" i="6"/>
  <c r="I548" i="6"/>
  <c r="J106" i="6"/>
  <c r="I106" i="6"/>
  <c r="J166" i="6"/>
  <c r="I166" i="6"/>
  <c r="J359" i="6"/>
  <c r="I359" i="6"/>
  <c r="J232" i="6"/>
  <c r="I232" i="6"/>
  <c r="J547" i="6"/>
  <c r="I547" i="6"/>
  <c r="J231" i="6"/>
  <c r="I231" i="6"/>
  <c r="J165" i="6"/>
  <c r="I165" i="6"/>
  <c r="J105" i="6"/>
  <c r="I105" i="6"/>
  <c r="J546" i="6"/>
  <c r="I546" i="6"/>
  <c r="J164" i="6"/>
  <c r="I164" i="6"/>
  <c r="J358" i="6"/>
  <c r="I358" i="6"/>
  <c r="J230" i="6"/>
  <c r="I230" i="6"/>
  <c r="J545" i="6"/>
  <c r="I545" i="6"/>
  <c r="J104" i="6"/>
  <c r="I104" i="6"/>
  <c r="J229" i="6"/>
  <c r="I229" i="6"/>
  <c r="J163" i="6"/>
  <c r="I163" i="6"/>
  <c r="J228" i="6"/>
  <c r="I228" i="6"/>
  <c r="J544" i="6"/>
  <c r="I544" i="6"/>
  <c r="J103" i="6"/>
  <c r="I103" i="6"/>
  <c r="J162" i="6"/>
  <c r="I162" i="6"/>
  <c r="J356" i="6"/>
  <c r="I356" i="6"/>
  <c r="J227" i="6"/>
  <c r="I227" i="6"/>
  <c r="J543" i="6"/>
  <c r="I543" i="6"/>
  <c r="J102" i="6"/>
  <c r="I102" i="6"/>
  <c r="J355" i="6"/>
  <c r="I355" i="6"/>
  <c r="J226" i="6"/>
  <c r="I226" i="6"/>
  <c r="J542" i="6"/>
  <c r="I542" i="6"/>
  <c r="J101" i="6"/>
  <c r="I101" i="6"/>
  <c r="J161" i="6"/>
  <c r="I161" i="6"/>
  <c r="J160" i="6"/>
  <c r="I160" i="6"/>
  <c r="J354" i="6"/>
  <c r="I354" i="6"/>
  <c r="J541" i="6"/>
  <c r="I541" i="6"/>
  <c r="J225" i="6"/>
  <c r="I225" i="6"/>
  <c r="J100" i="6"/>
  <c r="I100" i="6"/>
  <c r="J159" i="6"/>
  <c r="I159" i="6"/>
  <c r="J353" i="6"/>
  <c r="I353" i="6"/>
  <c r="J224" i="6"/>
  <c r="I224" i="6"/>
  <c r="J540" i="6"/>
  <c r="I540" i="6"/>
  <c r="J99" i="6"/>
  <c r="I9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352" i="6"/>
  <c r="I352" i="6"/>
  <c r="J223" i="6"/>
  <c r="I223" i="6"/>
  <c r="J539" i="6"/>
  <c r="I539" i="6"/>
  <c r="J98" i="6"/>
  <c r="I98" i="6"/>
  <c r="J351" i="6"/>
  <c r="I351" i="6"/>
  <c r="J538" i="6"/>
  <c r="I538" i="6"/>
  <c r="J222" i="6"/>
  <c r="I222" i="6"/>
  <c r="J97" i="6"/>
  <c r="I97" i="6"/>
  <c r="J350" i="6"/>
  <c r="I350" i="6"/>
  <c r="J349" i="6"/>
  <c r="I349" i="6"/>
  <c r="J537" i="6"/>
  <c r="I537" i="6"/>
  <c r="J221" i="6"/>
  <c r="I221" i="6"/>
  <c r="J96" i="6"/>
  <c r="I96" i="6"/>
  <c r="J348" i="6"/>
  <c r="I348" i="6"/>
  <c r="J220" i="6"/>
  <c r="I220" i="6"/>
  <c r="J536" i="6"/>
  <c r="I536" i="6"/>
  <c r="J95" i="6"/>
  <c r="I95" i="6"/>
  <c r="J347" i="6"/>
  <c r="I347" i="6"/>
  <c r="J219" i="6"/>
  <c r="I219" i="6"/>
  <c r="J535" i="6"/>
  <c r="I535" i="6"/>
  <c r="J94" i="6"/>
  <c r="I94" i="6"/>
  <c r="J346" i="6"/>
  <c r="I346" i="6"/>
  <c r="J218" i="6"/>
  <c r="I218" i="6"/>
  <c r="J533" i="6"/>
  <c r="I533" i="6"/>
  <c r="J93" i="6"/>
  <c r="I93" i="6"/>
  <c r="J345" i="6"/>
  <c r="I345" i="6"/>
  <c r="J344" i="6"/>
  <c r="I344" i="6"/>
  <c r="J532" i="6"/>
  <c r="I532" i="6"/>
  <c r="J217" i="6"/>
  <c r="I217" i="6"/>
  <c r="J92" i="6"/>
  <c r="I92" i="6"/>
  <c r="B1" i="12"/>
  <c r="S1275" i="1" s="1"/>
  <c r="S1273" i="1" l="1"/>
  <c r="S1274" i="1"/>
  <c r="S1271" i="1"/>
  <c r="S1272" i="1"/>
  <c r="S1266" i="1"/>
  <c r="S1268" i="1"/>
  <c r="S1264" i="1"/>
  <c r="S1265" i="1"/>
  <c r="S1262" i="1"/>
  <c r="S1263" i="1"/>
  <c r="S1260" i="1"/>
  <c r="S1261" i="1"/>
  <c r="S1258" i="1"/>
  <c r="S1259" i="1"/>
  <c r="S1254" i="1"/>
  <c r="S1256" i="1"/>
  <c r="S1257" i="1"/>
  <c r="S1255" i="1"/>
  <c r="S1252" i="1"/>
  <c r="S1253" i="1"/>
  <c r="S1250" i="1"/>
  <c r="S1251" i="1"/>
  <c r="S843" i="1"/>
  <c r="S896" i="1"/>
  <c r="S1245" i="1"/>
  <c r="S1246" i="1"/>
  <c r="S1243" i="1"/>
  <c r="S1244" i="1"/>
  <c r="S1241" i="1"/>
  <c r="S1242" i="1"/>
  <c r="S1239" i="1"/>
  <c r="S1240" i="1"/>
  <c r="S1237" i="1"/>
  <c r="S1238" i="1"/>
  <c r="S1235" i="1"/>
  <c r="S1236" i="1"/>
  <c r="S1233" i="1"/>
  <c r="S1234" i="1"/>
  <c r="S510" i="1"/>
  <c r="S1232" i="1"/>
  <c r="S1066" i="1"/>
  <c r="S256" i="1"/>
  <c r="S10" i="1"/>
  <c r="S434" i="1"/>
  <c r="S255" i="1"/>
  <c r="S227" i="1"/>
  <c r="S509" i="1"/>
  <c r="S634" i="1"/>
  <c r="S295" i="1"/>
  <c r="S435" i="1"/>
  <c r="S755" i="1"/>
  <c r="S961" i="1"/>
  <c r="S935" i="1"/>
  <c r="S1078" i="1"/>
  <c r="S1123" i="1"/>
  <c r="S1080" i="1"/>
  <c r="S881" i="1"/>
  <c r="S553" i="1"/>
  <c r="S190" i="1"/>
  <c r="S292" i="1"/>
  <c r="S224" i="1"/>
  <c r="S328" i="1"/>
  <c r="S3" i="1"/>
  <c r="S418" i="1"/>
  <c r="S402" i="1"/>
  <c r="S354" i="1"/>
  <c r="S79" i="1"/>
  <c r="S352" i="1"/>
  <c r="S353" i="1"/>
  <c r="S820" i="1"/>
  <c r="S1128" i="1"/>
  <c r="S267" i="1"/>
  <c r="S893" i="1"/>
  <c r="S754" i="1"/>
  <c r="S834" i="1"/>
  <c r="S934" i="1"/>
  <c r="S1024" i="1"/>
  <c r="S605" i="1"/>
  <c r="S507" i="1"/>
  <c r="S508" i="1"/>
  <c r="S910" i="1"/>
  <c r="S1095" i="1"/>
  <c r="S189" i="1"/>
  <c r="S254" i="1"/>
  <c r="S880" i="1"/>
  <c r="S774" i="1"/>
  <c r="S188" i="1"/>
  <c r="S1158" i="1"/>
  <c r="B7" i="16"/>
  <c r="B6" i="16"/>
  <c r="S669" i="1"/>
  <c r="S960" i="1"/>
  <c r="S894" i="1"/>
  <c r="S1181" i="1"/>
  <c r="S77" i="1"/>
  <c r="S78" i="1"/>
  <c r="S200" i="1"/>
  <c r="S312" i="1"/>
  <c r="S297" i="1"/>
  <c r="S290" i="1"/>
  <c r="S327" i="1"/>
  <c r="S253" i="1"/>
  <c r="S1063" i="1"/>
  <c r="S202" i="1"/>
  <c r="S835" i="1"/>
  <c r="S1157" i="1"/>
  <c r="S169" i="1"/>
  <c r="S182" i="1"/>
  <c r="S632" i="1"/>
  <c r="S1117" i="1"/>
  <c r="S631" i="1"/>
  <c r="S1077" i="1"/>
  <c r="S420" i="1"/>
  <c r="S1076" i="1"/>
  <c r="S668" i="1"/>
  <c r="S526" i="1"/>
  <c r="S407" i="1"/>
  <c r="S417" i="1"/>
  <c r="S401" i="1"/>
  <c r="S223" i="1"/>
  <c r="S1023" i="1"/>
  <c r="S1182" i="1"/>
  <c r="S1142" i="1"/>
  <c r="S884" i="1"/>
  <c r="S1228" i="1"/>
  <c r="S1229" i="1"/>
  <c r="S8" i="1"/>
  <c r="S1139" i="1"/>
  <c r="S237" i="1"/>
  <c r="S29" i="1"/>
  <c r="S351" i="1"/>
  <c r="S238" i="1"/>
  <c r="S686" i="1"/>
  <c r="S350" i="1"/>
  <c r="S630" i="1"/>
  <c r="S506" i="1"/>
  <c r="S560" i="1"/>
  <c r="S550" i="1"/>
  <c r="S665" i="1"/>
  <c r="S649" i="1"/>
  <c r="S811" i="1"/>
  <c r="S667" i="1"/>
  <c r="S752" i="1"/>
  <c r="S751" i="1"/>
  <c r="S933" i="1"/>
  <c r="S1032" i="1"/>
  <c r="S981" i="1"/>
  <c r="S1248" i="1"/>
  <c r="S636" i="1"/>
  <c r="S1141" i="1"/>
  <c r="S984" i="1"/>
  <c r="S635" i="1"/>
  <c r="S1148" i="1"/>
  <c r="S1149" i="1"/>
  <c r="S1249" i="1"/>
  <c r="S505" i="1"/>
  <c r="S892" i="1"/>
  <c r="S1127" i="1"/>
  <c r="S1011" i="1"/>
  <c r="S1012" i="1"/>
  <c r="S958" i="1"/>
  <c r="S959" i="1"/>
  <c r="S810" i="1"/>
  <c r="S750" i="1"/>
  <c r="S696" i="1"/>
  <c r="S932" i="1"/>
  <c r="S291" i="1"/>
  <c r="S695" i="1"/>
  <c r="S666" i="1"/>
  <c r="S567" i="1"/>
  <c r="W4" i="157"/>
  <c r="S1062" i="1"/>
  <c r="S1107" i="1"/>
  <c r="S1061" i="1"/>
  <c r="S1204" i="1"/>
  <c r="S833" i="1"/>
  <c r="S250" i="1"/>
  <c r="S184" i="1"/>
  <c r="S501" i="1"/>
  <c r="S502" i="1"/>
  <c r="S503" i="1"/>
  <c r="S504" i="1"/>
  <c r="S325" i="1"/>
  <c r="S175" i="1"/>
  <c r="S181" i="1"/>
  <c r="S1156" i="1"/>
  <c r="S931" i="1"/>
  <c r="S1013" i="1"/>
  <c r="S753" i="1"/>
  <c r="S767" i="1"/>
  <c r="S73" i="1"/>
  <c r="S842" i="1"/>
  <c r="S167" i="1"/>
  <c r="S72" i="1"/>
  <c r="S28" i="1"/>
  <c r="S222" i="1"/>
  <c r="S266" i="1"/>
  <c r="S27" i="1"/>
  <c r="S311" i="1"/>
  <c r="S289" i="1"/>
  <c r="S539" i="1"/>
  <c r="S349" i="1"/>
  <c r="S930" i="1"/>
  <c r="S433" i="1"/>
  <c r="S629" i="1"/>
  <c r="S497" i="1"/>
  <c r="S500" i="1"/>
  <c r="S498" i="1"/>
  <c r="S499" i="1"/>
  <c r="S640" i="1"/>
  <c r="S628" i="1"/>
  <c r="S662" i="1"/>
  <c r="S642" i="1"/>
  <c r="S685" i="1"/>
  <c r="S684" i="1"/>
  <c r="S693" i="1"/>
  <c r="S694" i="1"/>
  <c r="S765" i="1"/>
  <c r="S692" i="1"/>
  <c r="S749" i="1"/>
  <c r="S883" i="1"/>
  <c r="S748" i="1"/>
  <c r="S747" i="1"/>
  <c r="S814" i="1"/>
  <c r="S815" i="1"/>
  <c r="S957" i="1"/>
  <c r="S633" i="1"/>
  <c r="S980" i="1"/>
  <c r="S956" i="1"/>
  <c r="S1075" i="1"/>
  <c r="S1022" i="1"/>
  <c r="S1179" i="1"/>
  <c r="S1180" i="1"/>
  <c r="S1227" i="1"/>
  <c r="S1192" i="1"/>
  <c r="S174" i="1"/>
  <c r="S1020" i="1"/>
  <c r="S171" i="1"/>
  <c r="S173" i="1"/>
  <c r="S495" i="1"/>
  <c r="S496" i="1"/>
  <c r="S663" i="1"/>
  <c r="S172" i="1"/>
  <c r="S664" i="1"/>
  <c r="S802" i="1"/>
  <c r="S324" i="1"/>
  <c r="S248" i="1"/>
  <c r="S323" i="1"/>
  <c r="S773" i="1"/>
  <c r="S235" i="1"/>
  <c r="S878" i="1"/>
  <c r="S772" i="1"/>
  <c r="S416" i="1"/>
  <c r="S552" i="1"/>
  <c r="S929" i="1"/>
  <c r="S1226" i="1"/>
  <c r="S927" i="1"/>
  <c r="S928" i="1"/>
  <c r="S788" i="1"/>
  <c r="S879" i="1"/>
  <c r="S744" i="1"/>
  <c r="S746" i="1"/>
  <c r="S764" i="1"/>
  <c r="S745" i="1"/>
  <c r="S423" i="1"/>
  <c r="S561" i="1"/>
  <c r="S220" i="1"/>
  <c r="S166" i="1"/>
  <c r="S265" i="1"/>
  <c r="S221" i="1"/>
  <c r="S288" i="1"/>
  <c r="S165" i="1"/>
  <c r="S310" i="1"/>
  <c r="S274" i="1"/>
  <c r="S641" i="1"/>
  <c r="S400" i="1"/>
  <c r="S1060" i="1"/>
  <c r="S999" i="1"/>
  <c r="S494" i="1"/>
  <c r="S1059" i="1"/>
  <c r="S660" i="1"/>
  <c r="S661" i="1"/>
  <c r="S877" i="1"/>
  <c r="S525" i="1"/>
  <c r="S493" i="1"/>
  <c r="S524" i="1"/>
  <c r="S287" i="1"/>
  <c r="S648" i="1"/>
  <c r="S658" i="1"/>
  <c r="S787" i="1"/>
  <c r="S876" i="1"/>
  <c r="S492" i="1"/>
  <c r="S983" i="1"/>
  <c r="S926" i="1"/>
  <c r="S1191" i="1"/>
  <c r="S1225" i="1"/>
  <c r="S1177" i="1"/>
  <c r="S1178" i="1"/>
  <c r="S1010" i="1"/>
  <c r="S1074" i="1"/>
  <c r="S890" i="1"/>
  <c r="S979" i="1"/>
  <c r="S432" i="1"/>
  <c r="S891" i="1"/>
  <c r="S430" i="1"/>
  <c r="S431" i="1"/>
  <c r="S742" i="1"/>
  <c r="S743" i="1"/>
  <c r="S655" i="1"/>
  <c r="S656" i="1"/>
  <c r="S559" i="1"/>
  <c r="S643" i="1"/>
  <c r="S537" i="1"/>
  <c r="S538" i="1"/>
  <c r="S627" i="1"/>
  <c r="S536" i="1"/>
  <c r="S399" i="1"/>
  <c r="S490" i="1"/>
  <c r="S491" i="1"/>
  <c r="S309" i="1"/>
  <c r="S333" i="1"/>
  <c r="S236" i="1"/>
  <c r="S264" i="1"/>
  <c r="S218" i="1"/>
  <c r="S219" i="1"/>
  <c r="S199" i="1"/>
  <c r="S149" i="1"/>
  <c r="S70" i="1"/>
  <c r="S26" i="1"/>
  <c r="S9" i="1"/>
  <c r="S71" i="1"/>
  <c r="S273" i="1"/>
  <c r="S659" i="1"/>
  <c r="S152" i="1"/>
  <c r="S154" i="1"/>
  <c r="S800" i="1"/>
  <c r="S997" i="1"/>
  <c r="S1092" i="1"/>
  <c r="S831" i="1"/>
  <c r="S758" i="1"/>
  <c r="S150" i="1"/>
  <c r="S322" i="1"/>
  <c r="S757" i="1"/>
  <c r="S67" i="1"/>
  <c r="S332" i="1"/>
  <c r="S406" i="1"/>
  <c r="S415" i="1"/>
  <c r="S15" i="1"/>
  <c r="S14" i="1"/>
  <c r="S286" i="1"/>
  <c r="S308" i="1"/>
  <c r="S240" i="1"/>
  <c r="S285" i="1"/>
  <c r="S137" i="1"/>
  <c r="S217" i="1"/>
  <c r="S271" i="1"/>
  <c r="S146" i="1"/>
  <c r="S136" i="1"/>
  <c r="S25" i="1"/>
  <c r="S24" i="1"/>
  <c r="S626" i="1"/>
  <c r="S671" i="1"/>
  <c r="S740" i="1"/>
  <c r="S682" i="1"/>
  <c r="S799" i="1"/>
  <c r="S741" i="1"/>
  <c r="S805" i="1"/>
  <c r="S798" i="1"/>
  <c r="S1009" i="1"/>
  <c r="S955" i="1"/>
  <c r="S1137" i="1"/>
  <c r="S1224" i="1"/>
  <c r="S598" i="1"/>
  <c r="S599" i="1"/>
  <c r="S875" i="1"/>
  <c r="S597" i="1"/>
  <c r="S976" i="1"/>
  <c r="S874" i="1"/>
  <c r="S975" i="1"/>
  <c r="S977" i="1"/>
  <c r="S954" i="1"/>
  <c r="S978" i="1"/>
  <c r="S738" i="1"/>
  <c r="S739" i="1"/>
  <c r="S639" i="1"/>
  <c r="S763" i="1"/>
  <c r="S357" i="1"/>
  <c r="S1223" i="1"/>
  <c r="S1189" i="1"/>
  <c r="S1190" i="1"/>
  <c r="S1116" i="1"/>
  <c r="S1176" i="1"/>
  <c r="S1114" i="1"/>
  <c r="S1115" i="1"/>
  <c r="S973" i="1"/>
  <c r="S1008" i="1"/>
  <c r="S683" i="1"/>
  <c r="S924" i="1"/>
  <c r="S681" i="1"/>
  <c r="S680" i="1"/>
  <c r="S483" i="1"/>
  <c r="S522" i="1"/>
  <c r="S873" i="1"/>
  <c r="S974" i="1"/>
  <c r="S1055" i="1"/>
  <c r="S1056" i="1"/>
  <c r="S996" i="1"/>
  <c r="S1201" i="1"/>
  <c r="S398" i="1"/>
  <c r="S395" i="1"/>
  <c r="S391" i="1"/>
  <c r="S393" i="1"/>
  <c r="S390" i="1"/>
  <c r="S392" i="1"/>
  <c r="S387" i="1"/>
  <c r="S388" i="1"/>
  <c r="S341" i="1"/>
  <c r="S389" i="1"/>
  <c r="S1231" i="1"/>
  <c r="S340" i="1"/>
  <c r="S871" i="1"/>
  <c r="S872" i="1"/>
  <c r="S870" i="1"/>
  <c r="S1029" i="1"/>
  <c r="S521" i="1"/>
  <c r="S523" i="1"/>
  <c r="S867" i="1"/>
  <c r="S1091" i="1"/>
  <c r="S596" i="1"/>
  <c r="S866" i="1"/>
  <c r="S829" i="1"/>
  <c r="S595" i="1"/>
  <c r="S1103" i="1"/>
  <c r="S1104" i="1"/>
  <c r="S869" i="1"/>
  <c r="S566" i="1"/>
  <c r="S13" i="1"/>
  <c r="S868" i="1"/>
  <c r="S129" i="1"/>
  <c r="S12" i="1"/>
  <c r="S284" i="1"/>
  <c r="S216" i="1"/>
  <c r="S306" i="1"/>
  <c r="S194" i="1"/>
  <c r="S397" i="1"/>
  <c r="S307" i="1"/>
  <c r="S394" i="1"/>
  <c r="S396" i="1"/>
  <c r="S809" i="1"/>
  <c r="S737" i="1"/>
  <c r="S736" i="1"/>
  <c r="S819" i="1"/>
  <c r="S429" i="1"/>
  <c r="S972" i="1"/>
  <c r="S923" i="1"/>
  <c r="S710" i="1"/>
  <c r="S711" i="1"/>
  <c r="S1019" i="1"/>
  <c r="S1136" i="1"/>
  <c r="S511" i="1"/>
  <c r="S925" i="1"/>
  <c r="S519" i="1"/>
  <c r="S520" i="1"/>
  <c r="S986" i="1"/>
  <c r="S987" i="1"/>
  <c r="S985" i="1"/>
  <c r="S1160" i="1"/>
  <c r="S1113" i="1"/>
  <c r="S482" i="1"/>
  <c r="S1221" i="1"/>
  <c r="S936" i="1"/>
  <c r="S1174" i="1"/>
  <c r="S1222" i="1"/>
  <c r="S1125" i="1"/>
  <c r="S1175" i="1"/>
  <c r="S1073" i="1"/>
  <c r="S1126" i="1"/>
  <c r="S1007" i="1"/>
  <c r="S1031" i="1"/>
  <c r="S735" i="1"/>
  <c r="S1006" i="1"/>
  <c r="S762" i="1"/>
  <c r="S734" i="1"/>
  <c r="S679" i="1"/>
  <c r="S691" i="1"/>
  <c r="S624" i="1"/>
  <c r="S647" i="1"/>
  <c r="S437" i="1"/>
  <c r="S625" i="1"/>
  <c r="S263" i="1"/>
  <c r="S36" i="1"/>
  <c r="S314" i="1"/>
  <c r="S413" i="1"/>
  <c r="S414" i="1"/>
  <c r="S127" i="1"/>
  <c r="S346" i="1"/>
  <c r="S565" i="1"/>
  <c r="S215" i="1"/>
  <c r="S1135" i="1"/>
  <c r="S922" i="1"/>
  <c r="S1090" i="1"/>
  <c r="S356" i="1"/>
  <c r="S317" i="1"/>
  <c r="S1089" i="1"/>
  <c r="S690" i="1"/>
  <c r="S828" i="1"/>
  <c r="S818" i="1"/>
  <c r="S790" i="1"/>
  <c r="S971" i="1"/>
  <c r="S970" i="1"/>
  <c r="S558" i="1"/>
  <c r="S733" i="1"/>
  <c r="S283" i="1"/>
  <c r="S484" i="1"/>
  <c r="S488" i="1"/>
  <c r="S487" i="1"/>
  <c r="S485" i="1"/>
  <c r="S489" i="1"/>
  <c r="S486" i="1"/>
  <c r="S344" i="1"/>
  <c r="S345" i="1"/>
  <c r="S39" i="1"/>
  <c r="S64" i="1"/>
  <c r="S331" i="1"/>
  <c r="S293" i="1"/>
  <c r="S594" i="1"/>
  <c r="S63" i="1"/>
  <c r="S1173" i="1"/>
  <c r="S593" i="1"/>
  <c r="S953" i="1"/>
  <c r="S1220" i="1"/>
  <c r="S549" i="1"/>
  <c r="S548" i="1"/>
  <c r="S882" i="1"/>
  <c r="S969" i="1"/>
  <c r="S952" i="1"/>
  <c r="S761" i="1"/>
  <c r="S214" i="1"/>
  <c r="S701" i="1"/>
  <c r="S23" i="1"/>
  <c r="S405" i="1"/>
  <c r="S193" i="1"/>
  <c r="S35" i="1"/>
  <c r="S6" i="1"/>
  <c r="S676" i="1"/>
  <c r="S1172" i="1"/>
  <c r="S545" i="1"/>
  <c r="S546" i="1"/>
  <c r="S732" i="1"/>
  <c r="S478" i="1"/>
  <c r="S479" i="1"/>
  <c r="S481" i="1"/>
  <c r="S480" i="1"/>
  <c r="S921" i="1"/>
  <c r="S213" i="1"/>
  <c r="S808" i="1"/>
  <c r="S623" i="1"/>
  <c r="S1219" i="1"/>
  <c r="S547" i="1"/>
  <c r="S343" i="1"/>
  <c r="S60" i="1"/>
  <c r="S304" i="1"/>
  <c r="S342" i="1"/>
  <c r="S34" i="1"/>
  <c r="S198" i="1"/>
  <c r="S412" i="1"/>
  <c r="S301" i="1"/>
  <c r="S1018" i="1"/>
  <c r="S125" i="1"/>
  <c r="S1171" i="1"/>
  <c r="S1188" i="1"/>
  <c r="S1072" i="1"/>
  <c r="S1170" i="1"/>
  <c r="S968" i="1"/>
  <c r="S967" i="1"/>
  <c r="S951" i="1"/>
  <c r="S950" i="1"/>
  <c r="S918" i="1"/>
  <c r="S919" i="1"/>
  <c r="S786" i="1"/>
  <c r="S920" i="1"/>
  <c r="S731" i="1"/>
  <c r="S428" i="1"/>
  <c r="S535" i="1"/>
  <c r="S646" i="1"/>
  <c r="S622" i="1"/>
  <c r="S534" i="1"/>
  <c r="S865" i="1"/>
  <c r="S471" i="1"/>
  <c r="S475" i="1"/>
  <c r="S472" i="1"/>
  <c r="S476" i="1"/>
  <c r="S518" i="1"/>
  <c r="S473" i="1"/>
  <c r="S477" i="1"/>
  <c r="S470" i="1"/>
  <c r="S474" i="1"/>
  <c r="S994" i="1"/>
  <c r="S864" i="1"/>
  <c r="S192" i="1"/>
  <c r="S11" i="1"/>
  <c r="S1028" i="1"/>
  <c r="S212" i="1"/>
  <c r="S124" i="1"/>
  <c r="S1026" i="1"/>
  <c r="S1218" i="1"/>
  <c r="S1217" i="1"/>
  <c r="S1168" i="1"/>
  <c r="S1169" i="1"/>
  <c r="S966" i="1"/>
  <c r="S1133" i="1"/>
  <c r="S889" i="1"/>
  <c r="S949" i="1"/>
  <c r="S785" i="1"/>
  <c r="S784" i="1"/>
  <c r="S730" i="1"/>
  <c r="S782" i="1"/>
  <c r="S783" i="1"/>
  <c r="S621" i="1"/>
  <c r="S533" i="1"/>
  <c r="S709" i="1"/>
  <c r="S1134" i="1"/>
  <c r="S269" i="1"/>
  <c r="S383" i="1"/>
  <c r="S384" i="1"/>
  <c r="S419" i="1"/>
  <c r="S281" i="1"/>
  <c r="S282" i="1"/>
  <c r="S381" i="1"/>
  <c r="S280" i="1"/>
  <c r="S22" i="1"/>
  <c r="S191" i="1"/>
  <c r="S197" i="1"/>
  <c r="S385" i="1"/>
  <c r="S380" i="1"/>
  <c r="S386" i="1"/>
  <c r="S382" i="1"/>
  <c r="S619" i="1"/>
  <c r="S620" i="1"/>
  <c r="S678" i="1"/>
  <c r="S654" i="1"/>
  <c r="S781" i="1"/>
  <c r="S729" i="1"/>
  <c r="S947" i="1"/>
  <c r="S948" i="1"/>
  <c r="S1005" i="1"/>
  <c r="S946" i="1"/>
  <c r="S1132" i="1"/>
  <c r="S1112" i="1"/>
  <c r="S813" i="1"/>
  <c r="S466" i="1"/>
  <c r="S469" i="1"/>
  <c r="S467" i="1"/>
  <c r="S465" i="1"/>
  <c r="S468" i="1"/>
  <c r="S464" i="1"/>
  <c r="S517" i="1"/>
  <c r="S840" i="1"/>
  <c r="S841" i="1"/>
  <c r="S1050" i="1"/>
  <c r="S607" i="1"/>
  <c r="S1121" i="1"/>
  <c r="S1049" i="1"/>
  <c r="S993" i="1"/>
  <c r="S1122" i="1"/>
  <c r="S862" i="1"/>
  <c r="S1119" i="1"/>
  <c r="S903" i="1"/>
  <c r="S861" i="1"/>
  <c r="S839" i="1"/>
  <c r="S1101" i="1"/>
  <c r="S780" i="1"/>
  <c r="S618" i="1"/>
  <c r="S677" i="1"/>
  <c r="S1167" i="1"/>
  <c r="S887" i="1"/>
  <c r="S2" i="1"/>
  <c r="S421" i="1"/>
  <c r="S112" i="1"/>
  <c r="S111" i="1"/>
  <c r="S113" i="1"/>
  <c r="S114" i="1"/>
  <c r="S638" i="1"/>
  <c r="S33" i="1"/>
  <c r="S379" i="1"/>
  <c r="S262" i="1"/>
  <c r="S377" i="1"/>
  <c r="S378" i="1"/>
  <c r="S895" i="1"/>
  <c r="S376" i="1"/>
  <c r="S116" i="1"/>
  <c r="S56" i="1"/>
  <c r="S728" i="1"/>
  <c r="S115" i="1"/>
  <c r="S462" i="1"/>
  <c r="S463" i="1"/>
  <c r="S544" i="1"/>
  <c r="S945" i="1"/>
  <c r="S617" i="1"/>
  <c r="S543" i="1"/>
  <c r="S300" i="1"/>
  <c r="S303" i="1"/>
  <c r="S21" i="1"/>
  <c r="S241" i="1"/>
  <c r="S700" i="1"/>
  <c r="S992" i="1"/>
  <c r="S1017" i="1"/>
  <c r="S1131" i="1"/>
  <c r="S1071" i="1"/>
  <c r="S1111" i="1"/>
  <c r="S1025" i="1"/>
  <c r="S1070" i="1"/>
  <c r="S897" i="1"/>
  <c r="S1187" i="1"/>
  <c r="S461" i="1"/>
  <c r="S557" i="1"/>
  <c r="S459" i="1"/>
  <c r="S460" i="1"/>
  <c r="S858" i="1"/>
  <c r="S859" i="1"/>
  <c r="S779" i="1"/>
  <c r="S857" i="1"/>
  <c r="S726" i="1"/>
  <c r="S727" i="1"/>
  <c r="S807" i="1"/>
  <c r="S725" i="1"/>
  <c r="S404" i="1"/>
  <c r="S411" i="1"/>
  <c r="S375" i="1"/>
  <c r="S279" i="1"/>
  <c r="S20" i="1"/>
  <c r="S208" i="1"/>
  <c r="S532" i="1"/>
  <c r="S19" i="1"/>
  <c r="S458" i="1"/>
  <c r="S1216" i="1"/>
  <c r="S856" i="1"/>
  <c r="S457" i="1"/>
  <c r="S588" i="1"/>
  <c r="S855" i="1"/>
  <c r="S1048" i="1"/>
  <c r="S795" i="1"/>
  <c r="S825" i="1"/>
  <c r="S1047" i="1"/>
  <c r="S1197" i="1"/>
  <c r="S902" i="1"/>
  <c r="S586" i="1"/>
  <c r="S587" i="1"/>
  <c r="S453" i="1"/>
  <c r="S454" i="1"/>
  <c r="S452" i="1"/>
  <c r="S789" i="1"/>
  <c r="S816" i="1"/>
  <c r="S965" i="1"/>
  <c r="S724" i="1"/>
  <c r="S653" i="1"/>
  <c r="S1215" i="1"/>
  <c r="S542" i="1"/>
  <c r="S723" i="1"/>
  <c r="S722" i="1"/>
  <c r="S944" i="1"/>
  <c r="S516" i="1"/>
  <c r="S721" i="1"/>
  <c r="S1016" i="1"/>
  <c r="S515" i="1"/>
  <c r="S1166" i="1"/>
  <c r="S1186" i="1"/>
  <c r="S1130" i="1"/>
  <c r="S1165" i="1"/>
  <c r="S941" i="1"/>
  <c r="S942" i="1"/>
  <c r="S943" i="1"/>
  <c r="S940" i="1"/>
  <c r="S778" i="1"/>
  <c r="S917" i="1"/>
  <c r="S531" i="1"/>
  <c r="S720" i="1"/>
  <c r="S616" i="1"/>
  <c r="S614" i="1"/>
  <c r="S670" i="1"/>
  <c r="S615" i="1"/>
  <c r="S455" i="1"/>
  <c r="S456" i="1"/>
  <c r="S207" i="1"/>
  <c r="S422" i="1"/>
  <c r="S339" i="1"/>
  <c r="S355" i="1"/>
  <c r="S53" i="1"/>
  <c r="S338" i="1"/>
  <c r="S7" i="1"/>
  <c r="S261" i="1"/>
  <c r="S853" i="1"/>
  <c r="S313" i="1"/>
  <c r="S298" i="1"/>
  <c r="S585" i="1"/>
  <c r="S373" i="1"/>
  <c r="S374" i="1"/>
  <c r="S52" i="1"/>
  <c r="S372" i="1"/>
  <c r="S278" i="1"/>
  <c r="S410" i="1"/>
  <c r="S1213" i="1"/>
  <c r="S5" i="1"/>
  <c r="S1164" i="1"/>
  <c r="S1214" i="1"/>
  <c r="S698" i="1"/>
  <c r="S1030" i="1"/>
  <c r="S689" i="1"/>
  <c r="S688" i="1"/>
  <c r="S838" i="1"/>
  <c r="S652" i="1"/>
  <c r="S824" i="1"/>
  <c r="S837" i="1"/>
  <c r="S851" i="1"/>
  <c r="S852" i="1"/>
  <c r="S451" i="1"/>
  <c r="S514" i="1"/>
  <c r="S1196" i="1"/>
  <c r="S1085" i="1"/>
  <c r="S101" i="1"/>
  <c r="S850" i="1"/>
  <c r="S703" i="1"/>
  <c r="S99" i="1"/>
  <c r="S707" i="1"/>
  <c r="S708" i="1"/>
  <c r="S541" i="1"/>
  <c r="S540" i="1"/>
  <c r="S687" i="1"/>
  <c r="S645" i="1"/>
  <c r="S964" i="1"/>
  <c r="S427" i="1"/>
  <c r="S1163" i="1"/>
  <c r="S963" i="1"/>
  <c r="S277" i="1"/>
  <c r="S1162" i="1"/>
  <c r="S268" i="1"/>
  <c r="S276" i="1"/>
  <c r="S31" i="1"/>
  <c r="S32" i="1"/>
  <c r="S196" i="1"/>
  <c r="S18" i="1"/>
  <c r="S272" i="1"/>
  <c r="S204" i="1"/>
  <c r="S371" i="1"/>
  <c r="S302" i="1"/>
  <c r="S50" i="1"/>
  <c r="S370" i="1"/>
  <c r="S612" i="1"/>
  <c r="S611" i="1"/>
  <c r="S529" i="1"/>
  <c r="S613" i="1"/>
  <c r="S608" i="1"/>
  <c r="S530" i="1"/>
  <c r="S806" i="1"/>
  <c r="S563" i="1"/>
  <c r="S426" i="1"/>
  <c r="S719" i="1"/>
  <c r="S939" i="1"/>
  <c r="S938" i="1"/>
  <c r="S1212" i="1"/>
  <c r="S1069" i="1"/>
  <c r="S848" i="1"/>
  <c r="S849" i="1"/>
  <c r="S846" i="1"/>
  <c r="S847" i="1"/>
  <c r="S449" i="1"/>
  <c r="S448" i="1"/>
  <c r="S715" i="1"/>
  <c r="S450" i="1"/>
  <c r="S1084" i="1"/>
  <c r="S1002" i="1"/>
  <c r="S1082" i="1"/>
  <c r="S1083" i="1"/>
  <c r="S579" i="1"/>
  <c r="S1195" i="1"/>
  <c r="S823" i="1"/>
  <c r="S230" i="1"/>
  <c r="S578" i="1"/>
  <c r="S793" i="1"/>
  <c r="S576" i="1"/>
  <c r="S577" i="1"/>
  <c r="S900" i="1"/>
  <c r="S575" i="1"/>
  <c r="S1043" i="1"/>
  <c r="S1044" i="1"/>
  <c r="S1042" i="1"/>
  <c r="S1041" i="1"/>
  <c r="S990" i="1"/>
  <c r="S1098" i="1"/>
  <c r="S528" i="1"/>
  <c r="S812" i="1"/>
  <c r="S716" i="1"/>
  <c r="S48" i="1"/>
  <c r="S717" i="1"/>
  <c r="S718" i="1"/>
  <c r="S555" i="1"/>
  <c r="S697" i="1"/>
  <c r="S777" i="1"/>
  <c r="S675" i="1"/>
  <c r="S1210" i="1"/>
  <c r="S1068" i="1"/>
  <c r="S1184" i="1"/>
  <c r="S1211" i="1"/>
  <c r="S556" i="1"/>
  <c r="S425" i="1"/>
  <c r="S447" i="1"/>
  <c r="S513" i="1"/>
  <c r="S913" i="1"/>
  <c r="S446" i="1"/>
  <c r="S1194" i="1"/>
  <c r="S937" i="1"/>
  <c r="S574" i="1"/>
  <c r="S989" i="1"/>
  <c r="S94" i="1"/>
  <c r="S95" i="1"/>
  <c r="S92" i="1"/>
  <c r="S93" i="1"/>
  <c r="S444" i="1"/>
  <c r="S445" i="1"/>
  <c r="S1153" i="1"/>
  <c r="S1027" i="1"/>
  <c r="S47" i="1"/>
  <c r="S91" i="1"/>
  <c r="S368" i="1"/>
  <c r="S369" i="1"/>
  <c r="S916" i="1"/>
  <c r="S367" i="1"/>
  <c r="S705" i="1"/>
  <c r="S1003" i="1"/>
  <c r="S704" i="1"/>
  <c r="S706" i="1"/>
  <c r="S17" i="1"/>
  <c r="S674" i="1"/>
  <c r="S46" i="1"/>
  <c r="S16" i="1"/>
  <c r="S260" i="1"/>
  <c r="S30" i="1"/>
  <c r="S409" i="1"/>
  <c r="S337" i="1"/>
  <c r="S651" i="1"/>
  <c r="S610" i="1"/>
  <c r="S229" i="1"/>
  <c r="S650" i="1"/>
  <c r="S911" i="1"/>
  <c r="S766" i="1"/>
  <c r="S792" i="1"/>
  <c r="S1097" i="1"/>
  <c r="S673" i="1"/>
  <c r="S644" i="1"/>
  <c r="S1161" i="1"/>
  <c r="S822" i="1"/>
  <c r="S886" i="1"/>
  <c r="S888" i="1"/>
  <c r="S817" i="1"/>
  <c r="S885" i="1"/>
  <c r="S609" i="1"/>
  <c r="S797" i="1"/>
  <c r="S363" i="1"/>
  <c r="S366" i="1"/>
  <c r="S364" i="1"/>
  <c r="S365" i="1"/>
  <c r="S361" i="1"/>
  <c r="S362" i="1"/>
  <c r="S360" i="1"/>
  <c r="S551" i="1"/>
  <c r="S358" i="1"/>
  <c r="S359" i="1"/>
  <c r="S37" i="1"/>
  <c r="S1120" i="1"/>
  <c r="S424" i="1"/>
  <c r="S275" i="1"/>
  <c r="S1208" i="1"/>
  <c r="S1209" i="1"/>
  <c r="S915" i="1"/>
  <c r="S962" i="1"/>
  <c r="S1118" i="1"/>
  <c r="S1124" i="1"/>
  <c r="S90" i="1"/>
  <c r="S45" i="1"/>
  <c r="S86" i="1"/>
  <c r="S87" i="1"/>
  <c r="S88" i="1"/>
  <c r="S89" i="1"/>
  <c r="S443" i="1"/>
  <c r="S85" i="1"/>
  <c r="S914" i="1"/>
  <c r="S442" i="1"/>
  <c r="S982" i="1"/>
  <c r="S912" i="1"/>
  <c r="S1183" i="1"/>
  <c r="S1001" i="1"/>
  <c r="S1015" i="1"/>
  <c r="S1110" i="1"/>
  <c r="S1129" i="1"/>
  <c r="S1207" i="1"/>
  <c r="S1067" i="1"/>
  <c r="S1109" i="1"/>
  <c r="S713" i="1"/>
  <c r="S776" i="1"/>
  <c r="S714" i="1"/>
  <c r="S712" i="1"/>
  <c r="S527" i="1"/>
  <c r="S554" i="1"/>
  <c r="S336" i="1"/>
  <c r="S259" i="1"/>
  <c r="S329" i="1"/>
  <c r="S84" i="1"/>
  <c r="S42" i="1"/>
  <c r="S408" i="1"/>
  <c r="S43" i="1"/>
  <c r="S41" i="1"/>
  <c r="S81" i="1"/>
  <c r="S512" i="1"/>
  <c r="S844" i="1"/>
  <c r="S441" i="1"/>
  <c r="S1193" i="1"/>
  <c r="S845" i="1"/>
  <c r="S569" i="1"/>
  <c r="S1081" i="1"/>
  <c r="S1096" i="1"/>
  <c r="S1151" i="1"/>
  <c r="S791" i="1"/>
  <c r="S228" i="1"/>
  <c r="S568" i="1"/>
  <c r="S988" i="1"/>
  <c r="S1034" i="1"/>
  <c r="S1036" i="1"/>
  <c r="S1033" i="1"/>
  <c r="S1035" i="1"/>
  <c r="S898" i="1"/>
  <c r="S440" i="1"/>
  <c r="S438" i="1"/>
  <c r="S439" i="1"/>
  <c r="S1206" i="1"/>
  <c r="S821" i="1"/>
  <c r="S239" i="1"/>
  <c r="S299" i="1"/>
  <c r="S562" i="1"/>
  <c r="J361" i="6"/>
  <c r="I357" i="6"/>
  <c r="I258" i="6"/>
  <c r="B8" i="16" l="1"/>
  <c r="J357" i="6"/>
  <c r="J320" i="6" l="1"/>
  <c r="I320" i="6"/>
  <c r="J319" i="6" l="1"/>
  <c r="I319" i="6"/>
  <c r="J257" i="6" l="1"/>
  <c r="I257" i="6"/>
  <c r="J189" i="6" l="1"/>
  <c r="I189" i="6"/>
  <c r="J534" i="6" l="1"/>
  <c r="I534" i="6"/>
  <c r="I130" i="6" l="1"/>
  <c r="F130" i="6"/>
  <c r="J130" i="6"/>
  <c r="F253" i="6"/>
  <c r="F254" i="6"/>
  <c r="F265" i="6"/>
  <c r="F249" i="6"/>
  <c r="F264" i="6"/>
  <c r="F256" i="6"/>
  <c r="F263" i="6"/>
  <c r="F247" i="6"/>
  <c r="F258" i="6"/>
  <c r="F251" i="6"/>
  <c r="F259" i="6"/>
  <c r="F257" i="6"/>
  <c r="F255" i="6"/>
  <c r="F262" i="6"/>
  <c r="J247" i="6"/>
  <c r="F250" i="6"/>
  <c r="I247" i="6"/>
  <c r="F260" i="6"/>
  <c r="F261" i="6"/>
  <c r="F248" i="6"/>
  <c r="F252" i="6"/>
  <c r="F246" i="6"/>
  <c r="I198" i="6" l="1"/>
  <c r="F198" i="6"/>
  <c r="J198" i="6" l="1"/>
  <c r="F39" i="6"/>
  <c r="J39" i="6" s="1"/>
  <c r="I39" i="6"/>
  <c r="B5" i="16"/>
  <c r="E604" i="6"/>
  <c r="B11" i="16"/>
  <c r="B9" i="16" s="1"/>
  <c r="I604" i="6"/>
  <c r="P26" i="15"/>
  <c r="F604" i="6"/>
  <c r="J60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<sst xmlns="http://schemas.openxmlformats.org/spreadsheetml/2006/main" count="7555" uniqueCount="1588">
  <si>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</si>
  <si>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</si>
  <si>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</si>
  <si>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</si>
  <si>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</si>
  <si>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</si>
  <si>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</si>
  <si>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</si>
  <si>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</si>
  <si>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</si>
  <si>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</si>
  <si>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</si>
  <si>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</si>
  <si>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</si>
  <si>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</si>
  <si>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</si>
  <si>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</si>
  <si>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</si>
  <si>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</si>
  <si>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</si>
  <si>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</si>
  <si>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</si>
  <si>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</si>
  <si>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</si>
  <si>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</si>
  <si>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</si>
  <si>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</si>
  <si>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</si>
  <si>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</si>
  <si>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</si>
  <si>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</si>
  <si>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</si>
  <si>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</si>
  <si>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</si>
  <si>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</si>
  <si>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</si>
  <si>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</si>
  <si>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</si>
  <si>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</si>
  <si>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</si>
  <si>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</si>
  <si>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</si>
  <si>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</si>
  <si>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</si>
  <si>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</si>
  <si>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</si>
  <si>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</si>
  <si>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</si>
  <si>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</si>
  <si>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</si>
  <si>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</si>
  <si>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</si>
  <si>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</si>
  <si>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</si>
  <si>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</si>
  <si>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</si>
  <si>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</si>
  <si>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</si>
  <si>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</si>
  <si>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</si>
  <si>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</si>
  <si>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</si>
  <si>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</si>
  <si>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</si>
  <si>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</si>
  <si>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</si>
  <si>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</si>
  <si>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</si>
  <si>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</si>
  <si>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</si>
  <si>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</si>
  <si>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</si>
  <si>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</si>
  <si>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</si>
  <si>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EMT</t>
  </si>
  <si>
    <t>LOIX</t>
  </si>
  <si>
    <t>DISUIZA</t>
  </si>
  <si>
    <t>$ CAPITAL</t>
  </si>
  <si>
    <t>SALDO</t>
  </si>
  <si>
    <t>DETALLE</t>
  </si>
  <si>
    <t>PAGO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</si>
  <si>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</si>
  <si>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</si>
  <si>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</si>
  <si>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</si>
  <si>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</si>
  <si>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</si>
  <si>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</si>
  <si>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</si>
  <si>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</si>
  <si>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</si>
  <si>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</si>
  <si>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</si>
  <si>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</si>
  <si>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</si>
  <si>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</si>
  <si>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</si>
  <si>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</si>
  <si>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</si>
  <si>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</si>
  <si>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</si>
  <si>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</si>
  <si>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</si>
  <si>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</si>
  <si>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</si>
  <si>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</si>
  <si>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</si>
  <si>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</si>
  <si>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</si>
  <si>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</si>
  <si>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</si>
  <si>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</si>
  <si>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</si>
  <si>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</si>
  <si>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</si>
  <si>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</si>
  <si>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</si>
  <si>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</si>
  <si>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</si>
  <si>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</si>
  <si>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</si>
  <si>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</si>
  <si>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</si>
  <si>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</si>
  <si>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</si>
  <si>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</si>
  <si>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</si>
  <si>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</si>
  <si>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</si>
  <si>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</si>
  <si>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bancolombia ah 91215970731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</si>
  <si>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</si>
  <si>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</si>
  <si>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</si>
  <si>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</si>
  <si>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SALDO PROVEEDOR</t>
  </si>
  <si>
    <t>Electronicas canare</t>
  </si>
  <si>
    <t>BANCOLOMBIA AHORROS 10352314124</t>
  </si>
  <si>
    <t>pse</t>
  </si>
  <si>
    <t>PV</t>
  </si>
  <si>
    <t>BANCOLOMBIA 3103</t>
  </si>
  <si>
    <t xml:space="preserve">BANCOLOMBIA USD$ </t>
  </si>
  <si>
    <t xml:space="preserve">CAJA SOCIAL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</si>
  <si>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</si>
  <si>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</si>
  <si>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</si>
  <si>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</si>
  <si>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</si>
  <si>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</si>
  <si>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</si>
  <si>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PRESTAMO</t>
  </si>
  <si>
    <t>SAYER - YERMIN</t>
  </si>
  <si>
    <t>JARLY SAS - JORGE ARREDONDO</t>
  </si>
  <si>
    <t>AJUSTE FIN DE MES</t>
  </si>
  <si>
    <t>intereses no pagados en 2020</t>
  </si>
  <si>
    <t>ajuste de cuentas con fernando</t>
  </si>
  <si>
    <t xml:space="preserve">Bancolombia AH 102-125 283-78 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</si>
  <si>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</si>
  <si>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</si>
  <si>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</si>
  <si>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</si>
  <si>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</si>
  <si>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</si>
  <si>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</si>
  <si>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</si>
  <si>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</si>
  <si>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</si>
  <si>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</si>
  <si>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</si>
  <si>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</si>
  <si>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</si>
  <si>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</si>
  <si>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</si>
  <si>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</si>
  <si>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</si>
  <si>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</si>
  <si>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</si>
  <si>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</si>
  <si>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</si>
  <si>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</si>
  <si>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</si>
  <si>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</si>
  <si>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</si>
  <si>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</si>
  <si>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</si>
  <si>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</si>
  <si>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SIMH</t>
  </si>
  <si>
    <t>electronicascanaresas@gmail.com;girlesa.ruiz@servipilas.com;joriescobar64@gmail.com</t>
  </si>
  <si>
    <t>facturasimh@simh.com.co;girlesa.ruiz@servipilas.com;joriescobar64@gmail.com</t>
  </si>
  <si>
    <t>ventas@ismartsas.com;girlesa.ruiz@servipilas.com;joriescobar64@gmail.com</t>
  </si>
  <si>
    <t>Pygimportadora@gmail.com;girlesa.ruiz@servipilas.com;joriescobar64@gmail.com</t>
  </si>
  <si>
    <t>davivienda cc 456369996909</t>
  </si>
  <si>
    <t>ZIONE - Andres Dario Ramirez Aristizabal</t>
  </si>
  <si>
    <t>MSL - Somonsing China</t>
  </si>
  <si>
    <t>asistente@mslcorporate.com.co;girlesa.ruiz@servipilas.com;joriescobar64@gmail.com</t>
  </si>
  <si>
    <t>seguro colectivo</t>
  </si>
  <si>
    <t>bog.fa1@pressex.co;bog.fm1@pressex.co;kbaumgartner@pressex.co;girlesa.ruiz@servipilas.com;joriescobar64@gmail.com</t>
  </si>
  <si>
    <t>MUNDITONNER</t>
  </si>
  <si>
    <t>comercial@munditonner.com.co;girlesa.ruiz@servipilas.com;joriescobar64@gmail.com</t>
  </si>
  <si>
    <t>Movecargo - Sinoming china</t>
  </si>
  <si>
    <t>judy.torres@movecargo.co;girlesa.ruiz@servipilas.com;joriescobar64@gmail.com</t>
  </si>
  <si>
    <t>Pressex Logistics - tnr</t>
  </si>
  <si>
    <t xml:space="preserve">asistente@remarcalimitada.com;girlesa.ruiz@servipilas.com;joriescobar64@gmail.com
</t>
  </si>
  <si>
    <t>LOGIMEX TNR</t>
  </si>
  <si>
    <t>IMPUESTOS - TNR</t>
  </si>
  <si>
    <t>Pressex Logistics - casillero</t>
  </si>
  <si>
    <t>Pressex Logistics - montblanc</t>
  </si>
  <si>
    <t>aguadulce - sinming china</t>
  </si>
  <si>
    <t>MAXIPILAS</t>
  </si>
  <si>
    <t>mcastillo@kenextrading.com;agarcia@kenextrading.com;girlesa.ruiz@servipilas.com;joriescobar64@gmail.com</t>
  </si>
  <si>
    <t>para pagar fossil</t>
  </si>
  <si>
    <t>cartera@aerosan.com;girlesa.ruiz@servipilas.com;joriescobar64@gmail.com</t>
  </si>
  <si>
    <t xml:space="preserve">bancolombia cc 388-991169-88 </t>
  </si>
  <si>
    <t>DMARIO</t>
  </si>
  <si>
    <t>Pressex courier - casillero</t>
  </si>
  <si>
    <t>Pressex courier - Kenex</t>
  </si>
  <si>
    <t>Pressex courier - montblanc</t>
  </si>
  <si>
    <t>swizzeraux2@gmail.com;girlesa.ruiz@servipilas.com;joriescobar64@gmail.com</t>
  </si>
  <si>
    <t>IMPUESTOS - MONTBLANC</t>
  </si>
  <si>
    <t>LOGIMEX MONTBLANC</t>
  </si>
  <si>
    <t>JORGE ARREDONDO - JARLY SAS</t>
  </si>
  <si>
    <t>PROVECOL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</si>
  <si>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</si>
  <si>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</si>
  <si>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</si>
  <si>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</si>
  <si>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>TB PLUS</t>
  </si>
  <si>
    <t>??;girlesa.ruiz@servipilas.com;joriescobar64@gmail.com</t>
  </si>
  <si>
    <t>18/8/21 AJUSTE FIN DE MES</t>
  </si>
  <si>
    <t>STEREN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</si>
  <si>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</si>
  <si>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</si>
  <si>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</si>
  <si>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</si>
  <si>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COMSISTEL</t>
  </si>
  <si>
    <t>BANCOLOMBIA corriente + ahorros</t>
  </si>
  <si>
    <t>MARIA MARTHA RAMIREZ ZULUAGA - JORGE ARREDONDO</t>
  </si>
  <si>
    <t>Pressex courier - tnr</t>
  </si>
  <si>
    <t>ALKOMPRAR</t>
  </si>
  <si>
    <t>consignado en la cuenta de daniel escobar</t>
  </si>
  <si>
    <t>juanzuluaga@ducon.com.co;girlesa.ruiz@servipilas.com;joriescobar64@gmail.com</t>
  </si>
  <si>
    <t>jarlysas@gmail.com;o.clockinternational@gmail.com;girlesa.ruiz@servipilas.com;joriescobar64@gmail.com</t>
  </si>
  <si>
    <t>ALEX MARINO ENRIQUEZ</t>
  </si>
  <si>
    <t>alexenriquez73.ae@gmail.com;girlesa.ruiz@servipilas.com;joriescobar64@gmail.com;info@servipilas.com</t>
  </si>
  <si>
    <t>financiero@dmariocolombia.com;cartera@dmariocolombia.com.co;girlesa.ruiz@servipilas.com;joriescobar64@gmail.com</t>
  </si>
  <si>
    <t>aleja-1305agudelo@hotmail.com;provecol@une.net.co;girlesa.ruiz@servipilas.com;joriescobar64@gmail.com</t>
  </si>
  <si>
    <t>JYN TECHNOLOGY</t>
  </si>
  <si>
    <t>ventasonline@disantioquia.com.co;girlesa.ruiz@servipilas.com;joriescobar64@gmail.com</t>
  </si>
  <si>
    <t>COEXITO servipilas</t>
  </si>
  <si>
    <t>COMERCIALIZADORA DEL ESTE</t>
  </si>
  <si>
    <t>CARPA - CASILLERO</t>
  </si>
  <si>
    <t>CARPA - MONTBLANC</t>
  </si>
  <si>
    <t>CARPA - TNR</t>
  </si>
  <si>
    <t>ALPHA</t>
  </si>
  <si>
    <t>SANTA BARBARA DISTRONIK</t>
  </si>
  <si>
    <t xml:space="preserve"> bateriasindustrialesbogota2@coexito.com.co;girlesa.ruiz@servipilas.com;joriescobar64@gmail.com</t>
  </si>
  <si>
    <t>lpena@tbplusenergy.com;girlesa.ruiz@servipilas.com;joriescobar64@gmail.com</t>
  </si>
  <si>
    <t>CARPA - POWERSONIC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</si>
  <si>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</si>
  <si>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</si>
  <si>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</si>
  <si>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</si>
  <si>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</si>
  <si>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carloseuristika@hotmail.com;girlesa.ruiz@servipilas.com;joriescobar64@gmail.com</t>
  </si>
  <si>
    <t>dotaciones.ohana.eu@gmail.com;girlesa.ruiz@servipilas.com;joriescobar64@gmail.com</t>
  </si>
  <si>
    <t>LOGIMEX POWERSONIC</t>
  </si>
  <si>
    <t>Abajo A TU MANO</t>
  </si>
  <si>
    <t>variedades.sfg@gmail.com;girlesa.ruiz@servipilas.com;joriescobar64@gmail.com</t>
  </si>
  <si>
    <t>Abajo ADRIANA ARISTIZABAL</t>
  </si>
  <si>
    <t>Abajo ALEX DAVAL</t>
  </si>
  <si>
    <t>Abajo ALIEXPRESS</t>
  </si>
  <si>
    <t>Abajo ANDREA RAMIREZ</t>
  </si>
  <si>
    <t>Abajo audifonos</t>
  </si>
  <si>
    <t>Abajo AURELIO PILAS</t>
  </si>
  <si>
    <t>Abajo AVELINA</t>
  </si>
  <si>
    <t>Abajo CAJONES DE RELOJ</t>
  </si>
  <si>
    <t>Abajo CARLOS MARIO BETANCUR</t>
  </si>
  <si>
    <t>Abajo CASILLERO</t>
  </si>
  <si>
    <t>Abajo COMERCIALIZADORA BYJ</t>
  </si>
  <si>
    <t>Abajo CONTADO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</si>
  <si>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</si>
  <si>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</si>
  <si>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</si>
  <si>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</si>
  <si>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</si>
  <si>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</si>
  <si>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</si>
  <si>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Abajo GERMAN PALACIOS</t>
  </si>
  <si>
    <t>Abajo Gloria Estrada</t>
  </si>
  <si>
    <t>gloritasz@gmail.com;girlesa.ruiz@servipilas.com;joriescobar64@gmail.com</t>
  </si>
  <si>
    <t>Abajo GLORIA SOTO</t>
  </si>
  <si>
    <t>Abajo GUSTAVO PULSOS</t>
  </si>
  <si>
    <t>Abajo HERMANO DE KAIROS</t>
  </si>
  <si>
    <t>Abajo HUMBERTO ALVAREZ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</si>
  <si>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</si>
  <si>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</si>
  <si>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</si>
  <si>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</si>
  <si>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</si>
  <si>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</si>
  <si>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</si>
  <si>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</si>
  <si>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</si>
  <si>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</si>
  <si>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</si>
  <si>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</si>
  <si>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</si>
  <si>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</si>
  <si>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</si>
  <si>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</si>
  <si>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</si>
  <si>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</si>
  <si>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Abajo SWIZZER REPUESTOS</t>
  </si>
  <si>
    <t>Abajo Tapabocas Juan Diego</t>
  </si>
  <si>
    <t>Abajo Termopack</t>
  </si>
  <si>
    <t>Abajo UNIVERSAL TIME</t>
  </si>
  <si>
    <t>Abajo W CUERO</t>
  </si>
  <si>
    <t>Abajo YERMIN</t>
  </si>
  <si>
    <t>Abajo YOLANDA</t>
  </si>
  <si>
    <t>Abajo ZUMA</t>
  </si>
  <si>
    <t>dua@cedesistemas.edu.co;girlesa.ruiz@servipilas.com;joriescobar64@gmail.com</t>
  </si>
  <si>
    <t>mobiliariomasproyectos@gmail.com;girlesa.ruiz@servipilas.com;joriescobar64@gmail.com</t>
  </si>
  <si>
    <t>MEGAMUNDO</t>
  </si>
  <si>
    <t>RODRIGUEZ Y URBINA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</si>
  <si>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</si>
  <si>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</si>
  <si>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</si>
  <si>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</si>
  <si>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</si>
  <si>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</si>
  <si>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</si>
  <si>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</si>
  <si>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</si>
  <si>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</si>
  <si>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</si>
  <si>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</si>
  <si>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</si>
  <si>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</si>
  <si>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</si>
  <si>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</si>
  <si>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</si>
  <si>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</si>
  <si>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</si>
  <si>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</si>
  <si>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</si>
  <si>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</si>
  <si>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</si>
  <si>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</si>
  <si>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</si>
  <si>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</si>
  <si>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</si>
  <si>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</si>
  <si>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</si>
  <si>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</si>
  <si>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</si>
  <si>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</si>
  <si>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</si>
  <si>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</si>
  <si>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</si>
  <si>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</si>
  <si>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</si>
  <si>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</si>
  <si>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</si>
  <si>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 xml:space="preserve">Abajo DANIEL ESCOBAR </t>
  </si>
  <si>
    <t xml:space="preserve">Abajo FONDO </t>
  </si>
  <si>
    <t>DAVIVIENDA ************6881</t>
  </si>
  <si>
    <t xml:space="preserve">Abajo FERNANDO JIMENEZ </t>
  </si>
  <si>
    <t xml:space="preserve">Abajo CATALINA SANCHEZ </t>
  </si>
  <si>
    <t xml:space="preserve">Abajo MARIANA </t>
  </si>
  <si>
    <t xml:space="preserve">Abajo ALBA  </t>
  </si>
  <si>
    <t>Abajo PIEDAD ESCOBAR</t>
  </si>
  <si>
    <t>Abajo CLAUDIA RUIZ</t>
  </si>
  <si>
    <t xml:space="preserve">Abajo DON LUCIANO </t>
  </si>
  <si>
    <t>Abajo JORGE IVAN ESCOBAR</t>
  </si>
  <si>
    <t xml:space="preserve">Abajo HERNAN MARIN </t>
  </si>
  <si>
    <t>COP</t>
  </si>
  <si>
    <t>COMERCIALIZADORA AVELINA</t>
  </si>
  <si>
    <t>avelinacomer@gmail.com;girlesa.ruiz@servipilas.com;joriescobar64@gmail.com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</si>
  <si>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</si>
  <si>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</si>
  <si>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</si>
  <si>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</si>
  <si>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</si>
  <si>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</si>
  <si>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</si>
  <si>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</si>
  <si>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</si>
  <si>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</si>
  <si>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</si>
  <si>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</si>
  <si>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sandra.ospina@powest.com;girlesa.ruiz@servipilas.com;joriescobar64@gmail.com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</si>
  <si>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</si>
  <si>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</si>
  <si>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</si>
  <si>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</si>
  <si>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</si>
  <si>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</si>
  <si>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</si>
  <si>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</si>
  <si>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</si>
  <si>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</si>
  <si>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</si>
  <si>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</si>
  <si>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</si>
  <si>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</si>
  <si>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</si>
  <si>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</si>
  <si>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</si>
  <si>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</si>
  <si>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</si>
  <si>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</si>
  <si>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</si>
  <si>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</si>
  <si>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</si>
  <si>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</si>
  <si>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</si>
  <si>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</si>
  <si>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</si>
  <si>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</si>
  <si>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</si>
  <si>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</si>
  <si>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</si>
  <si>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</si>
  <si>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</si>
  <si>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</si>
  <si>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</si>
  <si>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</si>
  <si>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sapian X@</t>
  </si>
  <si>
    <t>X@</t>
  </si>
  <si>
    <t>Abajo SIMON MDE</t>
  </si>
  <si>
    <t>gerencia@som-tec.com;girlesa.ruiz@servipilas.com;joriescobar64@gmail.com</t>
  </si>
  <si>
    <t>carlos.bohorquez@copapel.com;girlesa.ruiz@servipilas.com;joriescobar64@gmail.com</t>
  </si>
  <si>
    <t>wruiz@tsqsa.com;girlesa.ruiz@servipilas.com;joriescobar64@gmail.com</t>
  </si>
  <si>
    <t>Abajo NIA</t>
  </si>
  <si>
    <t>mercadopago</t>
  </si>
  <si>
    <t>TECNOSOLUCIONES X@</t>
  </si>
  <si>
    <t>Facturas vencidas a cierre del mes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</si>
  <si>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</si>
  <si>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</si>
  <si>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</si>
  <si>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</si>
  <si>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</si>
  <si>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</si>
  <si>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</si>
  <si>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cartera@makingbusiness.com.co;tesoreria@makingbusiness.com.co;girlesa.ruiz@servipilas.com;joriescobar64@gmail.com</t>
  </si>
  <si>
    <t xml:space="preserve"> dsmazuera@widexcolombia.com;cartera@widexcolombia.com;girlesa.ruiz@servipilas.com;joriescobar64@gmail.com</t>
  </si>
  <si>
    <t>11 TECHNOLOGIES</t>
  </si>
  <si>
    <t>KINESIS</t>
  </si>
  <si>
    <t>Facturas@kinnesis.com;girlesa.ruiz@servipilas.com;joriescobar64@gmail.com</t>
  </si>
  <si>
    <t>contabilidad@sandiego.com.co;girlesa.ruiz@servipilas.com;joriescobar64@gmail.com</t>
  </si>
  <si>
    <t>se pago el crdito de itaú y se abonó al de davivienda 2127</t>
  </si>
  <si>
    <t>ABAJO RODOLFO PARAMO X@</t>
  </si>
  <si>
    <t>Ruta para crear los pdf</t>
  </si>
  <si>
    <t>para pagar reforma de mayorca</t>
  </si>
  <si>
    <t>IEO ASOCIADOS</t>
  </si>
  <si>
    <t>Abajo FREDY SERNA</t>
  </si>
  <si>
    <t>CIDET X@</t>
  </si>
  <si>
    <t>DILOY COLOMBIA</t>
  </si>
  <si>
    <t>tesoreria@cidet.org.co;girlesa.ruiz@servipilas.com;joriescobar64@gmail.com</t>
  </si>
  <si>
    <t>1. copiar y pegar toda la base de datos de la hoja F. proveedores</t>
  </si>
  <si>
    <t>COPAPEL X@</t>
  </si>
  <si>
    <t>Ajuste 15/07/2022</t>
  </si>
  <si>
    <t>LUZ MYRIAM GIRALDO ZUMA</t>
  </si>
  <si>
    <t>LMGS789@HOTMAIL.COM;girlesa.ruiz@servipilas.com;joriescobar64@gmail.com</t>
  </si>
  <si>
    <t>APC X@</t>
  </si>
  <si>
    <t>Abajo MERCADOLIBRE X@</t>
  </si>
  <si>
    <t>corporacion.trovemos@gmail.com;girlesa.ruiz@servipilas.com;joriescobar64@gmail.com</t>
  </si>
  <si>
    <t>COPORACION TROVEMOS X@</t>
  </si>
  <si>
    <t>syman07@hotmail.com;girlesa.ruiz@servipilas.com;joriescobar64@gmail.com</t>
  </si>
  <si>
    <t>SILLAS Y MANTENIMIENTOS X@</t>
  </si>
  <si>
    <t>Descuento sobre subtotal $2</t>
  </si>
  <si>
    <t>descuento sobre subtotal</t>
  </si>
  <si>
    <t>lygonzalez@gmail.com;girlesa.ruiz@servipilas.com;joriescobar64@gmail.com</t>
  </si>
  <si>
    <t>EL IMPERIO DIGITAL - YERMIN</t>
  </si>
  <si>
    <t>yermingg@hotmail.com;rubizulu@hotmail.com;girlesa.ruiz@servipilas.com;joriescobar64@gmail.com</t>
  </si>
  <si>
    <t>para pagar vitrina mayorca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</si>
  <si>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</si>
  <si>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</si>
  <si>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</si>
  <si>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Nota: la formula no suma los porveedores con X@</t>
  </si>
  <si>
    <t>complementario jaime</t>
  </si>
  <si>
    <t>ISMART ELECTRONICS X@</t>
  </si>
  <si>
    <t>4% con base</t>
  </si>
  <si>
    <t>santiago.botero@apcmayorista.com;girlesa.ruiz@servipilas.com;joriescobar64@gmail.com</t>
  </si>
  <si>
    <t>GRUPOINTER LLANTAS X@</t>
  </si>
  <si>
    <t>INDUSTRIA ELECTRICA NEWLINE</t>
  </si>
  <si>
    <t>Abajo INVERSIONES ARCILA</t>
  </si>
  <si>
    <t>INVERSIONES ARCILA</t>
  </si>
  <si>
    <t>ajuste ago26/20222 con juan guillermo</t>
  </si>
  <si>
    <t>BIGTRONICA X@</t>
  </si>
  <si>
    <t>NACIONAL DE PILAS PANASONIC</t>
  </si>
  <si>
    <t>TUSPILAS.CO</t>
  </si>
  <si>
    <t>GRUPO ZAMBRANO</t>
  </si>
  <si>
    <t>logistic@grupozambrano.com;info@servipilas.com;girlesa.ruiz@servipilas.com;joriescobar64@gmail.com</t>
  </si>
  <si>
    <t>mdedcnvi@bateriasduncan.com.co;girlesa.ruiz@servipilas.com;joriescobar64@gmail.com</t>
  </si>
  <si>
    <t>PSICOLOGA BEATRIZ FLOREZ X@</t>
  </si>
  <si>
    <t>004 286 48 021 Bancolombia ahorros</t>
  </si>
  <si>
    <t>10242688219  Bancolombia ahorros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</si>
  <si>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</si>
  <si>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</si>
  <si>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</si>
  <si>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</si>
  <si>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</si>
  <si>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</si>
  <si>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</si>
  <si>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</si>
  <si>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ABAJO PULSOS</t>
  </si>
  <si>
    <t>4330 dólar</t>
  </si>
  <si>
    <t>67300016442 CTA CTE Bancolombia</t>
  </si>
  <si>
    <t>24098035016 CTA Ahorros BCS</t>
  </si>
  <si>
    <t>00591647411 CTA CTE Bancolombia</t>
  </si>
  <si>
    <t>027010875 CTA CTE Banco Occidente</t>
  </si>
  <si>
    <t>ABAJO NIA</t>
  </si>
  <si>
    <t>Abajo MEGAMUNDO</t>
  </si>
  <si>
    <t>Abajo MUÑECOS J.M.J</t>
  </si>
  <si>
    <t>ABAJO MUÑECOS J.M.J</t>
  </si>
  <si>
    <t>MOLINOS</t>
  </si>
  <si>
    <t>SANDIEGO</t>
  </si>
  <si>
    <t>MAYORCA</t>
  </si>
  <si>
    <t>LA CENTRAL</t>
  </si>
  <si>
    <t>PUERTA DEL NORTE</t>
  </si>
  <si>
    <t>ABAJO CASILLERO</t>
  </si>
  <si>
    <t>VYP  P.A MERCURIO X@</t>
  </si>
  <si>
    <t>arrendamientos@vyp.com.co;girlesa.ruiz@servipilas.com;joriescobar64@gmail.com</t>
  </si>
  <si>
    <t>61100002255 Bancolombia corriente</t>
  </si>
  <si>
    <t>BANCOLOMBIA CTA CTE # 60959261381</t>
  </si>
  <si>
    <t>Abajo UNIFORMES</t>
  </si>
  <si>
    <t>abajo UNIFORMES</t>
  </si>
  <si>
    <t xml:space="preserve">AMERICAN INSAP INGENIERIA Y SERVICIOS </t>
  </si>
  <si>
    <t>AMERICAN INSAP INGENIERIA</t>
  </si>
  <si>
    <t>4900 DÓLAR</t>
  </si>
  <si>
    <t>15 CORRES 10 ARREDON</t>
  </si>
  <si>
    <t>SALDO A FAVOR</t>
  </si>
  <si>
    <t>ABAJO BRIDGE</t>
  </si>
  <si>
    <t>COEXITO x@</t>
  </si>
  <si>
    <t>01/11/2022</t>
  </si>
  <si>
    <t>01/10/2022</t>
  </si>
  <si>
    <t>IMPORTACIONES EL NORTEÑO</t>
  </si>
  <si>
    <t>DIEGO GIRALDO YEPES MUÑECOS</t>
  </si>
  <si>
    <t>TEMPEL COLOMBIA LTDA</t>
  </si>
  <si>
    <t>ABAJO PYG</t>
  </si>
  <si>
    <t>SF</t>
  </si>
  <si>
    <t>jorge entrego 500 mil</t>
  </si>
  <si>
    <t>CENTRAL</t>
  </si>
  <si>
    <t>PNORTE</t>
  </si>
  <si>
    <t>INSTITUCIONALES</t>
  </si>
  <si>
    <t>S. A FAVOR</t>
  </si>
  <si>
    <t>AD 12199</t>
  </si>
  <si>
    <t>BANCOLOMBIA USD$ 2555318542</t>
  </si>
  <si>
    <t>kenex57910 oct22 $3363.35 recursos propios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</si>
  <si>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</si>
  <si>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</si>
  <si>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</si>
  <si>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</si>
  <si>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</si>
  <si>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</si>
  <si>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</si>
  <si>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</si>
  <si>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</si>
  <si>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</si>
  <si>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</si>
  <si>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</si>
  <si>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</si>
  <si>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</si>
  <si>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</si>
  <si>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</si>
  <si>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</si>
  <si>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</si>
  <si>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</si>
  <si>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</si>
  <si>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</si>
  <si>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</si>
  <si>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</si>
  <si>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</si>
  <si>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</si>
  <si>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</si>
  <si>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</si>
  <si>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</si>
  <si>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</si>
  <si>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</si>
  <si>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</si>
  <si>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</si>
  <si>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</si>
  <si>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</si>
  <si>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</si>
  <si>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</si>
  <si>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</si>
  <si>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</si>
  <si>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</si>
  <si>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</si>
  <si>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</si>
  <si>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</si>
  <si>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</si>
  <si>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</si>
  <si>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</si>
  <si>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</si>
  <si>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</si>
  <si>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</si>
  <si>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</si>
  <si>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</si>
  <si>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</si>
  <si>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</si>
  <si>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</si>
  <si>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</si>
  <si>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</si>
  <si>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</si>
  <si>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</si>
  <si>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</si>
  <si>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</si>
  <si>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</si>
  <si>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</si>
  <si>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</si>
  <si>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</si>
  <si>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</si>
  <si>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</si>
  <si>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</si>
  <si>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</si>
  <si>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</si>
  <si>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</si>
  <si>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</si>
  <si>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</si>
  <si>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</si>
  <si>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</si>
  <si>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</si>
  <si>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</si>
  <si>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</si>
  <si>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</si>
  <si>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</si>
  <si>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</si>
  <si>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</si>
  <si>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</si>
  <si>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</si>
  <si>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</si>
  <si>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</si>
  <si>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</si>
  <si>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</si>
  <si>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</si>
  <si>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</si>
  <si>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</si>
  <si>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</si>
  <si>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</si>
  <si>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</si>
  <si>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</si>
  <si>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A-2825</t>
  </si>
  <si>
    <t>S05981</t>
  </si>
  <si>
    <t>jessica.barrios@carpainternacional.com;girlesa.ruiz@servipilas.com;joriescobar64@gmail.com</t>
  </si>
  <si>
    <t>AJUSTE TERMINO CREDITO</t>
  </si>
  <si>
    <t>BANCOLOMBIA USD$ 2555324112</t>
  </si>
  <si>
    <t>KENEX58088</t>
  </si>
  <si>
    <t>BANCOLOMBIA CESANTIAS 0568</t>
  </si>
  <si>
    <t>DAVIVIENDA ************5101</t>
  </si>
  <si>
    <t>FV16064</t>
  </si>
  <si>
    <t>PM-5979</t>
  </si>
  <si>
    <t>BM 555</t>
  </si>
  <si>
    <t>CED1725 ALMA</t>
  </si>
  <si>
    <t>FETU5427 ALMA</t>
  </si>
  <si>
    <t>03MS6709 ALMA</t>
  </si>
  <si>
    <t>03MS6656 ALMA</t>
  </si>
  <si>
    <t>FE-9462 ALMA</t>
  </si>
  <si>
    <t>FENL42050 INSTI</t>
  </si>
  <si>
    <t>MDIS5041862 INSTI</t>
  </si>
  <si>
    <t>CED1714 ALMA</t>
  </si>
  <si>
    <t>ID-588 ALMA</t>
  </si>
  <si>
    <t>1067089 INSTI</t>
  </si>
  <si>
    <t>1067039 ALMA</t>
  </si>
  <si>
    <t>1066883 ALMA</t>
  </si>
  <si>
    <t>A-2380</t>
  </si>
  <si>
    <t>A-2829</t>
  </si>
  <si>
    <t>A-2838</t>
  </si>
  <si>
    <t>XXX</t>
  </si>
  <si>
    <t>PE9046 ALMA/INSTITU</t>
  </si>
  <si>
    <t>01/12/2022</t>
  </si>
  <si>
    <t>PM-6303</t>
  </si>
  <si>
    <t>SP7688</t>
  </si>
  <si>
    <t>S-22588 CE</t>
  </si>
  <si>
    <t>S-22270 ADMON</t>
  </si>
  <si>
    <t>S-22620 CE</t>
  </si>
  <si>
    <t>S-22312 ADMON</t>
  </si>
  <si>
    <t>3820 INTE</t>
  </si>
  <si>
    <t>3821 INTE</t>
  </si>
  <si>
    <t>3696 INTE</t>
  </si>
  <si>
    <t>FV17010 ADMON</t>
  </si>
  <si>
    <t>FE324</t>
  </si>
  <si>
    <t>FETU5495</t>
  </si>
  <si>
    <t>AD12606</t>
  </si>
  <si>
    <t>fv16694 ARRI</t>
  </si>
  <si>
    <t>BM682 ARRI</t>
  </si>
  <si>
    <t>191639 ARRI</t>
  </si>
  <si>
    <t>192754 INTE</t>
  </si>
  <si>
    <t>12481 NC</t>
  </si>
  <si>
    <t>2079 INSTITU</t>
  </si>
  <si>
    <t>NC127696</t>
  </si>
  <si>
    <t>ANTICIPO 559-560</t>
  </si>
  <si>
    <t>03MS6817 ALMA</t>
  </si>
  <si>
    <t>29838 ALMA</t>
  </si>
  <si>
    <t>PE9073</t>
  </si>
  <si>
    <t>FB1702</t>
  </si>
  <si>
    <t>A-2851</t>
  </si>
  <si>
    <t>A-2824</t>
  </si>
  <si>
    <t>A-2845</t>
  </si>
  <si>
    <t>A-2850</t>
  </si>
  <si>
    <t>A-2852</t>
  </si>
  <si>
    <t>A-2828</t>
  </si>
  <si>
    <t>Abajo PULSOS</t>
  </si>
  <si>
    <t>A-2831</t>
  </si>
  <si>
    <t>ME533976</t>
  </si>
  <si>
    <t>ME534154</t>
  </si>
  <si>
    <t>PE9135</t>
  </si>
  <si>
    <t>FE5413</t>
  </si>
  <si>
    <t>13E275207</t>
  </si>
  <si>
    <t>NC100013385</t>
  </si>
  <si>
    <t xml:space="preserve">Abajo CARLOS MUÑOZ </t>
  </si>
  <si>
    <t>AJUSTE MAR15-23</t>
  </si>
  <si>
    <t>S-22984 OFI</t>
  </si>
  <si>
    <t>S-22942 LOC</t>
  </si>
  <si>
    <t>BM804</t>
  </si>
  <si>
    <t>FESJ193117</t>
  </si>
  <si>
    <t>FV17608 ARRI</t>
  </si>
  <si>
    <t>FV17862 ADMON</t>
  </si>
  <si>
    <t>INT04102 INTE</t>
  </si>
  <si>
    <t>INT04103 INTE</t>
  </si>
  <si>
    <t>INT04104 INTE</t>
  </si>
  <si>
    <t>SALDO PENDIE</t>
  </si>
  <si>
    <t>FE567</t>
  </si>
  <si>
    <t>FE 568</t>
  </si>
  <si>
    <t>ANTICIPO FE567-FE568</t>
  </si>
  <si>
    <t>dólar mar4700 promedio</t>
  </si>
  <si>
    <t>marzo</t>
  </si>
  <si>
    <t>INTERES INCLUYE PREDIAL</t>
  </si>
  <si>
    <t>jorge entrego 375 mil</t>
  </si>
  <si>
    <t>AD12815</t>
  </si>
  <si>
    <t>ANTICIPO FE564-565</t>
  </si>
  <si>
    <t>FE564</t>
  </si>
  <si>
    <t>FE565</t>
  </si>
  <si>
    <t>SP 7976</t>
  </si>
  <si>
    <t>FE 332</t>
  </si>
  <si>
    <t>AD 71570</t>
  </si>
  <si>
    <t xml:space="preserve">AD71187 </t>
  </si>
  <si>
    <t>TP9040 ALMA</t>
  </si>
  <si>
    <t>8217 ALMA</t>
  </si>
  <si>
    <t>TP8915 ALMA</t>
  </si>
  <si>
    <t>E 11393 instu</t>
  </si>
  <si>
    <t>FE-9627 ALMA</t>
  </si>
  <si>
    <t>FE28221 ALMA</t>
  </si>
  <si>
    <t>TP9056 ALMA</t>
  </si>
  <si>
    <r>
      <rPr>
        <b/>
        <sz val="12"/>
        <color rgb="FFFF0000"/>
        <rFont val="Calibri"/>
        <family val="2"/>
        <scheme val="minor"/>
      </rPr>
      <t>SF</t>
    </r>
    <r>
      <rPr>
        <b/>
        <sz val="12"/>
        <rFont val="Calibri"/>
        <family val="2"/>
        <scheme val="minor"/>
      </rPr>
      <t xml:space="preserve"> 13E274604 INST</t>
    </r>
  </si>
  <si>
    <t>13E274604 INST</t>
  </si>
  <si>
    <t>17155 ALMA</t>
  </si>
  <si>
    <t>13E275026 INST</t>
  </si>
  <si>
    <t>FEV65761 INSTI</t>
  </si>
  <si>
    <t>FEV65865 INSTI</t>
  </si>
  <si>
    <t>17401 ALMA</t>
  </si>
  <si>
    <t>FEF5166 ALMA</t>
  </si>
  <si>
    <t>17400 ALMA</t>
  </si>
  <si>
    <t>RUSBEL GIRALDO SERNA</t>
  </si>
  <si>
    <t>qyqomaira0321@hotmail.com;girlesa.ruiz@servipilas.com;joriescobar64@gmail.com</t>
  </si>
  <si>
    <t>E-505 ALMA</t>
  </si>
  <si>
    <t>ME534661 INSTITU</t>
  </si>
  <si>
    <t>03MS6956 ALMA</t>
  </si>
  <si>
    <t>03MS6878 ALMA</t>
  </si>
  <si>
    <t>412 A-2864</t>
  </si>
  <si>
    <t>10538 A-2865</t>
  </si>
  <si>
    <t>373 A-2878</t>
  </si>
  <si>
    <t>A-2867</t>
  </si>
  <si>
    <t>A-2854</t>
  </si>
  <si>
    <t>A-2866</t>
  </si>
  <si>
    <t>A-2871</t>
  </si>
  <si>
    <t>A-2868 multirelojes</t>
  </si>
  <si>
    <t>PM-6655</t>
  </si>
  <si>
    <t>15454 ADMON</t>
  </si>
  <si>
    <t>Abajo RUSBEL GIRALDO SERNA</t>
  </si>
  <si>
    <t>A-2885</t>
  </si>
  <si>
    <t>A-2870</t>
  </si>
  <si>
    <t>Abajo TECNOPILAS</t>
  </si>
  <si>
    <t>A-2883</t>
  </si>
  <si>
    <t>A-2884</t>
  </si>
  <si>
    <t>A-2881</t>
  </si>
  <si>
    <t>FE1061 ALMA</t>
  </si>
  <si>
    <t>TP9178 ALMA</t>
  </si>
  <si>
    <t>FE2657 ALMA</t>
  </si>
  <si>
    <t>TP9177 ALMA</t>
  </si>
  <si>
    <t>TP9126 ALMA</t>
  </si>
  <si>
    <t>13E277298 INSTITU</t>
  </si>
  <si>
    <t>1068856 INSTITU</t>
  </si>
  <si>
    <t>43209 INSTITU</t>
  </si>
  <si>
    <t>2035898 ALMA</t>
  </si>
  <si>
    <t>30170 ALMA</t>
  </si>
  <si>
    <t>30060 INSTITU</t>
  </si>
  <si>
    <t>30091 ALMA</t>
  </si>
  <si>
    <t>30106 INSTU</t>
  </si>
  <si>
    <t>82408 ALMA</t>
  </si>
  <si>
    <t>ME534716 ALMA</t>
  </si>
  <si>
    <t>ME535465 ALMA/INSTITU</t>
  </si>
  <si>
    <t>5662 ALMA</t>
  </si>
  <si>
    <t>GBYJ22 ALMA</t>
  </si>
  <si>
    <t>1069205 INSTITU</t>
  </si>
  <si>
    <t>1069198 INSTITU</t>
  </si>
  <si>
    <t>30201 ALMA</t>
  </si>
  <si>
    <t>13E277646</t>
  </si>
  <si>
    <t>FEF5196 ALMA</t>
  </si>
  <si>
    <t>1069199 INSTITU</t>
  </si>
  <si>
    <t>03MS7062 ALMA</t>
  </si>
  <si>
    <t>67050 INSTITU</t>
  </si>
  <si>
    <t>FEIN56 ALMA</t>
  </si>
  <si>
    <t>KINNESIS SOLUTIONS</t>
  </si>
  <si>
    <t>FEK1614 ALMA</t>
  </si>
  <si>
    <t xml:space="preserve">13E275206 </t>
  </si>
  <si>
    <t>dólar Abril 4700 promedio</t>
  </si>
  <si>
    <t>FV18718 ADMON</t>
  </si>
  <si>
    <t>FV18465 ARRI</t>
  </si>
  <si>
    <t>BM 924 ARRI</t>
  </si>
  <si>
    <t xml:space="preserve">AD71954 </t>
  </si>
  <si>
    <t>S-23327 LOC</t>
  </si>
  <si>
    <t>S-23369 OFI</t>
  </si>
  <si>
    <t>AD13022</t>
  </si>
  <si>
    <t>SP 8244</t>
  </si>
  <si>
    <t>FESJ194447</t>
  </si>
  <si>
    <t>FESJ194705</t>
  </si>
  <si>
    <t>FE343</t>
  </si>
  <si>
    <t>ANTICIPO595-596</t>
  </si>
  <si>
    <t>FE595</t>
  </si>
  <si>
    <t>FE596</t>
  </si>
  <si>
    <t>03MS7149 ALMA</t>
  </si>
  <si>
    <t>2. eliminar filas con fecha de facturación posteriores al cierre de mes estudiada</t>
  </si>
  <si>
    <t>A-2898</t>
  </si>
  <si>
    <t>A-2916</t>
  </si>
  <si>
    <t>A-2912</t>
  </si>
  <si>
    <t>A-2913</t>
  </si>
  <si>
    <t>FEID36697</t>
  </si>
  <si>
    <t>FE29304 ALMA</t>
  </si>
  <si>
    <t>1069729 INSTITU</t>
  </si>
  <si>
    <t>1069983  INSTITU</t>
  </si>
  <si>
    <t>1069984 INSTITU</t>
  </si>
  <si>
    <t>44048 INSTITU</t>
  </si>
  <si>
    <t>ANTICIPO597-598</t>
  </si>
  <si>
    <t>FE597</t>
  </si>
  <si>
    <t>FE598</t>
  </si>
  <si>
    <t>FE597-FE598 SF</t>
  </si>
  <si>
    <t>CED1787 ALMA</t>
  </si>
  <si>
    <t>FE49 ALMA</t>
  </si>
  <si>
    <t>FETU5774 ALMA</t>
  </si>
  <si>
    <t>8013 ALMA</t>
  </si>
  <si>
    <t>FE10010 ALMA</t>
  </si>
  <si>
    <t>NC10010 ALMA</t>
  </si>
  <si>
    <t>SE879 ALMA</t>
  </si>
  <si>
    <t>GBYJ31 ALMA</t>
  </si>
  <si>
    <t>NC4706</t>
  </si>
  <si>
    <t>FEID37014 INSTITU</t>
  </si>
  <si>
    <t>PM-6984</t>
  </si>
  <si>
    <t>DEVOLUCION</t>
  </si>
  <si>
    <t>A-2927</t>
  </si>
  <si>
    <t>A-2934</t>
  </si>
  <si>
    <t>A-2919</t>
  </si>
  <si>
    <t>A-2935</t>
  </si>
  <si>
    <t>A-2928</t>
  </si>
  <si>
    <t>45887 ALMA</t>
  </si>
  <si>
    <t>ABAJO LAURA CORREA</t>
  </si>
  <si>
    <t xml:space="preserve">13E280479 </t>
  </si>
  <si>
    <t>13E280480</t>
  </si>
  <si>
    <t>30500 INSTITU</t>
  </si>
  <si>
    <t>ID-607 ALMA</t>
  </si>
  <si>
    <t>A-2950</t>
  </si>
  <si>
    <t>A-2938</t>
  </si>
  <si>
    <t>MP3404</t>
  </si>
  <si>
    <t>FESJ196109</t>
  </si>
  <si>
    <t>MDEC12582</t>
  </si>
  <si>
    <t>FV19572</t>
  </si>
  <si>
    <t>FV19314</t>
  </si>
  <si>
    <t>BM1055</t>
  </si>
  <si>
    <t>JORGE ENTREGO 675 MIL</t>
  </si>
  <si>
    <t>1069370 INSTITU</t>
  </si>
  <si>
    <t>871 ALMA</t>
  </si>
  <si>
    <t>TECH3150 ALMA</t>
  </si>
  <si>
    <t>041939 INSTITU</t>
  </si>
  <si>
    <t>ME538212 INSTITU</t>
  </si>
  <si>
    <t>FENL44685 INSTITU</t>
  </si>
  <si>
    <t>TP9364 ALMA</t>
  </si>
  <si>
    <t>ad13240</t>
  </si>
  <si>
    <t>SP8511</t>
  </si>
  <si>
    <t>AD72338</t>
  </si>
  <si>
    <t>FE352</t>
  </si>
  <si>
    <t>ABAJO SANTA MENSAJERIA</t>
  </si>
  <si>
    <t>FE 627</t>
  </si>
  <si>
    <t>ANTICIPO FE627-628</t>
  </si>
  <si>
    <t>FE 628</t>
  </si>
  <si>
    <t>PM-7280</t>
  </si>
  <si>
    <t>FE10046</t>
  </si>
  <si>
    <t>SALDO PENDIENTE</t>
  </si>
  <si>
    <t>S-23788 LOC</t>
  </si>
  <si>
    <t>S-23746 OFI</t>
  </si>
  <si>
    <t>ANTICIPO FE629-630</t>
  </si>
  <si>
    <t>FE 629</t>
  </si>
  <si>
    <t>FE 630</t>
  </si>
  <si>
    <t>83352 ALMA</t>
  </si>
  <si>
    <t>SE899 ALMA</t>
  </si>
  <si>
    <t>276716 ALMA</t>
  </si>
  <si>
    <t>30688 ALMA</t>
  </si>
  <si>
    <t>30743 ALMA</t>
  </si>
  <si>
    <t>30740 INSTITU</t>
  </si>
  <si>
    <t>44915 INSTITU</t>
  </si>
  <si>
    <t>1071505 INSTITU</t>
  </si>
  <si>
    <t>5041942 INSTITU</t>
  </si>
  <si>
    <t>FEOG53 ALMA</t>
  </si>
  <si>
    <t>TP9379 ALMA</t>
  </si>
  <si>
    <t>TP9380 ALMA</t>
  </si>
  <si>
    <t>A-29786</t>
  </si>
  <si>
    <t>A-2957</t>
  </si>
  <si>
    <t>ABAJO CRISTAL SUIZO</t>
  </si>
  <si>
    <t>A-2965</t>
  </si>
  <si>
    <t>A-2987</t>
  </si>
  <si>
    <t>ABAJO ZUMA</t>
  </si>
  <si>
    <t>A-2968</t>
  </si>
  <si>
    <t>A-2975</t>
  </si>
  <si>
    <t>A-2669</t>
  </si>
  <si>
    <t>A-2974</t>
  </si>
  <si>
    <t>A-2966</t>
  </si>
  <si>
    <t>A-2980</t>
  </si>
  <si>
    <t>TP9493 ALMA</t>
  </si>
  <si>
    <t>13E284391 INSTITU</t>
  </si>
  <si>
    <t>FEI100098909 ALMA</t>
  </si>
  <si>
    <t>10722011 INSTITU</t>
  </si>
  <si>
    <t>45150 INSTITU</t>
  </si>
  <si>
    <t>45157 INSTITU</t>
  </si>
  <si>
    <t>45480 INSTITU</t>
  </si>
  <si>
    <t>45456 INSTITU</t>
  </si>
  <si>
    <t>12612 ALMA</t>
  </si>
  <si>
    <t>30817 ALMA</t>
  </si>
  <si>
    <t>70448 INSTITU</t>
  </si>
  <si>
    <t>83496 ALMA</t>
  </si>
  <si>
    <t>539022 ALMA</t>
  </si>
  <si>
    <t>03MS7528 ALMA</t>
  </si>
  <si>
    <t>03MS7455 ALMA</t>
  </si>
  <si>
    <t>1070529 INSTITU</t>
  </si>
  <si>
    <t>SP8778</t>
  </si>
  <si>
    <t>AJUSTE DE CREDITO</t>
  </si>
  <si>
    <t>DÓLAR 4350</t>
  </si>
  <si>
    <t>DANIEL ALIEXPRESS</t>
  </si>
  <si>
    <t>BM1184</t>
  </si>
  <si>
    <t>AD13449</t>
  </si>
  <si>
    <t>S07325 INSTITU</t>
  </si>
  <si>
    <t>AD72721</t>
  </si>
  <si>
    <t>FE620B</t>
  </si>
  <si>
    <t>A-3005</t>
  </si>
  <si>
    <t>A-3003</t>
  </si>
  <si>
    <t xml:space="preserve">ABAJO ANDRES GARZON </t>
  </si>
  <si>
    <t>A-3004</t>
  </si>
  <si>
    <t>ANTICIPO FE652-653</t>
  </si>
  <si>
    <t>FE467 Registro importacion</t>
  </si>
  <si>
    <t>JORGE ENTREGO 720 MIL</t>
  </si>
  <si>
    <t>S-24178 OFI</t>
  </si>
  <si>
    <t>S-24137 LOC</t>
  </si>
  <si>
    <t>PM-7628</t>
  </si>
  <si>
    <t>TP9596 ALMA</t>
  </si>
  <si>
    <t>13E284411 INSTITU</t>
  </si>
  <si>
    <t>13E284408 INSTITU</t>
  </si>
  <si>
    <t>FE5797 ALMA</t>
  </si>
  <si>
    <t>1073107 INSTITU</t>
  </si>
  <si>
    <t>PE9683 ALMA</t>
  </si>
  <si>
    <t>46281 INSTITU</t>
  </si>
  <si>
    <t>FV-2068876 DUVAN</t>
  </si>
  <si>
    <t>FV-2068131 ALMA</t>
  </si>
  <si>
    <t>FV-2068109 ALMA</t>
  </si>
  <si>
    <t>31150 ALMA</t>
  </si>
  <si>
    <t>31088 INSTITU</t>
  </si>
  <si>
    <t>71081 INSTITU</t>
  </si>
  <si>
    <t>70826 INSTITU</t>
  </si>
  <si>
    <t>FE-10477 ALMA</t>
  </si>
  <si>
    <t>ME540248 ALMA</t>
  </si>
  <si>
    <t>NC40207 DEVOL</t>
  </si>
  <si>
    <t>539616 DEVOL</t>
  </si>
  <si>
    <t>FETU6148 ALMA</t>
  </si>
  <si>
    <t>GBYJ76 ALMA</t>
  </si>
  <si>
    <t>A-3027</t>
  </si>
  <si>
    <t>A-3030</t>
  </si>
  <si>
    <t>A-2995</t>
  </si>
  <si>
    <t>A-2994</t>
  </si>
  <si>
    <t>A-3002</t>
  </si>
  <si>
    <t>A-2993</t>
  </si>
  <si>
    <t>A-3007</t>
  </si>
  <si>
    <t>A-3010</t>
  </si>
  <si>
    <t>A-3020</t>
  </si>
  <si>
    <t>03MS7768 ALMA</t>
  </si>
  <si>
    <t>13E286009</t>
  </si>
  <si>
    <t>FE31138 ALMA</t>
  </si>
  <si>
    <t>TP9655 ALMA</t>
  </si>
  <si>
    <t>A-3039</t>
  </si>
  <si>
    <t>13E281035</t>
  </si>
  <si>
    <t>13E281034</t>
  </si>
  <si>
    <t>ME541369 INSTITU</t>
  </si>
  <si>
    <t>A-3032</t>
  </si>
  <si>
    <t>R824</t>
  </si>
  <si>
    <t>A-3045</t>
  </si>
  <si>
    <t>A-3050</t>
  </si>
  <si>
    <t>FEID40648 INSTITU</t>
  </si>
  <si>
    <t xml:space="preserve">IMPERIO DIGITAL - WILFER GOMEZ </t>
  </si>
  <si>
    <t>31237 ALMA</t>
  </si>
  <si>
    <t>ID-678 ALMA</t>
  </si>
  <si>
    <t>SG2069 ALMA</t>
  </si>
  <si>
    <t>FEV-71767 INSTITU</t>
  </si>
  <si>
    <t>13E286730</t>
  </si>
  <si>
    <t>13E286729</t>
  </si>
  <si>
    <t>31263 ALMA</t>
  </si>
  <si>
    <t>03MS7819 ALMA</t>
  </si>
  <si>
    <t>ME541924 ALMA/INST</t>
  </si>
  <si>
    <t>DOLar4350</t>
  </si>
  <si>
    <t>FV21098 ARRI</t>
  </si>
  <si>
    <t>FV21353 ADMON</t>
  </si>
  <si>
    <t>AM-1565 ADMON</t>
  </si>
  <si>
    <t>S-97816 ARRI</t>
  </si>
  <si>
    <t>A-3033</t>
  </si>
  <si>
    <t>A-3052</t>
  </si>
  <si>
    <t>A-3047</t>
  </si>
  <si>
    <t>A-3051</t>
  </si>
  <si>
    <t>SF FAC-284391</t>
  </si>
  <si>
    <t>A-3062</t>
  </si>
  <si>
    <t>1073930 INSTITU</t>
  </si>
  <si>
    <t>1861 ALMA</t>
  </si>
  <si>
    <t>72327 INSTITU</t>
  </si>
  <si>
    <t>72191 INSTITU</t>
  </si>
  <si>
    <t>4416 ALMA</t>
  </si>
  <si>
    <t>4 ALMA</t>
  </si>
  <si>
    <t>ND1306</t>
  </si>
  <si>
    <t>SURANI ALEJANDRA OSORIO FRANCO</t>
  </si>
  <si>
    <t>AD13656</t>
  </si>
  <si>
    <t>JORGE ENTREGO 370 MIL</t>
  </si>
  <si>
    <t>AD73103</t>
  </si>
  <si>
    <t>WORLD TRADE NEW VISION SAS</t>
  </si>
  <si>
    <t>PROFORMA</t>
  </si>
  <si>
    <t>FESJ98967</t>
  </si>
  <si>
    <t>FESJ197531</t>
  </si>
  <si>
    <t>BM1317</t>
  </si>
  <si>
    <t>PM-7902</t>
  </si>
  <si>
    <t>ANTICIPO</t>
  </si>
  <si>
    <t>S-24572 OFI</t>
  </si>
  <si>
    <t>S-24531 LOC</t>
  </si>
  <si>
    <t>FV-2079797 JAIME Y MARLON</t>
  </si>
  <si>
    <t>FV-2070318 ELIZA CEL</t>
  </si>
  <si>
    <t>SF lo devolvieron a la cta cte</t>
  </si>
  <si>
    <t>A-3078</t>
  </si>
  <si>
    <t>A-3071</t>
  </si>
  <si>
    <t>A-3070</t>
  </si>
  <si>
    <t xml:space="preserve">BATERIAS EL ROBLE </t>
  </si>
  <si>
    <t>BR5516 INSTITU</t>
  </si>
  <si>
    <t>FB2238 INSTITU</t>
  </si>
  <si>
    <t>TP9687 ALMA</t>
  </si>
  <si>
    <t>TP9821 ALMA</t>
  </si>
  <si>
    <t>FEID41525 INSTITU</t>
  </si>
  <si>
    <t>FE5972 ALMA</t>
  </si>
  <si>
    <t>5042020 INSTITU</t>
  </si>
  <si>
    <t>FVX18704 ALMA</t>
  </si>
  <si>
    <t>ID-694 ALMA</t>
  </si>
  <si>
    <t>1074188 INSTITU</t>
  </si>
  <si>
    <t>1074521 INSTITU</t>
  </si>
  <si>
    <t>FI294047 ALMA</t>
  </si>
  <si>
    <t>E-599 ALMA</t>
  </si>
  <si>
    <t>FE-11040 ALMA</t>
  </si>
  <si>
    <t>FE2161 INSTITU</t>
  </si>
  <si>
    <t>FE2159 ALMA</t>
  </si>
  <si>
    <t>ME542627 INSTITU</t>
  </si>
  <si>
    <t>ME542526 INSTITU</t>
  </si>
  <si>
    <t>03MS7991 ALMA</t>
  </si>
  <si>
    <t>03MS7954 ALMA</t>
  </si>
  <si>
    <t>EA-2490</t>
  </si>
  <si>
    <t>MUÑECOS - GRUPO ARISTIZABAL DUQUE</t>
  </si>
  <si>
    <t>GBYJ92 ALMA</t>
  </si>
  <si>
    <t>84643 ALMA</t>
  </si>
  <si>
    <t>FEI100106225</t>
  </si>
  <si>
    <t>FEI100106228</t>
  </si>
  <si>
    <t>FEV73382 INSTITU</t>
  </si>
  <si>
    <t>FV-2085477</t>
  </si>
  <si>
    <t>FEKM4476 ALMA</t>
  </si>
  <si>
    <t>PE9938 INSTITU</t>
  </si>
  <si>
    <t>1074997 INSTITU</t>
  </si>
  <si>
    <t>1074893 INSTITU</t>
  </si>
  <si>
    <t>FE32010 ALMA</t>
  </si>
  <si>
    <t>A-3088</t>
  </si>
  <si>
    <t>A-3100</t>
  </si>
  <si>
    <t>A-3096</t>
  </si>
  <si>
    <t>A-3094</t>
  </si>
  <si>
    <t>A-3092</t>
  </si>
  <si>
    <t>A-3097 2621</t>
  </si>
  <si>
    <t>A-3099 3074</t>
  </si>
  <si>
    <t>1073364 INSTITU</t>
  </si>
  <si>
    <t>FB2363 INSTITU</t>
  </si>
  <si>
    <t>SP9334</t>
  </si>
  <si>
    <t>SP9051</t>
  </si>
  <si>
    <t>AD13861</t>
  </si>
  <si>
    <t>AD73486</t>
  </si>
  <si>
    <t>interes de junio 2022 a junio de 2023</t>
  </si>
  <si>
    <t>FESJ00460</t>
  </si>
  <si>
    <t>ANTICIPO FE677</t>
  </si>
  <si>
    <t>ANTICIPO FE673</t>
  </si>
  <si>
    <t>ANTICIPO FE674</t>
  </si>
  <si>
    <t>FVE-216 INSTI</t>
  </si>
  <si>
    <t>4057 garantia</t>
  </si>
  <si>
    <t>PM-8282</t>
  </si>
  <si>
    <t>BM1446</t>
  </si>
  <si>
    <t>S-24930 LOC</t>
  </si>
  <si>
    <t>S-24971 OFI</t>
  </si>
  <si>
    <t>ABONO FEV73382 INSTITU</t>
  </si>
  <si>
    <t>MDIS5042067 INST</t>
  </si>
  <si>
    <t>MDIS5042035 INST</t>
  </si>
  <si>
    <t>74078 INSTITU</t>
  </si>
  <si>
    <t>298859 ALMA</t>
  </si>
  <si>
    <t>NC 50457</t>
  </si>
  <si>
    <t>SE-958 ALMA</t>
  </si>
  <si>
    <t>SE-970 ALMA</t>
  </si>
  <si>
    <t>NC BGNC43 ALMA</t>
  </si>
  <si>
    <t>ME544634 50/50</t>
  </si>
  <si>
    <t>FETU6398 ALMA</t>
  </si>
  <si>
    <t>FETU6489 ALMA</t>
  </si>
  <si>
    <t>03MS8205 ALMA</t>
  </si>
  <si>
    <t>1641 ALMA</t>
  </si>
  <si>
    <t>FEVT2758 ALMA</t>
  </si>
  <si>
    <t>ID-715 ALMA</t>
  </si>
  <si>
    <t>1075257 INSTITU</t>
  </si>
  <si>
    <t>1075975 INSTITU</t>
  </si>
  <si>
    <t>S07905 - RU3410</t>
  </si>
  <si>
    <t>JORGE ENTREGO 625 MIL</t>
  </si>
  <si>
    <t>75351 INSTITU</t>
  </si>
  <si>
    <t>75270 INSTITU</t>
  </si>
  <si>
    <t>75269 INSTITU</t>
  </si>
  <si>
    <t>75268 INSTITU</t>
  </si>
  <si>
    <t>FV-2085244 jorge andres</t>
  </si>
  <si>
    <t>ANTICIPO FE686</t>
  </si>
  <si>
    <t>FE686</t>
  </si>
  <si>
    <t>ANTICIPO FE685</t>
  </si>
  <si>
    <t>FE685</t>
  </si>
  <si>
    <t>FV22827 ARRI</t>
  </si>
  <si>
    <t>FV1969 ARRI</t>
  </si>
  <si>
    <t>FV22224 ADMON</t>
  </si>
  <si>
    <t>FV23078 ADMON</t>
  </si>
  <si>
    <t>INT05958 INTERES</t>
  </si>
  <si>
    <t>NC4842</t>
  </si>
  <si>
    <t>03MS8291 ALMA</t>
  </si>
  <si>
    <t>FI301712 ALMA</t>
  </si>
  <si>
    <t>31987 ALMA</t>
  </si>
  <si>
    <t>JOR268 ALMA</t>
  </si>
  <si>
    <t>IFE49923 INSTITU</t>
  </si>
  <si>
    <t>IFE49998 INSTITU</t>
  </si>
  <si>
    <t>1076559 INSTITU</t>
  </si>
  <si>
    <t>1076372 INSTITU</t>
  </si>
  <si>
    <t>TP10029 ALMA</t>
  </si>
  <si>
    <t>MDIS7040100 INSTITU</t>
  </si>
  <si>
    <t>FE3084 ALMA</t>
  </si>
  <si>
    <t>A-3111</t>
  </si>
  <si>
    <t>A-3115</t>
  </si>
  <si>
    <t>A-3106</t>
  </si>
  <si>
    <t>9794  A-3131</t>
  </si>
  <si>
    <t>A-3147</t>
  </si>
  <si>
    <t>A-3138</t>
  </si>
  <si>
    <t>A-3139</t>
  </si>
  <si>
    <t>A-3130</t>
  </si>
  <si>
    <t>6844 A-3146</t>
  </si>
  <si>
    <t>1732 A-3108</t>
  </si>
  <si>
    <t>3481 A-3136</t>
  </si>
  <si>
    <t>3313 A-3116</t>
  </si>
  <si>
    <t>A-3135</t>
  </si>
  <si>
    <t>A-3123</t>
  </si>
  <si>
    <t>A-3114</t>
  </si>
  <si>
    <t>A-3122</t>
  </si>
  <si>
    <t>A-3133</t>
  </si>
  <si>
    <t>ajuste de interes termino credito</t>
  </si>
  <si>
    <t>BM 1574</t>
  </si>
  <si>
    <t>AD73868</t>
  </si>
  <si>
    <t>AD14075</t>
  </si>
  <si>
    <t>SP9616</t>
  </si>
  <si>
    <t>ARL NUTRICION</t>
  </si>
  <si>
    <t>SANTIAGO ALARMAR</t>
  </si>
  <si>
    <t>PSICOLOGA</t>
  </si>
  <si>
    <t>ABAJO IVA</t>
  </si>
  <si>
    <t>HERIKA</t>
  </si>
  <si>
    <t>ILUX</t>
  </si>
  <si>
    <t>operaciones@ilux.com.co;girlesa.ruiz@servipilas.com;joriescobar64@gmail.com</t>
  </si>
  <si>
    <t>Estudio credito pn</t>
  </si>
  <si>
    <t>FESJ201881</t>
  </si>
  <si>
    <t xml:space="preserve">NO DESCUENTO </t>
  </si>
  <si>
    <t>aristiduque0428@gmail.com;girlesa.ruiz@servipilas.com;joriescobar64@gmail.com</t>
  </si>
  <si>
    <t>IVAN ALONSO ARISTIZABAL DUQUE</t>
  </si>
  <si>
    <t>EA-2969 ALMA</t>
  </si>
  <si>
    <t>PM-8554</t>
  </si>
  <si>
    <t>S-25362 OFI</t>
  </si>
  <si>
    <t>S-25321 LOC</t>
  </si>
  <si>
    <t>CTACOBRO1</t>
  </si>
  <si>
    <t>IVA ERIKA</t>
  </si>
  <si>
    <t>IVA JORGE A</t>
  </si>
  <si>
    <t>RICARDO SANCHEZ</t>
  </si>
  <si>
    <t>04789 ALMA</t>
  </si>
  <si>
    <t>FETS-1932 pulso ML</t>
  </si>
  <si>
    <t>IVA DUVAN</t>
  </si>
  <si>
    <t>IVA GIRLESA</t>
  </si>
  <si>
    <t>GLORIA DECLRACION</t>
  </si>
  <si>
    <t>A-3167</t>
  </si>
  <si>
    <t>A-3163</t>
  </si>
  <si>
    <t>FV-2092074 ALMA</t>
  </si>
  <si>
    <t>A-3168</t>
  </si>
  <si>
    <t xml:space="preserve">A-3159 </t>
  </si>
  <si>
    <t>ABAJO EFREN</t>
  </si>
  <si>
    <t>9629 A-3156</t>
  </si>
  <si>
    <t>FERNANDO CARMONA</t>
  </si>
  <si>
    <t>A-3160</t>
  </si>
  <si>
    <t>A-3173</t>
  </si>
  <si>
    <t>295 A-3169</t>
  </si>
  <si>
    <t>1930 A-3162</t>
  </si>
  <si>
    <t>F1818 A-3166</t>
  </si>
  <si>
    <t>A-3170</t>
  </si>
  <si>
    <t>TP10091 ALMA</t>
  </si>
  <si>
    <t>200E2296 INSTITU</t>
  </si>
  <si>
    <t>200E2780 INSTITU</t>
  </si>
  <si>
    <t>200E3179INSTITU</t>
  </si>
  <si>
    <t>CED1968 ALMA</t>
  </si>
  <si>
    <t>DISTRIBUIDORA GIRZABAL</t>
  </si>
  <si>
    <t>oag15@hotmail.com;girlesa.ruiz@servipilas.com;joriescobar64@gmail.com</t>
  </si>
  <si>
    <t>FEA509 ALMA</t>
  </si>
  <si>
    <t>FEOG189 ALMA</t>
  </si>
  <si>
    <t>FEOG190 ALMA</t>
  </si>
  <si>
    <t>1076873 INSTITU</t>
  </si>
  <si>
    <t>1077414 INSTITU</t>
  </si>
  <si>
    <t>ABAJO JAIME RENDON MUÑECOS</t>
  </si>
  <si>
    <t>PE 10235 ALMA</t>
  </si>
  <si>
    <t xml:space="preserve">PE 10237 ALMA </t>
  </si>
  <si>
    <t>PE 10304INSTITU</t>
  </si>
  <si>
    <t>13710 ALMA</t>
  </si>
  <si>
    <t>13576 ALMA</t>
  </si>
  <si>
    <t>76452 INSTITU</t>
  </si>
  <si>
    <t>305929 ALMA</t>
  </si>
  <si>
    <t>FE11461 ALMA</t>
  </si>
  <si>
    <t>ME546463 INSTITU</t>
  </si>
  <si>
    <t>ME547257 INSTITU</t>
  </si>
  <si>
    <t>FETU6656 ALMA</t>
  </si>
  <si>
    <t>03MS8479 ALMA</t>
  </si>
  <si>
    <t>1744 ALMA</t>
  </si>
  <si>
    <t>FV-2098733 ALMA</t>
  </si>
  <si>
    <t>qyqcolbatteries@gmail.com;girlesa.ruiz@servipilas.com;joriescobar64@gmail.com</t>
  </si>
  <si>
    <t>Q&amp;Q COLBATTERIES SAS</t>
  </si>
  <si>
    <t>FE2395</t>
  </si>
  <si>
    <t>FENL50243 INST</t>
  </si>
  <si>
    <t>FE6269 ALMA</t>
  </si>
  <si>
    <t>TERMINO CREDITO</t>
  </si>
  <si>
    <t>ANTICIPO FE701</t>
  </si>
  <si>
    <t>FE701</t>
  </si>
  <si>
    <t>SURGURO JORGE</t>
  </si>
  <si>
    <t>BM1709</t>
  </si>
  <si>
    <t>FV23946 ADMON</t>
  </si>
  <si>
    <t>FV23693 ARRI</t>
  </si>
  <si>
    <t>ANTICIPO FEOG198 ALM</t>
  </si>
  <si>
    <t>NC8012 FEOG198 ALMA</t>
  </si>
  <si>
    <t>FEOG216 ALMA</t>
  </si>
  <si>
    <t>SP9893</t>
  </si>
  <si>
    <t>AD74256</t>
  </si>
  <si>
    <t>AD14284</t>
  </si>
  <si>
    <t>ANTICIPO FEV502</t>
  </si>
  <si>
    <t>ANTICIPO FEV501</t>
  </si>
  <si>
    <t>FEV501 SD</t>
  </si>
  <si>
    <t>FEV502 OFIC</t>
  </si>
  <si>
    <t>S-25757 OFI</t>
  </si>
  <si>
    <t>S-25716 LOC</t>
  </si>
  <si>
    <t>A-3187</t>
  </si>
  <si>
    <t>A-3183</t>
  </si>
  <si>
    <t>7100 A-3199</t>
  </si>
  <si>
    <t>A-3188</t>
  </si>
  <si>
    <t>A-3185</t>
  </si>
  <si>
    <t>A-3195</t>
  </si>
  <si>
    <t>A-3196</t>
  </si>
  <si>
    <t>A-3182</t>
  </si>
  <si>
    <t>AMAZING TECH GROUP</t>
  </si>
  <si>
    <t>g_tech_group@outlook.es</t>
  </si>
  <si>
    <t>COMERCIALIZADRA JLS</t>
  </si>
  <si>
    <t>FENL50657 INST</t>
  </si>
  <si>
    <t>FEAT 21 ALMA</t>
  </si>
  <si>
    <t>ID-751 ALMA</t>
  </si>
  <si>
    <t>1078309 INSTITU</t>
  </si>
  <si>
    <t>1078178 INSTITU</t>
  </si>
  <si>
    <t>1078438 INSTI</t>
  </si>
  <si>
    <t>FE705</t>
  </si>
  <si>
    <t>ANTICIPO FE705</t>
  </si>
  <si>
    <t>2106699 ALMA</t>
  </si>
  <si>
    <t>2108154 SILVIA</t>
  </si>
  <si>
    <t>2110905 SILVIA</t>
  </si>
  <si>
    <t>03MS8603 ALMA</t>
  </si>
  <si>
    <t>PM-8907</t>
  </si>
  <si>
    <t>ELIZA NVERA</t>
  </si>
  <si>
    <t>sntiago alarmar</t>
  </si>
  <si>
    <t>FESJ203348</t>
  </si>
  <si>
    <t>A-3209</t>
  </si>
  <si>
    <t>330772 DULCES</t>
  </si>
  <si>
    <t>EA-3222 ALMA</t>
  </si>
  <si>
    <t>EA-3223 ALMA</t>
  </si>
  <si>
    <t>1831*</t>
  </si>
  <si>
    <t>1832*</t>
  </si>
  <si>
    <t>IVA BEATRIZ</t>
  </si>
  <si>
    <t>IVA NIA</t>
  </si>
  <si>
    <t>GBYJ156 ALMA</t>
  </si>
  <si>
    <t>03MS8706 ALMA</t>
  </si>
  <si>
    <t>FETU6933 ALMA</t>
  </si>
  <si>
    <t>ME548935 INSTITU</t>
  </si>
  <si>
    <t>ME548885 ALMA</t>
  </si>
  <si>
    <t>FE11801 ALMA</t>
  </si>
  <si>
    <t>FE2430 ALMA</t>
  </si>
  <si>
    <t>FEV78262 INSTITU</t>
  </si>
  <si>
    <t>32468 INSTITU</t>
  </si>
  <si>
    <t>32479 ALMA</t>
  </si>
  <si>
    <t>NC13124 FACFE13576</t>
  </si>
  <si>
    <t>1079100 INSTITU</t>
  </si>
  <si>
    <t>1078699 INSTITU</t>
  </si>
  <si>
    <t>1079242 INSTITU</t>
  </si>
  <si>
    <t>SG2211 ALMA</t>
  </si>
  <si>
    <t>ID-765 ALMA</t>
  </si>
  <si>
    <t>FVX19679 ALMA</t>
  </si>
  <si>
    <t>FVX19676 ALMA</t>
  </si>
  <si>
    <t>FVX19699 ALMA</t>
  </si>
  <si>
    <t>MDIS5042180 INSTITU</t>
  </si>
  <si>
    <t>MDIS5042179 INSTITU</t>
  </si>
  <si>
    <t>FEOG198 ALMA 60</t>
  </si>
  <si>
    <t>FEOG244 ALMA 60</t>
  </si>
  <si>
    <t>FE332826 ALMA</t>
  </si>
  <si>
    <t>FEVT2796 ALMA</t>
  </si>
  <si>
    <t>TP10267 ALMA</t>
  </si>
  <si>
    <t>TP10290 ALMA</t>
  </si>
  <si>
    <t>FV-2115803 ALMA</t>
  </si>
  <si>
    <t>PE 10516 ALMA</t>
  </si>
  <si>
    <t>4557 A-3200</t>
  </si>
  <si>
    <t>F1913 A-3210</t>
  </si>
  <si>
    <t>7618 A-3206</t>
  </si>
  <si>
    <t>1979 A-3217</t>
  </si>
  <si>
    <t>A-3207</t>
  </si>
  <si>
    <t>4515 A-3211</t>
  </si>
  <si>
    <t>4530 A-3212</t>
  </si>
  <si>
    <t>695933 A-3198</t>
  </si>
  <si>
    <t>A-3201</t>
  </si>
  <si>
    <t>6297 A-3213</t>
  </si>
  <si>
    <t>A-3205</t>
  </si>
  <si>
    <t>4789 A-3202</t>
  </si>
  <si>
    <t>A-3181</t>
  </si>
  <si>
    <t>A-3186</t>
  </si>
  <si>
    <t>A-3197</t>
  </si>
  <si>
    <t>A-3204</t>
  </si>
  <si>
    <t>A-3208</t>
  </si>
  <si>
    <t>ANTICIPO FE714</t>
  </si>
  <si>
    <t>60425-60425</t>
  </si>
  <si>
    <t>ABONO CON CREDITO BCS3485</t>
  </si>
  <si>
    <t>ajuste TERMINO CREDITO</t>
  </si>
  <si>
    <t>CAJA SOCIAL 3485</t>
  </si>
  <si>
    <t>2118830 CEL JORGE</t>
  </si>
  <si>
    <t>HORAS EMPLADOS</t>
  </si>
  <si>
    <t>DEL 15 AL 30 NOV</t>
  </si>
  <si>
    <t>Pago 1 NOV de plan de celular familiar</t>
  </si>
  <si>
    <t>Pago 2 DIC  de plan de celular familiar</t>
  </si>
  <si>
    <t>1835*</t>
  </si>
  <si>
    <t>1836*</t>
  </si>
  <si>
    <t>1837*</t>
  </si>
  <si>
    <t>1841*</t>
  </si>
  <si>
    <t>IVA  silvia disantioquia</t>
  </si>
  <si>
    <t>IVA SILVIA mps</t>
  </si>
  <si>
    <t>1851*</t>
  </si>
  <si>
    <t>1850*</t>
  </si>
  <si>
    <t>1853*</t>
  </si>
  <si>
    <t>1854*</t>
  </si>
  <si>
    <t>Universidad Maricela</t>
  </si>
  <si>
    <t>BM1841</t>
  </si>
  <si>
    <t>FV24822 ADMON</t>
  </si>
  <si>
    <t>FV24567 ARRI</t>
  </si>
  <si>
    <t>FESJ204795</t>
  </si>
  <si>
    <t>AD14497</t>
  </si>
  <si>
    <t>SP10170</t>
  </si>
  <si>
    <t>S-26109 LOC</t>
  </si>
  <si>
    <t>S-26150 OFI</t>
  </si>
  <si>
    <t>PM-9143</t>
  </si>
  <si>
    <t>AD74638</t>
  </si>
  <si>
    <t xml:space="preserve">GASTOS VARIOS </t>
  </si>
  <si>
    <t>200E6514 INSTITU</t>
  </si>
  <si>
    <t>JS388 ALMA 90</t>
  </si>
  <si>
    <t>FE6841 INSTITU</t>
  </si>
  <si>
    <t>presicion en el tiempo</t>
  </si>
  <si>
    <t>A-3242</t>
  </si>
  <si>
    <t>A-3245</t>
  </si>
  <si>
    <t>FVX20281 ALMA</t>
  </si>
  <si>
    <t>FVX20309 ALMA</t>
  </si>
  <si>
    <t>FE35002 ALMA</t>
  </si>
  <si>
    <t>1079864 INSTITU</t>
  </si>
  <si>
    <t>32766 ALMA</t>
  </si>
  <si>
    <t>FV2123424 ALMA</t>
  </si>
  <si>
    <t>32866 ALMA</t>
  </si>
  <si>
    <t>FI316523 ALMA/INSTI</t>
  </si>
  <si>
    <t>FI317786 ALMA/INSTI</t>
  </si>
  <si>
    <t>FE12039 ALMA</t>
  </si>
  <si>
    <t>FE2394 ALMA</t>
  </si>
  <si>
    <t>ME550345 INSTITU</t>
  </si>
  <si>
    <t>A-3246</t>
  </si>
  <si>
    <t>1863*</t>
  </si>
  <si>
    <t>EA-3468 ALMA</t>
  </si>
  <si>
    <t>DVAD-103</t>
  </si>
  <si>
    <t>venta reloj jaime</t>
  </si>
  <si>
    <t>del 01 al 5 de dic</t>
  </si>
  <si>
    <t>86760 ALMA</t>
  </si>
  <si>
    <t>85276 ALMA</t>
  </si>
  <si>
    <t>2144 ALMA</t>
  </si>
  <si>
    <t>I.C. ELECTRONICS SAS</t>
  </si>
  <si>
    <t>icelectronicsmedellin@hotmail.com</t>
  </si>
  <si>
    <t>00100000445 cta bancolombia ahorros</t>
  </si>
  <si>
    <t>fe3619 ALMA</t>
  </si>
  <si>
    <t>DOGY2594 ALMA</t>
  </si>
  <si>
    <t>DOGY2589 ALMA</t>
  </si>
  <si>
    <t>FN86757 ALMA</t>
  </si>
  <si>
    <t>SE1041 ALMA</t>
  </si>
  <si>
    <t>E720 ALMA</t>
  </si>
  <si>
    <t>FV2126064 ALMA</t>
  </si>
  <si>
    <t>PE10732 ALMA</t>
  </si>
  <si>
    <t>1080343 INSTITU</t>
  </si>
  <si>
    <t>1079895 INSTITU</t>
  </si>
  <si>
    <t>FE35193 ALAMA</t>
  </si>
  <si>
    <t>FEOG283 ALMA</t>
  </si>
  <si>
    <t>FEOG278 ALMA</t>
  </si>
  <si>
    <t>FE6526 ALMA</t>
  </si>
  <si>
    <t>CEC2079 ALMA</t>
  </si>
  <si>
    <t xml:space="preserve">200E8659 </t>
  </si>
  <si>
    <t>TP10441 ALMA</t>
  </si>
  <si>
    <t>5042201 INSTITU</t>
  </si>
  <si>
    <t>4638 A-3247</t>
  </si>
  <si>
    <t>4639 A-3256</t>
  </si>
  <si>
    <t>A-3265</t>
  </si>
  <si>
    <t>A-3253</t>
  </si>
  <si>
    <t>A-3269</t>
  </si>
  <si>
    <t>71251 A-3267</t>
  </si>
  <si>
    <t xml:space="preserve">FN85236 </t>
  </si>
  <si>
    <t>03MS8945 ALMA</t>
  </si>
  <si>
    <t>03MS8944 ALMA</t>
  </si>
  <si>
    <t>FN86810 ALMA</t>
  </si>
  <si>
    <t>ABONO EN EFETIVO</t>
  </si>
  <si>
    <t>FE2511 ALMA</t>
  </si>
  <si>
    <t>ME 551997 ALMA</t>
  </si>
  <si>
    <t>A-3240</t>
  </si>
  <si>
    <t>A-3226</t>
  </si>
  <si>
    <t>551959 A-3230</t>
  </si>
  <si>
    <t>402 A-3271</t>
  </si>
  <si>
    <t>1786 A-3277</t>
  </si>
  <si>
    <t>33205 ALMA</t>
  </si>
  <si>
    <t>TP10499 ALMA</t>
  </si>
  <si>
    <t>TP10546 ALMA</t>
  </si>
  <si>
    <t>TP10521 ALMA</t>
  </si>
  <si>
    <t>1080927 INSTITU</t>
  </si>
  <si>
    <t>TARJ PARQU</t>
  </si>
  <si>
    <t>del 16 al 27 de dic</t>
  </si>
  <si>
    <t>PULSOS ALBEIRO</t>
  </si>
  <si>
    <t>8239 A-3239</t>
  </si>
  <si>
    <t>10134 A-3228</t>
  </si>
  <si>
    <t>A-3229</t>
  </si>
  <si>
    <t>A-3286</t>
  </si>
  <si>
    <t>A-3285</t>
  </si>
  <si>
    <t>MARCO MAYORGA</t>
  </si>
  <si>
    <t>FVE124</t>
  </si>
  <si>
    <t>FE-12324 ALMA</t>
  </si>
  <si>
    <t>FEOG309 ALMA</t>
  </si>
  <si>
    <t>FEV79828 INSTITU</t>
  </si>
  <si>
    <t>EFECTIVO</t>
  </si>
  <si>
    <t>Pago 3 ENE  de plan de celular familiar</t>
  </si>
  <si>
    <t>ANTICIPO 315688</t>
  </si>
  <si>
    <t>BONO UNIVERSIDAD DAYANA</t>
  </si>
  <si>
    <t>AD-75021</t>
  </si>
  <si>
    <t>FESJ206511</t>
  </si>
  <si>
    <t>BM1978</t>
  </si>
  <si>
    <t>Total2</t>
  </si>
  <si>
    <t>SF 13E274604 INST</t>
  </si>
  <si>
    <t>01/01/2023</t>
  </si>
  <si>
    <t>01/02/2023</t>
  </si>
  <si>
    <t>01/03/2023</t>
  </si>
  <si>
    <t>01/04/2023</t>
  </si>
  <si>
    <t>01/05/2023</t>
  </si>
  <si>
    <t>01/06/2023</t>
  </si>
  <si>
    <t>01/07/2023</t>
  </si>
  <si>
    <t>01/08/2023</t>
  </si>
  <si>
    <t>01/09/2023</t>
  </si>
  <si>
    <t>01/10/2023</t>
  </si>
  <si>
    <t>01/11/2023</t>
  </si>
  <si>
    <t>01/12/2023</t>
  </si>
  <si>
    <t>01/01/2024</t>
  </si>
  <si>
    <t>G:\Mi unidad\INFO\FACTURAS POR PAGAR\POR PAGAR compras\PAGAR</t>
  </si>
  <si>
    <t>TC1068 AMEX</t>
  </si>
  <si>
    <t>TC8338 VISA</t>
  </si>
  <si>
    <t>TC2664 VISA TESORERA</t>
  </si>
  <si>
    <t>DAVIVIENDA ************5098</t>
  </si>
  <si>
    <t>FE2538</t>
  </si>
  <si>
    <t>LQ-14206309</t>
  </si>
  <si>
    <t>FV26076 ADMON</t>
  </si>
  <si>
    <t>FV25498 ARRI</t>
  </si>
  <si>
    <t>AD14701</t>
  </si>
  <si>
    <t>NC0000000145</t>
  </si>
  <si>
    <t>SP10437</t>
  </si>
  <si>
    <t>FV-2116367 ALMA</t>
  </si>
  <si>
    <t>S - 26505 LOC</t>
  </si>
  <si>
    <t>S - 26546 OFI</t>
  </si>
  <si>
    <t>PM-9485</t>
  </si>
  <si>
    <t>1081142 insti</t>
  </si>
  <si>
    <t>2099 a-3298</t>
  </si>
  <si>
    <t>FEKM5074 alama</t>
  </si>
  <si>
    <t>FE 2420 insti</t>
  </si>
  <si>
    <t>14338 alma</t>
  </si>
  <si>
    <t>4732 a-3311</t>
  </si>
  <si>
    <t>4750 a-3313</t>
  </si>
  <si>
    <t>4736 a-3312</t>
  </si>
  <si>
    <t>a-3309</t>
  </si>
  <si>
    <t>404 a-3299</t>
  </si>
  <si>
    <t>x</t>
  </si>
  <si>
    <t>de dic28 a ene15</t>
  </si>
  <si>
    <t>a-3300</t>
  </si>
  <si>
    <t>TECH4045 insti</t>
  </si>
  <si>
    <t>INSTI electronica victorinos a-3304</t>
  </si>
  <si>
    <t>A-3305 INSTI</t>
  </si>
  <si>
    <t>facturacion@lacentral.com.co;girlesa.ruiz@servipilas.com;joriescobar64@gmail.com</t>
  </si>
  <si>
    <t>Anticipo</t>
  </si>
  <si>
    <t>a-3302</t>
  </si>
  <si>
    <t>BANCOLOMBIA 9360</t>
  </si>
  <si>
    <t>FESJ206077 intreses noviembre</t>
  </si>
  <si>
    <t>SANTA JUANA (inversiones) X@</t>
  </si>
  <si>
    <t>ADMON X C INQ. LC PROPIO</t>
  </si>
  <si>
    <t>FE-12451 ALMA</t>
  </si>
  <si>
    <t>FEOG309 ANTICIPO</t>
  </si>
  <si>
    <t>REOG244 ANTICIPO</t>
  </si>
  <si>
    <t>FEOG283 ANTICIPO</t>
  </si>
  <si>
    <t>ABAJO PRECISON DEL TIEMPO</t>
  </si>
  <si>
    <t>A-3323 /2965</t>
  </si>
  <si>
    <t>A-3322</t>
  </si>
  <si>
    <t>A-3314</t>
  </si>
  <si>
    <t>1899 A-3314</t>
  </si>
  <si>
    <t>10842/ALMA/INST</t>
  </si>
  <si>
    <t>1081854 INSTITU</t>
  </si>
  <si>
    <t>CTOF CASIO</t>
  </si>
  <si>
    <t>10633 ALMA</t>
  </si>
  <si>
    <t>FE 714 - KENEX 60425-60426</t>
  </si>
  <si>
    <t>NC 180</t>
  </si>
  <si>
    <t>60425 ALMA pagada con recursos ropios</t>
  </si>
  <si>
    <t>60426 ALMA pagadas con credito 2555381492</t>
  </si>
  <si>
    <t>BANCOLOMBIA USD$ 2555381492</t>
  </si>
  <si>
    <t xml:space="preserve">KENEX 60426 20-11-2023 </t>
  </si>
  <si>
    <t>AJUSTE POR TASA DE CAMBIO</t>
  </si>
  <si>
    <t>jaime aliexpress</t>
  </si>
  <si>
    <t>CS - 6170 tarjeta moto</t>
  </si>
  <si>
    <t>yvelasquez@nanicastation.com.co;facturas@nanicastation.com.co;girlesa.ruiz@servipilas.com;joriescobar64@gmail.com</t>
  </si>
  <si>
    <t>tecnopartes@ctof.co;girlesa.ruiz@servipilas.com;joriescobar64@gmail.com</t>
  </si>
  <si>
    <t>1882 TNR-316883-316927</t>
  </si>
  <si>
    <t>NC4641</t>
  </si>
  <si>
    <t>SE-1065 alma</t>
  </si>
  <si>
    <t>FV-2138790 pc sandiego</t>
  </si>
  <si>
    <t>2134861 pc girleza empresa</t>
  </si>
  <si>
    <t>CED 2152 alma</t>
  </si>
  <si>
    <t>10154 a-3333</t>
  </si>
  <si>
    <t>COMERCIALIZADORA UBRA JOT</t>
  </si>
  <si>
    <t>FU 4956 ALMA</t>
  </si>
  <si>
    <t>FEV81988 inst</t>
  </si>
  <si>
    <t>a-3335</t>
  </si>
  <si>
    <t>1900 a-3335</t>
  </si>
  <si>
    <t>53576 inst</t>
  </si>
  <si>
    <t>10679 alma</t>
  </si>
  <si>
    <t>ME553313 alma</t>
  </si>
  <si>
    <t>ME553651 inst</t>
  </si>
  <si>
    <t>fe2574 alma</t>
  </si>
  <si>
    <t>FETU7399 alma</t>
  </si>
  <si>
    <t>a-3336</t>
  </si>
  <si>
    <t>FE 737 - TNR-316883-316927</t>
  </si>
  <si>
    <t>FE 739 - TNR-316883-316927</t>
  </si>
  <si>
    <t>memoriasoriginales@gmail.com;girlesa.ruiz@servipilas.com;joriescobar64@gmail.com</t>
  </si>
  <si>
    <t>olga.acevedo@logimexsas.com;girlesa.ruiz@servipilas.com;joriescobar64@gmail.com;facturacion@servipilas.com</t>
  </si>
  <si>
    <t>03MS9161 alma</t>
  </si>
  <si>
    <t>75-71</t>
  </si>
  <si>
    <t>78-79-80</t>
  </si>
  <si>
    <t>CAJA SOCIAL CESANTIAS</t>
  </si>
  <si>
    <t>efectivos + megared + caja menor</t>
  </si>
  <si>
    <t>GIRLESA</t>
  </si>
  <si>
    <t>R-1477 A-3338</t>
  </si>
  <si>
    <t>FEVT 2817 /ALMA</t>
  </si>
  <si>
    <t>10832338 INSTITU</t>
  </si>
  <si>
    <t>FENL53669 INSTITU</t>
  </si>
  <si>
    <t>FEVS 313</t>
  </si>
  <si>
    <t>FE 499</t>
  </si>
  <si>
    <t>405 ALMA</t>
  </si>
  <si>
    <t>FE7066 INSTITU</t>
  </si>
  <si>
    <t>del 15 al 31 de enero 24</t>
  </si>
  <si>
    <t>se consigno de mas</t>
  </si>
  <si>
    <t>S-26937 CONS</t>
  </si>
  <si>
    <t>S-26896 LOCAL</t>
  </si>
  <si>
    <t>FV26653</t>
  </si>
  <si>
    <t>FV26395</t>
  </si>
  <si>
    <t>BM2126</t>
  </si>
  <si>
    <t>comercializadorajls@hotmail.com; girlesa.ruiz@servipilas.com;joriescobar64@gmail.com</t>
  </si>
  <si>
    <t>FESJ208507</t>
  </si>
  <si>
    <t>SAN DIEGO</t>
  </si>
  <si>
    <t>INSTITU</t>
  </si>
  <si>
    <t>clopez@santajuana.com.co;girlesa.ruiz@servipilas.com;joriescobar64@gmail.com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</si>
</sst>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\ #,##0.00;[Red]\-&quot;$&quot;\ #,##0.00"/>
    <numFmt numFmtId="165" formatCode="&quot;$&quot;\ #,##0_);[Red]\(&quot;$&quot;\ #,##0\)"/>
    <numFmt numFmtId="166" formatCode="&quot;$&quot;#,##0;[Red]\-&quot;$&quot;#,##0"/>
    <numFmt numFmtId="167" formatCode="0.0%"/>
    <numFmt numFmtId="168" formatCode="dd\ &quot;de&quot;\ mmmm\ &quot;de&quot;\ yyyy"/>
    <numFmt numFmtId="169" formatCode="&quot;$&quot;#,##0.0;[Red]\-&quot;$&quot;#,##0.0"/>
    <numFmt numFmtId="170" formatCode="dd/mm/yyyy;@"/>
    <numFmt numFmtId="171" formatCode="&quot;$&quot;#,##0.00;[Red]\-&quot;$&quot;#,##0.00"/>
    <numFmt numFmtId="172" formatCode="dd/mm/yy"/>
  </numFmts>
  <fonts count="14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i/>
      <sz val="12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color rgb="FFFF0000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4D61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/>
    <xf numFmtId="0" fontId="18" fillId="0" borderId="0"/>
    <xf numFmtId="44" fontId="20" fillId="0" borderId="0" applyFont="0" applyFill="0" applyBorder="0" applyAlignment="0" applyProtection="0"/>
  </cellStyleXfs>
  <cellXfs count="326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6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5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6" fontId="12" fillId="4" borderId="0" xfId="0" applyNumberFormat="1" applyFont="1" applyFill="1" applyAlignment="1">
      <alignment vertical="center"/>
    </xf>
    <xf numFmtId="8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7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8" fontId="5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8" fontId="5" fillId="4" borderId="0" xfId="0" applyNumberFormat="1" applyFont="1" applyFill="1" applyAlignment="1">
      <alignment vertical="center"/>
    </xf>
    <xf numFmtId="8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67" fontId="1" fillId="4" borderId="0" xfId="0" applyNumberFormat="1" applyFont="1" applyFill="1" applyAlignment="1">
      <alignment vertical="center"/>
    </xf>
    <xf numFmtId="6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8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6" fontId="16" fillId="6" borderId="0" xfId="0" applyNumberFormat="1" applyFont="1" applyFill="1"/>
    <xf numFmtId="6" fontId="16" fillId="5" borderId="0" xfId="0" applyNumberFormat="1" applyFont="1" applyFill="1"/>
    <xf numFmtId="6" fontId="15" fillId="5" borderId="0" xfId="0" applyNumberFormat="1" applyFont="1" applyFill="1"/>
    <xf numFmtId="6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6" fontId="0" fillId="0" borderId="0" xfId="0" applyNumberFormat="1" applyAlignment="1">
      <alignment vertical="center"/>
    </xf>
    <xf numFmtId="8" fontId="12" fillId="0" borderId="0" xfId="0" applyNumberFormat="1" applyFont="1" applyAlignment="1">
      <alignment vertical="center"/>
    </xf>
    <xf numFmtId="8" fontId="11" fillId="0" borderId="2" xfId="0" applyNumberFormat="1" applyFont="1" applyBorder="1" applyAlignment="1">
      <alignment horizontal="center" vertical="center" wrapText="1"/>
    </xf>
    <xf numFmtId="0" fontId="3" fillId="7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8" fontId="12" fillId="0" borderId="0" xfId="0" applyNumberFormat="1" applyFont="1" applyAlignment="1">
      <alignment vertical="center" wrapText="1"/>
    </xf>
    <xf numFmtId="16" fontId="0" fillId="0" borderId="0" xfId="0" applyNumberFormat="1"/>
    <xf numFmtId="168" fontId="0" fillId="0" borderId="0" xfId="0" applyNumberFormat="1"/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8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0" borderId="0" xfId="0" applyNumberFormat="1" applyFont="1" applyAlignment="1">
      <alignment vertical="center"/>
    </xf>
    <xf numFmtId="169" fontId="7" fillId="0" borderId="0" xfId="0" applyNumberFormat="1" applyFont="1" applyAlignment="1">
      <alignment vertical="center"/>
    </xf>
    <xf numFmtId="8" fontId="1" fillId="4" borderId="0" xfId="0" applyNumberFormat="1" applyFont="1" applyFill="1" applyAlignment="1">
      <alignment vertical="center"/>
    </xf>
    <xf numFmtId="6" fontId="10" fillId="4" borderId="0" xfId="0" applyNumberFormat="1" applyFont="1" applyFill="1" applyAlignment="1">
      <alignment vertical="center"/>
    </xf>
    <xf numFmtId="6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67" fontId="0" fillId="0" borderId="0" xfId="0" applyNumberFormat="1"/>
    <xf numFmtId="167" fontId="0" fillId="9" borderId="0" xfId="0" applyNumberFormat="1" applyFill="1"/>
    <xf numFmtId="0" fontId="0" fillId="9" borderId="0" xfId="0" applyFill="1"/>
    <xf numFmtId="6" fontId="0" fillId="9" borderId="0" xfId="0" applyNumberFormat="1" applyFill="1"/>
    <xf numFmtId="1" fontId="19" fillId="9" borderId="0" xfId="0" applyNumberFormat="1" applyFont="1" applyFill="1"/>
    <xf numFmtId="167" fontId="19" fillId="9" borderId="0" xfId="0" applyNumberFormat="1" applyFont="1" applyFill="1"/>
    <xf numFmtId="1" fontId="19" fillId="0" borderId="0" xfId="0" applyNumberFormat="1" applyFont="1"/>
    <xf numFmtId="1" fontId="7" fillId="9" borderId="0" xfId="0" applyNumberFormat="1" applyFont="1" applyFill="1" applyAlignment="1">
      <alignment horizontal="right" vertical="center" wrapText="1"/>
    </xf>
    <xf numFmtId="1" fontId="7" fillId="9" borderId="0" xfId="0" applyNumberFormat="1" applyFont="1" applyFill="1" applyAlignment="1">
      <alignment horizontal="center" vertical="center" wrapText="1"/>
    </xf>
    <xf numFmtId="6" fontId="7" fillId="9" borderId="0" xfId="0" applyNumberFormat="1" applyFont="1" applyFill="1" applyAlignment="1">
      <alignment horizontal="center" vertical="center" wrapText="1"/>
    </xf>
    <xf numFmtId="167" fontId="7" fillId="9" borderId="0" xfId="0" applyNumberFormat="1" applyFont="1" applyFill="1" applyAlignment="1">
      <alignment horizontal="center" vertical="center" wrapText="1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6" fontId="1" fillId="9" borderId="0" xfId="0" applyNumberFormat="1" applyFont="1" applyFill="1" applyAlignment="1">
      <alignment vertical="center"/>
    </xf>
    <xf numFmtId="167" fontId="1" fillId="9" borderId="0" xfId="0" applyNumberFormat="1" applyFont="1" applyFill="1" applyAlignment="1">
      <alignment vertical="center"/>
    </xf>
    <xf numFmtId="14" fontId="21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22" fillId="9" borderId="0" xfId="0" applyNumberFormat="1" applyFont="1" applyFill="1" applyAlignment="1">
      <alignment horizontal="right" vertical="center"/>
    </xf>
    <xf numFmtId="1" fontId="22" fillId="9" borderId="0" xfId="0" applyNumberFormat="1" applyFont="1" applyFill="1" applyAlignment="1">
      <alignment vertical="center"/>
    </xf>
    <xf numFmtId="6" fontId="22" fillId="9" borderId="0" xfId="0" applyNumberFormat="1" applyFont="1" applyFill="1" applyAlignment="1">
      <alignment vertical="center"/>
    </xf>
    <xf numFmtId="167" fontId="22" fillId="9" borderId="0" xfId="0" applyNumberFormat="1" applyFont="1" applyFill="1" applyAlignment="1">
      <alignment vertical="center"/>
    </xf>
    <xf numFmtId="8" fontId="0" fillId="0" borderId="0" xfId="0" applyNumberFormat="1"/>
    <xf numFmtId="0" fontId="17" fillId="0" borderId="0" xfId="1" applyFill="1" applyAlignment="1">
      <alignment vertical="center"/>
    </xf>
    <xf numFmtId="0" fontId="3" fillId="10" borderId="0" xfId="0" applyFont="1" applyFill="1" applyAlignment="1">
      <alignment vertical="center"/>
    </xf>
    <xf numFmtId="8" fontId="3" fillId="10" borderId="0" xfId="0" applyNumberFormat="1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23" fillId="10" borderId="0" xfId="1" quotePrefix="1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0" fillId="11" borderId="0" xfId="0" applyFill="1"/>
    <xf numFmtId="8" fontId="0" fillId="11" borderId="0" xfId="0" applyNumberFormat="1" applyFill="1"/>
    <xf numFmtId="1" fontId="0" fillId="0" borderId="0" xfId="0" applyNumberFormat="1"/>
    <xf numFmtId="14" fontId="0" fillId="11" borderId="0" xfId="0" applyNumberFormat="1" applyFill="1"/>
    <xf numFmtId="8" fontId="0" fillId="0" borderId="0" xfId="0" applyNumberFormat="1" applyAlignment="1">
      <alignment horizontal="left" wrapText="1"/>
    </xf>
    <xf numFmtId="14" fontId="21" fillId="11" borderId="6" xfId="0" applyNumberFormat="1" applyFont="1" applyFill="1" applyBorder="1" applyAlignment="1">
      <alignment horizontal="center" wrapText="1"/>
    </xf>
    <xf numFmtId="1" fontId="0" fillId="11" borderId="0" xfId="0" applyNumberFormat="1" applyFill="1"/>
    <xf numFmtId="170" fontId="0" fillId="11" borderId="0" xfId="0" applyNumberFormat="1" applyFill="1"/>
    <xf numFmtId="170" fontId="0" fillId="0" borderId="0" xfId="0" applyNumberFormat="1"/>
    <xf numFmtId="0" fontId="0" fillId="0" borderId="10" xfId="0" applyBorder="1"/>
    <xf numFmtId="0" fontId="26" fillId="0" borderId="9" xfId="0" applyFont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27" fillId="0" borderId="0" xfId="1" applyFont="1" applyFill="1" applyAlignment="1">
      <alignment vertical="center"/>
    </xf>
    <xf numFmtId="171" fontId="7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8" fontId="21" fillId="0" borderId="7" xfId="0" applyNumberFormat="1" applyFont="1" applyBorder="1" applyAlignment="1">
      <alignment vertical="center" wrapText="1"/>
    </xf>
    <xf numFmtId="0" fontId="13" fillId="12" borderId="4" xfId="0" applyFont="1" applyFill="1" applyBorder="1" applyAlignment="1">
      <alignment vertical="center" wrapText="1"/>
    </xf>
    <xf numFmtId="6" fontId="15" fillId="12" borderId="0" xfId="0" applyNumberFormat="1" applyFont="1" applyFill="1"/>
    <xf numFmtId="165" fontId="12" fillId="8" borderId="0" xfId="0" applyNumberFormat="1" applyFont="1" applyFill="1" applyAlignment="1">
      <alignment vertical="center"/>
    </xf>
    <xf numFmtId="6" fontId="12" fillId="8" borderId="0" xfId="0" applyNumberFormat="1" applyFont="1" applyFill="1" applyAlignment="1">
      <alignment horizontal="center" vertical="center"/>
    </xf>
    <xf numFmtId="0" fontId="19" fillId="0" borderId="0" xfId="0" applyFont="1"/>
    <xf numFmtId="0" fontId="17" fillId="0" borderId="0" xfId="1"/>
    <xf numFmtId="166" fontId="7" fillId="8" borderId="0" xfId="0" applyNumberFormat="1" applyFont="1" applyFill="1" applyAlignment="1">
      <alignment vertical="center"/>
    </xf>
    <xf numFmtId="1" fontId="28" fillId="0" borderId="0" xfId="0" applyNumberFormat="1" applyFont="1" applyAlignment="1">
      <alignment horizontal="left" vertical="center"/>
    </xf>
    <xf numFmtId="14" fontId="12" fillId="14" borderId="0" xfId="0" applyNumberFormat="1" applyFont="1" applyFill="1" applyAlignment="1">
      <alignment vertical="center"/>
    </xf>
    <xf numFmtId="0" fontId="12" fillId="14" borderId="0" xfId="0" applyFont="1" applyFill="1" applyAlignment="1">
      <alignment horizontal="left" vertical="center"/>
    </xf>
    <xf numFmtId="165" fontId="12" fillId="14" borderId="0" xfId="0" applyNumberFormat="1" applyFont="1" applyFill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13" borderId="0" xfId="0" applyFont="1" applyFill="1" applyAlignment="1">
      <alignment horizontal="center" vertical="center" wrapText="1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166" fontId="7" fillId="4" borderId="0" xfId="0" applyNumberFormat="1" applyFont="1" applyFill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40" fillId="15" borderId="0" xfId="0" applyFont="1" applyFill="1" applyAlignment="1">
      <alignment vertical="center"/>
    </xf>
    <xf numFmtId="1" fontId="8" fillId="15" borderId="0" xfId="0" applyNumberFormat="1" applyFont="1" applyFill="1" applyAlignment="1">
      <alignment vertical="center"/>
    </xf>
    <xf numFmtId="1" fontId="5" fillId="15" borderId="0" xfId="0" applyNumberFormat="1" applyFont="1" applyFill="1" applyAlignment="1">
      <alignment horizontal="center" vertical="center"/>
    </xf>
    <xf numFmtId="8" fontId="5" fillId="15" borderId="0" xfId="0" applyNumberFormat="1" applyFont="1" applyFill="1" applyAlignment="1">
      <alignment vertical="center"/>
    </xf>
    <xf numFmtId="0" fontId="5" fillId="15" borderId="0" xfId="0" applyFont="1" applyFill="1" applyAlignment="1">
      <alignment vertical="center"/>
    </xf>
    <xf numFmtId="1" fontId="7" fillId="15" borderId="0" xfId="0" applyNumberFormat="1" applyFont="1" applyFill="1" applyAlignment="1">
      <alignment horizontal="left" vertical="center"/>
    </xf>
    <xf numFmtId="166" fontId="7" fillId="15" borderId="0" xfId="0" applyNumberFormat="1" applyFont="1" applyFill="1" applyAlignment="1">
      <alignment vertical="center"/>
    </xf>
    <xf numFmtId="166" fontId="1" fillId="15" borderId="0" xfId="0" applyNumberFormat="1" applyFont="1" applyFill="1" applyAlignment="1">
      <alignment vertical="center"/>
    </xf>
    <xf numFmtId="167" fontId="1" fillId="15" borderId="0" xfId="0" applyNumberFormat="1" applyFont="1" applyFill="1" applyAlignment="1">
      <alignment vertical="center"/>
    </xf>
    <xf numFmtId="10" fontId="1" fillId="15" borderId="0" xfId="0" applyNumberFormat="1" applyFont="1" applyFill="1" applyAlignment="1">
      <alignment vertical="center"/>
    </xf>
    <xf numFmtId="0" fontId="41" fillId="15" borderId="0" xfId="0" applyFont="1" applyFill="1" applyAlignment="1">
      <alignment vertical="center"/>
    </xf>
    <xf numFmtId="1" fontId="7" fillId="15" borderId="0" xfId="0" applyNumberFormat="1" applyFont="1" applyFill="1" applyAlignment="1">
      <alignment horizontal="center" vertical="center"/>
    </xf>
    <xf numFmtId="1" fontId="22" fillId="15" borderId="0" xfId="0" applyNumberFormat="1" applyFont="1" applyFill="1" applyAlignment="1">
      <alignment horizontal="right" vertical="center"/>
    </xf>
    <xf numFmtId="1" fontId="22" fillId="15" borderId="0" xfId="0" applyNumberFormat="1" applyFont="1" applyFill="1" applyAlignment="1">
      <alignment vertical="center"/>
    </xf>
    <xf numFmtId="6" fontId="22" fillId="15" borderId="0" xfId="0" applyNumberFormat="1" applyFont="1" applyFill="1" applyAlignment="1">
      <alignment vertical="center"/>
    </xf>
    <xf numFmtId="167" fontId="22" fillId="15" borderId="0" xfId="0" applyNumberFormat="1" applyFont="1" applyFill="1" applyAlignment="1">
      <alignment vertical="center"/>
    </xf>
    <xf numFmtId="0" fontId="3" fillId="15" borderId="0" xfId="0" applyFont="1" applyFill="1" applyAlignment="1">
      <alignment vertical="center"/>
    </xf>
    <xf numFmtId="1" fontId="1" fillId="15" borderId="0" xfId="0" applyNumberFormat="1" applyFont="1" applyFill="1" applyAlignment="1">
      <alignment horizontal="right" vertical="center"/>
    </xf>
    <xf numFmtId="1" fontId="1" fillId="15" borderId="0" xfId="0" applyNumberFormat="1" applyFont="1" applyFill="1" applyAlignment="1">
      <alignment vertical="center"/>
    </xf>
    <xf numFmtId="6" fontId="1" fillId="15" borderId="0" xfId="0" applyNumberFormat="1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9" fillId="0" borderId="0" xfId="0" applyFont="1" applyAlignment="1">
      <alignment vertical="center"/>
    </xf>
    <xf numFmtId="0" fontId="81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166" fontId="28" fillId="0" borderId="0" xfId="0" applyNumberFormat="1" applyFont="1" applyAlignment="1">
      <alignment vertical="center"/>
    </xf>
    <xf numFmtId="166" fontId="80" fillId="0" borderId="0" xfId="0" applyNumberFormat="1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0" fontId="86" fillId="0" borderId="0" xfId="0" applyFont="1" applyAlignment="1">
      <alignment vertic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2" fillId="0" borderId="0" xfId="0" applyFont="1" applyAlignment="1">
      <alignment vertical="center"/>
    </xf>
    <xf numFmtId="0" fontId="93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95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97" fillId="0" borderId="0" xfId="0" applyFont="1" applyAlignment="1">
      <alignment vertical="center"/>
    </xf>
    <xf numFmtId="0" fontId="98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0" fontId="100" fillId="0" borderId="0" xfId="0" applyFont="1" applyAlignment="1">
      <alignment vertical="center"/>
    </xf>
    <xf numFmtId="1" fontId="7" fillId="16" borderId="0" xfId="0" applyNumberFormat="1" applyFont="1" applyFill="1" applyAlignment="1">
      <alignment horizontal="left" vertical="center"/>
    </xf>
    <xf numFmtId="166" fontId="7" fillId="16" borderId="0" xfId="0" applyNumberFormat="1" applyFont="1" applyFill="1" applyAlignment="1">
      <alignment vertical="center"/>
    </xf>
    <xf numFmtId="166" fontId="1" fillId="16" borderId="0" xfId="0" applyNumberFormat="1" applyFont="1" applyFill="1" applyAlignment="1">
      <alignment vertical="center"/>
    </xf>
    <xf numFmtId="167" fontId="1" fillId="16" borderId="0" xfId="0" applyNumberFormat="1" applyFont="1" applyFill="1" applyAlignment="1">
      <alignment vertical="center"/>
    </xf>
    <xf numFmtId="10" fontId="1" fillId="16" borderId="0" xfId="0" applyNumberFormat="1" applyFont="1" applyFill="1" applyAlignment="1">
      <alignment vertical="center"/>
    </xf>
    <xf numFmtId="0" fontId="101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0" fontId="103" fillId="0" borderId="0" xfId="0" applyFont="1" applyAlignment="1">
      <alignment vertical="center"/>
    </xf>
    <xf numFmtId="0" fontId="104" fillId="0" borderId="0" xfId="0" applyFont="1" applyAlignment="1">
      <alignment vertical="center"/>
    </xf>
    <xf numFmtId="0" fontId="105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0" fontId="108" fillId="0" borderId="0" xfId="0" applyFont="1" applyAlignment="1">
      <alignment vertical="center"/>
    </xf>
    <xf numFmtId="0" fontId="109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8" fontId="21" fillId="8" borderId="8" xfId="0" applyNumberFormat="1" applyFont="1" applyFill="1" applyBorder="1" applyAlignment="1">
      <alignment vertical="center" wrapText="1"/>
    </xf>
    <xf numFmtId="0" fontId="112" fillId="0" borderId="0" xfId="0" applyFont="1" applyAlignment="1">
      <alignment vertical="center"/>
    </xf>
    <xf numFmtId="0" fontId="113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15" fillId="0" borderId="0" xfId="0" applyFont="1" applyAlignment="1">
      <alignment vertical="center"/>
    </xf>
    <xf numFmtId="0" fontId="116" fillId="0" borderId="0" xfId="0" applyFont="1" applyAlignment="1">
      <alignment vertical="center"/>
    </xf>
    <xf numFmtId="0" fontId="117" fillId="0" borderId="0" xfId="0" applyFont="1" applyAlignment="1">
      <alignment vertical="center"/>
    </xf>
    <xf numFmtId="0" fontId="118" fillId="0" borderId="0" xfId="0" applyFont="1" applyAlignment="1">
      <alignment vertical="center"/>
    </xf>
    <xf numFmtId="0" fontId="119" fillId="0" borderId="0" xfId="0" applyFont="1" applyAlignment="1">
      <alignment vertical="center"/>
    </xf>
    <xf numFmtId="0" fontId="120" fillId="0" borderId="0" xfId="0" applyFont="1" applyAlignment="1">
      <alignment vertical="center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3" fillId="0" borderId="0" xfId="0" applyFont="1" applyAlignment="1">
      <alignment vertical="center"/>
    </xf>
    <xf numFmtId="165" fontId="12" fillId="17" borderId="0" xfId="0" applyNumberFormat="1" applyFont="1" applyFill="1" applyAlignment="1">
      <alignment vertical="center"/>
    </xf>
    <xf numFmtId="0" fontId="124" fillId="0" borderId="0" xfId="0" applyFont="1" applyAlignment="1">
      <alignment vertical="center"/>
    </xf>
    <xf numFmtId="0" fontId="125" fillId="0" borderId="0" xfId="0" applyFont="1" applyAlignment="1">
      <alignment vertical="center"/>
    </xf>
    <xf numFmtId="0" fontId="126" fillId="0" borderId="0" xfId="0" applyFont="1" applyAlignment="1">
      <alignment vertical="center"/>
    </xf>
    <xf numFmtId="0" fontId="127" fillId="0" borderId="0" xfId="0" applyFont="1" applyAlignment="1">
      <alignment vertical="center"/>
    </xf>
    <xf numFmtId="1" fontId="3" fillId="0" borderId="0" xfId="0" applyNumberFormat="1" applyFont="1" applyAlignment="1">
      <alignment horizontal="left" vertical="center" wrapText="1"/>
    </xf>
    <xf numFmtId="0" fontId="128" fillId="0" borderId="0" xfId="0" applyFont="1" applyAlignment="1">
      <alignment vertical="center"/>
    </xf>
    <xf numFmtId="0" fontId="129" fillId="0" borderId="0" xfId="0" applyFont="1" applyAlignment="1">
      <alignment vertical="center"/>
    </xf>
    <xf numFmtId="0" fontId="130" fillId="0" borderId="0" xfId="0" applyFont="1" applyAlignment="1">
      <alignment vertical="center"/>
    </xf>
    <xf numFmtId="0" fontId="131" fillId="0" borderId="0" xfId="0" applyFont="1" applyAlignment="1">
      <alignment vertical="center"/>
    </xf>
    <xf numFmtId="0" fontId="0" fillId="18" borderId="0" xfId="0" applyFill="1"/>
    <xf numFmtId="1" fontId="7" fillId="18" borderId="0" xfId="0" applyNumberFormat="1" applyFont="1" applyFill="1" applyAlignment="1">
      <alignment horizontal="left" vertical="center"/>
    </xf>
    <xf numFmtId="166" fontId="7" fillId="18" borderId="0" xfId="0" applyNumberFormat="1" applyFont="1" applyFill="1" applyAlignment="1">
      <alignment vertical="center"/>
    </xf>
    <xf numFmtId="166" fontId="1" fillId="18" borderId="0" xfId="0" applyNumberFormat="1" applyFont="1" applyFill="1" applyAlignment="1">
      <alignment vertical="center"/>
    </xf>
    <xf numFmtId="167" fontId="1" fillId="18" borderId="0" xfId="0" applyNumberFormat="1" applyFont="1" applyFill="1" applyAlignment="1">
      <alignment vertical="center"/>
    </xf>
    <xf numFmtId="10" fontId="1" fillId="18" borderId="0" xfId="0" applyNumberFormat="1" applyFont="1" applyFill="1" applyAlignment="1">
      <alignment vertical="center"/>
    </xf>
    <xf numFmtId="0" fontId="52" fillId="19" borderId="11" xfId="0" applyFont="1" applyFill="1" applyBorder="1" applyAlignment="1">
      <alignment horizontal="center" vertical="center" wrapText="1"/>
    </xf>
    <xf numFmtId="1" fontId="7" fillId="19" borderId="11" xfId="0" applyNumberFormat="1" applyFont="1" applyFill="1" applyBorder="1" applyAlignment="1">
      <alignment horizontal="center" vertical="center" wrapText="1"/>
    </xf>
    <xf numFmtId="0" fontId="7" fillId="19" borderId="11" xfId="0" applyFont="1" applyFill="1" applyBorder="1" applyAlignment="1">
      <alignment horizontal="center" vertical="center" wrapText="1"/>
    </xf>
    <xf numFmtId="0" fontId="3" fillId="19" borderId="11" xfId="0" applyFont="1" applyFill="1" applyBorder="1" applyAlignment="1">
      <alignment horizontal="center" vertical="center" wrapText="1"/>
    </xf>
    <xf numFmtId="167" fontId="3" fillId="19" borderId="11" xfId="0" applyNumberFormat="1" applyFont="1" applyFill="1" applyBorder="1" applyAlignment="1">
      <alignment horizontal="center" vertical="center" wrapText="1"/>
    </xf>
    <xf numFmtId="0" fontId="7" fillId="19" borderId="12" xfId="0" applyFont="1" applyFill="1" applyBorder="1" applyAlignment="1">
      <alignment horizontal="center" vertical="center" wrapText="1"/>
    </xf>
    <xf numFmtId="0" fontId="19" fillId="19" borderId="0" xfId="0" applyFont="1" applyFill="1" applyAlignment="1">
      <alignment horizontal="center" vertical="center"/>
    </xf>
    <xf numFmtId="166" fontId="7" fillId="18" borderId="11" xfId="0" applyNumberFormat="1" applyFont="1" applyFill="1" applyBorder="1" applyAlignment="1">
      <alignment vertical="center"/>
    </xf>
    <xf numFmtId="170" fontId="6" fillId="8" borderId="0" xfId="0" applyNumberFormat="1" applyFont="1" applyFill="1" applyAlignment="1">
      <alignment vertical="center"/>
    </xf>
    <xf numFmtId="170" fontId="6" fillId="4" borderId="0" xfId="0" applyNumberFormat="1" applyFont="1" applyFill="1" applyAlignment="1">
      <alignment vertical="center"/>
    </xf>
    <xf numFmtId="170" fontId="6" fillId="15" borderId="0" xfId="0" applyNumberFormat="1" applyFont="1" applyFill="1" applyAlignment="1">
      <alignment vertical="center"/>
    </xf>
    <xf numFmtId="170" fontId="6" fillId="16" borderId="0" xfId="0" applyNumberFormat="1" applyFont="1" applyFill="1" applyAlignment="1">
      <alignment vertical="center"/>
    </xf>
    <xf numFmtId="170" fontId="6" fillId="4" borderId="0" xfId="0" applyNumberFormat="1" applyFont="1" applyFill="1" applyAlignment="1">
      <alignment vertical="center" wrapText="1"/>
    </xf>
    <xf numFmtId="170" fontId="6" fillId="2" borderId="0" xfId="0" applyNumberFormat="1" applyFont="1" applyFill="1" applyAlignment="1">
      <alignment horizontal="center" vertical="center" wrapText="1"/>
    </xf>
    <xf numFmtId="170" fontId="6" fillId="0" borderId="0" xfId="0" applyNumberFormat="1" applyFont="1" applyAlignment="1">
      <alignment vertical="center"/>
    </xf>
    <xf numFmtId="170" fontId="7" fillId="2" borderId="0" xfId="0" applyNumberFormat="1" applyFont="1" applyFill="1" applyAlignment="1">
      <alignment horizontal="center" vertical="center" wrapText="1"/>
    </xf>
    <xf numFmtId="170" fontId="0" fillId="0" borderId="5" xfId="0" applyNumberFormat="1" applyBorder="1" applyAlignment="1">
      <alignment vertical="center"/>
    </xf>
    <xf numFmtId="170" fontId="0" fillId="0" borderId="0" xfId="0" applyNumberFormat="1" applyAlignment="1">
      <alignment vertical="center"/>
    </xf>
    <xf numFmtId="170" fontId="12" fillId="0" borderId="0" xfId="0" applyNumberFormat="1" applyFont="1" applyAlignment="1">
      <alignment vertical="center"/>
    </xf>
    <xf numFmtId="166" fontId="3" fillId="0" borderId="0" xfId="0" applyNumberFormat="1" applyFont="1" applyAlignment="1">
      <alignment vertical="center"/>
    </xf>
    <xf numFmtId="170" fontId="6" fillId="19" borderId="11" xfId="0" applyNumberFormat="1" applyFont="1" applyFill="1" applyBorder="1" applyAlignment="1">
      <alignment horizontal="center" vertical="center"/>
    </xf>
    <xf numFmtId="170" fontId="6" fillId="19" borderId="11" xfId="0" applyNumberFormat="1" applyFont="1" applyFill="1" applyBorder="1" applyAlignment="1">
      <alignment horizontal="center" vertical="center" wrapText="1"/>
    </xf>
    <xf numFmtId="170" fontId="6" fillId="18" borderId="0" xfId="0" applyNumberFormat="1" applyFont="1" applyFill="1" applyAlignment="1">
      <alignment vertical="center"/>
    </xf>
    <xf numFmtId="0" fontId="12" fillId="8" borderId="0" xfId="0" applyFont="1" applyFill="1" applyAlignment="1">
      <alignment horizontal="left" vertical="center"/>
    </xf>
    <xf numFmtId="0" fontId="132" fillId="0" borderId="0" xfId="0" applyFont="1" applyAlignment="1">
      <alignment vertical="center"/>
    </xf>
    <xf numFmtId="0" fontId="133" fillId="0" borderId="0" xfId="0" applyFont="1" applyAlignment="1">
      <alignment vertical="center"/>
    </xf>
    <xf numFmtId="6" fontId="11" fillId="3" borderId="0" xfId="0" applyNumberFormat="1" applyFont="1" applyFill="1" applyAlignment="1">
      <alignment horizontal="center" vertical="center" wrapText="1"/>
    </xf>
    <xf numFmtId="165" fontId="11" fillId="0" borderId="0" xfId="0" applyNumberFormat="1" applyFont="1" applyAlignment="1">
      <alignment horizontal="center" vertical="center" wrapText="1"/>
    </xf>
    <xf numFmtId="165" fontId="12" fillId="0" borderId="0" xfId="0" applyNumberFormat="1" applyFont="1" applyAlignment="1">
      <alignment horizontal="center" vertical="center" wrapText="1"/>
    </xf>
    <xf numFmtId="8" fontId="11" fillId="0" borderId="0" xfId="0" applyNumberFormat="1" applyFont="1" applyAlignment="1">
      <alignment horizontal="center" vertical="center" wrapText="1"/>
    </xf>
    <xf numFmtId="0" fontId="134" fillId="0" borderId="0" xfId="0" applyFont="1" applyAlignment="1">
      <alignment vertical="center"/>
    </xf>
    <xf numFmtId="0" fontId="135" fillId="0" borderId="0" xfId="0" applyFont="1" applyAlignment="1">
      <alignment vertical="center"/>
    </xf>
    <xf numFmtId="0" fontId="5" fillId="18" borderId="0" xfId="0" applyFont="1" applyFill="1" applyAlignment="1">
      <alignment vertical="center"/>
    </xf>
    <xf numFmtId="14" fontId="7" fillId="18" borderId="0" xfId="0" applyNumberFormat="1" applyFont="1" applyFill="1" applyAlignment="1">
      <alignment horizontal="left" vertical="center"/>
    </xf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166" fontId="3" fillId="18" borderId="0" xfId="0" applyNumberFormat="1" applyFont="1" applyFill="1" applyAlignment="1">
      <alignment vertical="center"/>
    </xf>
    <xf numFmtId="0" fontId="138" fillId="0" borderId="0" xfId="0" applyFont="1" applyAlignment="1">
      <alignment vertical="center"/>
    </xf>
    <xf numFmtId="0" fontId="139" fillId="0" borderId="0" xfId="0" applyFont="1" applyAlignment="1">
      <alignment vertical="center"/>
    </xf>
    <xf numFmtId="0" fontId="6" fillId="19" borderId="11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140" fillId="0" borderId="0" xfId="0" applyFont="1" applyAlignment="1">
      <alignment vertical="center"/>
    </xf>
    <xf numFmtId="0" fontId="141" fillId="0" borderId="0" xfId="0" applyFont="1" applyAlignment="1">
      <alignment vertical="center"/>
    </xf>
    <xf numFmtId="172" fontId="7" fillId="0" borderId="0" xfId="0" applyNumberFormat="1" applyFont="1" applyAlignment="1">
      <alignment horizontal="left" vertical="center"/>
    </xf>
    <xf numFmtId="8" fontId="21" fillId="0" borderId="7" xfId="0" applyNumberFormat="1" applyFont="1" applyBorder="1" applyAlignment="1">
      <alignment horizontal="center" vertical="center" wrapText="1"/>
    </xf>
    <xf numFmtId="8" fontId="21" fillId="0" borderId="8" xfId="0" applyNumberFormat="1" applyFont="1" applyBorder="1" applyAlignment="1">
      <alignment horizontal="center" vertical="center" wrapText="1"/>
    </xf>
  </cellXfs>
  <cellStyles count="4">
    <cellStyle name="Hipervínculo" xfId="1" builtinId="8"/>
    <cellStyle name="Moneda" xfId="3" builtinId="4"/>
    <cellStyle name="Normal" xfId="0" builtinId="0"/>
    <cellStyle name="Normal 2" xfId="2" xr:uid="{B02E93D6-0E93-4B55-B3EA-813C71BAF781}"/>
  </cellStyles>
  <dxfs count="179">
    <dxf>
      <numFmt numFmtId="12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2" formatCode="&quot;$&quot;#,##0.00_);[Red]\(&quot;$&quot;#,##0.00\)"/>
    </dxf>
    <dxf>
      <numFmt numFmtId="1" formatCode="0"/>
    </dxf>
    <dxf>
      <numFmt numFmtId="12" formatCode="&quot;$&quot;#,##0.00_);[Red]\(&quot;$&quot;#,##0.00\)"/>
    </dxf>
    <dxf>
      <font>
        <b/>
        <sz val="12"/>
        <color auto="1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73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73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numFmt numFmtId="10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70" formatCode="dd/mm/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0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3" formatCode="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3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2" formatCode="dd/mm/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7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7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0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0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178"/>
    </tableStyle>
  </tableStyles>
  <colors>
    <mruColors>
      <color rgb="FF94D61E"/>
      <color rgb="FFD8CFE3"/>
      <color rgb="FF500000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8</xdr:row>
      <xdr:rowOff>57150</xdr:rowOff>
    </xdr:from>
    <xdr:to>
      <xdr:col>11</xdr:col>
      <xdr:colOff>495301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3990975" y="1562100"/>
          <a:ext cx="4886326" cy="313372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322" totalsRowShown="0" headerRowDxfId="153" dataDxfId="152">
  <autoFilter ref="A1:F322" xr:uid="{7ED95743-F75E-4CF1-ACE5-33EBA2B81EAE}">
    <filterColumn colId="0">
      <filters>
        <filter val="SANTA JUANA (inversiones) X@"/>
        <filter val="SANTA JUANA (jorge escobar) X@"/>
      </filters>
    </filterColumn>
  </autoFilter>
  <tableColumns count="6">
    <tableColumn id="1" xr3:uid="{36A50E19-DC7A-4E16-BE4C-42C64333F9EA}" name="PROVEEDOR" dataDxfId="151"/>
    <tableColumn id="2" xr3:uid="{33B16C29-2DF5-45A1-87C1-48E44DFA4D60}" name="DIAS DE PLAZO" dataDxfId="150"/>
    <tableColumn id="3" xr3:uid="{FB09C725-92D2-4DCA-AB96-E3501A05815F}" name="IVA" dataDxfId="149"/>
    <tableColumn id="7" xr3:uid="{6DF6E84E-4497-42A2-A0FF-8BB736818592}" name="ID RETENCION" dataDxfId="148"/>
    <tableColumn id="5" xr3:uid="{C601C28E-77FB-4104-BEA3-CABF7F512A2B}" name="CORREO" dataDxfId="147"/>
    <tableColumn id="6" xr3:uid="{0898AD1E-5D0B-451F-AD5F-54E60AC27BC0}" name="CUENTA BANCARIA" dataDxfId="14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1281" totalsRowShown="0" headerRowDxfId="142" dataDxfId="141" tableBorderDxfId="140">
  <tableColumns count="26">
    <tableColumn id="13" xr3:uid="{00000000-0010-0000-0000-00000D000000}" name="Crédito / Contado" dataDxfId="139" totalsRowDxfId="138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137" totalsRowDxfId="136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135" totalsRowDxfId="134">
      <calculatedColumnFormula>+VLOOKUP(PROVEEDORES[[#This Row],[PROVEEDOR]],TERCEROS_INFO[#All],2,FALSE)</calculatedColumnFormula>
    </tableColumn>
    <tableColumn id="2" xr3:uid="{CA18640B-7586-4599-A1A6-79DD9C098ECB}" name="SALDO PROVEEDOR" dataDxfId="133" totalsRowDxfId="132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131" totalsRowDxfId="130"/>
    <tableColumn id="7" xr3:uid="{2C9B9FC6-B6FA-4691-B956-6773DF789E72}" name="CORREO" dataDxfId="129" totalsRowDxfId="128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127" totalsRowDxfId="126"/>
    <tableColumn id="4" xr3:uid="{00000000-0010-0000-0000-000004000000}" name="PROVEEDOR" dataDxfId="125" totalsRowDxfId="124"/>
    <tableColumn id="1" xr3:uid="{00000000-0010-0000-0000-000001000000}" name="FECHA DE FACTURACIÓN" dataDxfId="123" totalsRowDxfId="122"/>
    <tableColumn id="3" xr3:uid="{00000000-0010-0000-0000-000003000000}" name="# DE FACTURA" dataDxfId="121" totalsRowDxfId="120"/>
    <tableColumn id="15" xr3:uid="{B1350CF4-DA6B-4294-A0DB-4FBB916B554A}" name="SUBTOTAL" dataDxfId="119" totalsRowDxfId="118"/>
    <tableColumn id="17" xr3:uid="{A79AB6A5-68EA-474F-A3FF-ABB7D1FAF67C}" name="descuento sobre subtotal" dataDxfId="117" totalsRowDxfId="116"/>
    <tableColumn id="16" xr3:uid="{32787828-8C20-41E0-97DF-12438EA779B5}" name="IVA 19%" dataDxfId="115" totalsRowDxfId="114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113" totalsRowDxfId="112"/>
    <tableColumn id="19" xr3:uid="{8E79B2DF-E4C8-4835-BA19-92575BA6D5A8}" name="Descuento sobre subtotal $2" dataDxfId="111" totalsRowDxfId="110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109" totalsRowDxfId="108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107" totalsRowDxfId="106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105" totalsRowDxfId="104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103" totalsRowDxfId="102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101" totalsRowDxfId="100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99" totalsRowDxfId="98">
      <calculatedColumnFormula>+VLOOKUP(PROVEEDORES[[#This Row],[PROVEEDOR]],Terceros!$A:$D,4,FALSE)</calculatedColumnFormula>
    </tableColumn>
    <tableColumn id="9" xr3:uid="{CF488130-1CA7-4C2E-A675-7C4B6C3241B2}" name="año facturado" dataDxfId="97" totalsRowDxfId="96">
      <calculatedColumnFormula>+YEAR(PROVEEDORES[[#This Row],[FECHA DE FACTURACIÓN]])</calculatedColumnFormula>
    </tableColumn>
    <tableColumn id="25" xr3:uid="{14878D9B-5127-4C97-AE59-B242D3DF8260}" name="indicador de columna" dataDxfId="95" totalsRowDxfId="94">
      <calculatedColumnFormula>+MATCH(PROVEEDORES[[#This Row],[año facturado]],Retenciones!$1:$1,0)</calculatedColumnFormula>
    </tableColumn>
    <tableColumn id="24" xr3:uid="{599BF99C-B1CB-4B80-A4D4-5CD439D15A2B}" name="base retencion" dataDxfId="93" totalsRowDxfId="92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91" totalsRowDxfId="90">
      <calculatedColumnFormula>+VLOOKUP(PROVEEDORES[[#This Row],[ID RETENCION]],Retenciones!$A$1:$O$25,2,FALSE)</calculatedColumnFormula>
    </tableColumn>
    <tableColumn id="20" xr3:uid="{EDA8AC1A-A4E7-4B92-9589-74327F922EDA}" name="X@" dataDxfId="89" totalsRowDxfId="88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114" totalsRowShown="0" headerRowDxfId="78" dataDxfId="77" tableBorderDxfId="76">
  <autoFilter ref="A1:I114" xr:uid="{00000000-0009-0000-0100-000001000000}">
    <filterColumn colId="3">
      <filters blank="1"/>
    </filterColumn>
    <filterColumn colId="4">
      <filters>
        <filter val="CARPA - CASILLERO"/>
        <filter val="CARPA - POWERSONIC"/>
        <filter val="CARPA - TNR"/>
      </filters>
    </filterColumn>
  </autoFilter>
  <sortState xmlns:xlrd2="http://schemas.microsoft.com/office/spreadsheetml/2017/richdata2" ref="A2:I112">
    <sortCondition ref="E1:E112"/>
  </sortState>
  <tableColumns count="9">
    <tableColumn id="13" xr3:uid="{B42BD185-3F71-4F2C-AEA4-92B1BD04B885}" name="Crédito / Contado" dataDxfId="75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74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73">
      <calculatedColumnFormula>+VLOOKUP(PROVEEDORES3[[#This Row],[PROVEEDOR]],TERCEROS_INFO[[PROVEEDOR]:[CORREO]],5,FALSE)</calculatedColumnFormula>
    </tableColumn>
    <tableColumn id="11" xr3:uid="{574CCCB7-6404-4014-A7C4-E24B35C8242E}" name="FECHA DE PAGO" dataDxfId="72"/>
    <tableColumn id="4" xr3:uid="{2700B3B9-841F-4270-BE9A-B050B545D6DF}" name="PROVEEDOR" dataDxfId="71"/>
    <tableColumn id="1" xr3:uid="{B9637DF7-0F06-414E-8A02-470A0D288B88}" name="FECHA DE FACTURACIÓN" dataDxfId="70"/>
    <tableColumn id="3" xr3:uid="{10A8A101-FA0E-4186-AE5D-EF5556E9484A}" name="# DE FACTURA" dataDxfId="69"/>
    <tableColumn id="15" xr3:uid="{30CB4C40-8263-4421-A32D-17C764402102}" name="Total USD" dataDxfId="68"/>
    <tableColumn id="17" xr3:uid="{1392C75A-49B5-4F13-B7A2-4E0DF985E8DF}" name="COP" dataDxfId="67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739" totalsRowShown="0" headerRowDxfId="66" dataDxfId="65">
  <autoFilter ref="A1:J739" xr:uid="{00000000-000C-0000-FFFF-FFFF02000000}">
    <filterColumn colId="1">
      <filters>
        <filter val="Abajo DON LUCIANO"/>
      </filters>
    </filterColumn>
  </autoFilter>
  <sortState xmlns:xlrd2="http://schemas.microsoft.com/office/spreadsheetml/2017/richdata2" ref="A432:J727">
    <sortCondition ref="A1:A735"/>
  </sortState>
  <tableColumns count="10">
    <tableColumn id="1" xr3:uid="{00000000-0010-0000-0200-000001000000}" name="Fecha" dataDxfId="64" totalsRowDxfId="63"/>
    <tableColumn id="2" xr3:uid="{00000000-0010-0000-0200-000002000000}" name="PRESTAMO" dataDxfId="62" totalsRowDxfId="61"/>
    <tableColumn id="5" xr3:uid="{00000000-0010-0000-0200-000005000000}" name="$ CAPITAL" dataDxfId="60" totalsRowDxfId="59"/>
    <tableColumn id="6" xr3:uid="{00000000-0010-0000-0200-000006000000}" name="$ INTERESES" dataDxfId="58" totalsRowDxfId="57"/>
    <tableColumn id="13" xr3:uid="{AC18AAE4-5F2F-43AA-9096-028504347CEB}" name="PAGO" dataDxfId="56" totalsRowDxfId="55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54" totalsRowDxfId="53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52" totalsRowDxfId="51"/>
    <tableColumn id="10" xr3:uid="{00000000-0010-0000-0200-00000A000000}" name="VALOR EN DOLARES" dataDxfId="50" totalsRowDxfId="49"/>
    <tableColumn id="4" xr3:uid="{00000000-0010-0000-0200-000004000000}" name="ABONOS" dataDxfId="48" totalsRowDxfId="47">
      <calculatedColumnFormula>+IF(FINANCIACION[[#This Row],[$ CAPITAL]]&gt;0,FINANCIACION[[#This Row],[$ CAPITAL]])</calculatedColumnFormula>
    </tableColumn>
    <tableColumn id="11" xr3:uid="{00000000-0010-0000-0200-00000B000000}" name="Pagos del mes" dataDxfId="46" totalsRowDxfId="45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Q29" totalsRowShown="0" headerRowDxfId="44" dataDxfId="43">
  <autoFilter ref="A1:Q29" xr:uid="{0E1D4469-06DD-45C8-98F5-0FCFA256904B}"/>
  <sortState xmlns:xlrd2="http://schemas.microsoft.com/office/spreadsheetml/2017/richdata2" ref="A2:Q29">
    <sortCondition ref="A1:A29"/>
  </sortState>
  <tableColumns count="17">
    <tableColumn id="1" xr3:uid="{352BFAB1-24B4-46D7-A59C-4164B96E8980}" name="PRESTAMO" dataDxfId="42"/>
    <tableColumn id="12" xr3:uid="{47719FDB-3022-4CF3-9CDF-80E602874394}" name="01/10/2022" dataDxfId="41">
      <calculatedColumnFormula>-SUMIFS(FINANCIACION[$ CAPITAL],
FINANCIACION[Fecha],"&lt;="&amp;EOMONTH(B$1,0),
FINANCIACION[PRESTAMO],$A2)</calculatedColumnFormula>
    </tableColumn>
    <tableColumn id="11" xr3:uid="{7851B509-2228-4364-BE00-ED02B6ADC715}" name="01/11/2022" dataDxfId="40">
      <calculatedColumnFormula>-SUMIFS(FINANCIACION[$ CAPITAL],
FINANCIACION[Fecha],"&lt;="&amp;EOMONTH(C$1,0),
FINANCIACION[PRESTAMO],$A2)</calculatedColumnFormula>
    </tableColumn>
    <tableColumn id="13" xr3:uid="{58AC9E35-B0DA-4F5D-9881-0B4AB4BBDB33}" name="01/12/2022" dataDxfId="39">
      <calculatedColumnFormula>-SUMIFS(FINANCIACION[$ CAPITAL],
FINANCIACION[Fecha],"&lt;="&amp;EOMONTH(D$1,0),
FINANCIACION[PRESTAMO],$A2)</calculatedColumnFormula>
    </tableColumn>
    <tableColumn id="24" xr3:uid="{D722D2A9-2B00-4D16-B337-2CF6B32F22ED}" name="01/01/2023" dataDxfId="38">
      <calculatedColumnFormula>-SUMIFS(FINANCIACION[$ CAPITAL],
FINANCIACION[Fecha],"&lt;="&amp;EOMONTH(E$1,0),
FINANCIACION[PRESTAMO],$A2)</calculatedColumnFormula>
    </tableColumn>
    <tableColumn id="26" xr3:uid="{212E95CF-CAC5-4553-997E-1C7080475A98}" name="01/02/2023" dataDxfId="37">
      <calculatedColumnFormula>-SUMIFS(FINANCIACION[$ CAPITAL],
FINANCIACION[Fecha],"&lt;="&amp;EOMONTH(F$1,0),
FINANCIACION[PRESTAMO],$A2)</calculatedColumnFormula>
    </tableColumn>
    <tableColumn id="14" xr3:uid="{207C26E6-B20F-45BD-A9EB-0FAF20EF4CFC}" name="01/03/2023" dataDxfId="36">
      <calculatedColumnFormula>-SUMIFS(FINANCIACION[$ CAPITAL],
FINANCIACION[Fecha],"&lt;="&amp;EOMONTH(G$1,0),
FINANCIACION[PRESTAMO],$A2)</calculatedColumnFormula>
    </tableColumn>
    <tableColumn id="15" xr3:uid="{3AD20EC7-5105-4C7A-B492-F71660ABA361}" name="01/04/2023" dataDxfId="35">
      <calculatedColumnFormula>-SUMIFS(FINANCIACION[$ CAPITAL],
FINANCIACION[Fecha],"&lt;="&amp;EOMONTH(H$1,0),
FINANCIACION[PRESTAMO],$A2)</calculatedColumnFormula>
    </tableColumn>
    <tableColumn id="16" xr3:uid="{0D870312-F1CA-4B1F-ABA1-605B1AE61490}" name="01/05/2023" dataDxfId="34">
      <calculatedColumnFormula>-SUMIFS(FINANCIACION[$ CAPITAL],
FINANCIACION[Fecha],"&lt;="&amp;EOMONTH(I$1,0),
FINANCIACION[PRESTAMO],$A2)</calculatedColumnFormula>
    </tableColumn>
    <tableColumn id="17" xr3:uid="{A5E9AE7A-7C9D-441C-A85A-348876D10C64}" name="01/06/2023" dataDxfId="33">
      <calculatedColumnFormula>-SUMIFS(FINANCIACION[$ CAPITAL],
FINANCIACION[Fecha],"&lt;="&amp;EOMONTH(J$1,0),
FINANCIACION[PRESTAMO],$A2)</calculatedColumnFormula>
    </tableColumn>
    <tableColumn id="18" xr3:uid="{E779DDCE-1B54-4715-BFA9-C4B958D827FA}" name="01/07/2023" dataDxfId="32">
      <calculatedColumnFormula>-SUMIFS(FINANCIACION[$ CAPITAL],
FINANCIACION[Fecha],"&lt;="&amp;EOMONTH(K$1,0),
FINANCIACION[PRESTAMO],$A2)</calculatedColumnFormula>
    </tableColumn>
    <tableColumn id="19" xr3:uid="{4DA99425-FB00-45D8-A036-CEA1D7190F43}" name="01/08/2023" dataDxfId="31">
      <calculatedColumnFormula>-SUMIFS(FINANCIACION[$ CAPITAL],
FINANCIACION[Fecha],"&lt;="&amp;EOMONTH(L$1,0),
FINANCIACION[PRESTAMO],$A2)</calculatedColumnFormula>
    </tableColumn>
    <tableColumn id="21" xr3:uid="{0D7966F1-E548-4E1F-AF2C-99FF8DD70E8F}" name="01/09/2023" dataDxfId="30">
      <calculatedColumnFormula>-SUMIFS(FINANCIACION[$ CAPITAL],
FINANCIACION[Fecha],"&lt;="&amp;EOMONTH(M$1,0),
FINANCIACION[PRESTAMO],$A2)</calculatedColumnFormula>
    </tableColumn>
    <tableColumn id="20" xr3:uid="{694A1EAA-2927-438C-8021-5E71443ADD66}" name="01/10/2023" dataDxfId="29">
      <calculatedColumnFormula>-SUMIFS(FINANCIACION[$ CAPITAL],
FINANCIACION[Fecha],"&lt;="&amp;EOMONTH(N$1,0),
FINANCIACION[PRESTAMO],$A2)</calculatedColumnFormula>
    </tableColumn>
    <tableColumn id="22" xr3:uid="{035697E2-6F2E-4613-9D3C-6042C2DA0AF5}" name="01/11/2023" dataDxfId="28">
      <calculatedColumnFormula>-SUMIFS(FINANCIACION[$ CAPITAL],
FINANCIACION[Fecha],"&lt;="&amp;EOMONTH(O$1,0),
FINANCIACION[PRESTAMO],$A2)</calculatedColumnFormula>
    </tableColumn>
    <tableColumn id="2" xr3:uid="{78E59391-1955-4CA0-B802-0034B8765338}" name="01/12/2023" dataDxfId="27">
      <calculatedColumnFormula>-SUMIFS(FINANCIACION[$ CAPITAL],
FINANCIACION[Fecha],"&lt;="&amp;EOMONTH(P$1,0),
FINANCIACION[PRESTAMO],$A2)</calculatedColumnFormula>
    </tableColumn>
    <tableColumn id="4" xr3:uid="{5FDEF36D-EA88-4459-B169-417306786B42}" name="01/01/2024" dataDxfId="26">
      <calculatedColumnFormula>-SUMIFS(FINANCIACION[$ CAPITAL],
FINANCIACION[Fecha],"&lt;="&amp;EOMONTH(Q$1,0),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1270" totalsRowShown="0">
  <autoFilter ref="A6:W1270" xr:uid="{73DB2F45-C381-47B2-8086-480DEE1C9502}"/>
  <sortState xmlns:xlrd2="http://schemas.microsoft.com/office/spreadsheetml/2017/richdata2" ref="A7:W1270">
    <sortCondition descending="1" ref="E6:E1270"/>
  </sortState>
  <tableColumns count="23">
    <tableColumn id="1" xr3:uid="{132C3118-3023-4B2F-96BC-F16058F7D256}" name="PLAZO Días" dataDxfId="22"/>
    <tableColumn id="2" xr3:uid="{EC2FA82B-2E14-4DCF-9EAD-2BACCB783CD8}" name="SALDO PROVEEDOR" dataDxfId="21"/>
    <tableColumn id="3" xr3:uid="{43A7058F-2ED1-4A27-AA72-06520D8322EE}" name="NOTAS" dataDxfId="20"/>
    <tableColumn id="4" xr3:uid="{60D859DF-64A4-4B14-BEA4-53EDC451A813}" name="CORREO" dataDxfId="19"/>
    <tableColumn id="5" xr3:uid="{454828DC-3C5A-4715-824B-B24F214C5E13}" name="FECHA DE PAGO" dataDxfId="18"/>
    <tableColumn id="6" xr3:uid="{611243B7-0D0B-43AA-B686-311F876022B1}" name="PROVEEDOR" dataDxfId="17"/>
    <tableColumn id="7" xr3:uid="{D855F350-1086-42A0-8EA3-7F25CD38C9D3}" name="FECHA DE FACTURACIÓN" dataDxfId="16"/>
    <tableColumn id="8" xr3:uid="{A47DA67B-9F1D-4774-868A-72372E5564B9}" name="# DE FACTURA" dataDxfId="15"/>
    <tableColumn id="9" xr3:uid="{EFE5C62A-0ACB-4DCD-8ECF-5EF13B6C5317}" name="SUBTOTAL" dataDxfId="14"/>
    <tableColumn id="10" xr3:uid="{F1AF051F-9A83-4E4B-A579-356CF6E1CC40}" name="descuento sobre subtotal" dataDxfId="13"/>
    <tableColumn id="11" xr3:uid="{8B4607B9-C44B-4133-85DE-013E69B20E93}" name="IVA 19%" dataDxfId="12"/>
    <tableColumn id="12" xr3:uid="{6A9D0E38-9470-494D-8871-9052119ECCAA}" name="Descuento sobre subtotal %" dataDxfId="11"/>
    <tableColumn id="13" xr3:uid="{B7846F5F-DCDC-455C-A820-B1866BD3DEF5}" name="Descuento sobre subtotal $2" dataDxfId="10"/>
    <tableColumn id="14" xr3:uid="{871D7124-3BAA-4827-B045-4443CA46B11E}" name="Rete Fuente %" dataDxfId="9"/>
    <tableColumn id="15" xr3:uid="{02032375-550C-45FC-AA0D-736EC726964B}" name="Rete Fuente $" dataDxfId="8"/>
    <tableColumn id="16" xr3:uid="{3FBB1F41-A526-42EA-A203-54ABBC239BBD}" name="Total" dataDxfId="7"/>
    <tableColumn id="24" xr3:uid="{7A743829-AEA0-45B6-966E-8D925966D2DE}" name="Estado de la factura" dataDxfId="6"/>
    <tableColumn id="25" xr3:uid="{B7BC761D-0768-4A9C-A5BF-420FDE6F9B67}" name="días de vencimiento" dataDxfId="5"/>
    <tableColumn id="23" xr3:uid="{0177C05A-981A-4D8C-8138-55A654CB25B0}" name="X@" dataDxfId="4">
      <calculatedColumnFormula>OR(COUNTIF(Tabla2[[#This Row],[PROVEEDOR]],"*"&amp;'Palabra no opera'!$A$2&amp;"*"))</calculatedColumnFormula>
    </tableColumn>
    <tableColumn id="17" xr3:uid="{DA71BCF1-93B0-47B9-A984-E2A41D7DDACE}" name="dias de credito" dataDxfId="3">
      <calculatedColumnFormula>+$W$5-Tabla2[[#This Row],[FECHA DE FACTURACIÓN]]</calculatedColumnFormula>
    </tableColumn>
    <tableColumn id="18" xr3:uid="{CF911DDE-F405-4380-86D1-ECA9628F67A6}" name="venc" dataDxfId="2">
      <calculatedColumnFormula>+IF(Tabla2[[#This Row],[dias de credito]]&gt;=Tabla2[[#This Row],[PLAZO Días]],"venc", "No venc")</calculatedColumnFormula>
    </tableColumn>
    <tableColumn id="19" xr3:uid="{8067E3DF-2FE9-4BF5-8CCB-1D20A2AD809A}" name="Columna1" dataDxfId="1">
      <calculatedColumnFormula>+IF(Tabla2[[#This Row],[FECHA DE PAGO]]&gt;0,"pagada","por pagar")</calculatedColumnFormula>
    </tableColumn>
    <tableColumn id="20" xr3:uid="{986FB463-3412-4AF8-ADC3-B64A4214F098}" name="VENCIDA" dataDxfId="0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contabilidad@sandiego.com.co;girlesa.ruiz@servipilas.com;joriescobar64@gmail.com" TargetMode="External"/><Relationship Id="rId21" Type="http://schemas.openxmlformats.org/officeDocument/2006/relationships/hyperlink" Target="mailto:carlos.bohorquez@copapel.com;girlesa.ruiz@servipilas.com;joriescobar64@gmail.com" TargetMode="External"/><Relationship Id="rId42" Type="http://schemas.openxmlformats.org/officeDocument/2006/relationships/hyperlink" Target="mailto:yermingg@hotmail.com;girlesa.ruiz@servipilas.com;joriescobar64@gmail.com" TargetMode="External"/><Relationship Id="rId47" Type="http://schemas.openxmlformats.org/officeDocument/2006/relationships/hyperlink" Target="mailto:UNIFORMES@" TargetMode="External"/><Relationship Id="rId63" Type="http://schemas.openxmlformats.org/officeDocument/2006/relationships/hyperlink" Target="mailto:yvelasquez@nanicastation.com.co;facturas@nanicastation.com.co;girlesa.ruiz@servipilas.com;joriescobar64@gmail.com" TargetMode="External"/><Relationship Id="rId68" Type="http://schemas.openxmlformats.org/officeDocument/2006/relationships/hyperlink" Target="mailto:olga.acevedo@logimexsas.com;girlesa.ruiz@servipilas.com;joriescobar64@gmail.com;facturacion@servipilas.com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9" Type="http://schemas.openxmlformats.org/officeDocument/2006/relationships/hyperlink" Target="mailto:tesoreria@cidet.org.co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tera@makingbusiness.com.co;tesoreria@makingbusiness.com.co;girlesa.ruiz@servipilas.com;joriescobar64@gmail.com" TargetMode="External"/><Relationship Id="rId32" Type="http://schemas.openxmlformats.org/officeDocument/2006/relationships/hyperlink" Target="mailto:corporacion.trovemos@gmail.com;girlesa.ruiz@servipilas.com;joriescobar64@gmail.com" TargetMode="External"/><Relationship Id="rId37" Type="http://schemas.openxmlformats.org/officeDocument/2006/relationships/hyperlink" Target="mailto:santiago.botero@apcmayorista.com;girlesa.ruiz@servipilas.com;joriescobar64@gmail.com" TargetMode="External"/><Relationship Id="rId40" Type="http://schemas.openxmlformats.org/officeDocument/2006/relationships/hyperlink" Target="mailto:inspecciones@bomberossabaneta.com;girlesa.ruiz@servipilas.com;joriescobar64@gmail.com" TargetMode="External"/><Relationship Id="rId45" Type="http://schemas.openxmlformats.org/officeDocument/2006/relationships/hyperlink" Target="mailto:inspecciones@bomberossabaneta.com;girlesa.ruiz@servipilas.com;joriescobar64@gmail.com" TargetMode="External"/><Relationship Id="rId53" Type="http://schemas.openxmlformats.org/officeDocument/2006/relationships/hyperlink" Target="mailto:Facturas@kinnesis.com;girlesa.ruiz@servipilas.com;joriescobar64@gmail.com" TargetMode="External"/><Relationship Id="rId58" Type="http://schemas.openxmlformats.org/officeDocument/2006/relationships/hyperlink" Target="mailto:g_tech_group@outlook.es" TargetMode="External"/><Relationship Id="rId66" Type="http://schemas.openxmlformats.org/officeDocument/2006/relationships/hyperlink" Target="mailto:olga.acevedo@logimexsas.com;girlesa.ruiz@servipilas.com;joriescobar64@gmail.com;facturacion@servipilas.com" TargetMode="External"/><Relationship Id="rId5" Type="http://schemas.openxmlformats.org/officeDocument/2006/relationships/hyperlink" Target="mailto:lpena@tbplusenergy.com;girlesa.ruiz@servipilas.com;joriescobar64@gmail.com" TargetMode="External"/><Relationship Id="rId61" Type="http://schemas.openxmlformats.org/officeDocument/2006/relationships/hyperlink" Target="mailto:clopez@santajuana.com.co;girlesa.ruiz@servipilas.com;joriescobar64@gmail.com" TargetMode="External"/><Relationship Id="rId19" Type="http://schemas.openxmlformats.org/officeDocument/2006/relationships/hyperlink" Target="mailto:olga.acevedo@logimexsas.com;girlesa.ruiz@servipilas.com;joriescobar64@gmail.com;facturacion@servipilas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wruiz@tsqsa.com;girlesa.ruiz@servipilas.com;joriescobar64@gmail.com" TargetMode="External"/><Relationship Id="rId27" Type="http://schemas.openxmlformats.org/officeDocument/2006/relationships/hyperlink" Target="mailto:julian@ieosas.com;girlesa.ruiz@servipilas.com;joriescobar64@gmail.com" TargetMode="External"/><Relationship Id="rId30" Type="http://schemas.openxmlformats.org/officeDocument/2006/relationships/hyperlink" Target="mailto:lygonzalez@gmail.com;girlesa.ruiz@servipilas.com;joriescobar64@gmail.com" TargetMode="External"/><Relationship Id="rId35" Type="http://schemas.openxmlformats.org/officeDocument/2006/relationships/hyperlink" Target="mailto:margaritadavid@hotmail.es;girlesa.ruiz@servipilas.com;joriescobar64@gmail.com;MERCADEO@servipilas.com" TargetMode="External"/><Relationship Id="rId43" Type="http://schemas.openxmlformats.org/officeDocument/2006/relationships/hyperlink" Target="mailto:santiago30m@hotmail.com;girlesa.ruiz@servipilas.com;joriescobar64@gmail.com" TargetMode="External"/><Relationship Id="rId48" Type="http://schemas.openxmlformats.org/officeDocument/2006/relationships/hyperlink" Target="mailto:distribuidoravamossas@gmail.com;girlesa.ruiz@servipilas.com;joriescobar64@gmail.com" TargetMode="External"/><Relationship Id="rId56" Type="http://schemas.openxmlformats.org/officeDocument/2006/relationships/hyperlink" Target="mailto:oag15@hotmail.com;girlesa.ruiz@servipilas.com;joriescobar64@gmail.com" TargetMode="External"/><Relationship Id="rId64" Type="http://schemas.openxmlformats.org/officeDocument/2006/relationships/hyperlink" Target="mailto:tecnopartes@ctof.co;girlesa.ruiz@servipilas.com;joriescobar64@gmail.com" TargetMode="External"/><Relationship Id="rId69" Type="http://schemas.openxmlformats.org/officeDocument/2006/relationships/printerSettings" Target="../printerSettings/printerSettings3.bin"/><Relationship Id="rId8" Type="http://schemas.openxmlformats.org/officeDocument/2006/relationships/hyperlink" Target="mailto:jessica.barrios@carpainternacional.com;girlesa.ruiz@servipilas.com;joriescobar64@gmail.com" TargetMode="External"/><Relationship Id="rId51" Type="http://schemas.openxmlformats.org/officeDocument/2006/relationships/hyperlink" Target="mailto:qyqomaira0321@hotmail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Facturas@kinnesis.com;girlesa.ruiz@servipilas.com;joriescobar64@gmail.com" TargetMode="External"/><Relationship Id="rId33" Type="http://schemas.openxmlformats.org/officeDocument/2006/relationships/hyperlink" Target="mailto:cartera@ienewline.com;andres.arroyave@ienewline.com;girlesa.ruiz@servipilas.com;joriescobar64@gmail.com" TargetMode="External"/><Relationship Id="rId38" Type="http://schemas.openxmlformats.org/officeDocument/2006/relationships/hyperlink" Target="mailto:logistic@grupozambrano.com;info@servipilas.com;girlesa.ruiz@servipilas.com;joriescobar64@gmail.com" TargetMode="External"/><Relationship Id="rId46" Type="http://schemas.openxmlformats.org/officeDocument/2006/relationships/hyperlink" Target="mailto:arrendamientos@vyp.com.co;girlesa.ruiz@servipilas.com;joriescobar64@gmail.com" TargetMode="External"/><Relationship Id="rId59" Type="http://schemas.openxmlformats.org/officeDocument/2006/relationships/hyperlink" Target="mailto:comercializadorajls@hotmail.com" TargetMode="External"/><Relationship Id="rId67" Type="http://schemas.openxmlformats.org/officeDocument/2006/relationships/hyperlink" Target="mailto:olga.acevedo@logimexsas.com;girlesa.ruiz@servipilas.com;joriescobar64@gmail.com;facturacion@servipilas.com" TargetMode="External"/><Relationship Id="rId20" Type="http://schemas.openxmlformats.org/officeDocument/2006/relationships/hyperlink" Target="mailto:gerencia@som-tec.com;girlesa.ruiz@servipilas.com;joriescobar64@gmail.com" TargetMode="External"/><Relationship Id="rId41" Type="http://schemas.openxmlformats.org/officeDocument/2006/relationships/hyperlink" Target="mailto:liauribe@une.net.co;girlesa.ruiz@servipilas.com;joriescobar64@gmail.com" TargetMode="External"/><Relationship Id="rId54" Type="http://schemas.openxmlformats.org/officeDocument/2006/relationships/hyperlink" Target="mailto:operaciones@ilux.com.co;girlesa.ruiz@servipilas.com;joriescobar64@gmail.com" TargetMode="External"/><Relationship Id="rId62" Type="http://schemas.openxmlformats.org/officeDocument/2006/relationships/hyperlink" Target="mailto:facturacion@lacentral.com.co;girlesa.ruiz@servipilas.com;joriescobar64@gmail.com" TargetMode="External"/><Relationship Id="rId70" Type="http://schemas.openxmlformats.org/officeDocument/2006/relationships/table" Target="../tables/table1.xm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cartera@makingbusiness.com.co;tesoreria@makingbusiness.com.co;girlesa.ruiz@servipilas.com;joriescobar64@gmail.com" TargetMode="External"/><Relationship Id="rId28" Type="http://schemas.openxmlformats.org/officeDocument/2006/relationships/hyperlink" Target="mailto:yermingg@hotmail.com;rubizulu@hotmail.com;girlesa.ruiz@servipilas.com;joriescobar64@gmail.com" TargetMode="External"/><Relationship Id="rId36" Type="http://schemas.openxmlformats.org/officeDocument/2006/relationships/hyperlink" Target="mailto:santiago.botero@apcmayorista.com;girlesa.ruiz@servipilas.com;joriescobar64@gmail.com" TargetMode="External"/><Relationship Id="rId49" Type="http://schemas.openxmlformats.org/officeDocument/2006/relationships/hyperlink" Target="mailto:jessica.barrios@carpainternacional.com;girlesa.ruiz@servipilas.com;joriescobar64@gmail.com" TargetMode="External"/><Relationship Id="rId57" Type="http://schemas.openxmlformats.org/officeDocument/2006/relationships/hyperlink" Target="mailto:qyqcolbatteries@gmail.com;girlesa.ruiz@servipilas.com;joriescobar64@gmail.com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31" Type="http://schemas.openxmlformats.org/officeDocument/2006/relationships/hyperlink" Target="mailto:LMGS789@HOTMAIL.COM;girlesa.ruiz@servipilas.com;joriescobar64@gmail.com" TargetMode="External"/><Relationship Id="rId44" Type="http://schemas.openxmlformats.org/officeDocument/2006/relationships/hyperlink" Target="mailto:lsierra@santajuana.com.co;girlesa.ruiz@servipilas.com;joriescobar64@gmail.com" TargetMode="External"/><Relationship Id="rId52" Type="http://schemas.openxmlformats.org/officeDocument/2006/relationships/hyperlink" Target="mailto:qyqomaira0321@hotmail.com;girlesa.ruiz@servipilas.com;joriescobar64@gmail.com" TargetMode="External"/><Relationship Id="rId60" Type="http://schemas.openxmlformats.org/officeDocument/2006/relationships/hyperlink" Target="mailto:icelectronicsmedellin@hotmail.com" TargetMode="External"/><Relationship Id="rId65" Type="http://schemas.openxmlformats.org/officeDocument/2006/relationships/hyperlink" Target="mailto:memoriasoriginales@gmai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39" Type="http://schemas.openxmlformats.org/officeDocument/2006/relationships/hyperlink" Target="mailto:mdedcnvi@bateriasduncan.com.co;girlesa.ruiz@servipilas.com;joriescobar64@gmail.com" TargetMode="External"/><Relationship Id="rId34" Type="http://schemas.openxmlformats.org/officeDocument/2006/relationships/hyperlink" Target="mailto:syman07@hotmail.com;girlesa.ruiz@servipilas.com;joriescobar64@gmail.com" TargetMode="External"/><Relationship Id="rId50" Type="http://schemas.openxmlformats.org/officeDocument/2006/relationships/hyperlink" Target="mailto:stabarbaradistronik@gmail.com;girlesa.ruiz@servipilas.com;joriescobar64@gmail.com" TargetMode="External"/><Relationship Id="rId55" Type="http://schemas.openxmlformats.org/officeDocument/2006/relationships/hyperlink" Target="mailto:aristiduque0428@gmail.com;girlesa.ruiz@servipilas.com;joriescobar64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baseColWidth="10" defaultColWidth="0" defaultRowHeight="12.75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59"/>
    </row>
    <row r="3" spans="7:14" ht="12.75" customHeight="1" x14ac:dyDescent="0.25"/>
    <row r="4" spans="7:14" ht="15.75" thickBot="1" x14ac:dyDescent="0.3"/>
    <row r="5" spans="7:14" ht="19.5" thickBot="1" x14ac:dyDescent="0.35">
      <c r="G5" s="121" t="s">
        <v>452</v>
      </c>
      <c r="H5" s="120"/>
      <c r="I5" s="120"/>
    </row>
    <row r="6" spans="7:14" ht="15" x14ac:dyDescent="0.25">
      <c r="G6" t="s">
        <v>1476</v>
      </c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58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3153-336A-4B81-9374-1B18F1955C43}">
  <sheetPr>
    <pageSetUpPr fitToPage="1"/>
  </sheetPr>
  <dimension ref="A1:N5"/>
  <sheetViews>
    <sheetView workbookViewId="0">
      <selection activeCell="C7" sqref="C7"/>
    </sheetView>
  </sheetViews>
  <sheetFormatPr baseColWidth="10" defaultRowHeight="15" x14ac:dyDescent="0.25"/>
  <cols>
    <col min="1" max="1" width="11.42578125" customWidth="1"/>
    <col min="2" max="2" width="13.42578125" bestFit="1" customWidth="1"/>
    <col min="3" max="3" width="32.140625" bestFit="1" customWidth="1"/>
    <col min="4" max="4" width="12.140625" bestFit="1" customWidth="1"/>
    <col min="5" max="5" width="18.42578125" bestFit="1" customWidth="1"/>
    <col min="6" max="6" width="12.42578125" bestFit="1" customWidth="1"/>
    <col min="7" max="7" width="10.28515625" bestFit="1" customWidth="1"/>
    <col min="8" max="8" width="10.140625" bestFit="1" customWidth="1"/>
    <col min="9" max="9" width="10.42578125" bestFit="1" customWidth="1"/>
    <col min="10" max="10" width="10.7109375" bestFit="1" customWidth="1"/>
    <col min="11" max="11" width="9.28515625" bestFit="1" customWidth="1"/>
    <col min="12" max="12" width="8.7109375" bestFit="1" customWidth="1"/>
    <col min="13" max="13" width="12.42578125" bestFit="1" customWidth="1"/>
    <col min="14" max="14" width="9" customWidth="1"/>
  </cols>
  <sheetData>
    <row r="1" spans="1:14" ht="45" x14ac:dyDescent="0.25">
      <c r="A1" s="319" t="s">
        <v>100</v>
      </c>
      <c r="B1" s="300" t="s">
        <v>6</v>
      </c>
      <c r="C1" s="280" t="s">
        <v>3</v>
      </c>
      <c r="D1" s="301" t="s">
        <v>1</v>
      </c>
      <c r="E1" s="281" t="s">
        <v>2</v>
      </c>
      <c r="F1" s="282" t="s">
        <v>82</v>
      </c>
      <c r="G1" s="283" t="s">
        <v>471</v>
      </c>
      <c r="H1" s="282" t="s">
        <v>83</v>
      </c>
      <c r="I1" s="283" t="s">
        <v>85</v>
      </c>
      <c r="J1" s="283" t="s">
        <v>470</v>
      </c>
      <c r="K1" s="284" t="s">
        <v>87</v>
      </c>
      <c r="L1" s="283" t="s">
        <v>86</v>
      </c>
      <c r="M1" s="285" t="s">
        <v>84</v>
      </c>
      <c r="N1" s="286" t="s">
        <v>1461</v>
      </c>
    </row>
    <row r="2" spans="1:14" ht="15.75" x14ac:dyDescent="0.25">
      <c r="A2" s="312" t="s">
        <v>1538</v>
      </c>
      <c r="B2" s="302">
        <v>45327</v>
      </c>
      <c r="C2" s="313" t="s">
        <v>1526</v>
      </c>
      <c r="D2" s="302">
        <v>45287</v>
      </c>
      <c r="E2" s="275" t="s">
        <v>1438</v>
      </c>
      <c r="F2" s="276">
        <v>128442</v>
      </c>
      <c r="G2" s="276"/>
      <c r="H2" s="277">
        <v>24403.98</v>
      </c>
      <c r="I2" s="278"/>
      <c r="J2" s="277">
        <v>0</v>
      </c>
      <c r="K2" s="279">
        <v>0</v>
      </c>
      <c r="L2" s="277">
        <v>0</v>
      </c>
      <c r="M2" s="276">
        <v>152845.98000000001</v>
      </c>
      <c r="N2" s="274">
        <v>152846</v>
      </c>
    </row>
    <row r="3" spans="1:14" ht="15.75" x14ac:dyDescent="0.25">
      <c r="A3" s="312"/>
      <c r="B3" s="302"/>
      <c r="C3" s="313"/>
      <c r="D3" s="302"/>
      <c r="E3" s="275"/>
      <c r="F3" s="276"/>
      <c r="G3" s="276"/>
      <c r="H3" s="277"/>
      <c r="I3" s="278"/>
      <c r="J3" s="277"/>
      <c r="K3" s="279"/>
      <c r="L3" s="316" t="s">
        <v>84</v>
      </c>
      <c r="M3" s="287">
        <v>152845.98000000001</v>
      </c>
      <c r="N3" s="274">
        <v>152846</v>
      </c>
    </row>
    <row r="4" spans="1:14" ht="15.75" x14ac:dyDescent="0.25">
      <c r="A4" s="312"/>
      <c r="B4" s="302"/>
      <c r="C4" s="313"/>
      <c r="D4" s="302"/>
      <c r="E4" s="275"/>
      <c r="F4" s="276"/>
      <c r="G4" s="276"/>
      <c r="H4" s="277"/>
      <c r="I4" s="278"/>
      <c r="J4" s="277"/>
      <c r="K4" s="279"/>
      <c r="L4" s="277"/>
      <c r="M4" s="276"/>
      <c r="N4" s="274"/>
    </row>
    <row r="5" spans="1:14" ht="15.75" x14ac:dyDescent="0.25">
      <c r="A5" s="312"/>
      <c r="B5" s="302"/>
      <c r="C5" s="313"/>
      <c r="D5" s="302"/>
      <c r="E5" s="275"/>
      <c r="F5" s="276"/>
      <c r="G5" s="276"/>
      <c r="H5" s="277"/>
      <c r="I5" s="278"/>
      <c r="J5" s="277"/>
      <c r="K5" s="279"/>
      <c r="L5" s="277"/>
      <c r="M5" s="276"/>
      <c r="N5" s="274"/>
    </row>
  </sheetData>
  <dataValidations count="1">
    <dataValidation allowBlank="1" showInputMessage="1" showErrorMessage="1" error="Primero crea el proveedor en la hoja &quot;Proveedores&quot;." sqref="A1:M1" xr:uid="{F0966994-92E9-4409-BF6E-943CDF148F4B}"/>
  </dataValidations>
  <pageMargins left="0.7" right="0.7" top="0.75" bottom="0.75" header="0.3" footer="0.3"/>
  <pageSetup scale="4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baseColWidth="10" defaultColWidth="11.5703125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45328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G3" sqref="G3"/>
    </sheetView>
  </sheetViews>
  <sheetFormatPr baseColWidth="10" defaultColWidth="11.5703125" defaultRowHeight="15" x14ac:dyDescent="0.25"/>
  <cols>
    <col min="2" max="2" width="11.5703125" style="74"/>
    <col min="3" max="4" width="11.5703125" style="71" bestFit="1" customWidth="1"/>
    <col min="5" max="5" width="12.5703125" style="71" customWidth="1"/>
    <col min="6" max="15" width="12.5703125" customWidth="1"/>
  </cols>
  <sheetData>
    <row r="1" spans="1:15" s="80" customFormat="1" x14ac:dyDescent="0.25">
      <c r="A1" s="78" t="s">
        <v>378</v>
      </c>
      <c r="B1" s="79" t="s">
        <v>87</v>
      </c>
      <c r="C1" s="78">
        <v>2020</v>
      </c>
      <c r="D1" s="78">
        <v>2021</v>
      </c>
      <c r="E1" s="78">
        <v>2022</v>
      </c>
      <c r="F1" s="78">
        <v>2023</v>
      </c>
      <c r="G1" s="78">
        <v>2024</v>
      </c>
      <c r="H1" s="78">
        <v>2025</v>
      </c>
      <c r="I1" s="78">
        <v>2026</v>
      </c>
      <c r="J1" s="78">
        <v>2027</v>
      </c>
      <c r="K1" s="78">
        <v>2028</v>
      </c>
      <c r="L1" s="78">
        <v>2029</v>
      </c>
      <c r="M1" s="78">
        <v>2030</v>
      </c>
      <c r="N1" s="78">
        <v>2031</v>
      </c>
      <c r="O1" s="78">
        <v>2032</v>
      </c>
    </row>
    <row r="2" spans="1:15" x14ac:dyDescent="0.25">
      <c r="A2" s="76">
        <v>0</v>
      </c>
      <c r="B2" s="75">
        <v>0</v>
      </c>
      <c r="C2" s="77">
        <v>0</v>
      </c>
      <c r="D2" s="77">
        <v>0</v>
      </c>
      <c r="E2" s="77">
        <v>0</v>
      </c>
      <c r="F2" s="77">
        <v>0</v>
      </c>
      <c r="G2" s="77">
        <v>0</v>
      </c>
      <c r="H2" s="77"/>
      <c r="I2" s="77"/>
      <c r="J2" s="77"/>
      <c r="K2" s="77"/>
      <c r="L2" s="77"/>
      <c r="M2" s="77"/>
      <c r="N2" s="77"/>
      <c r="O2" s="77"/>
    </row>
    <row r="3" spans="1:15" x14ac:dyDescent="0.25">
      <c r="A3" s="76" t="s">
        <v>389</v>
      </c>
      <c r="B3" s="75">
        <v>0.01</v>
      </c>
      <c r="C3" s="77">
        <v>0</v>
      </c>
      <c r="D3" s="77">
        <v>0</v>
      </c>
      <c r="E3" s="77">
        <v>0</v>
      </c>
      <c r="F3" s="77">
        <v>0</v>
      </c>
      <c r="G3" s="77">
        <v>0</v>
      </c>
      <c r="H3" s="77"/>
      <c r="I3" s="77"/>
      <c r="J3" s="77"/>
      <c r="K3" s="77"/>
      <c r="L3" s="77"/>
      <c r="M3" s="77"/>
      <c r="N3" s="77"/>
      <c r="O3" s="77"/>
    </row>
    <row r="4" spans="1:15" x14ac:dyDescent="0.25">
      <c r="A4" s="76" t="s">
        <v>379</v>
      </c>
      <c r="B4" s="75">
        <v>0.01</v>
      </c>
      <c r="C4" s="77">
        <v>142000</v>
      </c>
      <c r="D4" s="77">
        <v>145000</v>
      </c>
      <c r="E4" s="77">
        <v>152000</v>
      </c>
      <c r="F4" s="77">
        <v>170000</v>
      </c>
      <c r="G4" s="77">
        <v>188000</v>
      </c>
      <c r="H4" s="77"/>
      <c r="I4" s="77"/>
      <c r="J4" s="77"/>
      <c r="K4" s="77"/>
      <c r="L4" s="77"/>
      <c r="M4" s="77"/>
      <c r="N4" s="77"/>
      <c r="O4" s="77"/>
    </row>
    <row r="5" spans="1:15" x14ac:dyDescent="0.25">
      <c r="A5" s="76" t="s">
        <v>380</v>
      </c>
      <c r="B5" s="75">
        <v>2.5000000000000001E-2</v>
      </c>
      <c r="C5" s="77">
        <v>961000</v>
      </c>
      <c r="D5" s="77">
        <v>980000</v>
      </c>
      <c r="E5" s="77">
        <v>1026000</v>
      </c>
      <c r="F5" s="77">
        <v>1145000</v>
      </c>
      <c r="G5" s="77">
        <v>1271000</v>
      </c>
      <c r="H5" s="77"/>
      <c r="I5" s="77"/>
      <c r="J5" s="77"/>
      <c r="K5" s="77"/>
      <c r="L5" s="77"/>
      <c r="M5" s="77"/>
      <c r="N5" s="77"/>
      <c r="O5" s="77"/>
    </row>
    <row r="6" spans="1:15" x14ac:dyDescent="0.25">
      <c r="A6" s="76" t="s">
        <v>381</v>
      </c>
      <c r="B6" s="75">
        <v>3.5000000000000003E-2</v>
      </c>
      <c r="C6" s="77">
        <v>0</v>
      </c>
      <c r="D6" s="77">
        <v>0</v>
      </c>
      <c r="E6" s="77">
        <v>0</v>
      </c>
      <c r="F6" s="77">
        <v>0</v>
      </c>
      <c r="G6" s="77">
        <v>0</v>
      </c>
      <c r="H6" s="77"/>
      <c r="I6" s="77"/>
      <c r="J6" s="77"/>
      <c r="K6" s="77"/>
      <c r="L6" s="77"/>
      <c r="M6" s="77"/>
      <c r="N6" s="77"/>
      <c r="O6" s="77"/>
    </row>
    <row r="7" spans="1:15" x14ac:dyDescent="0.25">
      <c r="A7" s="76" t="s">
        <v>382</v>
      </c>
      <c r="B7" s="75">
        <v>3.5000000000000003E-2</v>
      </c>
      <c r="C7" s="77">
        <v>961000</v>
      </c>
      <c r="D7" s="77">
        <v>980000</v>
      </c>
      <c r="E7" s="77">
        <v>1026000</v>
      </c>
      <c r="F7" s="77">
        <v>1145000</v>
      </c>
      <c r="G7" s="77">
        <v>1271000</v>
      </c>
      <c r="H7" s="77"/>
      <c r="I7" s="77"/>
      <c r="J7" s="77"/>
      <c r="K7" s="77"/>
      <c r="L7" s="77"/>
      <c r="M7" s="77"/>
      <c r="N7" s="77"/>
      <c r="O7" s="77"/>
    </row>
    <row r="8" spans="1:15" x14ac:dyDescent="0.25">
      <c r="A8" s="76" t="s">
        <v>383</v>
      </c>
      <c r="B8" s="75">
        <v>0.04</v>
      </c>
      <c r="C8" s="77">
        <v>0</v>
      </c>
      <c r="D8" s="77">
        <v>0</v>
      </c>
      <c r="E8" s="77">
        <v>0</v>
      </c>
      <c r="F8" s="77">
        <v>0</v>
      </c>
      <c r="G8" s="77">
        <v>0</v>
      </c>
      <c r="H8" s="77"/>
      <c r="I8" s="77"/>
      <c r="J8" s="77"/>
      <c r="K8" s="77"/>
      <c r="L8" s="77"/>
      <c r="M8" s="77"/>
      <c r="N8" s="77"/>
      <c r="O8" s="77"/>
    </row>
    <row r="9" spans="1:15" x14ac:dyDescent="0.25">
      <c r="A9" s="76" t="s">
        <v>482</v>
      </c>
      <c r="B9" s="75">
        <v>0.04</v>
      </c>
      <c r="C9" s="77">
        <v>0</v>
      </c>
      <c r="D9" s="77">
        <v>0</v>
      </c>
      <c r="E9" s="77">
        <v>150000</v>
      </c>
      <c r="F9" s="77">
        <v>170000</v>
      </c>
      <c r="G9" s="77">
        <v>188000</v>
      </c>
      <c r="H9" s="77"/>
      <c r="I9" s="77"/>
      <c r="J9" s="77"/>
      <c r="K9" s="77"/>
      <c r="L9" s="77"/>
      <c r="M9" s="77"/>
      <c r="N9" s="77"/>
      <c r="O9" s="77"/>
    </row>
    <row r="10" spans="1:15" x14ac:dyDescent="0.25">
      <c r="A10" s="76" t="s">
        <v>384</v>
      </c>
      <c r="B10" s="75">
        <v>0.11</v>
      </c>
      <c r="C10" s="77">
        <v>0</v>
      </c>
      <c r="D10" s="77">
        <v>0</v>
      </c>
      <c r="E10" s="77">
        <v>0</v>
      </c>
      <c r="F10" s="77">
        <v>0</v>
      </c>
      <c r="G10" s="77">
        <v>0</v>
      </c>
      <c r="H10" s="77"/>
      <c r="I10" s="77"/>
      <c r="J10" s="77"/>
      <c r="K10" s="77"/>
      <c r="L10" s="77"/>
      <c r="M10" s="77"/>
      <c r="N10" s="77"/>
      <c r="O10" s="77"/>
    </row>
    <row r="11" spans="1:15" x14ac:dyDescent="0.25">
      <c r="A11" s="76"/>
      <c r="B11" s="75"/>
      <c r="C11" s="77"/>
      <c r="D11" s="77"/>
      <c r="E11" s="77"/>
      <c r="F11" s="76"/>
      <c r="G11" s="77"/>
      <c r="H11" s="77"/>
      <c r="I11" s="77"/>
      <c r="J11" s="77"/>
      <c r="K11" s="77"/>
      <c r="L11" s="77"/>
      <c r="M11" s="77"/>
      <c r="N11" s="77"/>
      <c r="O11" s="77"/>
    </row>
    <row r="12" spans="1:15" x14ac:dyDescent="0.25">
      <c r="A12" s="76"/>
      <c r="B12" s="75"/>
      <c r="C12" s="77"/>
      <c r="D12" s="77"/>
      <c r="E12" s="77"/>
      <c r="F12" s="76"/>
      <c r="G12" s="77"/>
      <c r="H12" s="77"/>
      <c r="I12" s="77"/>
      <c r="J12" s="77"/>
      <c r="K12" s="77"/>
      <c r="L12" s="77"/>
      <c r="M12" s="77"/>
      <c r="N12" s="77"/>
      <c r="O12" s="77"/>
    </row>
    <row r="13" spans="1:15" x14ac:dyDescent="0.25">
      <c r="A13" s="76"/>
      <c r="B13" s="75"/>
      <c r="C13" s="77"/>
      <c r="D13" s="77"/>
      <c r="E13" s="77"/>
      <c r="F13" s="76"/>
      <c r="G13" s="77"/>
      <c r="H13" s="77"/>
      <c r="I13" s="77"/>
      <c r="J13" s="77"/>
      <c r="K13" s="77"/>
      <c r="L13" s="77"/>
      <c r="M13" s="77"/>
      <c r="N13" s="77"/>
      <c r="O13" s="77"/>
    </row>
    <row r="14" spans="1:15" x14ac:dyDescent="0.25">
      <c r="A14" s="76"/>
      <c r="B14" s="75"/>
      <c r="C14" s="77"/>
      <c r="D14" s="77"/>
      <c r="E14" s="77"/>
      <c r="F14" s="76"/>
      <c r="G14" s="77"/>
      <c r="H14" s="77"/>
      <c r="I14" s="77"/>
      <c r="J14" s="77"/>
      <c r="K14" s="77"/>
      <c r="L14" s="77"/>
      <c r="M14" s="77"/>
      <c r="N14" s="77"/>
      <c r="O14" s="77"/>
    </row>
    <row r="15" spans="1:15" x14ac:dyDescent="0.25">
      <c r="A15" s="76"/>
      <c r="B15" s="75"/>
      <c r="C15" s="77"/>
      <c r="D15" s="77"/>
      <c r="E15" s="77"/>
      <c r="F15" s="76"/>
      <c r="G15" s="77"/>
      <c r="H15" s="77"/>
      <c r="I15" s="77"/>
      <c r="J15" s="77"/>
      <c r="K15" s="77"/>
      <c r="L15" s="77"/>
      <c r="M15" s="77"/>
      <c r="N15" s="77"/>
      <c r="O15" s="77"/>
    </row>
    <row r="16" spans="1:15" x14ac:dyDescent="0.25">
      <c r="A16" s="76"/>
      <c r="B16" s="75"/>
      <c r="C16" s="77"/>
      <c r="D16" s="77"/>
      <c r="E16" s="77"/>
      <c r="F16" s="76"/>
      <c r="G16" s="77"/>
      <c r="H16" s="77"/>
      <c r="I16" s="77"/>
      <c r="J16" s="77"/>
      <c r="K16" s="77"/>
      <c r="L16" s="77"/>
      <c r="M16" s="77"/>
      <c r="N16" s="77"/>
      <c r="O16" s="77"/>
    </row>
    <row r="17" spans="1:15" x14ac:dyDescent="0.25">
      <c r="A17" s="76"/>
      <c r="B17" s="75"/>
      <c r="C17" s="77"/>
      <c r="D17" s="77"/>
      <c r="E17" s="77"/>
      <c r="F17" s="76"/>
      <c r="G17" s="77"/>
      <c r="H17" s="77"/>
      <c r="I17" s="77"/>
      <c r="J17" s="77"/>
      <c r="K17" s="77"/>
      <c r="L17" s="77"/>
      <c r="M17" s="77"/>
      <c r="N17" s="77"/>
      <c r="O17" s="77"/>
    </row>
    <row r="18" spans="1:15" x14ac:dyDescent="0.25">
      <c r="A18" s="76"/>
      <c r="B18" s="75"/>
      <c r="C18" s="77"/>
      <c r="D18" s="77"/>
      <c r="E18" s="77"/>
      <c r="F18" s="76"/>
      <c r="G18" s="77"/>
      <c r="H18" s="77"/>
      <c r="I18" s="77"/>
      <c r="J18" s="77"/>
      <c r="K18" s="77"/>
      <c r="L18" s="77"/>
      <c r="M18" s="77"/>
      <c r="N18" s="77"/>
      <c r="O18" s="77"/>
    </row>
    <row r="19" spans="1:15" x14ac:dyDescent="0.25">
      <c r="A19" s="76"/>
      <c r="B19" s="75"/>
      <c r="C19" s="77"/>
      <c r="D19" s="77"/>
      <c r="E19" s="77"/>
      <c r="F19" s="76"/>
      <c r="G19" s="77"/>
      <c r="H19" s="77"/>
      <c r="I19" s="77"/>
      <c r="J19" s="77"/>
      <c r="K19" s="77"/>
      <c r="L19" s="77"/>
      <c r="M19" s="77"/>
      <c r="N19" s="77"/>
      <c r="O19" s="77"/>
    </row>
    <row r="20" spans="1:15" x14ac:dyDescent="0.25">
      <c r="A20" s="76"/>
      <c r="B20" s="75"/>
      <c r="C20" s="77"/>
      <c r="D20" s="77"/>
      <c r="E20" s="77"/>
      <c r="F20" s="76"/>
      <c r="G20" s="77"/>
      <c r="H20" s="77"/>
      <c r="I20" s="77"/>
      <c r="J20" s="77"/>
      <c r="K20" s="77"/>
      <c r="L20" s="77"/>
      <c r="M20" s="77"/>
      <c r="N20" s="77"/>
      <c r="O20" s="77"/>
    </row>
    <row r="21" spans="1:15" x14ac:dyDescent="0.25">
      <c r="A21" s="76"/>
      <c r="B21" s="75"/>
      <c r="C21" s="77"/>
      <c r="D21" s="77"/>
      <c r="E21" s="77"/>
      <c r="F21" s="76"/>
      <c r="G21" s="77"/>
      <c r="H21" s="77"/>
      <c r="I21" s="77"/>
      <c r="J21" s="77"/>
      <c r="K21" s="77"/>
      <c r="L21" s="77"/>
      <c r="M21" s="77"/>
      <c r="N21" s="77"/>
      <c r="O21" s="77"/>
    </row>
    <row r="22" spans="1:15" x14ac:dyDescent="0.25">
      <c r="A22" s="76"/>
      <c r="B22" s="75"/>
      <c r="C22" s="77"/>
      <c r="D22" s="77"/>
      <c r="E22" s="77"/>
      <c r="F22" s="76"/>
      <c r="G22" s="77"/>
      <c r="H22" s="77"/>
      <c r="I22" s="77"/>
      <c r="J22" s="77"/>
      <c r="K22" s="77"/>
      <c r="L22" s="77"/>
      <c r="M22" s="77"/>
      <c r="N22" s="77"/>
      <c r="O22" s="77"/>
    </row>
    <row r="23" spans="1:15" x14ac:dyDescent="0.25">
      <c r="A23" s="76"/>
      <c r="B23" s="75"/>
      <c r="C23" s="77"/>
      <c r="D23" s="77"/>
      <c r="E23" s="77"/>
      <c r="F23" s="76"/>
      <c r="G23" s="77"/>
      <c r="H23" s="77"/>
      <c r="I23" s="77"/>
      <c r="J23" s="77"/>
      <c r="K23" s="77"/>
      <c r="L23" s="77"/>
      <c r="M23" s="77"/>
      <c r="N23" s="77"/>
      <c r="O23" s="77"/>
    </row>
    <row r="24" spans="1:15" x14ac:dyDescent="0.25">
      <c r="A24" s="76"/>
      <c r="B24" s="75"/>
      <c r="C24" s="77"/>
      <c r="D24" s="77"/>
      <c r="E24" s="77"/>
      <c r="F24" s="76"/>
      <c r="G24" s="77"/>
      <c r="H24" s="77"/>
      <c r="I24" s="77"/>
      <c r="J24" s="77"/>
      <c r="K24" s="77"/>
      <c r="L24" s="77"/>
      <c r="M24" s="77"/>
      <c r="N24" s="77"/>
      <c r="O24" s="77"/>
    </row>
    <row r="25" spans="1:15" x14ac:dyDescent="0.25">
      <c r="A25" s="76"/>
      <c r="B25" s="75"/>
      <c r="C25" s="77"/>
      <c r="D25" s="77"/>
      <c r="E25" s="77"/>
      <c r="F25" s="76"/>
      <c r="G25" s="77"/>
      <c r="H25" s="77"/>
      <c r="I25" s="77"/>
      <c r="J25" s="77"/>
      <c r="K25" s="77"/>
      <c r="L25" s="77"/>
      <c r="M25" s="77"/>
      <c r="N25" s="77"/>
      <c r="O25" s="7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322"/>
  <sheetViews>
    <sheetView tabSelected="1" workbookViewId="0">
      <selection activeCell="E320" sqref="E320"/>
    </sheetView>
  </sheetViews>
  <sheetFormatPr baseColWidth="10" defaultColWidth="10.5703125" defaultRowHeight="21" customHeight="1" x14ac:dyDescent="0.25"/>
  <cols>
    <col min="1" max="1" width="33.42578125" style="41" customWidth="1"/>
    <col min="2" max="2" width="12.42578125" style="41" customWidth="1"/>
    <col min="3" max="3" width="9.5703125" style="41" customWidth="1"/>
    <col min="4" max="4" width="11.42578125" style="96" customWidth="1"/>
    <col min="5" max="5" width="33.5703125" style="102" customWidth="1"/>
    <col min="6" max="6" width="27.5703125" style="41" customWidth="1"/>
    <col min="7" max="16384" width="10.5703125" style="41"/>
  </cols>
  <sheetData>
    <row r="1" spans="1:6" s="93" customFormat="1" ht="30" x14ac:dyDescent="0.25">
      <c r="A1" s="89" t="s">
        <v>3</v>
      </c>
      <c r="B1" s="90" t="s">
        <v>99</v>
      </c>
      <c r="C1" s="90" t="s">
        <v>29</v>
      </c>
      <c r="D1" s="91" t="s">
        <v>378</v>
      </c>
      <c r="E1" s="102" t="s">
        <v>100</v>
      </c>
      <c r="F1" s="92" t="s">
        <v>102</v>
      </c>
    </row>
    <row r="2" spans="1:6" s="11" customFormat="1" ht="21" hidden="1" customHeight="1" x14ac:dyDescent="0.25">
      <c r="A2" s="89" t="s">
        <v>446</v>
      </c>
      <c r="B2" s="94">
        <v>30</v>
      </c>
      <c r="C2" s="95">
        <v>0.19</v>
      </c>
      <c r="D2" s="96" t="s">
        <v>380</v>
      </c>
      <c r="E2" s="102" t="s">
        <v>1560</v>
      </c>
      <c r="F2" s="41"/>
    </row>
    <row r="3" spans="1:6" s="11" customFormat="1" ht="21" hidden="1" customHeight="1" x14ac:dyDescent="0.25">
      <c r="A3" s="89" t="s">
        <v>64</v>
      </c>
      <c r="B3" s="94">
        <v>30</v>
      </c>
      <c r="C3" s="95">
        <v>0.19</v>
      </c>
      <c r="D3" s="96" t="s">
        <v>380</v>
      </c>
      <c r="E3" s="102" t="s">
        <v>104</v>
      </c>
      <c r="F3" s="41"/>
    </row>
    <row r="4" spans="1:6" s="11" customFormat="1" ht="21" hidden="1" customHeight="1" x14ac:dyDescent="0.25">
      <c r="A4" s="89" t="s">
        <v>325</v>
      </c>
      <c r="B4" s="94">
        <v>30</v>
      </c>
      <c r="C4" s="95">
        <v>0</v>
      </c>
      <c r="D4" s="96">
        <v>0</v>
      </c>
      <c r="E4" s="102" t="s">
        <v>104</v>
      </c>
      <c r="F4" s="41"/>
    </row>
    <row r="5" spans="1:6" s="11" customFormat="1" ht="21" hidden="1" customHeight="1" x14ac:dyDescent="0.25">
      <c r="A5" s="89" t="s">
        <v>266</v>
      </c>
      <c r="B5" s="94">
        <v>30</v>
      </c>
      <c r="C5" s="95">
        <v>0</v>
      </c>
      <c r="D5" s="96">
        <v>0</v>
      </c>
      <c r="E5" s="102" t="s">
        <v>259</v>
      </c>
      <c r="F5" s="41" t="s">
        <v>258</v>
      </c>
    </row>
    <row r="6" spans="1:6" s="11" customFormat="1" ht="21" hidden="1" customHeight="1" x14ac:dyDescent="0.25">
      <c r="A6" s="89" t="s">
        <v>326</v>
      </c>
      <c r="B6" s="94">
        <v>30</v>
      </c>
      <c r="C6" s="95">
        <v>0</v>
      </c>
      <c r="D6" s="96">
        <v>0</v>
      </c>
      <c r="E6" s="102" t="s">
        <v>104</v>
      </c>
      <c r="F6" s="41"/>
    </row>
    <row r="7" spans="1:6" s="11" customFormat="1" ht="21" hidden="1" customHeight="1" x14ac:dyDescent="0.25">
      <c r="A7" s="89" t="s">
        <v>268</v>
      </c>
      <c r="B7" s="94">
        <v>30</v>
      </c>
      <c r="C7" s="95">
        <v>0</v>
      </c>
      <c r="D7" s="96">
        <v>0</v>
      </c>
      <c r="E7" s="102" t="s">
        <v>267</v>
      </c>
      <c r="F7" s="41"/>
    </row>
    <row r="8" spans="1:6" s="11" customFormat="1" ht="21" hidden="1" customHeight="1" x14ac:dyDescent="0.25">
      <c r="A8" s="89" t="s">
        <v>327</v>
      </c>
      <c r="B8" s="94">
        <v>30</v>
      </c>
      <c r="C8" s="95">
        <v>0</v>
      </c>
      <c r="D8" s="96">
        <v>0</v>
      </c>
      <c r="E8" s="102" t="s">
        <v>104</v>
      </c>
      <c r="F8" s="41"/>
    </row>
    <row r="9" spans="1:6" s="11" customFormat="1" ht="21" hidden="1" customHeight="1" x14ac:dyDescent="0.25">
      <c r="A9" s="89" t="s">
        <v>269</v>
      </c>
      <c r="B9" s="94">
        <v>30</v>
      </c>
      <c r="C9" s="95">
        <v>0</v>
      </c>
      <c r="D9" s="96">
        <v>0</v>
      </c>
      <c r="E9" s="102" t="s">
        <v>104</v>
      </c>
      <c r="F9" s="41"/>
    </row>
    <row r="10" spans="1:6" s="11" customFormat="1" ht="21" hidden="1" customHeight="1" x14ac:dyDescent="0.25">
      <c r="A10" s="89" t="s">
        <v>270</v>
      </c>
      <c r="B10" s="94">
        <v>0</v>
      </c>
      <c r="C10" s="95">
        <v>0</v>
      </c>
      <c r="D10" s="96">
        <v>0</v>
      </c>
      <c r="E10" s="102"/>
      <c r="F10" s="41"/>
    </row>
    <row r="11" spans="1:6" s="11" customFormat="1" ht="21" hidden="1" customHeight="1" x14ac:dyDescent="0.25">
      <c r="A11" s="89" t="s">
        <v>271</v>
      </c>
      <c r="B11" s="94">
        <v>30</v>
      </c>
      <c r="C11" s="95">
        <v>0</v>
      </c>
      <c r="D11" s="96">
        <v>0</v>
      </c>
      <c r="E11" s="102"/>
      <c r="F11" s="41"/>
    </row>
    <row r="12" spans="1:6" s="11" customFormat="1" ht="21" hidden="1" customHeight="1" x14ac:dyDescent="0.25">
      <c r="A12" s="89" t="s">
        <v>944</v>
      </c>
      <c r="B12" s="94">
        <v>30</v>
      </c>
      <c r="C12" s="95">
        <v>0</v>
      </c>
      <c r="D12" s="96">
        <v>0</v>
      </c>
      <c r="E12" s="124"/>
      <c r="F12" s="41"/>
    </row>
    <row r="13" spans="1:6" s="11" customFormat="1" ht="21" hidden="1" customHeight="1" x14ac:dyDescent="0.25">
      <c r="A13" s="89" t="s">
        <v>272</v>
      </c>
      <c r="B13" s="94">
        <v>30</v>
      </c>
      <c r="C13" s="95">
        <v>0</v>
      </c>
      <c r="D13" s="96">
        <v>0</v>
      </c>
      <c r="E13" s="102"/>
      <c r="F13" s="41"/>
    </row>
    <row r="14" spans="1:6" s="11" customFormat="1" ht="21" hidden="1" customHeight="1" x14ac:dyDescent="0.25">
      <c r="A14" s="89" t="s">
        <v>273</v>
      </c>
      <c r="B14" s="94">
        <v>30</v>
      </c>
      <c r="C14" s="95">
        <v>0</v>
      </c>
      <c r="D14" s="96">
        <v>0</v>
      </c>
      <c r="E14" s="102" t="s">
        <v>104</v>
      </c>
      <c r="F14" s="41"/>
    </row>
    <row r="15" spans="1:6" s="11" customFormat="1" ht="21" hidden="1" customHeight="1" x14ac:dyDescent="0.25">
      <c r="A15" s="89" t="s">
        <v>274</v>
      </c>
      <c r="B15" s="94">
        <v>30</v>
      </c>
      <c r="C15" s="95">
        <v>0</v>
      </c>
      <c r="D15" s="96">
        <v>0</v>
      </c>
      <c r="E15" s="102" t="s">
        <v>377</v>
      </c>
      <c r="F15" s="41"/>
    </row>
    <row r="16" spans="1:6" s="11" customFormat="1" ht="21" hidden="1" customHeight="1" x14ac:dyDescent="0.25">
      <c r="A16" s="89" t="s">
        <v>328</v>
      </c>
      <c r="B16" s="94">
        <v>30</v>
      </c>
      <c r="C16" s="95">
        <v>0</v>
      </c>
      <c r="D16" s="96">
        <v>0</v>
      </c>
      <c r="E16" s="102" t="s">
        <v>104</v>
      </c>
      <c r="F16" s="41"/>
    </row>
    <row r="17" spans="1:6" s="11" customFormat="1" ht="21" hidden="1" customHeight="1" x14ac:dyDescent="0.25">
      <c r="A17" s="89" t="s">
        <v>533</v>
      </c>
      <c r="B17" s="94">
        <v>30</v>
      </c>
      <c r="C17" s="95">
        <v>0</v>
      </c>
      <c r="D17" s="96">
        <v>0</v>
      </c>
      <c r="E17" s="124"/>
      <c r="F17" s="41"/>
    </row>
    <row r="18" spans="1:6" s="11" customFormat="1" ht="21" hidden="1" customHeight="1" x14ac:dyDescent="0.25">
      <c r="A18" s="89" t="s">
        <v>599</v>
      </c>
      <c r="B18" s="94">
        <v>30</v>
      </c>
      <c r="C18" s="95">
        <v>0</v>
      </c>
      <c r="D18" s="96">
        <v>0</v>
      </c>
      <c r="E18" s="124"/>
      <c r="F18" s="41"/>
    </row>
    <row r="19" spans="1:6" s="11" customFormat="1" ht="21" hidden="1" customHeight="1" x14ac:dyDescent="0.25">
      <c r="A19" s="89" t="s">
        <v>275</v>
      </c>
      <c r="B19" s="94">
        <v>30</v>
      </c>
      <c r="C19" s="95">
        <v>0</v>
      </c>
      <c r="D19" s="96">
        <v>0</v>
      </c>
      <c r="E19" s="102" t="s">
        <v>104</v>
      </c>
      <c r="F19" s="41"/>
    </row>
    <row r="20" spans="1:6" s="11" customFormat="1" ht="21" hidden="1" customHeight="1" x14ac:dyDescent="0.25">
      <c r="A20" s="89" t="s">
        <v>329</v>
      </c>
      <c r="B20" s="94">
        <v>30</v>
      </c>
      <c r="C20" s="95">
        <v>0</v>
      </c>
      <c r="D20" s="96">
        <v>0</v>
      </c>
      <c r="E20" s="102" t="s">
        <v>104</v>
      </c>
      <c r="F20" s="41"/>
    </row>
    <row r="21" spans="1:6" s="11" customFormat="1" ht="21" hidden="1" customHeight="1" x14ac:dyDescent="0.25">
      <c r="A21" s="89" t="s">
        <v>330</v>
      </c>
      <c r="B21" s="94">
        <v>30</v>
      </c>
      <c r="C21" s="95">
        <v>0</v>
      </c>
      <c r="D21" s="96">
        <v>0</v>
      </c>
      <c r="E21" s="102" t="s">
        <v>104</v>
      </c>
      <c r="F21" s="41"/>
    </row>
    <row r="22" spans="1:6" s="11" customFormat="1" ht="21" hidden="1" customHeight="1" x14ac:dyDescent="0.25">
      <c r="A22" s="89" t="s">
        <v>276</v>
      </c>
      <c r="B22" s="94">
        <v>10</v>
      </c>
      <c r="C22" s="95">
        <v>0</v>
      </c>
      <c r="D22" s="96">
        <v>0</v>
      </c>
      <c r="E22" s="102" t="s">
        <v>263</v>
      </c>
      <c r="F22" s="41"/>
    </row>
    <row r="23" spans="1:6" s="11" customFormat="1" ht="21" hidden="1" customHeight="1" x14ac:dyDescent="0.25">
      <c r="A23" s="89" t="s">
        <v>277</v>
      </c>
      <c r="B23" s="94">
        <v>30</v>
      </c>
      <c r="C23" s="95">
        <v>0</v>
      </c>
      <c r="D23" s="96">
        <v>0</v>
      </c>
      <c r="E23" s="102" t="s">
        <v>104</v>
      </c>
      <c r="F23" s="41"/>
    </row>
    <row r="24" spans="1:6" s="11" customFormat="1" ht="21" hidden="1" customHeight="1" x14ac:dyDescent="0.25">
      <c r="A24" s="89" t="s">
        <v>278</v>
      </c>
      <c r="B24" s="94">
        <v>30</v>
      </c>
      <c r="C24" s="95">
        <v>0</v>
      </c>
      <c r="D24" s="96">
        <v>0</v>
      </c>
      <c r="E24" s="102"/>
      <c r="F24" s="41"/>
    </row>
    <row r="25" spans="1:6" s="11" customFormat="1" ht="21" hidden="1" customHeight="1" x14ac:dyDescent="0.25">
      <c r="A25" s="89" t="s">
        <v>279</v>
      </c>
      <c r="B25" s="94">
        <v>30</v>
      </c>
      <c r="C25" s="95">
        <v>0</v>
      </c>
      <c r="D25" s="96">
        <v>0</v>
      </c>
      <c r="E25" s="102" t="s">
        <v>104</v>
      </c>
      <c r="F25" s="41"/>
    </row>
    <row r="26" spans="1:6" s="11" customFormat="1" ht="21" hidden="1" customHeight="1" x14ac:dyDescent="0.25">
      <c r="A26" s="89" t="s">
        <v>394</v>
      </c>
      <c r="B26" s="94">
        <v>30</v>
      </c>
      <c r="C26" s="95">
        <v>0</v>
      </c>
      <c r="D26" s="96">
        <v>0</v>
      </c>
      <c r="E26" s="102"/>
      <c r="F26" s="41"/>
    </row>
    <row r="27" spans="1:6" s="11" customFormat="1" ht="21" hidden="1" customHeight="1" x14ac:dyDescent="0.25">
      <c r="A27" s="89" t="s">
        <v>331</v>
      </c>
      <c r="B27" s="94">
        <v>30</v>
      </c>
      <c r="C27" s="95">
        <v>0</v>
      </c>
      <c r="D27" s="96">
        <v>0</v>
      </c>
      <c r="E27" s="102" t="s">
        <v>157</v>
      </c>
      <c r="F27" s="41"/>
    </row>
    <row r="28" spans="1:6" s="11" customFormat="1" ht="21" hidden="1" customHeight="1" x14ac:dyDescent="0.25">
      <c r="A28" s="89" t="s">
        <v>907</v>
      </c>
      <c r="B28" s="94">
        <v>30</v>
      </c>
      <c r="C28" s="95">
        <v>0</v>
      </c>
      <c r="D28" s="96">
        <v>0</v>
      </c>
      <c r="E28" s="124"/>
      <c r="F28" s="41"/>
    </row>
    <row r="29" spans="1:6" s="11" customFormat="1" ht="21" hidden="1" customHeight="1" x14ac:dyDescent="0.25">
      <c r="A29" s="89" t="s">
        <v>280</v>
      </c>
      <c r="B29" s="94">
        <v>30</v>
      </c>
      <c r="C29" s="95">
        <v>0</v>
      </c>
      <c r="D29" s="96">
        <v>0</v>
      </c>
      <c r="E29" s="102" t="s">
        <v>227</v>
      </c>
      <c r="F29" s="41"/>
    </row>
    <row r="30" spans="1:6" s="11" customFormat="1" ht="21" hidden="1" customHeight="1" x14ac:dyDescent="0.25">
      <c r="A30" s="89" t="s">
        <v>281</v>
      </c>
      <c r="B30" s="94">
        <v>30</v>
      </c>
      <c r="C30" s="95">
        <v>0</v>
      </c>
      <c r="D30" s="96">
        <v>0</v>
      </c>
      <c r="E30" s="102"/>
      <c r="F30" s="41"/>
    </row>
    <row r="31" spans="1:6" s="11" customFormat="1" ht="21" hidden="1" customHeight="1" x14ac:dyDescent="0.25">
      <c r="A31" s="89" t="s">
        <v>282</v>
      </c>
      <c r="B31" s="94">
        <v>30</v>
      </c>
      <c r="C31" s="95">
        <v>0</v>
      </c>
      <c r="D31" s="96">
        <v>0</v>
      </c>
      <c r="E31" s="102"/>
      <c r="F31" s="41"/>
    </row>
    <row r="32" spans="1:6" s="11" customFormat="1" ht="21" hidden="1" customHeight="1" x14ac:dyDescent="0.25">
      <c r="A32" s="89" t="s">
        <v>392</v>
      </c>
      <c r="B32" s="94">
        <v>10</v>
      </c>
      <c r="C32" s="95">
        <v>0</v>
      </c>
      <c r="D32" s="96">
        <v>0</v>
      </c>
      <c r="E32" s="102" t="s">
        <v>264</v>
      </c>
      <c r="F32" s="41"/>
    </row>
    <row r="33" spans="1:6" s="11" customFormat="1" ht="21" hidden="1" customHeight="1" x14ac:dyDescent="0.25">
      <c r="A33" s="89" t="s">
        <v>283</v>
      </c>
      <c r="B33" s="94">
        <v>30</v>
      </c>
      <c r="C33" s="95">
        <v>0</v>
      </c>
      <c r="D33" s="96">
        <v>0</v>
      </c>
      <c r="E33" s="102"/>
      <c r="F33" s="41"/>
    </row>
    <row r="34" spans="1:6" s="11" customFormat="1" ht="21" hidden="1" customHeight="1" x14ac:dyDescent="0.25">
      <c r="A34" s="89" t="s">
        <v>285</v>
      </c>
      <c r="B34" s="94">
        <v>30</v>
      </c>
      <c r="C34" s="95">
        <v>0</v>
      </c>
      <c r="D34" s="96">
        <v>0</v>
      </c>
      <c r="E34" s="102" t="s">
        <v>104</v>
      </c>
      <c r="F34" s="41"/>
    </row>
    <row r="35" spans="1:6" s="11" customFormat="1" ht="21" hidden="1" customHeight="1" x14ac:dyDescent="0.25">
      <c r="A35" s="89" t="s">
        <v>286</v>
      </c>
      <c r="B35" s="94">
        <v>30</v>
      </c>
      <c r="C35" s="95">
        <v>0</v>
      </c>
      <c r="D35" s="96">
        <v>0</v>
      </c>
      <c r="E35" s="102" t="s">
        <v>104</v>
      </c>
      <c r="F35" s="41"/>
    </row>
    <row r="36" spans="1:6" s="11" customFormat="1" ht="21" hidden="1" customHeight="1" x14ac:dyDescent="0.25">
      <c r="A36" s="89" t="s">
        <v>332</v>
      </c>
      <c r="B36" s="94">
        <v>30</v>
      </c>
      <c r="C36" s="95">
        <v>0</v>
      </c>
      <c r="D36" s="96">
        <v>0</v>
      </c>
      <c r="E36" s="102" t="s">
        <v>104</v>
      </c>
      <c r="F36" s="41" t="s">
        <v>130</v>
      </c>
    </row>
    <row r="37" spans="1:6" s="11" customFormat="1" ht="21" hidden="1" customHeight="1" x14ac:dyDescent="0.25">
      <c r="A37" s="89" t="s">
        <v>333</v>
      </c>
      <c r="B37" s="94">
        <v>30</v>
      </c>
      <c r="C37" s="95">
        <v>0</v>
      </c>
      <c r="D37" s="96">
        <v>0</v>
      </c>
      <c r="E37" s="102"/>
      <c r="F37" s="41"/>
    </row>
    <row r="38" spans="1:6" s="11" customFormat="1" ht="21" hidden="1" customHeight="1" x14ac:dyDescent="0.25">
      <c r="A38" s="89" t="s">
        <v>334</v>
      </c>
      <c r="B38" s="94">
        <v>30</v>
      </c>
      <c r="C38" s="95">
        <v>0</v>
      </c>
      <c r="D38" s="96">
        <v>0</v>
      </c>
      <c r="E38" s="102" t="s">
        <v>104</v>
      </c>
      <c r="F38" s="41"/>
    </row>
    <row r="39" spans="1:6" s="11" customFormat="1" ht="21" hidden="1" customHeight="1" x14ac:dyDescent="0.25">
      <c r="A39" s="89" t="s">
        <v>335</v>
      </c>
      <c r="B39" s="94">
        <v>30</v>
      </c>
      <c r="C39" s="95">
        <v>0</v>
      </c>
      <c r="D39" s="96">
        <v>0</v>
      </c>
      <c r="E39" s="102" t="s">
        <v>104</v>
      </c>
      <c r="F39" s="41"/>
    </row>
    <row r="40" spans="1:6" s="11" customFormat="1" ht="21" hidden="1" customHeight="1" x14ac:dyDescent="0.25">
      <c r="A40" s="89" t="s">
        <v>336</v>
      </c>
      <c r="B40" s="94">
        <v>30</v>
      </c>
      <c r="C40" s="95">
        <v>0</v>
      </c>
      <c r="D40" s="96">
        <v>0</v>
      </c>
      <c r="E40" s="102" t="s">
        <v>104</v>
      </c>
      <c r="F40" s="41"/>
    </row>
    <row r="41" spans="1:6" s="11" customFormat="1" ht="21" hidden="1" customHeight="1" x14ac:dyDescent="0.25">
      <c r="A41" s="89" t="s">
        <v>455</v>
      </c>
      <c r="B41" s="94">
        <v>30</v>
      </c>
      <c r="C41" s="95">
        <v>0</v>
      </c>
      <c r="D41" s="96">
        <v>0</v>
      </c>
      <c r="E41" s="124"/>
      <c r="F41" s="41"/>
    </row>
    <row r="42" spans="1:6" s="11" customFormat="1" ht="21" hidden="1" customHeight="1" x14ac:dyDescent="0.25">
      <c r="A42" s="89" t="s">
        <v>287</v>
      </c>
      <c r="B42" s="94">
        <v>30</v>
      </c>
      <c r="C42" s="95">
        <v>0</v>
      </c>
      <c r="D42" s="96">
        <v>0</v>
      </c>
      <c r="E42" s="102" t="s">
        <v>430</v>
      </c>
      <c r="F42" s="41"/>
    </row>
    <row r="43" spans="1:6" s="11" customFormat="1" ht="21" hidden="1" customHeight="1" x14ac:dyDescent="0.25">
      <c r="A43" s="89" t="s">
        <v>337</v>
      </c>
      <c r="B43" s="94">
        <v>90</v>
      </c>
      <c r="C43" s="95">
        <v>0</v>
      </c>
      <c r="D43" s="96">
        <v>0</v>
      </c>
      <c r="E43" s="102" t="s">
        <v>104</v>
      </c>
      <c r="F43" s="41"/>
    </row>
    <row r="44" spans="1:6" s="11" customFormat="1" ht="21" hidden="1" customHeight="1" x14ac:dyDescent="0.25">
      <c r="A44" s="89" t="s">
        <v>288</v>
      </c>
      <c r="B44" s="94">
        <v>30</v>
      </c>
      <c r="C44" s="95">
        <v>0</v>
      </c>
      <c r="D44" s="96">
        <v>0</v>
      </c>
      <c r="E44" s="102"/>
      <c r="F44" s="41"/>
    </row>
    <row r="45" spans="1:6" s="11" customFormat="1" ht="21" hidden="1" customHeight="1" x14ac:dyDescent="0.25">
      <c r="A45" s="89" t="s">
        <v>290</v>
      </c>
      <c r="B45" s="94">
        <v>60</v>
      </c>
      <c r="C45" s="95">
        <v>0</v>
      </c>
      <c r="D45" s="96">
        <v>0</v>
      </c>
      <c r="E45" s="102" t="s">
        <v>289</v>
      </c>
      <c r="F45" s="41"/>
    </row>
    <row r="46" spans="1:6" s="11" customFormat="1" ht="21" hidden="1" customHeight="1" x14ac:dyDescent="0.25">
      <c r="A46" s="89" t="s">
        <v>291</v>
      </c>
      <c r="B46" s="94">
        <v>30</v>
      </c>
      <c r="C46" s="95">
        <v>0</v>
      </c>
      <c r="D46" s="96">
        <v>0</v>
      </c>
      <c r="E46" s="102" t="s">
        <v>104</v>
      </c>
      <c r="F46" s="41"/>
    </row>
    <row r="47" spans="1:6" s="11" customFormat="1" ht="21" hidden="1" customHeight="1" x14ac:dyDescent="0.25">
      <c r="A47" s="89" t="s">
        <v>338</v>
      </c>
      <c r="B47" s="94">
        <v>30</v>
      </c>
      <c r="C47" s="95">
        <v>0</v>
      </c>
      <c r="D47" s="96">
        <v>0</v>
      </c>
      <c r="E47" s="102"/>
      <c r="F47" s="41"/>
    </row>
    <row r="48" spans="1:6" s="11" customFormat="1" ht="21" hidden="1" customHeight="1" x14ac:dyDescent="0.25">
      <c r="A48" s="89" t="s">
        <v>292</v>
      </c>
      <c r="B48" s="94">
        <v>30</v>
      </c>
      <c r="C48" s="95">
        <v>0</v>
      </c>
      <c r="D48" s="96">
        <v>0</v>
      </c>
      <c r="E48" s="102" t="s">
        <v>104</v>
      </c>
      <c r="F48" s="41"/>
    </row>
    <row r="49" spans="1:6" s="11" customFormat="1" ht="21" hidden="1" customHeight="1" x14ac:dyDescent="0.25">
      <c r="A49" s="89" t="s">
        <v>293</v>
      </c>
      <c r="B49" s="94">
        <v>30</v>
      </c>
      <c r="C49" s="95">
        <v>0</v>
      </c>
      <c r="D49" s="96">
        <v>0</v>
      </c>
      <c r="E49" s="102" t="s">
        <v>104</v>
      </c>
      <c r="F49" s="41"/>
    </row>
    <row r="50" spans="1:6" s="11" customFormat="1" ht="21" hidden="1" customHeight="1" x14ac:dyDescent="0.25">
      <c r="A50" s="89" t="s">
        <v>339</v>
      </c>
      <c r="B50" s="94">
        <v>30</v>
      </c>
      <c r="C50" s="95">
        <v>0</v>
      </c>
      <c r="D50" s="96">
        <v>0</v>
      </c>
      <c r="E50" s="102" t="s">
        <v>166</v>
      </c>
      <c r="F50" s="41" t="s">
        <v>129</v>
      </c>
    </row>
    <row r="51" spans="1:6" s="11" customFormat="1" ht="21" hidden="1" customHeight="1" x14ac:dyDescent="0.25">
      <c r="A51" s="89" t="s">
        <v>294</v>
      </c>
      <c r="B51" s="94">
        <v>30</v>
      </c>
      <c r="C51" s="95">
        <v>0</v>
      </c>
      <c r="D51" s="96">
        <v>0</v>
      </c>
      <c r="E51" s="102"/>
      <c r="F51" s="41"/>
    </row>
    <row r="52" spans="1:6" s="11" customFormat="1" ht="21" hidden="1" customHeight="1" x14ac:dyDescent="0.25">
      <c r="A52" s="89" t="s">
        <v>486</v>
      </c>
      <c r="B52" s="94">
        <v>30</v>
      </c>
      <c r="C52" s="95">
        <v>0</v>
      </c>
      <c r="D52" s="96">
        <v>0</v>
      </c>
      <c r="E52" s="102" t="s">
        <v>158</v>
      </c>
      <c r="F52" s="90"/>
    </row>
    <row r="53" spans="1:6" s="11" customFormat="1" ht="21" hidden="1" customHeight="1" x14ac:dyDescent="0.25">
      <c r="A53" s="89" t="s">
        <v>295</v>
      </c>
      <c r="B53" s="94">
        <v>30</v>
      </c>
      <c r="C53" s="95">
        <v>0</v>
      </c>
      <c r="D53" s="96">
        <v>0</v>
      </c>
      <c r="E53" s="102"/>
      <c r="F53" s="41"/>
    </row>
    <row r="54" spans="1:6" s="11" customFormat="1" ht="21" hidden="1" customHeight="1" x14ac:dyDescent="0.25">
      <c r="A54" s="89" t="s">
        <v>1170</v>
      </c>
      <c r="B54" s="94">
        <v>0</v>
      </c>
      <c r="C54" s="95">
        <v>0</v>
      </c>
      <c r="D54" s="96">
        <v>0</v>
      </c>
      <c r="E54" s="124"/>
      <c r="F54" s="41"/>
    </row>
    <row r="55" spans="1:6" s="11" customFormat="1" ht="21" hidden="1" customHeight="1" x14ac:dyDescent="0.25">
      <c r="A55" s="89" t="s">
        <v>1218</v>
      </c>
      <c r="B55" s="94">
        <v>30</v>
      </c>
      <c r="C55" s="95">
        <v>0</v>
      </c>
      <c r="D55" s="96">
        <v>0</v>
      </c>
      <c r="E55" s="124"/>
      <c r="F55" s="41"/>
    </row>
    <row r="56" spans="1:6" s="11" customFormat="1" ht="21" hidden="1" customHeight="1" x14ac:dyDescent="0.25">
      <c r="A56" s="89" t="s">
        <v>296</v>
      </c>
      <c r="B56" s="94">
        <v>30</v>
      </c>
      <c r="C56" s="95">
        <v>0</v>
      </c>
      <c r="D56" s="96">
        <v>0</v>
      </c>
      <c r="E56" s="102" t="s">
        <v>241</v>
      </c>
      <c r="F56" s="41" t="s">
        <v>143</v>
      </c>
    </row>
    <row r="57" spans="1:6" s="11" customFormat="1" ht="21" hidden="1" customHeight="1" x14ac:dyDescent="0.25">
      <c r="A57" s="89" t="s">
        <v>340</v>
      </c>
      <c r="B57" s="94">
        <v>30</v>
      </c>
      <c r="C57" s="95">
        <v>0</v>
      </c>
      <c r="D57" s="96">
        <v>0</v>
      </c>
      <c r="E57" s="102" t="s">
        <v>104</v>
      </c>
      <c r="F57" s="41"/>
    </row>
    <row r="58" spans="1:6" s="11" customFormat="1" ht="21" hidden="1" customHeight="1" x14ac:dyDescent="0.25">
      <c r="A58" s="89" t="s">
        <v>297</v>
      </c>
      <c r="B58" s="94">
        <v>30</v>
      </c>
      <c r="C58" s="95">
        <v>0</v>
      </c>
      <c r="D58" s="96">
        <v>0</v>
      </c>
      <c r="E58" s="102" t="s">
        <v>104</v>
      </c>
      <c r="F58" s="41"/>
    </row>
    <row r="59" spans="1:6" s="11" customFormat="1" ht="21" hidden="1" customHeight="1" x14ac:dyDescent="0.25">
      <c r="A59" s="89" t="s">
        <v>341</v>
      </c>
      <c r="B59" s="94">
        <v>30</v>
      </c>
      <c r="C59" s="95">
        <v>0</v>
      </c>
      <c r="D59" s="96">
        <v>0</v>
      </c>
      <c r="E59" s="102" t="s">
        <v>104</v>
      </c>
      <c r="F59" s="41"/>
    </row>
    <row r="60" spans="1:6" s="11" customFormat="1" ht="21" hidden="1" customHeight="1" x14ac:dyDescent="0.25">
      <c r="A60" s="89" t="s">
        <v>298</v>
      </c>
      <c r="B60" s="94">
        <v>20</v>
      </c>
      <c r="C60" s="95">
        <v>0</v>
      </c>
      <c r="D60" s="96">
        <v>0</v>
      </c>
      <c r="E60" s="102"/>
      <c r="F60" s="41"/>
    </row>
    <row r="61" spans="1:6" s="11" customFormat="1" ht="21" hidden="1" customHeight="1" x14ac:dyDescent="0.25">
      <c r="A61" s="89" t="s">
        <v>342</v>
      </c>
      <c r="B61" s="94">
        <v>30</v>
      </c>
      <c r="C61" s="95">
        <v>0</v>
      </c>
      <c r="D61" s="96">
        <v>0</v>
      </c>
      <c r="E61" s="102" t="s">
        <v>104</v>
      </c>
      <c r="F61" s="41"/>
    </row>
    <row r="62" spans="1:6" s="11" customFormat="1" ht="21" hidden="1" customHeight="1" x14ac:dyDescent="0.25">
      <c r="A62" s="89" t="s">
        <v>856</v>
      </c>
      <c r="B62" s="94">
        <v>30</v>
      </c>
      <c r="C62" s="95">
        <v>0</v>
      </c>
      <c r="D62" s="96">
        <v>0</v>
      </c>
      <c r="E62" s="124"/>
      <c r="F62" s="41"/>
    </row>
    <row r="63" spans="1:6" s="11" customFormat="1" ht="21" hidden="1" customHeight="1" x14ac:dyDescent="0.25">
      <c r="A63" s="89" t="s">
        <v>343</v>
      </c>
      <c r="B63" s="94">
        <v>30</v>
      </c>
      <c r="C63" s="95">
        <v>0</v>
      </c>
      <c r="D63" s="96">
        <v>0</v>
      </c>
      <c r="E63" s="102" t="s">
        <v>444</v>
      </c>
      <c r="F63" s="41"/>
    </row>
    <row r="64" spans="1:6" s="11" customFormat="1" ht="21" hidden="1" customHeight="1" x14ac:dyDescent="0.25">
      <c r="A64" s="89" t="s">
        <v>344</v>
      </c>
      <c r="B64" s="94">
        <v>30</v>
      </c>
      <c r="C64" s="95">
        <v>0</v>
      </c>
      <c r="D64" s="96">
        <v>0</v>
      </c>
      <c r="E64" s="102" t="s">
        <v>104</v>
      </c>
      <c r="F64" s="41"/>
    </row>
    <row r="65" spans="1:6" s="11" customFormat="1" ht="21" hidden="1" customHeight="1" x14ac:dyDescent="0.25">
      <c r="A65" s="89" t="s">
        <v>345</v>
      </c>
      <c r="B65" s="94">
        <v>30</v>
      </c>
      <c r="C65" s="95">
        <v>0</v>
      </c>
      <c r="D65" s="96">
        <v>0</v>
      </c>
      <c r="E65" s="102" t="s">
        <v>104</v>
      </c>
      <c r="F65" s="41"/>
    </row>
    <row r="66" spans="1:6" s="11" customFormat="1" ht="21" hidden="1" customHeight="1" x14ac:dyDescent="0.25">
      <c r="A66" s="89" t="s">
        <v>513</v>
      </c>
      <c r="B66" s="94">
        <v>30</v>
      </c>
      <c r="C66" s="95">
        <v>0</v>
      </c>
      <c r="D66" s="96">
        <v>0</v>
      </c>
      <c r="E66" s="124"/>
      <c r="F66" s="41"/>
    </row>
    <row r="67" spans="1:6" s="11" customFormat="1" ht="21" hidden="1" customHeight="1" x14ac:dyDescent="0.25">
      <c r="A67" s="89" t="s">
        <v>299</v>
      </c>
      <c r="B67" s="94">
        <v>30</v>
      </c>
      <c r="C67" s="95">
        <v>0</v>
      </c>
      <c r="D67" s="96">
        <v>0</v>
      </c>
      <c r="E67" s="102" t="s">
        <v>104</v>
      </c>
      <c r="F67" s="41"/>
    </row>
    <row r="68" spans="1:6" s="11" customFormat="1" ht="21" hidden="1" customHeight="1" x14ac:dyDescent="0.25">
      <c r="A68" s="89" t="s">
        <v>465</v>
      </c>
      <c r="B68" s="94">
        <v>30</v>
      </c>
      <c r="C68" s="95">
        <v>0</v>
      </c>
      <c r="D68" s="96">
        <v>0</v>
      </c>
      <c r="E68" s="102" t="s">
        <v>104</v>
      </c>
      <c r="F68" s="41"/>
    </row>
    <row r="69" spans="1:6" s="11" customFormat="1" ht="21" hidden="1" customHeight="1" x14ac:dyDescent="0.25">
      <c r="A69" s="89" t="s">
        <v>301</v>
      </c>
      <c r="B69" s="94">
        <v>30</v>
      </c>
      <c r="C69" s="95">
        <v>0</v>
      </c>
      <c r="D69" s="96">
        <v>0</v>
      </c>
      <c r="E69" s="102" t="s">
        <v>231</v>
      </c>
      <c r="F69" s="41"/>
    </row>
    <row r="70" spans="1:6" s="11" customFormat="1" ht="21" hidden="1" customHeight="1" x14ac:dyDescent="0.25">
      <c r="A70" s="89" t="s">
        <v>302</v>
      </c>
      <c r="B70" s="94">
        <v>30</v>
      </c>
      <c r="C70" s="95">
        <v>0</v>
      </c>
      <c r="D70" s="96">
        <v>0</v>
      </c>
      <c r="E70" s="102"/>
      <c r="F70" s="41"/>
    </row>
    <row r="71" spans="1:6" s="11" customFormat="1" ht="21" hidden="1" customHeight="1" x14ac:dyDescent="0.25">
      <c r="A71" s="89" t="s">
        <v>346</v>
      </c>
      <c r="B71" s="94">
        <v>30</v>
      </c>
      <c r="C71" s="95">
        <v>0</v>
      </c>
      <c r="D71" s="96">
        <v>0</v>
      </c>
      <c r="E71" s="102" t="s">
        <v>104</v>
      </c>
      <c r="F71" s="41"/>
    </row>
    <row r="72" spans="1:6" s="11" customFormat="1" ht="21" hidden="1" customHeight="1" x14ac:dyDescent="0.25">
      <c r="A72" s="89" t="s">
        <v>514</v>
      </c>
      <c r="B72" s="94">
        <v>30</v>
      </c>
      <c r="C72" s="95">
        <v>0</v>
      </c>
      <c r="D72" s="96">
        <v>0</v>
      </c>
      <c r="E72" s="124"/>
      <c r="F72" s="41"/>
    </row>
    <row r="73" spans="1:6" s="11" customFormat="1" ht="21" hidden="1" customHeight="1" x14ac:dyDescent="0.25">
      <c r="A73" s="89" t="s">
        <v>303</v>
      </c>
      <c r="B73" s="94">
        <v>30</v>
      </c>
      <c r="C73" s="95">
        <v>0</v>
      </c>
      <c r="D73" s="96">
        <v>0</v>
      </c>
      <c r="E73" s="102" t="s">
        <v>104</v>
      </c>
      <c r="F73" s="41" t="s">
        <v>134</v>
      </c>
    </row>
    <row r="74" spans="1:6" s="11" customFormat="1" ht="21" hidden="1" customHeight="1" x14ac:dyDescent="0.25">
      <c r="A74" s="89" t="s">
        <v>433</v>
      </c>
      <c r="B74" s="94">
        <v>30</v>
      </c>
      <c r="C74" s="95">
        <v>0</v>
      </c>
      <c r="D74" s="96">
        <v>0</v>
      </c>
      <c r="E74" s="102"/>
      <c r="F74" s="41"/>
    </row>
    <row r="75" spans="1:6" s="11" customFormat="1" ht="21" hidden="1" customHeight="1" x14ac:dyDescent="0.25">
      <c r="A75" s="89" t="s">
        <v>347</v>
      </c>
      <c r="B75" s="94">
        <v>30</v>
      </c>
      <c r="C75" s="95">
        <v>0</v>
      </c>
      <c r="D75" s="96">
        <v>0</v>
      </c>
      <c r="E75" s="102" t="s">
        <v>104</v>
      </c>
      <c r="F75" s="41"/>
    </row>
    <row r="76" spans="1:6" s="11" customFormat="1" ht="21" hidden="1" customHeight="1" x14ac:dyDescent="0.25">
      <c r="A76" s="89" t="s">
        <v>304</v>
      </c>
      <c r="B76" s="94">
        <v>30</v>
      </c>
      <c r="C76" s="95">
        <v>0</v>
      </c>
      <c r="D76" s="96">
        <v>0</v>
      </c>
      <c r="E76" s="102" t="s">
        <v>104</v>
      </c>
      <c r="F76" s="41"/>
    </row>
    <row r="77" spans="1:6" s="11" customFormat="1" ht="21" hidden="1" customHeight="1" x14ac:dyDescent="0.25">
      <c r="A77" s="89" t="s">
        <v>348</v>
      </c>
      <c r="B77" s="94">
        <v>30</v>
      </c>
      <c r="C77" s="95">
        <v>0</v>
      </c>
      <c r="D77" s="96">
        <v>0</v>
      </c>
      <c r="E77" s="102" t="s">
        <v>104</v>
      </c>
      <c r="F77" s="41"/>
    </row>
    <row r="78" spans="1:6" s="11" customFormat="1" ht="21" hidden="1" customHeight="1" x14ac:dyDescent="0.25">
      <c r="A78" s="89" t="s">
        <v>305</v>
      </c>
      <c r="B78" s="94">
        <v>30</v>
      </c>
      <c r="C78" s="95">
        <v>0</v>
      </c>
      <c r="D78" s="96">
        <v>0</v>
      </c>
      <c r="E78" s="102" t="s">
        <v>104</v>
      </c>
      <c r="F78" s="41"/>
    </row>
    <row r="79" spans="1:6" s="11" customFormat="1" ht="21" hidden="1" customHeight="1" x14ac:dyDescent="0.25">
      <c r="A79" s="89" t="s">
        <v>349</v>
      </c>
      <c r="B79" s="94">
        <v>30</v>
      </c>
      <c r="C79" s="95">
        <v>0</v>
      </c>
      <c r="D79" s="96">
        <v>0</v>
      </c>
      <c r="E79" s="102" t="s">
        <v>104</v>
      </c>
      <c r="F79" s="41"/>
    </row>
    <row r="80" spans="1:6" s="11" customFormat="1" ht="21" hidden="1" customHeight="1" x14ac:dyDescent="0.25">
      <c r="A80" s="89" t="s">
        <v>306</v>
      </c>
      <c r="B80" s="94">
        <v>30</v>
      </c>
      <c r="C80" s="95">
        <v>0</v>
      </c>
      <c r="D80" s="96">
        <v>0</v>
      </c>
      <c r="E80" s="102" t="s">
        <v>104</v>
      </c>
      <c r="F80" s="41"/>
    </row>
    <row r="81" spans="1:6" s="11" customFormat="1" ht="21" hidden="1" customHeight="1" x14ac:dyDescent="0.25">
      <c r="A81" s="89" t="s">
        <v>350</v>
      </c>
      <c r="B81" s="94">
        <v>30</v>
      </c>
      <c r="C81" s="95">
        <v>0</v>
      </c>
      <c r="D81" s="96">
        <v>0</v>
      </c>
      <c r="E81" s="102" t="s">
        <v>104</v>
      </c>
      <c r="F81" s="41"/>
    </row>
    <row r="82" spans="1:6" s="11" customFormat="1" ht="21" hidden="1" customHeight="1" x14ac:dyDescent="0.25">
      <c r="A82" s="89" t="s">
        <v>351</v>
      </c>
      <c r="B82" s="94">
        <v>30</v>
      </c>
      <c r="C82" s="95">
        <v>0</v>
      </c>
      <c r="D82" s="96">
        <v>0</v>
      </c>
      <c r="E82" s="102" t="s">
        <v>104</v>
      </c>
      <c r="F82" s="41"/>
    </row>
    <row r="83" spans="1:6" s="11" customFormat="1" ht="21" hidden="1" customHeight="1" x14ac:dyDescent="0.25">
      <c r="A83" s="89" t="s">
        <v>307</v>
      </c>
      <c r="B83" s="94">
        <v>30</v>
      </c>
      <c r="C83" s="95">
        <v>0</v>
      </c>
      <c r="D83" s="96">
        <v>0</v>
      </c>
      <c r="E83" s="102" t="s">
        <v>190</v>
      </c>
      <c r="F83" s="41"/>
    </row>
    <row r="84" spans="1:6" s="11" customFormat="1" ht="21" hidden="1" customHeight="1" x14ac:dyDescent="0.25">
      <c r="A84" s="89" t="s">
        <v>352</v>
      </c>
      <c r="B84" s="94">
        <v>30</v>
      </c>
      <c r="C84" s="95">
        <v>0</v>
      </c>
      <c r="D84" s="96">
        <v>0</v>
      </c>
      <c r="E84" s="102" t="s">
        <v>104</v>
      </c>
      <c r="F84" s="41"/>
    </row>
    <row r="85" spans="1:6" s="11" customFormat="1" ht="21" hidden="1" customHeight="1" x14ac:dyDescent="0.25">
      <c r="A85" s="89" t="s">
        <v>308</v>
      </c>
      <c r="B85" s="94">
        <v>30</v>
      </c>
      <c r="C85" s="95">
        <v>0</v>
      </c>
      <c r="D85" s="96">
        <v>0</v>
      </c>
      <c r="E85" s="102" t="s">
        <v>104</v>
      </c>
      <c r="F85" s="41"/>
    </row>
    <row r="86" spans="1:6" s="11" customFormat="1" ht="21" hidden="1" customHeight="1" x14ac:dyDescent="0.25">
      <c r="A86" s="89" t="s">
        <v>451</v>
      </c>
      <c r="B86" s="94">
        <v>0</v>
      </c>
      <c r="C86" s="95">
        <v>0</v>
      </c>
      <c r="D86" s="96">
        <v>0</v>
      </c>
      <c r="E86" s="102"/>
      <c r="F86" s="41"/>
    </row>
    <row r="87" spans="1:6" s="11" customFormat="1" ht="21" hidden="1" customHeight="1" x14ac:dyDescent="0.25">
      <c r="A87" s="89" t="s">
        <v>770</v>
      </c>
      <c r="B87" s="94">
        <v>30</v>
      </c>
      <c r="C87" s="95">
        <v>0</v>
      </c>
      <c r="D87" s="96">
        <v>0</v>
      </c>
      <c r="E87" s="102" t="s">
        <v>755</v>
      </c>
      <c r="F87" s="41"/>
    </row>
    <row r="88" spans="1:6" s="11" customFormat="1" ht="21" hidden="1" customHeight="1" x14ac:dyDescent="0.25">
      <c r="A88" s="89" t="s">
        <v>353</v>
      </c>
      <c r="B88" s="94">
        <v>30</v>
      </c>
      <c r="C88" s="95">
        <v>0</v>
      </c>
      <c r="D88" s="96">
        <v>0</v>
      </c>
      <c r="E88" s="102" t="s">
        <v>104</v>
      </c>
      <c r="F88" s="41"/>
    </row>
    <row r="89" spans="1:6" s="11" customFormat="1" ht="21" hidden="1" customHeight="1" x14ac:dyDescent="0.25">
      <c r="A89" s="89" t="s">
        <v>354</v>
      </c>
      <c r="B89" s="94">
        <v>30</v>
      </c>
      <c r="C89" s="95">
        <v>0</v>
      </c>
      <c r="D89" s="96">
        <v>0</v>
      </c>
      <c r="E89" s="102" t="s">
        <v>104</v>
      </c>
      <c r="F89" s="41"/>
    </row>
    <row r="90" spans="1:6" s="11" customFormat="1" ht="21" hidden="1" customHeight="1" x14ac:dyDescent="0.25">
      <c r="A90" s="89" t="s">
        <v>310</v>
      </c>
      <c r="B90" s="94">
        <v>30</v>
      </c>
      <c r="C90" s="95">
        <v>0</v>
      </c>
      <c r="D90" s="96">
        <v>0</v>
      </c>
      <c r="E90" s="102" t="s">
        <v>309</v>
      </c>
      <c r="F90" s="41"/>
    </row>
    <row r="91" spans="1:6" s="11" customFormat="1" ht="21" hidden="1" customHeight="1" x14ac:dyDescent="0.25">
      <c r="A91" s="89" t="s">
        <v>881</v>
      </c>
      <c r="B91" s="94">
        <v>30</v>
      </c>
      <c r="C91" s="95">
        <v>0</v>
      </c>
      <c r="D91" s="96">
        <v>0</v>
      </c>
      <c r="E91" s="124"/>
      <c r="F91" s="41"/>
    </row>
    <row r="92" spans="1:6" s="11" customFormat="1" ht="21" hidden="1" customHeight="1" x14ac:dyDescent="0.25">
      <c r="A92" s="89" t="s">
        <v>429</v>
      </c>
      <c r="B92" s="94">
        <v>8</v>
      </c>
      <c r="C92" s="95">
        <v>0</v>
      </c>
      <c r="D92" s="96">
        <v>0</v>
      </c>
      <c r="E92" s="102"/>
      <c r="F92" s="41"/>
    </row>
    <row r="93" spans="1:6" s="11" customFormat="1" ht="21" hidden="1" customHeight="1" x14ac:dyDescent="0.25">
      <c r="A93" s="89" t="s">
        <v>355</v>
      </c>
      <c r="B93" s="94">
        <v>30</v>
      </c>
      <c r="C93" s="95">
        <v>0</v>
      </c>
      <c r="D93" s="96">
        <v>0</v>
      </c>
      <c r="E93" s="102" t="s">
        <v>104</v>
      </c>
      <c r="F93" s="41"/>
    </row>
    <row r="94" spans="1:6" s="11" customFormat="1" ht="21" hidden="1" customHeight="1" x14ac:dyDescent="0.25">
      <c r="A94" s="89" t="s">
        <v>356</v>
      </c>
      <c r="B94" s="94">
        <v>30</v>
      </c>
      <c r="C94" s="95">
        <v>0</v>
      </c>
      <c r="D94" s="96">
        <v>0</v>
      </c>
      <c r="E94" s="102" t="s">
        <v>104</v>
      </c>
      <c r="F94" s="41"/>
    </row>
    <row r="95" spans="1:6" s="11" customFormat="1" ht="21" hidden="1" customHeight="1" x14ac:dyDescent="0.25">
      <c r="A95" s="89" t="s">
        <v>311</v>
      </c>
      <c r="B95" s="94">
        <v>30</v>
      </c>
      <c r="C95" s="95">
        <v>0</v>
      </c>
      <c r="D95" s="96">
        <v>0</v>
      </c>
      <c r="E95" s="102" t="s">
        <v>104</v>
      </c>
      <c r="F95" s="41"/>
    </row>
    <row r="96" spans="1:6" s="11" customFormat="1" ht="21" hidden="1" customHeight="1" x14ac:dyDescent="0.25">
      <c r="A96" s="89" t="s">
        <v>312</v>
      </c>
      <c r="B96" s="94">
        <v>30</v>
      </c>
      <c r="C96" s="95">
        <v>0</v>
      </c>
      <c r="D96" s="96">
        <v>0</v>
      </c>
      <c r="E96" s="102" t="s">
        <v>217</v>
      </c>
      <c r="F96" s="41"/>
    </row>
    <row r="97" spans="1:6" s="11" customFormat="1" ht="21" hidden="1" customHeight="1" x14ac:dyDescent="0.25">
      <c r="A97" s="89" t="s">
        <v>313</v>
      </c>
      <c r="B97" s="94">
        <v>20</v>
      </c>
      <c r="C97" s="95">
        <v>0</v>
      </c>
      <c r="D97" s="96">
        <v>0</v>
      </c>
      <c r="E97" s="102"/>
      <c r="F97" s="41"/>
    </row>
    <row r="98" spans="1:6" s="11" customFormat="1" ht="21" hidden="1" customHeight="1" x14ac:dyDescent="0.25">
      <c r="A98" s="89" t="s">
        <v>357</v>
      </c>
      <c r="B98" s="94">
        <v>30</v>
      </c>
      <c r="C98" s="95">
        <v>0</v>
      </c>
      <c r="D98" s="96">
        <v>0</v>
      </c>
      <c r="E98" s="102" t="s">
        <v>104</v>
      </c>
      <c r="F98" s="41"/>
    </row>
    <row r="99" spans="1:6" s="11" customFormat="1" ht="21" hidden="1" customHeight="1" x14ac:dyDescent="0.25">
      <c r="A99" s="89" t="s">
        <v>358</v>
      </c>
      <c r="B99" s="94">
        <v>30</v>
      </c>
      <c r="C99" s="95">
        <v>0</v>
      </c>
      <c r="D99" s="96">
        <v>0</v>
      </c>
      <c r="E99" s="102" t="s">
        <v>104</v>
      </c>
      <c r="F99" s="41"/>
    </row>
    <row r="100" spans="1:6" s="11" customFormat="1" ht="21" hidden="1" customHeight="1" x14ac:dyDescent="0.25">
      <c r="A100" s="89" t="s">
        <v>773</v>
      </c>
      <c r="B100" s="94">
        <v>30</v>
      </c>
      <c r="C100" s="95">
        <v>0</v>
      </c>
      <c r="D100" s="96">
        <v>0</v>
      </c>
      <c r="E100" s="124"/>
      <c r="F100" s="41"/>
    </row>
    <row r="101" spans="1:6" s="11" customFormat="1" ht="21" hidden="1" customHeight="1" x14ac:dyDescent="0.25">
      <c r="A101" s="89" t="s">
        <v>314</v>
      </c>
      <c r="B101" s="94">
        <v>30</v>
      </c>
      <c r="C101" s="95">
        <v>0</v>
      </c>
      <c r="D101" s="96">
        <v>0</v>
      </c>
      <c r="E101" s="102"/>
      <c r="F101" s="41"/>
    </row>
    <row r="102" spans="1:6" s="11" customFormat="1" ht="21" hidden="1" customHeight="1" x14ac:dyDescent="0.25">
      <c r="A102" s="89" t="s">
        <v>526</v>
      </c>
      <c r="B102" s="94">
        <v>30</v>
      </c>
      <c r="C102" s="95">
        <v>0</v>
      </c>
      <c r="D102" s="96">
        <v>0</v>
      </c>
      <c r="E102" s="124"/>
      <c r="F102" s="41"/>
    </row>
    <row r="103" spans="1:6" s="11" customFormat="1" ht="21" hidden="1" customHeight="1" x14ac:dyDescent="0.25">
      <c r="A103" s="89" t="s">
        <v>315</v>
      </c>
      <c r="B103" s="94">
        <v>30</v>
      </c>
      <c r="C103" s="95">
        <v>0</v>
      </c>
      <c r="D103" s="96">
        <v>0</v>
      </c>
      <c r="E103" s="102" t="s">
        <v>104</v>
      </c>
      <c r="F103" s="41"/>
    </row>
    <row r="104" spans="1:6" s="11" customFormat="1" ht="21" hidden="1" customHeight="1" x14ac:dyDescent="0.25">
      <c r="A104" s="89" t="s">
        <v>359</v>
      </c>
      <c r="B104" s="94">
        <v>30</v>
      </c>
      <c r="C104" s="95">
        <v>0</v>
      </c>
      <c r="D104" s="96">
        <v>0</v>
      </c>
      <c r="E104" s="102" t="s">
        <v>104</v>
      </c>
      <c r="F104" s="41"/>
    </row>
    <row r="105" spans="1:6" s="11" customFormat="1" ht="21" hidden="1" customHeight="1" x14ac:dyDescent="0.25">
      <c r="A105" s="89" t="s">
        <v>360</v>
      </c>
      <c r="B105" s="94">
        <v>30</v>
      </c>
      <c r="C105" s="95">
        <v>0</v>
      </c>
      <c r="D105" s="96">
        <v>0</v>
      </c>
      <c r="E105" s="102" t="s">
        <v>104</v>
      </c>
      <c r="F105" s="41"/>
    </row>
    <row r="106" spans="1:6" s="11" customFormat="1" ht="21" hidden="1" customHeight="1" x14ac:dyDescent="0.25">
      <c r="A106" s="89" t="s">
        <v>316</v>
      </c>
      <c r="B106" s="94">
        <v>30</v>
      </c>
      <c r="C106" s="95">
        <v>0</v>
      </c>
      <c r="D106" s="96">
        <v>0</v>
      </c>
      <c r="E106" s="102" t="s">
        <v>227</v>
      </c>
      <c r="F106" s="41"/>
    </row>
    <row r="107" spans="1:6" s="11" customFormat="1" ht="21" hidden="1" customHeight="1" x14ac:dyDescent="0.25">
      <c r="A107" s="89" t="s">
        <v>361</v>
      </c>
      <c r="B107" s="94">
        <v>30</v>
      </c>
      <c r="C107" s="95">
        <v>0</v>
      </c>
      <c r="D107" s="96">
        <v>0</v>
      </c>
      <c r="E107" s="102" t="s">
        <v>159</v>
      </c>
      <c r="F107" s="41"/>
    </row>
    <row r="108" spans="1:6" s="11" customFormat="1" ht="21" hidden="1" customHeight="1" x14ac:dyDescent="0.25">
      <c r="A108" s="89" t="s">
        <v>317</v>
      </c>
      <c r="B108" s="94">
        <v>30</v>
      </c>
      <c r="C108" s="95">
        <v>0</v>
      </c>
      <c r="D108" s="96">
        <v>0</v>
      </c>
      <c r="E108" s="102" t="s">
        <v>159</v>
      </c>
      <c r="F108" s="41"/>
    </row>
    <row r="109" spans="1:6" s="11" customFormat="1" ht="21" hidden="1" customHeight="1" x14ac:dyDescent="0.25">
      <c r="A109" s="89" t="s">
        <v>318</v>
      </c>
      <c r="B109" s="94">
        <v>30</v>
      </c>
      <c r="C109" s="95">
        <v>0</v>
      </c>
      <c r="D109" s="96">
        <v>0</v>
      </c>
      <c r="E109" s="102"/>
      <c r="F109" s="41"/>
    </row>
    <row r="110" spans="1:6" s="11" customFormat="1" ht="21" hidden="1" customHeight="1" x14ac:dyDescent="0.25">
      <c r="A110" s="89" t="s">
        <v>319</v>
      </c>
      <c r="B110" s="94">
        <v>30</v>
      </c>
      <c r="C110" s="95">
        <v>0.19</v>
      </c>
      <c r="D110" s="96" t="s">
        <v>380</v>
      </c>
      <c r="E110" s="102"/>
      <c r="F110" s="41"/>
    </row>
    <row r="111" spans="1:6" s="11" customFormat="1" ht="21" hidden="1" customHeight="1" x14ac:dyDescent="0.25">
      <c r="A111" s="89" t="s">
        <v>56</v>
      </c>
      <c r="B111" s="94">
        <v>30</v>
      </c>
      <c r="C111" s="95">
        <v>0.19</v>
      </c>
      <c r="D111" s="96">
        <v>0</v>
      </c>
      <c r="E111" s="102" t="s">
        <v>211</v>
      </c>
      <c r="F111" s="41"/>
    </row>
    <row r="112" spans="1:6" s="11" customFormat="1" ht="21" hidden="1" customHeight="1" x14ac:dyDescent="0.25">
      <c r="A112" s="89" t="s">
        <v>207</v>
      </c>
      <c r="B112" s="94">
        <v>10</v>
      </c>
      <c r="C112" s="95">
        <v>0</v>
      </c>
      <c r="D112" s="96">
        <v>0</v>
      </c>
      <c r="E112" s="102"/>
      <c r="F112" s="41"/>
    </row>
    <row r="113" spans="1:6" s="11" customFormat="1" ht="21" hidden="1" customHeight="1" x14ac:dyDescent="0.25">
      <c r="A113" s="89" t="s">
        <v>225</v>
      </c>
      <c r="B113" s="94">
        <v>10</v>
      </c>
      <c r="C113" s="95">
        <v>0.19</v>
      </c>
      <c r="D113" s="96" t="s">
        <v>380</v>
      </c>
      <c r="E113" s="102" t="s">
        <v>224</v>
      </c>
      <c r="F113" s="41"/>
    </row>
    <row r="114" spans="1:6" s="11" customFormat="1" ht="21" hidden="1" customHeight="1" x14ac:dyDescent="0.25">
      <c r="A114" s="89" t="s">
        <v>185</v>
      </c>
      <c r="B114" s="94">
        <v>30</v>
      </c>
      <c r="C114" s="95">
        <v>0.19</v>
      </c>
      <c r="D114" s="96" t="s">
        <v>380</v>
      </c>
      <c r="E114" s="102"/>
      <c r="F114" s="41"/>
    </row>
    <row r="115" spans="1:6" s="11" customFormat="1" ht="21" hidden="1" customHeight="1" x14ac:dyDescent="0.25">
      <c r="A115" s="89" t="s">
        <v>242</v>
      </c>
      <c r="B115" s="94">
        <v>20</v>
      </c>
      <c r="C115" s="95">
        <v>0</v>
      </c>
      <c r="D115" s="96" t="s">
        <v>383</v>
      </c>
      <c r="E115" s="102" t="s">
        <v>243</v>
      </c>
      <c r="F115" s="41"/>
    </row>
    <row r="116" spans="1:6" s="11" customFormat="1" ht="21" hidden="1" customHeight="1" x14ac:dyDescent="0.25">
      <c r="A116" s="89" t="s">
        <v>238</v>
      </c>
      <c r="B116" s="94">
        <v>30</v>
      </c>
      <c r="C116" s="95">
        <v>0.19</v>
      </c>
      <c r="D116" s="96">
        <v>0</v>
      </c>
      <c r="E116" s="102"/>
      <c r="F116" s="41"/>
    </row>
    <row r="117" spans="1:6" s="11" customFormat="1" ht="21" hidden="1" customHeight="1" x14ac:dyDescent="0.25">
      <c r="A117" s="89" t="s">
        <v>395</v>
      </c>
      <c r="B117" s="94">
        <v>30</v>
      </c>
      <c r="C117" s="95">
        <v>0.19</v>
      </c>
      <c r="D117" s="96">
        <v>0</v>
      </c>
      <c r="E117" s="102" t="s">
        <v>138</v>
      </c>
      <c r="F117" s="41"/>
    </row>
    <row r="118" spans="1:6" s="11" customFormat="1" ht="21" hidden="1" customHeight="1" x14ac:dyDescent="0.25">
      <c r="A118" s="89" t="s">
        <v>253</v>
      </c>
      <c r="B118" s="94">
        <v>30</v>
      </c>
      <c r="C118" s="95">
        <v>0.19</v>
      </c>
      <c r="D118" s="96" t="s">
        <v>380</v>
      </c>
      <c r="E118" s="102"/>
      <c r="F118" s="41"/>
    </row>
    <row r="119" spans="1:6" s="11" customFormat="1" ht="21" hidden="1" customHeight="1" x14ac:dyDescent="0.25">
      <c r="A119" s="89" t="s">
        <v>1265</v>
      </c>
      <c r="B119" s="94">
        <v>30</v>
      </c>
      <c r="C119" s="95">
        <v>0.19</v>
      </c>
      <c r="D119" s="96" t="s">
        <v>380</v>
      </c>
      <c r="E119" s="102" t="s">
        <v>1266</v>
      </c>
      <c r="F119" s="41"/>
    </row>
    <row r="120" spans="1:6" s="11" customFormat="1" ht="21" hidden="1" customHeight="1" x14ac:dyDescent="0.25">
      <c r="A120" s="89" t="s">
        <v>529</v>
      </c>
      <c r="B120" s="94">
        <v>30</v>
      </c>
      <c r="C120" s="95">
        <v>0.19</v>
      </c>
      <c r="D120" s="96" t="s">
        <v>380</v>
      </c>
      <c r="E120" s="124"/>
      <c r="F120" s="41"/>
    </row>
    <row r="121" spans="1:6" s="11" customFormat="1" ht="21" hidden="1" customHeight="1" x14ac:dyDescent="0.25">
      <c r="A121" s="89" t="s">
        <v>528</v>
      </c>
      <c r="B121" s="94">
        <v>30</v>
      </c>
      <c r="C121" s="95">
        <v>0</v>
      </c>
      <c r="D121" s="96">
        <v>0</v>
      </c>
      <c r="E121" s="124"/>
      <c r="F121" s="41"/>
    </row>
    <row r="122" spans="1:6" s="11" customFormat="1" ht="21" hidden="1" customHeight="1" x14ac:dyDescent="0.25">
      <c r="A122" s="89" t="s">
        <v>20</v>
      </c>
      <c r="B122" s="94">
        <v>30</v>
      </c>
      <c r="C122" s="95">
        <v>0.19</v>
      </c>
      <c r="D122" s="96" t="s">
        <v>380</v>
      </c>
      <c r="E122" s="102" t="s">
        <v>131</v>
      </c>
      <c r="F122" s="41" t="s">
        <v>191</v>
      </c>
    </row>
    <row r="123" spans="1:6" s="11" customFormat="1" ht="21" hidden="1" customHeight="1" x14ac:dyDescent="0.25">
      <c r="A123" s="89" t="s">
        <v>21</v>
      </c>
      <c r="B123" s="94">
        <v>30</v>
      </c>
      <c r="C123" s="95">
        <v>0.19</v>
      </c>
      <c r="D123" s="96" t="s">
        <v>380</v>
      </c>
      <c r="E123" s="102" t="s">
        <v>483</v>
      </c>
      <c r="F123" s="41"/>
    </row>
    <row r="124" spans="1:6" s="11" customFormat="1" ht="21" hidden="1" customHeight="1" x14ac:dyDescent="0.25">
      <c r="A124" s="89" t="s">
        <v>464</v>
      </c>
      <c r="B124" s="94">
        <v>30</v>
      </c>
      <c r="C124" s="95">
        <v>0.19</v>
      </c>
      <c r="D124" s="96" t="s">
        <v>380</v>
      </c>
      <c r="E124" s="102" t="s">
        <v>483</v>
      </c>
      <c r="F124" s="41"/>
    </row>
    <row r="125" spans="1:6" s="11" customFormat="1" ht="21" hidden="1" customHeight="1" x14ac:dyDescent="0.25">
      <c r="A125" s="89" t="s">
        <v>396</v>
      </c>
      <c r="B125" s="94">
        <v>30</v>
      </c>
      <c r="C125" s="95">
        <v>0.19</v>
      </c>
      <c r="D125" s="96" t="s">
        <v>383</v>
      </c>
      <c r="E125" s="102"/>
      <c r="F125" s="41"/>
    </row>
    <row r="126" spans="1:6" s="11" customFormat="1" ht="21" hidden="1" customHeight="1" x14ac:dyDescent="0.25">
      <c r="A126" s="89" t="s">
        <v>1041</v>
      </c>
      <c r="B126" s="94">
        <v>0</v>
      </c>
      <c r="C126" s="95">
        <v>0.19</v>
      </c>
      <c r="D126" s="96" t="s">
        <v>380</v>
      </c>
      <c r="E126" s="124"/>
      <c r="F126" s="41"/>
    </row>
    <row r="127" spans="1:6" s="11" customFormat="1" ht="21" hidden="1" customHeight="1" x14ac:dyDescent="0.25">
      <c r="A127" s="89" t="s">
        <v>51</v>
      </c>
      <c r="B127" s="94">
        <v>30</v>
      </c>
      <c r="C127" s="95">
        <v>0.19</v>
      </c>
      <c r="D127" s="96" t="s">
        <v>380</v>
      </c>
      <c r="E127" s="102" t="s">
        <v>104</v>
      </c>
      <c r="F127" s="41"/>
    </row>
    <row r="128" spans="1:6" s="11" customFormat="1" ht="21" hidden="1" customHeight="1" x14ac:dyDescent="0.25">
      <c r="A128" s="89" t="s">
        <v>489</v>
      </c>
      <c r="B128" s="94">
        <v>0</v>
      </c>
      <c r="C128" s="95">
        <v>0.19</v>
      </c>
      <c r="D128" s="96" t="s">
        <v>380</v>
      </c>
      <c r="E128" s="124" t="s">
        <v>138</v>
      </c>
      <c r="F128" s="41"/>
    </row>
    <row r="129" spans="1:6" s="11" customFormat="1" ht="21" hidden="1" customHeight="1" x14ac:dyDescent="0.25">
      <c r="A129" s="89" t="s">
        <v>397</v>
      </c>
      <c r="B129" s="94">
        <v>10</v>
      </c>
      <c r="C129" s="95">
        <v>0.19</v>
      </c>
      <c r="D129" s="96">
        <v>0</v>
      </c>
      <c r="E129" s="102"/>
      <c r="F129" s="41"/>
    </row>
    <row r="130" spans="1:6" s="11" customFormat="1" ht="21" hidden="1" customHeight="1" x14ac:dyDescent="0.25">
      <c r="A130" s="89" t="s">
        <v>398</v>
      </c>
      <c r="B130" s="94">
        <v>30</v>
      </c>
      <c r="C130" s="95">
        <v>0</v>
      </c>
      <c r="D130" s="96">
        <v>0</v>
      </c>
      <c r="E130" s="102" t="s">
        <v>160</v>
      </c>
      <c r="F130" s="41"/>
    </row>
    <row r="131" spans="1:6" s="11" customFormat="1" ht="21" hidden="1" customHeight="1" x14ac:dyDescent="0.25">
      <c r="A131" s="89" t="s">
        <v>398</v>
      </c>
      <c r="B131" s="94">
        <v>0</v>
      </c>
      <c r="C131" s="95">
        <v>0.19</v>
      </c>
      <c r="D131" s="96">
        <v>0</v>
      </c>
      <c r="E131" s="102" t="s">
        <v>160</v>
      </c>
      <c r="F131" s="41" t="s">
        <v>497</v>
      </c>
    </row>
    <row r="132" spans="1:6" s="11" customFormat="1" ht="21" hidden="1" customHeight="1" x14ac:dyDescent="0.25">
      <c r="A132" s="89" t="s">
        <v>42</v>
      </c>
      <c r="B132" s="94">
        <v>30</v>
      </c>
      <c r="C132" s="95">
        <v>0.19</v>
      </c>
      <c r="D132" s="96" t="s">
        <v>380</v>
      </c>
      <c r="E132" s="102" t="s">
        <v>104</v>
      </c>
      <c r="F132" s="41"/>
    </row>
    <row r="133" spans="1:6" s="11" customFormat="1" ht="21" hidden="1" customHeight="1" x14ac:dyDescent="0.25">
      <c r="A133" s="89" t="s">
        <v>250</v>
      </c>
      <c r="B133" s="94">
        <v>60</v>
      </c>
      <c r="C133" s="95">
        <v>0</v>
      </c>
      <c r="D133" s="96">
        <v>0</v>
      </c>
      <c r="E133" s="102" t="s">
        <v>645</v>
      </c>
      <c r="F133" s="41"/>
    </row>
    <row r="134" spans="1:6" s="11" customFormat="1" ht="21" hidden="1" customHeight="1" x14ac:dyDescent="0.25">
      <c r="A134" s="89" t="s">
        <v>251</v>
      </c>
      <c r="B134" s="94">
        <v>45</v>
      </c>
      <c r="C134" s="95">
        <v>0</v>
      </c>
      <c r="D134" s="96">
        <v>0</v>
      </c>
      <c r="E134" s="102" t="s">
        <v>645</v>
      </c>
      <c r="F134" s="41"/>
    </row>
    <row r="135" spans="1:6" s="11" customFormat="1" ht="21" hidden="1" customHeight="1" x14ac:dyDescent="0.25">
      <c r="A135" s="89" t="s">
        <v>257</v>
      </c>
      <c r="B135" s="94">
        <v>45</v>
      </c>
      <c r="C135" s="95">
        <v>0</v>
      </c>
      <c r="D135" s="96">
        <v>0</v>
      </c>
      <c r="E135" s="102" t="s">
        <v>645</v>
      </c>
      <c r="F135" s="41"/>
    </row>
    <row r="136" spans="1:6" s="11" customFormat="1" ht="21" hidden="1" customHeight="1" x14ac:dyDescent="0.25">
      <c r="A136" s="89" t="s">
        <v>252</v>
      </c>
      <c r="B136" s="94">
        <v>45</v>
      </c>
      <c r="C136" s="95">
        <v>0</v>
      </c>
      <c r="D136" s="96">
        <v>0</v>
      </c>
      <c r="E136" s="102" t="s">
        <v>645</v>
      </c>
      <c r="F136" s="41"/>
    </row>
    <row r="137" spans="1:6" s="11" customFormat="1" ht="21" hidden="1" customHeight="1" x14ac:dyDescent="0.25">
      <c r="A137" s="89" t="s">
        <v>1526</v>
      </c>
      <c r="B137" s="94">
        <v>30</v>
      </c>
      <c r="C137" s="95">
        <v>0.19</v>
      </c>
      <c r="D137" s="96" t="s">
        <v>380</v>
      </c>
      <c r="E137" s="102" t="s">
        <v>1538</v>
      </c>
      <c r="F137" s="41"/>
    </row>
    <row r="138" spans="1:6" s="11" customFormat="1" ht="21" hidden="1" customHeight="1" x14ac:dyDescent="0.25">
      <c r="A138" s="89" t="s">
        <v>425</v>
      </c>
      <c r="B138" s="94">
        <v>20</v>
      </c>
      <c r="C138" s="95">
        <v>0</v>
      </c>
      <c r="D138" s="96">
        <v>0</v>
      </c>
      <c r="E138" s="102" t="s">
        <v>138</v>
      </c>
      <c r="F138" s="41"/>
    </row>
    <row r="139" spans="1:6" s="11" customFormat="1" ht="21" hidden="1" customHeight="1" x14ac:dyDescent="0.25">
      <c r="A139" s="89" t="s">
        <v>399</v>
      </c>
      <c r="B139" s="94">
        <v>90</v>
      </c>
      <c r="C139" s="95">
        <v>0</v>
      </c>
      <c r="D139" s="96" t="s">
        <v>381</v>
      </c>
      <c r="E139" s="102" t="s">
        <v>320</v>
      </c>
      <c r="F139" s="41"/>
    </row>
    <row r="140" spans="1:6" s="11" customFormat="1" ht="21" hidden="1" customHeight="1" x14ac:dyDescent="0.25">
      <c r="A140" s="89" t="s">
        <v>456</v>
      </c>
      <c r="B140" s="94">
        <v>30</v>
      </c>
      <c r="C140" s="95">
        <v>0</v>
      </c>
      <c r="D140" s="96">
        <v>0</v>
      </c>
      <c r="E140" s="102" t="s">
        <v>458</v>
      </c>
      <c r="F140" s="41"/>
    </row>
    <row r="141" spans="1:6" s="11" customFormat="1" ht="21" hidden="1" customHeight="1" x14ac:dyDescent="0.25">
      <c r="A141" s="89" t="s">
        <v>248</v>
      </c>
      <c r="B141" s="94">
        <v>30</v>
      </c>
      <c r="C141" s="95">
        <v>0.19</v>
      </c>
      <c r="D141" s="96">
        <v>0</v>
      </c>
      <c r="E141" s="102" t="s">
        <v>255</v>
      </c>
      <c r="F141" s="41"/>
    </row>
    <row r="142" spans="1:6" s="11" customFormat="1" ht="21" hidden="1" customHeight="1" x14ac:dyDescent="0.25">
      <c r="A142" s="89" t="s">
        <v>393</v>
      </c>
      <c r="B142" s="94">
        <v>30</v>
      </c>
      <c r="C142" s="95">
        <v>0.19</v>
      </c>
      <c r="D142" s="96">
        <v>0</v>
      </c>
      <c r="E142" s="102" t="s">
        <v>255</v>
      </c>
      <c r="F142" s="41"/>
    </row>
    <row r="143" spans="1:6" s="11" customFormat="1" ht="21" hidden="1" customHeight="1" x14ac:dyDescent="0.25">
      <c r="A143" s="89" t="s">
        <v>400</v>
      </c>
      <c r="B143" s="94">
        <v>0</v>
      </c>
      <c r="C143" s="95">
        <v>0</v>
      </c>
      <c r="D143" s="96">
        <v>0</v>
      </c>
      <c r="E143" s="102" t="s">
        <v>132</v>
      </c>
      <c r="F143" s="41" t="s">
        <v>105</v>
      </c>
    </row>
    <row r="144" spans="1:6" s="11" customFormat="1" ht="21" hidden="1" customHeight="1" x14ac:dyDescent="0.25">
      <c r="A144" s="89" t="s">
        <v>376</v>
      </c>
      <c r="B144" s="94">
        <v>30</v>
      </c>
      <c r="C144" s="95">
        <v>0.19</v>
      </c>
      <c r="D144" s="96">
        <v>0</v>
      </c>
      <c r="E144" s="102" t="s">
        <v>377</v>
      </c>
      <c r="F144" s="41"/>
    </row>
    <row r="145" spans="1:6" s="11" customFormat="1" ht="21" hidden="1" customHeight="1" x14ac:dyDescent="0.25">
      <c r="A145" s="89" t="s">
        <v>249</v>
      </c>
      <c r="B145" s="94">
        <v>60</v>
      </c>
      <c r="C145" s="95">
        <v>0.19</v>
      </c>
      <c r="D145" s="96" t="s">
        <v>380</v>
      </c>
      <c r="E145" s="102" t="s">
        <v>168</v>
      </c>
      <c r="F145" s="41"/>
    </row>
    <row r="146" spans="1:6" s="11" customFormat="1" ht="21" hidden="1" customHeight="1" x14ac:dyDescent="0.25">
      <c r="A146" s="89" t="s">
        <v>1267</v>
      </c>
      <c r="B146" s="94">
        <v>90</v>
      </c>
      <c r="C146" s="95">
        <v>0.19</v>
      </c>
      <c r="D146" s="96" t="s">
        <v>380</v>
      </c>
      <c r="E146" s="102" t="s">
        <v>1583</v>
      </c>
      <c r="F146" s="41"/>
    </row>
    <row r="147" spans="1:6" s="11" customFormat="1" ht="21" hidden="1" customHeight="1" x14ac:dyDescent="0.25">
      <c r="A147" s="89" t="s">
        <v>234</v>
      </c>
      <c r="B147" s="94">
        <v>30</v>
      </c>
      <c r="C147" s="95">
        <v>0.19</v>
      </c>
      <c r="D147" s="96" t="s">
        <v>380</v>
      </c>
      <c r="E147" s="102"/>
      <c r="F147" s="41"/>
    </row>
    <row r="148" spans="1:6" s="11" customFormat="1" ht="21" hidden="1" customHeight="1" x14ac:dyDescent="0.25">
      <c r="A148" s="89" t="s">
        <v>401</v>
      </c>
      <c r="B148" s="94">
        <v>30</v>
      </c>
      <c r="C148" s="95">
        <v>0.19</v>
      </c>
      <c r="D148" s="96">
        <v>0</v>
      </c>
      <c r="E148" s="102" t="s">
        <v>284</v>
      </c>
      <c r="F148" s="41"/>
    </row>
    <row r="149" spans="1:6" s="11" customFormat="1" ht="21" hidden="1" customHeight="1" x14ac:dyDescent="0.25">
      <c r="A149" s="89" t="s">
        <v>460</v>
      </c>
      <c r="B149" s="94">
        <v>30</v>
      </c>
      <c r="C149" s="95">
        <v>0.19</v>
      </c>
      <c r="D149" s="96">
        <v>0</v>
      </c>
      <c r="E149" s="102" t="s">
        <v>431</v>
      </c>
      <c r="F149" s="41"/>
    </row>
    <row r="150" spans="1:6" s="11" customFormat="1" ht="21" hidden="1" customHeight="1" x14ac:dyDescent="0.25">
      <c r="A150" s="89" t="s">
        <v>467</v>
      </c>
      <c r="B150" s="94">
        <v>0</v>
      </c>
      <c r="C150" s="95">
        <v>0.19</v>
      </c>
      <c r="D150" s="96">
        <v>0</v>
      </c>
      <c r="E150" s="102" t="s">
        <v>466</v>
      </c>
      <c r="F150" s="41"/>
    </row>
    <row r="151" spans="1:6" s="11" customFormat="1" ht="21" hidden="1" customHeight="1" x14ac:dyDescent="0.25">
      <c r="A151" s="89" t="s">
        <v>49</v>
      </c>
      <c r="B151" s="94">
        <v>30</v>
      </c>
      <c r="C151" s="95">
        <v>0.19</v>
      </c>
      <c r="D151" s="96" t="s">
        <v>380</v>
      </c>
      <c r="E151" s="102" t="s">
        <v>157</v>
      </c>
      <c r="F151" s="41" t="s">
        <v>212</v>
      </c>
    </row>
    <row r="152" spans="1:6" s="11" customFormat="1" ht="21" hidden="1" customHeight="1" x14ac:dyDescent="0.25">
      <c r="A152" s="89" t="s">
        <v>402</v>
      </c>
      <c r="B152" s="94">
        <v>30</v>
      </c>
      <c r="C152" s="95">
        <v>0.19</v>
      </c>
      <c r="D152" s="96" t="s">
        <v>380</v>
      </c>
      <c r="E152" s="102" t="s">
        <v>106</v>
      </c>
      <c r="F152" s="41"/>
    </row>
    <row r="153" spans="1:6" s="11" customFormat="1" ht="21" hidden="1" customHeight="1" x14ac:dyDescent="0.25">
      <c r="A153" s="89" t="s">
        <v>538</v>
      </c>
      <c r="B153" s="94">
        <v>30</v>
      </c>
      <c r="C153" s="95">
        <v>0.19</v>
      </c>
      <c r="D153" s="96" t="s">
        <v>380</v>
      </c>
      <c r="E153" s="124"/>
      <c r="F153" s="41"/>
    </row>
    <row r="154" spans="1:6" s="11" customFormat="1" ht="21" hidden="1" customHeight="1" x14ac:dyDescent="0.25">
      <c r="A154" s="89" t="s">
        <v>457</v>
      </c>
      <c r="B154" s="94">
        <v>30</v>
      </c>
      <c r="C154" s="95">
        <v>0.19</v>
      </c>
      <c r="D154" s="96" t="s">
        <v>380</v>
      </c>
      <c r="E154" s="102" t="s">
        <v>472</v>
      </c>
      <c r="F154" s="41"/>
    </row>
    <row r="155" spans="1:6" s="11" customFormat="1" ht="21" hidden="1" customHeight="1" x14ac:dyDescent="0.25">
      <c r="A155" s="89" t="s">
        <v>403</v>
      </c>
      <c r="B155" s="94">
        <v>180</v>
      </c>
      <c r="C155" s="95">
        <v>0.19</v>
      </c>
      <c r="D155" s="96" t="s">
        <v>380</v>
      </c>
      <c r="E155" s="102" t="s">
        <v>247</v>
      </c>
      <c r="F155" s="41"/>
    </row>
    <row r="156" spans="1:6" s="11" customFormat="1" ht="21" hidden="1" customHeight="1" x14ac:dyDescent="0.25">
      <c r="A156" s="89" t="s">
        <v>1211</v>
      </c>
      <c r="B156" s="94">
        <v>30</v>
      </c>
      <c r="C156" s="95">
        <v>0.19</v>
      </c>
      <c r="D156" s="96" t="s">
        <v>380</v>
      </c>
      <c r="E156" s="102" t="s">
        <v>1212</v>
      </c>
      <c r="F156" s="41"/>
    </row>
    <row r="157" spans="1:6" s="11" customFormat="1" ht="21" hidden="1" customHeight="1" x14ac:dyDescent="0.25">
      <c r="A157" s="89" t="s">
        <v>624</v>
      </c>
      <c r="B157" s="94">
        <v>60</v>
      </c>
      <c r="C157" s="95">
        <v>0.19</v>
      </c>
      <c r="D157" s="96" t="s">
        <v>380</v>
      </c>
      <c r="E157" s="102" t="s">
        <v>625</v>
      </c>
      <c r="F157" s="41"/>
    </row>
    <row r="158" spans="1:6" s="11" customFormat="1" ht="21" hidden="1" customHeight="1" x14ac:dyDescent="0.25">
      <c r="A158" s="89" t="s">
        <v>76</v>
      </c>
      <c r="B158" s="94">
        <v>60</v>
      </c>
      <c r="C158" s="95">
        <v>0.19</v>
      </c>
      <c r="D158" s="96" t="s">
        <v>380</v>
      </c>
      <c r="E158" s="102" t="s">
        <v>432</v>
      </c>
      <c r="F158" s="41"/>
    </row>
    <row r="159" spans="1:6" s="11" customFormat="1" ht="21" hidden="1" customHeight="1" x14ac:dyDescent="0.25">
      <c r="A159" s="89" t="s">
        <v>213</v>
      </c>
      <c r="B159" s="94">
        <v>30</v>
      </c>
      <c r="C159" s="95">
        <v>0.19</v>
      </c>
      <c r="D159" s="96" t="s">
        <v>380</v>
      </c>
      <c r="E159" s="102" t="s">
        <v>244</v>
      </c>
      <c r="F159" s="41"/>
    </row>
    <row r="160" spans="1:6" s="11" customFormat="1" ht="21" hidden="1" customHeight="1" x14ac:dyDescent="0.25">
      <c r="A160" s="89" t="s">
        <v>404</v>
      </c>
      <c r="B160" s="94">
        <v>10</v>
      </c>
      <c r="C160" s="95">
        <v>0.19</v>
      </c>
      <c r="D160" s="96" t="s">
        <v>380</v>
      </c>
      <c r="E160" s="102" t="s">
        <v>240</v>
      </c>
      <c r="F160" s="41"/>
    </row>
    <row r="161" spans="1:6" s="11" customFormat="1" ht="21" hidden="1" customHeight="1" x14ac:dyDescent="0.25">
      <c r="A161" s="89" t="s">
        <v>24</v>
      </c>
      <c r="B161" s="94">
        <v>30</v>
      </c>
      <c r="C161" s="95">
        <v>0.19</v>
      </c>
      <c r="D161" s="96" t="s">
        <v>380</v>
      </c>
      <c r="E161" s="102" t="s">
        <v>494</v>
      </c>
      <c r="F161" s="41" t="s">
        <v>508</v>
      </c>
    </row>
    <row r="162" spans="1:6" s="11" customFormat="1" ht="21" hidden="1" customHeight="1" x14ac:dyDescent="0.25">
      <c r="A162" s="89" t="s">
        <v>12</v>
      </c>
      <c r="B162" s="94">
        <v>90</v>
      </c>
      <c r="C162" s="95">
        <v>0.19</v>
      </c>
      <c r="D162" s="96" t="s">
        <v>380</v>
      </c>
      <c r="E162" s="102" t="s">
        <v>161</v>
      </c>
      <c r="F162" s="41"/>
    </row>
    <row r="163" spans="1:6" s="11" customFormat="1" ht="21" hidden="1" customHeight="1" x14ac:dyDescent="0.25">
      <c r="A163" s="89" t="s">
        <v>473</v>
      </c>
      <c r="B163" s="94">
        <v>30</v>
      </c>
      <c r="C163" s="95">
        <v>0.19</v>
      </c>
      <c r="D163" s="96" t="s">
        <v>380</v>
      </c>
      <c r="E163" s="102" t="s">
        <v>474</v>
      </c>
      <c r="F163" s="41"/>
    </row>
    <row r="164" spans="1:6" s="11" customFormat="1" ht="21" hidden="1" customHeight="1" x14ac:dyDescent="0.25">
      <c r="A164" s="89" t="s">
        <v>136</v>
      </c>
      <c r="B164" s="94">
        <v>30</v>
      </c>
      <c r="C164" s="95">
        <v>0.19</v>
      </c>
      <c r="D164" s="96" t="s">
        <v>380</v>
      </c>
      <c r="E164" s="102" t="s">
        <v>187</v>
      </c>
      <c r="F164" s="41" t="s">
        <v>137</v>
      </c>
    </row>
    <row r="165" spans="1:6" s="11" customFormat="1" ht="21" hidden="1" customHeight="1" x14ac:dyDescent="0.25">
      <c r="A165" s="89" t="s">
        <v>37</v>
      </c>
      <c r="B165" s="94">
        <v>30</v>
      </c>
      <c r="C165" s="95">
        <v>0.19</v>
      </c>
      <c r="D165" s="96" t="s">
        <v>380</v>
      </c>
      <c r="E165" s="102" t="s">
        <v>104</v>
      </c>
      <c r="F165" s="41"/>
    </row>
    <row r="166" spans="1:6" s="11" customFormat="1" ht="21" hidden="1" customHeight="1" x14ac:dyDescent="0.25">
      <c r="A166" s="89" t="s">
        <v>74</v>
      </c>
      <c r="B166" s="94">
        <v>30</v>
      </c>
      <c r="C166" s="95">
        <v>0.19</v>
      </c>
      <c r="D166" s="96" t="s">
        <v>380</v>
      </c>
      <c r="E166" s="102" t="s">
        <v>104</v>
      </c>
      <c r="F166" s="41"/>
    </row>
    <row r="167" spans="1:6" s="11" customFormat="1" ht="21" hidden="1" customHeight="1" x14ac:dyDescent="0.25">
      <c r="A167" s="89" t="s">
        <v>46</v>
      </c>
      <c r="B167" s="94">
        <v>30</v>
      </c>
      <c r="C167" s="95">
        <v>0.19</v>
      </c>
      <c r="D167" s="96">
        <v>0</v>
      </c>
      <c r="E167" s="102" t="s">
        <v>162</v>
      </c>
      <c r="F167" s="41"/>
    </row>
    <row r="168" spans="1:6" s="11" customFormat="1" ht="21" hidden="1" customHeight="1" x14ac:dyDescent="0.25">
      <c r="A168" s="89" t="s">
        <v>50</v>
      </c>
      <c r="B168" s="94">
        <v>30</v>
      </c>
      <c r="C168" s="95">
        <v>0.19</v>
      </c>
      <c r="D168" s="96" t="s">
        <v>380</v>
      </c>
      <c r="E168" s="102" t="s">
        <v>104</v>
      </c>
      <c r="F168" s="41"/>
    </row>
    <row r="169" spans="1:6" s="11" customFormat="1" ht="21" hidden="1" customHeight="1" x14ac:dyDescent="0.25">
      <c r="A169" s="89" t="s">
        <v>48</v>
      </c>
      <c r="B169" s="94">
        <v>30</v>
      </c>
      <c r="C169" s="95">
        <v>0.19</v>
      </c>
      <c r="D169" s="96" t="s">
        <v>380</v>
      </c>
      <c r="E169" s="102" t="s">
        <v>104</v>
      </c>
      <c r="F169" s="41"/>
    </row>
    <row r="170" spans="1:6" s="11" customFormat="1" ht="21" hidden="1" customHeight="1" x14ac:dyDescent="0.25">
      <c r="A170" s="89" t="s">
        <v>58</v>
      </c>
      <c r="B170" s="94">
        <v>30</v>
      </c>
      <c r="C170" s="95">
        <v>0.19</v>
      </c>
      <c r="D170" s="96" t="s">
        <v>380</v>
      </c>
      <c r="E170" s="102" t="s">
        <v>104</v>
      </c>
      <c r="F170" s="41"/>
    </row>
    <row r="171" spans="1:6" s="11" customFormat="1" ht="21" hidden="1" customHeight="1" x14ac:dyDescent="0.25">
      <c r="A171" s="89" t="s">
        <v>52</v>
      </c>
      <c r="B171" s="94">
        <v>30</v>
      </c>
      <c r="C171" s="95">
        <v>0.19</v>
      </c>
      <c r="D171" s="96" t="s">
        <v>380</v>
      </c>
      <c r="E171" s="102" t="s">
        <v>104</v>
      </c>
      <c r="F171" s="41"/>
    </row>
    <row r="172" spans="1:6" s="11" customFormat="1" ht="21" hidden="1" customHeight="1" x14ac:dyDescent="0.25">
      <c r="A172" s="89" t="s">
        <v>57</v>
      </c>
      <c r="B172" s="94">
        <v>30</v>
      </c>
      <c r="C172" s="95">
        <v>0</v>
      </c>
      <c r="D172" s="96">
        <v>0</v>
      </c>
      <c r="E172" s="102" t="s">
        <v>163</v>
      </c>
      <c r="F172" s="41"/>
    </row>
    <row r="173" spans="1:6" s="11" customFormat="1" ht="21" hidden="1" customHeight="1" x14ac:dyDescent="0.25">
      <c r="A173" s="89" t="s">
        <v>101</v>
      </c>
      <c r="B173" s="94">
        <v>30</v>
      </c>
      <c r="C173" s="95">
        <v>0</v>
      </c>
      <c r="D173" s="96">
        <v>0</v>
      </c>
      <c r="E173" s="102" t="s">
        <v>163</v>
      </c>
      <c r="F173" s="41"/>
    </row>
    <row r="174" spans="1:6" s="11" customFormat="1" ht="21" hidden="1" customHeight="1" x14ac:dyDescent="0.25">
      <c r="A174" s="89" t="s">
        <v>108</v>
      </c>
      <c r="B174" s="94">
        <v>30</v>
      </c>
      <c r="C174" s="95">
        <v>0</v>
      </c>
      <c r="D174" s="96">
        <v>0</v>
      </c>
      <c r="E174" s="102" t="s">
        <v>163</v>
      </c>
      <c r="F174" s="41"/>
    </row>
    <row r="175" spans="1:6" s="11" customFormat="1" ht="21" hidden="1" customHeight="1" x14ac:dyDescent="0.25">
      <c r="A175" s="89" t="s">
        <v>67</v>
      </c>
      <c r="B175" s="94">
        <v>30</v>
      </c>
      <c r="C175" s="95">
        <v>0</v>
      </c>
      <c r="D175" s="96">
        <v>0</v>
      </c>
      <c r="E175" s="102" t="s">
        <v>163</v>
      </c>
      <c r="F175" s="41"/>
    </row>
    <row r="176" spans="1:6" s="11" customFormat="1" ht="21" hidden="1" customHeight="1" x14ac:dyDescent="0.25">
      <c r="A176" s="89" t="s">
        <v>70</v>
      </c>
      <c r="B176" s="94">
        <v>30</v>
      </c>
      <c r="C176" s="95">
        <v>0</v>
      </c>
      <c r="D176" s="96">
        <v>0</v>
      </c>
      <c r="E176" s="102" t="s">
        <v>163</v>
      </c>
      <c r="F176" s="41"/>
    </row>
    <row r="177" spans="1:6" s="11" customFormat="1" ht="21" hidden="1" customHeight="1" x14ac:dyDescent="0.25">
      <c r="A177" s="89" t="s">
        <v>59</v>
      </c>
      <c r="B177" s="94">
        <v>30</v>
      </c>
      <c r="C177" s="95">
        <v>0</v>
      </c>
      <c r="D177" s="96">
        <v>0</v>
      </c>
      <c r="E177" s="102" t="s">
        <v>163</v>
      </c>
      <c r="F177" s="41"/>
    </row>
    <row r="178" spans="1:6" s="11" customFormat="1" ht="21" hidden="1" customHeight="1" x14ac:dyDescent="0.25">
      <c r="A178" s="89" t="s">
        <v>60</v>
      </c>
      <c r="B178" s="94">
        <v>30</v>
      </c>
      <c r="C178" s="95">
        <v>0</v>
      </c>
      <c r="D178" s="96">
        <v>0</v>
      </c>
      <c r="E178" s="102" t="s">
        <v>163</v>
      </c>
      <c r="F178" s="41"/>
    </row>
    <row r="179" spans="1:6" s="11" customFormat="1" ht="21" hidden="1" customHeight="1" x14ac:dyDescent="0.25">
      <c r="A179" s="89" t="s">
        <v>88</v>
      </c>
      <c r="B179" s="94">
        <v>30</v>
      </c>
      <c r="C179" s="95">
        <v>0</v>
      </c>
      <c r="D179" s="96">
        <v>0</v>
      </c>
      <c r="E179" s="102" t="s">
        <v>163</v>
      </c>
      <c r="F179" s="41"/>
    </row>
    <row r="180" spans="1:6" s="11" customFormat="1" ht="21" hidden="1" customHeight="1" x14ac:dyDescent="0.25">
      <c r="A180" s="89" t="s">
        <v>89</v>
      </c>
      <c r="B180" s="94">
        <v>30</v>
      </c>
      <c r="C180" s="95">
        <v>0</v>
      </c>
      <c r="D180" s="96">
        <v>0</v>
      </c>
      <c r="E180" s="102" t="s">
        <v>163</v>
      </c>
      <c r="F180" s="41"/>
    </row>
    <row r="181" spans="1:6" s="11" customFormat="1" ht="21" hidden="1" customHeight="1" x14ac:dyDescent="0.25">
      <c r="A181" s="89" t="s">
        <v>22</v>
      </c>
      <c r="B181" s="94">
        <v>30</v>
      </c>
      <c r="C181" s="95">
        <v>0</v>
      </c>
      <c r="D181" s="96">
        <v>0</v>
      </c>
      <c r="E181" s="102" t="s">
        <v>163</v>
      </c>
      <c r="F181" s="41"/>
    </row>
    <row r="182" spans="1:6" s="11" customFormat="1" ht="21" hidden="1" customHeight="1" x14ac:dyDescent="0.25">
      <c r="A182" s="89" t="s">
        <v>81</v>
      </c>
      <c r="B182" s="94">
        <v>30</v>
      </c>
      <c r="C182" s="95">
        <v>0.19</v>
      </c>
      <c r="D182" s="96" t="s">
        <v>380</v>
      </c>
      <c r="E182" s="102" t="s">
        <v>104</v>
      </c>
      <c r="F182" s="41"/>
    </row>
    <row r="183" spans="1:6" s="11" customFormat="1" ht="21" hidden="1" customHeight="1" x14ac:dyDescent="0.25">
      <c r="A183" s="89" t="s">
        <v>1369</v>
      </c>
      <c r="B183" s="94">
        <v>0</v>
      </c>
      <c r="C183" s="95">
        <v>0</v>
      </c>
      <c r="D183" s="96">
        <v>0</v>
      </c>
      <c r="E183" s="124"/>
      <c r="F183" s="41"/>
    </row>
    <row r="184" spans="1:6" s="11" customFormat="1" ht="21" hidden="1" customHeight="1" x14ac:dyDescent="0.25">
      <c r="A184" s="89" t="s">
        <v>405</v>
      </c>
      <c r="B184" s="94">
        <v>10</v>
      </c>
      <c r="C184" s="95">
        <v>0.19</v>
      </c>
      <c r="D184" s="96">
        <v>0</v>
      </c>
      <c r="E184" s="102"/>
      <c r="F184" s="41"/>
    </row>
    <row r="185" spans="1:6" s="11" customFormat="1" ht="21" hidden="1" customHeight="1" x14ac:dyDescent="0.25">
      <c r="A185" s="89" t="s">
        <v>492</v>
      </c>
      <c r="B185" s="94">
        <v>10</v>
      </c>
      <c r="C185" s="95">
        <v>0.19</v>
      </c>
      <c r="D185" s="96" t="s">
        <v>380</v>
      </c>
      <c r="E185" s="102" t="s">
        <v>493</v>
      </c>
      <c r="F185" s="41"/>
    </row>
    <row r="186" spans="1:6" s="11" customFormat="1" ht="21" hidden="1" customHeight="1" x14ac:dyDescent="0.25">
      <c r="A186" s="89" t="s">
        <v>484</v>
      </c>
      <c r="B186" s="94">
        <v>60</v>
      </c>
      <c r="C186" s="95">
        <v>0.19</v>
      </c>
      <c r="D186" s="96">
        <v>0</v>
      </c>
      <c r="E186" s="102"/>
      <c r="F186" s="41"/>
    </row>
    <row r="187" spans="1:6" s="11" customFormat="1" ht="21" hidden="1" customHeight="1" x14ac:dyDescent="0.25">
      <c r="A187" s="89" t="s">
        <v>18</v>
      </c>
      <c r="B187" s="94">
        <v>30</v>
      </c>
      <c r="C187" s="95">
        <v>0.19</v>
      </c>
      <c r="D187" s="96" t="s">
        <v>380</v>
      </c>
      <c r="E187" s="102" t="s">
        <v>164</v>
      </c>
      <c r="F187" s="41" t="s">
        <v>525</v>
      </c>
    </row>
    <row r="188" spans="1:6" s="11" customFormat="1" ht="21" hidden="1" customHeight="1" x14ac:dyDescent="0.25">
      <c r="A188" s="89" t="s">
        <v>1397</v>
      </c>
      <c r="B188" s="94">
        <v>30</v>
      </c>
      <c r="C188" s="95">
        <v>0.19</v>
      </c>
      <c r="D188" s="96" t="s">
        <v>380</v>
      </c>
      <c r="E188" s="102" t="s">
        <v>1398</v>
      </c>
      <c r="F188" s="41" t="s">
        <v>1399</v>
      </c>
    </row>
    <row r="189" spans="1:6" s="11" customFormat="1" ht="21" hidden="1" customHeight="1" x14ac:dyDescent="0.25">
      <c r="A189" s="89" t="s">
        <v>454</v>
      </c>
      <c r="B189" s="94">
        <v>30</v>
      </c>
      <c r="C189" s="95">
        <v>0.19</v>
      </c>
      <c r="D189" s="96" t="s">
        <v>380</v>
      </c>
      <c r="E189" s="102" t="s">
        <v>476</v>
      </c>
      <c r="F189" s="41"/>
    </row>
    <row r="190" spans="1:6" s="11" customFormat="1" ht="21" hidden="1" customHeight="1" x14ac:dyDescent="0.25">
      <c r="A190" s="89" t="s">
        <v>1172</v>
      </c>
      <c r="B190" s="94">
        <v>0</v>
      </c>
      <c r="C190" s="95">
        <v>0.19</v>
      </c>
      <c r="D190" s="96" t="s">
        <v>482</v>
      </c>
      <c r="E190" s="133" t="s">
        <v>1173</v>
      </c>
      <c r="F190" s="41"/>
    </row>
    <row r="191" spans="1:6" s="11" customFormat="1" ht="21" hidden="1" customHeight="1" x14ac:dyDescent="0.25">
      <c r="A191" s="89" t="s">
        <v>994</v>
      </c>
      <c r="B191" s="94">
        <v>30</v>
      </c>
      <c r="C191" s="95">
        <v>0.19</v>
      </c>
      <c r="D191" s="96" t="s">
        <v>380</v>
      </c>
      <c r="E191" s="102" t="s">
        <v>159</v>
      </c>
      <c r="F191" s="41"/>
    </row>
    <row r="192" spans="1:6" s="11" customFormat="1" ht="21" hidden="1" customHeight="1" x14ac:dyDescent="0.25">
      <c r="A192" s="89" t="s">
        <v>261</v>
      </c>
      <c r="B192" s="94">
        <v>10</v>
      </c>
      <c r="C192" s="95">
        <v>0.19</v>
      </c>
      <c r="D192" s="96" t="s">
        <v>383</v>
      </c>
      <c r="E192" s="102" t="s">
        <v>262</v>
      </c>
      <c r="F192" s="41"/>
    </row>
    <row r="193" spans="1:6" s="11" customFormat="1" ht="21" hidden="1" customHeight="1" x14ac:dyDescent="0.25">
      <c r="A193" s="89" t="s">
        <v>537</v>
      </c>
      <c r="B193" s="94">
        <v>30</v>
      </c>
      <c r="C193" s="95">
        <v>0.19</v>
      </c>
      <c r="D193" s="96">
        <v>0</v>
      </c>
      <c r="E193" s="124"/>
      <c r="F193" s="41"/>
    </row>
    <row r="194" spans="1:6" s="11" customFormat="1" ht="21" hidden="1" customHeight="1" x14ac:dyDescent="0.25">
      <c r="A194" s="89" t="s">
        <v>34</v>
      </c>
      <c r="B194" s="94">
        <v>30</v>
      </c>
      <c r="C194" s="95">
        <v>0.19</v>
      </c>
      <c r="D194" s="96" t="s">
        <v>380</v>
      </c>
      <c r="E194" s="102" t="s">
        <v>165</v>
      </c>
      <c r="F194" s="41"/>
    </row>
    <row r="195" spans="1:6" s="11" customFormat="1" ht="21" hidden="1" customHeight="1" x14ac:dyDescent="0.25">
      <c r="A195" s="89" t="s">
        <v>66</v>
      </c>
      <c r="B195" s="94">
        <v>30</v>
      </c>
      <c r="C195" s="95">
        <v>0</v>
      </c>
      <c r="D195" s="96">
        <v>0</v>
      </c>
      <c r="E195" s="102" t="s">
        <v>163</v>
      </c>
      <c r="F195" s="41"/>
    </row>
    <row r="196" spans="1:6" s="11" customFormat="1" ht="21" hidden="1" customHeight="1" x14ac:dyDescent="0.25">
      <c r="A196" s="89" t="s">
        <v>218</v>
      </c>
      <c r="B196" s="94">
        <v>30</v>
      </c>
      <c r="C196" s="95">
        <v>0</v>
      </c>
      <c r="D196" s="96">
        <v>0</v>
      </c>
      <c r="E196" s="102"/>
      <c r="F196" s="41"/>
    </row>
    <row r="197" spans="1:6" s="11" customFormat="1" ht="21" hidden="1" customHeight="1" x14ac:dyDescent="0.25">
      <c r="A197" s="89" t="s">
        <v>90</v>
      </c>
      <c r="B197" s="94">
        <v>30</v>
      </c>
      <c r="C197" s="95">
        <v>0</v>
      </c>
      <c r="D197" s="96">
        <v>0</v>
      </c>
      <c r="E197" s="102" t="s">
        <v>104</v>
      </c>
      <c r="F197" s="41"/>
    </row>
    <row r="198" spans="1:6" s="11" customFormat="1" ht="21" hidden="1" customHeight="1" x14ac:dyDescent="0.25">
      <c r="A198" s="89" t="s">
        <v>68</v>
      </c>
      <c r="B198" s="94">
        <v>30</v>
      </c>
      <c r="C198" s="95">
        <v>0</v>
      </c>
      <c r="D198" s="96">
        <v>0</v>
      </c>
      <c r="E198" s="102" t="s">
        <v>104</v>
      </c>
      <c r="F198" s="41"/>
    </row>
    <row r="199" spans="1:6" s="11" customFormat="1" ht="21" hidden="1" customHeight="1" x14ac:dyDescent="0.25">
      <c r="A199" s="89" t="s">
        <v>204</v>
      </c>
      <c r="B199" s="94">
        <v>10</v>
      </c>
      <c r="C199" s="95">
        <v>0</v>
      </c>
      <c r="D199" s="96">
        <v>0</v>
      </c>
      <c r="E199" s="102"/>
      <c r="F199" s="41"/>
    </row>
    <row r="200" spans="1:6" s="11" customFormat="1" ht="21" hidden="1" customHeight="1" x14ac:dyDescent="0.25">
      <c r="A200" s="89" t="s">
        <v>62</v>
      </c>
      <c r="B200" s="94">
        <v>30</v>
      </c>
      <c r="C200" s="95">
        <v>0</v>
      </c>
      <c r="D200" s="96">
        <v>0</v>
      </c>
      <c r="E200" s="102" t="s">
        <v>104</v>
      </c>
      <c r="F200" s="41"/>
    </row>
    <row r="201" spans="1:6" s="11" customFormat="1" ht="21" hidden="1" customHeight="1" x14ac:dyDescent="0.25">
      <c r="A201" s="89" t="s">
        <v>72</v>
      </c>
      <c r="B201" s="94">
        <v>30</v>
      </c>
      <c r="C201" s="95">
        <v>0</v>
      </c>
      <c r="D201" s="96">
        <v>0</v>
      </c>
      <c r="E201" s="102" t="s">
        <v>163</v>
      </c>
      <c r="F201" s="41"/>
    </row>
    <row r="202" spans="1:6" s="11" customFormat="1" ht="21" hidden="1" customHeight="1" x14ac:dyDescent="0.25">
      <c r="A202" s="89" t="s">
        <v>103</v>
      </c>
      <c r="B202" s="94">
        <v>30</v>
      </c>
      <c r="C202" s="95">
        <v>0</v>
      </c>
      <c r="D202" s="96">
        <v>0</v>
      </c>
      <c r="E202" s="102" t="s">
        <v>163</v>
      </c>
      <c r="F202" s="41"/>
    </row>
    <row r="203" spans="1:6" s="11" customFormat="1" ht="21" hidden="1" customHeight="1" x14ac:dyDescent="0.25">
      <c r="A203" s="89" t="s">
        <v>71</v>
      </c>
      <c r="B203" s="94">
        <v>30</v>
      </c>
      <c r="C203" s="95">
        <v>0</v>
      </c>
      <c r="D203" s="96">
        <v>0</v>
      </c>
      <c r="E203" s="102" t="s">
        <v>163</v>
      </c>
      <c r="F203" s="41"/>
    </row>
    <row r="204" spans="1:6" s="11" customFormat="1" ht="21" hidden="1" customHeight="1" x14ac:dyDescent="0.25">
      <c r="A204" s="89" t="s">
        <v>91</v>
      </c>
      <c r="B204" s="94">
        <v>30</v>
      </c>
      <c r="C204" s="95">
        <v>0</v>
      </c>
      <c r="D204" s="96">
        <v>0</v>
      </c>
      <c r="E204" s="102" t="s">
        <v>163</v>
      </c>
      <c r="F204" s="41"/>
    </row>
    <row r="205" spans="1:6" s="11" customFormat="1" ht="21" hidden="1" customHeight="1" x14ac:dyDescent="0.25">
      <c r="A205" s="89" t="s">
        <v>55</v>
      </c>
      <c r="B205" s="94">
        <v>30</v>
      </c>
      <c r="C205" s="95">
        <v>0</v>
      </c>
      <c r="D205" s="96">
        <v>0</v>
      </c>
      <c r="E205" s="102" t="s">
        <v>104</v>
      </c>
      <c r="F205" s="41"/>
    </row>
    <row r="206" spans="1:6" s="11" customFormat="1" ht="21" hidden="1" customHeight="1" x14ac:dyDescent="0.25">
      <c r="A206" s="89" t="s">
        <v>53</v>
      </c>
      <c r="B206" s="94">
        <v>30</v>
      </c>
      <c r="C206" s="95">
        <v>0</v>
      </c>
      <c r="D206" s="96">
        <v>0</v>
      </c>
      <c r="E206" s="102" t="s">
        <v>104</v>
      </c>
      <c r="F206" s="90"/>
    </row>
    <row r="207" spans="1:6" s="11" customFormat="1" ht="21" hidden="1" customHeight="1" x14ac:dyDescent="0.25">
      <c r="A207" s="89" t="s">
        <v>485</v>
      </c>
      <c r="B207" s="94">
        <v>30</v>
      </c>
      <c r="C207" s="95">
        <v>0.19</v>
      </c>
      <c r="D207" s="96">
        <v>0</v>
      </c>
      <c r="E207" s="102" t="s">
        <v>171</v>
      </c>
      <c r="F207" s="41"/>
    </row>
    <row r="208" spans="1:6" s="11" customFormat="1" ht="21" hidden="1" customHeight="1" x14ac:dyDescent="0.25">
      <c r="A208" s="89" t="s">
        <v>65</v>
      </c>
      <c r="B208" s="94">
        <v>30</v>
      </c>
      <c r="C208" s="95">
        <v>0.19</v>
      </c>
      <c r="D208" s="96" t="s">
        <v>380</v>
      </c>
      <c r="E208" s="102" t="s">
        <v>166</v>
      </c>
      <c r="F208" s="90"/>
    </row>
    <row r="209" spans="1:6" s="11" customFormat="1" ht="21" hidden="1" customHeight="1" x14ac:dyDescent="0.25">
      <c r="A209" s="89" t="s">
        <v>487</v>
      </c>
      <c r="B209" s="94">
        <v>30</v>
      </c>
      <c r="C209" s="95">
        <v>0</v>
      </c>
      <c r="D209" s="96" t="s">
        <v>379</v>
      </c>
      <c r="E209" s="102" t="s">
        <v>158</v>
      </c>
      <c r="F209" s="41"/>
    </row>
    <row r="210" spans="1:6" s="11" customFormat="1" ht="21" hidden="1" customHeight="1" x14ac:dyDescent="0.25">
      <c r="A210" s="89" t="s">
        <v>47</v>
      </c>
      <c r="B210" s="94">
        <v>30</v>
      </c>
      <c r="C210" s="95">
        <v>0.19</v>
      </c>
      <c r="D210" s="96" t="s">
        <v>380</v>
      </c>
      <c r="E210" s="102" t="s">
        <v>189</v>
      </c>
      <c r="F210" s="41" t="s">
        <v>509</v>
      </c>
    </row>
    <row r="211" spans="1:6" s="11" customFormat="1" ht="21" hidden="1" customHeight="1" x14ac:dyDescent="0.25">
      <c r="A211" s="89" t="s">
        <v>481</v>
      </c>
      <c r="B211" s="94">
        <v>30</v>
      </c>
      <c r="C211" s="95">
        <v>0.19</v>
      </c>
      <c r="D211" s="96" t="s">
        <v>380</v>
      </c>
      <c r="E211" s="102" t="s">
        <v>189</v>
      </c>
      <c r="F211" s="41"/>
    </row>
    <row r="212" spans="1:6" s="11" customFormat="1" ht="21" hidden="1" customHeight="1" x14ac:dyDescent="0.25">
      <c r="A212" s="89" t="s">
        <v>1178</v>
      </c>
      <c r="B212" s="94">
        <v>30</v>
      </c>
      <c r="C212" s="95">
        <v>0.19</v>
      </c>
      <c r="D212" s="96" t="s">
        <v>380</v>
      </c>
      <c r="E212" s="102" t="s">
        <v>1177</v>
      </c>
      <c r="F212" s="41"/>
    </row>
    <row r="213" spans="1:6" s="11" customFormat="1" ht="21" hidden="1" customHeight="1" x14ac:dyDescent="0.25">
      <c r="A213" s="89" t="s">
        <v>152</v>
      </c>
      <c r="B213" s="94">
        <v>30</v>
      </c>
      <c r="C213" s="95">
        <v>0.19</v>
      </c>
      <c r="D213" s="96" t="s">
        <v>380</v>
      </c>
      <c r="E213" s="102" t="s">
        <v>241</v>
      </c>
      <c r="F213" s="41" t="s">
        <v>143</v>
      </c>
    </row>
    <row r="214" spans="1:6" s="11" customFormat="1" ht="21" hidden="1" customHeight="1" x14ac:dyDescent="0.25">
      <c r="A214" s="89" t="s">
        <v>220</v>
      </c>
      <c r="B214" s="94">
        <v>30</v>
      </c>
      <c r="C214" s="95">
        <v>0.19</v>
      </c>
      <c r="D214" s="96" t="s">
        <v>380</v>
      </c>
      <c r="E214" s="102" t="s">
        <v>241</v>
      </c>
      <c r="F214" s="41" t="s">
        <v>143</v>
      </c>
    </row>
    <row r="215" spans="1:6" s="11" customFormat="1" ht="21" hidden="1" customHeight="1" x14ac:dyDescent="0.25">
      <c r="A215" s="89" t="s">
        <v>246</v>
      </c>
      <c r="B215" s="94">
        <v>30</v>
      </c>
      <c r="C215" s="95">
        <v>0.19</v>
      </c>
      <c r="D215" s="96" t="s">
        <v>380</v>
      </c>
      <c r="E215" s="102" t="s">
        <v>1537</v>
      </c>
      <c r="F215" s="41"/>
    </row>
    <row r="216" spans="1:6" s="11" customFormat="1" ht="21" hidden="1" customHeight="1" x14ac:dyDescent="0.25">
      <c r="A216" s="89" t="s">
        <v>122</v>
      </c>
      <c r="B216" s="94">
        <v>30</v>
      </c>
      <c r="C216" s="95">
        <v>0.19</v>
      </c>
      <c r="D216" s="96" t="s">
        <v>380</v>
      </c>
      <c r="E216" s="102"/>
      <c r="F216" s="41"/>
    </row>
    <row r="217" spans="1:6" s="11" customFormat="1" ht="21" hidden="1" customHeight="1" x14ac:dyDescent="0.25">
      <c r="A217" s="89" t="s">
        <v>31</v>
      </c>
      <c r="B217" s="94">
        <v>30</v>
      </c>
      <c r="C217" s="95">
        <v>0</v>
      </c>
      <c r="D217" s="96">
        <v>0</v>
      </c>
      <c r="E217" s="102" t="s">
        <v>209</v>
      </c>
      <c r="F217" s="41"/>
    </row>
    <row r="218" spans="1:6" s="11" customFormat="1" ht="21" hidden="1" customHeight="1" x14ac:dyDescent="0.25">
      <c r="A218" s="89" t="s">
        <v>447</v>
      </c>
      <c r="B218" s="94">
        <v>30</v>
      </c>
      <c r="C218" s="95">
        <v>0.19</v>
      </c>
      <c r="D218" s="96" t="s">
        <v>380</v>
      </c>
      <c r="E218" s="102" t="s">
        <v>448</v>
      </c>
      <c r="F218" s="41"/>
    </row>
    <row r="219" spans="1:6" s="11" customFormat="1" ht="21" hidden="1" customHeight="1" x14ac:dyDescent="0.25">
      <c r="A219" s="89" t="s">
        <v>804</v>
      </c>
      <c r="B219" s="94">
        <v>30</v>
      </c>
      <c r="C219" s="95">
        <v>0.19</v>
      </c>
      <c r="D219" s="96" t="s">
        <v>380</v>
      </c>
      <c r="E219" s="102" t="s">
        <v>448</v>
      </c>
      <c r="F219" s="41"/>
    </row>
    <row r="220" spans="1:6" s="11" customFormat="1" ht="21" hidden="1" customHeight="1" x14ac:dyDescent="0.25">
      <c r="A220" s="89" t="s">
        <v>33</v>
      </c>
      <c r="B220" s="94">
        <v>30</v>
      </c>
      <c r="C220" s="95">
        <v>0.19</v>
      </c>
      <c r="D220" s="96" t="s">
        <v>380</v>
      </c>
      <c r="E220" s="102" t="s">
        <v>232</v>
      </c>
      <c r="F220" s="41"/>
    </row>
    <row r="221" spans="1:6" s="11" customFormat="1" ht="21" hidden="1" customHeight="1" x14ac:dyDescent="0.25">
      <c r="A221" s="89" t="s">
        <v>406</v>
      </c>
      <c r="B221" s="94">
        <v>30</v>
      </c>
      <c r="C221" s="95">
        <v>0</v>
      </c>
      <c r="D221" s="96">
        <v>0</v>
      </c>
      <c r="E221" s="102" t="s">
        <v>1508</v>
      </c>
      <c r="F221" s="41"/>
    </row>
    <row r="222" spans="1:6" s="11" customFormat="1" ht="21" hidden="1" customHeight="1" x14ac:dyDescent="0.25">
      <c r="A222" s="89" t="s">
        <v>92</v>
      </c>
      <c r="B222" s="94">
        <v>30</v>
      </c>
      <c r="C222" s="95">
        <v>0.19</v>
      </c>
      <c r="D222" s="96">
        <v>0</v>
      </c>
      <c r="E222" s="102" t="s">
        <v>104</v>
      </c>
      <c r="F222" s="41"/>
    </row>
    <row r="223" spans="1:6" s="11" customFormat="1" ht="21" hidden="1" customHeight="1" x14ac:dyDescent="0.25">
      <c r="A223" s="89" t="s">
        <v>498</v>
      </c>
      <c r="B223" s="94">
        <v>0</v>
      </c>
      <c r="C223" s="95">
        <v>0</v>
      </c>
      <c r="D223" s="96">
        <v>0</v>
      </c>
      <c r="E223" s="133" t="s">
        <v>500</v>
      </c>
      <c r="F223" s="132" t="s">
        <v>499</v>
      </c>
    </row>
    <row r="224" spans="1:6" s="11" customFormat="1" ht="21" hidden="1" customHeight="1" x14ac:dyDescent="0.25">
      <c r="A224" s="89" t="s">
        <v>407</v>
      </c>
      <c r="B224" s="94">
        <v>30</v>
      </c>
      <c r="C224" s="95">
        <v>0</v>
      </c>
      <c r="D224" s="96">
        <v>0</v>
      </c>
      <c r="E224" s="102"/>
      <c r="F224" s="41"/>
    </row>
    <row r="225" spans="1:6" s="11" customFormat="1" ht="21" hidden="1" customHeight="1" x14ac:dyDescent="0.25">
      <c r="A225" s="89" t="s">
        <v>93</v>
      </c>
      <c r="B225" s="94">
        <v>30</v>
      </c>
      <c r="C225" s="95">
        <v>0</v>
      </c>
      <c r="D225" s="96">
        <v>0</v>
      </c>
      <c r="E225" s="102" t="s">
        <v>1561</v>
      </c>
      <c r="F225" s="41"/>
    </row>
    <row r="226" spans="1:6" s="11" customFormat="1" ht="21" hidden="1" customHeight="1" x14ac:dyDescent="0.25">
      <c r="A226" s="89" t="s">
        <v>219</v>
      </c>
      <c r="B226" s="94">
        <v>30</v>
      </c>
      <c r="C226" s="95">
        <v>0</v>
      </c>
      <c r="D226" s="96">
        <v>0</v>
      </c>
      <c r="E226" s="102" t="s">
        <v>1561</v>
      </c>
      <c r="F226" s="41"/>
    </row>
    <row r="227" spans="1:6" s="11" customFormat="1" ht="21" hidden="1" customHeight="1" x14ac:dyDescent="0.25">
      <c r="A227" s="89" t="s">
        <v>265</v>
      </c>
      <c r="B227" s="94">
        <v>30</v>
      </c>
      <c r="C227" s="95">
        <v>0</v>
      </c>
      <c r="D227" s="96">
        <v>0</v>
      </c>
      <c r="E227" s="102" t="s">
        <v>1561</v>
      </c>
      <c r="F227" s="41"/>
    </row>
    <row r="228" spans="1:6" s="11" customFormat="1" ht="21" hidden="1" customHeight="1" x14ac:dyDescent="0.25">
      <c r="A228" s="89" t="s">
        <v>203</v>
      </c>
      <c r="B228" s="94">
        <v>30</v>
      </c>
      <c r="C228" s="95">
        <v>0</v>
      </c>
      <c r="D228" s="96">
        <v>0</v>
      </c>
      <c r="E228" s="102" t="s">
        <v>1561</v>
      </c>
      <c r="F228" s="41"/>
    </row>
    <row r="229" spans="1:6" s="11" customFormat="1" ht="21" hidden="1" customHeight="1" x14ac:dyDescent="0.25">
      <c r="A229" s="89" t="s">
        <v>75</v>
      </c>
      <c r="B229" s="94">
        <v>30</v>
      </c>
      <c r="C229" s="95">
        <v>0.19</v>
      </c>
      <c r="D229" s="96" t="s">
        <v>380</v>
      </c>
      <c r="E229" s="102" t="s">
        <v>167</v>
      </c>
      <c r="F229" s="41"/>
    </row>
    <row r="230" spans="1:6" s="11" customFormat="1" ht="21" hidden="1" customHeight="1" x14ac:dyDescent="0.25">
      <c r="A230" s="89" t="s">
        <v>462</v>
      </c>
      <c r="B230" s="94">
        <v>30</v>
      </c>
      <c r="C230" s="95">
        <v>0.19</v>
      </c>
      <c r="D230" s="96"/>
      <c r="E230" s="102" t="s">
        <v>463</v>
      </c>
      <c r="F230" s="41"/>
    </row>
    <row r="231" spans="1:6" s="11" customFormat="1" ht="21" hidden="1" customHeight="1" x14ac:dyDescent="0.25">
      <c r="A231" s="89" t="s">
        <v>426</v>
      </c>
      <c r="B231" s="94">
        <v>30</v>
      </c>
      <c r="C231" s="95">
        <v>0.19</v>
      </c>
      <c r="D231" s="96" t="s">
        <v>382</v>
      </c>
      <c r="E231" s="102" t="s">
        <v>321</v>
      </c>
      <c r="F231" s="41"/>
    </row>
    <row r="232" spans="1:6" s="11" customFormat="1" ht="21" hidden="1" customHeight="1" x14ac:dyDescent="0.25">
      <c r="A232" s="89" t="s">
        <v>32</v>
      </c>
      <c r="B232" s="94">
        <v>30</v>
      </c>
      <c r="C232" s="95">
        <v>0.19</v>
      </c>
      <c r="D232" s="96" t="s">
        <v>380</v>
      </c>
      <c r="E232" s="102" t="s">
        <v>444</v>
      </c>
      <c r="F232" s="41"/>
    </row>
    <row r="233" spans="1:6" s="11" customFormat="1" ht="21" hidden="1" customHeight="1" x14ac:dyDescent="0.25">
      <c r="A233" s="89" t="s">
        <v>236</v>
      </c>
      <c r="B233" s="94">
        <v>30</v>
      </c>
      <c r="C233" s="95">
        <v>0.19</v>
      </c>
      <c r="D233" s="96" t="s">
        <v>380</v>
      </c>
      <c r="E233" s="102" t="s">
        <v>241</v>
      </c>
      <c r="F233" s="41"/>
    </row>
    <row r="234" spans="1:6" s="11" customFormat="1" ht="21" hidden="1" customHeight="1" x14ac:dyDescent="0.25">
      <c r="A234" s="89" t="s">
        <v>408</v>
      </c>
      <c r="B234" s="94">
        <v>60</v>
      </c>
      <c r="C234" s="95">
        <v>0</v>
      </c>
      <c r="D234" s="96">
        <v>0</v>
      </c>
      <c r="E234" s="102"/>
      <c r="F234" s="41"/>
    </row>
    <row r="235" spans="1:6" s="11" customFormat="1" ht="21" hidden="1" customHeight="1" x14ac:dyDescent="0.25">
      <c r="A235" s="89" t="s">
        <v>208</v>
      </c>
      <c r="B235" s="94">
        <v>30</v>
      </c>
      <c r="C235" s="95">
        <v>0.19</v>
      </c>
      <c r="D235" s="96" t="s">
        <v>380</v>
      </c>
      <c r="E235" s="102"/>
      <c r="F235" s="41"/>
    </row>
    <row r="236" spans="1:6" s="11" customFormat="1" ht="21" hidden="1" customHeight="1" x14ac:dyDescent="0.25">
      <c r="A236" s="89" t="s">
        <v>94</v>
      </c>
      <c r="B236" s="94">
        <v>30</v>
      </c>
      <c r="C236" s="95">
        <v>0.19</v>
      </c>
      <c r="D236" s="96" t="s">
        <v>380</v>
      </c>
      <c r="E236" s="102" t="s">
        <v>104</v>
      </c>
      <c r="F236" s="41"/>
    </row>
    <row r="237" spans="1:6" s="11" customFormat="1" ht="21" hidden="1" customHeight="1" x14ac:dyDescent="0.25">
      <c r="A237" s="89" t="s">
        <v>322</v>
      </c>
      <c r="B237" s="94">
        <v>30</v>
      </c>
      <c r="C237" s="95">
        <v>0.19</v>
      </c>
      <c r="D237" s="96" t="s">
        <v>380</v>
      </c>
      <c r="E237" s="102" t="s">
        <v>168</v>
      </c>
      <c r="F237" s="41"/>
    </row>
    <row r="238" spans="1:6" s="11" customFormat="1" ht="21" hidden="1" customHeight="1" x14ac:dyDescent="0.25">
      <c r="A238" s="89" t="s">
        <v>230</v>
      </c>
      <c r="B238" s="94">
        <v>30</v>
      </c>
      <c r="C238" s="95">
        <v>0.19</v>
      </c>
      <c r="D238" s="96" t="s">
        <v>380</v>
      </c>
      <c r="E238" s="102" t="s">
        <v>231</v>
      </c>
      <c r="F238" s="41"/>
    </row>
    <row r="239" spans="1:6" s="11" customFormat="1" ht="21" hidden="1" customHeight="1" x14ac:dyDescent="0.25">
      <c r="A239" s="89" t="s">
        <v>409</v>
      </c>
      <c r="B239" s="94">
        <v>30</v>
      </c>
      <c r="C239" s="95">
        <v>0</v>
      </c>
      <c r="D239" s="96">
        <v>0</v>
      </c>
      <c r="E239" s="102" t="s">
        <v>300</v>
      </c>
      <c r="F239" s="41"/>
    </row>
    <row r="240" spans="1:6" s="11" customFormat="1" ht="21" hidden="1" customHeight="1" x14ac:dyDescent="0.25">
      <c r="A240" s="89" t="s">
        <v>27</v>
      </c>
      <c r="B240" s="94">
        <v>30</v>
      </c>
      <c r="C240" s="95">
        <v>0</v>
      </c>
      <c r="D240" s="96">
        <v>0</v>
      </c>
      <c r="E240" s="102" t="s">
        <v>104</v>
      </c>
      <c r="F240" s="41"/>
    </row>
    <row r="241" spans="1:6" s="11" customFormat="1" ht="21" hidden="1" customHeight="1" x14ac:dyDescent="0.25">
      <c r="A241" s="89" t="s">
        <v>199</v>
      </c>
      <c r="B241" s="94">
        <v>30</v>
      </c>
      <c r="C241" s="95">
        <v>0.19</v>
      </c>
      <c r="D241" s="96" t="s">
        <v>389</v>
      </c>
      <c r="E241" s="102" t="s">
        <v>200</v>
      </c>
      <c r="F241" s="41"/>
    </row>
    <row r="242" spans="1:6" s="11" customFormat="1" ht="21" hidden="1" customHeight="1" x14ac:dyDescent="0.25">
      <c r="A242" s="89" t="s">
        <v>410</v>
      </c>
      <c r="B242" s="94">
        <v>45</v>
      </c>
      <c r="C242" s="95">
        <v>0</v>
      </c>
      <c r="D242" s="96">
        <v>0</v>
      </c>
      <c r="E242" s="102"/>
      <c r="F242" s="41"/>
    </row>
    <row r="243" spans="1:6" s="11" customFormat="1" ht="21" hidden="1" customHeight="1" x14ac:dyDescent="0.25">
      <c r="A243" s="89" t="s">
        <v>17</v>
      </c>
      <c r="B243" s="94">
        <v>30</v>
      </c>
      <c r="C243" s="95">
        <v>0.19</v>
      </c>
      <c r="D243" s="96">
        <v>0</v>
      </c>
      <c r="E243" s="102" t="s">
        <v>169</v>
      </c>
      <c r="F243" s="41"/>
    </row>
    <row r="244" spans="1:6" s="11" customFormat="1" ht="21" hidden="1" customHeight="1" x14ac:dyDescent="0.25">
      <c r="A244" s="89" t="s">
        <v>193</v>
      </c>
      <c r="B244" s="94">
        <v>10</v>
      </c>
      <c r="C244" s="95">
        <v>0</v>
      </c>
      <c r="D244" s="96">
        <v>0</v>
      </c>
      <c r="E244" s="102" t="s">
        <v>194</v>
      </c>
      <c r="F244" s="41"/>
    </row>
    <row r="245" spans="1:6" s="11" customFormat="1" ht="21" hidden="1" customHeight="1" x14ac:dyDescent="0.25">
      <c r="A245" s="89" t="s">
        <v>197</v>
      </c>
      <c r="B245" s="94">
        <v>10</v>
      </c>
      <c r="C245" s="95">
        <v>0.19</v>
      </c>
      <c r="D245" s="96" t="s">
        <v>380</v>
      </c>
      <c r="E245" s="102" t="s">
        <v>198</v>
      </c>
      <c r="F245" s="41"/>
    </row>
    <row r="246" spans="1:6" s="11" customFormat="1" ht="21" hidden="1" customHeight="1" x14ac:dyDescent="0.25">
      <c r="A246" s="89" t="s">
        <v>411</v>
      </c>
      <c r="B246" s="94">
        <v>30</v>
      </c>
      <c r="C246" s="95">
        <v>0</v>
      </c>
      <c r="D246" s="96">
        <v>0</v>
      </c>
      <c r="E246" s="102"/>
      <c r="F246" s="41"/>
    </row>
    <row r="247" spans="1:6" s="11" customFormat="1" ht="21" hidden="1" customHeight="1" x14ac:dyDescent="0.25">
      <c r="A247" s="89" t="s">
        <v>1063</v>
      </c>
      <c r="B247" s="94">
        <v>30</v>
      </c>
      <c r="C247" s="95">
        <v>0.19</v>
      </c>
      <c r="D247" s="96" t="s">
        <v>380</v>
      </c>
      <c r="E247" s="124"/>
      <c r="F247" s="41"/>
    </row>
    <row r="248" spans="1:6" s="11" customFormat="1" ht="21" hidden="1" customHeight="1" x14ac:dyDescent="0.25">
      <c r="A248" s="89" t="s">
        <v>490</v>
      </c>
      <c r="B248" s="94">
        <v>30</v>
      </c>
      <c r="C248" s="95">
        <v>0.19</v>
      </c>
      <c r="D248" s="96" t="s">
        <v>380</v>
      </c>
      <c r="E248" s="102" t="s">
        <v>170</v>
      </c>
      <c r="F248" s="41"/>
    </row>
    <row r="249" spans="1:6" s="11" customFormat="1" ht="21" hidden="1" customHeight="1" x14ac:dyDescent="0.25">
      <c r="A249" s="89" t="s">
        <v>95</v>
      </c>
      <c r="B249" s="94">
        <v>30</v>
      </c>
      <c r="C249" s="95">
        <v>0.19</v>
      </c>
      <c r="D249" s="96" t="s">
        <v>380</v>
      </c>
      <c r="E249" s="102" t="s">
        <v>184</v>
      </c>
      <c r="F249" s="41" t="s">
        <v>183</v>
      </c>
    </row>
    <row r="250" spans="1:6" s="11" customFormat="1" ht="21" hidden="1" customHeight="1" x14ac:dyDescent="0.25">
      <c r="A250" s="89" t="s">
        <v>19</v>
      </c>
      <c r="B250" s="94">
        <v>45</v>
      </c>
      <c r="C250" s="95">
        <v>0.19</v>
      </c>
      <c r="D250" s="96">
        <v>0</v>
      </c>
      <c r="E250" s="102" t="s">
        <v>390</v>
      </c>
      <c r="F250" s="41"/>
    </row>
    <row r="251" spans="1:6" s="11" customFormat="1" ht="21" hidden="1" customHeight="1" x14ac:dyDescent="0.25">
      <c r="A251" s="89" t="s">
        <v>588</v>
      </c>
      <c r="B251" s="94">
        <v>30</v>
      </c>
      <c r="C251" s="95">
        <v>0.19</v>
      </c>
      <c r="D251" s="96" t="s">
        <v>380</v>
      </c>
      <c r="E251" s="124"/>
      <c r="F251" s="41"/>
    </row>
    <row r="252" spans="1:6" s="11" customFormat="1" ht="21" hidden="1" customHeight="1" x14ac:dyDescent="0.25">
      <c r="A252" s="89" t="s">
        <v>25</v>
      </c>
      <c r="B252" s="94">
        <v>30</v>
      </c>
      <c r="C252" s="95">
        <v>0.19</v>
      </c>
      <c r="D252" s="96" t="s">
        <v>382</v>
      </c>
      <c r="E252" s="102" t="s">
        <v>104</v>
      </c>
      <c r="F252" s="41"/>
    </row>
    <row r="253" spans="1:6" s="11" customFormat="1" ht="21" hidden="1" customHeight="1" x14ac:dyDescent="0.25">
      <c r="A253" s="89" t="s">
        <v>96</v>
      </c>
      <c r="B253" s="94">
        <v>30</v>
      </c>
      <c r="C253" s="95">
        <v>0.19</v>
      </c>
      <c r="D253" s="96" t="s">
        <v>382</v>
      </c>
      <c r="E253" s="102" t="s">
        <v>104</v>
      </c>
      <c r="F253" s="41"/>
    </row>
    <row r="254" spans="1:6" s="11" customFormat="1" ht="21" hidden="1" customHeight="1" x14ac:dyDescent="0.25">
      <c r="A254" s="89" t="s">
        <v>97</v>
      </c>
      <c r="B254" s="94">
        <v>30</v>
      </c>
      <c r="C254" s="95">
        <v>0.19</v>
      </c>
      <c r="D254" s="96" t="s">
        <v>382</v>
      </c>
      <c r="E254" s="102" t="s">
        <v>104</v>
      </c>
      <c r="F254" s="41"/>
    </row>
    <row r="255" spans="1:6" s="11" customFormat="1" ht="21" hidden="1" customHeight="1" x14ac:dyDescent="0.25">
      <c r="A255" s="89" t="s">
        <v>69</v>
      </c>
      <c r="B255" s="94">
        <v>30</v>
      </c>
      <c r="C255" s="95">
        <v>0.19</v>
      </c>
      <c r="D255" s="96" t="s">
        <v>382</v>
      </c>
      <c r="E255" s="102" t="s">
        <v>104</v>
      </c>
      <c r="F255" s="41"/>
    </row>
    <row r="256" spans="1:6" s="11" customFormat="1" ht="21" hidden="1" customHeight="1" x14ac:dyDescent="0.25">
      <c r="A256" s="89" t="s">
        <v>61</v>
      </c>
      <c r="B256" s="94">
        <v>30</v>
      </c>
      <c r="C256" s="95">
        <v>0.19</v>
      </c>
      <c r="D256" s="96" t="s">
        <v>382</v>
      </c>
      <c r="E256" s="102" t="s">
        <v>104</v>
      </c>
      <c r="F256" s="41"/>
    </row>
    <row r="257" spans="1:6" s="11" customFormat="1" ht="21" hidden="1" customHeight="1" x14ac:dyDescent="0.25">
      <c r="A257" s="89" t="s">
        <v>44</v>
      </c>
      <c r="B257" s="94">
        <v>30</v>
      </c>
      <c r="C257" s="95">
        <v>0.19</v>
      </c>
      <c r="D257" s="96" t="s">
        <v>382</v>
      </c>
      <c r="E257" s="102" t="s">
        <v>104</v>
      </c>
      <c r="F257" s="41"/>
    </row>
    <row r="258" spans="1:6" s="11" customFormat="1" ht="21" hidden="1" customHeight="1" x14ac:dyDescent="0.25">
      <c r="A258" s="89" t="s">
        <v>43</v>
      </c>
      <c r="B258" s="94">
        <v>30</v>
      </c>
      <c r="C258" s="95">
        <v>0.19</v>
      </c>
      <c r="D258" s="96" t="s">
        <v>382</v>
      </c>
      <c r="E258" s="102" t="s">
        <v>104</v>
      </c>
      <c r="F258" s="41"/>
    </row>
    <row r="259" spans="1:6" s="11" customFormat="1" ht="21" hidden="1" customHeight="1" x14ac:dyDescent="0.25">
      <c r="A259" s="89" t="s">
        <v>54</v>
      </c>
      <c r="B259" s="94">
        <v>30</v>
      </c>
      <c r="C259" s="95">
        <v>0.19</v>
      </c>
      <c r="D259" s="96" t="s">
        <v>382</v>
      </c>
      <c r="E259" s="102" t="s">
        <v>104</v>
      </c>
      <c r="F259" s="41"/>
    </row>
    <row r="260" spans="1:6" s="11" customFormat="1" ht="21" hidden="1" customHeight="1" x14ac:dyDescent="0.25">
      <c r="A260" s="89" t="s">
        <v>412</v>
      </c>
      <c r="B260" s="94">
        <v>18</v>
      </c>
      <c r="C260" s="95">
        <v>0</v>
      </c>
      <c r="D260" s="96">
        <v>0</v>
      </c>
      <c r="E260" s="102" t="s">
        <v>172</v>
      </c>
      <c r="F260" s="41"/>
    </row>
    <row r="261" spans="1:6" s="11" customFormat="1" ht="21" hidden="1" customHeight="1" x14ac:dyDescent="0.25">
      <c r="A261" s="89" t="s">
        <v>38</v>
      </c>
      <c r="B261" s="94">
        <v>30</v>
      </c>
      <c r="C261" s="95">
        <v>0</v>
      </c>
      <c r="D261" s="96">
        <v>0</v>
      </c>
      <c r="E261" s="102" t="s">
        <v>260</v>
      </c>
      <c r="F261" s="41"/>
    </row>
    <row r="262" spans="1:6" s="11" customFormat="1" ht="21" hidden="1" customHeight="1" x14ac:dyDescent="0.25">
      <c r="A262" s="89" t="s">
        <v>214</v>
      </c>
      <c r="B262" s="94">
        <v>20</v>
      </c>
      <c r="C262" s="95">
        <v>0</v>
      </c>
      <c r="D262" s="96" t="s">
        <v>379</v>
      </c>
      <c r="E262" s="102" t="s">
        <v>196</v>
      </c>
      <c r="F262" s="41"/>
    </row>
    <row r="263" spans="1:6" s="11" customFormat="1" ht="21" hidden="1" customHeight="1" x14ac:dyDescent="0.25">
      <c r="A263" s="89" t="s">
        <v>215</v>
      </c>
      <c r="B263" s="94">
        <v>20</v>
      </c>
      <c r="C263" s="95">
        <v>0</v>
      </c>
      <c r="D263" s="96" t="s">
        <v>379</v>
      </c>
      <c r="E263" s="102" t="s">
        <v>196</v>
      </c>
      <c r="F263" s="41"/>
    </row>
    <row r="264" spans="1:6" s="11" customFormat="1" ht="21" hidden="1" customHeight="1" x14ac:dyDescent="0.25">
      <c r="A264" s="89" t="s">
        <v>216</v>
      </c>
      <c r="B264" s="94">
        <v>20</v>
      </c>
      <c r="C264" s="95">
        <v>0</v>
      </c>
      <c r="D264" s="96" t="s">
        <v>379</v>
      </c>
      <c r="E264" s="102" t="s">
        <v>196</v>
      </c>
      <c r="F264" s="41"/>
    </row>
    <row r="265" spans="1:6" s="11" customFormat="1" ht="21" hidden="1" customHeight="1" x14ac:dyDescent="0.25">
      <c r="A265" s="89" t="s">
        <v>237</v>
      </c>
      <c r="B265" s="94">
        <v>20</v>
      </c>
      <c r="C265" s="95">
        <v>0</v>
      </c>
      <c r="D265" s="96" t="s">
        <v>379</v>
      </c>
      <c r="E265" s="102" t="s">
        <v>196</v>
      </c>
      <c r="F265" s="41"/>
    </row>
    <row r="266" spans="1:6" s="11" customFormat="1" ht="21" hidden="1" customHeight="1" x14ac:dyDescent="0.25">
      <c r="A266" s="89" t="s">
        <v>205</v>
      </c>
      <c r="B266" s="94">
        <v>20</v>
      </c>
      <c r="C266" s="95">
        <v>0.19</v>
      </c>
      <c r="D266" s="96" t="s">
        <v>383</v>
      </c>
      <c r="E266" s="102" t="s">
        <v>196</v>
      </c>
      <c r="F266" s="41"/>
    </row>
    <row r="267" spans="1:6" ht="21" hidden="1" customHeight="1" x14ac:dyDescent="0.25">
      <c r="A267" s="89" t="s">
        <v>206</v>
      </c>
      <c r="B267" s="94">
        <v>20</v>
      </c>
      <c r="C267" s="95">
        <v>0.19</v>
      </c>
      <c r="D267" s="96" t="s">
        <v>383</v>
      </c>
      <c r="E267" s="102" t="s">
        <v>196</v>
      </c>
    </row>
    <row r="268" spans="1:6" ht="21" hidden="1" customHeight="1" x14ac:dyDescent="0.25">
      <c r="A268" s="89" t="s">
        <v>201</v>
      </c>
      <c r="B268" s="94">
        <v>20</v>
      </c>
      <c r="C268" s="95">
        <v>0.19</v>
      </c>
      <c r="D268" s="96" t="s">
        <v>383</v>
      </c>
      <c r="E268" s="102" t="s">
        <v>196</v>
      </c>
    </row>
    <row r="269" spans="1:6" ht="21" hidden="1" customHeight="1" x14ac:dyDescent="0.25">
      <c r="A269" s="89" t="s">
        <v>413</v>
      </c>
      <c r="B269" s="94">
        <v>30</v>
      </c>
      <c r="C269" s="95">
        <v>0</v>
      </c>
      <c r="D269" s="96" t="s">
        <v>381</v>
      </c>
      <c r="E269" s="102" t="s">
        <v>233</v>
      </c>
    </row>
    <row r="270" spans="1:6" ht="21" hidden="1" customHeight="1" x14ac:dyDescent="0.25">
      <c r="A270" s="89" t="s">
        <v>221</v>
      </c>
      <c r="B270" s="94">
        <v>30</v>
      </c>
      <c r="C270" s="95">
        <v>0.19</v>
      </c>
      <c r="D270" s="96">
        <v>0</v>
      </c>
      <c r="E270" s="102" t="s">
        <v>245</v>
      </c>
    </row>
    <row r="271" spans="1:6" ht="21" hidden="1" customHeight="1" x14ac:dyDescent="0.25">
      <c r="A271" s="89" t="s">
        <v>495</v>
      </c>
      <c r="B271" s="94">
        <v>0</v>
      </c>
      <c r="C271" s="95">
        <v>0</v>
      </c>
      <c r="D271" s="96">
        <v>0</v>
      </c>
      <c r="E271" s="124"/>
      <c r="F271" s="41" t="s">
        <v>496</v>
      </c>
    </row>
    <row r="272" spans="1:6" ht="21" hidden="1" customHeight="1" x14ac:dyDescent="0.25">
      <c r="A272" s="89" t="s">
        <v>26</v>
      </c>
      <c r="B272" s="94">
        <v>30</v>
      </c>
      <c r="C272" s="95">
        <v>0.19</v>
      </c>
      <c r="D272" s="96" t="s">
        <v>380</v>
      </c>
      <c r="E272" s="102" t="s">
        <v>190</v>
      </c>
    </row>
    <row r="273" spans="1:6" ht="21" hidden="1" customHeight="1" x14ac:dyDescent="0.25">
      <c r="A273" s="89" t="s">
        <v>1234</v>
      </c>
      <c r="B273" s="94">
        <v>30</v>
      </c>
      <c r="C273" s="95">
        <v>0.19</v>
      </c>
      <c r="D273" s="96" t="s">
        <v>380</v>
      </c>
      <c r="E273" s="102" t="s">
        <v>1233</v>
      </c>
    </row>
    <row r="274" spans="1:6" ht="21" hidden="1" customHeight="1" x14ac:dyDescent="0.25">
      <c r="A274" s="89" t="s">
        <v>16</v>
      </c>
      <c r="B274" s="94">
        <v>30</v>
      </c>
      <c r="C274" s="95">
        <v>0.19</v>
      </c>
      <c r="D274" s="96" t="s">
        <v>380</v>
      </c>
      <c r="E274" s="102" t="s">
        <v>173</v>
      </c>
    </row>
    <row r="275" spans="1:6" ht="21" hidden="1" customHeight="1" x14ac:dyDescent="0.25">
      <c r="A275" s="89" t="s">
        <v>414</v>
      </c>
      <c r="B275" s="94">
        <v>30</v>
      </c>
      <c r="C275" s="95">
        <v>0.19</v>
      </c>
      <c r="D275" s="96" t="s">
        <v>384</v>
      </c>
      <c r="E275" s="102" t="s">
        <v>202</v>
      </c>
    </row>
    <row r="276" spans="1:6" ht="21" hidden="1" customHeight="1" x14ac:dyDescent="0.25">
      <c r="A276" s="89" t="s">
        <v>478</v>
      </c>
      <c r="B276" s="94">
        <v>10</v>
      </c>
      <c r="C276" s="95">
        <v>0.19</v>
      </c>
      <c r="D276" s="96" t="s">
        <v>383</v>
      </c>
      <c r="E276" s="102" t="s">
        <v>477</v>
      </c>
    </row>
    <row r="277" spans="1:6" ht="21" hidden="1" customHeight="1" x14ac:dyDescent="0.25">
      <c r="A277" s="89" t="s">
        <v>323</v>
      </c>
      <c r="B277" s="94">
        <v>30</v>
      </c>
      <c r="C277" s="95">
        <v>0.19</v>
      </c>
      <c r="D277" s="96" t="s">
        <v>380</v>
      </c>
    </row>
    <row r="278" spans="1:6" ht="20.100000000000001" hidden="1" customHeight="1" x14ac:dyDescent="0.25">
      <c r="A278" s="89" t="s">
        <v>63</v>
      </c>
      <c r="B278" s="94">
        <v>30</v>
      </c>
      <c r="C278" s="95">
        <v>0.19</v>
      </c>
      <c r="D278" s="96" t="s">
        <v>382</v>
      </c>
      <c r="E278" s="102" t="s">
        <v>104</v>
      </c>
    </row>
    <row r="279" spans="1:6" ht="21" hidden="1" customHeight="1" x14ac:dyDescent="0.25">
      <c r="A279" s="89" t="s">
        <v>754</v>
      </c>
      <c r="B279" s="94">
        <v>30</v>
      </c>
      <c r="C279" s="95">
        <v>0.19</v>
      </c>
      <c r="D279" s="96" t="s">
        <v>380</v>
      </c>
      <c r="E279" s="102" t="s">
        <v>755</v>
      </c>
    </row>
    <row r="280" spans="1:6" ht="21" hidden="1" customHeight="1" x14ac:dyDescent="0.25">
      <c r="A280" s="89" t="s">
        <v>415</v>
      </c>
      <c r="B280" s="94">
        <v>30</v>
      </c>
      <c r="C280" s="95">
        <v>0</v>
      </c>
      <c r="D280" s="96">
        <v>0</v>
      </c>
      <c r="E280" s="102" t="s">
        <v>449</v>
      </c>
    </row>
    <row r="281" spans="1:6" ht="21" hidden="1" customHeight="1" x14ac:dyDescent="0.25">
      <c r="A281" s="89" t="s">
        <v>254</v>
      </c>
      <c r="B281" s="94">
        <v>30</v>
      </c>
      <c r="C281" s="95">
        <v>0.19</v>
      </c>
      <c r="D281" s="96" t="s">
        <v>380</v>
      </c>
      <c r="E281" s="102" t="s">
        <v>309</v>
      </c>
    </row>
    <row r="282" spans="1:6" ht="21" customHeight="1" x14ac:dyDescent="0.25">
      <c r="A282" s="89" t="s">
        <v>416</v>
      </c>
      <c r="B282" s="94">
        <v>30</v>
      </c>
      <c r="C282" s="95">
        <v>0.19</v>
      </c>
      <c r="D282" s="96" t="s">
        <v>381</v>
      </c>
      <c r="E282" s="102" t="s">
        <v>505</v>
      </c>
    </row>
    <row r="283" spans="1:6" ht="21" hidden="1" customHeight="1" x14ac:dyDescent="0.25">
      <c r="A283" s="89" t="s">
        <v>502</v>
      </c>
      <c r="B283" s="94">
        <v>0</v>
      </c>
      <c r="C283" s="95">
        <v>0</v>
      </c>
      <c r="D283" s="96">
        <v>0</v>
      </c>
      <c r="E283" s="102" t="s">
        <v>504</v>
      </c>
      <c r="F283" s="41" t="s">
        <v>503</v>
      </c>
    </row>
    <row r="284" spans="1:6" ht="21" hidden="1" customHeight="1" x14ac:dyDescent="0.25">
      <c r="A284" s="89" t="s">
        <v>417</v>
      </c>
      <c r="B284" s="94">
        <v>30</v>
      </c>
      <c r="C284" s="95">
        <v>0.19</v>
      </c>
      <c r="D284" s="96" t="s">
        <v>381</v>
      </c>
      <c r="E284" s="102" t="s">
        <v>174</v>
      </c>
    </row>
    <row r="285" spans="1:6" ht="21" hidden="1" customHeight="1" x14ac:dyDescent="0.25">
      <c r="A285" s="89" t="s">
        <v>151</v>
      </c>
      <c r="B285" s="94">
        <v>30</v>
      </c>
      <c r="C285" s="95">
        <v>0.19</v>
      </c>
      <c r="D285" s="96" t="s">
        <v>380</v>
      </c>
      <c r="E285" s="102" t="s">
        <v>159</v>
      </c>
      <c r="F285" s="41" t="s">
        <v>156</v>
      </c>
    </row>
    <row r="286" spans="1:6" ht="21" hidden="1" customHeight="1" x14ac:dyDescent="0.25">
      <c r="A286" s="89" t="s">
        <v>418</v>
      </c>
      <c r="B286" s="94">
        <v>30</v>
      </c>
      <c r="C286" s="95">
        <v>0</v>
      </c>
      <c r="D286" s="96" t="s">
        <v>381</v>
      </c>
      <c r="E286" s="102" t="s">
        <v>175</v>
      </c>
    </row>
    <row r="287" spans="1:6" ht="21" hidden="1" customHeight="1" x14ac:dyDescent="0.25">
      <c r="A287" s="89" t="s">
        <v>591</v>
      </c>
      <c r="B287" s="94">
        <v>30</v>
      </c>
      <c r="C287" s="95">
        <v>0.19</v>
      </c>
      <c r="D287" s="96" t="s">
        <v>380</v>
      </c>
      <c r="E287" s="124"/>
    </row>
    <row r="288" spans="1:6" ht="21" hidden="1" customHeight="1" x14ac:dyDescent="0.25">
      <c r="A288" s="89" t="s">
        <v>419</v>
      </c>
      <c r="B288" s="94">
        <v>30</v>
      </c>
      <c r="C288" s="95">
        <v>0.19</v>
      </c>
      <c r="D288" s="96" t="s">
        <v>381</v>
      </c>
    </row>
    <row r="289" spans="1:5" ht="21" hidden="1" customHeight="1" x14ac:dyDescent="0.25">
      <c r="A289" s="89" t="s">
        <v>469</v>
      </c>
      <c r="B289" s="94">
        <v>10</v>
      </c>
      <c r="C289" s="95">
        <v>0.19</v>
      </c>
      <c r="D289" s="96" t="s">
        <v>482</v>
      </c>
      <c r="E289" s="102" t="s">
        <v>468</v>
      </c>
    </row>
    <row r="290" spans="1:5" ht="21" hidden="1" customHeight="1" x14ac:dyDescent="0.25">
      <c r="A290" s="89" t="s">
        <v>186</v>
      </c>
      <c r="B290" s="94">
        <v>20</v>
      </c>
      <c r="C290" s="95">
        <v>0</v>
      </c>
      <c r="D290" s="96">
        <v>0</v>
      </c>
      <c r="E290" s="102" t="s">
        <v>188</v>
      </c>
    </row>
    <row r="291" spans="1:5" ht="21" hidden="1" customHeight="1" x14ac:dyDescent="0.25">
      <c r="A291" s="89" t="s">
        <v>120</v>
      </c>
      <c r="B291" s="94">
        <v>30</v>
      </c>
      <c r="C291" s="95">
        <v>0</v>
      </c>
      <c r="D291" s="96">
        <v>0</v>
      </c>
      <c r="E291" s="102" t="s">
        <v>121</v>
      </c>
    </row>
    <row r="292" spans="1:5" ht="21" hidden="1" customHeight="1" x14ac:dyDescent="0.25">
      <c r="A292" s="89" t="s">
        <v>30</v>
      </c>
      <c r="B292" s="94">
        <v>30</v>
      </c>
      <c r="C292" s="95">
        <v>0</v>
      </c>
      <c r="D292" s="96">
        <v>0</v>
      </c>
      <c r="E292" s="102" t="s">
        <v>176</v>
      </c>
    </row>
    <row r="293" spans="1:5" ht="21" hidden="1" customHeight="1" x14ac:dyDescent="0.25">
      <c r="A293" s="89" t="s">
        <v>39</v>
      </c>
      <c r="B293" s="94">
        <v>30</v>
      </c>
      <c r="C293" s="95">
        <v>0.19</v>
      </c>
      <c r="D293" s="96" t="s">
        <v>380</v>
      </c>
      <c r="E293" s="102" t="s">
        <v>177</v>
      </c>
    </row>
    <row r="294" spans="1:5" ht="21" hidden="1" customHeight="1" x14ac:dyDescent="0.25">
      <c r="A294" s="89" t="s">
        <v>98</v>
      </c>
      <c r="B294" s="94">
        <v>30</v>
      </c>
      <c r="C294" s="95">
        <v>0.19</v>
      </c>
      <c r="D294" s="96" t="s">
        <v>380</v>
      </c>
      <c r="E294" s="102" t="s">
        <v>104</v>
      </c>
    </row>
    <row r="295" spans="1:5" ht="21" hidden="1" customHeight="1" x14ac:dyDescent="0.25">
      <c r="A295" s="89" t="s">
        <v>15</v>
      </c>
      <c r="B295" s="94">
        <v>10</v>
      </c>
      <c r="C295" s="95">
        <v>0.19</v>
      </c>
      <c r="D295" s="96" t="s">
        <v>380</v>
      </c>
      <c r="E295" s="102" t="s">
        <v>104</v>
      </c>
    </row>
    <row r="296" spans="1:5" ht="21" hidden="1" customHeight="1" x14ac:dyDescent="0.25">
      <c r="A296" s="89" t="s">
        <v>9</v>
      </c>
      <c r="B296" s="94">
        <v>60</v>
      </c>
      <c r="C296" s="95">
        <v>0.19</v>
      </c>
      <c r="D296" s="96" t="s">
        <v>380</v>
      </c>
      <c r="E296" s="102" t="s">
        <v>178</v>
      </c>
    </row>
    <row r="297" spans="1:5" ht="21" hidden="1" customHeight="1" x14ac:dyDescent="0.25">
      <c r="A297" s="89" t="s">
        <v>229</v>
      </c>
      <c r="B297" s="94">
        <v>30</v>
      </c>
      <c r="C297" s="95">
        <v>0.19</v>
      </c>
      <c r="D297" s="96" t="s">
        <v>380</v>
      </c>
      <c r="E297" s="102" t="s">
        <v>227</v>
      </c>
    </row>
    <row r="298" spans="1:5" ht="21" hidden="1" customHeight="1" x14ac:dyDescent="0.25">
      <c r="A298" s="89" t="s">
        <v>420</v>
      </c>
      <c r="B298" s="94">
        <v>30</v>
      </c>
      <c r="C298" s="95">
        <v>0</v>
      </c>
      <c r="D298" s="96">
        <v>0</v>
      </c>
    </row>
    <row r="299" spans="1:5" ht="21" hidden="1" customHeight="1" x14ac:dyDescent="0.25">
      <c r="A299" s="89" t="s">
        <v>1022</v>
      </c>
      <c r="B299" s="94">
        <v>0</v>
      </c>
      <c r="C299" s="95">
        <v>0.19</v>
      </c>
      <c r="D299" s="96" t="s">
        <v>380</v>
      </c>
      <c r="E299" s="124"/>
    </row>
    <row r="300" spans="1:5" ht="21" hidden="1" customHeight="1" x14ac:dyDescent="0.25">
      <c r="A300" s="89" t="s">
        <v>421</v>
      </c>
      <c r="B300" s="94">
        <v>30</v>
      </c>
      <c r="C300" s="95">
        <v>0.19</v>
      </c>
      <c r="D300" s="96">
        <v>0</v>
      </c>
      <c r="E300" s="102" t="s">
        <v>106</v>
      </c>
    </row>
    <row r="301" spans="1:5" ht="21" hidden="1" customHeight="1" x14ac:dyDescent="0.25">
      <c r="A301" s="89" t="s">
        <v>226</v>
      </c>
      <c r="B301" s="94">
        <v>30</v>
      </c>
      <c r="C301" s="95">
        <v>0.19</v>
      </c>
      <c r="D301" s="96" t="s">
        <v>380</v>
      </c>
      <c r="E301" s="102" t="s">
        <v>256</v>
      </c>
    </row>
    <row r="302" spans="1:5" ht="21" hidden="1" customHeight="1" x14ac:dyDescent="0.25">
      <c r="A302" s="89" t="s">
        <v>435</v>
      </c>
      <c r="B302" s="94">
        <v>0</v>
      </c>
      <c r="C302" s="95">
        <v>0.19</v>
      </c>
      <c r="D302" s="96">
        <v>0</v>
      </c>
    </row>
    <row r="303" spans="1:5" ht="21" hidden="1" customHeight="1" x14ac:dyDescent="0.25">
      <c r="A303" s="89" t="s">
        <v>539</v>
      </c>
      <c r="B303" s="94">
        <v>30</v>
      </c>
      <c r="C303" s="95">
        <v>0.19</v>
      </c>
      <c r="D303" s="96" t="s">
        <v>380</v>
      </c>
      <c r="E303" s="124"/>
    </row>
    <row r="304" spans="1:5" ht="21" hidden="1" customHeight="1" x14ac:dyDescent="0.25">
      <c r="A304" s="89" t="s">
        <v>28</v>
      </c>
      <c r="B304" s="94">
        <v>30</v>
      </c>
      <c r="C304" s="95">
        <v>0</v>
      </c>
      <c r="D304" s="96">
        <v>0</v>
      </c>
      <c r="E304" s="102" t="s">
        <v>104</v>
      </c>
    </row>
    <row r="305" spans="1:6" ht="21" hidden="1" customHeight="1" x14ac:dyDescent="0.25">
      <c r="A305" s="89" t="s">
        <v>45</v>
      </c>
      <c r="B305" s="94">
        <v>30</v>
      </c>
      <c r="C305" s="95">
        <v>0.19</v>
      </c>
      <c r="D305" s="96" t="s">
        <v>380</v>
      </c>
      <c r="E305" s="102" t="s">
        <v>104</v>
      </c>
    </row>
    <row r="306" spans="1:6" ht="21" hidden="1" customHeight="1" x14ac:dyDescent="0.25">
      <c r="A306" s="89" t="s">
        <v>422</v>
      </c>
      <c r="B306" s="94">
        <v>13</v>
      </c>
      <c r="C306" s="95">
        <v>0</v>
      </c>
      <c r="D306" s="96">
        <v>0</v>
      </c>
    </row>
    <row r="307" spans="1:6" ht="21" hidden="1" customHeight="1" x14ac:dyDescent="0.25">
      <c r="A307" s="89" t="s">
        <v>423</v>
      </c>
      <c r="B307" s="94">
        <v>30</v>
      </c>
      <c r="C307" s="95">
        <v>0</v>
      </c>
      <c r="D307" s="96">
        <v>0</v>
      </c>
      <c r="E307" s="102" t="s">
        <v>106</v>
      </c>
    </row>
    <row r="308" spans="1:6" ht="21" hidden="1" customHeight="1" x14ac:dyDescent="0.25">
      <c r="A308" s="89" t="s">
        <v>23</v>
      </c>
      <c r="B308" s="94">
        <v>30</v>
      </c>
      <c r="C308" s="95">
        <v>0</v>
      </c>
      <c r="D308" s="96">
        <v>0</v>
      </c>
      <c r="E308" s="102" t="s">
        <v>104</v>
      </c>
    </row>
    <row r="309" spans="1:6" ht="21" hidden="1" customHeight="1" x14ac:dyDescent="0.25">
      <c r="A309" s="89" t="s">
        <v>10</v>
      </c>
      <c r="B309" s="94">
        <v>45</v>
      </c>
      <c r="C309" s="95">
        <v>0.19</v>
      </c>
      <c r="D309" s="96" t="s">
        <v>380</v>
      </c>
      <c r="E309" s="102" t="s">
        <v>179</v>
      </c>
      <c r="F309" s="41" t="s">
        <v>510</v>
      </c>
    </row>
    <row r="310" spans="1:6" ht="21" hidden="1" customHeight="1" x14ac:dyDescent="0.25">
      <c r="A310" s="89" t="s">
        <v>491</v>
      </c>
      <c r="B310" s="94">
        <v>30</v>
      </c>
      <c r="C310" s="95">
        <v>0.19</v>
      </c>
      <c r="D310" s="96" t="s">
        <v>380</v>
      </c>
      <c r="E310" s="102" t="s">
        <v>180</v>
      </c>
    </row>
    <row r="311" spans="1:6" ht="21" hidden="1" customHeight="1" x14ac:dyDescent="0.25">
      <c r="A311" s="89" t="s">
        <v>14</v>
      </c>
      <c r="B311" s="94">
        <v>30</v>
      </c>
      <c r="C311" s="95">
        <v>0.19</v>
      </c>
      <c r="D311" s="96" t="s">
        <v>380</v>
      </c>
      <c r="E311" s="102" t="s">
        <v>181</v>
      </c>
    </row>
    <row r="312" spans="1:6" ht="21" hidden="1" customHeight="1" x14ac:dyDescent="0.25">
      <c r="A312" s="89" t="s">
        <v>73</v>
      </c>
      <c r="B312" s="94">
        <v>30</v>
      </c>
      <c r="C312" s="95">
        <v>0.19</v>
      </c>
      <c r="D312" s="96" t="s">
        <v>380</v>
      </c>
      <c r="E312" s="102" t="s">
        <v>104</v>
      </c>
    </row>
    <row r="313" spans="1:6" ht="21" hidden="1" customHeight="1" x14ac:dyDescent="0.25">
      <c r="A313" s="89" t="s">
        <v>522</v>
      </c>
      <c r="B313" s="94">
        <v>10</v>
      </c>
      <c r="C313" s="95">
        <v>0.19</v>
      </c>
      <c r="D313" s="96">
        <v>0</v>
      </c>
      <c r="E313" s="102" t="s">
        <v>523</v>
      </c>
      <c r="F313" s="41" t="s">
        <v>524</v>
      </c>
    </row>
    <row r="314" spans="1:6" ht="21" hidden="1" customHeight="1" x14ac:dyDescent="0.25">
      <c r="A314" s="89" t="s">
        <v>424</v>
      </c>
      <c r="B314" s="94">
        <v>20</v>
      </c>
      <c r="C314" s="95">
        <v>0.19</v>
      </c>
      <c r="D314" s="96" t="s">
        <v>381</v>
      </c>
      <c r="E314" s="102" t="s">
        <v>182</v>
      </c>
    </row>
    <row r="315" spans="1:6" ht="21" hidden="1" customHeight="1" x14ac:dyDescent="0.25">
      <c r="A315" s="89" t="s">
        <v>11</v>
      </c>
      <c r="B315" s="94">
        <v>30</v>
      </c>
      <c r="C315" s="95">
        <v>0.19</v>
      </c>
      <c r="D315" s="96" t="s">
        <v>380</v>
      </c>
      <c r="E315" s="102" t="s">
        <v>445</v>
      </c>
      <c r="F315" s="41" t="s">
        <v>511</v>
      </c>
    </row>
    <row r="316" spans="1:6" ht="21" hidden="1" customHeight="1" x14ac:dyDescent="0.25">
      <c r="A316" s="89" t="s">
        <v>1026</v>
      </c>
      <c r="B316" s="94">
        <v>0</v>
      </c>
      <c r="C316" s="95">
        <v>0.19</v>
      </c>
      <c r="D316" s="96" t="s">
        <v>384</v>
      </c>
      <c r="E316" s="124"/>
    </row>
    <row r="317" spans="1:6" ht="21" hidden="1" customHeight="1" x14ac:dyDescent="0.25">
      <c r="A317" s="89" t="s">
        <v>13</v>
      </c>
      <c r="B317" s="94">
        <v>30</v>
      </c>
      <c r="C317" s="95">
        <v>0.19</v>
      </c>
      <c r="D317" s="96" t="s">
        <v>380</v>
      </c>
      <c r="E317" s="102" t="s">
        <v>159</v>
      </c>
    </row>
    <row r="318" spans="1:6" ht="21" hidden="1" customHeight="1" x14ac:dyDescent="0.25">
      <c r="A318" s="89" t="s">
        <v>192</v>
      </c>
      <c r="B318" s="94">
        <v>30</v>
      </c>
      <c r="C318" s="95">
        <v>0.19</v>
      </c>
      <c r="D318" s="96" t="s">
        <v>380</v>
      </c>
    </row>
    <row r="319" spans="1:6" ht="21" hidden="1" customHeight="1" x14ac:dyDescent="0.25">
      <c r="A319" s="89" t="s">
        <v>1449</v>
      </c>
      <c r="B319" s="94">
        <v>30</v>
      </c>
      <c r="C319" s="95">
        <v>0.19</v>
      </c>
      <c r="D319" s="96" t="s">
        <v>380</v>
      </c>
      <c r="E319" s="124"/>
    </row>
    <row r="320" spans="1:6" ht="21" customHeight="1" x14ac:dyDescent="0.25">
      <c r="A320" s="89" t="s">
        <v>1513</v>
      </c>
      <c r="B320" s="94">
        <v>10</v>
      </c>
      <c r="C320" s="95">
        <v>0.19</v>
      </c>
      <c r="D320" s="96" t="s">
        <v>381</v>
      </c>
      <c r="E320" s="102" t="s">
        <v>1587</v>
      </c>
    </row>
    <row r="321" spans="1:5" ht="21" hidden="1" customHeight="1" x14ac:dyDescent="0.25">
      <c r="A321" s="89" t="s">
        <v>1519</v>
      </c>
      <c r="B321" s="94">
        <v>10</v>
      </c>
      <c r="C321" s="95">
        <v>0</v>
      </c>
      <c r="D321" s="96">
        <v>0</v>
      </c>
      <c r="E321" s="124"/>
    </row>
    <row r="322" spans="1:5" ht="21" hidden="1" customHeight="1" x14ac:dyDescent="0.25">
      <c r="A322" s="89" t="s">
        <v>1546</v>
      </c>
      <c r="B322" s="94">
        <v>30</v>
      </c>
      <c r="C322" s="95">
        <v>0.19</v>
      </c>
      <c r="D322" s="96" t="s">
        <v>380</v>
      </c>
      <c r="E322" s="124"/>
    </row>
  </sheetData>
  <conditionalFormatting sqref="A1:A322">
    <cfRule type="expression" dxfId="177" priority="22">
      <formula>$S1="Por pagar"</formula>
    </cfRule>
    <cfRule type="expression" dxfId="176" priority="23">
      <formula>$S1="Vencida"</formula>
    </cfRule>
    <cfRule type="expression" dxfId="175" priority="24">
      <formula>$S1="Pagada"</formula>
    </cfRule>
  </conditionalFormatting>
  <conditionalFormatting sqref="A227">
    <cfRule type="expression" dxfId="174" priority="19">
      <formula>$S227="Por pagar"</formula>
    </cfRule>
    <cfRule type="expression" dxfId="173" priority="20">
      <formula>$S227="Vencida"</formula>
    </cfRule>
    <cfRule type="expression" dxfId="172" priority="21">
      <formula>$S227="Pagada"</formula>
    </cfRule>
  </conditionalFormatting>
  <conditionalFormatting sqref="A239">
    <cfRule type="expression" dxfId="171" priority="16">
      <formula>$S239="Por pagar"</formula>
    </cfRule>
    <cfRule type="expression" dxfId="170" priority="17">
      <formula>$S239="Vencida"</formula>
    </cfRule>
    <cfRule type="expression" dxfId="169" priority="18">
      <formula>$S239="Pagada"</formula>
    </cfRule>
  </conditionalFormatting>
  <conditionalFormatting sqref="A241">
    <cfRule type="expression" dxfId="168" priority="13">
      <formula>$S241="Por pagar"</formula>
    </cfRule>
    <cfRule type="expression" dxfId="167" priority="14">
      <formula>$S241="Vencida"</formula>
    </cfRule>
    <cfRule type="expression" dxfId="166" priority="15">
      <formula>$S241="Pagada"</formula>
    </cfRule>
  </conditionalFormatting>
  <conditionalFormatting sqref="A244">
    <cfRule type="expression" dxfId="165" priority="10">
      <formula>$S244="Por pagar"</formula>
    </cfRule>
    <cfRule type="expression" dxfId="164" priority="11">
      <formula>$S244="Vencida"</formula>
    </cfRule>
    <cfRule type="expression" dxfId="163" priority="12">
      <formula>$S244="Pagada"</formula>
    </cfRule>
  </conditionalFormatting>
  <conditionalFormatting sqref="A247">
    <cfRule type="expression" dxfId="162" priority="7">
      <formula>$S247="Por pagar"</formula>
    </cfRule>
    <cfRule type="expression" dxfId="161" priority="8">
      <formula>$S247="Vencida"</formula>
    </cfRule>
    <cfRule type="expression" dxfId="160" priority="9">
      <formula>$S247="Pagada"</formula>
    </cfRule>
  </conditionalFormatting>
  <conditionalFormatting sqref="A250">
    <cfRule type="expression" dxfId="159" priority="4">
      <formula>$S250="Por pagar"</formula>
    </cfRule>
    <cfRule type="expression" dxfId="158" priority="5">
      <formula>$S250="Vencida"</formula>
    </cfRule>
    <cfRule type="expression" dxfId="157" priority="6">
      <formula>$S250="Pagada"</formula>
    </cfRule>
  </conditionalFormatting>
  <conditionalFormatting sqref="A254">
    <cfRule type="expression" dxfId="156" priority="1">
      <formula>$S254="Por pagar"</formula>
    </cfRule>
    <cfRule type="expression" dxfId="155" priority="2">
      <formula>$S254="Vencida"</formula>
    </cfRule>
    <cfRule type="expression" dxfId="154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315" r:id="rId1" display="carloseuristika@hotmail.com;girlesa.ruiz@servipilas.com;joriescobar64@gmail.com" xr:uid="{561982AE-06ED-4F50-A56D-EE26D2CC75EE}"/>
    <hyperlink ref="E312" r:id="rId2" display="howardlondono@impocarga.com;oswaldo.alvarez@logimexsas.com;girlesa.ruiz@servipilas.com;joriescobar64@gmail.com" xr:uid="{FAA7D466-4997-45EB-951F-8361C0637145}"/>
    <hyperlink ref="E254" r:id="rId3" display="vcortes@power-sonic.com;alexander.baur@power-sonic.com;jirias@power-sonic.com;girlesa.ruiz@servipilas.com;joriescobar64@gmail.com;info@servipilas.com" xr:uid="{4E77A19D-4B3C-488C-9FBA-1EF577DE97F9}"/>
    <hyperlink ref="E311" r:id="rId4" display="jessica.barrios@carpainternacional;girlesa.ruiz@servipilas.com;joriescobar64@gmail.com" xr:uid="{ED4B35BD-DD15-49F7-AE9E-CB75C4F21A5A}"/>
    <hyperlink ref="E292" r:id="rId5" display="lpena@tbplusenergy.com;girlesa.ruiz@servipilas.com;joriescobar64@gmail.com" xr:uid="{2E0BF1B0-F7E1-4748-9780-C1F63208C01D}"/>
    <hyperlink ref="E132" r:id="rId6" display="jessica.barrios@carpainternacional;girlesa.ruiz@servipilas.com;joriescobar64@gmail.com" xr:uid="{00D1BA77-5CD7-41B8-9B30-D0FD87A6EDB3}"/>
    <hyperlink ref="E209" r:id="rId7" display="jmacias@nanicastation.com.co;facturas@nanicastation.com.co;girlesa.ruiz@servipilas.com;joriescobar64@gmail.com" xr:uid="{A30216ED-A36B-42B0-BBB8-8CB32EA27205}"/>
    <hyperlink ref="E133" r:id="rId8" xr:uid="{7249B88F-12EB-47AD-A1D5-CA4D648B62F8}"/>
    <hyperlink ref="E147" r:id="rId9" display="financiero@dmariocolombia.com;cartera@dmariocolombia.com.co;girlesa.ruiz@servipilas.com;joriescobar64@gmail.com" xr:uid="{CE62F396-7DD1-446B-834E-847DE56C5EAE}"/>
    <hyperlink ref="E127" r:id="rId10" display="jessica.barrios@carpainternacional;girlesa.ruiz@servipilas.com;joriescobar64@gmail.com" xr:uid="{1D84D8E0-3181-4565-AA6E-87BF9B04CCB7}"/>
    <hyperlink ref="E113" r:id="rId11" display="alexenriquez73.ae@gmail.com;girlesa.ruiz@servipilas.com;joriescobar64@gmail.com;info@servipilas.com" xr:uid="{DA082B31-23E6-4BC8-A2B1-606CD8D34C75}"/>
    <hyperlink ref="E208" r:id="rId12" display="jarlysas@gmail.com;o.clockinternational@gmail.com;girlesa.ruiz@servipilas.com;joriescobar64@gmail.com" xr:uid="{3F18548B-0AB9-4A3D-9F35-2549ECC305BF}"/>
    <hyperlink ref="E206" r:id="rId13" display="jarlysas@gmail.com;o.clockinternational@gmail.com;girlesa.ruiz@servipilas.com;joriescobar64@gmail.com" xr:uid="{3FB427FE-00DC-4C59-9D65-121EDF91ED6B}"/>
    <hyperlink ref="E52" r:id="rId14" display="jarlysas@gmail.com;o.clockinternational@gmail.com;girlesa.ruiz@servipilas.com;joriescobar64@gmail.com" xr:uid="{A2CA6E71-6063-46BD-933B-4C714D6DAB5A}"/>
    <hyperlink ref="E229" r:id="rId15" display="globalpowerc2018@gmail.com;girlesa.ruiz@servipilas.com;joriescobar64@gmail.com" xr:uid="{01663586-B004-457E-89DB-C9F486A2F704}"/>
    <hyperlink ref="E144" r:id="rId16" xr:uid="{4C45EAF0-13B8-4174-AAF4-89A4F2A92339}"/>
    <hyperlink ref="E15" r:id="rId17" xr:uid="{B08EE749-2121-4642-9E43-DD9DC668BA9E}"/>
    <hyperlink ref="E250" r:id="rId18" xr:uid="{83271EF2-8058-4E07-A6EC-F6CED024CC78}"/>
    <hyperlink ref="E225" r:id="rId19" xr:uid="{8C3B3A78-B040-4936-9A3E-C204B23F051F}"/>
    <hyperlink ref="E42" r:id="rId20" xr:uid="{ADC47169-530C-45C1-B633-264E44FE5354}"/>
    <hyperlink ref="E149" r:id="rId21" xr:uid="{9CDD4FC4-8A1C-49B9-AC5B-E6041A5B28F5}"/>
    <hyperlink ref="E158" r:id="rId22" xr:uid="{1A85D8CC-9E3F-41AB-92F0-450FD29F6C9E}"/>
    <hyperlink ref="E232" r:id="rId23" xr:uid="{FCCAEC71-E9AC-47BE-8E61-6A5FDEE410A3}"/>
    <hyperlink ref="E63" r:id="rId24" xr:uid="{482B179A-71A6-493A-8242-802ACBA0ACDA}"/>
    <hyperlink ref="E218" r:id="rId25" xr:uid="{892B025D-76B1-4625-9F33-C7C07F0C7974}"/>
    <hyperlink ref="E280" r:id="rId26" xr:uid="{BECB3A0A-E5B2-417B-A252-E17B96AED2CC}"/>
    <hyperlink ref="E189" r:id="rId27" xr:uid="{C3B034BC-1EE2-45FB-B930-AAD08ED4A45C}"/>
    <hyperlink ref="E163" r:id="rId28" xr:uid="{D4495511-4B1A-4CE4-83E4-90A6C47608B9}"/>
    <hyperlink ref="E140" r:id="rId29" xr:uid="{5AB5BF9C-5F01-4621-BECA-43745E906963}"/>
    <hyperlink ref="E154" r:id="rId30" xr:uid="{2478673F-B941-4863-8494-98C6008373EE}"/>
    <hyperlink ref="E230" r:id="rId31" xr:uid="{2509AEA1-249F-4F59-90A9-4BD6A04795FE}"/>
    <hyperlink ref="E150" r:id="rId32" xr:uid="{C858FF04-0DD3-4188-B427-8FCF0A6AB415}"/>
    <hyperlink ref="E207" r:id="rId33" xr:uid="{98B13428-3E35-430C-821C-D92A58607230}"/>
    <hyperlink ref="E289" r:id="rId34" xr:uid="{7BF8FC88-F0EC-4935-8F24-4C4B37502C4A}"/>
    <hyperlink ref="E276" r:id="rId35" xr:uid="{89B2FACD-60F6-4A54-A546-5FB11A9D582F}"/>
    <hyperlink ref="E124" r:id="rId36" xr:uid="{A134BC90-8D03-4867-B7DC-AE1A9E3F6D1E}"/>
    <hyperlink ref="E123" r:id="rId37" xr:uid="{21705948-D234-49D9-BF49-23B9F0C49E27}"/>
    <hyperlink ref="E185" r:id="rId38" xr:uid="{061934EE-7307-4B57-B0C7-ED8F7FBCB174}"/>
    <hyperlink ref="E161" r:id="rId39" xr:uid="{61F2F2B1-89E9-40D3-9CA1-820CB6B9601F}"/>
    <hyperlink ref="E131" r:id="rId40" xr:uid="{092582AB-2C50-4EC4-8BD7-2D5A0282CD0C}"/>
    <hyperlink ref="E223" r:id="rId41" xr:uid="{0136AA99-044C-40BD-BE85-CFB535272EBA}"/>
    <hyperlink ref="E317" r:id="rId42" xr:uid="{7992F441-764D-4CEA-8073-1C789250B204}"/>
    <hyperlink ref="E283" r:id="rId43" xr:uid="{33163C04-D759-49B5-B8DA-F7E5C0F8FA0D}"/>
    <hyperlink ref="E282" r:id="rId44" xr:uid="{BDB3EAA5-BE92-42C3-AF14-72EF78DC90C8}"/>
    <hyperlink ref="E130" r:id="rId45" xr:uid="{A80D6750-F999-4A9E-BF21-741A7356E0C1}"/>
    <hyperlink ref="E313" r:id="rId46" xr:uid="{2BD7A451-9290-4536-87BD-620F13E416AA}"/>
    <hyperlink ref="A102" r:id="rId47" display="UNIFORMES@" xr:uid="{85D855E3-E840-4304-BB1C-2A00B2BA648D}"/>
    <hyperlink ref="E157" r:id="rId48" xr:uid="{67AC581A-C186-4045-B8D9-F972F5C5D611}"/>
    <hyperlink ref="E123:E125" r:id="rId49" display="jessica.barrios@carpainternacional.com;girlesa.ruiz@servipilas.com;joriescobar64@gmail.com" xr:uid="{D7757A38-9B7B-4373-B638-73A9809F1AA8}"/>
    <hyperlink ref="E281" r:id="rId50" xr:uid="{85B64461-47FD-48E4-A11D-E0E18781AD17}"/>
    <hyperlink ref="E279" r:id="rId51" xr:uid="{0BD23B30-EFB0-4B05-8ADB-5D101A195A33}"/>
    <hyperlink ref="E87" r:id="rId52" xr:uid="{EF39B1D2-7792-4DB0-9D4F-82F6553A7642}"/>
    <hyperlink ref="E219" r:id="rId53" xr:uid="{4868193B-3AF0-4922-B114-B4386FC1E472}"/>
    <hyperlink ref="E190" r:id="rId54" xr:uid="{8A4D4B1E-76BB-446C-943F-56C97E313ECC}"/>
    <hyperlink ref="E212" r:id="rId55" xr:uid="{949B29E9-02C5-4EF8-A3AF-3E9B8B50C139}"/>
    <hyperlink ref="E156" r:id="rId56" xr:uid="{FAE033CE-D429-4C01-AEFF-D8B6364220C0}"/>
    <hyperlink ref="E273" r:id="rId57" xr:uid="{BA018914-29DB-43CA-A548-A04BBD3BE44C}"/>
    <hyperlink ref="E119" r:id="rId58" xr:uid="{8B7C0E63-B613-4AEE-BCE0-3D2547B71E8C}"/>
    <hyperlink ref="E146" r:id="rId59" display="comercializadorajls@hotmail.com" xr:uid="{DF070CA9-F3B5-4C7D-8BA0-7C282F6B0E11}"/>
    <hyperlink ref="E188" r:id="rId60" xr:uid="{A1E31DC4-DF89-4E86-A1BF-BFC5FE41CB8F}"/>
    <hyperlink ref="E320" r:id="rId61" xr:uid="{EEA7AFCD-E0E1-4F93-9EBB-D6B75DFC87AF}"/>
    <hyperlink ref="E221" r:id="rId62" xr:uid="{62F5D669-6C67-4B8C-9FF6-2E06C1323054}"/>
    <hyperlink ref="E215" r:id="rId63" xr:uid="{723CC03E-A6C5-4CE6-80EC-46CECC052BB2}"/>
    <hyperlink ref="E137" r:id="rId64" xr:uid="{C700CC90-81EE-4025-85E3-FAC37CD3CF2B}"/>
    <hyperlink ref="E2" r:id="rId65" xr:uid="{6C60FFE3-1F47-4B39-9015-4B4A5EE42CD0}"/>
    <hyperlink ref="E226" r:id="rId66" xr:uid="{3CC6D305-D94B-458E-9B73-11E466EA109A}"/>
    <hyperlink ref="E227" r:id="rId67" xr:uid="{FAF3902D-3886-48FD-A6DD-D7E65E307A35}"/>
    <hyperlink ref="E228" r:id="rId68" xr:uid="{B7F168F3-0A77-40FF-BB0F-84E8707B8745}"/>
  </hyperlinks>
  <pageMargins left="0.7" right="0.7" top="0.75" bottom="0.75" header="0.3" footer="0.3"/>
  <pageSetup paperSize="9" orientation="portrait" r:id="rId69"/>
  <tableParts count="1">
    <tablePart r:id="rId7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 D318:D319 D322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baseColWidth="10" defaultColWidth="11.5703125" defaultRowHeight="15" x14ac:dyDescent="0.25"/>
  <cols>
    <col min="1" max="1" width="22" style="94" bestFit="1" customWidth="1"/>
  </cols>
  <sheetData>
    <row r="1" spans="1:1" x14ac:dyDescent="0.25">
      <c r="A1" s="105" t="s">
        <v>391</v>
      </c>
    </row>
    <row r="2" spans="1:1" x14ac:dyDescent="0.25">
      <c r="A2" s="106" t="s">
        <v>428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1281"/>
  <sheetViews>
    <sheetView topLeftCell="C1" zoomScale="85" zoomScaleNormal="85" workbookViewId="0"/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7.5703125" style="28" customWidth="1"/>
    <col min="4" max="4" width="15.5703125" style="29" hidden="1" customWidth="1"/>
    <col min="5" max="5" width="14.42578125" style="29" hidden="1" customWidth="1"/>
    <col min="6" max="6" width="7.42578125" style="29" customWidth="1"/>
    <col min="7" max="7" width="13.5703125" style="289" customWidth="1"/>
    <col min="8" max="8" width="38.5703125" style="29" customWidth="1"/>
    <col min="9" max="9" width="13.5703125" style="289" customWidth="1"/>
    <col min="10" max="10" width="17.42578125" style="30" customWidth="1"/>
    <col min="11" max="11" width="17.5703125" style="30" customWidth="1"/>
    <col min="12" max="12" width="11.42578125" style="37" bestFit="1" customWidth="1"/>
    <col min="13" max="13" width="13.5703125" style="31" bestFit="1" customWidth="1"/>
    <col min="14" max="14" width="9.5703125" style="31" customWidth="1"/>
    <col min="15" max="15" width="11.5703125" style="31" customWidth="1"/>
    <col min="16" max="16" width="10.42578125" style="73" customWidth="1"/>
    <col min="17" max="17" width="15.42578125" style="27" customWidth="1"/>
    <col min="18" max="18" width="14.42578125" style="24" customWidth="1"/>
    <col min="19" max="23" width="11.42578125" hidden="1" customWidth="1"/>
    <col min="24" max="24" width="15" hidden="1" customWidth="1"/>
    <col min="25" max="25" width="14.42578125" style="62" hidden="1" customWidth="1"/>
    <col min="26" max="26" width="11.5703125" style="104" hidden="1" customWidth="1"/>
    <col min="27" max="27" width="14.42578125" style="85" hidden="1" customWidth="1"/>
    <col min="28" max="29" width="14.42578125" style="86" hidden="1" customWidth="1"/>
    <col min="30" max="30" width="14.42578125" style="87" hidden="1" customWidth="1"/>
    <col min="31" max="31" width="14.42578125" style="88" hidden="1" customWidth="1"/>
    <col min="32" max="16384" width="11.42578125" style="123" hidden="1"/>
  </cols>
  <sheetData>
    <row r="1" spans="1:31" s="122" customFormat="1" ht="62.25" customHeight="1" x14ac:dyDescent="0.25">
      <c r="A1" s="12" t="s">
        <v>8</v>
      </c>
      <c r="B1" s="12" t="s">
        <v>139</v>
      </c>
      <c r="C1" s="12" t="s">
        <v>4</v>
      </c>
      <c r="D1" s="13" t="s">
        <v>135</v>
      </c>
      <c r="E1" s="13" t="s">
        <v>5</v>
      </c>
      <c r="F1" s="13" t="s">
        <v>100</v>
      </c>
      <c r="G1" s="288" t="s">
        <v>6</v>
      </c>
      <c r="H1" s="163" t="s">
        <v>3</v>
      </c>
      <c r="I1" s="293" t="s">
        <v>1</v>
      </c>
      <c r="J1" s="36" t="s">
        <v>2</v>
      </c>
      <c r="K1" s="14" t="s">
        <v>82</v>
      </c>
      <c r="L1" s="15" t="s">
        <v>471</v>
      </c>
      <c r="M1" s="16" t="s">
        <v>83</v>
      </c>
      <c r="N1" s="15" t="s">
        <v>85</v>
      </c>
      <c r="O1" s="15" t="s">
        <v>470</v>
      </c>
      <c r="P1" s="17" t="s">
        <v>87</v>
      </c>
      <c r="Q1" s="15" t="s">
        <v>86</v>
      </c>
      <c r="R1" s="14" t="s">
        <v>84</v>
      </c>
      <c r="S1" s="18" t="s">
        <v>7</v>
      </c>
      <c r="T1" s="60" t="s">
        <v>324</v>
      </c>
      <c r="U1" s="81" t="s">
        <v>378</v>
      </c>
      <c r="V1" s="82" t="s">
        <v>385</v>
      </c>
      <c r="W1" s="82" t="s">
        <v>387</v>
      </c>
      <c r="X1" s="83" t="s">
        <v>386</v>
      </c>
      <c r="Y1" s="84" t="s">
        <v>388</v>
      </c>
      <c r="Z1" s="107" t="s">
        <v>428</v>
      </c>
      <c r="AA1" s="19"/>
      <c r="AB1" s="19"/>
      <c r="AC1" s="19"/>
      <c r="AD1" s="19"/>
      <c r="AE1" s="19"/>
    </row>
    <row r="2" spans="1:31" ht="22.35" customHeight="1" x14ac:dyDescent="0.25">
      <c r="A2" s="65" t="str">
        <f>+IF(PROVEEDORES[[#This Row],[FECHA DE PAGO]]=PROVEEDORES[[#This Row],[FECHA DE FACTURACIÓN]],"DE CONTADO","CRÉDITO")</f>
        <v>CRÉDITO</v>
      </c>
      <c r="B2" s="38" t="str">
        <f>+IF((PROVEEDORES[[#This Row],[FECHA DE PAGO]]-PROVEEDORES[[#This Row],[FECHA DE FACTURACIÓN]])&gt;PROVEEDORES[[#This Row],[PLAZO Días]],"PAGO VENCIDO")</f>
        <v>PAGO VENCIDO</v>
      </c>
      <c r="C2" s="20">
        <f>+VLOOKUP(PROVEEDORES[[#This Row],[PROVEEDOR]],TERCEROS_INFO[#All],2,FALSE)</f>
        <v>30</v>
      </c>
      <c r="D2" s="25">
        <f>+SUMIFS(PROVEEDORES[Total],PROVEEDORES[PROVEEDOR],PROVEEDORES[[#This Row],[PROVEEDOR]],PROVEEDORES[FECHA DE PAGO],"")</f>
        <v>0</v>
      </c>
      <c r="E2" s="25"/>
      <c r="F2" s="56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2" s="289">
        <v>45117</v>
      </c>
      <c r="H2" s="26" t="s">
        <v>446</v>
      </c>
      <c r="I2" s="289">
        <v>45083</v>
      </c>
      <c r="J2" s="35" t="s">
        <v>872</v>
      </c>
      <c r="K2" s="21">
        <v>720000</v>
      </c>
      <c r="L2" s="21"/>
      <c r="M2" s="22">
        <f>(PROVEEDORES[[#This Row],[SUBTOTAL]]-PROVEEDORES[[#This Row],[descuento sobre subtotal]])*VLOOKUP(PROVEEDORES[[#This Row],[PROVEEDOR]],TERCEROS_INFO[#All],3,FALSE)</f>
        <v>136800</v>
      </c>
      <c r="N2" s="23"/>
      <c r="O2" s="22">
        <f>+PROVEEDORES[[#This Row],[Descuento sobre subtotal %]]*(PROVEEDORES[[#This Row],[SUBTOTAL]]-PROVEEDORES[[#This Row],[descuento sobre subtotal]])</f>
        <v>0</v>
      </c>
      <c r="P2" s="72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f>+PROVEEDORES[[#This Row],[SUBTOTAL]]+PROVEEDORES[[#This Row],[IVA 19%]]-PROVEEDORES[[#This Row],[descuento sobre subtotal]]-PROVEEDORES[[#This Row],[Descuento sobre subtotal $2]]-PROVEEDORES[[#This Row],[Rete Fuente $]]</f>
        <v>856800</v>
      </c>
      <c r="S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1">
        <f ca="1">IF(PROVEEDORES[[#This Row],[FECHA DE PAGO]]=0,TODAY()-PROVEEDORES[[#This Row],[FECHA DE FACTURACIÓN]]-PROVEEDORES[[#This Row],[PLAZO Días]],0)</f>
        <v>0</v>
      </c>
      <c r="U2" s="97" t="str">
        <f>+VLOOKUP(PROVEEDORES[[#This Row],[PROVEEDOR]],Terceros!$A:$D,4,FALSE)</f>
        <v>2,5% con base</v>
      </c>
      <c r="V2" s="98">
        <f>+YEAR(PROVEEDORES[[#This Row],[FECHA DE FACTURACIÓN]])</f>
        <v>2023</v>
      </c>
      <c r="W2" s="98">
        <f>+MATCH(PROVEEDORES[[#This Row],[año facturado]],Retenciones!$1:$1,0)</f>
        <v>6</v>
      </c>
      <c r="X2" s="99">
        <f>+VLOOKUP(PROVEEDORES[[#This Row],[ID RETENCION]],Retenciones!$A$1:$O$25,PROVEEDORES[[#This Row],[indicador de columna]],FALSE)</f>
        <v>1145000</v>
      </c>
      <c r="Y2" s="100">
        <f>+VLOOKUP(PROVEEDORES[[#This Row],[ID RETENCION]],Retenciones!$A$1:$O$25,2,FALSE)</f>
        <v>2.5000000000000001E-2</v>
      </c>
      <c r="Z2" s="103" t="b">
        <f>OR(COUNTIF(PROVEEDORES[[#This Row],[PROVEEDOR]],"*"&amp;'Palabra no opera'!$A$2&amp;"*"))</f>
        <v>0</v>
      </c>
    </row>
    <row r="3" spans="1:31" ht="22.35" customHeight="1" x14ac:dyDescent="0.25">
      <c r="A3" s="310" t="str">
        <f>+IF(PROVEEDORES[[#This Row],[FECHA DE PAGO]]=PROVEEDORES[[#This Row],[FECHA DE FACTURACIÓN]],"DE CONTADO","CRÉDITO")</f>
        <v>CRÉDITO</v>
      </c>
      <c r="B3" s="38" t="b">
        <f>+IF((PROVEEDORES[[#This Row],[FECHA DE PAGO]]-PROVEEDORES[[#This Row],[FECHA DE FACTURACIÓN]])&gt;PROVEEDORES[[#This Row],[PLAZO Días]],"PAGO VENCIDO")</f>
        <v>0</v>
      </c>
      <c r="C3" s="20">
        <f>+VLOOKUP(PROVEEDORES[[#This Row],[PROVEEDOR]],TERCEROS_INFO[#All],2,FALSE)</f>
        <v>30</v>
      </c>
      <c r="D3" s="25">
        <f>+SUMIFS(PROVEEDORES[Total],PROVEEDORES[PROVEEDOR],PROVEEDORES[[#This Row],[PROVEEDOR]],PROVEEDORES[FECHA DE PAGO],"")</f>
        <v>0</v>
      </c>
      <c r="E3" s="25"/>
      <c r="F3" s="56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3" s="289">
        <v>45322</v>
      </c>
      <c r="H3" s="26" t="s">
        <v>446</v>
      </c>
      <c r="I3" s="289">
        <v>45300</v>
      </c>
      <c r="J3" s="35" t="s">
        <v>1505</v>
      </c>
      <c r="K3" s="21">
        <v>1800000</v>
      </c>
      <c r="L3" s="21"/>
      <c r="M3" s="22">
        <f>(PROVEEDORES[[#This Row],[SUBTOTAL]]-PROVEEDORES[[#This Row],[descuento sobre subtotal]])*VLOOKUP(PROVEEDORES[[#This Row],[PROVEEDOR]],TERCEROS_INFO[#All],3,FALSE)</f>
        <v>342000</v>
      </c>
      <c r="N3" s="23"/>
      <c r="O3" s="22">
        <f>+PROVEEDORES[[#This Row],[Descuento sobre subtotal %]]*(PROVEEDORES[[#This Row],[SUBTOTAL]]-PROVEEDORES[[#This Row],[descuento sobre subtotal]])</f>
        <v>0</v>
      </c>
      <c r="P3" s="72">
        <f>+IF(PROVEEDORES[[#This Row],[SUBTOTAL]]&lt;PROVEEDORES[[#This Row],[base retencion]],0,PROVEEDORES[[#This Row],[retención aplicada]])</f>
        <v>2.5000000000000001E-2</v>
      </c>
      <c r="Q3" s="22">
        <f>+PROVEEDORES[[#This Row],[Rete Fuente %]]*(PROVEEDORES[[#This Row],[SUBTOTAL]]-PROVEEDORES[[#This Row],[descuento sobre subtotal]])</f>
        <v>45000</v>
      </c>
      <c r="R3" s="21">
        <f>+PROVEEDORES[[#This Row],[SUBTOTAL]]+PROVEEDORES[[#This Row],[IVA 19%]]-PROVEEDORES[[#This Row],[descuento sobre subtotal]]-PROVEEDORES[[#This Row],[Descuento sobre subtotal $2]]-PROVEEDORES[[#This Row],[Rete Fuente $]]</f>
        <v>2097000</v>
      </c>
      <c r="S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1">
        <f ca="1">IF(PROVEEDORES[[#This Row],[FECHA DE PAGO]]=0,TODAY()-PROVEEDORES[[#This Row],[FECHA DE FACTURACIÓN]]-PROVEEDORES[[#This Row],[PLAZO Días]],0)</f>
        <v>0</v>
      </c>
      <c r="U3" s="97" t="str">
        <f>+VLOOKUP(PROVEEDORES[[#This Row],[PROVEEDOR]],Terceros!$A:$D,4,FALSE)</f>
        <v>2,5% con base</v>
      </c>
      <c r="V3" s="98">
        <f>+YEAR(PROVEEDORES[[#This Row],[FECHA DE FACTURACIÓN]])</f>
        <v>2024</v>
      </c>
      <c r="W3" s="98">
        <f>+MATCH(PROVEEDORES[[#This Row],[año facturado]],Retenciones!$1:$1,0)</f>
        <v>7</v>
      </c>
      <c r="X3" s="99">
        <f>+VLOOKUP(PROVEEDORES[[#This Row],[ID RETENCION]],Retenciones!$A$1:$O$25,PROVEEDORES[[#This Row],[indicador de columna]],FALSE)</f>
        <v>1271000</v>
      </c>
      <c r="Y3" s="100">
        <f>+VLOOKUP(PROVEEDORES[[#This Row],[ID RETENCION]],Retenciones!$A$1:$O$25,2,FALSE)</f>
        <v>2.5000000000000001E-2</v>
      </c>
      <c r="Z3" s="103" t="b">
        <f>OR(COUNTIF(PROVEEDORES[[#This Row],[PROVEEDOR]],"*"&amp;'Palabra no opera'!$A$2&amp;"*"))</f>
        <v>0</v>
      </c>
    </row>
    <row r="4" spans="1:31" ht="22.35" customHeight="1" x14ac:dyDescent="0.25">
      <c r="A4" s="65" t="str">
        <f>+IF(PROVEEDORES[[#This Row],[FECHA DE PAGO]]=PROVEEDORES[[#This Row],[FECHA DE FACTURACIÓN]],"DE CONTADO","CRÉDITO")</f>
        <v>DE CONTADO</v>
      </c>
      <c r="B4" s="38" t="b">
        <f>+IF((PROVEEDORES[[#This Row],[FECHA DE PAGO]]-PROVEEDORES[[#This Row],[FECHA DE FACTURACIÓN]])&gt;PROVEEDORES[[#This Row],[PLAZO Días]],"PAGO VENCIDO")</f>
        <v>0</v>
      </c>
      <c r="C4" s="20">
        <f>+VLOOKUP(PROVEEDORES[[#This Row],[PROVEEDOR]],TERCEROS_INFO[#All],2,FALSE)</f>
        <v>30</v>
      </c>
      <c r="D4" s="25">
        <f>+SUMIFS(PROVEEDORES[Total],PROVEEDORES[PROVEEDOR],PROVEEDORES[[#This Row],[PROVEEDOR]],PROVEEDORES[FECHA DE PAGO],"")</f>
        <v>0</v>
      </c>
      <c r="E4" s="25"/>
      <c r="F4" s="56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4" s="289">
        <v>44991</v>
      </c>
      <c r="H4" s="26" t="s">
        <v>266</v>
      </c>
      <c r="I4" s="289">
        <v>44991</v>
      </c>
      <c r="J4" s="35" t="s">
        <v>702</v>
      </c>
      <c r="K4" s="21">
        <v>430000</v>
      </c>
      <c r="L4" s="21"/>
      <c r="M4" s="22">
        <f>(PROVEEDORES[[#This Row],[SUBTOTAL]]-PROVEEDORES[[#This Row],[descuento sobre subtotal]])*VLOOKUP(PROVEEDORES[[#This Row],[PROVEEDOR]],TERCEROS_INFO[#All],3,FALSE)</f>
        <v>0</v>
      </c>
      <c r="N4" s="23"/>
      <c r="O4" s="22">
        <f>+PROVEEDORES[[#This Row],[Descuento sobre subtotal %]]*(PROVEEDORES[[#This Row],[SUBTOTAL]]-PROVEEDORES[[#This Row],[descuento sobre subtotal]])</f>
        <v>0</v>
      </c>
      <c r="P4" s="72">
        <f>+IF(PROVEEDORES[[#This Row],[SUBTOTAL]]&lt;PROVEEDORES[[#This Row],[base retencion]],0,PROVEEDORES[[#This Row],[retención aplicada]])</f>
        <v>0</v>
      </c>
      <c r="Q4" s="22">
        <f>+PROVEEDORES[[#This Row],[Rete Fuente %]]*(PROVEEDORES[[#This Row],[SUBTOTAL]]-PROVEEDORES[[#This Row],[descuento sobre subtotal]])</f>
        <v>0</v>
      </c>
      <c r="R4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1">
        <f ca="1">IF(PROVEEDORES[[#This Row],[FECHA DE PAGO]]=0,TODAY()-PROVEEDORES[[#This Row],[FECHA DE FACTURACIÓN]]-PROVEEDORES[[#This Row],[PLAZO Días]],0)</f>
        <v>0</v>
      </c>
      <c r="U4" s="97">
        <f>+VLOOKUP(PROVEEDORES[[#This Row],[PROVEEDOR]],Terceros!$A:$D,4,FALSE)</f>
        <v>0</v>
      </c>
      <c r="V4" s="98">
        <f>+YEAR(PROVEEDORES[[#This Row],[FECHA DE FACTURACIÓN]])</f>
        <v>2023</v>
      </c>
      <c r="W4" s="98">
        <f>+MATCH(PROVEEDORES[[#This Row],[año facturado]],Retenciones!$1:$1,0)</f>
        <v>6</v>
      </c>
      <c r="X4" s="99">
        <f>+VLOOKUP(PROVEEDORES[[#This Row],[ID RETENCION]],Retenciones!$A$1:$O$25,PROVEEDORES[[#This Row],[indicador de columna]],FALSE)</f>
        <v>0</v>
      </c>
      <c r="Y4" s="100">
        <f>+VLOOKUP(PROVEEDORES[[#This Row],[ID RETENCION]],Retenciones!$A$1:$O$25,2,FALSE)</f>
        <v>0</v>
      </c>
      <c r="Z4" s="103" t="b">
        <f>OR(COUNTIF(PROVEEDORES[[#This Row],[PROVEEDOR]],"*"&amp;'Palabra no opera'!$A$2&amp;"*"))</f>
        <v>0</v>
      </c>
    </row>
    <row r="5" spans="1:31" ht="22.35" customHeight="1" x14ac:dyDescent="0.25">
      <c r="A5" s="65" t="str">
        <f>+IF(PROVEEDORES[[#This Row],[FECHA DE PAGO]]=PROVEEDORES[[#This Row],[FECHA DE FACTURACIÓN]],"DE CONTADO","CRÉDITO")</f>
        <v>CRÉDITO</v>
      </c>
      <c r="B5" s="38" t="str">
        <f>+IF((PROVEEDORES[[#This Row],[FECHA DE PAGO]]-PROVEEDORES[[#This Row],[FECHA DE FACTURACIÓN]])&gt;PROVEEDORES[[#This Row],[PLAZO Días]],"PAGO VENCIDO")</f>
        <v>PAGO VENCIDO</v>
      </c>
      <c r="C5" s="20">
        <f>+VLOOKUP(PROVEEDORES[[#This Row],[PROVEEDOR]],TERCEROS_INFO[#All],2,FALSE)</f>
        <v>30</v>
      </c>
      <c r="D5" s="25">
        <f>+SUMIFS(PROVEEDORES[Total],PROVEEDORES[PROVEEDOR],PROVEEDORES[[#This Row],[PROVEEDOR]],PROVEEDORES[FECHA DE PAGO],"")</f>
        <v>1345520</v>
      </c>
      <c r="E5" s="25"/>
      <c r="F5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5" s="289">
        <v>45117</v>
      </c>
      <c r="H5" s="26" t="s">
        <v>268</v>
      </c>
      <c r="I5" s="289">
        <v>45026</v>
      </c>
      <c r="J5" s="35" t="s">
        <v>760</v>
      </c>
      <c r="K5" s="21">
        <v>2131000</v>
      </c>
      <c r="L5" s="21"/>
      <c r="M5" s="22">
        <f>(PROVEEDORES[[#This Row],[SUBTOTAL]]-PROVEEDORES[[#This Row],[descuento sobre subtotal]])*VLOOKUP(PROVEEDORES[[#This Row],[PROVEEDOR]],TERCEROS_INFO[#All],3,FALSE)</f>
        <v>0</v>
      </c>
      <c r="N5" s="23"/>
      <c r="O5" s="22">
        <f>+PROVEEDORES[[#This Row],[Descuento sobre subtotal %]]*(PROVEEDORES[[#This Row],[SUBTOTAL]]-PROVEEDORES[[#This Row],[descuento sobre subtotal]])</f>
        <v>0</v>
      </c>
      <c r="P5" s="72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f>+PROVEEDORES[[#This Row],[SUBTOTAL]]+PROVEEDORES[[#This Row],[IVA 19%]]-PROVEEDORES[[#This Row],[descuento sobre subtotal]]-PROVEEDORES[[#This Row],[Descuento sobre subtotal $2]]-PROVEEDORES[[#This Row],[Rete Fuente $]]</f>
        <v>2131000</v>
      </c>
      <c r="S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1">
        <f ca="1">IF(PROVEEDORES[[#This Row],[FECHA DE PAGO]]=0,TODAY()-PROVEEDORES[[#This Row],[FECHA DE FACTURACIÓN]]-PROVEEDORES[[#This Row],[PLAZO Días]],0)</f>
        <v>0</v>
      </c>
      <c r="U5" s="97">
        <f>+VLOOKUP(PROVEEDORES[[#This Row],[PROVEEDOR]],Terceros!$A:$D,4,FALSE)</f>
        <v>0</v>
      </c>
      <c r="V5" s="98">
        <f>+YEAR(PROVEEDORES[[#This Row],[FECHA DE FACTURACIÓN]])</f>
        <v>2023</v>
      </c>
      <c r="W5" s="98">
        <f>+MATCH(PROVEEDORES[[#This Row],[año facturado]],Retenciones!$1:$1,0)</f>
        <v>6</v>
      </c>
      <c r="X5" s="99">
        <f>+VLOOKUP(PROVEEDORES[[#This Row],[ID RETENCION]],Retenciones!$A$1:$O$25,PROVEEDORES[[#This Row],[indicador de columna]],FALSE)</f>
        <v>0</v>
      </c>
      <c r="Y5" s="100">
        <f>+VLOOKUP(PROVEEDORES[[#This Row],[ID RETENCION]],Retenciones!$A$1:$O$25,2,FALSE)</f>
        <v>0</v>
      </c>
      <c r="Z5" s="103" t="b">
        <f>OR(COUNTIF(PROVEEDORES[[#This Row],[PROVEEDOR]],"*"&amp;'Palabra no opera'!$A$2&amp;"*"))</f>
        <v>0</v>
      </c>
    </row>
    <row r="6" spans="1:31" ht="22.35" customHeight="1" x14ac:dyDescent="0.25">
      <c r="A6" s="219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30</v>
      </c>
      <c r="D6" s="25">
        <f>+SUMIFS(PROVEEDORES[Total],PROVEEDORES[PROVEEDOR],PROVEEDORES[[#This Row],[PROVEEDOR]],PROVEEDORES[FECHA DE PAGO],"")</f>
        <v>1345520</v>
      </c>
      <c r="E6" s="25"/>
      <c r="F6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6" s="289">
        <v>45208</v>
      </c>
      <c r="H6" s="26" t="s">
        <v>268</v>
      </c>
      <c r="I6" s="289">
        <v>45139</v>
      </c>
      <c r="J6" s="35" t="s">
        <v>990</v>
      </c>
      <c r="K6" s="21">
        <v>4057000</v>
      </c>
      <c r="L6" s="21"/>
      <c r="M6" s="22">
        <f>(PROVEEDORES[[#This Row],[SUBTOTAL]]-PROVEEDORES[[#This Row],[descuento sobre subtotal]])*VLOOKUP(PROVEEDORES[[#This Row],[PROVEEDOR]],TERCEROS_INFO[#All],3,FALSE)</f>
        <v>0</v>
      </c>
      <c r="N6" s="23"/>
      <c r="O6" s="22">
        <f>+PROVEEDORES[[#This Row],[Descuento sobre subtotal %]]*(PROVEEDORES[[#This Row],[SUBTOTAL]]-PROVEEDORES[[#This Row],[descuento sobre subtotal]])</f>
        <v>0</v>
      </c>
      <c r="P6" s="72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f>+PROVEEDORES[[#This Row],[SUBTOTAL]]+PROVEEDORES[[#This Row],[IVA 19%]]-PROVEEDORES[[#This Row],[descuento sobre subtotal]]-PROVEEDORES[[#This Row],[Descuento sobre subtotal $2]]-PROVEEDORES[[#This Row],[Rete Fuente $]]</f>
        <v>4057000</v>
      </c>
      <c r="S6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1">
        <f ca="1">IF(PROVEEDORES[[#This Row],[FECHA DE PAGO]]=0,TODAY()-PROVEEDORES[[#This Row],[FECHA DE FACTURACIÓN]]-PROVEEDORES[[#This Row],[PLAZO Días]],0)</f>
        <v>0</v>
      </c>
      <c r="U6" s="97">
        <f>+VLOOKUP(PROVEEDORES[[#This Row],[PROVEEDOR]],Terceros!$A:$D,4,FALSE)</f>
        <v>0</v>
      </c>
      <c r="V6" s="98">
        <f>+YEAR(PROVEEDORES[[#This Row],[FECHA DE FACTURACIÓN]])</f>
        <v>2023</v>
      </c>
      <c r="W6" s="98">
        <f>+MATCH(PROVEEDORES[[#This Row],[año facturado]],Retenciones!$1:$1,0)</f>
        <v>6</v>
      </c>
      <c r="X6" s="99">
        <f>+VLOOKUP(PROVEEDORES[[#This Row],[ID RETENCION]],Retenciones!$A$1:$O$25,PROVEEDORES[[#This Row],[indicador de columna]],FALSE)</f>
        <v>0</v>
      </c>
      <c r="Y6" s="100">
        <f>+VLOOKUP(PROVEEDORES[[#This Row],[ID RETENCION]],Retenciones!$A$1:$O$25,2,FALSE)</f>
        <v>0</v>
      </c>
      <c r="Z6" s="103" t="b">
        <f>OR(COUNTIF(PROVEEDORES[[#This Row],[PROVEEDOR]],"*"&amp;'Palabra no opera'!$A$2&amp;"*"))</f>
        <v>0</v>
      </c>
    </row>
    <row r="7" spans="1:31" ht="22.35" customHeight="1" x14ac:dyDescent="0.25">
      <c r="A7" s="192" t="str">
        <f>+IF(PROVEEDORES[[#This Row],[FECHA DE PAGO]]=PROVEEDORES[[#This Row],[FECHA DE FACTURACIÓN]],"DE CONTADO","CRÉDITO")</f>
        <v>CRÉDITO</v>
      </c>
      <c r="B7" s="38" t="str">
        <f>+IF((PROVEEDORES[[#This Row],[FECHA DE PAGO]]-PROVEEDORES[[#This Row],[FECHA DE FACTURACIÓN]])&gt;PROVEEDORES[[#This Row],[PLAZO Días]],"PAGO VENCIDO")</f>
        <v>PAGO VENCIDO</v>
      </c>
      <c r="C7" s="20">
        <f>+VLOOKUP(PROVEEDORES[[#This Row],[PROVEEDOR]],TERCEROS_INFO[#All],2,FALSE)</f>
        <v>30</v>
      </c>
      <c r="D7" s="25">
        <f>+SUMIFS(PROVEEDORES[Total],PROVEEDORES[PROVEEDOR],PROVEEDORES[[#This Row],[PROVEEDOR]],PROVEEDORES[FECHA DE PAGO],"")</f>
        <v>0</v>
      </c>
      <c r="E7" s="25"/>
      <c r="F7" s="56" t="str">
        <f>+VLOOKUP(PROVEEDORES[[#This Row],[PROVEEDOR]],
                       Terceros!$A:$F,
                       5,
                       FALSE)</f>
        <v/>
      </c>
      <c r="G7" s="289">
        <v>45082</v>
      </c>
      <c r="H7" s="26" t="s">
        <v>327</v>
      </c>
      <c r="I7" s="289">
        <v>45026</v>
      </c>
      <c r="J7" s="35">
        <v>2002</v>
      </c>
      <c r="K7" s="21">
        <v>343800</v>
      </c>
      <c r="L7" s="21"/>
      <c r="M7" s="22">
        <f>(PROVEEDORES[[#This Row],[SUBTOTAL]]-PROVEEDORES[[#This Row],[descuento sobre subtotal]])*VLOOKUP(PROVEEDORES[[#This Row],[PROVEEDOR]],TERCEROS_INFO[#All],3,FALSE)</f>
        <v>0</v>
      </c>
      <c r="N7" s="23"/>
      <c r="O7" s="22">
        <f>+PROVEEDORES[[#This Row],[Descuento sobre subtotal %]]*(PROVEEDORES[[#This Row],[SUBTOTAL]]-PROVEEDORES[[#This Row],[descuento sobre subtotal]])</f>
        <v>0</v>
      </c>
      <c r="P7" s="72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f>+PROVEEDORES[[#This Row],[SUBTOTAL]]+PROVEEDORES[[#This Row],[IVA 19%]]-PROVEEDORES[[#This Row],[descuento sobre subtotal]]-PROVEEDORES[[#This Row],[Descuento sobre subtotal $2]]-PROVEEDORES[[#This Row],[Rete Fuente $]]</f>
        <v>343800</v>
      </c>
      <c r="S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1">
        <f ca="1">IF(PROVEEDORES[[#This Row],[FECHA DE PAGO]]=0,TODAY()-PROVEEDORES[[#This Row],[FECHA DE FACTURACIÓN]]-PROVEEDORES[[#This Row],[PLAZO Días]],0)</f>
        <v>0</v>
      </c>
      <c r="U7" s="97">
        <f>+VLOOKUP(PROVEEDORES[[#This Row],[PROVEEDOR]],Terceros!$A:$D,4,FALSE)</f>
        <v>0</v>
      </c>
      <c r="V7" s="98">
        <f>+YEAR(PROVEEDORES[[#This Row],[FECHA DE FACTURACIÓN]])</f>
        <v>2023</v>
      </c>
      <c r="W7" s="98">
        <f>+MATCH(PROVEEDORES[[#This Row],[año facturado]],Retenciones!$1:$1,0)</f>
        <v>6</v>
      </c>
      <c r="X7" s="99">
        <f>+VLOOKUP(PROVEEDORES[[#This Row],[ID RETENCION]],Retenciones!$A$1:$O$25,PROVEEDORES[[#This Row],[indicador de columna]],FALSE)</f>
        <v>0</v>
      </c>
      <c r="Y7" s="100">
        <f>+VLOOKUP(PROVEEDORES[[#This Row],[ID RETENCION]],Retenciones!$A$1:$O$25,2,FALSE)</f>
        <v>0</v>
      </c>
      <c r="Z7" s="103" t="b">
        <f>OR(COUNTIF(PROVEEDORES[[#This Row],[PROVEEDOR]],"*"&amp;'Palabra no opera'!$A$2&amp;"*"))</f>
        <v>0</v>
      </c>
    </row>
    <row r="8" spans="1:31" ht="22.35" customHeight="1" x14ac:dyDescent="0.25">
      <c r="A8" s="65" t="str">
        <f>+IF(PROVEEDORES[[#This Row],[FECHA DE PAGO]]=PROVEEDORES[[#This Row],[FECHA DE FACTURACIÓN]],"DE CONTADO","CRÉDITO")</f>
        <v>CRÉDITO</v>
      </c>
      <c r="B8" s="38" t="str">
        <f>+IF((PROVEEDORES[[#This Row],[FECHA DE PAGO]]-PROVEEDORES[[#This Row],[FECHA DE FACTURACIÓN]])&gt;PROVEEDORES[[#This Row],[PLAZO Días]],"PAGO VENCIDO")</f>
        <v>PAGO VENCIDO</v>
      </c>
      <c r="C8" s="20">
        <f>+VLOOKUP(PROVEEDORES[[#This Row],[PROVEEDOR]],TERCEROS_INFO[#All],2,FALSE)</f>
        <v>30</v>
      </c>
      <c r="D8" s="25">
        <f>+SUMIFS(PROVEEDORES[Total],PROVEEDORES[PROVEEDOR],PROVEEDORES[[#This Row],[PROVEEDOR]],PROVEEDORES[FECHA DE PAGO],"")</f>
        <v>0</v>
      </c>
      <c r="E8" s="25"/>
      <c r="F8" s="56" t="str">
        <f>+VLOOKUP(PROVEEDORES[[#This Row],[PROVEEDOR]],
                       Terceros!$A:$F,
                       5,
                       FALSE)</f>
        <v/>
      </c>
      <c r="G8" s="289">
        <v>45302</v>
      </c>
      <c r="H8" s="26" t="s">
        <v>327</v>
      </c>
      <c r="I8" s="289">
        <v>45267</v>
      </c>
      <c r="J8" s="35" t="s">
        <v>1423</v>
      </c>
      <c r="K8" s="21">
        <v>342000</v>
      </c>
      <c r="L8" s="21"/>
      <c r="M8" s="22">
        <f>(PROVEEDORES[[#This Row],[SUBTOTAL]]-PROVEEDORES[[#This Row],[descuento sobre subtotal]])*VLOOKUP(PROVEEDORES[[#This Row],[PROVEEDOR]],TERCEROS_INFO[#All],3,FALSE)</f>
        <v>0</v>
      </c>
      <c r="N8" s="23"/>
      <c r="O8" s="22">
        <f>+PROVEEDORES[[#This Row],[Descuento sobre subtotal %]]*(PROVEEDORES[[#This Row],[SUBTOTAL]]-PROVEEDORES[[#This Row],[descuento sobre subtotal]])</f>
        <v>0</v>
      </c>
      <c r="P8" s="72">
        <f>+IF(PROVEEDORES[[#This Row],[SUBTOTAL]]&lt;PROVEEDORES[[#This Row],[base retencion]],0,PROVEEDORES[[#This Row],[retención aplicada]])</f>
        <v>0</v>
      </c>
      <c r="Q8" s="22">
        <f>+PROVEEDORES[[#This Row],[Rete Fuente %]]*(PROVEEDORES[[#This Row],[SUBTOTAL]]-PROVEEDORES[[#This Row],[descuento sobre subtotal]])</f>
        <v>0</v>
      </c>
      <c r="R8" s="21">
        <f>+PROVEEDORES[[#This Row],[SUBTOTAL]]+PROVEEDORES[[#This Row],[IVA 19%]]-PROVEEDORES[[#This Row],[descuento sobre subtotal]]-PROVEEDORES[[#This Row],[Descuento sobre subtotal $2]]-PROVEEDORES[[#This Row],[Rete Fuente $]]</f>
        <v>342000</v>
      </c>
      <c r="S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1">
        <f ca="1">IF(PROVEEDORES[[#This Row],[FECHA DE PAGO]]=0,TODAY()-PROVEEDORES[[#This Row],[FECHA DE FACTURACIÓN]]-PROVEEDORES[[#This Row],[PLAZO Días]],0)</f>
        <v>0</v>
      </c>
      <c r="U8" s="97">
        <f>+VLOOKUP(PROVEEDORES[[#This Row],[PROVEEDOR]],Terceros!$A:$D,4,FALSE)</f>
        <v>0</v>
      </c>
      <c r="V8" s="98">
        <f>+YEAR(PROVEEDORES[[#This Row],[FECHA DE FACTURACIÓN]])</f>
        <v>2023</v>
      </c>
      <c r="W8" s="98">
        <f>+MATCH(PROVEEDORES[[#This Row],[año facturado]],Retenciones!$1:$1,0)</f>
        <v>6</v>
      </c>
      <c r="X8" s="99">
        <f>+VLOOKUP(PROVEEDORES[[#This Row],[ID RETENCION]],Retenciones!$A$1:$O$25,PROVEEDORES[[#This Row],[indicador de columna]],FALSE)</f>
        <v>0</v>
      </c>
      <c r="Y8" s="100">
        <f>+VLOOKUP(PROVEEDORES[[#This Row],[ID RETENCION]],Retenciones!$A$1:$O$25,2,FALSE)</f>
        <v>0</v>
      </c>
      <c r="Z8" s="103" t="b">
        <f>OR(COUNTIF(PROVEEDORES[[#This Row],[PROVEEDOR]],"*"&amp;'Palabra no opera'!$A$2&amp;"*"))</f>
        <v>0</v>
      </c>
    </row>
    <row r="9" spans="1:31" ht="22.35" customHeight="1" x14ac:dyDescent="0.25">
      <c r="A9" s="65" t="str">
        <f>+IF(PROVEEDORES[[#This Row],[FECHA DE PAGO]]=PROVEEDORES[[#This Row],[FECHA DE FACTURACIÓN]],"DE CONTADO","CRÉDITO")</f>
        <v>CRÉDITO</v>
      </c>
      <c r="B9" s="38" t="str">
        <f>+IF((PROVEEDORES[[#This Row],[FECHA DE PAGO]]-PROVEEDORES[[#This Row],[FECHA DE FACTURACIÓN]])&gt;PROVEEDORES[[#This Row],[PLAZO Días]],"PAGO VENCIDO")</f>
        <v>PAGO VENCIDO</v>
      </c>
      <c r="C9" s="20">
        <f>+VLOOKUP(PROVEEDORES[[#This Row],[PROVEEDOR]],TERCEROS_INFO[#All],2,FALSE)</f>
        <v>0</v>
      </c>
      <c r="D9" s="25">
        <f>+SUMIFS(PROVEEDORES[Total],PROVEEDORES[PROVEEDOR],PROVEEDORES[[#This Row],[PROVEEDOR]],PROVEEDORES[FECHA DE PAGO],"")</f>
        <v>0</v>
      </c>
      <c r="E9" s="25"/>
      <c r="F9" s="56">
        <f>+VLOOKUP(PROVEEDORES[[#This Row],[PROVEEDOR]],
                       Terceros!$A:$F,
                       5,
                       FALSE)</f>
        <v>0</v>
      </c>
      <c r="G9" s="289">
        <v>45250</v>
      </c>
      <c r="H9" s="26" t="s">
        <v>270</v>
      </c>
      <c r="I9" s="289">
        <v>45218</v>
      </c>
      <c r="J9" s="35" t="s">
        <v>936</v>
      </c>
      <c r="K9" s="21">
        <v>445473</v>
      </c>
      <c r="L9" s="21"/>
      <c r="M9" s="22">
        <f>(PROVEEDORES[[#This Row],[SUBTOTAL]]-PROVEEDORES[[#This Row],[descuento sobre subtotal]])*VLOOKUP(PROVEEDORES[[#This Row],[PROVEEDOR]],TERCEROS_INFO[#All],3,FALSE)</f>
        <v>0</v>
      </c>
      <c r="N9" s="23"/>
      <c r="O9" s="22">
        <f>+PROVEEDORES[[#This Row],[Descuento sobre subtotal %]]*(PROVEEDORES[[#This Row],[SUBTOTAL]]-PROVEEDORES[[#This Row],[descuento sobre subtotal]])</f>
        <v>0</v>
      </c>
      <c r="P9" s="72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f>+PROVEEDORES[[#This Row],[SUBTOTAL]]+PROVEEDORES[[#This Row],[IVA 19%]]-PROVEEDORES[[#This Row],[descuento sobre subtotal]]-PROVEEDORES[[#This Row],[Descuento sobre subtotal $2]]-PROVEEDORES[[#This Row],[Rete Fuente $]]</f>
        <v>445473</v>
      </c>
      <c r="S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1">
        <f ca="1">IF(PROVEEDORES[[#This Row],[FECHA DE PAGO]]=0,TODAY()-PROVEEDORES[[#This Row],[FECHA DE FACTURACIÓN]]-PROVEEDORES[[#This Row],[PLAZO Días]],0)</f>
        <v>0</v>
      </c>
      <c r="U9" s="97">
        <f>+VLOOKUP(PROVEEDORES[[#This Row],[PROVEEDOR]],Terceros!$A:$D,4,FALSE)</f>
        <v>0</v>
      </c>
      <c r="V9" s="98">
        <f>+YEAR(PROVEEDORES[[#This Row],[FECHA DE FACTURACIÓN]])</f>
        <v>2023</v>
      </c>
      <c r="W9" s="98">
        <f>+MATCH(PROVEEDORES[[#This Row],[año facturado]],Retenciones!$1:$1,0)</f>
        <v>6</v>
      </c>
      <c r="X9" s="99">
        <f>+VLOOKUP(PROVEEDORES[[#This Row],[ID RETENCION]],Retenciones!$A$1:$O$25,PROVEEDORES[[#This Row],[indicador de columna]],FALSE)</f>
        <v>0</v>
      </c>
      <c r="Y9" s="100">
        <f>+VLOOKUP(PROVEEDORES[[#This Row],[ID RETENCION]],Retenciones!$A$1:$O$25,2,FALSE)</f>
        <v>0</v>
      </c>
      <c r="Z9" s="103" t="b">
        <f>OR(COUNTIF(PROVEEDORES[[#This Row],[PROVEEDOR]],"*"&amp;'Palabra no opera'!$A$2&amp;"*"))</f>
        <v>0</v>
      </c>
    </row>
    <row r="10" spans="1:31" ht="22.35" customHeight="1" x14ac:dyDescent="0.25">
      <c r="A10" s="314" t="str">
        <f>+IF(PROVEEDORES[[#This Row],[FECHA DE PAGO]]=PROVEEDORES[[#This Row],[FECHA DE FACTURACIÓN]],"DE CONTADO","CRÉDITO")</f>
        <v>CRÉDITO</v>
      </c>
      <c r="B10" s="38" t="str">
        <f>+IF((PROVEEDORES[[#This Row],[FECHA DE PAGO]]-PROVEEDORES[[#This Row],[FECHA DE FACTURACIÓN]])&gt;PROVEEDORES[[#This Row],[PLAZO Días]],"PAGO VENCIDO")</f>
        <v>PAGO VENCIDO</v>
      </c>
      <c r="C10" s="20">
        <f>+VLOOKUP(PROVEEDORES[[#This Row],[PROVEEDOR]],TERCEROS_INFO[#All],2,FALSE)</f>
        <v>0</v>
      </c>
      <c r="D10" s="25">
        <f>+SUMIFS(PROVEEDORES[Total],PROVEEDORES[PROVEEDOR],PROVEEDORES[[#This Row],[PROVEEDOR]],PROVEEDORES[FECHA DE PAGO],"")</f>
        <v>0</v>
      </c>
      <c r="E10" s="25"/>
      <c r="F10" s="56">
        <f>+VLOOKUP(PROVEEDORES[[#This Row],[PROVEEDOR]],
                       Terceros!$A:$F,
                       5,
                       FALSE)</f>
        <v>0</v>
      </c>
      <c r="G10" s="289">
        <v>45316</v>
      </c>
      <c r="H10" s="26" t="s">
        <v>270</v>
      </c>
      <c r="I10" s="289">
        <v>45301</v>
      </c>
      <c r="J10" s="35" t="s">
        <v>1535</v>
      </c>
      <c r="K10" s="21">
        <v>960300</v>
      </c>
      <c r="L10" s="21"/>
      <c r="M10" s="22">
        <f>(PROVEEDORES[[#This Row],[SUBTOTAL]]-PROVEEDORES[[#This Row],[descuento sobre subtotal]])*VLOOKUP(PROVEEDORES[[#This Row],[PROVEEDOR]],TERCEROS_INFO[#All],3,FALSE)</f>
        <v>0</v>
      </c>
      <c r="N10" s="23"/>
      <c r="O10" s="22">
        <f>+PROVEEDORES[[#This Row],[Descuento sobre subtotal %]]*(PROVEEDORES[[#This Row],[SUBTOTAL]]-PROVEEDORES[[#This Row],[descuento sobre subtotal]])</f>
        <v>0</v>
      </c>
      <c r="P10" s="72">
        <f>+IF(PROVEEDORES[[#This Row],[SUBTOTAL]]&lt;PROVEEDORES[[#This Row],[base retencion]],0,PROVEEDORES[[#This Row],[retención aplicada]])</f>
        <v>0</v>
      </c>
      <c r="Q10" s="22">
        <f>+PROVEEDORES[[#This Row],[Rete Fuente %]]*(PROVEEDORES[[#This Row],[SUBTOTAL]]-PROVEEDORES[[#This Row],[descuento sobre subtotal]])</f>
        <v>0</v>
      </c>
      <c r="R10" s="21">
        <f>+PROVEEDORES[[#This Row],[SUBTOTAL]]+PROVEEDORES[[#This Row],[IVA 19%]]-PROVEEDORES[[#This Row],[descuento sobre subtotal]]-PROVEEDORES[[#This Row],[Descuento sobre subtotal $2]]-PROVEEDORES[[#This Row],[Rete Fuente $]]</f>
        <v>960300</v>
      </c>
      <c r="S10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1">
        <f ca="1">IF(PROVEEDORES[[#This Row],[FECHA DE PAGO]]=0,TODAY()-PROVEEDORES[[#This Row],[FECHA DE FACTURACIÓN]]-PROVEEDORES[[#This Row],[PLAZO Días]],0)</f>
        <v>0</v>
      </c>
      <c r="U10" s="97">
        <f>+VLOOKUP(PROVEEDORES[[#This Row],[PROVEEDOR]],Terceros!$A:$D,4,FALSE)</f>
        <v>0</v>
      </c>
      <c r="V10" s="98">
        <f>+YEAR(PROVEEDORES[[#This Row],[FECHA DE FACTURACIÓN]])</f>
        <v>2024</v>
      </c>
      <c r="W10" s="98">
        <f>+MATCH(PROVEEDORES[[#This Row],[año facturado]],Retenciones!$1:$1,0)</f>
        <v>7</v>
      </c>
      <c r="X10" s="99">
        <f>+VLOOKUP(PROVEEDORES[[#This Row],[ID RETENCION]],Retenciones!$A$1:$O$25,PROVEEDORES[[#This Row],[indicador de columna]],FALSE)</f>
        <v>0</v>
      </c>
      <c r="Y10" s="100">
        <f>+VLOOKUP(PROVEEDORES[[#This Row],[ID RETENCION]],Retenciones!$A$1:$O$25,2,FALSE)</f>
        <v>0</v>
      </c>
      <c r="Z10" s="103" t="b">
        <f>OR(COUNTIF(PROVEEDORES[[#This Row],[PROVEEDOR]],"*"&amp;'Palabra no opera'!$A$2&amp;"*"))</f>
        <v>0</v>
      </c>
    </row>
    <row r="11" spans="1:31" ht="22.35" customHeight="1" x14ac:dyDescent="0.25">
      <c r="A11" s="65" t="str">
        <f>+IF(PROVEEDORES[[#This Row],[FECHA DE PAGO]]=PROVEEDORES[[#This Row],[FECHA DE FACTURACIÓN]],"DE CONTADO","CRÉDITO")</f>
        <v>DE CONTADO</v>
      </c>
      <c r="B11" s="38" t="b">
        <f>+IF((PROVEEDORES[[#This Row],[FECHA DE PAGO]]-PROVEEDORES[[#This Row],[FECHA DE FACTURACIÓN]])&gt;PROVEEDORES[[#This Row],[PLAZO Días]],"PAGO VENCIDO")</f>
        <v>0</v>
      </c>
      <c r="C11" s="20">
        <f>+VLOOKUP(PROVEEDORES[[#This Row],[PROVEEDOR]],TERCEROS_INFO[#All],2,FALSE)</f>
        <v>30</v>
      </c>
      <c r="D11" s="25">
        <f>+SUMIFS(PROVEEDORES[Total],PROVEEDORES[PROVEEDOR],PROVEEDORES[[#This Row],[PROVEEDOR]],PROVEEDORES[FECHA DE PAGO],"")</f>
        <v>0</v>
      </c>
      <c r="E11" s="25"/>
      <c r="F11" s="56">
        <f>+VLOOKUP(PROVEEDORES[[#This Row],[PROVEEDOR]],
                       Terceros!$A:$F,
                       5,
                       FALSE)</f>
        <v>0</v>
      </c>
      <c r="G11" s="289">
        <v>45113</v>
      </c>
      <c r="H11" s="26" t="s">
        <v>944</v>
      </c>
      <c r="I11" s="289">
        <v>45113</v>
      </c>
      <c r="J11" s="35" t="s">
        <v>945</v>
      </c>
      <c r="K11" s="21">
        <v>587000</v>
      </c>
      <c r="L11" s="21"/>
      <c r="M11" s="22">
        <f>(PROVEEDORES[[#This Row],[SUBTOTAL]]-PROVEEDORES[[#This Row],[descuento sobre subtotal]])*VLOOKUP(PROVEEDORES[[#This Row],[PROVEEDOR]],TERCEROS_INFO[#All],3,FALSE)</f>
        <v>0</v>
      </c>
      <c r="N11" s="23"/>
      <c r="O11" s="22">
        <f>+PROVEEDORES[[#This Row],[Descuento sobre subtotal %]]*(PROVEEDORES[[#This Row],[SUBTOTAL]]-PROVEEDORES[[#This Row],[descuento sobre subtotal]])</f>
        <v>0</v>
      </c>
      <c r="P11" s="72">
        <f>+IF(PROVEEDORES[[#This Row],[SUBTOTAL]]&lt;PROVEEDORES[[#This Row],[base retencion]],0,PROVEEDORES[[#This Row],[retención aplicada]])</f>
        <v>0</v>
      </c>
      <c r="Q11" s="22">
        <f>+PROVEEDORES[[#This Row],[Rete Fuente %]]*(PROVEEDORES[[#This Row],[SUBTOTAL]]-PROVEEDORES[[#This Row],[descuento sobre subtotal]])</f>
        <v>0</v>
      </c>
      <c r="R11" s="21">
        <f>+PROVEEDORES[[#This Row],[SUBTOTAL]]+PROVEEDORES[[#This Row],[IVA 19%]]-PROVEEDORES[[#This Row],[descuento sobre subtotal]]-PROVEEDORES[[#This Row],[Descuento sobre subtotal $2]]-PROVEEDORES[[#This Row],[Rete Fuente $]]</f>
        <v>587000</v>
      </c>
      <c r="S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1">
        <f ca="1">IF(PROVEEDORES[[#This Row],[FECHA DE PAGO]]=0,TODAY()-PROVEEDORES[[#This Row],[FECHA DE FACTURACIÓN]]-PROVEEDORES[[#This Row],[PLAZO Días]],0)</f>
        <v>0</v>
      </c>
      <c r="U11" s="97">
        <f>+VLOOKUP(PROVEEDORES[[#This Row],[PROVEEDOR]],Terceros!$A:$D,4,FALSE)</f>
        <v>0</v>
      </c>
      <c r="V11" s="98">
        <f>+YEAR(PROVEEDORES[[#This Row],[FECHA DE FACTURACIÓN]])</f>
        <v>2023</v>
      </c>
      <c r="W11" s="98">
        <f>+MATCH(PROVEEDORES[[#This Row],[año facturado]],Retenciones!$1:$1,0)</f>
        <v>6</v>
      </c>
      <c r="X11" s="99">
        <f>+VLOOKUP(PROVEEDORES[[#This Row],[ID RETENCION]],Retenciones!$A$1:$O$25,PROVEEDORES[[#This Row],[indicador de columna]],FALSE)</f>
        <v>0</v>
      </c>
      <c r="Y11" s="100">
        <f>+VLOOKUP(PROVEEDORES[[#This Row],[ID RETENCION]],Retenciones!$A$1:$O$25,2,FALSE)</f>
        <v>0</v>
      </c>
      <c r="Z11" s="103" t="b">
        <f>OR(COUNTIF(PROVEEDORES[[#This Row],[PROVEEDOR]],"*"&amp;'Palabra no opera'!$A$2&amp;"*"))</f>
        <v>0</v>
      </c>
    </row>
    <row r="12" spans="1:31" ht="22.35" customHeight="1" x14ac:dyDescent="0.25">
      <c r="A12" s="229" t="str">
        <f>+IF(PROVEEDORES[[#This Row],[FECHA DE PAGO]]=PROVEEDORES[[#This Row],[FECHA DE FACTURACIÓN]],"DE CONTADO","CRÉDITO")</f>
        <v>DE CONTADO</v>
      </c>
      <c r="B12" s="38" t="b">
        <f>+IF((PROVEEDORES[[#This Row],[FECHA DE PAGO]]-PROVEEDORES[[#This Row],[FECHA DE FACTURACIÓN]])&gt;PROVEEDORES[[#This Row],[PLAZO Días]],"PAGO VENCIDO")</f>
        <v>0</v>
      </c>
      <c r="C12" s="20">
        <f>+VLOOKUP(PROVEEDORES[[#This Row],[PROVEEDOR]],TERCEROS_INFO[#All],2,FALSE)</f>
        <v>30</v>
      </c>
      <c r="D12" s="25">
        <f>+SUMIFS(PROVEEDORES[Total],PROVEEDORES[PROVEEDOR],PROVEEDORES[[#This Row],[PROVEEDOR]],PROVEEDORES[FECHA DE PAGO],"")</f>
        <v>0</v>
      </c>
      <c r="E12" s="25"/>
      <c r="F12" s="56">
        <f>+VLOOKUP(PROVEEDORES[[#This Row],[PROVEEDOR]],
                       Terceros!$A:$F,
                       5,
                       FALSE)</f>
        <v>0</v>
      </c>
      <c r="G12" s="289">
        <v>45154</v>
      </c>
      <c r="H12" s="26" t="s">
        <v>944</v>
      </c>
      <c r="I12" s="289">
        <v>45154</v>
      </c>
      <c r="J12" s="35" t="s">
        <v>1080</v>
      </c>
      <c r="K12" s="21">
        <v>216800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72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f>+PROVEEDORES[[#This Row],[SUBTOTAL]]+PROVEEDORES[[#This Row],[IVA 19%]]-PROVEEDORES[[#This Row],[descuento sobre subtotal]]-PROVEEDORES[[#This Row],[Descuento sobre subtotal $2]]-PROVEEDORES[[#This Row],[Rete Fuente $]]</f>
        <v>216800</v>
      </c>
      <c r="S12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1">
        <f ca="1">IF(PROVEEDORES[[#This Row],[FECHA DE PAGO]]=0,TODAY()-PROVEEDORES[[#This Row],[FECHA DE FACTURACIÓN]]-PROVEEDORES[[#This Row],[PLAZO Días]],0)</f>
        <v>0</v>
      </c>
      <c r="U12" s="97">
        <f>+VLOOKUP(PROVEEDORES[[#This Row],[PROVEEDOR]],Terceros!$A:$D,4,FALSE)</f>
        <v>0</v>
      </c>
      <c r="V12" s="98">
        <f>+YEAR(PROVEEDORES[[#This Row],[FECHA DE FACTURACIÓN]])</f>
        <v>2023</v>
      </c>
      <c r="W12" s="98">
        <f>+MATCH(PROVEEDORES[[#This Row],[año facturado]],Retenciones!$1:$1,0)</f>
        <v>6</v>
      </c>
      <c r="X12" s="99">
        <f>+VLOOKUP(PROVEEDORES[[#This Row],[ID RETENCION]],Retenciones!$A$1:$O$25,PROVEEDORES[[#This Row],[indicador de columna]],FALSE)</f>
        <v>0</v>
      </c>
      <c r="Y12" s="100">
        <f>+VLOOKUP(PROVEEDORES[[#This Row],[ID RETENCION]],Retenciones!$A$1:$O$25,2,FALSE)</f>
        <v>0</v>
      </c>
      <c r="Z12" s="103" t="b">
        <f>OR(COUNTIF(PROVEEDORES[[#This Row],[PROVEEDOR]],"*"&amp;'Palabra no opera'!$A$2&amp;"*"))</f>
        <v>0</v>
      </c>
    </row>
    <row r="13" spans="1:31" ht="22.35" customHeight="1" x14ac:dyDescent="0.25">
      <c r="A13" s="229" t="str">
        <f>+IF(PROVEEDORES[[#This Row],[FECHA DE PAGO]]=PROVEEDORES[[#This Row],[FECHA DE FACTURACIÓN]],"DE CONTADO","CRÉDITO")</f>
        <v>CRÉDITO</v>
      </c>
      <c r="B13" s="38" t="b">
        <f>+IF((PROVEEDORES[[#This Row],[FECHA DE PAGO]]-PROVEEDORES[[#This Row],[FECHA DE FACTURACIÓN]])&gt;PROVEEDORES[[#This Row],[PLAZO Días]],"PAGO VENCIDO")</f>
        <v>0</v>
      </c>
      <c r="C13" s="20">
        <f>+VLOOKUP(PROVEEDORES[[#This Row],[PROVEEDOR]],TERCEROS_INFO[#All],2,FALSE)</f>
        <v>30</v>
      </c>
      <c r="D13" s="25">
        <f>+SUMIFS(PROVEEDORES[Total],PROVEEDORES[PROVEEDOR],PROVEEDORES[[#This Row],[PROVEEDOR]],PROVEEDORES[FECHA DE PAGO],"")</f>
        <v>0</v>
      </c>
      <c r="E13" s="25"/>
      <c r="F13" s="56">
        <f>+VLOOKUP(PROVEEDORES[[#This Row],[PROVEEDOR]],
                       Terceros!$A:$F,
                       5,
                       FALSE)</f>
        <v>0</v>
      </c>
      <c r="G13" s="289">
        <v>45175</v>
      </c>
      <c r="H13" s="26" t="s">
        <v>944</v>
      </c>
      <c r="I13" s="289">
        <v>45174</v>
      </c>
      <c r="J13" s="35" t="s">
        <v>1081</v>
      </c>
      <c r="K13" s="21">
        <v>239700</v>
      </c>
      <c r="L13" s="21"/>
      <c r="M13" s="22">
        <f>(PROVEEDORES[[#This Row],[SUBTOTAL]]-PROVEEDORES[[#This Row],[descuento sobre subtotal]])*VLOOKUP(PROVEEDORES[[#This Row],[PROVEEDOR]],TERCEROS_INFO[#All],3,FALSE)</f>
        <v>0</v>
      </c>
      <c r="N13" s="23"/>
      <c r="O13" s="22">
        <f>+PROVEEDORES[[#This Row],[Descuento sobre subtotal %]]*(PROVEEDORES[[#This Row],[SUBTOTAL]]-PROVEEDORES[[#This Row],[descuento sobre subtotal]])</f>
        <v>0</v>
      </c>
      <c r="P13" s="72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f>+PROVEEDORES[[#This Row],[SUBTOTAL]]+PROVEEDORES[[#This Row],[IVA 19%]]-PROVEEDORES[[#This Row],[descuento sobre subtotal]]-PROVEEDORES[[#This Row],[Descuento sobre subtotal $2]]-PROVEEDORES[[#This Row],[Rete Fuente $]]</f>
        <v>239700</v>
      </c>
      <c r="S13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1">
        <f ca="1">IF(PROVEEDORES[[#This Row],[FECHA DE PAGO]]=0,TODAY()-PROVEEDORES[[#This Row],[FECHA DE FACTURACIÓN]]-PROVEEDORES[[#This Row],[PLAZO Días]],0)</f>
        <v>0</v>
      </c>
      <c r="U13" s="97">
        <f>+VLOOKUP(PROVEEDORES[[#This Row],[PROVEEDOR]],Terceros!$A:$D,4,FALSE)</f>
        <v>0</v>
      </c>
      <c r="V13" s="98">
        <f>+YEAR(PROVEEDORES[[#This Row],[FECHA DE FACTURACIÓN]])</f>
        <v>2023</v>
      </c>
      <c r="W13" s="98">
        <f>+MATCH(PROVEEDORES[[#This Row],[año facturado]],Retenciones!$1:$1,0)</f>
        <v>6</v>
      </c>
      <c r="X13" s="99">
        <f>+VLOOKUP(PROVEEDORES[[#This Row],[ID RETENCION]],Retenciones!$A$1:$O$25,PROVEEDORES[[#This Row],[indicador de columna]],FALSE)</f>
        <v>0</v>
      </c>
      <c r="Y13" s="100">
        <f>+VLOOKUP(PROVEEDORES[[#This Row],[ID RETENCION]],Retenciones!$A$1:$O$25,2,FALSE)</f>
        <v>0</v>
      </c>
      <c r="Z13" s="103" t="b">
        <f>OR(COUNTIF(PROVEEDORES[[#This Row],[PROVEEDOR]],"*"&amp;'Palabra no opera'!$A$2&amp;"*"))</f>
        <v>0</v>
      </c>
    </row>
    <row r="14" spans="1:31" ht="22.35" customHeight="1" x14ac:dyDescent="0.25">
      <c r="A14" s="243" t="str">
        <f>+IF(PROVEEDORES[[#This Row],[FECHA DE PAGO]]=PROVEEDORES[[#This Row],[FECHA DE FACTURACIÓN]],"DE CONTADO","CRÉDITO")</f>
        <v>DE CONTADO</v>
      </c>
      <c r="B14" s="38" t="b">
        <f>+IF((PROVEEDORES[[#This Row],[FECHA DE PAGO]]-PROVEEDORES[[#This Row],[FECHA DE FACTURACIÓN]])&gt;PROVEEDORES[[#This Row],[PLAZO Días]],"PAGO VENCIDO")</f>
        <v>0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0</v>
      </c>
      <c r="E14" s="25"/>
      <c r="F14" s="56">
        <f>+VLOOKUP(PROVEEDORES[[#This Row],[PROVEEDOR]],
                       Terceros!$A:$F,
                       5,
                       FALSE)</f>
        <v>0</v>
      </c>
      <c r="G14" s="289">
        <v>45182</v>
      </c>
      <c r="H14" s="26" t="s">
        <v>944</v>
      </c>
      <c r="I14" s="289">
        <v>45182</v>
      </c>
      <c r="J14" s="35" t="s">
        <v>1156</v>
      </c>
      <c r="K14" s="21">
        <v>290750</v>
      </c>
      <c r="L14" s="21"/>
      <c r="M14" s="22">
        <f>(PROVEEDORES[[#This Row],[SUBTOTAL]]-PROVEEDORES[[#This Row],[descuento sobre subtotal]])*VLOOKUP(PROVEEDORES[[#This Row],[PROVEEDOR]],TERCEROS_INFO[#All],3,FALSE)</f>
        <v>0</v>
      </c>
      <c r="N14" s="23"/>
      <c r="O14" s="22">
        <f>+PROVEEDORES[[#This Row],[Descuento sobre subtotal %]]*(PROVEEDORES[[#This Row],[SUBTOTAL]]-PROVEEDORES[[#This Row],[descuento sobre subtotal]])</f>
        <v>0</v>
      </c>
      <c r="P14" s="72">
        <f>+IF(PROVEEDORES[[#This Row],[SUBTOTAL]]&lt;PROVEEDORES[[#This Row],[base retencion]],0,PROVEEDORES[[#This Row],[retención aplicada]])</f>
        <v>0</v>
      </c>
      <c r="Q14" s="22">
        <f>+PROVEEDORES[[#This Row],[Rete Fuente %]]*(PROVEEDORES[[#This Row],[SUBTOTAL]]-PROVEEDORES[[#This Row],[descuento sobre subtotal]])</f>
        <v>0</v>
      </c>
      <c r="R14" s="21">
        <f>+PROVEEDORES[[#This Row],[SUBTOTAL]]+PROVEEDORES[[#This Row],[IVA 19%]]-PROVEEDORES[[#This Row],[descuento sobre subtotal]]-PROVEEDORES[[#This Row],[Descuento sobre subtotal $2]]-PROVEEDORES[[#This Row],[Rete Fuente $]]</f>
        <v>290750</v>
      </c>
      <c r="S14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1">
        <f ca="1">IF(PROVEEDORES[[#This Row],[FECHA DE PAGO]]=0,TODAY()-PROVEEDORES[[#This Row],[FECHA DE FACTURACIÓN]]-PROVEEDORES[[#This Row],[PLAZO Días]],0)</f>
        <v>0</v>
      </c>
      <c r="U14" s="97">
        <f>+VLOOKUP(PROVEEDORES[[#This Row],[PROVEEDOR]],Terceros!$A:$D,4,FALSE)</f>
        <v>0</v>
      </c>
      <c r="V14" s="98">
        <f>+YEAR(PROVEEDORES[[#This Row],[FECHA DE FACTURACIÓN]])</f>
        <v>2023</v>
      </c>
      <c r="W14" s="98">
        <f>+MATCH(PROVEEDORES[[#This Row],[año facturado]],Retenciones!$1:$1,0)</f>
        <v>6</v>
      </c>
      <c r="X14" s="99">
        <f>+VLOOKUP(PROVEEDORES[[#This Row],[ID RETENCION]],Retenciones!$A$1:$O$25,PROVEEDORES[[#This Row],[indicador de columna]],FALSE)</f>
        <v>0</v>
      </c>
      <c r="Y14" s="100">
        <f>+VLOOKUP(PROVEEDORES[[#This Row],[ID RETENCION]],Retenciones!$A$1:$O$25,2,FALSE)</f>
        <v>0</v>
      </c>
      <c r="Z14" s="103" t="b">
        <f>OR(COUNTIF(PROVEEDORES[[#This Row],[PROVEEDOR]],"*"&amp;'Palabra no opera'!$A$2&amp;"*"))</f>
        <v>0</v>
      </c>
    </row>
    <row r="15" spans="1:31" ht="22.35" customHeight="1" x14ac:dyDescent="0.25">
      <c r="A15" s="243" t="str">
        <f>+IF(PROVEEDORES[[#This Row],[FECHA DE PAGO]]=PROVEEDORES[[#This Row],[FECHA DE FACTURACIÓN]],"DE CONTADO","CRÉDITO")</f>
        <v>DE CONTADO</v>
      </c>
      <c r="B15" s="38" t="b">
        <f>+IF((PROVEEDORES[[#This Row],[FECHA DE PAGO]]-PROVEEDORES[[#This Row],[FECHA DE FACTURACIÓN]])&gt;PROVEEDORES[[#This Row],[PLAZO Días]],"PAGO VENCIDO")</f>
        <v>0</v>
      </c>
      <c r="C15" s="20">
        <f>+VLOOKUP(PROVEEDORES[[#This Row],[PROVEEDOR]],TERCEROS_INFO[#All],2,FALSE)</f>
        <v>30</v>
      </c>
      <c r="D15" s="25">
        <f>+SUMIFS(PROVEEDORES[Total],PROVEEDORES[PROVEEDOR],PROVEEDORES[[#This Row],[PROVEEDOR]],PROVEEDORES[FECHA DE PAGO],"")</f>
        <v>0</v>
      </c>
      <c r="E15" s="25"/>
      <c r="F15" s="56">
        <f>+VLOOKUP(PROVEEDORES[[#This Row],[PROVEEDOR]],
                       Terceros!$A:$F,
                       5,
                       FALSE)</f>
        <v>0</v>
      </c>
      <c r="G15" s="289">
        <v>45188</v>
      </c>
      <c r="H15" s="26" t="s">
        <v>944</v>
      </c>
      <c r="I15" s="289">
        <v>45188</v>
      </c>
      <c r="J15" s="35" t="s">
        <v>1155</v>
      </c>
      <c r="K15" s="21">
        <v>309000</v>
      </c>
      <c r="L15" s="21"/>
      <c r="M15" s="22">
        <f>(PROVEEDORES[[#This Row],[SUBTOTAL]]-PROVEEDORES[[#This Row],[descuento sobre subtotal]])*VLOOKUP(PROVEEDORES[[#This Row],[PROVEEDOR]],TERCEROS_INFO[#All],3,FALSE)</f>
        <v>0</v>
      </c>
      <c r="N15" s="23"/>
      <c r="O15" s="22">
        <f>+PROVEEDORES[[#This Row],[Descuento sobre subtotal %]]*(PROVEEDORES[[#This Row],[SUBTOTAL]]-PROVEEDORES[[#This Row],[descuento sobre subtotal]])</f>
        <v>0</v>
      </c>
      <c r="P15" s="72">
        <f>+IF(PROVEEDORES[[#This Row],[SUBTOTAL]]&lt;PROVEEDORES[[#This Row],[base retencion]],0,PROVEEDORES[[#This Row],[retención aplicada]])</f>
        <v>0</v>
      </c>
      <c r="Q15" s="22">
        <f>+PROVEEDORES[[#This Row],[Rete Fuente %]]*(PROVEEDORES[[#This Row],[SUBTOTAL]]-PROVEEDORES[[#This Row],[descuento sobre subtotal]])</f>
        <v>0</v>
      </c>
      <c r="R15" s="21">
        <f>+PROVEEDORES[[#This Row],[SUBTOTAL]]+PROVEEDORES[[#This Row],[IVA 19%]]-PROVEEDORES[[#This Row],[descuento sobre subtotal]]-PROVEEDORES[[#This Row],[Descuento sobre subtotal $2]]-PROVEEDORES[[#This Row],[Rete Fuente $]]</f>
        <v>309000</v>
      </c>
      <c r="S1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1">
        <f ca="1">IF(PROVEEDORES[[#This Row],[FECHA DE PAGO]]=0,TODAY()-PROVEEDORES[[#This Row],[FECHA DE FACTURACIÓN]]-PROVEEDORES[[#This Row],[PLAZO Días]],0)</f>
        <v>0</v>
      </c>
      <c r="U15" s="97">
        <f>+VLOOKUP(PROVEEDORES[[#This Row],[PROVEEDOR]],Terceros!$A:$D,4,FALSE)</f>
        <v>0</v>
      </c>
      <c r="V15" s="98">
        <f>+YEAR(PROVEEDORES[[#This Row],[FECHA DE FACTURACIÓN]])</f>
        <v>2023</v>
      </c>
      <c r="W15" s="98">
        <f>+MATCH(PROVEEDORES[[#This Row],[año facturado]],Retenciones!$1:$1,0)</f>
        <v>6</v>
      </c>
      <c r="X15" s="99">
        <f>+VLOOKUP(PROVEEDORES[[#This Row],[ID RETENCION]],Retenciones!$A$1:$O$25,PROVEEDORES[[#This Row],[indicador de columna]],FALSE)</f>
        <v>0</v>
      </c>
      <c r="Y15" s="100">
        <f>+VLOOKUP(PROVEEDORES[[#This Row],[ID RETENCION]],Retenciones!$A$1:$O$25,2,FALSE)</f>
        <v>0</v>
      </c>
      <c r="Z15" s="103" t="b">
        <f>OR(COUNTIF(PROVEEDORES[[#This Row],[PROVEEDOR]],"*"&amp;'Palabra no opera'!$A$2&amp;"*"))</f>
        <v>0</v>
      </c>
    </row>
    <row r="16" spans="1:31" ht="22.35" customHeight="1" x14ac:dyDescent="0.25">
      <c r="A16" s="155" t="str">
        <f>+IF(PROVEEDORES[[#This Row],[FECHA DE PAGO]]=PROVEEDORES[[#This Row],[FECHA DE FACTURACIÓN]],"DE CONTADO","CRÉDITO")</f>
        <v>CRÉDITO</v>
      </c>
      <c r="B16" s="38" t="str">
        <f>+IF((PROVEEDORES[[#This Row],[FECHA DE PAGO]]-PROVEEDORES[[#This Row],[FECHA DE FACTURACIÓN]])&gt;PROVEEDORES[[#This Row],[PLAZO Días]],"PAGO VENCIDO")</f>
        <v>PAGO VENCIDO</v>
      </c>
      <c r="C16" s="20">
        <f>+VLOOKUP(PROVEEDORES[[#This Row],[PROVEEDOR]],TERCEROS_INFO[#All],2,FALSE)</f>
        <v>30</v>
      </c>
      <c r="D16" s="25">
        <f>+SUMIFS(PROVEEDORES[Total],PROVEEDORES[PROVEEDOR],PROVEEDORES[[#This Row],[PROVEEDOR]],PROVEEDORES[FECHA DE PAGO],"")</f>
        <v>1500000</v>
      </c>
      <c r="E16" s="25"/>
      <c r="F16" s="56" t="str">
        <f>+VLOOKUP(PROVEEDORES[[#This Row],[PROVEEDOR]],
                       Terceros!$A:$F,
                       5,
                       FALSE)</f>
        <v/>
      </c>
      <c r="G16" s="289">
        <v>45012</v>
      </c>
      <c r="H16" s="26" t="s">
        <v>273</v>
      </c>
      <c r="I16" s="289">
        <v>44965</v>
      </c>
      <c r="J16" s="35" t="s">
        <v>638</v>
      </c>
      <c r="K16" s="21">
        <v>2260000</v>
      </c>
      <c r="L16" s="21"/>
      <c r="M16" s="22">
        <f>(PROVEEDORES[[#This Row],[SUBTOTAL]]-PROVEEDORES[[#This Row],[descuento sobre subtotal]])*VLOOKUP(PROVEEDORES[[#This Row],[PROVEEDOR]],TERCEROS_INFO[#All],3,FALSE)</f>
        <v>0</v>
      </c>
      <c r="N16" s="23"/>
      <c r="O16" s="22">
        <f>+PROVEEDORES[[#This Row],[Descuento sobre subtotal %]]*(PROVEEDORES[[#This Row],[SUBTOTAL]]-PROVEEDORES[[#This Row],[descuento sobre subtotal]])</f>
        <v>0</v>
      </c>
      <c r="P16" s="72">
        <f>+IF(PROVEEDORES[[#This Row],[SUBTOTAL]]&lt;PROVEEDORES[[#This Row],[base retencion]],0,PROVEEDORES[[#This Row],[retención aplicada]])</f>
        <v>0</v>
      </c>
      <c r="Q16" s="22">
        <f>+PROVEEDORES[[#This Row],[Rete Fuente %]]*(PROVEEDORES[[#This Row],[SUBTOTAL]]-PROVEEDORES[[#This Row],[descuento sobre subtotal]])</f>
        <v>0</v>
      </c>
      <c r="R16" s="21">
        <f>+PROVEEDORES[[#This Row],[SUBTOTAL]]+PROVEEDORES[[#This Row],[IVA 19%]]-PROVEEDORES[[#This Row],[descuento sobre subtotal]]-PROVEEDORES[[#This Row],[Descuento sobre subtotal $2]]-PROVEEDORES[[#This Row],[Rete Fuente $]]</f>
        <v>2260000</v>
      </c>
      <c r="S16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1">
        <f ca="1">IF(PROVEEDORES[[#This Row],[FECHA DE PAGO]]=0,TODAY()-PROVEEDORES[[#This Row],[FECHA DE FACTURACIÓN]]-PROVEEDORES[[#This Row],[PLAZO Días]],0)</f>
        <v>0</v>
      </c>
      <c r="U16" s="97">
        <f>+VLOOKUP(PROVEEDORES[[#This Row],[PROVEEDOR]],Terceros!$A:$D,4,FALSE)</f>
        <v>0</v>
      </c>
      <c r="V16" s="98">
        <f>+YEAR(PROVEEDORES[[#This Row],[FECHA DE FACTURACIÓN]])</f>
        <v>2023</v>
      </c>
      <c r="W16" s="98">
        <f>+MATCH(PROVEEDORES[[#This Row],[año facturado]],Retenciones!$1:$1,0)</f>
        <v>6</v>
      </c>
      <c r="X16" s="99">
        <f>+VLOOKUP(PROVEEDORES[[#This Row],[ID RETENCION]],Retenciones!$A$1:$O$25,PROVEEDORES[[#This Row],[indicador de columna]],FALSE)</f>
        <v>0</v>
      </c>
      <c r="Y16" s="100">
        <f>+VLOOKUP(PROVEEDORES[[#This Row],[ID RETENCION]],Retenciones!$A$1:$O$25,2,FALSE)</f>
        <v>0</v>
      </c>
      <c r="Z16" s="103" t="b">
        <f>OR(COUNTIF(PROVEEDORES[[#This Row],[PROVEEDOR]],"*"&amp;'Palabra no opera'!$A$2&amp;"*"))</f>
        <v>0</v>
      </c>
    </row>
    <row r="17" spans="1:26" ht="22.35" customHeight="1" x14ac:dyDescent="0.25">
      <c r="A17" s="155" t="str">
        <f>+IF(PROVEEDORES[[#This Row],[FECHA DE PAGO]]=PROVEEDORES[[#This Row],[FECHA DE FACTURACIÓN]],"DE CONTADO","CRÉDITO")</f>
        <v>CRÉDITO</v>
      </c>
      <c r="B17" s="38" t="str">
        <f>+IF((PROVEEDORES[[#This Row],[FECHA DE PAGO]]-PROVEEDORES[[#This Row],[FECHA DE FACTURACIÓN]])&gt;PROVEEDORES[[#This Row],[PLAZO Días]],"PAGO VENCIDO")</f>
        <v>PAGO VENCIDO</v>
      </c>
      <c r="C17" s="20">
        <f>+VLOOKUP(PROVEEDORES[[#This Row],[PROVEEDOR]],TERCEROS_INFO[#All],2,FALSE)</f>
        <v>30</v>
      </c>
      <c r="D17" s="25">
        <f>+SUMIFS(PROVEEDORES[Total],PROVEEDORES[PROVEEDOR],PROVEEDORES[[#This Row],[PROVEEDOR]],PROVEEDORES[FECHA DE PAGO],"")</f>
        <v>1500000</v>
      </c>
      <c r="E17" s="25"/>
      <c r="F17" s="56" t="str">
        <f>+VLOOKUP(PROVEEDORES[[#This Row],[PROVEEDOR]],
                       Terceros!$A:$F,
                       5,
                       FALSE)</f>
        <v/>
      </c>
      <c r="G17" s="289">
        <v>45030</v>
      </c>
      <c r="H17" s="26" t="s">
        <v>273</v>
      </c>
      <c r="I17" s="289">
        <v>44978</v>
      </c>
      <c r="J17" s="35" t="s">
        <v>639</v>
      </c>
      <c r="K17" s="21">
        <v>1395000</v>
      </c>
      <c r="L17" s="21"/>
      <c r="M17" s="22">
        <f>(PROVEEDORES[[#This Row],[SUBTOTAL]]-PROVEEDORES[[#This Row],[descuento sobre subtotal]])*VLOOKUP(PROVEEDORES[[#This Row],[PROVEEDOR]],TERCEROS_INFO[#All],3,FALSE)</f>
        <v>0</v>
      </c>
      <c r="N17" s="23"/>
      <c r="O17" s="22">
        <f>+PROVEEDORES[[#This Row],[Descuento sobre subtotal %]]*(PROVEEDORES[[#This Row],[SUBTOTAL]]-PROVEEDORES[[#This Row],[descuento sobre subtotal]])</f>
        <v>0</v>
      </c>
      <c r="P17" s="72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f>+PROVEEDORES[[#This Row],[SUBTOTAL]]+PROVEEDORES[[#This Row],[IVA 19%]]-PROVEEDORES[[#This Row],[descuento sobre subtotal]]-PROVEEDORES[[#This Row],[Descuento sobre subtotal $2]]-PROVEEDORES[[#This Row],[Rete Fuente $]]</f>
        <v>1395000</v>
      </c>
      <c r="S17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1">
        <f ca="1">IF(PROVEEDORES[[#This Row],[FECHA DE PAGO]]=0,TODAY()-PROVEEDORES[[#This Row],[FECHA DE FACTURACIÓN]]-PROVEEDORES[[#This Row],[PLAZO Días]],0)</f>
        <v>0</v>
      </c>
      <c r="U17" s="97">
        <f>+VLOOKUP(PROVEEDORES[[#This Row],[PROVEEDOR]],Terceros!$A:$D,4,FALSE)</f>
        <v>0</v>
      </c>
      <c r="V17" s="98">
        <f>+YEAR(PROVEEDORES[[#This Row],[FECHA DE FACTURACIÓN]])</f>
        <v>2023</v>
      </c>
      <c r="W17" s="98">
        <f>+MATCH(PROVEEDORES[[#This Row],[año facturado]],Retenciones!$1:$1,0)</f>
        <v>6</v>
      </c>
      <c r="X17" s="99">
        <f>+VLOOKUP(PROVEEDORES[[#This Row],[ID RETENCION]],Retenciones!$A$1:$O$25,PROVEEDORES[[#This Row],[indicador de columna]],FALSE)</f>
        <v>0</v>
      </c>
      <c r="Y17" s="100">
        <f>+VLOOKUP(PROVEEDORES[[#This Row],[ID RETENCION]],Retenciones!$A$1:$O$25,2,FALSE)</f>
        <v>0</v>
      </c>
      <c r="Z17" s="103" t="b">
        <f>OR(COUNTIF(PROVEEDORES[[#This Row],[PROVEEDOR]],"*"&amp;'Palabra no opera'!$A$2&amp;"*"))</f>
        <v>0</v>
      </c>
    </row>
    <row r="18" spans="1:26" ht="22.35" customHeight="1" x14ac:dyDescent="0.25">
      <c r="A18" s="65" t="str">
        <f>+IF(PROVEEDORES[[#This Row],[FECHA DE PAGO]]=PROVEEDORES[[#This Row],[FECHA DE FACTURACIÓN]],"DE CONTADO","CRÉDITO")</f>
        <v>CRÉDITO</v>
      </c>
      <c r="B18" s="38" t="str">
        <f>+IF((PROVEEDORES[[#This Row],[FECHA DE PAGO]]-PROVEEDORES[[#This Row],[FECHA DE FACTURACIÓN]])&gt;PROVEEDORES[[#This Row],[PLAZO Días]],"PAGO VENCIDO")</f>
        <v>PAGO VENCIDO</v>
      </c>
      <c r="C18" s="20">
        <f>+VLOOKUP(PROVEEDORES[[#This Row],[PROVEEDOR]],TERCEROS_INFO[#All],2,FALSE)</f>
        <v>30</v>
      </c>
      <c r="D18" s="25">
        <f>+SUMIFS(PROVEEDORES[Total],PROVEEDORES[PROVEEDOR],PROVEEDORES[[#This Row],[PROVEEDOR]],PROVEEDORES[FECHA DE PAGO],"")</f>
        <v>1500000</v>
      </c>
      <c r="E18" s="25"/>
      <c r="F18" s="56" t="str">
        <f>+VLOOKUP(PROVEEDORES[[#This Row],[PROVEEDOR]],
                       Terceros!$A:$F,
                       5,
                       FALSE)</f>
        <v/>
      </c>
      <c r="G18" s="289">
        <v>45049</v>
      </c>
      <c r="H18" s="26" t="s">
        <v>273</v>
      </c>
      <c r="I18" s="289">
        <v>45008</v>
      </c>
      <c r="J18" s="35" t="s">
        <v>701</v>
      </c>
      <c r="K18" s="21">
        <v>4835000</v>
      </c>
      <c r="L18" s="21"/>
      <c r="M18" s="22">
        <f>(PROVEEDORES[[#This Row],[SUBTOTAL]]-PROVEEDORES[[#This Row],[descuento sobre subtotal]])*VLOOKUP(PROVEEDORES[[#This Row],[PROVEEDOR]],TERCEROS_INFO[#All],3,FALSE)</f>
        <v>0</v>
      </c>
      <c r="N18" s="23"/>
      <c r="O18" s="22">
        <f>+PROVEEDORES[[#This Row],[Descuento sobre subtotal %]]*(PROVEEDORES[[#This Row],[SUBTOTAL]]-PROVEEDORES[[#This Row],[descuento sobre subtotal]])</f>
        <v>0</v>
      </c>
      <c r="P18" s="72">
        <f>+IF(PROVEEDORES[[#This Row],[SUBTOTAL]]&lt;PROVEEDORES[[#This Row],[base retencion]],0,PROVEEDORES[[#This Row],[retención aplicada]])</f>
        <v>0</v>
      </c>
      <c r="Q18" s="22">
        <f>+PROVEEDORES[[#This Row],[Rete Fuente %]]*(PROVEEDORES[[#This Row],[SUBTOTAL]]-PROVEEDORES[[#This Row],[descuento sobre subtotal]])</f>
        <v>0</v>
      </c>
      <c r="R18" s="21">
        <f>+PROVEEDORES[[#This Row],[SUBTOTAL]]+PROVEEDORES[[#This Row],[IVA 19%]]-PROVEEDORES[[#This Row],[descuento sobre subtotal]]-PROVEEDORES[[#This Row],[Descuento sobre subtotal $2]]-PROVEEDORES[[#This Row],[Rete Fuente $]]</f>
        <v>4835000</v>
      </c>
      <c r="S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1">
        <f ca="1">IF(PROVEEDORES[[#This Row],[FECHA DE PAGO]]=0,TODAY()-PROVEEDORES[[#This Row],[FECHA DE FACTURACIÓN]]-PROVEEDORES[[#This Row],[PLAZO Días]],0)</f>
        <v>0</v>
      </c>
      <c r="U18" s="97">
        <f>+VLOOKUP(PROVEEDORES[[#This Row],[PROVEEDOR]],Terceros!$A:$D,4,FALSE)</f>
        <v>0</v>
      </c>
      <c r="V18" s="98">
        <f>+YEAR(PROVEEDORES[[#This Row],[FECHA DE FACTURACIÓN]])</f>
        <v>2023</v>
      </c>
      <c r="W18" s="98">
        <f>+MATCH(PROVEEDORES[[#This Row],[año facturado]],Retenciones!$1:$1,0)</f>
        <v>6</v>
      </c>
      <c r="X18" s="99">
        <f>+VLOOKUP(PROVEEDORES[[#This Row],[ID RETENCION]],Retenciones!$A$1:$O$25,PROVEEDORES[[#This Row],[indicador de columna]],FALSE)</f>
        <v>0</v>
      </c>
      <c r="Y18" s="100">
        <f>+VLOOKUP(PROVEEDORES[[#This Row],[ID RETENCION]],Retenciones!$A$1:$O$25,2,FALSE)</f>
        <v>0</v>
      </c>
      <c r="Z18" s="103" t="b">
        <f>OR(COUNTIF(PROVEEDORES[[#This Row],[PROVEEDOR]],"*"&amp;'Palabra no opera'!$A$2&amp;"*"))</f>
        <v>0</v>
      </c>
    </row>
    <row r="19" spans="1:26" ht="22.35" customHeight="1" x14ac:dyDescent="0.25">
      <c r="A19" s="65" t="str">
        <f>+IF(PROVEEDORES[[#This Row],[FECHA DE PAGO]]=PROVEEDORES[[#This Row],[FECHA DE FACTURACIÓN]],"DE CONTADO","CRÉDITO")</f>
        <v>CRÉDITO</v>
      </c>
      <c r="B19" s="38" t="str">
        <f>+IF((PROVEEDORES[[#This Row],[FECHA DE PAGO]]-PROVEEDORES[[#This Row],[FECHA DE FACTURACIÓN]])&gt;PROVEEDORES[[#This Row],[PLAZO Días]],"PAGO VENCIDO")</f>
        <v>PAGO VENCIDO</v>
      </c>
      <c r="C19" s="20">
        <f>+VLOOKUP(PROVEEDORES[[#This Row],[PROVEEDOR]],TERCEROS_INFO[#All],2,FALSE)</f>
        <v>30</v>
      </c>
      <c r="D19" s="25">
        <f>+SUMIFS(PROVEEDORES[Total],PROVEEDORES[PROVEEDOR],PROVEEDORES[[#This Row],[PROVEEDOR]],PROVEEDORES[FECHA DE PAGO],"")</f>
        <v>1500000</v>
      </c>
      <c r="E19" s="25"/>
      <c r="F19" s="56" t="str">
        <f>+VLOOKUP(PROVEEDORES[[#This Row],[PROVEEDOR]],
                       Terceros!$A:$F,
                       5,
                       FALSE)</f>
        <v/>
      </c>
      <c r="G19" s="289">
        <v>45098</v>
      </c>
      <c r="H19" s="26" t="s">
        <v>273</v>
      </c>
      <c r="I19" s="289">
        <v>45051</v>
      </c>
      <c r="J19" s="35" t="s">
        <v>824</v>
      </c>
      <c r="K19" s="21">
        <v>642250</v>
      </c>
      <c r="L19" s="21"/>
      <c r="M19" s="22">
        <f>(PROVEEDORES[[#This Row],[SUBTOTAL]]-PROVEEDORES[[#This Row],[descuento sobre subtotal]])*VLOOKUP(PROVEEDORES[[#This Row],[PROVEEDOR]],TERCEROS_INFO[#All],3,FALSE)</f>
        <v>0</v>
      </c>
      <c r="N19" s="23"/>
      <c r="O19" s="22">
        <f>+PROVEEDORES[[#This Row],[Descuento sobre subtotal %]]*(PROVEEDORES[[#This Row],[SUBTOTAL]]-PROVEEDORES[[#This Row],[descuento sobre subtotal]])</f>
        <v>0</v>
      </c>
      <c r="P19" s="72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f>+PROVEEDORES[[#This Row],[SUBTOTAL]]+PROVEEDORES[[#This Row],[IVA 19%]]-PROVEEDORES[[#This Row],[descuento sobre subtotal]]-PROVEEDORES[[#This Row],[Descuento sobre subtotal $2]]-PROVEEDORES[[#This Row],[Rete Fuente $]]</f>
        <v>642250</v>
      </c>
      <c r="S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1">
        <f ca="1">IF(PROVEEDORES[[#This Row],[FECHA DE PAGO]]=0,TODAY()-PROVEEDORES[[#This Row],[FECHA DE FACTURACIÓN]]-PROVEEDORES[[#This Row],[PLAZO Días]],0)</f>
        <v>0</v>
      </c>
      <c r="U19" s="97">
        <f>+VLOOKUP(PROVEEDORES[[#This Row],[PROVEEDOR]],Terceros!$A:$D,4,FALSE)</f>
        <v>0</v>
      </c>
      <c r="V19" s="98">
        <f>+YEAR(PROVEEDORES[[#This Row],[FECHA DE FACTURACIÓN]])</f>
        <v>2023</v>
      </c>
      <c r="W19" s="98">
        <f>+MATCH(PROVEEDORES[[#This Row],[año facturado]],Retenciones!$1:$1,0)</f>
        <v>6</v>
      </c>
      <c r="X19" s="99">
        <f>+VLOOKUP(PROVEEDORES[[#This Row],[ID RETENCION]],Retenciones!$A$1:$O$25,PROVEEDORES[[#This Row],[indicador de columna]],FALSE)</f>
        <v>0</v>
      </c>
      <c r="Y19" s="100">
        <f>+VLOOKUP(PROVEEDORES[[#This Row],[ID RETENCION]],Retenciones!$A$1:$O$25,2,FALSE)</f>
        <v>0</v>
      </c>
      <c r="Z19" s="103" t="b">
        <f>OR(COUNTIF(PROVEEDORES[[#This Row],[PROVEEDOR]],"*"&amp;'Palabra no opera'!$A$2&amp;"*"))</f>
        <v>0</v>
      </c>
    </row>
    <row r="20" spans="1:26" ht="22.35" customHeight="1" x14ac:dyDescent="0.25">
      <c r="A20" s="65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1500000</v>
      </c>
      <c r="E20" s="25"/>
      <c r="F20" s="56" t="str">
        <f>+VLOOKUP(PROVEEDORES[[#This Row],[PROVEEDOR]],
                       Terceros!$A:$F,
                       5,
                       FALSE)</f>
        <v/>
      </c>
      <c r="G20" s="289">
        <v>45140</v>
      </c>
      <c r="H20" s="26" t="s">
        <v>273</v>
      </c>
      <c r="I20" s="289">
        <v>45062</v>
      </c>
      <c r="J20" s="35" t="s">
        <v>825</v>
      </c>
      <c r="K20" s="21">
        <v>2965000</v>
      </c>
      <c r="L20" s="21"/>
      <c r="M20" s="22">
        <f>(PROVEEDORES[[#This Row],[SUBTOTAL]]-PROVEEDORES[[#This Row],[descuento sobre subtotal]])*VLOOKUP(PROVEEDORES[[#This Row],[PROVEEDOR]],TERCEROS_INFO[#All],3,FALSE)</f>
        <v>0</v>
      </c>
      <c r="N20" s="23"/>
      <c r="O20" s="22">
        <f>+PROVEEDORES[[#This Row],[Descuento sobre subtotal %]]*(PROVEEDORES[[#This Row],[SUBTOTAL]]-PROVEEDORES[[#This Row],[descuento sobre subtotal]])</f>
        <v>0</v>
      </c>
      <c r="P20" s="72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f>+PROVEEDORES[[#This Row],[SUBTOTAL]]+PROVEEDORES[[#This Row],[IVA 19%]]-PROVEEDORES[[#This Row],[descuento sobre subtotal]]-PROVEEDORES[[#This Row],[Descuento sobre subtotal $2]]-PROVEEDORES[[#This Row],[Rete Fuente $]]</f>
        <v>2965000</v>
      </c>
      <c r="S2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1">
        <f ca="1">IF(PROVEEDORES[[#This Row],[FECHA DE PAGO]]=0,TODAY()-PROVEEDORES[[#This Row],[FECHA DE FACTURACIÓN]]-PROVEEDORES[[#This Row],[PLAZO Días]],0)</f>
        <v>0</v>
      </c>
      <c r="U20" s="97">
        <f>+VLOOKUP(PROVEEDORES[[#This Row],[PROVEEDOR]],Terceros!$A:$D,4,FALSE)</f>
        <v>0</v>
      </c>
      <c r="V20" s="98">
        <f>+YEAR(PROVEEDORES[[#This Row],[FECHA DE FACTURACIÓN]])</f>
        <v>2023</v>
      </c>
      <c r="W20" s="98">
        <f>+MATCH(PROVEEDORES[[#This Row],[año facturado]],Retenciones!$1:$1,0)</f>
        <v>6</v>
      </c>
      <c r="X20" s="99">
        <f>+VLOOKUP(PROVEEDORES[[#This Row],[ID RETENCION]],Retenciones!$A$1:$O$25,PROVEEDORES[[#This Row],[indicador de columna]],FALSE)</f>
        <v>0</v>
      </c>
      <c r="Y20" s="100">
        <f>+VLOOKUP(PROVEEDORES[[#This Row],[ID RETENCION]],Retenciones!$A$1:$O$25,2,FALSE)</f>
        <v>0</v>
      </c>
      <c r="Z20" s="103" t="b">
        <f>OR(COUNTIF(PROVEEDORES[[#This Row],[PROVEEDOR]],"*"&amp;'Palabra no opera'!$A$2&amp;"*"))</f>
        <v>0</v>
      </c>
    </row>
    <row r="21" spans="1:26" ht="22.35" customHeight="1" x14ac:dyDescent="0.25">
      <c r="A21" s="198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30</v>
      </c>
      <c r="D21" s="25">
        <f>+SUMIFS(PROVEEDORES[Total],PROVEEDORES[PROVEEDOR],PROVEEDORES[[#This Row],[PROVEEDOR]],PROVEEDORES[FECHA DE PAGO],"")</f>
        <v>1500000</v>
      </c>
      <c r="E21" s="25"/>
      <c r="F21" s="56" t="str">
        <f>+VLOOKUP(PROVEEDORES[[#This Row],[PROVEEDOR]],
                       Terceros!$A:$F,
                       5,
                       FALSE)</f>
        <v/>
      </c>
      <c r="G21" s="289">
        <v>45146</v>
      </c>
      <c r="H21" s="26" t="s">
        <v>273</v>
      </c>
      <c r="I21" s="289">
        <v>45070</v>
      </c>
      <c r="J21" s="35" t="s">
        <v>850</v>
      </c>
      <c r="K21" s="21">
        <v>2777500</v>
      </c>
      <c r="L21" s="21"/>
      <c r="M21" s="22">
        <f>(PROVEEDORES[[#This Row],[SUBTOTAL]]-PROVEEDORES[[#This Row],[descuento sobre subtotal]])*VLOOKUP(PROVEEDORES[[#This Row],[PROVEEDOR]],TERCEROS_INFO[#All],3,FALSE)</f>
        <v>0</v>
      </c>
      <c r="N21" s="23"/>
      <c r="O21" s="22">
        <f>+PROVEEDORES[[#This Row],[Descuento sobre subtotal %]]*(PROVEEDORES[[#This Row],[SUBTOTAL]]-PROVEEDORES[[#This Row],[descuento sobre subtotal]])</f>
        <v>0</v>
      </c>
      <c r="P21" s="72">
        <f>+IF(PROVEEDORES[[#This Row],[SUBTOTAL]]&lt;PROVEEDORES[[#This Row],[base retencion]],0,PROVEEDORES[[#This Row],[retención aplicada]])</f>
        <v>0</v>
      </c>
      <c r="Q21" s="22">
        <f>+PROVEEDORES[[#This Row],[Rete Fuente %]]*(PROVEEDORES[[#This Row],[SUBTOTAL]]-PROVEEDORES[[#This Row],[descuento sobre subtotal]])</f>
        <v>0</v>
      </c>
      <c r="R21" s="21">
        <f>+PROVEEDORES[[#This Row],[SUBTOTAL]]+PROVEEDORES[[#This Row],[IVA 19%]]-PROVEEDORES[[#This Row],[descuento sobre subtotal]]-PROVEEDORES[[#This Row],[Descuento sobre subtotal $2]]-PROVEEDORES[[#This Row],[Rete Fuente $]]</f>
        <v>2777500</v>
      </c>
      <c r="S21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1">
        <f ca="1">IF(PROVEEDORES[[#This Row],[FECHA DE PAGO]]=0,TODAY()-PROVEEDORES[[#This Row],[FECHA DE FACTURACIÓN]]-PROVEEDORES[[#This Row],[PLAZO Días]],0)</f>
        <v>0</v>
      </c>
      <c r="U21" s="97">
        <f>+VLOOKUP(PROVEEDORES[[#This Row],[PROVEEDOR]],Terceros!$A:$D,4,FALSE)</f>
        <v>0</v>
      </c>
      <c r="V21" s="98">
        <f>+YEAR(PROVEEDORES[[#This Row],[FECHA DE FACTURACIÓN]])</f>
        <v>2023</v>
      </c>
      <c r="W21" s="98">
        <f>+MATCH(PROVEEDORES[[#This Row],[año facturado]],Retenciones!$1:$1,0)</f>
        <v>6</v>
      </c>
      <c r="X21" s="99">
        <f>+VLOOKUP(PROVEEDORES[[#This Row],[ID RETENCION]],Retenciones!$A$1:$O$25,PROVEEDORES[[#This Row],[indicador de columna]],FALSE)</f>
        <v>0</v>
      </c>
      <c r="Y21" s="100">
        <f>+VLOOKUP(PROVEEDORES[[#This Row],[ID RETENCION]],Retenciones!$A$1:$O$25,2,FALSE)</f>
        <v>0</v>
      </c>
      <c r="Z21" s="103" t="b">
        <f>OR(COUNTIF(PROVEEDORES[[#This Row],[PROVEEDOR]],"*"&amp;'Palabra no opera'!$A$2&amp;"*"))</f>
        <v>0</v>
      </c>
    </row>
    <row r="22" spans="1:26" ht="22.35" customHeight="1" x14ac:dyDescent="0.25">
      <c r="A22" s="207" t="str">
        <f>+IF(PROVEEDORES[[#This Row],[FECHA DE PAGO]]=PROVEEDORES[[#This Row],[FECHA DE FACTURACIÓN]],"DE CONTADO","CRÉDITO")</f>
        <v>CRÉDITO</v>
      </c>
      <c r="B22" s="38" t="str">
        <f>+IF((PROVEEDORES[[#This Row],[FECHA DE PAGO]]-PROVEEDORES[[#This Row],[FECHA DE FACTURACIÓN]])&gt;PROVEEDORES[[#This Row],[PLAZO Días]],"PAGO VENCIDO")</f>
        <v>PAGO VENCIDO</v>
      </c>
      <c r="C22" s="20">
        <f>+VLOOKUP(PROVEEDORES[[#This Row],[PROVEEDOR]],TERCEROS_INFO[#All],2,FALSE)</f>
        <v>30</v>
      </c>
      <c r="D22" s="25">
        <f>+SUMIFS(PROVEEDORES[Total],PROVEEDORES[PROVEEDOR],PROVEEDORES[[#This Row],[PROVEEDOR]],PROVEEDORES[FECHA DE PAGO],"")</f>
        <v>1500000</v>
      </c>
      <c r="E22" s="25"/>
      <c r="F22" s="56" t="str">
        <f>+VLOOKUP(PROVEEDORES[[#This Row],[PROVEEDOR]],
                       Terceros!$A:$F,
                       5,
                       FALSE)</f>
        <v/>
      </c>
      <c r="G22" s="289">
        <v>45146</v>
      </c>
      <c r="H22" s="26" t="s">
        <v>273</v>
      </c>
      <c r="I22" s="289">
        <v>45070</v>
      </c>
      <c r="J22" s="35" t="s">
        <v>905</v>
      </c>
      <c r="K22" s="21">
        <v>250000</v>
      </c>
      <c r="L22" s="21"/>
      <c r="M22" s="22">
        <f>(PROVEEDORES[[#This Row],[SUBTOTAL]]-PROVEEDORES[[#This Row],[descuento sobre subtotal]])*VLOOKUP(PROVEEDORES[[#This Row],[PROVEEDOR]],TERCEROS_INFO[#All],3,FALSE)</f>
        <v>0</v>
      </c>
      <c r="N22" s="23"/>
      <c r="O22" s="22">
        <f>+PROVEEDORES[[#This Row],[Descuento sobre subtotal %]]*(PROVEEDORES[[#This Row],[SUBTOTAL]]-PROVEEDORES[[#This Row],[descuento sobre subtotal]])</f>
        <v>0</v>
      </c>
      <c r="P22" s="72">
        <f>+IF(PROVEEDORES[[#This Row],[SUBTOTAL]]&lt;PROVEEDORES[[#This Row],[base retencion]],0,PROVEEDORES[[#This Row],[retención aplicada]])</f>
        <v>0</v>
      </c>
      <c r="Q22" s="22">
        <f>+PROVEEDORES[[#This Row],[Rete Fuente %]]*(PROVEEDORES[[#This Row],[SUBTOTAL]]-PROVEEDORES[[#This Row],[descuento sobre subtotal]])</f>
        <v>0</v>
      </c>
      <c r="R22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2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1">
        <f ca="1">IF(PROVEEDORES[[#This Row],[FECHA DE PAGO]]=0,TODAY()-PROVEEDORES[[#This Row],[FECHA DE FACTURACIÓN]]-PROVEEDORES[[#This Row],[PLAZO Días]],0)</f>
        <v>0</v>
      </c>
      <c r="U22" s="97">
        <f>+VLOOKUP(PROVEEDORES[[#This Row],[PROVEEDOR]],Terceros!$A:$D,4,FALSE)</f>
        <v>0</v>
      </c>
      <c r="V22" s="98">
        <f>+YEAR(PROVEEDORES[[#This Row],[FECHA DE FACTURACIÓN]])</f>
        <v>2023</v>
      </c>
      <c r="W22" s="98">
        <f>+MATCH(PROVEEDORES[[#This Row],[año facturado]],Retenciones!$1:$1,0)</f>
        <v>6</v>
      </c>
      <c r="X22" s="99">
        <f>+VLOOKUP(PROVEEDORES[[#This Row],[ID RETENCION]],Retenciones!$A$1:$O$25,PROVEEDORES[[#This Row],[indicador de columna]],FALSE)</f>
        <v>0</v>
      </c>
      <c r="Y22" s="100">
        <f>+VLOOKUP(PROVEEDORES[[#This Row],[ID RETENCION]],Retenciones!$A$1:$O$25,2,FALSE)</f>
        <v>0</v>
      </c>
      <c r="Z22" s="103" t="b">
        <f>OR(COUNTIF(PROVEEDORES[[#This Row],[PROVEEDOR]],"*"&amp;'Palabra no opera'!$A$2&amp;"*"))</f>
        <v>0</v>
      </c>
    </row>
    <row r="23" spans="1:26" ht="22.35" customHeight="1" x14ac:dyDescent="0.25">
      <c r="A23" s="219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30</v>
      </c>
      <c r="D23" s="25">
        <f>+SUMIFS(PROVEEDORES[Total],PROVEEDORES[PROVEEDOR],PROVEEDORES[[#This Row],[PROVEEDOR]],PROVEEDORES[FECHA DE PAGO],"")</f>
        <v>1500000</v>
      </c>
      <c r="E23" s="25"/>
      <c r="F23" s="56" t="str">
        <f>+VLOOKUP(PROVEEDORES[[#This Row],[PROVEEDOR]],
                       Terceros!$A:$F,
                       5,
                       FALSE)</f>
        <v/>
      </c>
      <c r="G23" s="289">
        <v>45217</v>
      </c>
      <c r="H23" s="26" t="s">
        <v>273</v>
      </c>
      <c r="I23" s="289">
        <v>45140</v>
      </c>
      <c r="J23" s="35" t="s">
        <v>991</v>
      </c>
      <c r="K23" s="21">
        <v>3496000</v>
      </c>
      <c r="L23" s="21"/>
      <c r="M23" s="22">
        <f>(PROVEEDORES[[#This Row],[SUBTOTAL]]-PROVEEDORES[[#This Row],[descuento sobre subtotal]])*VLOOKUP(PROVEEDORES[[#This Row],[PROVEEDOR]],TERCEROS_INFO[#All],3,FALSE)</f>
        <v>0</v>
      </c>
      <c r="N23" s="23"/>
      <c r="O23" s="22">
        <f>+PROVEEDORES[[#This Row],[Descuento sobre subtotal %]]*(PROVEEDORES[[#This Row],[SUBTOTAL]]-PROVEEDORES[[#This Row],[descuento sobre subtotal]])</f>
        <v>0</v>
      </c>
      <c r="P23" s="72">
        <f>+IF(PROVEEDORES[[#This Row],[SUBTOTAL]]&lt;PROVEEDORES[[#This Row],[base retencion]],0,PROVEEDORES[[#This Row],[retención aplicada]])</f>
        <v>0</v>
      </c>
      <c r="Q23" s="22">
        <f>+PROVEEDORES[[#This Row],[Rete Fuente %]]*(PROVEEDORES[[#This Row],[SUBTOTAL]]-PROVEEDORES[[#This Row],[descuento sobre subtotal]])</f>
        <v>0</v>
      </c>
      <c r="R23" s="21">
        <f>+PROVEEDORES[[#This Row],[SUBTOTAL]]+PROVEEDORES[[#This Row],[IVA 19%]]-PROVEEDORES[[#This Row],[descuento sobre subtotal]]-PROVEEDORES[[#This Row],[Descuento sobre subtotal $2]]-PROVEEDORES[[#This Row],[Rete Fuente $]]</f>
        <v>3496000</v>
      </c>
      <c r="S23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1">
        <f ca="1">IF(PROVEEDORES[[#This Row],[FECHA DE PAGO]]=0,TODAY()-PROVEEDORES[[#This Row],[FECHA DE FACTURACIÓN]]-PROVEEDORES[[#This Row],[PLAZO Días]],0)</f>
        <v>0</v>
      </c>
      <c r="U23" s="97">
        <f>+VLOOKUP(PROVEEDORES[[#This Row],[PROVEEDOR]],Terceros!$A:$D,4,FALSE)</f>
        <v>0</v>
      </c>
      <c r="V23" s="98">
        <f>+YEAR(PROVEEDORES[[#This Row],[FECHA DE FACTURACIÓN]])</f>
        <v>2023</v>
      </c>
      <c r="W23" s="98">
        <f>+MATCH(PROVEEDORES[[#This Row],[año facturado]],Retenciones!$1:$1,0)</f>
        <v>6</v>
      </c>
      <c r="X23" s="99">
        <f>+VLOOKUP(PROVEEDORES[[#This Row],[ID RETENCION]],Retenciones!$A$1:$O$25,PROVEEDORES[[#This Row],[indicador de columna]],FALSE)</f>
        <v>0</v>
      </c>
      <c r="Y23" s="100">
        <f>+VLOOKUP(PROVEEDORES[[#This Row],[ID RETENCION]],Retenciones!$A$1:$O$25,2,FALSE)</f>
        <v>0</v>
      </c>
      <c r="Z23" s="103" t="b">
        <f>OR(COUNTIF(PROVEEDORES[[#This Row],[PROVEEDOR]],"*"&amp;'Palabra no opera'!$A$2&amp;"*"))</f>
        <v>0</v>
      </c>
    </row>
    <row r="24" spans="1:26" ht="22.35" customHeight="1" x14ac:dyDescent="0.25">
      <c r="A24" s="243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30</v>
      </c>
      <c r="D24" s="25">
        <f>+SUMIFS(PROVEEDORES[Total],PROVEEDORES[PROVEEDOR],PROVEEDORES[[#This Row],[PROVEEDOR]],PROVEEDORES[FECHA DE PAGO],"")</f>
        <v>1500000</v>
      </c>
      <c r="E24" s="25"/>
      <c r="F24" s="56" t="str">
        <f>+VLOOKUP(PROVEEDORES[[#This Row],[PROVEEDOR]],
                       Terceros!$A:$F,
                       5,
                       FALSE)</f>
        <v/>
      </c>
      <c r="G24" s="289">
        <v>45247</v>
      </c>
      <c r="H24" s="26" t="s">
        <v>273</v>
      </c>
      <c r="I24" s="289">
        <v>45180</v>
      </c>
      <c r="J24" s="35" t="s">
        <v>1147</v>
      </c>
      <c r="K24" s="21">
        <v>2720000</v>
      </c>
      <c r="L24" s="21"/>
      <c r="M24" s="22">
        <f>(PROVEEDORES[[#This Row],[SUBTOTAL]]-PROVEEDORES[[#This Row],[descuento sobre subtotal]])*VLOOKUP(PROVEEDORES[[#This Row],[PROVEEDOR]],TERCEROS_INFO[#All],3,FALSE)</f>
        <v>0</v>
      </c>
      <c r="N24" s="23"/>
      <c r="O24" s="22">
        <f>+PROVEEDORES[[#This Row],[Descuento sobre subtotal %]]*(PROVEEDORES[[#This Row],[SUBTOTAL]]-PROVEEDORES[[#This Row],[descuento sobre subtotal]])</f>
        <v>0</v>
      </c>
      <c r="P24" s="72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f>+PROVEEDORES[[#This Row],[SUBTOTAL]]+PROVEEDORES[[#This Row],[IVA 19%]]-PROVEEDORES[[#This Row],[descuento sobre subtotal]]-PROVEEDORES[[#This Row],[Descuento sobre subtotal $2]]-PROVEEDORES[[#This Row],[Rete Fuente $]]</f>
        <v>2720000</v>
      </c>
      <c r="S24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1">
        <f ca="1">IF(PROVEEDORES[[#This Row],[FECHA DE PAGO]]=0,TODAY()-PROVEEDORES[[#This Row],[FECHA DE FACTURACIÓN]]-PROVEEDORES[[#This Row],[PLAZO Días]],0)</f>
        <v>0</v>
      </c>
      <c r="U24" s="97">
        <f>+VLOOKUP(PROVEEDORES[[#This Row],[PROVEEDOR]],Terceros!$A:$D,4,FALSE)</f>
        <v>0</v>
      </c>
      <c r="V24" s="98">
        <f>+YEAR(PROVEEDORES[[#This Row],[FECHA DE FACTURACIÓN]])</f>
        <v>2023</v>
      </c>
      <c r="W24" s="98">
        <f>+MATCH(PROVEEDORES[[#This Row],[año facturado]],Retenciones!$1:$1,0)</f>
        <v>6</v>
      </c>
      <c r="X24" s="99">
        <f>+VLOOKUP(PROVEEDORES[[#This Row],[ID RETENCION]],Retenciones!$A$1:$O$25,PROVEEDORES[[#This Row],[indicador de columna]],FALSE)</f>
        <v>0</v>
      </c>
      <c r="Y24" s="100">
        <f>+VLOOKUP(PROVEEDORES[[#This Row],[ID RETENCION]],Retenciones!$A$1:$O$25,2,FALSE)</f>
        <v>0</v>
      </c>
      <c r="Z24" s="103" t="b">
        <f>OR(COUNTIF(PROVEEDORES[[#This Row],[PROVEEDOR]],"*"&amp;'Palabra no opera'!$A$2&amp;"*"))</f>
        <v>0</v>
      </c>
    </row>
    <row r="25" spans="1:26" ht="22.35" customHeight="1" x14ac:dyDescent="0.25">
      <c r="A25" s="243" t="str">
        <f>+IF(PROVEEDORES[[#This Row],[FECHA DE PAGO]]=PROVEEDORES[[#This Row],[FECHA DE FACTURACIÓN]],"DE CONTADO","CRÉDITO")</f>
        <v>CRÉDITO</v>
      </c>
      <c r="B25" s="38" t="str">
        <f>+IF((PROVEEDORES[[#This Row],[FECHA DE PAGO]]-PROVEEDORES[[#This Row],[FECHA DE FACTURACIÓN]])&gt;PROVEEDORES[[#This Row],[PLAZO Días]],"PAGO VENCIDO")</f>
        <v>PAGO VENCIDO</v>
      </c>
      <c r="C25" s="20">
        <f>+VLOOKUP(PROVEEDORES[[#This Row],[PROVEEDOR]],TERCEROS_INFO[#All],2,FALSE)</f>
        <v>30</v>
      </c>
      <c r="D25" s="25">
        <f>+SUMIFS(PROVEEDORES[Total],PROVEEDORES[PROVEEDOR],PROVEEDORES[[#This Row],[PROVEEDOR]],PROVEEDORES[FECHA DE PAGO],"")</f>
        <v>1500000</v>
      </c>
      <c r="E25" s="25"/>
      <c r="F25" s="56" t="str">
        <f>+VLOOKUP(PROVEEDORES[[#This Row],[PROVEEDOR]],
                       Terceros!$A:$F,
                       5,
                       FALSE)</f>
        <v/>
      </c>
      <c r="G25" s="289">
        <v>45237</v>
      </c>
      <c r="H25" s="26" t="s">
        <v>273</v>
      </c>
      <c r="I25" s="289">
        <v>45187</v>
      </c>
      <c r="J25" s="35" t="s">
        <v>1146</v>
      </c>
      <c r="K25" s="21">
        <v>1242500</v>
      </c>
      <c r="L25" s="21"/>
      <c r="M25" s="22">
        <f>(PROVEEDORES[[#This Row],[SUBTOTAL]]-PROVEEDORES[[#This Row],[descuento sobre subtotal]])*VLOOKUP(PROVEEDORES[[#This Row],[PROVEEDOR]],TERCEROS_INFO[#All],3,FALSE)</f>
        <v>0</v>
      </c>
      <c r="N25" s="23"/>
      <c r="O25" s="22">
        <f>+PROVEEDORES[[#This Row],[Descuento sobre subtotal %]]*(PROVEEDORES[[#This Row],[SUBTOTAL]]-PROVEEDORES[[#This Row],[descuento sobre subtotal]])</f>
        <v>0</v>
      </c>
      <c r="P25" s="72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f>+PROVEEDORES[[#This Row],[SUBTOTAL]]+PROVEEDORES[[#This Row],[IVA 19%]]-PROVEEDORES[[#This Row],[descuento sobre subtotal]]-PROVEEDORES[[#This Row],[Descuento sobre subtotal $2]]-PROVEEDORES[[#This Row],[Rete Fuente $]]</f>
        <v>1242500</v>
      </c>
      <c r="S2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1">
        <f ca="1">IF(PROVEEDORES[[#This Row],[FECHA DE PAGO]]=0,TODAY()-PROVEEDORES[[#This Row],[FECHA DE FACTURACIÓN]]-PROVEEDORES[[#This Row],[PLAZO Días]],0)</f>
        <v>0</v>
      </c>
      <c r="U25" s="97">
        <f>+VLOOKUP(PROVEEDORES[[#This Row],[PROVEEDOR]],Terceros!$A:$D,4,FALSE)</f>
        <v>0</v>
      </c>
      <c r="V25" s="98">
        <f>+YEAR(PROVEEDORES[[#This Row],[FECHA DE FACTURACIÓN]])</f>
        <v>2023</v>
      </c>
      <c r="W25" s="98">
        <f>+MATCH(PROVEEDORES[[#This Row],[año facturado]],Retenciones!$1:$1,0)</f>
        <v>6</v>
      </c>
      <c r="X25" s="99">
        <f>+VLOOKUP(PROVEEDORES[[#This Row],[ID RETENCION]],Retenciones!$A$1:$O$25,PROVEEDORES[[#This Row],[indicador de columna]],FALSE)</f>
        <v>0</v>
      </c>
      <c r="Y25" s="100">
        <f>+VLOOKUP(PROVEEDORES[[#This Row],[ID RETENCION]],Retenciones!$A$1:$O$25,2,FALSE)</f>
        <v>0</v>
      </c>
      <c r="Z25" s="103" t="b">
        <f>OR(COUNTIF(PROVEEDORES[[#This Row],[PROVEEDOR]],"*"&amp;'Palabra no opera'!$A$2&amp;"*"))</f>
        <v>0</v>
      </c>
    </row>
    <row r="26" spans="1:26" ht="22.35" customHeight="1" x14ac:dyDescent="0.25">
      <c r="A26" s="65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30</v>
      </c>
      <c r="D26" s="25">
        <f>+SUMIFS(PROVEEDORES[Total],PROVEEDORES[PROVEEDOR],PROVEEDORES[[#This Row],[PROVEEDOR]],PROVEEDORES[FECHA DE PAGO],"")</f>
        <v>1500000</v>
      </c>
      <c r="E26" s="25"/>
      <c r="F26" s="56" t="str">
        <f>+VLOOKUP(PROVEEDORES[[#This Row],[PROVEEDOR]],
                       Terceros!$A:$F,
                       5,
                       FALSE)</f>
        <v/>
      </c>
      <c r="G26" s="289">
        <v>45257</v>
      </c>
      <c r="H26" s="26" t="s">
        <v>273</v>
      </c>
      <c r="I26" s="289">
        <v>45218</v>
      </c>
      <c r="J26" s="35" t="s">
        <v>1195</v>
      </c>
      <c r="K26" s="21">
        <v>425000</v>
      </c>
      <c r="L26" s="21"/>
      <c r="M26" s="22">
        <f>(PROVEEDORES[[#This Row],[SUBTOTAL]]-PROVEEDORES[[#This Row],[descuento sobre subtotal]])*VLOOKUP(PROVEEDORES[[#This Row],[PROVEEDOR]],TERCEROS_INFO[#All],3,FALSE)</f>
        <v>0</v>
      </c>
      <c r="N26" s="23"/>
      <c r="O26" s="22">
        <f>+PROVEEDORES[[#This Row],[Descuento sobre subtotal %]]*(PROVEEDORES[[#This Row],[SUBTOTAL]]-PROVEEDORES[[#This Row],[descuento sobre subtotal]])</f>
        <v>0</v>
      </c>
      <c r="P26" s="72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f>+PROVEEDORES[[#This Row],[SUBTOTAL]]+PROVEEDORES[[#This Row],[IVA 19%]]-PROVEEDORES[[#This Row],[descuento sobre subtotal]]-PROVEEDORES[[#This Row],[Descuento sobre subtotal $2]]-PROVEEDORES[[#This Row],[Rete Fuente $]]</f>
        <v>425000</v>
      </c>
      <c r="S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1">
        <f ca="1">IF(PROVEEDORES[[#This Row],[FECHA DE PAGO]]=0,TODAY()-PROVEEDORES[[#This Row],[FECHA DE FACTURACIÓN]]-PROVEEDORES[[#This Row],[PLAZO Días]],0)</f>
        <v>0</v>
      </c>
      <c r="U26" s="97">
        <f>+VLOOKUP(PROVEEDORES[[#This Row],[PROVEEDOR]],Terceros!$A:$D,4,FALSE)</f>
        <v>0</v>
      </c>
      <c r="V26" s="98">
        <f>+YEAR(PROVEEDORES[[#This Row],[FECHA DE FACTURACIÓN]])</f>
        <v>2023</v>
      </c>
      <c r="W26" s="98">
        <f>+MATCH(PROVEEDORES[[#This Row],[año facturado]],Retenciones!$1:$1,0)</f>
        <v>6</v>
      </c>
      <c r="X26" s="99">
        <f>+VLOOKUP(PROVEEDORES[[#This Row],[ID RETENCION]],Retenciones!$A$1:$O$25,PROVEEDORES[[#This Row],[indicador de columna]],FALSE)</f>
        <v>0</v>
      </c>
      <c r="Y26" s="100">
        <f>+VLOOKUP(PROVEEDORES[[#This Row],[ID RETENCION]],Retenciones!$A$1:$O$25,2,FALSE)</f>
        <v>0</v>
      </c>
      <c r="Z26" s="103" t="b">
        <f>OR(COUNTIF(PROVEEDORES[[#This Row],[PROVEEDOR]],"*"&amp;'Palabra no opera'!$A$2&amp;"*"))</f>
        <v>0</v>
      </c>
    </row>
    <row r="27" spans="1:26" ht="22.35" customHeight="1" x14ac:dyDescent="0.25">
      <c r="A27" s="65" t="str">
        <f>+IF(PROVEEDORES[[#This Row],[FECHA DE PAGO]]=PROVEEDORES[[#This Row],[FECHA DE FACTURACIÓN]],"DE CONTADO","CRÉDITO")</f>
        <v>CRÉDITO</v>
      </c>
      <c r="B27" s="38" t="str">
        <f>+IF((PROVEEDORES[[#This Row],[FECHA DE PAGO]]-PROVEEDORES[[#This Row],[FECHA DE FACTURACIÓN]])&gt;PROVEEDORES[[#This Row],[PLAZO Días]],"PAGO VENCIDO")</f>
        <v>PAGO VENCIDO</v>
      </c>
      <c r="C27" s="20">
        <f>+VLOOKUP(PROVEEDORES[[#This Row],[PROVEEDOR]],TERCEROS_INFO[#All],2,FALSE)</f>
        <v>30</v>
      </c>
      <c r="D27" s="25">
        <f>+SUMIFS(PROVEEDORES[Total],PROVEEDORES[PROVEEDOR],PROVEEDORES[[#This Row],[PROVEEDOR]],PROVEEDORES[FECHA DE PAGO],"")</f>
        <v>1500000</v>
      </c>
      <c r="E27" s="25"/>
      <c r="F27" s="56" t="str">
        <f>+VLOOKUP(PROVEEDORES[[#This Row],[PROVEEDOR]],
                       Terceros!$A:$F,
                       5,
                       FALSE)</f>
        <v/>
      </c>
      <c r="G27" s="289">
        <v>45282</v>
      </c>
      <c r="H27" s="26" t="s">
        <v>273</v>
      </c>
      <c r="I27" s="289">
        <v>45251</v>
      </c>
      <c r="J27" s="35" t="s">
        <v>1325</v>
      </c>
      <c r="K27" s="21">
        <v>6427500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72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f>+PROVEEDORES[[#This Row],[SUBTOTAL]]+PROVEEDORES[[#This Row],[IVA 19%]]-PROVEEDORES[[#This Row],[descuento sobre subtotal]]-PROVEEDORES[[#This Row],[Descuento sobre subtotal $2]]-PROVEEDORES[[#This Row],[Rete Fuente $]]</f>
        <v>6427500</v>
      </c>
      <c r="S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1">
        <f ca="1">IF(PROVEEDORES[[#This Row],[FECHA DE PAGO]]=0,TODAY()-PROVEEDORES[[#This Row],[FECHA DE FACTURACIÓN]]-PROVEEDORES[[#This Row],[PLAZO Días]],0)</f>
        <v>0</v>
      </c>
      <c r="U27" s="97">
        <f>+VLOOKUP(PROVEEDORES[[#This Row],[PROVEEDOR]],Terceros!$A:$D,4,FALSE)</f>
        <v>0</v>
      </c>
      <c r="V27" s="98">
        <f>+YEAR(PROVEEDORES[[#This Row],[FECHA DE FACTURACIÓN]])</f>
        <v>2023</v>
      </c>
      <c r="W27" s="98">
        <f>+MATCH(PROVEEDORES[[#This Row],[año facturado]],Retenciones!$1:$1,0)</f>
        <v>6</v>
      </c>
      <c r="X27" s="99">
        <f>+VLOOKUP(PROVEEDORES[[#This Row],[ID RETENCION]],Retenciones!$A$1:$O$25,PROVEEDORES[[#This Row],[indicador de columna]],FALSE)</f>
        <v>0</v>
      </c>
      <c r="Y27" s="100">
        <f>+VLOOKUP(PROVEEDORES[[#This Row],[ID RETENCION]],Retenciones!$A$1:$O$25,2,FALSE)</f>
        <v>0</v>
      </c>
      <c r="Z27" s="103" t="b">
        <f>OR(COUNTIF(PROVEEDORES[[#This Row],[PROVEEDOR]],"*"&amp;'Palabra no opera'!$A$2&amp;"*"))</f>
        <v>0</v>
      </c>
    </row>
    <row r="28" spans="1:26" ht="22.35" customHeight="1" x14ac:dyDescent="0.25">
      <c r="A28" s="65" t="str">
        <f>+IF(PROVEEDORES[[#This Row],[FECHA DE PAGO]]=PROVEEDORES[[#This Row],[FECHA DE FACTURACIÓN]],"DE CONTADO","CRÉDITO")</f>
        <v>CRÉDITO</v>
      </c>
      <c r="B28" s="38" t="str">
        <f>+IF((PROVEEDORES[[#This Row],[FECHA DE PAGO]]-PROVEEDORES[[#This Row],[FECHA DE FACTURACIÓN]])&gt;PROVEEDORES[[#This Row],[PLAZO Días]],"PAGO VENCIDO")</f>
        <v>PAGO VENCIDO</v>
      </c>
      <c r="C28" s="20">
        <f>+VLOOKUP(PROVEEDORES[[#This Row],[PROVEEDOR]],TERCEROS_INFO[#All],2,FALSE)</f>
        <v>30</v>
      </c>
      <c r="D28" s="25">
        <f>+SUMIFS(PROVEEDORES[Total],PROVEEDORES[PROVEEDOR],PROVEEDORES[[#This Row],[PROVEEDOR]],PROVEEDORES[FECHA DE PAGO],"")</f>
        <v>1500000</v>
      </c>
      <c r="E28" s="25"/>
      <c r="F28" s="56" t="str">
        <f>+VLOOKUP(PROVEEDORES[[#This Row],[PROVEEDOR]],
                       Terceros!$A:$F,
                       5,
                       FALSE)</f>
        <v/>
      </c>
      <c r="G28" s="289">
        <v>45302</v>
      </c>
      <c r="H28" s="26" t="s">
        <v>273</v>
      </c>
      <c r="I28" s="289">
        <v>45251</v>
      </c>
      <c r="J28" s="35" t="s">
        <v>1325</v>
      </c>
      <c r="K28" s="21">
        <v>600000</v>
      </c>
      <c r="L28" s="21"/>
      <c r="M28" s="22">
        <f>(PROVEEDORES[[#This Row],[SUBTOTAL]]-PROVEEDORES[[#This Row],[descuento sobre subtotal]])*VLOOKUP(PROVEEDORES[[#This Row],[PROVEEDOR]],TERCEROS_INFO[#All],3,FALSE)</f>
        <v>0</v>
      </c>
      <c r="N28" s="23"/>
      <c r="O28" s="22">
        <f>+PROVEEDORES[[#This Row],[Descuento sobre subtotal %]]*(PROVEEDORES[[#This Row],[SUBTOTAL]]-PROVEEDORES[[#This Row],[descuento sobre subtotal]])</f>
        <v>0</v>
      </c>
      <c r="P28" s="72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1">
        <f ca="1">IF(PROVEEDORES[[#This Row],[FECHA DE PAGO]]=0,TODAY()-PROVEEDORES[[#This Row],[FECHA DE FACTURACIÓN]]-PROVEEDORES[[#This Row],[PLAZO Días]],0)</f>
        <v>0</v>
      </c>
      <c r="U28" s="97">
        <f>+VLOOKUP(PROVEEDORES[[#This Row],[PROVEEDOR]],Terceros!$A:$D,4,FALSE)</f>
        <v>0</v>
      </c>
      <c r="V28" s="98">
        <f>+YEAR(PROVEEDORES[[#This Row],[FECHA DE FACTURACIÓN]])</f>
        <v>2023</v>
      </c>
      <c r="W28" s="98">
        <f>+MATCH(PROVEEDORES[[#This Row],[año facturado]],Retenciones!$1:$1,0)</f>
        <v>6</v>
      </c>
      <c r="X28" s="99">
        <f>+VLOOKUP(PROVEEDORES[[#This Row],[ID RETENCION]],Retenciones!$A$1:$O$25,PROVEEDORES[[#This Row],[indicador de columna]],FALSE)</f>
        <v>0</v>
      </c>
      <c r="Y28" s="100">
        <f>+VLOOKUP(PROVEEDORES[[#This Row],[ID RETENCION]],Retenciones!$A$1:$O$25,2,FALSE)</f>
        <v>0</v>
      </c>
      <c r="Z28" s="103" t="b">
        <f>OR(COUNTIF(PROVEEDORES[[#This Row],[PROVEEDOR]],"*"&amp;'Palabra no opera'!$A$2&amp;"*"))</f>
        <v>0</v>
      </c>
    </row>
    <row r="29" spans="1:26" ht="22.35" customHeight="1" x14ac:dyDescent="0.25">
      <c r="A29" s="65" t="str">
        <f>+IF(PROVEEDORES[[#This Row],[FECHA DE PAGO]]=PROVEEDORES[[#This Row],[FECHA DE FACTURACIÓN]],"DE CONTADO","CRÉDITO")</f>
        <v>CRÉDITO</v>
      </c>
      <c r="B29" s="38" t="b">
        <f>+IF((PROVEEDORES[[#This Row],[FECHA DE PAGO]]-PROVEEDORES[[#This Row],[FECHA DE FACTURACIÓN]])&gt;PROVEEDORES[[#This Row],[PLAZO Días]],"PAGO VENCIDO")</f>
        <v>0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1500000</v>
      </c>
      <c r="E29" s="25"/>
      <c r="F29" s="56" t="str">
        <f>+VLOOKUP(PROVEEDORES[[#This Row],[PROVEEDOR]],
                       Terceros!$A:$F,
                       5,
                       FALSE)</f>
        <v/>
      </c>
      <c r="H29" s="26" t="s">
        <v>273</v>
      </c>
      <c r="I29" s="289">
        <v>45282</v>
      </c>
      <c r="J29" s="35" t="s">
        <v>1422</v>
      </c>
      <c r="K29" s="21">
        <v>1500000</v>
      </c>
      <c r="L29" s="21"/>
      <c r="M29" s="22">
        <f>(PROVEEDORES[[#This Row],[SUBTOTAL]]-PROVEEDORES[[#This Row],[descuento sobre subtotal]])*VLOOKUP(PROVEEDORES[[#This Row],[PROVEEDOR]],TERCEROS_INFO[#All],3,FALSE)</f>
        <v>0</v>
      </c>
      <c r="N29" s="23"/>
      <c r="O29" s="22">
        <f>+PROVEEDORES[[#This Row],[Descuento sobre subtotal %]]*(PROVEEDORES[[#This Row],[SUBTOTAL]]-PROVEEDORES[[#This Row],[descuento sobre subtotal]])</f>
        <v>0</v>
      </c>
      <c r="P29" s="72">
        <f>+IF(PROVEEDORES[[#This Row],[SUBTOTAL]]&lt;PROVEEDORES[[#This Row],[base retencion]],0,PROVEEDORES[[#This Row],[retención aplicada]])</f>
        <v>0</v>
      </c>
      <c r="Q29" s="22">
        <f>+PROVEEDORES[[#This Row],[Rete Fuente %]]*(PROVEEDORES[[#This Row],[SUBTOTAL]]-PROVEEDORES[[#This Row],[descuento sobre subtotal]])</f>
        <v>0</v>
      </c>
      <c r="R29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29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9" s="61">
        <f ca="1">IF(PROVEEDORES[[#This Row],[FECHA DE PAGO]]=0,TODAY()-PROVEEDORES[[#This Row],[FECHA DE FACTURACIÓN]]-PROVEEDORES[[#This Row],[PLAZO Días]],0)</f>
        <v>16</v>
      </c>
      <c r="U29" s="97">
        <f>+VLOOKUP(PROVEEDORES[[#This Row],[PROVEEDOR]],Terceros!$A:$D,4,FALSE)</f>
        <v>0</v>
      </c>
      <c r="V29" s="98">
        <f>+YEAR(PROVEEDORES[[#This Row],[FECHA DE FACTURACIÓN]])</f>
        <v>2023</v>
      </c>
      <c r="W29" s="98">
        <f>+MATCH(PROVEEDORES[[#This Row],[año facturado]],Retenciones!$1:$1,0)</f>
        <v>6</v>
      </c>
      <c r="X29" s="99">
        <f>+VLOOKUP(PROVEEDORES[[#This Row],[ID RETENCION]],Retenciones!$A$1:$O$25,PROVEEDORES[[#This Row],[indicador de columna]],FALSE)</f>
        <v>0</v>
      </c>
      <c r="Y29" s="100">
        <f>+VLOOKUP(PROVEEDORES[[#This Row],[ID RETENCION]],Retenciones!$A$1:$O$25,2,FALSE)</f>
        <v>0</v>
      </c>
      <c r="Z29" s="103" t="b">
        <f>OR(COUNTIF(PROVEEDORES[[#This Row],[PROVEEDOR]],"*"&amp;'Palabra no opera'!$A$2&amp;"*"))</f>
        <v>0</v>
      </c>
    </row>
    <row r="30" spans="1:26" ht="22.35" customHeight="1" x14ac:dyDescent="0.25">
      <c r="A30" s="155" t="str">
        <f>+IF(PROVEEDORES[[#This Row],[FECHA DE PAGO]]=PROVEEDORES[[#This Row],[FECHA DE FACTURACIÓN]],"DE CONTADO","CRÉDITO")</f>
        <v>CRÉDITO</v>
      </c>
      <c r="B30" s="38" t="str">
        <f>+IF((PROVEEDORES[[#This Row],[FECHA DE PAGO]]-PROVEEDORES[[#This Row],[FECHA DE FACTURACIÓN]])&gt;PROVEEDORES[[#This Row],[PLAZO Días]],"PAGO VENCIDO")</f>
        <v>PAGO VENCIDO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6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30" s="289">
        <v>45002</v>
      </c>
      <c r="H30" s="26" t="s">
        <v>274</v>
      </c>
      <c r="I30" s="289">
        <v>44964</v>
      </c>
      <c r="J30" s="35" t="s">
        <v>636</v>
      </c>
      <c r="K30" s="21">
        <v>2417600</v>
      </c>
      <c r="L30" s="21"/>
      <c r="M30" s="22">
        <f>(PROVEEDORES[[#This Row],[SUBTOTAL]]-PROVEEDORES[[#This Row],[descuento sobre subtotal]])*VLOOKUP(PROVEEDORES[[#This Row],[PROVEEDOR]],TERCEROS_INFO[#All],3,FALSE)</f>
        <v>0</v>
      </c>
      <c r="N30" s="23">
        <v>0.1</v>
      </c>
      <c r="O30" s="22">
        <f>+PROVEEDORES[[#This Row],[Descuento sobre subtotal %]]*(PROVEEDORES[[#This Row],[SUBTOTAL]]-PROVEEDORES[[#This Row],[descuento sobre subtotal]])</f>
        <v>241760</v>
      </c>
      <c r="P30" s="72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f>+PROVEEDORES[[#This Row],[SUBTOTAL]]+PROVEEDORES[[#This Row],[IVA 19%]]-PROVEEDORES[[#This Row],[descuento sobre subtotal]]-PROVEEDORES[[#This Row],[Descuento sobre subtotal $2]]-PROVEEDORES[[#This Row],[Rete Fuente $]]</f>
        <v>2175840</v>
      </c>
      <c r="S30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1">
        <f ca="1">IF(PROVEEDORES[[#This Row],[FECHA DE PAGO]]=0,TODAY()-PROVEEDORES[[#This Row],[FECHA DE FACTURACIÓN]]-PROVEEDORES[[#This Row],[PLAZO Días]],0)</f>
        <v>0</v>
      </c>
      <c r="U30" s="97">
        <f>+VLOOKUP(PROVEEDORES[[#This Row],[PROVEEDOR]],Terceros!$A:$D,4,FALSE)</f>
        <v>0</v>
      </c>
      <c r="V30" s="98">
        <f>+YEAR(PROVEEDORES[[#This Row],[FECHA DE FACTURACIÓN]])</f>
        <v>2023</v>
      </c>
      <c r="W30" s="98">
        <f>+MATCH(PROVEEDORES[[#This Row],[año facturado]],Retenciones!$1:$1,0)</f>
        <v>6</v>
      </c>
      <c r="X30" s="99">
        <f>+VLOOKUP(PROVEEDORES[[#This Row],[ID RETENCION]],Retenciones!$A$1:$O$25,PROVEEDORES[[#This Row],[indicador de columna]],FALSE)</f>
        <v>0</v>
      </c>
      <c r="Y30" s="100">
        <f>+VLOOKUP(PROVEEDORES[[#This Row],[ID RETENCION]],Retenciones!$A$1:$O$25,2,FALSE)</f>
        <v>0</v>
      </c>
      <c r="Z30" s="103" t="b">
        <f>OR(COUNTIF(PROVEEDORES[[#This Row],[PROVEEDOR]],"*"&amp;'Palabra no opera'!$A$2&amp;"*"))</f>
        <v>0</v>
      </c>
    </row>
    <row r="31" spans="1:26" ht="22.35" customHeight="1" x14ac:dyDescent="0.25">
      <c r="A31" s="65" t="str">
        <f>+IF(PROVEEDORES[[#This Row],[FECHA DE PAGO]]=PROVEEDORES[[#This Row],[FECHA DE FACTURACIÓN]],"DE CONTADO","CRÉDITO")</f>
        <v>CRÉDITO</v>
      </c>
      <c r="B31" s="38" t="b">
        <f>+IF((PROVEEDORES[[#This Row],[FECHA DE PAGO]]-PROVEEDORES[[#This Row],[FECHA DE FACTURACIÓN]])&gt;PROVEEDORES[[#This Row],[PLAZO Días]],"PAGO VENCIDO")</f>
        <v>0</v>
      </c>
      <c r="C31" s="20">
        <f>+VLOOKUP(PROVEEDORES[[#This Row],[PROVEEDOR]],TERCEROS_INFO[#All],2,FALSE)</f>
        <v>30</v>
      </c>
      <c r="D31" s="25">
        <f>+SUMIFS(PROVEEDORES[Total],PROVEEDORES[PROVEEDOR],PROVEEDORES[[#This Row],[PROVEEDOR]],PROVEEDORES[FECHA DE PAGO],"")</f>
        <v>351000</v>
      </c>
      <c r="E31" s="25"/>
      <c r="F31" s="56">
        <f>+VLOOKUP(PROVEEDORES[[#This Row],[PROVEEDOR]],
                       Terceros!$A:$F,
                       5,
                       FALSE)</f>
        <v>0</v>
      </c>
      <c r="G31" s="289">
        <v>45027</v>
      </c>
      <c r="H31" s="26" t="s">
        <v>533</v>
      </c>
      <c r="I31" s="289">
        <v>45002</v>
      </c>
      <c r="J31" s="35">
        <v>420</v>
      </c>
      <c r="K31" s="21">
        <v>468000</v>
      </c>
      <c r="L31" s="21"/>
      <c r="M31" s="22">
        <f>(PROVEEDORES[[#This Row],[SUBTOTAL]]-PROVEEDORES[[#This Row],[descuento sobre subtotal]])*VLOOKUP(PROVEEDORES[[#This Row],[PROVEEDOR]],TERCEROS_INFO[#All],3,FALSE)</f>
        <v>0</v>
      </c>
      <c r="N31" s="23">
        <v>0.19</v>
      </c>
      <c r="O31" s="22">
        <f>+PROVEEDORES[[#This Row],[Descuento sobre subtotal %]]*(PROVEEDORES[[#This Row],[SUBTOTAL]]-PROVEEDORES[[#This Row],[descuento sobre subtotal]])</f>
        <v>88920</v>
      </c>
      <c r="P31" s="72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f>+PROVEEDORES[[#This Row],[SUBTOTAL]]+PROVEEDORES[[#This Row],[IVA 19%]]-PROVEEDORES[[#This Row],[descuento sobre subtotal]]-PROVEEDORES[[#This Row],[Descuento sobre subtotal $2]]-PROVEEDORES[[#This Row],[Rete Fuente $]]</f>
        <v>379080</v>
      </c>
      <c r="S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1">
        <f ca="1">IF(PROVEEDORES[[#This Row],[FECHA DE PAGO]]=0,TODAY()-PROVEEDORES[[#This Row],[FECHA DE FACTURACIÓN]]-PROVEEDORES[[#This Row],[PLAZO Días]],0)</f>
        <v>0</v>
      </c>
      <c r="U31" s="97">
        <f>+VLOOKUP(PROVEEDORES[[#This Row],[PROVEEDOR]],Terceros!$A:$D,4,FALSE)</f>
        <v>0</v>
      </c>
      <c r="V31" s="98">
        <f>+YEAR(PROVEEDORES[[#This Row],[FECHA DE FACTURACIÓN]])</f>
        <v>2023</v>
      </c>
      <c r="W31" s="98">
        <f>+MATCH(PROVEEDORES[[#This Row],[año facturado]],Retenciones!$1:$1,0)</f>
        <v>6</v>
      </c>
      <c r="X31" s="99">
        <f>+VLOOKUP(PROVEEDORES[[#This Row],[ID RETENCION]],Retenciones!$A$1:$O$25,PROVEEDORES[[#This Row],[indicador de columna]],FALSE)</f>
        <v>0</v>
      </c>
      <c r="Y31" s="100">
        <f>+VLOOKUP(PROVEEDORES[[#This Row],[ID RETENCION]],Retenciones!$A$1:$O$25,2,FALSE)</f>
        <v>0</v>
      </c>
      <c r="Z31" s="103" t="b">
        <f>OR(COUNTIF(PROVEEDORES[[#This Row],[PROVEEDOR]],"*"&amp;'Palabra no opera'!$A$2&amp;"*"))</f>
        <v>0</v>
      </c>
    </row>
    <row r="32" spans="1:26" ht="22.35" customHeight="1" x14ac:dyDescent="0.25">
      <c r="A32" s="65" t="str">
        <f>+IF(PROVEEDORES[[#This Row],[FECHA DE PAGO]]=PROVEEDORES[[#This Row],[FECHA DE FACTURACIÓN]],"DE CONTADO","CRÉDITO")</f>
        <v>CRÉDITO</v>
      </c>
      <c r="B32" s="38" t="b">
        <f>+IF((PROVEEDORES[[#This Row],[FECHA DE PAGO]]-PROVEEDORES[[#This Row],[FECHA DE FACTURACIÓN]])&gt;PROVEEDORES[[#This Row],[PLAZO Días]],"PAGO VENCIDO")</f>
        <v>0</v>
      </c>
      <c r="C32" s="20">
        <f>+VLOOKUP(PROVEEDORES[[#This Row],[PROVEEDOR]],TERCEROS_INFO[#All],2,FALSE)</f>
        <v>30</v>
      </c>
      <c r="D32" s="25">
        <f>+SUMIFS(PROVEEDORES[Total],PROVEEDORES[PROVEEDOR],PROVEEDORES[[#This Row],[PROVEEDOR]],PROVEEDORES[FECHA DE PAGO],"")</f>
        <v>351000</v>
      </c>
      <c r="E32" s="25"/>
      <c r="F32" s="56">
        <f>+VLOOKUP(PROVEEDORES[[#This Row],[PROVEEDOR]],
                       Terceros!$A:$F,
                       5,
                       FALSE)</f>
        <v>0</v>
      </c>
      <c r="G32" s="289">
        <v>45027</v>
      </c>
      <c r="H32" s="26" t="s">
        <v>533</v>
      </c>
      <c r="I32" s="289">
        <v>45014</v>
      </c>
      <c r="J32" s="35">
        <v>423</v>
      </c>
      <c r="K32" s="21">
        <v>468000</v>
      </c>
      <c r="L32" s="21"/>
      <c r="M32" s="22">
        <f>(PROVEEDORES[[#This Row],[SUBTOTAL]]-PROVEEDORES[[#This Row],[descuento sobre subtotal]])*VLOOKUP(PROVEEDORES[[#This Row],[PROVEEDOR]],TERCEROS_INFO[#All],3,FALSE)</f>
        <v>0</v>
      </c>
      <c r="N32" s="23">
        <v>0.19</v>
      </c>
      <c r="O32" s="22">
        <f>+PROVEEDORES[[#This Row],[Descuento sobre subtotal %]]*(PROVEEDORES[[#This Row],[SUBTOTAL]]-PROVEEDORES[[#This Row],[descuento sobre subtotal]])</f>
        <v>88920</v>
      </c>
      <c r="P32" s="72">
        <f>+IF(PROVEEDORES[[#This Row],[SUBTOTAL]]&lt;PROVEEDORES[[#This Row],[base retencion]],0,PROVEEDORES[[#This Row],[retención aplicada]])</f>
        <v>0</v>
      </c>
      <c r="Q32" s="22">
        <f>+PROVEEDORES[[#This Row],[Rete Fuente %]]*(PROVEEDORES[[#This Row],[SUBTOTAL]]-PROVEEDORES[[#This Row],[descuento sobre subtotal]])</f>
        <v>0</v>
      </c>
      <c r="R32" s="21">
        <f>+PROVEEDORES[[#This Row],[SUBTOTAL]]+PROVEEDORES[[#This Row],[IVA 19%]]-PROVEEDORES[[#This Row],[descuento sobre subtotal]]-PROVEEDORES[[#This Row],[Descuento sobre subtotal $2]]-PROVEEDORES[[#This Row],[Rete Fuente $]]</f>
        <v>379080</v>
      </c>
      <c r="S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1">
        <f ca="1">IF(PROVEEDORES[[#This Row],[FECHA DE PAGO]]=0,TODAY()-PROVEEDORES[[#This Row],[FECHA DE FACTURACIÓN]]-PROVEEDORES[[#This Row],[PLAZO Días]],0)</f>
        <v>0</v>
      </c>
      <c r="U32" s="97">
        <f>+VLOOKUP(PROVEEDORES[[#This Row],[PROVEEDOR]],Terceros!$A:$D,4,FALSE)</f>
        <v>0</v>
      </c>
      <c r="V32" s="98">
        <f>+YEAR(PROVEEDORES[[#This Row],[FECHA DE FACTURACIÓN]])</f>
        <v>2023</v>
      </c>
      <c r="W32" s="98">
        <f>+MATCH(PROVEEDORES[[#This Row],[año facturado]],Retenciones!$1:$1,0)</f>
        <v>6</v>
      </c>
      <c r="X32" s="99">
        <f>+VLOOKUP(PROVEEDORES[[#This Row],[ID RETENCION]],Retenciones!$A$1:$O$25,PROVEEDORES[[#This Row],[indicador de columna]],FALSE)</f>
        <v>0</v>
      </c>
      <c r="Y32" s="100">
        <f>+VLOOKUP(PROVEEDORES[[#This Row],[ID RETENCION]],Retenciones!$A$1:$O$25,2,FALSE)</f>
        <v>0</v>
      </c>
      <c r="Z32" s="103" t="b">
        <f>OR(COUNTIF(PROVEEDORES[[#This Row],[PROVEEDOR]],"*"&amp;'Palabra no opera'!$A$2&amp;"*"))</f>
        <v>0</v>
      </c>
    </row>
    <row r="33" spans="1:26" ht="22.35" customHeight="1" x14ac:dyDescent="0.25">
      <c r="A33" s="65" t="str">
        <f>+IF(PROVEEDORES[[#This Row],[FECHA DE PAGO]]=PROVEEDORES[[#This Row],[FECHA DE FACTURACIÓN]],"DE CONTADO","CRÉDITO")</f>
        <v>CRÉDITO</v>
      </c>
      <c r="B33" s="38" t="b">
        <f>+IF((PROVEEDORES[[#This Row],[FECHA DE PAGO]]-PROVEEDORES[[#This Row],[FECHA DE FACTURACIÓN]])&gt;PROVEEDORES[[#This Row],[PLAZO Días]],"PAGO VENCIDO")</f>
        <v>0</v>
      </c>
      <c r="C33" s="20">
        <f>+VLOOKUP(PROVEEDORES[[#This Row],[PROVEEDOR]],TERCEROS_INFO[#All],2,FALSE)</f>
        <v>30</v>
      </c>
      <c r="D33" s="25">
        <f>+SUMIFS(PROVEEDORES[Total],PROVEEDORES[PROVEEDOR],PROVEEDORES[[#This Row],[PROVEEDOR]],PROVEEDORES[FECHA DE PAGO],"")</f>
        <v>351000</v>
      </c>
      <c r="E33" s="25"/>
      <c r="F33" s="56">
        <f>+VLOOKUP(PROVEEDORES[[#This Row],[PROVEEDOR]],
                       Terceros!$A:$F,
                       5,
                       FALSE)</f>
        <v>0</v>
      </c>
      <c r="G33" s="289">
        <v>45098</v>
      </c>
      <c r="H33" s="26" t="s">
        <v>533</v>
      </c>
      <c r="I33" s="289">
        <v>45077</v>
      </c>
      <c r="J33" s="35">
        <v>437</v>
      </c>
      <c r="K33" s="21">
        <v>621600</v>
      </c>
      <c r="L33" s="21"/>
      <c r="M33" s="22">
        <f>(PROVEEDORES[[#This Row],[SUBTOTAL]]-PROVEEDORES[[#This Row],[descuento sobre subtotal]])*VLOOKUP(PROVEEDORES[[#This Row],[PROVEEDOR]],TERCEROS_INFO[#All],3,FALSE)</f>
        <v>0</v>
      </c>
      <c r="N33" s="23"/>
      <c r="O33" s="22">
        <v>118104</v>
      </c>
      <c r="P33" s="72">
        <f>+IF(PROVEEDORES[[#This Row],[SUBTOTAL]]&lt;PROVEEDORES[[#This Row],[base retencion]],0,PROVEEDORES[[#This Row],[retención aplicada]])</f>
        <v>0</v>
      </c>
      <c r="Q33" s="22">
        <f>+PROVEEDORES[[#This Row],[Rete Fuente %]]*(PROVEEDORES[[#This Row],[SUBTOTAL]]-PROVEEDORES[[#This Row],[descuento sobre subtotal]])</f>
        <v>0</v>
      </c>
      <c r="R33" s="21">
        <f>+PROVEEDORES[[#This Row],[SUBTOTAL]]+PROVEEDORES[[#This Row],[IVA 19%]]-PROVEEDORES[[#This Row],[descuento sobre subtotal]]-PROVEEDORES[[#This Row],[Descuento sobre subtotal $2]]-PROVEEDORES[[#This Row],[Rete Fuente $]]</f>
        <v>503496</v>
      </c>
      <c r="S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1">
        <f ca="1">IF(PROVEEDORES[[#This Row],[FECHA DE PAGO]]=0,TODAY()-PROVEEDORES[[#This Row],[FECHA DE FACTURACIÓN]]-PROVEEDORES[[#This Row],[PLAZO Días]],0)</f>
        <v>0</v>
      </c>
      <c r="U33" s="97">
        <f>+VLOOKUP(PROVEEDORES[[#This Row],[PROVEEDOR]],Terceros!$A:$D,4,FALSE)</f>
        <v>0</v>
      </c>
      <c r="V33" s="98">
        <f>+YEAR(PROVEEDORES[[#This Row],[FECHA DE FACTURACIÓN]])</f>
        <v>2023</v>
      </c>
      <c r="W33" s="98">
        <f>+MATCH(PROVEEDORES[[#This Row],[año facturado]],Retenciones!$1:$1,0)</f>
        <v>6</v>
      </c>
      <c r="X33" s="99">
        <f>+VLOOKUP(PROVEEDORES[[#This Row],[ID RETENCION]],Retenciones!$A$1:$O$25,PROVEEDORES[[#This Row],[indicador de columna]],FALSE)</f>
        <v>0</v>
      </c>
      <c r="Y33" s="100">
        <f>+VLOOKUP(PROVEEDORES[[#This Row],[ID RETENCION]],Retenciones!$A$1:$O$25,2,FALSE)</f>
        <v>0</v>
      </c>
      <c r="Z33" s="103" t="b">
        <f>OR(COUNTIF(PROVEEDORES[[#This Row],[PROVEEDOR]],"*"&amp;'Palabra no opera'!$A$2&amp;"*"))</f>
        <v>0</v>
      </c>
    </row>
    <row r="34" spans="1:26" ht="22.35" customHeight="1" x14ac:dyDescent="0.25">
      <c r="A34" s="65" t="str">
        <f>+IF(PROVEEDORES[[#This Row],[FECHA DE PAGO]]=PROVEEDORES[[#This Row],[FECHA DE FACTURACIÓN]],"DE CONTADO","CRÉDITO")</f>
        <v>CRÉDITO</v>
      </c>
      <c r="B34" s="38" t="str">
        <f>+IF((PROVEEDORES[[#This Row],[FECHA DE PAGO]]-PROVEEDORES[[#This Row],[FECHA DE FACTURACIÓN]])&gt;PROVEEDORES[[#This Row],[PLAZO Días]],"PAGO VENCIDO")</f>
        <v>PAGO VENCIDO</v>
      </c>
      <c r="C34" s="20">
        <f>+VLOOKUP(PROVEEDORES[[#This Row],[PROVEEDOR]],TERCEROS_INFO[#All],2,FALSE)</f>
        <v>30</v>
      </c>
      <c r="D34" s="25">
        <f>+SUMIFS(PROVEEDORES[Total],PROVEEDORES[PROVEEDOR],PROVEEDORES[[#This Row],[PROVEEDOR]],PROVEEDORES[FECHA DE PAGO],"")</f>
        <v>351000</v>
      </c>
      <c r="E34" s="25"/>
      <c r="F34" s="56">
        <f>+VLOOKUP(PROVEEDORES[[#This Row],[PROVEEDOR]],
                       Terceros!$A:$F,
                       5,
                       FALSE)</f>
        <v>0</v>
      </c>
      <c r="G34" s="289">
        <v>45194</v>
      </c>
      <c r="H34" s="26" t="s">
        <v>533</v>
      </c>
      <c r="I34" s="289">
        <v>45120</v>
      </c>
      <c r="J34" s="35">
        <v>461</v>
      </c>
      <c r="K34" s="21">
        <v>780000</v>
      </c>
      <c r="L34" s="21">
        <v>148200</v>
      </c>
      <c r="M34" s="22">
        <f>(PROVEEDORES[[#This Row],[SUBTOTAL]]-PROVEEDORES[[#This Row],[descuento sobre subtotal]])*VLOOKUP(PROVEEDORES[[#This Row],[PROVEEDOR]],TERCEROS_INFO[#All],3,FALSE)</f>
        <v>0</v>
      </c>
      <c r="N34" s="23"/>
      <c r="O34" s="22">
        <f>+PROVEEDORES[[#This Row],[Descuento sobre subtotal %]]*(PROVEEDORES[[#This Row],[SUBTOTAL]]-PROVEEDORES[[#This Row],[descuento sobre subtotal]])</f>
        <v>0</v>
      </c>
      <c r="P34" s="72">
        <f>+IF(PROVEEDORES[[#This Row],[SUBTOTAL]]&lt;PROVEEDORES[[#This Row],[base retencion]],0,PROVEEDORES[[#This Row],[retención aplicada]])</f>
        <v>0</v>
      </c>
      <c r="Q34" s="22">
        <f>+PROVEEDORES[[#This Row],[Rete Fuente %]]*(PROVEEDORES[[#This Row],[SUBTOTAL]]-PROVEEDORES[[#This Row],[descuento sobre subtotal]])</f>
        <v>0</v>
      </c>
      <c r="R34" s="21">
        <f>+PROVEEDORES[[#This Row],[SUBTOTAL]]+PROVEEDORES[[#This Row],[IVA 19%]]-PROVEEDORES[[#This Row],[descuento sobre subtotal]]-PROVEEDORES[[#This Row],[Descuento sobre subtotal $2]]-PROVEEDORES[[#This Row],[Rete Fuente $]]</f>
        <v>631800</v>
      </c>
      <c r="S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1">
        <f ca="1">IF(PROVEEDORES[[#This Row],[FECHA DE PAGO]]=0,TODAY()-PROVEEDORES[[#This Row],[FECHA DE FACTURACIÓN]]-PROVEEDORES[[#This Row],[PLAZO Días]],0)</f>
        <v>0</v>
      </c>
      <c r="U34" s="97">
        <f>+VLOOKUP(PROVEEDORES[[#This Row],[PROVEEDOR]],Terceros!$A:$D,4,FALSE)</f>
        <v>0</v>
      </c>
      <c r="V34" s="98">
        <f>+YEAR(PROVEEDORES[[#This Row],[FECHA DE FACTURACIÓN]])</f>
        <v>2023</v>
      </c>
      <c r="W34" s="98">
        <f>+MATCH(PROVEEDORES[[#This Row],[año facturado]],Retenciones!$1:$1,0)</f>
        <v>6</v>
      </c>
      <c r="X34" s="99">
        <f>+VLOOKUP(PROVEEDORES[[#This Row],[ID RETENCION]],Retenciones!$A$1:$O$25,PROVEEDORES[[#This Row],[indicador de columna]],FALSE)</f>
        <v>0</v>
      </c>
      <c r="Y34" s="100">
        <f>+VLOOKUP(PROVEEDORES[[#This Row],[ID RETENCION]],Retenciones!$A$1:$O$25,2,FALSE)</f>
        <v>0</v>
      </c>
      <c r="Z34" s="103" t="b">
        <f>OR(COUNTIF(PROVEEDORES[[#This Row],[PROVEEDOR]],"*"&amp;'Palabra no opera'!$A$2&amp;"*"))</f>
        <v>0</v>
      </c>
    </row>
    <row r="35" spans="1:26" ht="22.35" customHeight="1" x14ac:dyDescent="0.25">
      <c r="A35" s="217" t="str">
        <f>+IF(PROVEEDORES[[#This Row],[FECHA DE PAGO]]=PROVEEDORES[[#This Row],[FECHA DE FACTURACIÓN]],"DE CONTADO","CRÉDITO")</f>
        <v>CRÉDITO</v>
      </c>
      <c r="B35" s="38" t="str">
        <f>+IF((PROVEEDORES[[#This Row],[FECHA DE PAGO]]-PROVEEDORES[[#This Row],[FECHA DE FACTURACIÓN]])&gt;PROVEEDORES[[#This Row],[PLAZO Días]],"PAGO VENCIDO")</f>
        <v>PAGO VENCIDO</v>
      </c>
      <c r="C35" s="20">
        <f>+VLOOKUP(PROVEEDORES[[#This Row],[PROVEEDOR]],TERCEROS_INFO[#All],2,FALSE)</f>
        <v>30</v>
      </c>
      <c r="D35" s="25">
        <f>+SUMIFS(PROVEEDORES[Total],PROVEEDORES[PROVEEDOR],PROVEEDORES[[#This Row],[PROVEEDOR]],PROVEEDORES[FECHA DE PAGO],"")</f>
        <v>351000</v>
      </c>
      <c r="E35" s="25"/>
      <c r="F35" s="56">
        <f>+VLOOKUP(PROVEEDORES[[#This Row],[PROVEEDOR]],
                       Terceros!$A:$F,
                       5,
                       FALSE)</f>
        <v>0</v>
      </c>
      <c r="G35" s="289">
        <v>45194</v>
      </c>
      <c r="H35" s="26" t="s">
        <v>533</v>
      </c>
      <c r="I35" s="289">
        <v>45134</v>
      </c>
      <c r="J35" s="35">
        <v>474</v>
      </c>
      <c r="K35" s="21">
        <v>621600</v>
      </c>
      <c r="L35" s="21">
        <v>118104</v>
      </c>
      <c r="M35" s="22">
        <f>(PROVEEDORES[[#This Row],[SUBTOTAL]]-PROVEEDORES[[#This Row],[descuento sobre subtotal]])*VLOOKUP(PROVEEDORES[[#This Row],[PROVEEDOR]],TERCEROS_INFO[#All],3,FALSE)</f>
        <v>0</v>
      </c>
      <c r="N35" s="23"/>
      <c r="O35" s="22">
        <f>+PROVEEDORES[[#This Row],[Descuento sobre subtotal %]]*(PROVEEDORES[[#This Row],[SUBTOTAL]]-PROVEEDORES[[#This Row],[descuento sobre subtotal]])</f>
        <v>0</v>
      </c>
      <c r="P35" s="72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f>+PROVEEDORES[[#This Row],[SUBTOTAL]]+PROVEEDORES[[#This Row],[IVA 19%]]-PROVEEDORES[[#This Row],[descuento sobre subtotal]]-PROVEEDORES[[#This Row],[Descuento sobre subtotal $2]]-PROVEEDORES[[#This Row],[Rete Fuente $]]</f>
        <v>503496</v>
      </c>
      <c r="S35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1">
        <f ca="1">IF(PROVEEDORES[[#This Row],[FECHA DE PAGO]]=0,TODAY()-PROVEEDORES[[#This Row],[FECHA DE FACTURACIÓN]]-PROVEEDORES[[#This Row],[PLAZO Días]],0)</f>
        <v>0</v>
      </c>
      <c r="U35" s="97">
        <f>+VLOOKUP(PROVEEDORES[[#This Row],[PROVEEDOR]],Terceros!$A:$D,4,FALSE)</f>
        <v>0</v>
      </c>
      <c r="V35" s="98">
        <f>+YEAR(PROVEEDORES[[#This Row],[FECHA DE FACTURACIÓN]])</f>
        <v>2023</v>
      </c>
      <c r="W35" s="98">
        <f>+MATCH(PROVEEDORES[[#This Row],[año facturado]],Retenciones!$1:$1,0)</f>
        <v>6</v>
      </c>
      <c r="X35" s="99">
        <f>+VLOOKUP(PROVEEDORES[[#This Row],[ID RETENCION]],Retenciones!$A$1:$O$25,PROVEEDORES[[#This Row],[indicador de columna]],FALSE)</f>
        <v>0</v>
      </c>
      <c r="Y35" s="100">
        <f>+VLOOKUP(PROVEEDORES[[#This Row],[ID RETENCION]],Retenciones!$A$1:$O$25,2,FALSE)</f>
        <v>0</v>
      </c>
      <c r="Z35" s="103" t="b">
        <f>OR(COUNTIF(PROVEEDORES[[#This Row],[PROVEEDOR]],"*"&amp;'Palabra no opera'!$A$2&amp;"*"))</f>
        <v>0</v>
      </c>
    </row>
    <row r="36" spans="1:26" ht="22.35" customHeight="1" x14ac:dyDescent="0.25">
      <c r="A36" s="227" t="str">
        <f>+IF(PROVEEDORES[[#This Row],[FECHA DE PAGO]]=PROVEEDORES[[#This Row],[FECHA DE FACTURACIÓN]],"DE CONTADO","CRÉDITO")</f>
        <v>CRÉDITO</v>
      </c>
      <c r="B36" s="38" t="str">
        <f>+IF((PROVEEDORES[[#This Row],[FECHA DE PAGO]]-PROVEEDORES[[#This Row],[FECHA DE FACTURACIÓN]])&gt;PROVEEDORES[[#This Row],[PLAZO Días]],"PAGO VENCIDO")</f>
        <v>PAGO VENCIDO</v>
      </c>
      <c r="C36" s="20">
        <f>+VLOOKUP(PROVEEDORES[[#This Row],[PROVEEDOR]],TERCEROS_INFO[#All],2,FALSE)</f>
        <v>30</v>
      </c>
      <c r="D36" s="25">
        <f>+SUMIFS(PROVEEDORES[Total],PROVEEDORES[PROVEEDOR],PROVEEDORES[[#This Row],[PROVEEDOR]],PROVEEDORES[FECHA DE PAGO],"")</f>
        <v>351000</v>
      </c>
      <c r="E36" s="25"/>
      <c r="F36" s="56">
        <f>+VLOOKUP(PROVEEDORES[[#This Row],[PROVEEDOR]],
                       Terceros!$A:$F,
                       5,
                       FALSE)</f>
        <v>0</v>
      </c>
      <c r="G36" s="289">
        <v>45194</v>
      </c>
      <c r="H36" s="26" t="s">
        <v>533</v>
      </c>
      <c r="I36" s="289">
        <v>45155</v>
      </c>
      <c r="J36" s="35">
        <v>491</v>
      </c>
      <c r="K36" s="21">
        <v>300000</v>
      </c>
      <c r="L36" s="21"/>
      <c r="M36" s="22">
        <f>(PROVEEDORES[[#This Row],[SUBTOTAL]]-PROVEEDORES[[#This Row],[descuento sobre subtotal]])*VLOOKUP(PROVEEDORES[[#This Row],[PROVEEDOR]],TERCEROS_INFO[#All],3,FALSE)</f>
        <v>0</v>
      </c>
      <c r="N36" s="23"/>
      <c r="O36" s="22">
        <f>+PROVEEDORES[[#This Row],[Descuento sobre subtotal %]]*(PROVEEDORES[[#This Row],[SUBTOTAL]]-PROVEEDORES[[#This Row],[descuento sobre subtotal]])</f>
        <v>0</v>
      </c>
      <c r="P36" s="72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36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1">
        <f ca="1">IF(PROVEEDORES[[#This Row],[FECHA DE PAGO]]=0,TODAY()-PROVEEDORES[[#This Row],[FECHA DE FACTURACIÓN]]-PROVEEDORES[[#This Row],[PLAZO Días]],0)</f>
        <v>0</v>
      </c>
      <c r="U36" s="97">
        <f>+VLOOKUP(PROVEEDORES[[#This Row],[PROVEEDOR]],Terceros!$A:$D,4,FALSE)</f>
        <v>0</v>
      </c>
      <c r="V36" s="98">
        <f>+YEAR(PROVEEDORES[[#This Row],[FECHA DE FACTURACIÓN]])</f>
        <v>2023</v>
      </c>
      <c r="W36" s="98">
        <f>+MATCH(PROVEEDORES[[#This Row],[año facturado]],Retenciones!$1:$1,0)</f>
        <v>6</v>
      </c>
      <c r="X36" s="99">
        <f>+VLOOKUP(PROVEEDORES[[#This Row],[ID RETENCION]],Retenciones!$A$1:$O$25,PROVEEDORES[[#This Row],[indicador de columna]],FALSE)</f>
        <v>0</v>
      </c>
      <c r="Y36" s="100">
        <f>+VLOOKUP(PROVEEDORES[[#This Row],[ID RETENCION]],Retenciones!$A$1:$O$25,2,FALSE)</f>
        <v>0</v>
      </c>
      <c r="Z36" s="103" t="b">
        <f>OR(COUNTIF(PROVEEDORES[[#This Row],[PROVEEDOR]],"*"&amp;'Palabra no opera'!$A$2&amp;"*"))</f>
        <v>0</v>
      </c>
    </row>
    <row r="37" spans="1:26" ht="22.35" customHeight="1" x14ac:dyDescent="0.25">
      <c r="A37" s="151" t="str">
        <f>+IF(PROVEEDORES[[#This Row],[FECHA DE PAGO]]=PROVEEDORES[[#This Row],[FECHA DE FACTURACIÓN]],"DE CONTADO","CRÉDITO")</f>
        <v>CRÉDITO</v>
      </c>
      <c r="B37" s="38" t="str">
        <f>+IF((PROVEEDORES[[#This Row],[FECHA DE PAGO]]-PROVEEDORES[[#This Row],[FECHA DE FACTURACIÓN]])&gt;PROVEEDORES[[#This Row],[PLAZO Días]],"PAGO VENCIDO")</f>
        <v>PAGO VENCIDO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0</v>
      </c>
      <c r="E37" s="25"/>
      <c r="F37" s="56">
        <f>+VLOOKUP(PROVEEDORES[[#This Row],[PROVEEDOR]],
                       Terceros!$A:$F,
                       5,
                       FALSE)</f>
        <v>0</v>
      </c>
      <c r="G37" s="289">
        <v>45017</v>
      </c>
      <c r="H37" s="26" t="s">
        <v>600</v>
      </c>
      <c r="I37" s="289">
        <v>44958</v>
      </c>
      <c r="J37" s="35">
        <v>6657</v>
      </c>
      <c r="K37" s="21">
        <v>1144000</v>
      </c>
      <c r="L37" s="21"/>
      <c r="M37" s="22">
        <f>(PROVEEDORES[[#This Row],[SUBTOTAL]]-PROVEEDORES[[#This Row],[descuento sobre subtotal]])*VLOOKUP(PROVEEDORES[[#This Row],[PROVEEDOR]],TERCEROS_INFO[#All],3,FALSE)</f>
        <v>0</v>
      </c>
      <c r="N37" s="23"/>
      <c r="O37" s="22">
        <f>+PROVEEDORES[[#This Row],[Descuento sobre subtotal %]]*(PROVEEDORES[[#This Row],[SUBTOTAL]]-PROVEEDORES[[#This Row],[descuento sobre subtotal]])</f>
        <v>0</v>
      </c>
      <c r="P37" s="72">
        <f>+IF(PROVEEDORES[[#This Row],[SUBTOTAL]]&lt;PROVEEDORES[[#This Row],[base retencion]],0,PROVEEDORES[[#This Row],[retención aplicada]])</f>
        <v>0</v>
      </c>
      <c r="Q37" s="22">
        <f>+PROVEEDORES[[#This Row],[Rete Fuente %]]*(PROVEEDORES[[#This Row],[SUBTOTAL]]-PROVEEDORES[[#This Row],[descuento sobre subtotal]])</f>
        <v>0</v>
      </c>
      <c r="R37" s="21">
        <f>+PROVEEDORES[[#This Row],[SUBTOTAL]]+PROVEEDORES[[#This Row],[IVA 19%]]-PROVEEDORES[[#This Row],[descuento sobre subtotal]]-PROVEEDORES[[#This Row],[Descuento sobre subtotal $2]]-PROVEEDORES[[#This Row],[Rete Fuente $]]</f>
        <v>1144000</v>
      </c>
      <c r="S37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1">
        <f ca="1">IF(PROVEEDORES[[#This Row],[FECHA DE PAGO]]=0,TODAY()-PROVEEDORES[[#This Row],[FECHA DE FACTURACIÓN]]-PROVEEDORES[[#This Row],[PLAZO Días]],0)</f>
        <v>0</v>
      </c>
      <c r="U37" s="97">
        <f>+VLOOKUP(PROVEEDORES[[#This Row],[PROVEEDOR]],Terceros!$A:$D,4,FALSE)</f>
        <v>0</v>
      </c>
      <c r="V37" s="98">
        <f>+YEAR(PROVEEDORES[[#This Row],[FECHA DE FACTURACIÓN]])</f>
        <v>2023</v>
      </c>
      <c r="W37" s="98">
        <f>+MATCH(PROVEEDORES[[#This Row],[año facturado]],Retenciones!$1:$1,0)</f>
        <v>6</v>
      </c>
      <c r="X37" s="99">
        <f>+VLOOKUP(PROVEEDORES[[#This Row],[ID RETENCION]],Retenciones!$A$1:$O$25,PROVEEDORES[[#This Row],[indicador de columna]],FALSE)</f>
        <v>0</v>
      </c>
      <c r="Y37" s="100">
        <f>+VLOOKUP(PROVEEDORES[[#This Row],[ID RETENCION]],Retenciones!$A$1:$O$25,2,FALSE)</f>
        <v>0</v>
      </c>
      <c r="Z37" s="103" t="b">
        <f>OR(COUNTIF(PROVEEDORES[[#This Row],[PROVEEDOR]],"*"&amp;'Palabra no opera'!$A$2&amp;"*"))</f>
        <v>0</v>
      </c>
    </row>
    <row r="38" spans="1:26" ht="22.35" customHeight="1" x14ac:dyDescent="0.25">
      <c r="A38" s="207" t="str">
        <f>+IF(PROVEEDORES[[#This Row],[FECHA DE PAGO]]=PROVEEDORES[[#This Row],[FECHA DE FACTURACIÓN]],"DE CONTADO","CRÉDITO")</f>
        <v>DE CONTADO</v>
      </c>
      <c r="B38" s="38" t="b">
        <f>+IF((PROVEEDORES[[#This Row],[FECHA DE PAGO]]-PROVEEDORES[[#This Row],[FECHA DE FACTURACIÓN]])&gt;PROVEEDORES[[#This Row],[PLAZO Días]],"PAGO VENCIDO")</f>
        <v>0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0</v>
      </c>
      <c r="E38" s="25"/>
      <c r="F38" s="56" t="str">
        <f>+VLOOKUP(PROVEEDORES[[#This Row],[PROVEEDOR]],
                       Terceros!$A:$F,
                       5,
                       FALSE)</f>
        <v/>
      </c>
      <c r="G38" s="289">
        <v>45094</v>
      </c>
      <c r="H38" s="26" t="s">
        <v>275</v>
      </c>
      <c r="I38" s="289">
        <v>45094</v>
      </c>
      <c r="J38" s="35" t="s">
        <v>914</v>
      </c>
      <c r="K38" s="21">
        <v>820000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72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3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1">
        <f ca="1">IF(PROVEEDORES[[#This Row],[FECHA DE PAGO]]=0,TODAY()-PROVEEDORES[[#This Row],[FECHA DE FACTURACIÓN]]-PROVEEDORES[[#This Row],[PLAZO Días]],0)</f>
        <v>0</v>
      </c>
      <c r="U38" s="97">
        <f>+VLOOKUP(PROVEEDORES[[#This Row],[PROVEEDOR]],Terceros!$A:$D,4,FALSE)</f>
        <v>0</v>
      </c>
      <c r="V38" s="98">
        <f>+YEAR(PROVEEDORES[[#This Row],[FECHA DE FACTURACIÓN]])</f>
        <v>2023</v>
      </c>
      <c r="W38" s="98">
        <f>+MATCH(PROVEEDORES[[#This Row],[año facturado]],Retenciones!$1:$1,0)</f>
        <v>6</v>
      </c>
      <c r="X38" s="99">
        <f>+VLOOKUP(PROVEEDORES[[#This Row],[ID RETENCION]],Retenciones!$A$1:$O$25,PROVEEDORES[[#This Row],[indicador de columna]],FALSE)</f>
        <v>0</v>
      </c>
      <c r="Y38" s="100">
        <f>+VLOOKUP(PROVEEDORES[[#This Row],[ID RETENCION]],Retenciones!$A$1:$O$25,2,FALSE)</f>
        <v>0</v>
      </c>
      <c r="Z38" s="103" t="b">
        <f>OR(COUNTIF(PROVEEDORES[[#This Row],[PROVEEDOR]],"*"&amp;'Palabra no opera'!$A$2&amp;"*"))</f>
        <v>0</v>
      </c>
    </row>
    <row r="39" spans="1:26" ht="22.35" customHeight="1" x14ac:dyDescent="0.25">
      <c r="A39" s="65" t="str">
        <f>+IF(PROVEEDORES[[#This Row],[FECHA DE PAGO]]=PROVEEDORES[[#This Row],[FECHA DE FACTURACIÓN]],"DE CONTADO","CRÉDITO")</f>
        <v>DE CONTADO</v>
      </c>
      <c r="B39" s="38" t="b">
        <f>+IF((PROVEEDORES[[#This Row],[FECHA DE PAGO]]-PROVEEDORES[[#This Row],[FECHA DE FACTURACIÓN]])&gt;PROVEEDORES[[#This Row],[PLAZO Días]],"PAGO VENCIDO")</f>
        <v>0</v>
      </c>
      <c r="C39" s="20">
        <f>+VLOOKUP(PROVEEDORES[[#This Row],[PROVEEDOR]],TERCEROS_INFO[#All],2,FALSE)</f>
        <v>30</v>
      </c>
      <c r="D39" s="25">
        <f>+SUMIFS(PROVEEDORES[Total],PROVEEDORES[PROVEEDOR],PROVEEDORES[[#This Row],[PROVEEDOR]],PROVEEDORES[FECHA DE PAGO],"")</f>
        <v>0</v>
      </c>
      <c r="E39" s="25"/>
      <c r="F39" s="56" t="str">
        <f>+VLOOKUP(PROVEEDORES[[#This Row],[PROVEEDOR]],
                       Terceros!$A:$F,
                       5,
                       FALSE)</f>
        <v/>
      </c>
      <c r="G39" s="289">
        <v>45144</v>
      </c>
      <c r="H39" s="26" t="s">
        <v>275</v>
      </c>
      <c r="I39" s="289">
        <v>45144</v>
      </c>
      <c r="J39" s="35" t="s">
        <v>1011</v>
      </c>
      <c r="K39" s="21">
        <v>680000</v>
      </c>
      <c r="L39" s="21"/>
      <c r="M39" s="22">
        <f>(PROVEEDORES[[#This Row],[SUBTOTAL]]-PROVEEDORES[[#This Row],[descuento sobre subtotal]])*VLOOKUP(PROVEEDORES[[#This Row],[PROVEEDOR]],TERCEROS_INFO[#All],3,FALSE)</f>
        <v>0</v>
      </c>
      <c r="N39" s="23"/>
      <c r="O39" s="22">
        <f>+PROVEEDORES[[#This Row],[Descuento sobre subtotal %]]*(PROVEEDORES[[#This Row],[SUBTOTAL]]-PROVEEDORES[[#This Row],[descuento sobre subtotal]])</f>
        <v>0</v>
      </c>
      <c r="P39" s="72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1">
        <f ca="1">IF(PROVEEDORES[[#This Row],[FECHA DE PAGO]]=0,TODAY()-PROVEEDORES[[#This Row],[FECHA DE FACTURACIÓN]]-PROVEEDORES[[#This Row],[PLAZO Días]],0)</f>
        <v>0</v>
      </c>
      <c r="U39" s="97">
        <f>+VLOOKUP(PROVEEDORES[[#This Row],[PROVEEDOR]],Terceros!$A:$D,4,FALSE)</f>
        <v>0</v>
      </c>
      <c r="V39" s="98">
        <f>+YEAR(PROVEEDORES[[#This Row],[FECHA DE FACTURACIÓN]])</f>
        <v>2023</v>
      </c>
      <c r="W39" s="98">
        <f>+MATCH(PROVEEDORES[[#This Row],[año facturado]],Retenciones!$1:$1,0)</f>
        <v>6</v>
      </c>
      <c r="X39" s="99">
        <f>+VLOOKUP(PROVEEDORES[[#This Row],[ID RETENCION]],Retenciones!$A$1:$O$25,PROVEEDORES[[#This Row],[indicador de columna]],FALSE)</f>
        <v>0</v>
      </c>
      <c r="Y39" s="100">
        <f>+VLOOKUP(PROVEEDORES[[#This Row],[ID RETENCION]],Retenciones!$A$1:$O$25,2,FALSE)</f>
        <v>0</v>
      </c>
      <c r="Z39" s="103" t="b">
        <f>OR(COUNTIF(PROVEEDORES[[#This Row],[PROVEEDOR]],"*"&amp;'Palabra no opera'!$A$2&amp;"*"))</f>
        <v>0</v>
      </c>
    </row>
    <row r="40" spans="1:26" ht="22.35" customHeight="1" x14ac:dyDescent="0.25">
      <c r="A40" s="243" t="str">
        <f>+IF(PROVEEDORES[[#This Row],[FECHA DE PAGO]]=PROVEEDORES[[#This Row],[FECHA DE FACTURACIÓN]],"DE CONTADO","CRÉDITO")</f>
        <v>DE CONTADO</v>
      </c>
      <c r="B40" s="38" t="b">
        <f>+IF((PROVEEDORES[[#This Row],[FECHA DE PAGO]]-PROVEEDORES[[#This Row],[FECHA DE FACTURACIÓN]])&gt;PROVEEDORES[[#This Row],[PLAZO Días]],"PAGO VENCIDO")</f>
        <v>0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0</v>
      </c>
      <c r="E40" s="25"/>
      <c r="F40" s="56" t="str">
        <f>+VLOOKUP(PROVEEDORES[[#This Row],[PROVEEDOR]],
                       Terceros!$A:$F,
                       5,
                       FALSE)</f>
        <v/>
      </c>
      <c r="G40" s="289">
        <v>45195</v>
      </c>
      <c r="H40" s="26" t="s">
        <v>275</v>
      </c>
      <c r="I40" s="289">
        <v>45195</v>
      </c>
      <c r="J40" s="35" t="s">
        <v>1150</v>
      </c>
      <c r="K40" s="21">
        <v>320000</v>
      </c>
      <c r="L40" s="21"/>
      <c r="M40" s="22">
        <f>(PROVEEDORES[[#This Row],[SUBTOTAL]]-PROVEEDORES[[#This Row],[descuento sobre subtotal]])*VLOOKUP(PROVEEDORES[[#This Row],[PROVEEDOR]],TERCEROS_INFO[#All],3,FALSE)</f>
        <v>0</v>
      </c>
      <c r="N40" s="23"/>
      <c r="O40" s="22">
        <f>+PROVEEDORES[[#This Row],[Descuento sobre subtotal %]]*(PROVEEDORES[[#This Row],[SUBTOTAL]]-PROVEEDORES[[#This Row],[descuento sobre subtotal]])</f>
        <v>0</v>
      </c>
      <c r="P40" s="72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40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1">
        <f ca="1">IF(PROVEEDORES[[#This Row],[FECHA DE PAGO]]=0,TODAY()-PROVEEDORES[[#This Row],[FECHA DE FACTURACIÓN]]-PROVEEDORES[[#This Row],[PLAZO Días]],0)</f>
        <v>0</v>
      </c>
      <c r="U40" s="97">
        <f>+VLOOKUP(PROVEEDORES[[#This Row],[PROVEEDOR]],Terceros!$A:$D,4,FALSE)</f>
        <v>0</v>
      </c>
      <c r="V40" s="98">
        <f>+YEAR(PROVEEDORES[[#This Row],[FECHA DE FACTURACIÓN]])</f>
        <v>2023</v>
      </c>
      <c r="W40" s="98">
        <f>+MATCH(PROVEEDORES[[#This Row],[año facturado]],Retenciones!$1:$1,0)</f>
        <v>6</v>
      </c>
      <c r="X40" s="99">
        <f>+VLOOKUP(PROVEEDORES[[#This Row],[ID RETENCION]],Retenciones!$A$1:$O$25,PROVEEDORES[[#This Row],[indicador de columna]],FALSE)</f>
        <v>0</v>
      </c>
      <c r="Y40" s="100">
        <f>+VLOOKUP(PROVEEDORES[[#This Row],[ID RETENCION]],Retenciones!$A$1:$O$25,2,FALSE)</f>
        <v>0</v>
      </c>
      <c r="Z40" s="103" t="b">
        <f>OR(COUNTIF(PROVEEDORES[[#This Row],[PROVEEDOR]],"*"&amp;'Palabra no opera'!$A$2&amp;"*"))</f>
        <v>0</v>
      </c>
    </row>
    <row r="41" spans="1:26" ht="22.35" customHeight="1" x14ac:dyDescent="0.25">
      <c r="A41" s="65" t="str">
        <f>+IF(PROVEEDORES[[#This Row],[FECHA DE PAGO]]=PROVEEDORES[[#This Row],[FECHA DE FACTURACIÓN]],"DE CONTADO","CRÉDITO")</f>
        <v>DE CONTADO</v>
      </c>
      <c r="B41" s="38" t="b">
        <f>+IF((PROVEEDORES[[#This Row],[FECHA DE PAGO]]-PROVEEDORES[[#This Row],[FECHA DE FACTURACIÓN]])&gt;PROVEEDORES[[#This Row],[PLAZO Días]],"PAGO VENCIDO")</f>
        <v>0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6" t="str">
        <f>+VLOOKUP(PROVEEDORES[[#This Row],[PROVEEDOR]],
                       Terceros!$A:$F,
                       5,
                       FALSE)</f>
        <v/>
      </c>
      <c r="G41" s="289">
        <v>44940</v>
      </c>
      <c r="H41" s="26" t="s">
        <v>277</v>
      </c>
      <c r="I41" s="289">
        <v>44940</v>
      </c>
      <c r="J41" s="35" t="s">
        <v>564</v>
      </c>
      <c r="K41" s="21">
        <v>896000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72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896000</v>
      </c>
      <c r="S4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1">
        <f ca="1">IF(PROVEEDORES[[#This Row],[FECHA DE PAGO]]=0,TODAY()-PROVEEDORES[[#This Row],[FECHA DE FACTURACIÓN]]-PROVEEDORES[[#This Row],[PLAZO Días]],0)</f>
        <v>0</v>
      </c>
      <c r="U41" s="97">
        <f>+VLOOKUP(PROVEEDORES[[#This Row],[PROVEEDOR]],Terceros!$A:$D,4,FALSE)</f>
        <v>0</v>
      </c>
      <c r="V41" s="98">
        <f>+YEAR(PROVEEDORES[[#This Row],[FECHA DE FACTURACIÓN]])</f>
        <v>2023</v>
      </c>
      <c r="W41" s="98">
        <f>+MATCH(PROVEEDORES[[#This Row],[año facturado]],Retenciones!$1:$1,0)</f>
        <v>6</v>
      </c>
      <c r="X41" s="99">
        <f>+VLOOKUP(PROVEEDORES[[#This Row],[ID RETENCION]],Retenciones!$A$1:$O$25,PROVEEDORES[[#This Row],[indicador de columna]],FALSE)</f>
        <v>0</v>
      </c>
      <c r="Y41" s="100">
        <f>+VLOOKUP(PROVEEDORES[[#This Row],[ID RETENCION]],Retenciones!$A$1:$O$25,2,FALSE)</f>
        <v>0</v>
      </c>
      <c r="Z41" s="103" t="b">
        <f>OR(COUNTIF(PROVEEDORES[[#This Row],[PROVEEDOR]],"*"&amp;'Palabra no opera'!$A$2&amp;"*"))</f>
        <v>0</v>
      </c>
    </row>
    <row r="42" spans="1:26" ht="22.35" customHeight="1" x14ac:dyDescent="0.25">
      <c r="A42" s="65" t="str">
        <f>+IF(PROVEEDORES[[#This Row],[FECHA DE PAGO]]=PROVEEDORES[[#This Row],[FECHA DE FACTURACIÓN]],"DE CONTADO","CRÉDITO")</f>
        <v>DE CONTADO</v>
      </c>
      <c r="B42" s="38" t="b">
        <f>+IF((PROVEEDORES[[#This Row],[FECHA DE PAGO]]-PROVEEDORES[[#This Row],[FECHA DE FACTURACIÓN]])&gt;PROVEEDORES[[#This Row],[PLAZO Días]],"PAGO VENCIDO")</f>
        <v>0</v>
      </c>
      <c r="C42" s="20">
        <f>+VLOOKUP(PROVEEDORES[[#This Row],[PROVEEDOR]],TERCEROS_INFO[#All],2,FALSE)</f>
        <v>30</v>
      </c>
      <c r="D42" s="25">
        <f>+SUMIFS(PROVEEDORES[Total],PROVEEDORES[PROVEEDOR],PROVEEDORES[[#This Row],[PROVEEDOR]],PROVEEDORES[FECHA DE PAGO],"")</f>
        <v>0</v>
      </c>
      <c r="E42" s="25"/>
      <c r="F42" s="56" t="str">
        <f>+VLOOKUP(PROVEEDORES[[#This Row],[PROVEEDOR]],
                       Terceros!$A:$F,
                       5,
                       FALSE)</f>
        <v/>
      </c>
      <c r="G42" s="289">
        <v>44949</v>
      </c>
      <c r="H42" s="26" t="s">
        <v>277</v>
      </c>
      <c r="I42" s="289">
        <v>44949</v>
      </c>
      <c r="J42" s="35" t="s">
        <v>565</v>
      </c>
      <c r="K42" s="21">
        <v>1883000</v>
      </c>
      <c r="L42" s="21"/>
      <c r="M42" s="22">
        <f>(PROVEEDORES[[#This Row],[SUBTOTAL]]-PROVEEDORES[[#This Row],[descuento sobre subtotal]])*VLOOKUP(PROVEEDORES[[#This Row],[PROVEEDOR]],TERCEROS_INFO[#All],3,FALSE)</f>
        <v>0</v>
      </c>
      <c r="N42" s="23"/>
      <c r="O42" s="22">
        <f>+PROVEEDORES[[#This Row],[Descuento sobre subtotal %]]*(PROVEEDORES[[#This Row],[SUBTOTAL]]-PROVEEDORES[[#This Row],[descuento sobre subtotal]])</f>
        <v>0</v>
      </c>
      <c r="P42" s="72">
        <f>+IF(PROVEEDORES[[#This Row],[SUBTOTAL]]&lt;PROVEEDORES[[#This Row],[base retencion]],0,PROVEEDORES[[#This Row],[retención aplicada]])</f>
        <v>0</v>
      </c>
      <c r="Q42" s="22">
        <f>+PROVEEDORES[[#This Row],[Rete Fuente %]]*(PROVEEDORES[[#This Row],[SUBTOTAL]]-PROVEEDORES[[#This Row],[descuento sobre subtotal]])</f>
        <v>0</v>
      </c>
      <c r="R42" s="21">
        <f>+PROVEEDORES[[#This Row],[SUBTOTAL]]+PROVEEDORES[[#This Row],[IVA 19%]]-PROVEEDORES[[#This Row],[descuento sobre subtotal]]-PROVEEDORES[[#This Row],[Descuento sobre subtotal $2]]-PROVEEDORES[[#This Row],[Rete Fuente $]]</f>
        <v>1883000</v>
      </c>
      <c r="S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1">
        <f ca="1">IF(PROVEEDORES[[#This Row],[FECHA DE PAGO]]=0,TODAY()-PROVEEDORES[[#This Row],[FECHA DE FACTURACIÓN]]-PROVEEDORES[[#This Row],[PLAZO Días]],0)</f>
        <v>0</v>
      </c>
      <c r="U42" s="97">
        <f>+VLOOKUP(PROVEEDORES[[#This Row],[PROVEEDOR]],Terceros!$A:$D,4,FALSE)</f>
        <v>0</v>
      </c>
      <c r="V42" s="98">
        <f>+YEAR(PROVEEDORES[[#This Row],[FECHA DE FACTURACIÓN]])</f>
        <v>2023</v>
      </c>
      <c r="W42" s="98">
        <f>+MATCH(PROVEEDORES[[#This Row],[año facturado]],Retenciones!$1:$1,0)</f>
        <v>6</v>
      </c>
      <c r="X42" s="99">
        <f>+VLOOKUP(PROVEEDORES[[#This Row],[ID RETENCION]],Retenciones!$A$1:$O$25,PROVEEDORES[[#This Row],[indicador de columna]],FALSE)</f>
        <v>0</v>
      </c>
      <c r="Y42" s="100">
        <f>+VLOOKUP(PROVEEDORES[[#This Row],[ID RETENCION]],Retenciones!$A$1:$O$25,2,FALSE)</f>
        <v>0</v>
      </c>
      <c r="Z42" s="103" t="b">
        <f>OR(COUNTIF(PROVEEDORES[[#This Row],[PROVEEDOR]],"*"&amp;'Palabra no opera'!$A$2&amp;"*"))</f>
        <v>0</v>
      </c>
    </row>
    <row r="43" spans="1:26" ht="22.35" customHeight="1" x14ac:dyDescent="0.25">
      <c r="A43" s="65" t="str">
        <f>+IF(PROVEEDORES[[#This Row],[FECHA DE PAGO]]=PROVEEDORES[[#This Row],[FECHA DE FACTURACIÓN]],"DE CONTADO","CRÉDITO")</f>
        <v>DE CONTADO</v>
      </c>
      <c r="B43" s="38" t="b">
        <f>+IF((PROVEEDORES[[#This Row],[FECHA DE PAGO]]-PROVEEDORES[[#This Row],[FECHA DE FACTURACIÓN]])&gt;PROVEEDORES[[#This Row],[PLAZO Días]],"PAGO VENCIDO")</f>
        <v>0</v>
      </c>
      <c r="C43" s="20">
        <f>+VLOOKUP(PROVEEDORES[[#This Row],[PROVEEDOR]],TERCEROS_INFO[#All],2,FALSE)</f>
        <v>30</v>
      </c>
      <c r="D43" s="25">
        <f>+SUMIFS(PROVEEDORES[Total],PROVEEDORES[PROVEEDOR],PROVEEDORES[[#This Row],[PROVEEDOR]],PROVEEDORES[FECHA DE PAGO],"")</f>
        <v>0</v>
      </c>
      <c r="E43" s="25"/>
      <c r="F43" s="56" t="str">
        <f>+VLOOKUP(PROVEEDORES[[#This Row],[PROVEEDOR]],
                       Terceros!$A:$F,
                       5,
                       FALSE)</f>
        <v/>
      </c>
      <c r="G43" s="289">
        <v>44952</v>
      </c>
      <c r="H43" s="26" t="s">
        <v>277</v>
      </c>
      <c r="I43" s="289">
        <v>44952</v>
      </c>
      <c r="J43" s="35" t="s">
        <v>563</v>
      </c>
      <c r="K43" s="21">
        <v>1193000</v>
      </c>
      <c r="L43" s="21"/>
      <c r="M43" s="22">
        <f>(PROVEEDORES[[#This Row],[SUBTOTAL]]-PROVEEDORES[[#This Row],[descuento sobre subtotal]])*VLOOKUP(PROVEEDORES[[#This Row],[PROVEEDOR]],TERCEROS_INFO[#All],3,FALSE)</f>
        <v>0</v>
      </c>
      <c r="N43" s="23"/>
      <c r="O43" s="22">
        <f>+PROVEEDORES[[#This Row],[Descuento sobre subtotal %]]*(PROVEEDORES[[#This Row],[SUBTOTAL]]-PROVEEDORES[[#This Row],[descuento sobre subtotal]])</f>
        <v>0</v>
      </c>
      <c r="P43" s="72">
        <f>+IF(PROVEEDORES[[#This Row],[SUBTOTAL]]&lt;PROVEEDORES[[#This Row],[base retencion]],0,PROVEEDORES[[#This Row],[retención aplicada]])</f>
        <v>0</v>
      </c>
      <c r="Q43" s="22">
        <f>+PROVEEDORES[[#This Row],[Rete Fuente %]]*(PROVEEDORES[[#This Row],[SUBTOTAL]]-PROVEEDORES[[#This Row],[descuento sobre subtotal]])</f>
        <v>0</v>
      </c>
      <c r="R43" s="21">
        <f>+PROVEEDORES[[#This Row],[SUBTOTAL]]+PROVEEDORES[[#This Row],[IVA 19%]]-PROVEEDORES[[#This Row],[descuento sobre subtotal]]-PROVEEDORES[[#This Row],[Descuento sobre subtotal $2]]-PROVEEDORES[[#This Row],[Rete Fuente $]]</f>
        <v>1193000</v>
      </c>
      <c r="S4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1">
        <f ca="1">IF(PROVEEDORES[[#This Row],[FECHA DE PAGO]]=0,TODAY()-PROVEEDORES[[#This Row],[FECHA DE FACTURACIÓN]]-PROVEEDORES[[#This Row],[PLAZO Días]],0)</f>
        <v>0</v>
      </c>
      <c r="U43" s="97">
        <f>+VLOOKUP(PROVEEDORES[[#This Row],[PROVEEDOR]],Terceros!$A:$D,4,FALSE)</f>
        <v>0</v>
      </c>
      <c r="V43" s="98">
        <f>+YEAR(PROVEEDORES[[#This Row],[FECHA DE FACTURACIÓN]])</f>
        <v>2023</v>
      </c>
      <c r="W43" s="98">
        <f>+MATCH(PROVEEDORES[[#This Row],[año facturado]],Retenciones!$1:$1,0)</f>
        <v>6</v>
      </c>
      <c r="X43" s="99">
        <f>+VLOOKUP(PROVEEDORES[[#This Row],[ID RETENCION]],Retenciones!$A$1:$O$25,PROVEEDORES[[#This Row],[indicador de columna]],FALSE)</f>
        <v>0</v>
      </c>
      <c r="Y43" s="100">
        <f>+VLOOKUP(PROVEEDORES[[#This Row],[ID RETENCION]],Retenciones!$A$1:$O$25,2,FALSE)</f>
        <v>0</v>
      </c>
      <c r="Z43" s="103" t="b">
        <f>OR(COUNTIF(PROVEEDORES[[#This Row],[PROVEEDOR]],"*"&amp;'Palabra no opera'!$A$2&amp;"*"))</f>
        <v>0</v>
      </c>
    </row>
    <row r="44" spans="1:26" ht="22.35" customHeight="1" x14ac:dyDescent="0.25">
      <c r="A44" s="151" t="str">
        <f>+IF(PROVEEDORES[[#This Row],[FECHA DE PAGO]]=PROVEEDORES[[#This Row],[FECHA DE FACTURACIÓN]],"DE CONTADO","CRÉDITO")</f>
        <v>CRÉDITO</v>
      </c>
      <c r="B44" s="38" t="b">
        <f>+IF((PROVEEDORES[[#This Row],[FECHA DE PAGO]]-PROVEEDORES[[#This Row],[FECHA DE FACTURACIÓN]])&gt;PROVEEDORES[[#This Row],[PLAZO Días]],"PAGO VENCIDO")</f>
        <v>0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6" t="str">
        <f>+VLOOKUP(PROVEEDORES[[#This Row],[PROVEEDOR]],
                       Terceros!$A:$F,
                       5,
                       FALSE)</f>
        <v/>
      </c>
      <c r="G44" s="289">
        <v>44960</v>
      </c>
      <c r="H44" s="26" t="s">
        <v>277</v>
      </c>
      <c r="I44" s="289">
        <v>44959</v>
      </c>
      <c r="J44" s="35">
        <v>2785</v>
      </c>
      <c r="K44" s="21">
        <v>1814000</v>
      </c>
      <c r="L44" s="21"/>
      <c r="M44" s="22">
        <f>(PROVEEDORES[[#This Row],[SUBTOTAL]]-PROVEEDORES[[#This Row],[descuento sobre subtotal]])*VLOOKUP(PROVEEDORES[[#This Row],[PROVEEDOR]],TERCEROS_INFO[#All],3,FALSE)</f>
        <v>0</v>
      </c>
      <c r="N44" s="23"/>
      <c r="O44" s="22">
        <f>+PROVEEDORES[[#This Row],[Descuento sobre subtotal %]]*(PROVEEDORES[[#This Row],[SUBTOTAL]]-PROVEEDORES[[#This Row],[descuento sobre subtotal]])</f>
        <v>0</v>
      </c>
      <c r="P44" s="72">
        <f>+IF(PROVEEDORES[[#This Row],[SUBTOTAL]]&lt;PROVEEDORES[[#This Row],[base retencion]],0,PROVEEDORES[[#This Row],[retención aplicada]])</f>
        <v>0</v>
      </c>
      <c r="Q44" s="22">
        <f>+PROVEEDORES[[#This Row],[Rete Fuente %]]*(PROVEEDORES[[#This Row],[SUBTOTAL]]-PROVEEDORES[[#This Row],[descuento sobre subtotal]])</f>
        <v>0</v>
      </c>
      <c r="R44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44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1">
        <f ca="1">IF(PROVEEDORES[[#This Row],[FECHA DE PAGO]]=0,TODAY()-PROVEEDORES[[#This Row],[FECHA DE FACTURACIÓN]]-PROVEEDORES[[#This Row],[PLAZO Días]],0)</f>
        <v>0</v>
      </c>
      <c r="U44" s="97">
        <f>+VLOOKUP(PROVEEDORES[[#This Row],[PROVEEDOR]],Terceros!$A:$D,4,FALSE)</f>
        <v>0</v>
      </c>
      <c r="V44" s="98">
        <f>+YEAR(PROVEEDORES[[#This Row],[FECHA DE FACTURACIÓN]])</f>
        <v>2023</v>
      </c>
      <c r="W44" s="98">
        <f>+MATCH(PROVEEDORES[[#This Row],[año facturado]],Retenciones!$1:$1,0)</f>
        <v>6</v>
      </c>
      <c r="X44" s="99">
        <f>+VLOOKUP(PROVEEDORES[[#This Row],[ID RETENCION]],Retenciones!$A$1:$O$25,PROVEEDORES[[#This Row],[indicador de columna]],FALSE)</f>
        <v>0</v>
      </c>
      <c r="Y44" s="100">
        <f>+VLOOKUP(PROVEEDORES[[#This Row],[ID RETENCION]],Retenciones!$A$1:$O$25,2,FALSE)</f>
        <v>0</v>
      </c>
      <c r="Z44" s="103" t="b">
        <f>OR(COUNTIF(PROVEEDORES[[#This Row],[PROVEEDOR]],"*"&amp;'Palabra no opera'!$A$2&amp;"*"))</f>
        <v>0</v>
      </c>
    </row>
    <row r="45" spans="1:26" ht="22.35" customHeight="1" x14ac:dyDescent="0.25">
      <c r="A45" s="151" t="str">
        <f>+IF(PROVEEDORES[[#This Row],[FECHA DE PAGO]]=PROVEEDORES[[#This Row],[FECHA DE FACTURACIÓN]],"DE CONTADO","CRÉDITO")</f>
        <v>CRÉDITO</v>
      </c>
      <c r="B45" s="38" t="b">
        <f>+IF((PROVEEDORES[[#This Row],[FECHA DE PAGO]]-PROVEEDORES[[#This Row],[FECHA DE FACTURACIÓN]])&gt;PROVEEDORES[[#This Row],[PLAZO Días]],"PAGO VENCIDO")</f>
        <v>0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0</v>
      </c>
      <c r="E45" s="25"/>
      <c r="F45" s="56" t="str">
        <f>+VLOOKUP(PROVEEDORES[[#This Row],[PROVEEDOR]],
                       Terceros!$A:$F,
                       5,
                       FALSE)</f>
        <v/>
      </c>
      <c r="G45" s="289">
        <v>44964</v>
      </c>
      <c r="H45" s="26" t="s">
        <v>277</v>
      </c>
      <c r="I45" s="289">
        <v>44963</v>
      </c>
      <c r="J45" s="35">
        <v>2791</v>
      </c>
      <c r="K45" s="21">
        <v>2470000</v>
      </c>
      <c r="L45" s="21"/>
      <c r="M45" s="22">
        <f>(PROVEEDORES[[#This Row],[SUBTOTAL]]-PROVEEDORES[[#This Row],[descuento sobre subtotal]])*VLOOKUP(PROVEEDORES[[#This Row],[PROVEEDOR]],TERCEROS_INFO[#All],3,FALSE)</f>
        <v>0</v>
      </c>
      <c r="N45" s="23"/>
      <c r="O45" s="22">
        <f>+PROVEEDORES[[#This Row],[Descuento sobre subtotal %]]*(PROVEEDORES[[#This Row],[SUBTOTAL]]-PROVEEDORES[[#This Row],[descuento sobre subtotal]])</f>
        <v>0</v>
      </c>
      <c r="P45" s="72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f>+PROVEEDORES[[#This Row],[SUBTOTAL]]+PROVEEDORES[[#This Row],[IVA 19%]]-PROVEEDORES[[#This Row],[descuento sobre subtotal]]-PROVEEDORES[[#This Row],[Descuento sobre subtotal $2]]-PROVEEDORES[[#This Row],[Rete Fuente $]]</f>
        <v>2470000</v>
      </c>
      <c r="S45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1">
        <f ca="1">IF(PROVEEDORES[[#This Row],[FECHA DE PAGO]]=0,TODAY()-PROVEEDORES[[#This Row],[FECHA DE FACTURACIÓN]]-PROVEEDORES[[#This Row],[PLAZO Días]],0)</f>
        <v>0</v>
      </c>
      <c r="U45" s="97">
        <f>+VLOOKUP(PROVEEDORES[[#This Row],[PROVEEDOR]],Terceros!$A:$D,4,FALSE)</f>
        <v>0</v>
      </c>
      <c r="V45" s="98">
        <f>+YEAR(PROVEEDORES[[#This Row],[FECHA DE FACTURACIÓN]])</f>
        <v>2023</v>
      </c>
      <c r="W45" s="98">
        <f>+MATCH(PROVEEDORES[[#This Row],[año facturado]],Retenciones!$1:$1,0)</f>
        <v>6</v>
      </c>
      <c r="X45" s="99">
        <f>+VLOOKUP(PROVEEDORES[[#This Row],[ID RETENCION]],Retenciones!$A$1:$O$25,PROVEEDORES[[#This Row],[indicador de columna]],FALSE)</f>
        <v>0</v>
      </c>
      <c r="Y45" s="100">
        <f>+VLOOKUP(PROVEEDORES[[#This Row],[ID RETENCION]],Retenciones!$A$1:$O$25,2,FALSE)</f>
        <v>0</v>
      </c>
      <c r="Z45" s="103" t="b">
        <f>OR(COUNTIF(PROVEEDORES[[#This Row],[PROVEEDOR]],"*"&amp;'Palabra no opera'!$A$2&amp;"*"))</f>
        <v>0</v>
      </c>
    </row>
    <row r="46" spans="1:26" ht="22.35" customHeight="1" x14ac:dyDescent="0.25">
      <c r="A46" s="155" t="str">
        <f>+IF(PROVEEDORES[[#This Row],[FECHA DE PAGO]]=PROVEEDORES[[#This Row],[FECHA DE FACTURACIÓN]],"DE CONTADO","CRÉDITO")</f>
        <v>CRÉDITO</v>
      </c>
      <c r="B46" s="38" t="b">
        <f>+IF((PROVEEDORES[[#This Row],[FECHA DE PAGO]]-PROVEEDORES[[#This Row],[FECHA DE FACTURACIÓN]])&gt;PROVEEDORES[[#This Row],[PLAZO Días]],"PAGO VENCIDO")</f>
        <v>0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0</v>
      </c>
      <c r="E46" s="25"/>
      <c r="F46" s="56" t="str">
        <f>+VLOOKUP(PROVEEDORES[[#This Row],[PROVEEDOR]],
                       Terceros!$A:$F,
                       5,
                       FALSE)</f>
        <v/>
      </c>
      <c r="G46" s="289">
        <v>44966</v>
      </c>
      <c r="H46" s="26" t="s">
        <v>277</v>
      </c>
      <c r="I46" s="289">
        <v>44965</v>
      </c>
      <c r="J46" s="35" t="s">
        <v>637</v>
      </c>
      <c r="K46" s="21">
        <v>2710000</v>
      </c>
      <c r="L46" s="21"/>
      <c r="M46" s="22">
        <f>(PROVEEDORES[[#This Row],[SUBTOTAL]]-PROVEEDORES[[#This Row],[descuento sobre subtotal]])*VLOOKUP(PROVEEDORES[[#This Row],[PROVEEDOR]],TERCEROS_INFO[#All],3,FALSE)</f>
        <v>0</v>
      </c>
      <c r="N46" s="23"/>
      <c r="O46" s="22">
        <f>+PROVEEDORES[[#This Row],[Descuento sobre subtotal %]]*(PROVEEDORES[[#This Row],[SUBTOTAL]]-PROVEEDORES[[#This Row],[descuento sobre subtotal]])</f>
        <v>0</v>
      </c>
      <c r="P46" s="72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f>+PROVEEDORES[[#This Row],[SUBTOTAL]]+PROVEEDORES[[#This Row],[IVA 19%]]-PROVEEDORES[[#This Row],[descuento sobre subtotal]]-PROVEEDORES[[#This Row],[Descuento sobre subtotal $2]]-PROVEEDORES[[#This Row],[Rete Fuente $]]</f>
        <v>2710000</v>
      </c>
      <c r="S46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1">
        <f ca="1">IF(PROVEEDORES[[#This Row],[FECHA DE PAGO]]=0,TODAY()-PROVEEDORES[[#This Row],[FECHA DE FACTURACIÓN]]-PROVEEDORES[[#This Row],[PLAZO Días]],0)</f>
        <v>0</v>
      </c>
      <c r="U46" s="97">
        <f>+VLOOKUP(PROVEEDORES[[#This Row],[PROVEEDOR]],Terceros!$A:$D,4,FALSE)</f>
        <v>0</v>
      </c>
      <c r="V46" s="98">
        <f>+YEAR(PROVEEDORES[[#This Row],[FECHA DE FACTURACIÓN]])</f>
        <v>2023</v>
      </c>
      <c r="W46" s="98">
        <f>+MATCH(PROVEEDORES[[#This Row],[año facturado]],Retenciones!$1:$1,0)</f>
        <v>6</v>
      </c>
      <c r="X46" s="99">
        <f>+VLOOKUP(PROVEEDORES[[#This Row],[ID RETENCION]],Retenciones!$A$1:$O$25,PROVEEDORES[[#This Row],[indicador de columna]],FALSE)</f>
        <v>0</v>
      </c>
      <c r="Y46" s="100">
        <f>+VLOOKUP(PROVEEDORES[[#This Row],[ID RETENCION]],Retenciones!$A$1:$O$25,2,FALSE)</f>
        <v>0</v>
      </c>
      <c r="Z46" s="103" t="b">
        <f>OR(COUNTIF(PROVEEDORES[[#This Row],[PROVEEDOR]],"*"&amp;'Palabra no opera'!$A$2&amp;"*"))</f>
        <v>0</v>
      </c>
    </row>
    <row r="47" spans="1:26" ht="22.35" customHeight="1" x14ac:dyDescent="0.25">
      <c r="A47" s="65" t="str">
        <f>+IF(PROVEEDORES[[#This Row],[FECHA DE PAGO]]=PROVEEDORES[[#This Row],[FECHA DE FACTURACIÓN]],"DE CONTADO","CRÉDITO")</f>
        <v>CRÉDITO</v>
      </c>
      <c r="B47" s="38" t="b">
        <f>+IF((PROVEEDORES[[#This Row],[FECHA DE PAGO]]-PROVEEDORES[[#This Row],[FECHA DE FACTURACIÓN]])&gt;PROVEEDORES[[#This Row],[PLAZO Días]],"PAGO VENCIDO")</f>
        <v>0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0</v>
      </c>
      <c r="E47" s="25"/>
      <c r="F47" s="56" t="str">
        <f>+VLOOKUP(PROVEEDORES[[#This Row],[PROVEEDOR]],
                       Terceros!$A:$F,
                       5,
                       FALSE)</f>
        <v/>
      </c>
      <c r="G47" s="289">
        <v>44974</v>
      </c>
      <c r="H47" s="26" t="s">
        <v>277</v>
      </c>
      <c r="I47" s="289">
        <v>44972</v>
      </c>
      <c r="J47" s="35" t="s">
        <v>669</v>
      </c>
      <c r="K47" s="21">
        <v>4760000</v>
      </c>
      <c r="L47" s="21"/>
      <c r="M47" s="22">
        <f>(PROVEEDORES[[#This Row],[SUBTOTAL]]-PROVEEDORES[[#This Row],[descuento sobre subtotal]])*VLOOKUP(PROVEEDORES[[#This Row],[PROVEEDOR]],TERCEROS_INFO[#All],3,FALSE)</f>
        <v>0</v>
      </c>
      <c r="N47" s="23"/>
      <c r="O47" s="22">
        <f>+PROVEEDORES[[#This Row],[Descuento sobre subtotal %]]*(PROVEEDORES[[#This Row],[SUBTOTAL]]-PROVEEDORES[[#This Row],[descuento sobre subtotal]])</f>
        <v>0</v>
      </c>
      <c r="P47" s="72">
        <f>+IF(PROVEEDORES[[#This Row],[SUBTOTAL]]&lt;PROVEEDORES[[#This Row],[base retencion]],0,PROVEEDORES[[#This Row],[retención aplicada]])</f>
        <v>0</v>
      </c>
      <c r="Q47" s="22">
        <f>+PROVEEDORES[[#This Row],[Rete Fuente %]]*(PROVEEDORES[[#This Row],[SUBTOTAL]]-PROVEEDORES[[#This Row],[descuento sobre subtotal]])</f>
        <v>0</v>
      </c>
      <c r="R47" s="21">
        <f>+PROVEEDORES[[#This Row],[SUBTOTAL]]+PROVEEDORES[[#This Row],[IVA 19%]]-PROVEEDORES[[#This Row],[descuento sobre subtotal]]-PROVEEDORES[[#This Row],[Descuento sobre subtotal $2]]-PROVEEDORES[[#This Row],[Rete Fuente $]]</f>
        <v>4760000</v>
      </c>
      <c r="S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1">
        <f ca="1">IF(PROVEEDORES[[#This Row],[FECHA DE PAGO]]=0,TODAY()-PROVEEDORES[[#This Row],[FECHA DE FACTURACIÓN]]-PROVEEDORES[[#This Row],[PLAZO Días]],0)</f>
        <v>0</v>
      </c>
      <c r="U47" s="97">
        <f>+VLOOKUP(PROVEEDORES[[#This Row],[PROVEEDOR]],Terceros!$A:$D,4,FALSE)</f>
        <v>0</v>
      </c>
      <c r="V47" s="98">
        <f>+YEAR(PROVEEDORES[[#This Row],[FECHA DE FACTURACIÓN]])</f>
        <v>2023</v>
      </c>
      <c r="W47" s="98">
        <f>+MATCH(PROVEEDORES[[#This Row],[año facturado]],Retenciones!$1:$1,0)</f>
        <v>6</v>
      </c>
      <c r="X47" s="99">
        <f>+VLOOKUP(PROVEEDORES[[#This Row],[ID RETENCION]],Retenciones!$A$1:$O$25,PROVEEDORES[[#This Row],[indicador de columna]],FALSE)</f>
        <v>0</v>
      </c>
      <c r="Y47" s="100">
        <f>+VLOOKUP(PROVEEDORES[[#This Row],[ID RETENCION]],Retenciones!$A$1:$O$25,2,FALSE)</f>
        <v>0</v>
      </c>
      <c r="Z47" s="103" t="b">
        <f>OR(COUNTIF(PROVEEDORES[[#This Row],[PROVEEDOR]],"*"&amp;'Palabra no opera'!$A$2&amp;"*"))</f>
        <v>0</v>
      </c>
    </row>
    <row r="48" spans="1:26" ht="22.35" customHeight="1" x14ac:dyDescent="0.25">
      <c r="A48" s="65" t="str">
        <f>+IF(PROVEEDORES[[#This Row],[FECHA DE PAGO]]=PROVEEDORES[[#This Row],[FECHA DE FACTURACIÓN]],"DE CONTADO","CRÉDITO")</f>
        <v>DE CONTADO</v>
      </c>
      <c r="B48" s="38" t="b">
        <f>+IF((PROVEEDORES[[#This Row],[FECHA DE PAGO]]-PROVEEDORES[[#This Row],[FECHA DE FACTURACIÓN]])&gt;PROVEEDORES[[#This Row],[PLAZO Días]],"PAGO VENCIDO")</f>
        <v>0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0</v>
      </c>
      <c r="E48" s="25"/>
      <c r="F48" s="56" t="str">
        <f>+VLOOKUP(PROVEEDORES[[#This Row],[PROVEEDOR]],
                       Terceros!$A:$F,
                       5,
                       FALSE)</f>
        <v/>
      </c>
      <c r="G48" s="289">
        <v>44993</v>
      </c>
      <c r="H48" s="26" t="s">
        <v>277</v>
      </c>
      <c r="I48" s="289">
        <v>44993</v>
      </c>
      <c r="J48" s="35" t="s">
        <v>667</v>
      </c>
      <c r="K48" s="21">
        <v>5386000</v>
      </c>
      <c r="L48" s="21"/>
      <c r="M48" s="22">
        <f>(PROVEEDORES[[#This Row],[SUBTOTAL]]-PROVEEDORES[[#This Row],[descuento sobre subtotal]])*VLOOKUP(PROVEEDORES[[#This Row],[PROVEEDOR]],TERCEROS_INFO[#All],3,FALSE)</f>
        <v>0</v>
      </c>
      <c r="N48" s="23"/>
      <c r="O48" s="22">
        <f>+PROVEEDORES[[#This Row],[Descuento sobre subtotal %]]*(PROVEEDORES[[#This Row],[SUBTOTAL]]-PROVEEDORES[[#This Row],[descuento sobre subtotal]])</f>
        <v>0</v>
      </c>
      <c r="P48" s="72">
        <f>+IF(PROVEEDORES[[#This Row],[SUBTOTAL]]&lt;PROVEEDORES[[#This Row],[base retencion]],0,PROVEEDORES[[#This Row],[retención aplicada]])</f>
        <v>0</v>
      </c>
      <c r="Q48" s="22">
        <f>+PROVEEDORES[[#This Row],[Rete Fuente %]]*(PROVEEDORES[[#This Row],[SUBTOTAL]]-PROVEEDORES[[#This Row],[descuento sobre subtotal]])</f>
        <v>0</v>
      </c>
      <c r="R48" s="21">
        <f>+PROVEEDORES[[#This Row],[SUBTOTAL]]+PROVEEDORES[[#This Row],[IVA 19%]]-PROVEEDORES[[#This Row],[descuento sobre subtotal]]-PROVEEDORES[[#This Row],[Descuento sobre subtotal $2]]-PROVEEDORES[[#This Row],[Rete Fuente $]]</f>
        <v>5386000</v>
      </c>
      <c r="S4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1">
        <f ca="1">IF(PROVEEDORES[[#This Row],[FECHA DE PAGO]]=0,TODAY()-PROVEEDORES[[#This Row],[FECHA DE FACTURACIÓN]]-PROVEEDORES[[#This Row],[PLAZO Días]],0)</f>
        <v>0</v>
      </c>
      <c r="U48" s="97">
        <f>+VLOOKUP(PROVEEDORES[[#This Row],[PROVEEDOR]],Terceros!$A:$D,4,FALSE)</f>
        <v>0</v>
      </c>
      <c r="V48" s="98">
        <f>+YEAR(PROVEEDORES[[#This Row],[FECHA DE FACTURACIÓN]])</f>
        <v>2023</v>
      </c>
      <c r="W48" s="98">
        <f>+MATCH(PROVEEDORES[[#This Row],[año facturado]],Retenciones!$1:$1,0)</f>
        <v>6</v>
      </c>
      <c r="X48" s="99">
        <f>+VLOOKUP(PROVEEDORES[[#This Row],[ID RETENCION]],Retenciones!$A$1:$O$25,PROVEEDORES[[#This Row],[indicador de columna]],FALSE)</f>
        <v>0</v>
      </c>
      <c r="Y48" s="100">
        <f>+VLOOKUP(PROVEEDORES[[#This Row],[ID RETENCION]],Retenciones!$A$1:$O$25,2,FALSE)</f>
        <v>0</v>
      </c>
      <c r="Z48" s="103" t="b">
        <f>OR(COUNTIF(PROVEEDORES[[#This Row],[PROVEEDOR]],"*"&amp;'Palabra no opera'!$A$2&amp;"*"))</f>
        <v>0</v>
      </c>
    </row>
    <row r="49" spans="1:26" ht="22.35" customHeight="1" x14ac:dyDescent="0.25">
      <c r="A49" s="65" t="str">
        <f>+IF(PROVEEDORES[[#This Row],[FECHA DE PAGO]]=PROVEEDORES[[#This Row],[FECHA DE FACTURACIÓN]],"DE CONTADO","CRÉDITO")</f>
        <v>DE CONTADO</v>
      </c>
      <c r="B49" s="38" t="b">
        <f>+IF((PROVEEDORES[[#This Row],[FECHA DE PAGO]]-PROVEEDORES[[#This Row],[FECHA DE FACTURACIÓN]])&gt;PROVEEDORES[[#This Row],[PLAZO Días]],"PAGO VENCIDO")</f>
        <v>0</v>
      </c>
      <c r="C49" s="20">
        <f>+VLOOKUP(PROVEEDORES[[#This Row],[PROVEEDOR]],TERCEROS_INFO[#All],2,FALSE)</f>
        <v>30</v>
      </c>
      <c r="D49" s="25">
        <f>+SUMIFS(PROVEEDORES[Total],PROVEEDORES[PROVEEDOR],PROVEEDORES[[#This Row],[PROVEEDOR]],PROVEEDORES[FECHA DE PAGO],"")</f>
        <v>0</v>
      </c>
      <c r="E49" s="25"/>
      <c r="F49" s="56" t="str">
        <f>+VLOOKUP(PROVEEDORES[[#This Row],[PROVEEDOR]],
                       Terceros!$A:$F,
                       5,
                       FALSE)</f>
        <v/>
      </c>
      <c r="G49" s="289">
        <v>44998</v>
      </c>
      <c r="H49" s="26" t="s">
        <v>277</v>
      </c>
      <c r="I49" s="289">
        <v>44998</v>
      </c>
      <c r="J49" s="35" t="s">
        <v>668</v>
      </c>
      <c r="K49" s="21">
        <v>2077000</v>
      </c>
      <c r="L49" s="21"/>
      <c r="M49" s="22">
        <f>(PROVEEDORES[[#This Row],[SUBTOTAL]]-PROVEEDORES[[#This Row],[descuento sobre subtotal]])*VLOOKUP(PROVEEDORES[[#This Row],[PROVEEDOR]],TERCEROS_INFO[#All],3,FALSE)</f>
        <v>0</v>
      </c>
      <c r="N49" s="23"/>
      <c r="O49" s="22">
        <f>+PROVEEDORES[[#This Row],[Descuento sobre subtotal %]]*(PROVEEDORES[[#This Row],[SUBTOTAL]]-PROVEEDORES[[#This Row],[descuento sobre subtotal]])</f>
        <v>0</v>
      </c>
      <c r="P49" s="72">
        <f>+IF(PROVEEDORES[[#This Row],[SUBTOTAL]]&lt;PROVEEDORES[[#This Row],[base retencion]],0,PROVEEDORES[[#This Row],[retención aplicada]])</f>
        <v>0</v>
      </c>
      <c r="Q49" s="22">
        <f>+PROVEEDORES[[#This Row],[Rete Fuente %]]*(PROVEEDORES[[#This Row],[SUBTOTAL]]-PROVEEDORES[[#This Row],[descuento sobre subtotal]])</f>
        <v>0</v>
      </c>
      <c r="R49" s="21">
        <f>+PROVEEDORES[[#This Row],[SUBTOTAL]]+PROVEEDORES[[#This Row],[IVA 19%]]-PROVEEDORES[[#This Row],[descuento sobre subtotal]]-PROVEEDORES[[#This Row],[Descuento sobre subtotal $2]]-PROVEEDORES[[#This Row],[Rete Fuente $]]</f>
        <v>2077000</v>
      </c>
      <c r="S4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1">
        <f ca="1">IF(PROVEEDORES[[#This Row],[FECHA DE PAGO]]=0,TODAY()-PROVEEDORES[[#This Row],[FECHA DE FACTURACIÓN]]-PROVEEDORES[[#This Row],[PLAZO Días]],0)</f>
        <v>0</v>
      </c>
      <c r="U49" s="97">
        <f>+VLOOKUP(PROVEEDORES[[#This Row],[PROVEEDOR]],Terceros!$A:$D,4,FALSE)</f>
        <v>0</v>
      </c>
      <c r="V49" s="98">
        <f>+YEAR(PROVEEDORES[[#This Row],[FECHA DE FACTURACIÓN]])</f>
        <v>2023</v>
      </c>
      <c r="W49" s="98">
        <f>+MATCH(PROVEEDORES[[#This Row],[año facturado]],Retenciones!$1:$1,0)</f>
        <v>6</v>
      </c>
      <c r="X49" s="99">
        <f>+VLOOKUP(PROVEEDORES[[#This Row],[ID RETENCION]],Retenciones!$A$1:$O$25,PROVEEDORES[[#This Row],[indicador de columna]],FALSE)</f>
        <v>0</v>
      </c>
      <c r="Y49" s="100">
        <f>+VLOOKUP(PROVEEDORES[[#This Row],[ID RETENCION]],Retenciones!$A$1:$O$25,2,FALSE)</f>
        <v>0</v>
      </c>
      <c r="Z49" s="103" t="b">
        <f>OR(COUNTIF(PROVEEDORES[[#This Row],[PROVEEDOR]],"*"&amp;'Palabra no opera'!$A$2&amp;"*"))</f>
        <v>0</v>
      </c>
    </row>
    <row r="50" spans="1:26" ht="22.35" customHeight="1" x14ac:dyDescent="0.25">
      <c r="A50" s="65" t="str">
        <f>+IF(PROVEEDORES[[#This Row],[FECHA DE PAGO]]=PROVEEDORES[[#This Row],[FECHA DE FACTURACIÓN]],"DE CONTADO","CRÉDITO")</f>
        <v>CRÉDITO</v>
      </c>
      <c r="B50" s="38" t="b">
        <f>+IF((PROVEEDORES[[#This Row],[FECHA DE PAGO]]-PROVEEDORES[[#This Row],[FECHA DE FACTURACIÓN]])&gt;PROVEEDORES[[#This Row],[PLAZO Días]],"PAGO VENCIDO")</f>
        <v>0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0</v>
      </c>
      <c r="E50" s="25"/>
      <c r="F50" s="56" t="str">
        <f>+VLOOKUP(PROVEEDORES[[#This Row],[PROVEEDOR]],
                       Terceros!$A:$F,
                       5,
                       FALSE)</f>
        <v/>
      </c>
      <c r="G50" s="289">
        <v>45010</v>
      </c>
      <c r="H50" s="26" t="s">
        <v>277</v>
      </c>
      <c r="I50" s="289">
        <v>45009</v>
      </c>
      <c r="J50" s="35" t="s">
        <v>697</v>
      </c>
      <c r="K50" s="21">
        <v>650000</v>
      </c>
      <c r="L50" s="21"/>
      <c r="M50" s="22">
        <f>(PROVEEDORES[[#This Row],[SUBTOTAL]]-PROVEEDORES[[#This Row],[descuento sobre subtotal]])*VLOOKUP(PROVEEDORES[[#This Row],[PROVEEDOR]],TERCEROS_INFO[#All],3,FALSE)</f>
        <v>0</v>
      </c>
      <c r="N50" s="23"/>
      <c r="O50" s="22">
        <f>+PROVEEDORES[[#This Row],[Descuento sobre subtotal %]]*(PROVEEDORES[[#This Row],[SUBTOTAL]]-PROVEEDORES[[#This Row],[descuento sobre subtotal]])</f>
        <v>0</v>
      </c>
      <c r="P50" s="72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f>+PROVEEDORES[[#This Row],[SUBTOTAL]]+PROVEEDORES[[#This Row],[IVA 19%]]-PROVEEDORES[[#This Row],[descuento sobre subtotal]]-PROVEEDORES[[#This Row],[Descuento sobre subtotal $2]]-PROVEEDORES[[#This Row],[Rete Fuente $]]</f>
        <v>650000</v>
      </c>
      <c r="S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1">
        <f ca="1">IF(PROVEEDORES[[#This Row],[FECHA DE PAGO]]=0,TODAY()-PROVEEDORES[[#This Row],[FECHA DE FACTURACIÓN]]-PROVEEDORES[[#This Row],[PLAZO Días]],0)</f>
        <v>0</v>
      </c>
      <c r="U50" s="97">
        <f>+VLOOKUP(PROVEEDORES[[#This Row],[PROVEEDOR]],Terceros!$A:$D,4,FALSE)</f>
        <v>0</v>
      </c>
      <c r="V50" s="98">
        <f>+YEAR(PROVEEDORES[[#This Row],[FECHA DE FACTURACIÓN]])</f>
        <v>2023</v>
      </c>
      <c r="W50" s="98">
        <f>+MATCH(PROVEEDORES[[#This Row],[año facturado]],Retenciones!$1:$1,0)</f>
        <v>6</v>
      </c>
      <c r="X50" s="99">
        <f>+VLOOKUP(PROVEEDORES[[#This Row],[ID RETENCION]],Retenciones!$A$1:$O$25,PROVEEDORES[[#This Row],[indicador de columna]],FALSE)</f>
        <v>0</v>
      </c>
      <c r="Y50" s="100">
        <f>+VLOOKUP(PROVEEDORES[[#This Row],[ID RETENCION]],Retenciones!$A$1:$O$25,2,FALSE)</f>
        <v>0</v>
      </c>
      <c r="Z50" s="103" t="b">
        <f>OR(COUNTIF(PROVEEDORES[[#This Row],[PROVEEDOR]],"*"&amp;'Palabra no opera'!$A$2&amp;"*"))</f>
        <v>0</v>
      </c>
    </row>
    <row r="51" spans="1:26" ht="22.35" customHeight="1" x14ac:dyDescent="0.25">
      <c r="A51" s="65" t="str">
        <f>+IF(PROVEEDORES[[#This Row],[FECHA DE PAGO]]=PROVEEDORES[[#This Row],[FECHA DE FACTURACIÓN]],"DE CONTADO","CRÉDITO")</f>
        <v>CRÉDITO</v>
      </c>
      <c r="B51" s="38" t="b">
        <f>+IF((PROVEEDORES[[#This Row],[FECHA DE PAGO]]-PROVEEDORES[[#This Row],[FECHA DE FACTURACIÓN]])&gt;PROVEEDORES[[#This Row],[PLAZO Días]],"PAGO VENCIDO")</f>
        <v>0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0</v>
      </c>
      <c r="E51" s="25"/>
      <c r="F51" s="56" t="str">
        <f>+VLOOKUP(PROVEEDORES[[#This Row],[PROVEEDOR]],
                       Terceros!$A:$F,
                       5,
                       FALSE)</f>
        <v/>
      </c>
      <c r="G51" s="289">
        <v>45018</v>
      </c>
      <c r="H51" s="26" t="s">
        <v>277</v>
      </c>
      <c r="I51" s="289">
        <v>45017</v>
      </c>
      <c r="J51" s="35" t="s">
        <v>764</v>
      </c>
      <c r="K51" s="21">
        <v>2200000</v>
      </c>
      <c r="L51" s="21"/>
      <c r="M51" s="22">
        <f>(PROVEEDORES[[#This Row],[SUBTOTAL]]-PROVEEDORES[[#This Row],[descuento sobre subtotal]])*VLOOKUP(PROVEEDORES[[#This Row],[PROVEEDOR]],TERCEROS_INFO[#All],3,FALSE)</f>
        <v>0</v>
      </c>
      <c r="N51" s="23"/>
      <c r="O51" s="22">
        <f>+PROVEEDORES[[#This Row],[Descuento sobre subtotal %]]*(PROVEEDORES[[#This Row],[SUBTOTAL]]-PROVEEDORES[[#This Row],[descuento sobre subtotal]])</f>
        <v>0</v>
      </c>
      <c r="P51" s="72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f>+PROVEEDORES[[#This Row],[SUBTOTAL]]+PROVEEDORES[[#This Row],[IVA 19%]]-PROVEEDORES[[#This Row],[descuento sobre subtotal]]-PROVEEDORES[[#This Row],[Descuento sobre subtotal $2]]-PROVEEDORES[[#This Row],[Rete Fuente $]]</f>
        <v>2200000</v>
      </c>
      <c r="S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1">
        <f ca="1">IF(PROVEEDORES[[#This Row],[FECHA DE PAGO]]=0,TODAY()-PROVEEDORES[[#This Row],[FECHA DE FACTURACIÓN]]-PROVEEDORES[[#This Row],[PLAZO Días]],0)</f>
        <v>0</v>
      </c>
      <c r="U51" s="97">
        <f>+VLOOKUP(PROVEEDORES[[#This Row],[PROVEEDOR]],Terceros!$A:$D,4,FALSE)</f>
        <v>0</v>
      </c>
      <c r="V51" s="98">
        <f>+YEAR(PROVEEDORES[[#This Row],[FECHA DE FACTURACIÓN]])</f>
        <v>2023</v>
      </c>
      <c r="W51" s="98">
        <f>+MATCH(PROVEEDORES[[#This Row],[año facturado]],Retenciones!$1:$1,0)</f>
        <v>6</v>
      </c>
      <c r="X51" s="99">
        <f>+VLOOKUP(PROVEEDORES[[#This Row],[ID RETENCION]],Retenciones!$A$1:$O$25,PROVEEDORES[[#This Row],[indicador de columna]],FALSE)</f>
        <v>0</v>
      </c>
      <c r="Y51" s="100">
        <f>+VLOOKUP(PROVEEDORES[[#This Row],[ID RETENCION]],Retenciones!$A$1:$O$25,2,FALSE)</f>
        <v>0</v>
      </c>
      <c r="Z51" s="103" t="b">
        <f>OR(COUNTIF(PROVEEDORES[[#This Row],[PROVEEDOR]],"*"&amp;'Palabra no opera'!$A$2&amp;"*"))</f>
        <v>0</v>
      </c>
    </row>
    <row r="52" spans="1:26" ht="22.35" customHeight="1" x14ac:dyDescent="0.25">
      <c r="A52" s="65" t="str">
        <f>+IF(PROVEEDORES[[#This Row],[FECHA DE PAGO]]=PROVEEDORES[[#This Row],[FECHA DE FACTURACIÓN]],"DE CONTADO","CRÉDITO")</f>
        <v>CRÉDITO</v>
      </c>
      <c r="B52" s="38" t="b">
        <f>+IF((PROVEEDORES[[#This Row],[FECHA DE PAGO]]-PROVEEDORES[[#This Row],[FECHA DE FACTURACIÓN]])&gt;PROVEEDORES[[#This Row],[PLAZO Días]],"PAGO VENCIDO")</f>
        <v>0</v>
      </c>
      <c r="C52" s="20">
        <f>+VLOOKUP(PROVEEDORES[[#This Row],[PROVEEDOR]],TERCEROS_INFO[#All],2,FALSE)</f>
        <v>30</v>
      </c>
      <c r="D52" s="25">
        <f>+SUMIFS(PROVEEDORES[Total],PROVEEDORES[PROVEEDOR],PROVEEDORES[[#This Row],[PROVEEDOR]],PROVEEDORES[FECHA DE PAGO],"")</f>
        <v>0</v>
      </c>
      <c r="E52" s="25"/>
      <c r="F52" s="56" t="str">
        <f>+VLOOKUP(PROVEEDORES[[#This Row],[PROVEEDOR]],
                       Terceros!$A:$F,
                       5,
                       FALSE)</f>
        <v/>
      </c>
      <c r="G52" s="289">
        <v>45027</v>
      </c>
      <c r="H52" s="26" t="s">
        <v>277</v>
      </c>
      <c r="I52" s="289">
        <v>45026</v>
      </c>
      <c r="J52" s="35" t="s">
        <v>763</v>
      </c>
      <c r="K52" s="21">
        <v>5304000</v>
      </c>
      <c r="L52" s="21"/>
      <c r="M52" s="22">
        <f>(PROVEEDORES[[#This Row],[SUBTOTAL]]-PROVEEDORES[[#This Row],[descuento sobre subtotal]])*VLOOKUP(PROVEEDORES[[#This Row],[PROVEEDOR]],TERCEROS_INFO[#All],3,FALSE)</f>
        <v>0</v>
      </c>
      <c r="N52" s="23"/>
      <c r="O52" s="22">
        <f>+PROVEEDORES[[#This Row],[Descuento sobre subtotal %]]*(PROVEEDORES[[#This Row],[SUBTOTAL]]-PROVEEDORES[[#This Row],[descuento sobre subtotal]])</f>
        <v>0</v>
      </c>
      <c r="P52" s="72">
        <f>+IF(PROVEEDORES[[#This Row],[SUBTOTAL]]&lt;PROVEEDORES[[#This Row],[base retencion]],0,PROVEEDORES[[#This Row],[retención aplicada]])</f>
        <v>0</v>
      </c>
      <c r="Q52" s="22">
        <f>+PROVEEDORES[[#This Row],[Rete Fuente %]]*(PROVEEDORES[[#This Row],[SUBTOTAL]]-PROVEEDORES[[#This Row],[descuento sobre subtotal]])</f>
        <v>0</v>
      </c>
      <c r="R52" s="21">
        <f>+PROVEEDORES[[#This Row],[SUBTOTAL]]+PROVEEDORES[[#This Row],[IVA 19%]]-PROVEEDORES[[#This Row],[descuento sobre subtotal]]-PROVEEDORES[[#This Row],[Descuento sobre subtotal $2]]-PROVEEDORES[[#This Row],[Rete Fuente $]]</f>
        <v>5304000</v>
      </c>
      <c r="S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1">
        <f ca="1">IF(PROVEEDORES[[#This Row],[FECHA DE PAGO]]=0,TODAY()-PROVEEDORES[[#This Row],[FECHA DE FACTURACIÓN]]-PROVEEDORES[[#This Row],[PLAZO Días]],0)</f>
        <v>0</v>
      </c>
      <c r="U52" s="97">
        <f>+VLOOKUP(PROVEEDORES[[#This Row],[PROVEEDOR]],Terceros!$A:$D,4,FALSE)</f>
        <v>0</v>
      </c>
      <c r="V52" s="98">
        <f>+YEAR(PROVEEDORES[[#This Row],[FECHA DE FACTURACIÓN]])</f>
        <v>2023</v>
      </c>
      <c r="W52" s="98">
        <f>+MATCH(PROVEEDORES[[#This Row],[año facturado]],Retenciones!$1:$1,0)</f>
        <v>6</v>
      </c>
      <c r="X52" s="99">
        <f>+VLOOKUP(PROVEEDORES[[#This Row],[ID RETENCION]],Retenciones!$A$1:$O$25,PROVEEDORES[[#This Row],[indicador de columna]],FALSE)</f>
        <v>0</v>
      </c>
      <c r="Y52" s="100">
        <f>+VLOOKUP(PROVEEDORES[[#This Row],[ID RETENCION]],Retenciones!$A$1:$O$25,2,FALSE)</f>
        <v>0</v>
      </c>
      <c r="Z52" s="103" t="b">
        <f>OR(COUNTIF(PROVEEDORES[[#This Row],[PROVEEDOR]],"*"&amp;'Palabra no opera'!$A$2&amp;"*"))</f>
        <v>0</v>
      </c>
    </row>
    <row r="53" spans="1:26" ht="22.35" customHeight="1" x14ac:dyDescent="0.25">
      <c r="A53" s="192" t="str">
        <f>+IF(PROVEEDORES[[#This Row],[FECHA DE PAGO]]=PROVEEDORES[[#This Row],[FECHA DE FACTURACIÓN]],"DE CONTADO","CRÉDITO")</f>
        <v>CRÉDITO</v>
      </c>
      <c r="B53" s="38" t="b">
        <f>+IF((PROVEEDORES[[#This Row],[FECHA DE PAGO]]-PROVEEDORES[[#This Row],[FECHA DE FACTURACIÓN]])&gt;PROVEEDORES[[#This Row],[PLAZO Días]],"PAGO VENCIDO")</f>
        <v>0</v>
      </c>
      <c r="C53" s="20">
        <f>+VLOOKUP(PROVEEDORES[[#This Row],[PROVEEDOR]],TERCEROS_INFO[#All],2,FALSE)</f>
        <v>30</v>
      </c>
      <c r="D53" s="25">
        <f>+SUMIFS(PROVEEDORES[Total],PROVEEDORES[PROVEEDOR],PROVEEDORES[[#This Row],[PROVEEDOR]],PROVEEDORES[FECHA DE PAGO],"")</f>
        <v>0</v>
      </c>
      <c r="E53" s="25"/>
      <c r="F53" s="56" t="str">
        <f>+VLOOKUP(PROVEEDORES[[#This Row],[PROVEEDOR]],
                       Terceros!$A:$F,
                       5,
                       FALSE)</f>
        <v/>
      </c>
      <c r="G53" s="289">
        <v>45030</v>
      </c>
      <c r="H53" s="26" t="s">
        <v>277</v>
      </c>
      <c r="I53" s="289">
        <v>45029</v>
      </c>
      <c r="J53" s="35" t="s">
        <v>772</v>
      </c>
      <c r="K53" s="21">
        <v>2877000</v>
      </c>
      <c r="L53" s="21"/>
      <c r="M53" s="22">
        <f>(PROVEEDORES[[#This Row],[SUBTOTAL]]-PROVEEDORES[[#This Row],[descuento sobre subtotal]])*VLOOKUP(PROVEEDORES[[#This Row],[PROVEEDOR]],TERCEROS_INFO[#All],3,FALSE)</f>
        <v>0</v>
      </c>
      <c r="N53" s="23"/>
      <c r="O53" s="22">
        <f>+PROVEEDORES[[#This Row],[Descuento sobre subtotal %]]*(PROVEEDORES[[#This Row],[SUBTOTAL]]-PROVEEDORES[[#This Row],[descuento sobre subtotal]])</f>
        <v>0</v>
      </c>
      <c r="P53" s="72">
        <f>+IF(PROVEEDORES[[#This Row],[SUBTOTAL]]&lt;PROVEEDORES[[#This Row],[base retencion]],0,PROVEEDORES[[#This Row],[retención aplicada]])</f>
        <v>0</v>
      </c>
      <c r="Q53" s="22">
        <f>+PROVEEDORES[[#This Row],[Rete Fuente %]]*(PROVEEDORES[[#This Row],[SUBTOTAL]]-PROVEEDORES[[#This Row],[descuento sobre subtotal]])</f>
        <v>0</v>
      </c>
      <c r="R53" s="21">
        <f>+PROVEEDORES[[#This Row],[SUBTOTAL]]+PROVEEDORES[[#This Row],[IVA 19%]]-PROVEEDORES[[#This Row],[descuento sobre subtotal]]-PROVEEDORES[[#This Row],[Descuento sobre subtotal $2]]-PROVEEDORES[[#This Row],[Rete Fuente $]]</f>
        <v>2877000</v>
      </c>
      <c r="S5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1">
        <f ca="1">IF(PROVEEDORES[[#This Row],[FECHA DE PAGO]]=0,TODAY()-PROVEEDORES[[#This Row],[FECHA DE FACTURACIÓN]]-PROVEEDORES[[#This Row],[PLAZO Días]],0)</f>
        <v>0</v>
      </c>
      <c r="U53" s="97">
        <f>+VLOOKUP(PROVEEDORES[[#This Row],[PROVEEDOR]],Terceros!$A:$D,4,FALSE)</f>
        <v>0</v>
      </c>
      <c r="V53" s="98">
        <f>+YEAR(PROVEEDORES[[#This Row],[FECHA DE FACTURACIÓN]])</f>
        <v>2023</v>
      </c>
      <c r="W53" s="98">
        <f>+MATCH(PROVEEDORES[[#This Row],[año facturado]],Retenciones!$1:$1,0)</f>
        <v>6</v>
      </c>
      <c r="X53" s="99">
        <f>+VLOOKUP(PROVEEDORES[[#This Row],[ID RETENCION]],Retenciones!$A$1:$O$25,PROVEEDORES[[#This Row],[indicador de columna]],FALSE)</f>
        <v>0</v>
      </c>
      <c r="Y53" s="100">
        <f>+VLOOKUP(PROVEEDORES[[#This Row],[ID RETENCION]],Retenciones!$A$1:$O$25,2,FALSE)</f>
        <v>0</v>
      </c>
      <c r="Z53" s="103" t="b">
        <f>OR(COUNTIF(PROVEEDORES[[#This Row],[PROVEEDOR]],"*"&amp;'Palabra no opera'!$A$2&amp;"*"))</f>
        <v>0</v>
      </c>
    </row>
    <row r="54" spans="1:26" ht="22.35" customHeight="1" x14ac:dyDescent="0.25">
      <c r="A54" s="192" t="str">
        <f>+IF(PROVEEDORES[[#This Row],[FECHA DE PAGO]]=PROVEEDORES[[#This Row],[FECHA DE FACTURACIÓN]],"DE CONTADO","CRÉDITO")</f>
        <v>CRÉDITO</v>
      </c>
      <c r="B54" s="38" t="b">
        <f>+IF((PROVEEDORES[[#This Row],[FECHA DE PAGO]]-PROVEEDORES[[#This Row],[FECHA DE FACTURACIÓN]])&gt;PROVEEDORES[[#This Row],[PLAZO Días]],"PAGO VENCIDO")</f>
        <v>0</v>
      </c>
      <c r="C54" s="20">
        <f>+VLOOKUP(PROVEEDORES[[#This Row],[PROVEEDOR]],TERCEROS_INFO[#All],2,FALSE)</f>
        <v>30</v>
      </c>
      <c r="D54" s="25">
        <f>+SUMIFS(PROVEEDORES[Total],PROVEEDORES[PROVEEDOR],PROVEEDORES[[#This Row],[PROVEEDOR]],PROVEEDORES[FECHA DE PAGO],"")</f>
        <v>0</v>
      </c>
      <c r="E54" s="25"/>
      <c r="F54" s="56" t="str">
        <f>+VLOOKUP(PROVEEDORES[[#This Row],[PROVEEDOR]],
                       Terceros!$A:$F,
                       5,
                       FALSE)</f>
        <v/>
      </c>
      <c r="G54" s="289">
        <v>45043</v>
      </c>
      <c r="H54" s="26" t="s">
        <v>277</v>
      </c>
      <c r="I54" s="289">
        <v>45042</v>
      </c>
      <c r="J54" s="35" t="s">
        <v>771</v>
      </c>
      <c r="K54" s="21">
        <v>3656000</v>
      </c>
      <c r="L54" s="21"/>
      <c r="M54" s="22">
        <f>(PROVEEDORES[[#This Row],[SUBTOTAL]]-PROVEEDORES[[#This Row],[descuento sobre subtotal]])*VLOOKUP(PROVEEDORES[[#This Row],[PROVEEDOR]],TERCEROS_INFO[#All],3,FALSE)</f>
        <v>0</v>
      </c>
      <c r="N54" s="23"/>
      <c r="O54" s="22">
        <f>+PROVEEDORES[[#This Row],[Descuento sobre subtotal %]]*(PROVEEDORES[[#This Row],[SUBTOTAL]]-PROVEEDORES[[#This Row],[descuento sobre subtotal]])</f>
        <v>0</v>
      </c>
      <c r="P54" s="72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f>+PROVEEDORES[[#This Row],[SUBTOTAL]]+PROVEEDORES[[#This Row],[IVA 19%]]-PROVEEDORES[[#This Row],[descuento sobre subtotal]]-PROVEEDORES[[#This Row],[Descuento sobre subtotal $2]]-PROVEEDORES[[#This Row],[Rete Fuente $]]</f>
        <v>3656000</v>
      </c>
      <c r="S5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1">
        <f ca="1">IF(PROVEEDORES[[#This Row],[FECHA DE PAGO]]=0,TODAY()-PROVEEDORES[[#This Row],[FECHA DE FACTURACIÓN]]-PROVEEDORES[[#This Row],[PLAZO Días]],0)</f>
        <v>0</v>
      </c>
      <c r="U54" s="97">
        <f>+VLOOKUP(PROVEEDORES[[#This Row],[PROVEEDOR]],Terceros!$A:$D,4,FALSE)</f>
        <v>0</v>
      </c>
      <c r="V54" s="98">
        <f>+YEAR(PROVEEDORES[[#This Row],[FECHA DE FACTURACIÓN]])</f>
        <v>2023</v>
      </c>
      <c r="W54" s="98">
        <f>+MATCH(PROVEEDORES[[#This Row],[año facturado]],Retenciones!$1:$1,0)</f>
        <v>6</v>
      </c>
      <c r="X54" s="99">
        <f>+VLOOKUP(PROVEEDORES[[#This Row],[ID RETENCION]],Retenciones!$A$1:$O$25,PROVEEDORES[[#This Row],[indicador de columna]],FALSE)</f>
        <v>0</v>
      </c>
      <c r="Y54" s="100">
        <f>+VLOOKUP(PROVEEDORES[[#This Row],[ID RETENCION]],Retenciones!$A$1:$O$25,2,FALSE)</f>
        <v>0</v>
      </c>
      <c r="Z54" s="103" t="b">
        <f>OR(COUNTIF(PROVEEDORES[[#This Row],[PROVEEDOR]],"*"&amp;'Palabra no opera'!$A$2&amp;"*"))</f>
        <v>0</v>
      </c>
    </row>
    <row r="55" spans="1:26" ht="22.35" customHeight="1" x14ac:dyDescent="0.25">
      <c r="A55" s="198" t="str">
        <f>+IF(PROVEEDORES[[#This Row],[FECHA DE PAGO]]=PROVEEDORES[[#This Row],[FECHA DE FACTURACIÓN]],"DE CONTADO","CRÉDITO")</f>
        <v>CRÉDITO</v>
      </c>
      <c r="B55" s="38" t="b">
        <f>+IF((PROVEEDORES[[#This Row],[FECHA DE PAGO]]-PROVEEDORES[[#This Row],[FECHA DE FACTURACIÓN]])&gt;PROVEEDORES[[#This Row],[PLAZO Días]],"PAGO VENCIDO")</f>
        <v>0</v>
      </c>
      <c r="C55" s="20">
        <f>+VLOOKUP(PROVEEDORES[[#This Row],[PROVEEDOR]],TERCEROS_INFO[#All],2,FALSE)</f>
        <v>30</v>
      </c>
      <c r="D55" s="25">
        <f>+SUMIFS(PROVEEDORES[Total],PROVEEDORES[PROVEEDOR],PROVEEDORES[[#This Row],[PROVEEDOR]],PROVEEDORES[FECHA DE PAGO],"")</f>
        <v>0</v>
      </c>
      <c r="E55" s="25"/>
      <c r="F55" s="56" t="str">
        <f>+VLOOKUP(PROVEEDORES[[#This Row],[PROVEEDOR]],
                       Terceros!$A:$F,
                       5,
                       FALSE)</f>
        <v/>
      </c>
      <c r="G55" s="289">
        <v>45070</v>
      </c>
      <c r="H55" s="26" t="s">
        <v>277</v>
      </c>
      <c r="I55" s="289">
        <v>45069</v>
      </c>
      <c r="J55" s="35" t="s">
        <v>854</v>
      </c>
      <c r="K55" s="21">
        <v>2566000</v>
      </c>
      <c r="L55" s="21"/>
      <c r="M55" s="22">
        <f>(PROVEEDORES[[#This Row],[SUBTOTAL]]-PROVEEDORES[[#This Row],[descuento sobre subtotal]])*VLOOKUP(PROVEEDORES[[#This Row],[PROVEEDOR]],TERCEROS_INFO[#All],3,FALSE)</f>
        <v>0</v>
      </c>
      <c r="N55" s="23"/>
      <c r="O55" s="22">
        <f>+PROVEEDORES[[#This Row],[Descuento sobre subtotal %]]*(PROVEEDORES[[#This Row],[SUBTOTAL]]-PROVEEDORES[[#This Row],[descuento sobre subtotal]])</f>
        <v>0</v>
      </c>
      <c r="P55" s="72">
        <f>+IF(PROVEEDORES[[#This Row],[SUBTOTAL]]&lt;PROVEEDORES[[#This Row],[base retencion]],0,PROVEEDORES[[#This Row],[retención aplicada]])</f>
        <v>0</v>
      </c>
      <c r="Q55" s="22">
        <f>+PROVEEDORES[[#This Row],[Rete Fuente %]]*(PROVEEDORES[[#This Row],[SUBTOTAL]]-PROVEEDORES[[#This Row],[descuento sobre subtotal]])</f>
        <v>0</v>
      </c>
      <c r="R55" s="21">
        <f>+PROVEEDORES[[#This Row],[SUBTOTAL]]+PROVEEDORES[[#This Row],[IVA 19%]]-PROVEEDORES[[#This Row],[descuento sobre subtotal]]-PROVEEDORES[[#This Row],[Descuento sobre subtotal $2]]-PROVEEDORES[[#This Row],[Rete Fuente $]]</f>
        <v>2566000</v>
      </c>
      <c r="S55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1">
        <f ca="1">IF(PROVEEDORES[[#This Row],[FECHA DE PAGO]]=0,TODAY()-PROVEEDORES[[#This Row],[FECHA DE FACTURACIÓN]]-PROVEEDORES[[#This Row],[PLAZO Días]],0)</f>
        <v>0</v>
      </c>
      <c r="U55" s="97">
        <f>+VLOOKUP(PROVEEDORES[[#This Row],[PROVEEDOR]],Terceros!$A:$D,4,FALSE)</f>
        <v>0</v>
      </c>
      <c r="V55" s="98">
        <f>+YEAR(PROVEEDORES[[#This Row],[FECHA DE FACTURACIÓN]])</f>
        <v>2023</v>
      </c>
      <c r="W55" s="98">
        <f>+MATCH(PROVEEDORES[[#This Row],[año facturado]],Retenciones!$1:$1,0)</f>
        <v>6</v>
      </c>
      <c r="X55" s="99">
        <f>+VLOOKUP(PROVEEDORES[[#This Row],[ID RETENCION]],Retenciones!$A$1:$O$25,PROVEEDORES[[#This Row],[indicador de columna]],FALSE)</f>
        <v>0</v>
      </c>
      <c r="Y55" s="100">
        <f>+VLOOKUP(PROVEEDORES[[#This Row],[ID RETENCION]],Retenciones!$A$1:$O$25,2,FALSE)</f>
        <v>0</v>
      </c>
      <c r="Z55" s="103" t="b">
        <f>OR(COUNTIF(PROVEEDORES[[#This Row],[PROVEEDOR]],"*"&amp;'Palabra no opera'!$A$2&amp;"*"))</f>
        <v>0</v>
      </c>
    </row>
    <row r="56" spans="1:26" ht="22.35" customHeight="1" x14ac:dyDescent="0.25">
      <c r="A56" s="65" t="str">
        <f>+IF(PROVEEDORES[[#This Row],[FECHA DE PAGO]]=PROVEEDORES[[#This Row],[FECHA DE FACTURACIÓN]],"DE CONTADO","CRÉDITO")</f>
        <v>CRÉDITO</v>
      </c>
      <c r="B56" s="38" t="b">
        <f>+IF((PROVEEDORES[[#This Row],[FECHA DE PAGO]]-PROVEEDORES[[#This Row],[FECHA DE FACTURACIÓN]])&gt;PROVEEDORES[[#This Row],[PLAZO Días]],"PAGO VENCIDO")</f>
        <v>0</v>
      </c>
      <c r="C56" s="20">
        <f>+VLOOKUP(PROVEEDORES[[#This Row],[PROVEEDOR]],TERCEROS_INFO[#All],2,FALSE)</f>
        <v>30</v>
      </c>
      <c r="D56" s="25">
        <f>+SUMIFS(PROVEEDORES[Total],PROVEEDORES[PROVEEDOR],PROVEEDORES[[#This Row],[PROVEEDOR]],PROVEEDORES[FECHA DE PAGO],"")</f>
        <v>0</v>
      </c>
      <c r="E56" s="25"/>
      <c r="F56" s="56" t="str">
        <f>+VLOOKUP(PROVEEDORES[[#This Row],[PROVEEDOR]],
                       Terceros!$A:$F,
                       5,
                       FALSE)</f>
        <v/>
      </c>
      <c r="G56" s="289">
        <v>45078</v>
      </c>
      <c r="H56" s="26" t="s">
        <v>521</v>
      </c>
      <c r="I56" s="289">
        <v>45077</v>
      </c>
      <c r="J56" s="35" t="s">
        <v>862</v>
      </c>
      <c r="K56" s="21">
        <v>1874000</v>
      </c>
      <c r="L56" s="21"/>
      <c r="M56" s="22">
        <f>(PROVEEDORES[[#This Row],[SUBTOTAL]]-PROVEEDORES[[#This Row],[descuento sobre subtotal]])*VLOOKUP(PROVEEDORES[[#This Row],[PROVEEDOR]],TERCEROS_INFO[#All],3,FALSE)</f>
        <v>0</v>
      </c>
      <c r="N56" s="23"/>
      <c r="O56" s="22">
        <f>+PROVEEDORES[[#This Row],[Descuento sobre subtotal %]]*(PROVEEDORES[[#This Row],[SUBTOTAL]]-PROVEEDORES[[#This Row],[descuento sobre subtotal]])</f>
        <v>0</v>
      </c>
      <c r="P56" s="72">
        <f>+IF(PROVEEDORES[[#This Row],[SUBTOTAL]]&lt;PROVEEDORES[[#This Row],[base retencion]],0,PROVEEDORES[[#This Row],[retención aplicada]])</f>
        <v>0</v>
      </c>
      <c r="Q56" s="22">
        <f>+PROVEEDORES[[#This Row],[Rete Fuente %]]*(PROVEEDORES[[#This Row],[SUBTOTAL]]-PROVEEDORES[[#This Row],[descuento sobre subtotal]])</f>
        <v>0</v>
      </c>
      <c r="R56" s="21">
        <f>+PROVEEDORES[[#This Row],[SUBTOTAL]]+PROVEEDORES[[#This Row],[IVA 19%]]-PROVEEDORES[[#This Row],[descuento sobre subtotal]]-PROVEEDORES[[#This Row],[Descuento sobre subtotal $2]]-PROVEEDORES[[#This Row],[Rete Fuente $]]</f>
        <v>1874000</v>
      </c>
      <c r="S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1">
        <f ca="1">IF(PROVEEDORES[[#This Row],[FECHA DE PAGO]]=0,TODAY()-PROVEEDORES[[#This Row],[FECHA DE FACTURACIÓN]]-PROVEEDORES[[#This Row],[PLAZO Días]],0)</f>
        <v>0</v>
      </c>
      <c r="U56" s="97">
        <f>+VLOOKUP(PROVEEDORES[[#This Row],[PROVEEDOR]],Terceros!$A:$D,4,FALSE)</f>
        <v>0</v>
      </c>
      <c r="V56" s="98">
        <f>+YEAR(PROVEEDORES[[#This Row],[FECHA DE FACTURACIÓN]])</f>
        <v>2023</v>
      </c>
      <c r="W56" s="98">
        <f>+MATCH(PROVEEDORES[[#This Row],[año facturado]],Retenciones!$1:$1,0)</f>
        <v>6</v>
      </c>
      <c r="X56" s="99">
        <f>+VLOOKUP(PROVEEDORES[[#This Row],[ID RETENCION]],Retenciones!$A$1:$O$25,PROVEEDORES[[#This Row],[indicador de columna]],FALSE)</f>
        <v>0</v>
      </c>
      <c r="Y56" s="100">
        <f>+VLOOKUP(PROVEEDORES[[#This Row],[ID RETENCION]],Retenciones!$A$1:$O$25,2,FALSE)</f>
        <v>0</v>
      </c>
      <c r="Z56" s="103" t="b">
        <f>OR(COUNTIF(PROVEEDORES[[#This Row],[PROVEEDOR]],"*"&amp;'Palabra no opera'!$A$2&amp;"*"))</f>
        <v>0</v>
      </c>
    </row>
    <row r="57" spans="1:26" ht="22.35" customHeight="1" x14ac:dyDescent="0.25">
      <c r="A57" s="207" t="str">
        <f>+IF(PROVEEDORES[[#This Row],[FECHA DE PAGO]]=PROVEEDORES[[#This Row],[FECHA DE FACTURACIÓN]],"DE CONTADO","CRÉDITO")</f>
        <v>CRÉDITO</v>
      </c>
      <c r="B57" s="38" t="b">
        <f>+IF((PROVEEDORES[[#This Row],[FECHA DE PAGO]]-PROVEEDORES[[#This Row],[FECHA DE FACTURACIÓN]])&gt;PROVEEDORES[[#This Row],[PLAZO Días]],"PAGO VENCIDO")</f>
        <v>0</v>
      </c>
      <c r="C57" s="20">
        <f>+VLOOKUP(PROVEEDORES[[#This Row],[PROVEEDOR]],TERCEROS_INFO[#All],2,FALSE)</f>
        <v>30</v>
      </c>
      <c r="D57" s="25">
        <f>+SUMIFS(PROVEEDORES[Total],PROVEEDORES[PROVEEDOR],PROVEEDORES[[#This Row],[PROVEEDOR]],PROVEEDORES[FECHA DE PAGO],"")</f>
        <v>0</v>
      </c>
      <c r="E57" s="25"/>
      <c r="F57" s="56" t="str">
        <f>+VLOOKUP(PROVEEDORES[[#This Row],[PROVEEDOR]],
                       Terceros!$A:$F,
                       5,
                       FALSE)</f>
        <v/>
      </c>
      <c r="G57" s="289">
        <v>45093</v>
      </c>
      <c r="H57" s="26" t="s">
        <v>521</v>
      </c>
      <c r="I57" s="289">
        <v>45091</v>
      </c>
      <c r="J57" s="35" t="s">
        <v>913</v>
      </c>
      <c r="K57" s="21">
        <v>4477000</v>
      </c>
      <c r="L57" s="21"/>
      <c r="M57" s="22">
        <f>(PROVEEDORES[[#This Row],[SUBTOTAL]]-PROVEEDORES[[#This Row],[descuento sobre subtotal]])*VLOOKUP(PROVEEDORES[[#This Row],[PROVEEDOR]],TERCEROS_INFO[#All],3,FALSE)</f>
        <v>0</v>
      </c>
      <c r="N57" s="23"/>
      <c r="O57" s="22">
        <f>+PROVEEDORES[[#This Row],[Descuento sobre subtotal %]]*(PROVEEDORES[[#This Row],[SUBTOTAL]]-PROVEEDORES[[#This Row],[descuento sobre subtotal]])</f>
        <v>0</v>
      </c>
      <c r="P57" s="72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f>+PROVEEDORES[[#This Row],[SUBTOTAL]]+PROVEEDORES[[#This Row],[IVA 19%]]-PROVEEDORES[[#This Row],[descuento sobre subtotal]]-PROVEEDORES[[#This Row],[Descuento sobre subtotal $2]]-PROVEEDORES[[#This Row],[Rete Fuente $]]</f>
        <v>4477000</v>
      </c>
      <c r="S5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1">
        <f ca="1">IF(PROVEEDORES[[#This Row],[FECHA DE PAGO]]=0,TODAY()-PROVEEDORES[[#This Row],[FECHA DE FACTURACIÓN]]-PROVEEDORES[[#This Row],[PLAZO Días]],0)</f>
        <v>0</v>
      </c>
      <c r="U57" s="97">
        <f>+VLOOKUP(PROVEEDORES[[#This Row],[PROVEEDOR]],Terceros!$A:$D,4,FALSE)</f>
        <v>0</v>
      </c>
      <c r="V57" s="98">
        <f>+YEAR(PROVEEDORES[[#This Row],[FECHA DE FACTURACIÓN]])</f>
        <v>2023</v>
      </c>
      <c r="W57" s="98">
        <f>+MATCH(PROVEEDORES[[#This Row],[año facturado]],Retenciones!$1:$1,0)</f>
        <v>6</v>
      </c>
      <c r="X57" s="99">
        <f>+VLOOKUP(PROVEEDORES[[#This Row],[ID RETENCION]],Retenciones!$A$1:$O$25,PROVEEDORES[[#This Row],[indicador de columna]],FALSE)</f>
        <v>0</v>
      </c>
      <c r="Y57" s="100">
        <f>+VLOOKUP(PROVEEDORES[[#This Row],[ID RETENCION]],Retenciones!$A$1:$O$25,2,FALSE)</f>
        <v>0</v>
      </c>
      <c r="Z57" s="103" t="b">
        <f>OR(COUNTIF(PROVEEDORES[[#This Row],[PROVEEDOR]],"*"&amp;'Palabra no opera'!$A$2&amp;"*"))</f>
        <v>0</v>
      </c>
    </row>
    <row r="58" spans="1:26" ht="22.35" customHeight="1" x14ac:dyDescent="0.25">
      <c r="A58" s="207" t="str">
        <f>+IF(PROVEEDORES[[#This Row],[FECHA DE PAGO]]=PROVEEDORES[[#This Row],[FECHA DE FACTURACIÓN]],"DE CONTADO","CRÉDITO")</f>
        <v>CRÉDITO</v>
      </c>
      <c r="B58" s="38" t="b">
        <f>+IF((PROVEEDORES[[#This Row],[FECHA DE PAGO]]-PROVEEDORES[[#This Row],[FECHA DE FACTURACIÓN]])&gt;PROVEEDORES[[#This Row],[PLAZO Días]],"PAGO VENCIDO")</f>
        <v>0</v>
      </c>
      <c r="C58" s="20">
        <f>+VLOOKUP(PROVEEDORES[[#This Row],[PROVEEDOR]],TERCEROS_INFO[#All],2,FALSE)</f>
        <v>30</v>
      </c>
      <c r="D58" s="25">
        <f>+SUMIFS(PROVEEDORES[Total],PROVEEDORES[PROVEEDOR],PROVEEDORES[[#This Row],[PROVEEDOR]],PROVEEDORES[FECHA DE PAGO],"")</f>
        <v>0</v>
      </c>
      <c r="E58" s="25"/>
      <c r="F58" s="56" t="str">
        <f>+VLOOKUP(PROVEEDORES[[#This Row],[PROVEEDOR]],
                       Terceros!$A:$F,
                       5,
                       FALSE)</f>
        <v/>
      </c>
      <c r="G58" s="289">
        <v>45097</v>
      </c>
      <c r="H58" s="26" t="s">
        <v>521</v>
      </c>
      <c r="I58" s="289">
        <v>45095</v>
      </c>
      <c r="J58" s="35" t="s">
        <v>912</v>
      </c>
      <c r="K58" s="21">
        <v>3718000</v>
      </c>
      <c r="L58" s="21"/>
      <c r="M58" s="22">
        <f>(PROVEEDORES[[#This Row],[SUBTOTAL]]-PROVEEDORES[[#This Row],[descuento sobre subtotal]])*VLOOKUP(PROVEEDORES[[#This Row],[PROVEEDOR]],TERCEROS_INFO[#All],3,FALSE)</f>
        <v>0</v>
      </c>
      <c r="N58" s="23"/>
      <c r="O58" s="22">
        <f>+PROVEEDORES[[#This Row],[Descuento sobre subtotal %]]*(PROVEEDORES[[#This Row],[SUBTOTAL]]-PROVEEDORES[[#This Row],[descuento sobre subtotal]])</f>
        <v>0</v>
      </c>
      <c r="P58" s="72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f>+PROVEEDORES[[#This Row],[SUBTOTAL]]+PROVEEDORES[[#This Row],[IVA 19%]]-PROVEEDORES[[#This Row],[descuento sobre subtotal]]-PROVEEDORES[[#This Row],[Descuento sobre subtotal $2]]-PROVEEDORES[[#This Row],[Rete Fuente $]]</f>
        <v>3718000</v>
      </c>
      <c r="S5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1">
        <f ca="1">IF(PROVEEDORES[[#This Row],[FECHA DE PAGO]]=0,TODAY()-PROVEEDORES[[#This Row],[FECHA DE FACTURACIÓN]]-PROVEEDORES[[#This Row],[PLAZO Días]],0)</f>
        <v>0</v>
      </c>
      <c r="U58" s="97">
        <f>+VLOOKUP(PROVEEDORES[[#This Row],[PROVEEDOR]],Terceros!$A:$D,4,FALSE)</f>
        <v>0</v>
      </c>
      <c r="V58" s="98">
        <f>+YEAR(PROVEEDORES[[#This Row],[FECHA DE FACTURACIÓN]])</f>
        <v>2023</v>
      </c>
      <c r="W58" s="98">
        <f>+MATCH(PROVEEDORES[[#This Row],[año facturado]],Retenciones!$1:$1,0)</f>
        <v>6</v>
      </c>
      <c r="X58" s="99">
        <f>+VLOOKUP(PROVEEDORES[[#This Row],[ID RETENCION]],Retenciones!$A$1:$O$25,PROVEEDORES[[#This Row],[indicador de columna]],FALSE)</f>
        <v>0</v>
      </c>
      <c r="Y58" s="100">
        <f>+VLOOKUP(PROVEEDORES[[#This Row],[ID RETENCION]],Retenciones!$A$1:$O$25,2,FALSE)</f>
        <v>0</v>
      </c>
      <c r="Z58" s="103" t="b">
        <f>OR(COUNTIF(PROVEEDORES[[#This Row],[PROVEEDOR]],"*"&amp;'Palabra no opera'!$A$2&amp;"*"))</f>
        <v>0</v>
      </c>
    </row>
    <row r="59" spans="1:26" ht="22.35" customHeight="1" x14ac:dyDescent="0.25">
      <c r="A59" s="65" t="str">
        <f>+IF(PROVEEDORES[[#This Row],[FECHA DE PAGO]]=PROVEEDORES[[#This Row],[FECHA DE FACTURACIÓN]],"DE CONTADO","CRÉDITO")</f>
        <v>CRÉDITO</v>
      </c>
      <c r="B59" s="38" t="b">
        <f>+IF((PROVEEDORES[[#This Row],[FECHA DE PAGO]]-PROVEEDORES[[#This Row],[FECHA DE FACTURACIÓN]])&gt;PROVEEDORES[[#This Row],[PLAZO Días]],"PAGO VENCIDO")</f>
        <v>0</v>
      </c>
      <c r="C59" s="20">
        <f>+VLOOKUP(PROVEEDORES[[#This Row],[PROVEEDOR]],TERCEROS_INFO[#All],2,FALSE)</f>
        <v>30</v>
      </c>
      <c r="D59" s="25">
        <f>+SUMIFS(PROVEEDORES[Total],PROVEEDORES[PROVEEDOR],PROVEEDORES[[#This Row],[PROVEEDOR]],PROVEEDORES[FECHA DE PAGO],"")</f>
        <v>0</v>
      </c>
      <c r="E59" s="25"/>
      <c r="F59" s="56" t="str">
        <f>+VLOOKUP(PROVEEDORES[[#This Row],[PROVEEDOR]],
                       Terceros!$A:$F,
                       5,
                       FALSE)</f>
        <v/>
      </c>
      <c r="G59" s="289">
        <v>45108</v>
      </c>
      <c r="H59" s="26" t="s">
        <v>521</v>
      </c>
      <c r="I59" s="289">
        <v>45107</v>
      </c>
      <c r="J59" s="35" t="s">
        <v>977</v>
      </c>
      <c r="K59" s="21">
        <v>2505000</v>
      </c>
      <c r="L59" s="21"/>
      <c r="M59" s="22">
        <f>(PROVEEDORES[[#This Row],[SUBTOTAL]]-PROVEEDORES[[#This Row],[descuento sobre subtotal]])*VLOOKUP(PROVEEDORES[[#This Row],[PROVEEDOR]],TERCEROS_INFO[#All],3,FALSE)</f>
        <v>0</v>
      </c>
      <c r="N59" s="23"/>
      <c r="O59" s="22">
        <f>+PROVEEDORES[[#This Row],[Descuento sobre subtotal %]]*(PROVEEDORES[[#This Row],[SUBTOTAL]]-PROVEEDORES[[#This Row],[descuento sobre subtotal]])</f>
        <v>0</v>
      </c>
      <c r="P59" s="72">
        <f>+IF(PROVEEDORES[[#This Row],[SUBTOTAL]]&lt;PROVEEDORES[[#This Row],[base retencion]],0,PROVEEDORES[[#This Row],[retención aplicada]])</f>
        <v>0</v>
      </c>
      <c r="Q59" s="22">
        <f>+PROVEEDORES[[#This Row],[Rete Fuente %]]*(PROVEEDORES[[#This Row],[SUBTOTAL]]-PROVEEDORES[[#This Row],[descuento sobre subtotal]])</f>
        <v>0</v>
      </c>
      <c r="R59" s="21">
        <f>+PROVEEDORES[[#This Row],[SUBTOTAL]]+PROVEEDORES[[#This Row],[IVA 19%]]-PROVEEDORES[[#This Row],[descuento sobre subtotal]]-PROVEEDORES[[#This Row],[Descuento sobre subtotal $2]]-PROVEEDORES[[#This Row],[Rete Fuente $]]</f>
        <v>2505000</v>
      </c>
      <c r="S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1">
        <f ca="1">IF(PROVEEDORES[[#This Row],[FECHA DE PAGO]]=0,TODAY()-PROVEEDORES[[#This Row],[FECHA DE FACTURACIÓN]]-PROVEEDORES[[#This Row],[PLAZO Días]],0)</f>
        <v>0</v>
      </c>
      <c r="U59" s="97">
        <f>+VLOOKUP(PROVEEDORES[[#This Row],[PROVEEDOR]],Terceros!$A:$D,4,FALSE)</f>
        <v>0</v>
      </c>
      <c r="V59" s="98">
        <f>+YEAR(PROVEEDORES[[#This Row],[FECHA DE FACTURACIÓN]])</f>
        <v>2023</v>
      </c>
      <c r="W59" s="98">
        <f>+MATCH(PROVEEDORES[[#This Row],[año facturado]],Retenciones!$1:$1,0)</f>
        <v>6</v>
      </c>
      <c r="X59" s="99">
        <f>+VLOOKUP(PROVEEDORES[[#This Row],[ID RETENCION]],Retenciones!$A$1:$O$25,PROVEEDORES[[#This Row],[indicador de columna]],FALSE)</f>
        <v>0</v>
      </c>
      <c r="Y59" s="100">
        <f>+VLOOKUP(PROVEEDORES[[#This Row],[ID RETENCION]],Retenciones!$A$1:$O$25,2,FALSE)</f>
        <v>0</v>
      </c>
      <c r="Z59" s="103" t="b">
        <f>OR(COUNTIF(PROVEEDORES[[#This Row],[PROVEEDOR]],"*"&amp;'Palabra no opera'!$A$2&amp;"*"))</f>
        <v>0</v>
      </c>
    </row>
    <row r="60" spans="1:26" ht="22.35" customHeight="1" x14ac:dyDescent="0.25">
      <c r="A60" s="65" t="str">
        <f>+IF(PROVEEDORES[[#This Row],[FECHA DE PAGO]]=PROVEEDORES[[#This Row],[FECHA DE FACTURACIÓN]],"DE CONTADO","CRÉDITO")</f>
        <v>CRÉDITO</v>
      </c>
      <c r="B60" s="38" t="b">
        <f>+IF((PROVEEDORES[[#This Row],[FECHA DE PAGO]]-PROVEEDORES[[#This Row],[FECHA DE FACTURACIÓN]])&gt;PROVEEDORES[[#This Row],[PLAZO Días]],"PAGO VENCIDO")</f>
        <v>0</v>
      </c>
      <c r="C60" s="20">
        <f>+VLOOKUP(PROVEEDORES[[#This Row],[PROVEEDOR]],TERCEROS_INFO[#All],2,FALSE)</f>
        <v>30</v>
      </c>
      <c r="D60" s="25">
        <f>+SUMIFS(PROVEEDORES[Total],PROVEEDORES[PROVEEDOR],PROVEEDORES[[#This Row],[PROVEEDOR]],PROVEEDORES[FECHA DE PAGO],"")</f>
        <v>0</v>
      </c>
      <c r="E60" s="25"/>
      <c r="F60" s="56" t="str">
        <f>+VLOOKUP(PROVEEDORES[[#This Row],[PROVEEDOR]],
                       Terceros!$A:$F,
                       5,
                       FALSE)</f>
        <v/>
      </c>
      <c r="G60" s="289">
        <v>45119</v>
      </c>
      <c r="H60" s="26" t="s">
        <v>521</v>
      </c>
      <c r="I60" s="289">
        <v>45118</v>
      </c>
      <c r="J60" s="35" t="s">
        <v>978</v>
      </c>
      <c r="K60" s="21">
        <v>4587000</v>
      </c>
      <c r="L60" s="21"/>
      <c r="M60" s="22">
        <f>(PROVEEDORES[[#This Row],[SUBTOTAL]]-PROVEEDORES[[#This Row],[descuento sobre subtotal]])*VLOOKUP(PROVEEDORES[[#This Row],[PROVEEDOR]],TERCEROS_INFO[#All],3,FALSE)</f>
        <v>0</v>
      </c>
      <c r="N60" s="23"/>
      <c r="O60" s="22">
        <f>+PROVEEDORES[[#This Row],[Descuento sobre subtotal %]]*(PROVEEDORES[[#This Row],[SUBTOTAL]]-PROVEEDORES[[#This Row],[descuento sobre subtotal]])</f>
        <v>0</v>
      </c>
      <c r="P60" s="72">
        <f>+IF(PROVEEDORES[[#This Row],[SUBTOTAL]]&lt;PROVEEDORES[[#This Row],[base retencion]],0,PROVEEDORES[[#This Row],[retención aplicada]])</f>
        <v>0</v>
      </c>
      <c r="Q60" s="22">
        <f>+PROVEEDORES[[#This Row],[Rete Fuente %]]*(PROVEEDORES[[#This Row],[SUBTOTAL]]-PROVEEDORES[[#This Row],[descuento sobre subtotal]])</f>
        <v>0</v>
      </c>
      <c r="R60" s="21">
        <f>+PROVEEDORES[[#This Row],[SUBTOTAL]]+PROVEEDORES[[#This Row],[IVA 19%]]-PROVEEDORES[[#This Row],[descuento sobre subtotal]]-PROVEEDORES[[#This Row],[Descuento sobre subtotal $2]]-PROVEEDORES[[#This Row],[Rete Fuente $]]</f>
        <v>4587000</v>
      </c>
      <c r="S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1">
        <f ca="1">IF(PROVEEDORES[[#This Row],[FECHA DE PAGO]]=0,TODAY()-PROVEEDORES[[#This Row],[FECHA DE FACTURACIÓN]]-PROVEEDORES[[#This Row],[PLAZO Días]],0)</f>
        <v>0</v>
      </c>
      <c r="U60" s="97">
        <f>+VLOOKUP(PROVEEDORES[[#This Row],[PROVEEDOR]],Terceros!$A:$D,4,FALSE)</f>
        <v>0</v>
      </c>
      <c r="V60" s="98">
        <f>+YEAR(PROVEEDORES[[#This Row],[FECHA DE FACTURACIÓN]])</f>
        <v>2023</v>
      </c>
      <c r="W60" s="98">
        <f>+MATCH(PROVEEDORES[[#This Row],[año facturado]],Retenciones!$1:$1,0)</f>
        <v>6</v>
      </c>
      <c r="X60" s="99">
        <f>+VLOOKUP(PROVEEDORES[[#This Row],[ID RETENCION]],Retenciones!$A$1:$O$25,PROVEEDORES[[#This Row],[indicador de columna]],FALSE)</f>
        <v>0</v>
      </c>
      <c r="Y60" s="100">
        <f>+VLOOKUP(PROVEEDORES[[#This Row],[ID RETENCION]],Retenciones!$A$1:$O$25,2,FALSE)</f>
        <v>0</v>
      </c>
      <c r="Z60" s="103" t="b">
        <f>OR(COUNTIF(PROVEEDORES[[#This Row],[PROVEEDOR]],"*"&amp;'Palabra no opera'!$A$2&amp;"*"))</f>
        <v>0</v>
      </c>
    </row>
    <row r="61" spans="1:26" ht="22.35" customHeight="1" x14ac:dyDescent="0.25">
      <c r="A61" s="65" t="str">
        <f>+IF(PROVEEDORES[[#This Row],[FECHA DE PAGO]]=PROVEEDORES[[#This Row],[FECHA DE FACTURACIÓN]],"DE CONTADO","CRÉDITO")</f>
        <v>CRÉDITO</v>
      </c>
      <c r="B61" s="38" t="b">
        <f>+IF((PROVEEDORES[[#This Row],[FECHA DE PAGO]]-PROVEEDORES[[#This Row],[FECHA DE FACTURACIÓN]])&gt;PROVEEDORES[[#This Row],[PLAZO Días]],"PAGO VENCIDO")</f>
        <v>0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0</v>
      </c>
      <c r="E61" s="25"/>
      <c r="F61" s="56" t="str">
        <f>+VLOOKUP(PROVEEDORES[[#This Row],[PROVEEDOR]],
                       Terceros!$A:$F,
                       5,
                       FALSE)</f>
        <v/>
      </c>
      <c r="G61" s="289">
        <v>45122</v>
      </c>
      <c r="H61" s="26" t="s">
        <v>521</v>
      </c>
      <c r="I61" s="289">
        <v>45121</v>
      </c>
      <c r="J61" s="35" t="s">
        <v>979</v>
      </c>
      <c r="K61" s="21">
        <v>6643000</v>
      </c>
      <c r="L61" s="21"/>
      <c r="M61" s="22">
        <f>(PROVEEDORES[[#This Row],[SUBTOTAL]]-PROVEEDORES[[#This Row],[descuento sobre subtotal]])*VLOOKUP(PROVEEDORES[[#This Row],[PROVEEDOR]],TERCEROS_INFO[#All],3,FALSE)</f>
        <v>0</v>
      </c>
      <c r="N61" s="23"/>
      <c r="O61" s="22">
        <f>+PROVEEDORES[[#This Row],[Descuento sobre subtotal %]]*(PROVEEDORES[[#This Row],[SUBTOTAL]]-PROVEEDORES[[#This Row],[descuento sobre subtotal]])</f>
        <v>0</v>
      </c>
      <c r="P61" s="72">
        <f>+IF(PROVEEDORES[[#This Row],[SUBTOTAL]]&lt;PROVEEDORES[[#This Row],[base retencion]],0,PROVEEDORES[[#This Row],[retención aplicada]])</f>
        <v>0</v>
      </c>
      <c r="Q61" s="22">
        <f>+PROVEEDORES[[#This Row],[Rete Fuente %]]*(PROVEEDORES[[#This Row],[SUBTOTAL]]-PROVEEDORES[[#This Row],[descuento sobre subtotal]])</f>
        <v>0</v>
      </c>
      <c r="R61" s="21">
        <f>+PROVEEDORES[[#This Row],[SUBTOTAL]]+PROVEEDORES[[#This Row],[IVA 19%]]-PROVEEDORES[[#This Row],[descuento sobre subtotal]]-PROVEEDORES[[#This Row],[Descuento sobre subtotal $2]]-PROVEEDORES[[#This Row],[Rete Fuente $]]</f>
        <v>6643000</v>
      </c>
      <c r="S6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1">
        <f ca="1">IF(PROVEEDORES[[#This Row],[FECHA DE PAGO]]=0,TODAY()-PROVEEDORES[[#This Row],[FECHA DE FACTURACIÓN]]-PROVEEDORES[[#This Row],[PLAZO Días]],0)</f>
        <v>0</v>
      </c>
      <c r="U61" s="97">
        <f>+VLOOKUP(PROVEEDORES[[#This Row],[PROVEEDOR]],Terceros!$A:$D,4,FALSE)</f>
        <v>0</v>
      </c>
      <c r="V61" s="98">
        <f>+YEAR(PROVEEDORES[[#This Row],[FECHA DE FACTURACIÓN]])</f>
        <v>2023</v>
      </c>
      <c r="W61" s="98">
        <f>+MATCH(PROVEEDORES[[#This Row],[año facturado]],Retenciones!$1:$1,0)</f>
        <v>6</v>
      </c>
      <c r="X61" s="99">
        <f>+VLOOKUP(PROVEEDORES[[#This Row],[ID RETENCION]],Retenciones!$A$1:$O$25,PROVEEDORES[[#This Row],[indicador de columna]],FALSE)</f>
        <v>0</v>
      </c>
      <c r="Y61" s="100">
        <f>+VLOOKUP(PROVEEDORES[[#This Row],[ID RETENCION]],Retenciones!$A$1:$O$25,2,FALSE)</f>
        <v>0</v>
      </c>
      <c r="Z61" s="103" t="b">
        <f>OR(COUNTIF(PROVEEDORES[[#This Row],[PROVEEDOR]],"*"&amp;'Palabra no opera'!$A$2&amp;"*"))</f>
        <v>0</v>
      </c>
    </row>
    <row r="62" spans="1:26" ht="22.35" customHeight="1" x14ac:dyDescent="0.25">
      <c r="A62" s="65" t="str">
        <f>+IF(PROVEEDORES[[#This Row],[FECHA DE PAGO]]=PROVEEDORES[[#This Row],[FECHA DE FACTURACIÓN]],"DE CONTADO","CRÉDITO")</f>
        <v>CRÉDITO</v>
      </c>
      <c r="B62" s="38" t="b">
        <f>+IF((PROVEEDORES[[#This Row],[FECHA DE PAGO]]-PROVEEDORES[[#This Row],[FECHA DE FACTURACIÓN]])&gt;PROVEEDORES[[#This Row],[PLAZO Días]],"PAGO VENCIDO")</f>
        <v>0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0</v>
      </c>
      <c r="E62" s="25"/>
      <c r="F62" s="56" t="str">
        <f>+VLOOKUP(PROVEEDORES[[#This Row],[PROVEEDOR]],
                       Terceros!$A:$F,
                       5,
                       FALSE)</f>
        <v/>
      </c>
      <c r="G62" s="289">
        <v>45129</v>
      </c>
      <c r="H62" s="26" t="s">
        <v>521</v>
      </c>
      <c r="I62" s="289">
        <v>45128</v>
      </c>
      <c r="J62" s="35" t="s">
        <v>980</v>
      </c>
      <c r="K62" s="21">
        <v>1600000</v>
      </c>
      <c r="L62" s="21"/>
      <c r="M62" s="22">
        <f>(PROVEEDORES[[#This Row],[SUBTOTAL]]-PROVEEDORES[[#This Row],[descuento sobre subtotal]])*VLOOKUP(PROVEEDORES[[#This Row],[PROVEEDOR]],TERCEROS_INFO[#All],3,FALSE)</f>
        <v>0</v>
      </c>
      <c r="N62" s="23"/>
      <c r="O62" s="22">
        <f>+PROVEEDORES[[#This Row],[Descuento sobre subtotal %]]*(PROVEEDORES[[#This Row],[SUBTOTAL]]-PROVEEDORES[[#This Row],[descuento sobre subtotal]])</f>
        <v>0</v>
      </c>
      <c r="P62" s="72">
        <f>+IF(PROVEEDORES[[#This Row],[SUBTOTAL]]&lt;PROVEEDORES[[#This Row],[base retencion]],0,PROVEEDORES[[#This Row],[retención aplicada]])</f>
        <v>0</v>
      </c>
      <c r="Q62" s="22">
        <f>+PROVEEDORES[[#This Row],[Rete Fuente %]]*(PROVEEDORES[[#This Row],[SUBTOTAL]]-PROVEEDORES[[#This Row],[descuento sobre subtotal]])</f>
        <v>0</v>
      </c>
      <c r="R62" s="21">
        <f>+PROVEEDORES[[#This Row],[SUBTOTAL]]+PROVEEDORES[[#This Row],[IVA 19%]]-PROVEEDORES[[#This Row],[descuento sobre subtotal]]-PROVEEDORES[[#This Row],[Descuento sobre subtotal $2]]-PROVEEDORES[[#This Row],[Rete Fuente $]]</f>
        <v>1600000</v>
      </c>
      <c r="S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1">
        <f ca="1">IF(PROVEEDORES[[#This Row],[FECHA DE PAGO]]=0,TODAY()-PROVEEDORES[[#This Row],[FECHA DE FACTURACIÓN]]-PROVEEDORES[[#This Row],[PLAZO Días]],0)</f>
        <v>0</v>
      </c>
      <c r="U62" s="97">
        <f>+VLOOKUP(PROVEEDORES[[#This Row],[PROVEEDOR]],Terceros!$A:$D,4,FALSE)</f>
        <v>0</v>
      </c>
      <c r="V62" s="98">
        <f>+YEAR(PROVEEDORES[[#This Row],[FECHA DE FACTURACIÓN]])</f>
        <v>2023</v>
      </c>
      <c r="W62" s="98">
        <f>+MATCH(PROVEEDORES[[#This Row],[año facturado]],Retenciones!$1:$1,0)</f>
        <v>6</v>
      </c>
      <c r="X62" s="99">
        <f>+VLOOKUP(PROVEEDORES[[#This Row],[ID RETENCION]],Retenciones!$A$1:$O$25,PROVEEDORES[[#This Row],[indicador de columna]],FALSE)</f>
        <v>0</v>
      </c>
      <c r="Y62" s="100">
        <f>+VLOOKUP(PROVEEDORES[[#This Row],[ID RETENCION]],Retenciones!$A$1:$O$25,2,FALSE)</f>
        <v>0</v>
      </c>
      <c r="Z62" s="103" t="b">
        <f>OR(COUNTIF(PROVEEDORES[[#This Row],[PROVEEDOR]],"*"&amp;'Palabra no opera'!$A$2&amp;"*"))</f>
        <v>0</v>
      </c>
    </row>
    <row r="63" spans="1:26" ht="22.35" customHeight="1" x14ac:dyDescent="0.25">
      <c r="A63" s="65" t="str">
        <f>+IF(PROVEEDORES[[#This Row],[FECHA DE PAGO]]=PROVEEDORES[[#This Row],[FECHA DE FACTURACIÓN]],"DE CONTADO","CRÉDITO")</f>
        <v>CRÉDITO</v>
      </c>
      <c r="B63" s="38" t="b">
        <f>+IF((PROVEEDORES[[#This Row],[FECHA DE PAGO]]-PROVEEDORES[[#This Row],[FECHA DE FACTURACIÓN]])&gt;PROVEEDORES[[#This Row],[PLAZO Días]],"PAGO VENCIDO")</f>
        <v>0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0</v>
      </c>
      <c r="E63" s="25"/>
      <c r="F63" s="56" t="str">
        <f>+VLOOKUP(PROVEEDORES[[#This Row],[PROVEEDOR]],
                       Terceros!$A:$F,
                       5,
                       FALSE)</f>
        <v/>
      </c>
      <c r="G63" s="289">
        <v>45140</v>
      </c>
      <c r="H63" s="26" t="s">
        <v>521</v>
      </c>
      <c r="I63" s="289">
        <v>45139</v>
      </c>
      <c r="J63" s="35" t="s">
        <v>1009</v>
      </c>
      <c r="K63" s="21">
        <v>10615000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72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f>+PROVEEDORES[[#This Row],[SUBTOTAL]]+PROVEEDORES[[#This Row],[IVA 19%]]-PROVEEDORES[[#This Row],[descuento sobre subtotal]]-PROVEEDORES[[#This Row],[Descuento sobre subtotal $2]]-PROVEEDORES[[#This Row],[Rete Fuente $]]</f>
        <v>10615000</v>
      </c>
      <c r="S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1">
        <f ca="1">IF(PROVEEDORES[[#This Row],[FECHA DE PAGO]]=0,TODAY()-PROVEEDORES[[#This Row],[FECHA DE FACTURACIÓN]]-PROVEEDORES[[#This Row],[PLAZO Días]],0)</f>
        <v>0</v>
      </c>
      <c r="U63" s="97">
        <f>+VLOOKUP(PROVEEDORES[[#This Row],[PROVEEDOR]],Terceros!$A:$D,4,FALSE)</f>
        <v>0</v>
      </c>
      <c r="V63" s="98">
        <f>+YEAR(PROVEEDORES[[#This Row],[FECHA DE FACTURACIÓN]])</f>
        <v>2023</v>
      </c>
      <c r="W63" s="98">
        <f>+MATCH(PROVEEDORES[[#This Row],[año facturado]],Retenciones!$1:$1,0)</f>
        <v>6</v>
      </c>
      <c r="X63" s="99">
        <f>+VLOOKUP(PROVEEDORES[[#This Row],[ID RETENCION]],Retenciones!$A$1:$O$25,PROVEEDORES[[#This Row],[indicador de columna]],FALSE)</f>
        <v>0</v>
      </c>
      <c r="Y63" s="100">
        <f>+VLOOKUP(PROVEEDORES[[#This Row],[ID RETENCION]],Retenciones!$A$1:$O$25,2,FALSE)</f>
        <v>0</v>
      </c>
      <c r="Z63" s="103" t="b">
        <f>OR(COUNTIF(PROVEEDORES[[#This Row],[PROVEEDOR]],"*"&amp;'Palabra no opera'!$A$2&amp;"*"))</f>
        <v>0</v>
      </c>
    </row>
    <row r="64" spans="1:26" ht="22.35" customHeight="1" x14ac:dyDescent="0.25">
      <c r="A64" s="65" t="str">
        <f>+IF(PROVEEDORES[[#This Row],[FECHA DE PAGO]]=PROVEEDORES[[#This Row],[FECHA DE FACTURACIÓN]],"DE CONTADO","CRÉDITO")</f>
        <v>CRÉDITO</v>
      </c>
      <c r="B64" s="38" t="b">
        <f>+IF((PROVEEDORES[[#This Row],[FECHA DE PAGO]]-PROVEEDORES[[#This Row],[FECHA DE FACTURACIÓN]])&gt;PROVEEDORES[[#This Row],[PLAZO Días]],"PAGO VENCIDO")</f>
        <v>0</v>
      </c>
      <c r="C64" s="20">
        <f>+VLOOKUP(PROVEEDORES[[#This Row],[PROVEEDOR]],TERCEROS_INFO[#All],2,FALSE)</f>
        <v>30</v>
      </c>
      <c r="D64" s="25">
        <f>+SUMIFS(PROVEEDORES[Total],PROVEEDORES[PROVEEDOR],PROVEEDORES[[#This Row],[PROVEEDOR]],PROVEEDORES[FECHA DE PAGO],"")</f>
        <v>0</v>
      </c>
      <c r="E64" s="25"/>
      <c r="F64" s="56" t="str">
        <f>+VLOOKUP(PROVEEDORES[[#This Row],[PROVEEDOR]],
                       Terceros!$A:$F,
                       5,
                       FALSE)</f>
        <v/>
      </c>
      <c r="G64" s="289">
        <v>45141</v>
      </c>
      <c r="H64" s="26" t="s">
        <v>521</v>
      </c>
      <c r="I64" s="289">
        <v>45140</v>
      </c>
      <c r="J64" s="35" t="s">
        <v>1012</v>
      </c>
      <c r="K64" s="21">
        <v>918000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72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f>+PROVEEDORES[[#This Row],[SUBTOTAL]]+PROVEEDORES[[#This Row],[IVA 19%]]-PROVEEDORES[[#This Row],[descuento sobre subtotal]]-PROVEEDORES[[#This Row],[Descuento sobre subtotal $2]]-PROVEEDORES[[#This Row],[Rete Fuente $]]</f>
        <v>918000</v>
      </c>
      <c r="S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1">
        <f ca="1">IF(PROVEEDORES[[#This Row],[FECHA DE PAGO]]=0,TODAY()-PROVEEDORES[[#This Row],[FECHA DE FACTURACIÓN]]-PROVEEDORES[[#This Row],[PLAZO Días]],0)</f>
        <v>0</v>
      </c>
      <c r="U64" s="97">
        <f>+VLOOKUP(PROVEEDORES[[#This Row],[PROVEEDOR]],Terceros!$A:$D,4,FALSE)</f>
        <v>0</v>
      </c>
      <c r="V64" s="98">
        <f>+YEAR(PROVEEDORES[[#This Row],[FECHA DE FACTURACIÓN]])</f>
        <v>2023</v>
      </c>
      <c r="W64" s="98">
        <f>+MATCH(PROVEEDORES[[#This Row],[año facturado]],Retenciones!$1:$1,0)</f>
        <v>6</v>
      </c>
      <c r="X64" s="99">
        <f>+VLOOKUP(PROVEEDORES[[#This Row],[ID RETENCION]],Retenciones!$A$1:$O$25,PROVEEDORES[[#This Row],[indicador de columna]],FALSE)</f>
        <v>0</v>
      </c>
      <c r="Y64" s="100">
        <f>+VLOOKUP(PROVEEDORES[[#This Row],[ID RETENCION]],Retenciones!$A$1:$O$25,2,FALSE)</f>
        <v>0</v>
      </c>
      <c r="Z64" s="103" t="b">
        <f>OR(COUNTIF(PROVEEDORES[[#This Row],[PROVEEDOR]],"*"&amp;'Palabra no opera'!$A$2&amp;"*"))</f>
        <v>0</v>
      </c>
    </row>
    <row r="65" spans="1:26" ht="22.35" customHeight="1" x14ac:dyDescent="0.25">
      <c r="A65" s="65" t="str">
        <f>+IF(PROVEEDORES[[#This Row],[FECHA DE PAGO]]=PROVEEDORES[[#This Row],[FECHA DE FACTURACIÓN]],"DE CONTADO","CRÉDITO")</f>
        <v>CRÉDITO</v>
      </c>
      <c r="B65" s="38" t="b">
        <f>+IF((PROVEEDORES[[#This Row],[FECHA DE PAGO]]-PROVEEDORES[[#This Row],[FECHA DE FACTURACIÓN]])&gt;PROVEEDORES[[#This Row],[PLAZO Días]],"PAGO VENCIDO")</f>
        <v>0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0</v>
      </c>
      <c r="E65" s="25"/>
      <c r="F65" s="56" t="str">
        <f>+VLOOKUP(PROVEEDORES[[#This Row],[PROVEEDOR]],
                       Terceros!$A:$F,
                       5,
                       FALSE)</f>
        <v/>
      </c>
      <c r="G65" s="289">
        <v>45150</v>
      </c>
      <c r="H65" s="26" t="s">
        <v>521</v>
      </c>
      <c r="I65" s="289">
        <v>45149</v>
      </c>
      <c r="J65" s="35" t="s">
        <v>1014</v>
      </c>
      <c r="K65" s="21">
        <v>3395000</v>
      </c>
      <c r="L65" s="21"/>
      <c r="M65" s="22">
        <f>(PROVEEDORES[[#This Row],[SUBTOTAL]]-PROVEEDORES[[#This Row],[descuento sobre subtotal]])*VLOOKUP(PROVEEDORES[[#This Row],[PROVEEDOR]],TERCEROS_INFO[#All],3,FALSE)</f>
        <v>0</v>
      </c>
      <c r="N65" s="23"/>
      <c r="O65" s="22">
        <f>+PROVEEDORES[[#This Row],[Descuento sobre subtotal %]]*(PROVEEDORES[[#This Row],[SUBTOTAL]]-PROVEEDORES[[#This Row],[descuento sobre subtotal]])</f>
        <v>0</v>
      </c>
      <c r="P65" s="72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3395000</v>
      </c>
      <c r="S6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1">
        <f ca="1">IF(PROVEEDORES[[#This Row],[FECHA DE PAGO]]=0,TODAY()-PROVEEDORES[[#This Row],[FECHA DE FACTURACIÓN]]-PROVEEDORES[[#This Row],[PLAZO Días]],0)</f>
        <v>0</v>
      </c>
      <c r="U65" s="97">
        <f>+VLOOKUP(PROVEEDORES[[#This Row],[PROVEEDOR]],Terceros!$A:$D,4,FALSE)</f>
        <v>0</v>
      </c>
      <c r="V65" s="98">
        <f>+YEAR(PROVEEDORES[[#This Row],[FECHA DE FACTURACIÓN]])</f>
        <v>2023</v>
      </c>
      <c r="W65" s="98">
        <f>+MATCH(PROVEEDORES[[#This Row],[año facturado]],Retenciones!$1:$1,0)</f>
        <v>6</v>
      </c>
      <c r="X65" s="99">
        <f>+VLOOKUP(PROVEEDORES[[#This Row],[ID RETENCION]],Retenciones!$A$1:$O$25,PROVEEDORES[[#This Row],[indicador de columna]],FALSE)</f>
        <v>0</v>
      </c>
      <c r="Y65" s="100">
        <f>+VLOOKUP(PROVEEDORES[[#This Row],[ID RETENCION]],Retenciones!$A$1:$O$25,2,FALSE)</f>
        <v>0</v>
      </c>
      <c r="Z65" s="103" t="b">
        <f>OR(COUNTIF(PROVEEDORES[[#This Row],[PROVEEDOR]],"*"&amp;'Palabra no opera'!$A$2&amp;"*"))</f>
        <v>0</v>
      </c>
    </row>
    <row r="66" spans="1:26" ht="22.35" customHeight="1" x14ac:dyDescent="0.25">
      <c r="A66" s="229" t="str">
        <f>+IF(PROVEEDORES[[#This Row],[FECHA DE PAGO]]=PROVEEDORES[[#This Row],[FECHA DE FACTURACIÓN]],"DE CONTADO","CRÉDITO")</f>
        <v>CRÉDITO</v>
      </c>
      <c r="B66" s="38" t="b">
        <f>+IF((PROVEEDORES[[#This Row],[FECHA DE PAGO]]-PROVEEDORES[[#This Row],[FECHA DE FACTURACIÓN]])&gt;PROVEEDORES[[#This Row],[PLAZO Días]],"PAGO VENCIDO")</f>
        <v>0</v>
      </c>
      <c r="C66" s="20">
        <f>+VLOOKUP(PROVEEDORES[[#This Row],[PROVEEDOR]],TERCEROS_INFO[#All],2,FALSE)</f>
        <v>30</v>
      </c>
      <c r="D66" s="25">
        <f>+SUMIFS(PROVEEDORES[Total],PROVEEDORES[PROVEEDOR],PROVEEDORES[[#This Row],[PROVEEDOR]],PROVEEDORES[FECHA DE PAGO],"")</f>
        <v>0</v>
      </c>
      <c r="E66" s="25"/>
      <c r="F66" s="56" t="str">
        <f>+VLOOKUP(PROVEEDORES[[#This Row],[PROVEEDOR]],
                       Terceros!$A:$F,
                       5,
                       FALSE)</f>
        <v/>
      </c>
      <c r="G66" s="289">
        <v>45169</v>
      </c>
      <c r="H66" s="26" t="s">
        <v>521</v>
      </c>
      <c r="I66" s="289">
        <v>45168</v>
      </c>
      <c r="J66" s="35" t="s">
        <v>1075</v>
      </c>
      <c r="K66" s="21">
        <v>5655000</v>
      </c>
      <c r="L66" s="21"/>
      <c r="M66" s="22">
        <f>(PROVEEDORES[[#This Row],[SUBTOTAL]]-PROVEEDORES[[#This Row],[descuento sobre subtotal]])*VLOOKUP(PROVEEDORES[[#This Row],[PROVEEDOR]],TERCEROS_INFO[#All],3,FALSE)</f>
        <v>0</v>
      </c>
      <c r="N66" s="23"/>
      <c r="O66" s="22">
        <f>+PROVEEDORES[[#This Row],[Descuento sobre subtotal %]]*(PROVEEDORES[[#This Row],[SUBTOTAL]]-PROVEEDORES[[#This Row],[descuento sobre subtotal]])</f>
        <v>0</v>
      </c>
      <c r="P66" s="72">
        <f>+IF(PROVEEDORES[[#This Row],[SUBTOTAL]]&lt;PROVEEDORES[[#This Row],[base retencion]],0,PROVEEDORES[[#This Row],[retención aplicada]])</f>
        <v>0</v>
      </c>
      <c r="Q66" s="22">
        <f>+PROVEEDORES[[#This Row],[Rete Fuente %]]*(PROVEEDORES[[#This Row],[SUBTOTAL]]-PROVEEDORES[[#This Row],[descuento sobre subtotal]])</f>
        <v>0</v>
      </c>
      <c r="R66" s="21">
        <f>+PROVEEDORES[[#This Row],[SUBTOTAL]]+PROVEEDORES[[#This Row],[IVA 19%]]-PROVEEDORES[[#This Row],[descuento sobre subtotal]]-PROVEEDORES[[#This Row],[Descuento sobre subtotal $2]]-PROVEEDORES[[#This Row],[Rete Fuente $]]</f>
        <v>5655000</v>
      </c>
      <c r="S6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1">
        <f ca="1">IF(PROVEEDORES[[#This Row],[FECHA DE PAGO]]=0,TODAY()-PROVEEDORES[[#This Row],[FECHA DE FACTURACIÓN]]-PROVEEDORES[[#This Row],[PLAZO Días]],0)</f>
        <v>0</v>
      </c>
      <c r="U66" s="97">
        <f>+VLOOKUP(PROVEEDORES[[#This Row],[PROVEEDOR]],Terceros!$A:$D,4,FALSE)</f>
        <v>0</v>
      </c>
      <c r="V66" s="98">
        <f>+YEAR(PROVEEDORES[[#This Row],[FECHA DE FACTURACIÓN]])</f>
        <v>2023</v>
      </c>
      <c r="W66" s="98">
        <f>+MATCH(PROVEEDORES[[#This Row],[año facturado]],Retenciones!$1:$1,0)</f>
        <v>6</v>
      </c>
      <c r="X66" s="99">
        <f>+VLOOKUP(PROVEEDORES[[#This Row],[ID RETENCION]],Retenciones!$A$1:$O$25,PROVEEDORES[[#This Row],[indicador de columna]],FALSE)</f>
        <v>0</v>
      </c>
      <c r="Y66" s="100">
        <f>+VLOOKUP(PROVEEDORES[[#This Row],[ID RETENCION]],Retenciones!$A$1:$O$25,2,FALSE)</f>
        <v>0</v>
      </c>
      <c r="Z66" s="103" t="b">
        <f>OR(COUNTIF(PROVEEDORES[[#This Row],[PROVEEDOR]],"*"&amp;'Palabra no opera'!$A$2&amp;"*"))</f>
        <v>0</v>
      </c>
    </row>
    <row r="67" spans="1:26" ht="22.35" customHeight="1" x14ac:dyDescent="0.25">
      <c r="A67" s="243" t="str">
        <f>+IF(PROVEEDORES[[#This Row],[FECHA DE PAGO]]=PROVEEDORES[[#This Row],[FECHA DE FACTURACIÓN]],"DE CONTADO","CRÉDITO")</f>
        <v>DE CONTADO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0</v>
      </c>
      <c r="E67" s="25"/>
      <c r="F67" s="56" t="str">
        <f>+VLOOKUP(PROVEEDORES[[#This Row],[PROVEEDOR]],
                       Terceros!$A:$F,
                       5,
                       FALSE)</f>
        <v/>
      </c>
      <c r="G67" s="289">
        <v>45183</v>
      </c>
      <c r="H67" s="26" t="s">
        <v>521</v>
      </c>
      <c r="I67" s="289">
        <v>45183</v>
      </c>
      <c r="J67" s="35" t="s">
        <v>1159</v>
      </c>
      <c r="K67" s="21">
        <v>3672000</v>
      </c>
      <c r="L67" s="21"/>
      <c r="M67" s="22">
        <f>(PROVEEDORES[[#This Row],[SUBTOTAL]]-PROVEEDORES[[#This Row],[descuento sobre subtotal]])*VLOOKUP(PROVEEDORES[[#This Row],[PROVEEDOR]],TERCEROS_INFO[#All],3,FALSE)</f>
        <v>0</v>
      </c>
      <c r="N67" s="23"/>
      <c r="O67" s="22">
        <f>+PROVEEDORES[[#This Row],[Descuento sobre subtotal %]]*(PROVEEDORES[[#This Row],[SUBTOTAL]]-PROVEEDORES[[#This Row],[descuento sobre subtotal]])</f>
        <v>0</v>
      </c>
      <c r="P67" s="72">
        <f>+IF(PROVEEDORES[[#This Row],[SUBTOTAL]]&lt;PROVEEDORES[[#This Row],[base retencion]],0,PROVEEDORES[[#This Row],[retención aplicada]])</f>
        <v>0</v>
      </c>
      <c r="Q67" s="22">
        <f>+PROVEEDORES[[#This Row],[Rete Fuente %]]*(PROVEEDORES[[#This Row],[SUBTOTAL]]-PROVEEDORES[[#This Row],[descuento sobre subtotal]])</f>
        <v>0</v>
      </c>
      <c r="R67" s="21">
        <f>+PROVEEDORES[[#This Row],[SUBTOTAL]]+PROVEEDORES[[#This Row],[IVA 19%]]-PROVEEDORES[[#This Row],[descuento sobre subtotal]]-PROVEEDORES[[#This Row],[Descuento sobre subtotal $2]]-PROVEEDORES[[#This Row],[Rete Fuente $]]</f>
        <v>3672000</v>
      </c>
      <c r="S67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1">
        <f ca="1">IF(PROVEEDORES[[#This Row],[FECHA DE PAGO]]=0,TODAY()-PROVEEDORES[[#This Row],[FECHA DE FACTURACIÓN]]-PROVEEDORES[[#This Row],[PLAZO Días]],0)</f>
        <v>0</v>
      </c>
      <c r="U67" s="97">
        <f>+VLOOKUP(PROVEEDORES[[#This Row],[PROVEEDOR]],Terceros!$A:$D,4,FALSE)</f>
        <v>0</v>
      </c>
      <c r="V67" s="98">
        <f>+YEAR(PROVEEDORES[[#This Row],[FECHA DE FACTURACIÓN]])</f>
        <v>2023</v>
      </c>
      <c r="W67" s="98">
        <f>+MATCH(PROVEEDORES[[#This Row],[año facturado]],Retenciones!$1:$1,0)</f>
        <v>6</v>
      </c>
      <c r="X67" s="99">
        <f>+VLOOKUP(PROVEEDORES[[#This Row],[ID RETENCION]],Retenciones!$A$1:$O$25,PROVEEDORES[[#This Row],[indicador de columna]],FALSE)</f>
        <v>0</v>
      </c>
      <c r="Y67" s="100">
        <f>+VLOOKUP(PROVEEDORES[[#This Row],[ID RETENCION]],Retenciones!$A$1:$O$25,2,FALSE)</f>
        <v>0</v>
      </c>
      <c r="Z67" s="103" t="b">
        <f>OR(COUNTIF(PROVEEDORES[[#This Row],[PROVEEDOR]],"*"&amp;'Palabra no opera'!$A$2&amp;"*"))</f>
        <v>0</v>
      </c>
    </row>
    <row r="68" spans="1:26" ht="22.35" customHeight="1" x14ac:dyDescent="0.25">
      <c r="A68" s="243" t="str">
        <f>+IF(PROVEEDORES[[#This Row],[FECHA DE PAGO]]=PROVEEDORES[[#This Row],[FECHA DE FACTURACIÓN]],"DE CONTADO","CRÉDITO")</f>
        <v>DE CONTADO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0</v>
      </c>
      <c r="E68" s="25"/>
      <c r="F68" s="56" t="str">
        <f>+VLOOKUP(PROVEEDORES[[#This Row],[PROVEEDOR]],
                       Terceros!$A:$F,
                       5,
                       FALSE)</f>
        <v/>
      </c>
      <c r="G68" s="289">
        <v>45187</v>
      </c>
      <c r="H68" s="26" t="s">
        <v>521</v>
      </c>
      <c r="I68" s="289">
        <v>45187</v>
      </c>
      <c r="J68" s="35" t="s">
        <v>1160</v>
      </c>
      <c r="K68" s="21">
        <v>1348000</v>
      </c>
      <c r="L68" s="21"/>
      <c r="M68" s="22">
        <f>(PROVEEDORES[[#This Row],[SUBTOTAL]]-PROVEEDORES[[#This Row],[descuento sobre subtotal]])*VLOOKUP(PROVEEDORES[[#This Row],[PROVEEDOR]],TERCEROS_INFO[#All],3,FALSE)</f>
        <v>0</v>
      </c>
      <c r="N68" s="23"/>
      <c r="O68" s="22">
        <f>+PROVEEDORES[[#This Row],[Descuento sobre subtotal %]]*(PROVEEDORES[[#This Row],[SUBTOTAL]]-PROVEEDORES[[#This Row],[descuento sobre subtotal]])</f>
        <v>0</v>
      </c>
      <c r="P68" s="72">
        <f>+IF(PROVEEDORES[[#This Row],[SUBTOTAL]]&lt;PROVEEDORES[[#This Row],[base retencion]],0,PROVEEDORES[[#This Row],[retención aplicada]])</f>
        <v>0</v>
      </c>
      <c r="Q68" s="22">
        <f>+PROVEEDORES[[#This Row],[Rete Fuente %]]*(PROVEEDORES[[#This Row],[SUBTOTAL]]-PROVEEDORES[[#This Row],[descuento sobre subtotal]])</f>
        <v>0</v>
      </c>
      <c r="R68" s="21">
        <f>+PROVEEDORES[[#This Row],[SUBTOTAL]]+PROVEEDORES[[#This Row],[IVA 19%]]-PROVEEDORES[[#This Row],[descuento sobre subtotal]]-PROVEEDORES[[#This Row],[Descuento sobre subtotal $2]]-PROVEEDORES[[#This Row],[Rete Fuente $]]</f>
        <v>1348000</v>
      </c>
      <c r="S68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61">
        <f ca="1">IF(PROVEEDORES[[#This Row],[FECHA DE PAGO]]=0,TODAY()-PROVEEDORES[[#This Row],[FECHA DE FACTURACIÓN]]-PROVEEDORES[[#This Row],[PLAZO Días]],0)</f>
        <v>0</v>
      </c>
      <c r="U68" s="97">
        <f>+VLOOKUP(PROVEEDORES[[#This Row],[PROVEEDOR]],Terceros!$A:$D,4,FALSE)</f>
        <v>0</v>
      </c>
      <c r="V68" s="98">
        <f>+YEAR(PROVEEDORES[[#This Row],[FECHA DE FACTURACIÓN]])</f>
        <v>2023</v>
      </c>
      <c r="W68" s="98">
        <f>+MATCH(PROVEEDORES[[#This Row],[año facturado]],Retenciones!$1:$1,0)</f>
        <v>6</v>
      </c>
      <c r="X68" s="99">
        <f>+VLOOKUP(PROVEEDORES[[#This Row],[ID RETENCION]],Retenciones!$A$1:$O$25,PROVEEDORES[[#This Row],[indicador de columna]],FALSE)</f>
        <v>0</v>
      </c>
      <c r="Y68" s="100">
        <f>+VLOOKUP(PROVEEDORES[[#This Row],[ID RETENCION]],Retenciones!$A$1:$O$25,2,FALSE)</f>
        <v>0</v>
      </c>
      <c r="Z68" s="103" t="b">
        <f>OR(COUNTIF(PROVEEDORES[[#This Row],[PROVEEDOR]],"*"&amp;'Palabra no opera'!$A$2&amp;"*"))</f>
        <v>0</v>
      </c>
    </row>
    <row r="69" spans="1:26" ht="22.35" customHeight="1" x14ac:dyDescent="0.25">
      <c r="A69" s="243" t="str">
        <f>+IF(PROVEEDORES[[#This Row],[FECHA DE PAGO]]=PROVEEDORES[[#This Row],[FECHA DE FACTURACIÓN]],"DE CONTADO","CRÉDITO")</f>
        <v>CRÉDITO</v>
      </c>
      <c r="B69" s="38" t="b">
        <f>+IF((PROVEEDORES[[#This Row],[FECHA DE PAGO]]-PROVEEDORES[[#This Row],[FECHA DE FACTURACIÓN]])&gt;PROVEEDORES[[#This Row],[PLAZO Días]],"PAGO VENCIDO")</f>
        <v>0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0</v>
      </c>
      <c r="E69" s="25"/>
      <c r="F69" s="56" t="str">
        <f>+VLOOKUP(PROVEEDORES[[#This Row],[PROVEEDOR]],
                       Terceros!$A:$F,
                       5,
                       FALSE)</f>
        <v/>
      </c>
      <c r="G69" s="289">
        <v>45188</v>
      </c>
      <c r="H69" s="26" t="s">
        <v>521</v>
      </c>
      <c r="I69" s="289">
        <v>45187</v>
      </c>
      <c r="J69" s="35" t="s">
        <v>1161</v>
      </c>
      <c r="K69" s="21">
        <v>5788000</v>
      </c>
      <c r="L69" s="21"/>
      <c r="M69" s="22">
        <f>(PROVEEDORES[[#This Row],[SUBTOTAL]]-PROVEEDORES[[#This Row],[descuento sobre subtotal]])*VLOOKUP(PROVEEDORES[[#This Row],[PROVEEDOR]],TERCEROS_INFO[#All],3,FALSE)</f>
        <v>0</v>
      </c>
      <c r="N69" s="23"/>
      <c r="O69" s="22">
        <f>+PROVEEDORES[[#This Row],[Descuento sobre subtotal %]]*(PROVEEDORES[[#This Row],[SUBTOTAL]]-PROVEEDORES[[#This Row],[descuento sobre subtotal]])</f>
        <v>0</v>
      </c>
      <c r="P69" s="72">
        <f>+IF(PROVEEDORES[[#This Row],[SUBTOTAL]]&lt;PROVEEDORES[[#This Row],[base retencion]],0,PROVEEDORES[[#This Row],[retención aplicada]])</f>
        <v>0</v>
      </c>
      <c r="Q69" s="22">
        <f>+PROVEEDORES[[#This Row],[Rete Fuente %]]*(PROVEEDORES[[#This Row],[SUBTOTAL]]-PROVEEDORES[[#This Row],[descuento sobre subtotal]])</f>
        <v>0</v>
      </c>
      <c r="R69" s="21">
        <f>+PROVEEDORES[[#This Row],[SUBTOTAL]]+PROVEEDORES[[#This Row],[IVA 19%]]-PROVEEDORES[[#This Row],[descuento sobre subtotal]]-PROVEEDORES[[#This Row],[Descuento sobre subtotal $2]]-PROVEEDORES[[#This Row],[Rete Fuente $]]</f>
        <v>5788000</v>
      </c>
      <c r="S69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1">
        <f ca="1">IF(PROVEEDORES[[#This Row],[FECHA DE PAGO]]=0,TODAY()-PROVEEDORES[[#This Row],[FECHA DE FACTURACIÓN]]-PROVEEDORES[[#This Row],[PLAZO Días]],0)</f>
        <v>0</v>
      </c>
      <c r="U69" s="97">
        <f>+VLOOKUP(PROVEEDORES[[#This Row],[PROVEEDOR]],Terceros!$A:$D,4,FALSE)</f>
        <v>0</v>
      </c>
      <c r="V69" s="98">
        <f>+YEAR(PROVEEDORES[[#This Row],[FECHA DE FACTURACIÓN]])</f>
        <v>2023</v>
      </c>
      <c r="W69" s="98">
        <f>+MATCH(PROVEEDORES[[#This Row],[año facturado]],Retenciones!$1:$1,0)</f>
        <v>6</v>
      </c>
      <c r="X69" s="99">
        <f>+VLOOKUP(PROVEEDORES[[#This Row],[ID RETENCION]],Retenciones!$A$1:$O$25,PROVEEDORES[[#This Row],[indicador de columna]],FALSE)</f>
        <v>0</v>
      </c>
      <c r="Y69" s="100">
        <f>+VLOOKUP(PROVEEDORES[[#This Row],[ID RETENCION]],Retenciones!$A$1:$O$25,2,FALSE)</f>
        <v>0</v>
      </c>
      <c r="Z69" s="103" t="b">
        <f>OR(COUNTIF(PROVEEDORES[[#This Row],[PROVEEDOR]],"*"&amp;'Palabra no opera'!$A$2&amp;"*"))</f>
        <v>0</v>
      </c>
    </row>
    <row r="70" spans="1:26" ht="22.35" customHeight="1" x14ac:dyDescent="0.25">
      <c r="A70" s="65" t="str">
        <f>+IF(PROVEEDORES[[#This Row],[FECHA DE PAGO]]=PROVEEDORES[[#This Row],[FECHA DE FACTURACIÓN]],"DE CONTADO","CRÉDITO")</f>
        <v>CRÉDITO</v>
      </c>
      <c r="B70" s="38" t="b">
        <f>+IF((PROVEEDORES[[#This Row],[FECHA DE PAGO]]-PROVEEDORES[[#This Row],[FECHA DE FACTURACIÓN]])&gt;PROVEEDORES[[#This Row],[PLAZO Días]],"PAGO VENCIDO")</f>
        <v>0</v>
      </c>
      <c r="C70" s="20">
        <f>+VLOOKUP(PROVEEDORES[[#This Row],[PROVEEDOR]],TERCEROS_INFO[#All],2,FALSE)</f>
        <v>30</v>
      </c>
      <c r="D70" s="25">
        <f>+SUMIFS(PROVEEDORES[Total],PROVEEDORES[PROVEEDOR],PROVEEDORES[[#This Row],[PROVEEDOR]],PROVEEDORES[FECHA DE PAGO],"")</f>
        <v>0</v>
      </c>
      <c r="E70" s="25"/>
      <c r="F70" s="56" t="str">
        <f>+VLOOKUP(PROVEEDORES[[#This Row],[PROVEEDOR]],
                       Terceros!$A:$F,
                       5,
                       FALSE)</f>
        <v/>
      </c>
      <c r="G70" s="289">
        <v>45213</v>
      </c>
      <c r="H70" s="26" t="s">
        <v>521</v>
      </c>
      <c r="I70" s="289">
        <v>45212</v>
      </c>
      <c r="J70" s="35" t="s">
        <v>1193</v>
      </c>
      <c r="K70" s="21">
        <v>2740000</v>
      </c>
      <c r="L70" s="21"/>
      <c r="M70" s="22">
        <f>(PROVEEDORES[[#This Row],[SUBTOTAL]]-PROVEEDORES[[#This Row],[descuento sobre subtotal]])*VLOOKUP(PROVEEDORES[[#This Row],[PROVEEDOR]],TERCEROS_INFO[#All],3,FALSE)</f>
        <v>0</v>
      </c>
      <c r="N70" s="23"/>
      <c r="O70" s="22">
        <f>+PROVEEDORES[[#This Row],[Descuento sobre subtotal %]]*(PROVEEDORES[[#This Row],[SUBTOTAL]]-PROVEEDORES[[#This Row],[descuento sobre subtotal]])</f>
        <v>0</v>
      </c>
      <c r="P70" s="72">
        <f>+IF(PROVEEDORES[[#This Row],[SUBTOTAL]]&lt;PROVEEDORES[[#This Row],[base retencion]],0,PROVEEDORES[[#This Row],[retención aplicada]])</f>
        <v>0</v>
      </c>
      <c r="Q70" s="22">
        <f>+PROVEEDORES[[#This Row],[Rete Fuente %]]*(PROVEEDORES[[#This Row],[SUBTOTAL]]-PROVEEDORES[[#This Row],[descuento sobre subtotal]])</f>
        <v>0</v>
      </c>
      <c r="R70" s="21">
        <f>+PROVEEDORES[[#This Row],[SUBTOTAL]]+PROVEEDORES[[#This Row],[IVA 19%]]-PROVEEDORES[[#This Row],[descuento sobre subtotal]]-PROVEEDORES[[#This Row],[Descuento sobre subtotal $2]]-PROVEEDORES[[#This Row],[Rete Fuente $]]</f>
        <v>2740000</v>
      </c>
      <c r="S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1">
        <f ca="1">IF(PROVEEDORES[[#This Row],[FECHA DE PAGO]]=0,TODAY()-PROVEEDORES[[#This Row],[FECHA DE FACTURACIÓN]]-PROVEEDORES[[#This Row],[PLAZO Días]],0)</f>
        <v>0</v>
      </c>
      <c r="U70" s="97">
        <f>+VLOOKUP(PROVEEDORES[[#This Row],[PROVEEDOR]],Terceros!$A:$D,4,FALSE)</f>
        <v>0</v>
      </c>
      <c r="V70" s="98">
        <f>+YEAR(PROVEEDORES[[#This Row],[FECHA DE FACTURACIÓN]])</f>
        <v>2023</v>
      </c>
      <c r="W70" s="98">
        <f>+MATCH(PROVEEDORES[[#This Row],[año facturado]],Retenciones!$1:$1,0)</f>
        <v>6</v>
      </c>
      <c r="X70" s="99">
        <f>+VLOOKUP(PROVEEDORES[[#This Row],[ID RETENCION]],Retenciones!$A$1:$O$25,PROVEEDORES[[#This Row],[indicador de columna]],FALSE)</f>
        <v>0</v>
      </c>
      <c r="Y70" s="100">
        <f>+VLOOKUP(PROVEEDORES[[#This Row],[ID RETENCION]],Retenciones!$A$1:$O$25,2,FALSE)</f>
        <v>0</v>
      </c>
      <c r="Z70" s="103" t="b">
        <f>OR(COUNTIF(PROVEEDORES[[#This Row],[PROVEEDOR]],"*"&amp;'Palabra no opera'!$A$2&amp;"*"))</f>
        <v>0</v>
      </c>
    </row>
    <row r="71" spans="1:26" ht="22.35" customHeight="1" x14ac:dyDescent="0.25">
      <c r="A71" s="65" t="str">
        <f>+IF(PROVEEDORES[[#This Row],[FECHA DE PAGO]]=PROVEEDORES[[#This Row],[FECHA DE FACTURACIÓN]],"DE CONTADO","CRÉDITO")</f>
        <v>CRÉDITO</v>
      </c>
      <c r="B71" s="38" t="b">
        <f>+IF((PROVEEDORES[[#This Row],[FECHA DE PAGO]]-PROVEEDORES[[#This Row],[FECHA DE FACTURACIÓN]])&gt;PROVEEDORES[[#This Row],[PLAZO Días]],"PAGO VENCIDO")</f>
        <v>0</v>
      </c>
      <c r="C71" s="20">
        <f>+VLOOKUP(PROVEEDORES[[#This Row],[PROVEEDOR]],TERCEROS_INFO[#All],2,FALSE)</f>
        <v>30</v>
      </c>
      <c r="D71" s="25">
        <f>+SUMIFS(PROVEEDORES[Total],PROVEEDORES[PROVEEDOR],PROVEEDORES[[#This Row],[PROVEEDOR]],PROVEEDORES[FECHA DE PAGO],"")</f>
        <v>0</v>
      </c>
      <c r="E71" s="25"/>
      <c r="F71" s="56" t="str">
        <f>+VLOOKUP(PROVEEDORES[[#This Row],[PROVEEDOR]],
                       Terceros!$A:$F,
                       5,
                       FALSE)</f>
        <v/>
      </c>
      <c r="G71" s="289">
        <v>45218</v>
      </c>
      <c r="H71" s="26" t="s">
        <v>521</v>
      </c>
      <c r="I71" s="289">
        <v>45217</v>
      </c>
      <c r="J71" s="35" t="s">
        <v>1192</v>
      </c>
      <c r="K71" s="21">
        <v>6764000</v>
      </c>
      <c r="L71" s="21"/>
      <c r="M71" s="22">
        <f>(PROVEEDORES[[#This Row],[SUBTOTAL]]-PROVEEDORES[[#This Row],[descuento sobre subtotal]])*VLOOKUP(PROVEEDORES[[#This Row],[PROVEEDOR]],TERCEROS_INFO[#All],3,FALSE)</f>
        <v>0</v>
      </c>
      <c r="N71" s="23"/>
      <c r="O71" s="22">
        <f>+PROVEEDORES[[#This Row],[Descuento sobre subtotal %]]*(PROVEEDORES[[#This Row],[SUBTOTAL]]-PROVEEDORES[[#This Row],[descuento sobre subtotal]])</f>
        <v>0</v>
      </c>
      <c r="P71" s="72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f>+PROVEEDORES[[#This Row],[SUBTOTAL]]+PROVEEDORES[[#This Row],[IVA 19%]]-PROVEEDORES[[#This Row],[descuento sobre subtotal]]-PROVEEDORES[[#This Row],[Descuento sobre subtotal $2]]-PROVEEDORES[[#This Row],[Rete Fuente $]]</f>
        <v>6764000</v>
      </c>
      <c r="S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1">
        <f ca="1">IF(PROVEEDORES[[#This Row],[FECHA DE PAGO]]=0,TODAY()-PROVEEDORES[[#This Row],[FECHA DE FACTURACIÓN]]-PROVEEDORES[[#This Row],[PLAZO Días]],0)</f>
        <v>0</v>
      </c>
      <c r="U71" s="97">
        <f>+VLOOKUP(PROVEEDORES[[#This Row],[PROVEEDOR]],Terceros!$A:$D,4,FALSE)</f>
        <v>0</v>
      </c>
      <c r="V71" s="98">
        <f>+YEAR(PROVEEDORES[[#This Row],[FECHA DE FACTURACIÓN]])</f>
        <v>2023</v>
      </c>
      <c r="W71" s="98">
        <f>+MATCH(PROVEEDORES[[#This Row],[año facturado]],Retenciones!$1:$1,0)</f>
        <v>6</v>
      </c>
      <c r="X71" s="99">
        <f>+VLOOKUP(PROVEEDORES[[#This Row],[ID RETENCION]],Retenciones!$A$1:$O$25,PROVEEDORES[[#This Row],[indicador de columna]],FALSE)</f>
        <v>0</v>
      </c>
      <c r="Y71" s="100">
        <f>+VLOOKUP(PROVEEDORES[[#This Row],[ID RETENCION]],Retenciones!$A$1:$O$25,2,FALSE)</f>
        <v>0</v>
      </c>
      <c r="Z71" s="103" t="b">
        <f>OR(COUNTIF(PROVEEDORES[[#This Row],[PROVEEDOR]],"*"&amp;'Palabra no opera'!$A$2&amp;"*"))</f>
        <v>0</v>
      </c>
    </row>
    <row r="72" spans="1:26" ht="22.35" customHeight="1" x14ac:dyDescent="0.25">
      <c r="A72" s="65" t="str">
        <f>+IF(PROVEEDORES[[#This Row],[FECHA DE PAGO]]=PROVEEDORES[[#This Row],[FECHA DE FACTURACIÓN]],"DE CONTADO","CRÉDITO")</f>
        <v>CRÉDITO</v>
      </c>
      <c r="B72" s="38" t="b">
        <f>+IF((PROVEEDORES[[#This Row],[FECHA DE PAGO]]-PROVEEDORES[[#This Row],[FECHA DE FACTURACIÓN]])&gt;PROVEEDORES[[#This Row],[PLAZO Días]],"PAGO VENCIDO")</f>
        <v>0</v>
      </c>
      <c r="C72" s="20">
        <f>+VLOOKUP(PROVEEDORES[[#This Row],[PROVEEDOR]],TERCEROS_INFO[#All],2,FALSE)</f>
        <v>30</v>
      </c>
      <c r="D72" s="25">
        <f>+SUMIFS(PROVEEDORES[Total],PROVEEDORES[PROVEEDOR],PROVEEDORES[[#This Row],[PROVEEDOR]],PROVEEDORES[FECHA DE PAGO],"")</f>
        <v>0</v>
      </c>
      <c r="E72" s="25"/>
      <c r="F72" s="56" t="str">
        <f>+VLOOKUP(PROVEEDORES[[#This Row],[PROVEEDOR]],
                       Terceros!$A:$F,
                       5,
                       FALSE)</f>
        <v/>
      </c>
      <c r="G72" s="289">
        <v>45232</v>
      </c>
      <c r="H72" s="26" t="s">
        <v>521</v>
      </c>
      <c r="I72" s="289">
        <v>45231</v>
      </c>
      <c r="J72" s="35" t="s">
        <v>1333</v>
      </c>
      <c r="K72" s="21">
        <v>5136000</v>
      </c>
      <c r="L72" s="21"/>
      <c r="M72" s="22">
        <f>(PROVEEDORES[[#This Row],[SUBTOTAL]]-PROVEEDORES[[#This Row],[descuento sobre subtotal]])*VLOOKUP(PROVEEDORES[[#This Row],[PROVEEDOR]],TERCEROS_INFO[#All],3,FALSE)</f>
        <v>0</v>
      </c>
      <c r="N72" s="23"/>
      <c r="O72" s="22">
        <f>+PROVEEDORES[[#This Row],[Descuento sobre subtotal %]]*(PROVEEDORES[[#This Row],[SUBTOTAL]]-PROVEEDORES[[#This Row],[descuento sobre subtotal]])</f>
        <v>0</v>
      </c>
      <c r="P72" s="72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f>+PROVEEDORES[[#This Row],[SUBTOTAL]]+PROVEEDORES[[#This Row],[IVA 19%]]-PROVEEDORES[[#This Row],[descuento sobre subtotal]]-PROVEEDORES[[#This Row],[Descuento sobre subtotal $2]]-PROVEEDORES[[#This Row],[Rete Fuente $]]</f>
        <v>5136000</v>
      </c>
      <c r="S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1">
        <f ca="1">IF(PROVEEDORES[[#This Row],[FECHA DE PAGO]]=0,TODAY()-PROVEEDORES[[#This Row],[FECHA DE FACTURACIÓN]]-PROVEEDORES[[#This Row],[PLAZO Días]],0)</f>
        <v>0</v>
      </c>
      <c r="U72" s="97">
        <f>+VLOOKUP(PROVEEDORES[[#This Row],[PROVEEDOR]],Terceros!$A:$D,4,FALSE)</f>
        <v>0</v>
      </c>
      <c r="V72" s="98">
        <f>+YEAR(PROVEEDORES[[#This Row],[FECHA DE FACTURACIÓN]])</f>
        <v>2023</v>
      </c>
      <c r="W72" s="98">
        <f>+MATCH(PROVEEDORES[[#This Row],[año facturado]],Retenciones!$1:$1,0)</f>
        <v>6</v>
      </c>
      <c r="X72" s="99">
        <f>+VLOOKUP(PROVEEDORES[[#This Row],[ID RETENCION]],Retenciones!$A$1:$O$25,PROVEEDORES[[#This Row],[indicador de columna]],FALSE)</f>
        <v>0</v>
      </c>
      <c r="Y72" s="100">
        <f>+VLOOKUP(PROVEEDORES[[#This Row],[ID RETENCION]],Retenciones!$A$1:$O$25,2,FALSE)</f>
        <v>0</v>
      </c>
      <c r="Z72" s="103" t="b">
        <f>OR(COUNTIF(PROVEEDORES[[#This Row],[PROVEEDOR]],"*"&amp;'Palabra no opera'!$A$2&amp;"*"))</f>
        <v>0</v>
      </c>
    </row>
    <row r="73" spans="1:26" ht="22.35" customHeight="1" x14ac:dyDescent="0.25">
      <c r="A73" s="65" t="str">
        <f>+IF(PROVEEDORES[[#This Row],[FECHA DE PAGO]]=PROVEEDORES[[#This Row],[FECHA DE FACTURACIÓN]],"DE CONTADO","CRÉDITO")</f>
        <v>CRÉDITO</v>
      </c>
      <c r="B73" s="38" t="b">
        <f>+IF((PROVEEDORES[[#This Row],[FECHA DE PAGO]]-PROVEEDORES[[#This Row],[FECHA DE FACTURACIÓN]])&gt;PROVEEDORES[[#This Row],[PLAZO Días]],"PAGO VENCIDO")</f>
        <v>0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0</v>
      </c>
      <c r="E73" s="25"/>
      <c r="F73" s="56" t="str">
        <f>+VLOOKUP(PROVEEDORES[[#This Row],[PROVEEDOR]],
                       Terceros!$A:$F,
                       5,
                       FALSE)</f>
        <v/>
      </c>
      <c r="G73" s="289">
        <v>45233</v>
      </c>
      <c r="H73" s="26" t="s">
        <v>521</v>
      </c>
      <c r="I73" s="289">
        <v>45232</v>
      </c>
      <c r="J73" s="35" t="s">
        <v>1334</v>
      </c>
      <c r="K73" s="21">
        <v>2700000</v>
      </c>
      <c r="L73" s="21"/>
      <c r="M73" s="22">
        <f>(PROVEEDORES[[#This Row],[SUBTOTAL]]-PROVEEDORES[[#This Row],[descuento sobre subtotal]])*VLOOKUP(PROVEEDORES[[#This Row],[PROVEEDOR]],TERCEROS_INFO[#All],3,FALSE)</f>
        <v>0</v>
      </c>
      <c r="N73" s="23"/>
      <c r="O73" s="22">
        <f>+PROVEEDORES[[#This Row],[Descuento sobre subtotal %]]*(PROVEEDORES[[#This Row],[SUBTOTAL]]-PROVEEDORES[[#This Row],[descuento sobre subtotal]])</f>
        <v>0</v>
      </c>
      <c r="P73" s="72">
        <f>+IF(PROVEEDORES[[#This Row],[SUBTOTAL]]&lt;PROVEEDORES[[#This Row],[base retencion]],0,PROVEEDORES[[#This Row],[retención aplicada]])</f>
        <v>0</v>
      </c>
      <c r="Q73" s="22">
        <f>+PROVEEDORES[[#This Row],[Rete Fuente %]]*(PROVEEDORES[[#This Row],[SUBTOTAL]]-PROVEEDORES[[#This Row],[descuento sobre subtotal]])</f>
        <v>0</v>
      </c>
      <c r="R73" s="21">
        <f>+PROVEEDORES[[#This Row],[SUBTOTAL]]+PROVEEDORES[[#This Row],[IVA 19%]]-PROVEEDORES[[#This Row],[descuento sobre subtotal]]-PROVEEDORES[[#This Row],[Descuento sobre subtotal $2]]-PROVEEDORES[[#This Row],[Rete Fuente $]]</f>
        <v>2700000</v>
      </c>
      <c r="S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1">
        <f ca="1">IF(PROVEEDORES[[#This Row],[FECHA DE PAGO]]=0,TODAY()-PROVEEDORES[[#This Row],[FECHA DE FACTURACIÓN]]-PROVEEDORES[[#This Row],[PLAZO Días]],0)</f>
        <v>0</v>
      </c>
      <c r="U73" s="97">
        <f>+VLOOKUP(PROVEEDORES[[#This Row],[PROVEEDOR]],Terceros!$A:$D,4,FALSE)</f>
        <v>0</v>
      </c>
      <c r="V73" s="98">
        <f>+YEAR(PROVEEDORES[[#This Row],[FECHA DE FACTURACIÓN]])</f>
        <v>2023</v>
      </c>
      <c r="W73" s="98">
        <f>+MATCH(PROVEEDORES[[#This Row],[año facturado]],Retenciones!$1:$1,0)</f>
        <v>6</v>
      </c>
      <c r="X73" s="99">
        <f>+VLOOKUP(PROVEEDORES[[#This Row],[ID RETENCION]],Retenciones!$A$1:$O$25,PROVEEDORES[[#This Row],[indicador de columna]],FALSE)</f>
        <v>0</v>
      </c>
      <c r="Y73" s="100">
        <f>+VLOOKUP(PROVEEDORES[[#This Row],[ID RETENCION]],Retenciones!$A$1:$O$25,2,FALSE)</f>
        <v>0</v>
      </c>
      <c r="Z73" s="103" t="b">
        <f>OR(COUNTIF(PROVEEDORES[[#This Row],[PROVEEDOR]],"*"&amp;'Palabra no opera'!$A$2&amp;"*"))</f>
        <v>0</v>
      </c>
    </row>
    <row r="74" spans="1:26" ht="22.35" customHeight="1" x14ac:dyDescent="0.25">
      <c r="A74" s="65" t="str">
        <f>+IF(PROVEEDORES[[#This Row],[FECHA DE PAGO]]=PROVEEDORES[[#This Row],[FECHA DE FACTURACIÓN]],"DE CONTADO","CRÉDITO")</f>
        <v>CRÉDITO</v>
      </c>
      <c r="B74" s="38" t="b">
        <f>+IF((PROVEEDORES[[#This Row],[FECHA DE PAGO]]-PROVEEDORES[[#This Row],[FECHA DE FACTURACIÓN]])&gt;PROVEEDORES[[#This Row],[PLAZO Días]],"PAGO VENCIDO")</f>
        <v>0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0</v>
      </c>
      <c r="E74" s="25"/>
      <c r="F74" s="56" t="str">
        <f>+VLOOKUP(PROVEEDORES[[#This Row],[PROVEEDOR]],
                       Terceros!$A:$F,
                       5,
                       FALSE)</f>
        <v/>
      </c>
      <c r="G74" s="289">
        <v>45239</v>
      </c>
      <c r="H74" s="26" t="s">
        <v>521</v>
      </c>
      <c r="I74" s="289">
        <v>45238</v>
      </c>
      <c r="J74" s="35" t="s">
        <v>1335</v>
      </c>
      <c r="K74" s="21">
        <v>2128000</v>
      </c>
      <c r="L74" s="21"/>
      <c r="M74" s="22">
        <f>(PROVEEDORES[[#This Row],[SUBTOTAL]]-PROVEEDORES[[#This Row],[descuento sobre subtotal]])*VLOOKUP(PROVEEDORES[[#This Row],[PROVEEDOR]],TERCEROS_INFO[#All],3,FALSE)</f>
        <v>0</v>
      </c>
      <c r="N74" s="23"/>
      <c r="O74" s="22">
        <f>+PROVEEDORES[[#This Row],[Descuento sobre subtotal %]]*(PROVEEDORES[[#This Row],[SUBTOTAL]]-PROVEEDORES[[#This Row],[descuento sobre subtotal]])</f>
        <v>0</v>
      </c>
      <c r="P74" s="72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f>+PROVEEDORES[[#This Row],[SUBTOTAL]]+PROVEEDORES[[#This Row],[IVA 19%]]-PROVEEDORES[[#This Row],[descuento sobre subtotal]]-PROVEEDORES[[#This Row],[Descuento sobre subtotal $2]]-PROVEEDORES[[#This Row],[Rete Fuente $]]</f>
        <v>2128000</v>
      </c>
      <c r="S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1">
        <f ca="1">IF(PROVEEDORES[[#This Row],[FECHA DE PAGO]]=0,TODAY()-PROVEEDORES[[#This Row],[FECHA DE FACTURACIÓN]]-PROVEEDORES[[#This Row],[PLAZO Días]],0)</f>
        <v>0</v>
      </c>
      <c r="U74" s="97">
        <f>+VLOOKUP(PROVEEDORES[[#This Row],[PROVEEDOR]],Terceros!$A:$D,4,FALSE)</f>
        <v>0</v>
      </c>
      <c r="V74" s="98">
        <f>+YEAR(PROVEEDORES[[#This Row],[FECHA DE FACTURACIÓN]])</f>
        <v>2023</v>
      </c>
      <c r="W74" s="98">
        <f>+MATCH(PROVEEDORES[[#This Row],[año facturado]],Retenciones!$1:$1,0)</f>
        <v>6</v>
      </c>
      <c r="X74" s="99">
        <f>+VLOOKUP(PROVEEDORES[[#This Row],[ID RETENCION]],Retenciones!$A$1:$O$25,PROVEEDORES[[#This Row],[indicador de columna]],FALSE)</f>
        <v>0</v>
      </c>
      <c r="Y74" s="100">
        <f>+VLOOKUP(PROVEEDORES[[#This Row],[ID RETENCION]],Retenciones!$A$1:$O$25,2,FALSE)</f>
        <v>0</v>
      </c>
      <c r="Z74" s="103" t="b">
        <f>OR(COUNTIF(PROVEEDORES[[#This Row],[PROVEEDOR]],"*"&amp;'Palabra no opera'!$A$2&amp;"*"))</f>
        <v>0</v>
      </c>
    </row>
    <row r="75" spans="1:26" ht="22.35" customHeight="1" x14ac:dyDescent="0.25">
      <c r="A75" s="65" t="str">
        <f>+IF(PROVEEDORES[[#This Row],[FECHA DE PAGO]]=PROVEEDORES[[#This Row],[FECHA DE FACTURACIÓN]],"DE CONTADO","CRÉDITO")</f>
        <v>CRÉDITO</v>
      </c>
      <c r="B75" s="38" t="b">
        <f>+IF((PROVEEDORES[[#This Row],[FECHA DE PAGO]]-PROVEEDORES[[#This Row],[FECHA DE FACTURACIÓN]])&gt;PROVEEDORES[[#This Row],[PLAZO Días]],"PAGO VENCIDO")</f>
        <v>0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0</v>
      </c>
      <c r="E75" s="25"/>
      <c r="F75" s="56" t="str">
        <f>+VLOOKUP(PROVEEDORES[[#This Row],[PROVEEDOR]],
                       Terceros!$A:$F,
                       5,
                       FALSE)</f>
        <v/>
      </c>
      <c r="G75" s="289">
        <v>45246</v>
      </c>
      <c r="H75" s="26" t="s">
        <v>521</v>
      </c>
      <c r="I75" s="289">
        <v>45245</v>
      </c>
      <c r="J75" s="35" t="s">
        <v>1336</v>
      </c>
      <c r="K75" s="21">
        <v>4811000</v>
      </c>
      <c r="L75" s="21"/>
      <c r="M75" s="22">
        <f>(PROVEEDORES[[#This Row],[SUBTOTAL]]-PROVEEDORES[[#This Row],[descuento sobre subtotal]])*VLOOKUP(PROVEEDORES[[#This Row],[PROVEEDOR]],TERCEROS_INFO[#All],3,FALSE)</f>
        <v>0</v>
      </c>
      <c r="N75" s="23"/>
      <c r="O75" s="22">
        <f>+PROVEEDORES[[#This Row],[Descuento sobre subtotal %]]*(PROVEEDORES[[#This Row],[SUBTOTAL]]-PROVEEDORES[[#This Row],[descuento sobre subtotal]])</f>
        <v>0</v>
      </c>
      <c r="P75" s="72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f>+PROVEEDORES[[#This Row],[SUBTOTAL]]+PROVEEDORES[[#This Row],[IVA 19%]]-PROVEEDORES[[#This Row],[descuento sobre subtotal]]-PROVEEDORES[[#This Row],[Descuento sobre subtotal $2]]-PROVEEDORES[[#This Row],[Rete Fuente $]]</f>
        <v>4811000</v>
      </c>
      <c r="S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1">
        <f ca="1">IF(PROVEEDORES[[#This Row],[FECHA DE PAGO]]=0,TODAY()-PROVEEDORES[[#This Row],[FECHA DE FACTURACIÓN]]-PROVEEDORES[[#This Row],[PLAZO Días]],0)</f>
        <v>0</v>
      </c>
      <c r="U75" s="97">
        <f>+VLOOKUP(PROVEEDORES[[#This Row],[PROVEEDOR]],Terceros!$A:$D,4,FALSE)</f>
        <v>0</v>
      </c>
      <c r="V75" s="98">
        <f>+YEAR(PROVEEDORES[[#This Row],[FECHA DE FACTURACIÓN]])</f>
        <v>2023</v>
      </c>
      <c r="W75" s="98">
        <f>+MATCH(PROVEEDORES[[#This Row],[año facturado]],Retenciones!$1:$1,0)</f>
        <v>6</v>
      </c>
      <c r="X75" s="99">
        <f>+VLOOKUP(PROVEEDORES[[#This Row],[ID RETENCION]],Retenciones!$A$1:$O$25,PROVEEDORES[[#This Row],[indicador de columna]],FALSE)</f>
        <v>0</v>
      </c>
      <c r="Y75" s="100">
        <f>+VLOOKUP(PROVEEDORES[[#This Row],[ID RETENCION]],Retenciones!$A$1:$O$25,2,FALSE)</f>
        <v>0</v>
      </c>
      <c r="Z75" s="103" t="b">
        <f>OR(COUNTIF(PROVEEDORES[[#This Row],[PROVEEDOR]],"*"&amp;'Palabra no opera'!$A$2&amp;"*"))</f>
        <v>0</v>
      </c>
    </row>
    <row r="76" spans="1:26" ht="22.35" customHeight="1" x14ac:dyDescent="0.25">
      <c r="A76" s="65" t="str">
        <f>+IF(PROVEEDORES[[#This Row],[FECHA DE PAGO]]=PROVEEDORES[[#This Row],[FECHA DE FACTURACIÓN]],"DE CONTADO","CRÉDITO")</f>
        <v>DE CONTADO</v>
      </c>
      <c r="B76" s="38" t="b">
        <f>+IF((PROVEEDORES[[#This Row],[FECHA DE PAGO]]-PROVEEDORES[[#This Row],[FECHA DE FACTURACIÓN]])&gt;PROVEEDORES[[#This Row],[PLAZO Días]],"PAGO VENCIDO")</f>
        <v>0</v>
      </c>
      <c r="C76" s="20">
        <f>+VLOOKUP(PROVEEDORES[[#This Row],[PROVEEDOR]],TERCEROS_INFO[#All],2,FALSE)</f>
        <v>30</v>
      </c>
      <c r="D76" s="25">
        <f>+SUMIFS(PROVEEDORES[Total],PROVEEDORES[PROVEEDOR],PROVEEDORES[[#This Row],[PROVEEDOR]],PROVEEDORES[FECHA DE PAGO],"")</f>
        <v>0</v>
      </c>
      <c r="E76" s="25"/>
      <c r="F76" s="56" t="str">
        <f>+VLOOKUP(PROVEEDORES[[#This Row],[PROVEEDOR]],
                       Terceros!$A:$F,
                       5,
                       FALSE)</f>
        <v/>
      </c>
      <c r="G76" s="289">
        <v>45253</v>
      </c>
      <c r="H76" s="26" t="s">
        <v>521</v>
      </c>
      <c r="I76" s="289">
        <v>45253</v>
      </c>
      <c r="J76" s="35" t="s">
        <v>1337</v>
      </c>
      <c r="K76" s="21">
        <v>730000</v>
      </c>
      <c r="L76" s="21"/>
      <c r="M76" s="22">
        <f>(PROVEEDORES[[#This Row],[SUBTOTAL]]-PROVEEDORES[[#This Row],[descuento sobre subtotal]])*VLOOKUP(PROVEEDORES[[#This Row],[PROVEEDOR]],TERCEROS_INFO[#All],3,FALSE)</f>
        <v>0</v>
      </c>
      <c r="N76" s="23"/>
      <c r="O76" s="22">
        <f>+PROVEEDORES[[#This Row],[Descuento sobre subtotal %]]*(PROVEEDORES[[#This Row],[SUBTOTAL]]-PROVEEDORES[[#This Row],[descuento sobre subtotal]])</f>
        <v>0</v>
      </c>
      <c r="P76" s="72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f>+PROVEEDORES[[#This Row],[SUBTOTAL]]+PROVEEDORES[[#This Row],[IVA 19%]]-PROVEEDORES[[#This Row],[descuento sobre subtotal]]-PROVEEDORES[[#This Row],[Descuento sobre subtotal $2]]-PROVEEDORES[[#This Row],[Rete Fuente $]]</f>
        <v>730000</v>
      </c>
      <c r="S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1">
        <f ca="1">IF(PROVEEDORES[[#This Row],[FECHA DE PAGO]]=0,TODAY()-PROVEEDORES[[#This Row],[FECHA DE FACTURACIÓN]]-PROVEEDORES[[#This Row],[PLAZO Días]],0)</f>
        <v>0</v>
      </c>
      <c r="U76" s="97">
        <f>+VLOOKUP(PROVEEDORES[[#This Row],[PROVEEDOR]],Terceros!$A:$D,4,FALSE)</f>
        <v>0</v>
      </c>
      <c r="V76" s="98">
        <f>+YEAR(PROVEEDORES[[#This Row],[FECHA DE FACTURACIÓN]])</f>
        <v>2023</v>
      </c>
      <c r="W76" s="98">
        <f>+MATCH(PROVEEDORES[[#This Row],[año facturado]],Retenciones!$1:$1,0)</f>
        <v>6</v>
      </c>
      <c r="X76" s="99">
        <f>+VLOOKUP(PROVEEDORES[[#This Row],[ID RETENCION]],Retenciones!$A$1:$O$25,PROVEEDORES[[#This Row],[indicador de columna]],FALSE)</f>
        <v>0</v>
      </c>
      <c r="Y76" s="100">
        <f>+VLOOKUP(PROVEEDORES[[#This Row],[ID RETENCION]],Retenciones!$A$1:$O$25,2,FALSE)</f>
        <v>0</v>
      </c>
      <c r="Z76" s="103" t="b">
        <f>OR(COUNTIF(PROVEEDORES[[#This Row],[PROVEEDOR]],"*"&amp;'Palabra no opera'!$A$2&amp;"*"))</f>
        <v>0</v>
      </c>
    </row>
    <row r="77" spans="1:26" ht="22.35" customHeight="1" x14ac:dyDescent="0.25">
      <c r="A77" s="270" t="str">
        <f>+IF(PROVEEDORES[[#This Row],[FECHA DE PAGO]]=PROVEEDORES[[#This Row],[FECHA DE FACTURACIÓN]],"DE CONTADO","CRÉDITO")</f>
        <v>CRÉDITO</v>
      </c>
      <c r="B77" s="38" t="b">
        <f>+IF((PROVEEDORES[[#This Row],[FECHA DE PAGO]]-PROVEEDORES[[#This Row],[FECHA DE FACTURACIÓN]])&gt;PROVEEDORES[[#This Row],[PLAZO Días]],"PAGO VENCIDO")</f>
        <v>0</v>
      </c>
      <c r="C77" s="20">
        <f>+VLOOKUP(PROVEEDORES[[#This Row],[PROVEEDOR]],TERCEROS_INFO[#All],2,FALSE)</f>
        <v>30</v>
      </c>
      <c r="D77" s="25">
        <f>+SUMIFS(PROVEEDORES[Total],PROVEEDORES[PROVEEDOR],PROVEEDORES[[#This Row],[PROVEEDOR]],PROVEEDORES[FECHA DE PAGO],"")</f>
        <v>0</v>
      </c>
      <c r="E77" s="25"/>
      <c r="F77" s="56" t="str">
        <f>+VLOOKUP(PROVEEDORES[[#This Row],[PROVEEDOR]],
                       Terceros!$A:$F,
                       5,
                       FALSE)</f>
        <v/>
      </c>
      <c r="G77" s="289">
        <v>45290</v>
      </c>
      <c r="H77" s="26" t="s">
        <v>521</v>
      </c>
      <c r="I77" s="289">
        <v>45289</v>
      </c>
      <c r="J77" s="35" t="s">
        <v>1447</v>
      </c>
      <c r="K77" s="21">
        <v>1345000</v>
      </c>
      <c r="L77" s="21"/>
      <c r="M77" s="22">
        <f>(PROVEEDORES[[#This Row],[SUBTOTAL]]-PROVEEDORES[[#This Row],[descuento sobre subtotal]])*VLOOKUP(PROVEEDORES[[#This Row],[PROVEEDOR]],TERCEROS_INFO[#All],3,FALSE)</f>
        <v>0</v>
      </c>
      <c r="N77" s="23"/>
      <c r="O77" s="22">
        <f>+PROVEEDORES[[#This Row],[Descuento sobre subtotal %]]*(PROVEEDORES[[#This Row],[SUBTOTAL]]-PROVEEDORES[[#This Row],[descuento sobre subtotal]])</f>
        <v>0</v>
      </c>
      <c r="P77" s="72">
        <f>+IF(PROVEEDORES[[#This Row],[SUBTOTAL]]&lt;PROVEEDORES[[#This Row],[base retencion]],0,PROVEEDORES[[#This Row],[retención aplicada]])</f>
        <v>0</v>
      </c>
      <c r="Q77" s="22">
        <f>+PROVEEDORES[[#This Row],[Rete Fuente %]]*(PROVEEDORES[[#This Row],[SUBTOTAL]]-PROVEEDORES[[#This Row],[descuento sobre subtotal]])</f>
        <v>0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1345000</v>
      </c>
      <c r="S77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1">
        <f ca="1">IF(PROVEEDORES[[#This Row],[FECHA DE PAGO]]=0,TODAY()-PROVEEDORES[[#This Row],[FECHA DE FACTURACIÓN]]-PROVEEDORES[[#This Row],[PLAZO Días]],0)</f>
        <v>0</v>
      </c>
      <c r="U77" s="97">
        <f>+VLOOKUP(PROVEEDORES[[#This Row],[PROVEEDOR]],Terceros!$A:$D,4,FALSE)</f>
        <v>0</v>
      </c>
      <c r="V77" s="98">
        <f>+YEAR(PROVEEDORES[[#This Row],[FECHA DE FACTURACIÓN]])</f>
        <v>2023</v>
      </c>
      <c r="W77" s="98">
        <f>+MATCH(PROVEEDORES[[#This Row],[año facturado]],Retenciones!$1:$1,0)</f>
        <v>6</v>
      </c>
      <c r="X77" s="99">
        <f>+VLOOKUP(PROVEEDORES[[#This Row],[ID RETENCION]],Retenciones!$A$1:$O$25,PROVEEDORES[[#This Row],[indicador de columna]],FALSE)</f>
        <v>0</v>
      </c>
      <c r="Y77" s="100">
        <f>+VLOOKUP(PROVEEDORES[[#This Row],[ID RETENCION]],Retenciones!$A$1:$O$25,2,FALSE)</f>
        <v>0</v>
      </c>
      <c r="Z77" s="103" t="b">
        <f>OR(COUNTIF(PROVEEDORES[[#This Row],[PROVEEDOR]],"*"&amp;'Palabra no opera'!$A$2&amp;"*"))</f>
        <v>0</v>
      </c>
    </row>
    <row r="78" spans="1:26" ht="22.35" customHeight="1" x14ac:dyDescent="0.25">
      <c r="A78" s="270" t="str">
        <f>+IF(PROVEEDORES[[#This Row],[FECHA DE PAGO]]=PROVEEDORES[[#This Row],[FECHA DE FACTURACIÓN]],"DE CONTADO","CRÉDITO")</f>
        <v>CRÉDITO</v>
      </c>
      <c r="B78" s="38" t="b">
        <f>+IF((PROVEEDORES[[#This Row],[FECHA DE PAGO]]-PROVEEDORES[[#This Row],[FECHA DE FACTURACIÓN]])&gt;PROVEEDORES[[#This Row],[PLAZO Días]],"PAGO VENCIDO")</f>
        <v>0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0</v>
      </c>
      <c r="E78" s="25"/>
      <c r="F78" s="56" t="str">
        <f>+VLOOKUP(PROVEEDORES[[#This Row],[PROVEEDOR]],
                       Terceros!$A:$F,
                       5,
                       FALSE)</f>
        <v/>
      </c>
      <c r="G78" s="289">
        <v>45291</v>
      </c>
      <c r="H78" s="26" t="s">
        <v>521</v>
      </c>
      <c r="I78" s="289">
        <v>45290</v>
      </c>
      <c r="J78" s="35" t="s">
        <v>1448</v>
      </c>
      <c r="K78" s="21">
        <v>690000</v>
      </c>
      <c r="L78" s="21"/>
      <c r="M78" s="22">
        <f>(PROVEEDORES[[#This Row],[SUBTOTAL]]-PROVEEDORES[[#This Row],[descuento sobre subtotal]])*VLOOKUP(PROVEEDORES[[#This Row],[PROVEEDOR]],TERCEROS_INFO[#All],3,FALSE)</f>
        <v>0</v>
      </c>
      <c r="N78" s="23"/>
      <c r="O78" s="22">
        <f>+PROVEEDORES[[#This Row],[Descuento sobre subtotal %]]*(PROVEEDORES[[#This Row],[SUBTOTAL]]-PROVEEDORES[[#This Row],[descuento sobre subtotal]])</f>
        <v>0</v>
      </c>
      <c r="P78" s="72">
        <f>+IF(PROVEEDORES[[#This Row],[SUBTOTAL]]&lt;PROVEEDORES[[#This Row],[base retencion]],0,PROVEEDORES[[#This Row],[retención aplicada]])</f>
        <v>0</v>
      </c>
      <c r="Q78" s="22">
        <f>+PROVEEDORES[[#This Row],[Rete Fuente %]]*(PROVEEDORES[[#This Row],[SUBTOTAL]]-PROVEEDORES[[#This Row],[descuento sobre subtotal]])</f>
        <v>0</v>
      </c>
      <c r="R78" s="21">
        <f>+PROVEEDORES[[#This Row],[SUBTOTAL]]+PROVEEDORES[[#This Row],[IVA 19%]]-PROVEEDORES[[#This Row],[descuento sobre subtotal]]-PROVEEDORES[[#This Row],[Descuento sobre subtotal $2]]-PROVEEDORES[[#This Row],[Rete Fuente $]]</f>
        <v>690000</v>
      </c>
      <c r="S78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1">
        <f ca="1">IF(PROVEEDORES[[#This Row],[FECHA DE PAGO]]=0,TODAY()-PROVEEDORES[[#This Row],[FECHA DE FACTURACIÓN]]-PROVEEDORES[[#This Row],[PLAZO Días]],0)</f>
        <v>0</v>
      </c>
      <c r="U78" s="97">
        <f>+VLOOKUP(PROVEEDORES[[#This Row],[PROVEEDOR]],Terceros!$A:$D,4,FALSE)</f>
        <v>0</v>
      </c>
      <c r="V78" s="98">
        <f>+YEAR(PROVEEDORES[[#This Row],[FECHA DE FACTURACIÓN]])</f>
        <v>2023</v>
      </c>
      <c r="W78" s="98">
        <f>+MATCH(PROVEEDORES[[#This Row],[año facturado]],Retenciones!$1:$1,0)</f>
        <v>6</v>
      </c>
      <c r="X78" s="99">
        <f>+VLOOKUP(PROVEEDORES[[#This Row],[ID RETENCION]],Retenciones!$A$1:$O$25,PROVEEDORES[[#This Row],[indicador de columna]],FALSE)</f>
        <v>0</v>
      </c>
      <c r="Y78" s="100">
        <f>+VLOOKUP(PROVEEDORES[[#This Row],[ID RETENCION]],Retenciones!$A$1:$O$25,2,FALSE)</f>
        <v>0</v>
      </c>
      <c r="Z78" s="103" t="b">
        <f>OR(COUNTIF(PROVEEDORES[[#This Row],[PROVEEDOR]],"*"&amp;'Palabra no opera'!$A$2&amp;"*"))</f>
        <v>0</v>
      </c>
    </row>
    <row r="79" spans="1:26" ht="22.35" customHeight="1" x14ac:dyDescent="0.25">
      <c r="A79" s="310" t="str">
        <f>+IF(PROVEEDORES[[#This Row],[FECHA DE PAGO]]=PROVEEDORES[[#This Row],[FECHA DE FACTURACIÓN]],"DE CONTADO","CRÉDITO")</f>
        <v>CRÉDITO</v>
      </c>
      <c r="B79" s="38" t="b">
        <f>+IF((PROVEEDORES[[#This Row],[FECHA DE PAGO]]-PROVEEDORES[[#This Row],[FECHA DE FACTURACIÓN]])&gt;PROVEEDORES[[#This Row],[PLAZO Días]],"PAGO VENCIDO")</f>
        <v>0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0</v>
      </c>
      <c r="E79" s="25"/>
      <c r="F79" s="56" t="str">
        <f>+VLOOKUP(PROVEEDORES[[#This Row],[PROVEEDOR]],
                       Terceros!$A:$F,
                       5,
                       FALSE)</f>
        <v/>
      </c>
      <c r="G79" s="289">
        <v>45306</v>
      </c>
      <c r="H79" s="26" t="s">
        <v>521</v>
      </c>
      <c r="I79" s="289">
        <v>45307</v>
      </c>
      <c r="J79" s="35" t="s">
        <v>1500</v>
      </c>
      <c r="K79" s="21">
        <v>2717000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72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f>+PROVEEDORES[[#This Row],[SUBTOTAL]]+PROVEEDORES[[#This Row],[IVA 19%]]-PROVEEDORES[[#This Row],[descuento sobre subtotal]]-PROVEEDORES[[#This Row],[Descuento sobre subtotal $2]]-PROVEEDORES[[#This Row],[Rete Fuente $]]</f>
        <v>2717000</v>
      </c>
      <c r="S79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1">
        <f ca="1">IF(PROVEEDORES[[#This Row],[FECHA DE PAGO]]=0,TODAY()-PROVEEDORES[[#This Row],[FECHA DE FACTURACIÓN]]-PROVEEDORES[[#This Row],[PLAZO Días]],0)</f>
        <v>0</v>
      </c>
      <c r="U79" s="97">
        <f>+VLOOKUP(PROVEEDORES[[#This Row],[PROVEEDOR]],Terceros!$A:$D,4,FALSE)</f>
        <v>0</v>
      </c>
      <c r="V79" s="98">
        <f>+YEAR(PROVEEDORES[[#This Row],[FECHA DE FACTURACIÓN]])</f>
        <v>2024</v>
      </c>
      <c r="W79" s="98">
        <f>+MATCH(PROVEEDORES[[#This Row],[año facturado]],Retenciones!$1:$1,0)</f>
        <v>7</v>
      </c>
      <c r="X79" s="99">
        <f>+VLOOKUP(PROVEEDORES[[#This Row],[ID RETENCION]],Retenciones!$A$1:$O$25,PROVEEDORES[[#This Row],[indicador de columna]],FALSE)</f>
        <v>0</v>
      </c>
      <c r="Y79" s="100">
        <f>+VLOOKUP(PROVEEDORES[[#This Row],[ID RETENCION]],Retenciones!$A$1:$O$25,2,FALSE)</f>
        <v>0</v>
      </c>
      <c r="Z79" s="103" t="b">
        <f>OR(COUNTIF(PROVEEDORES[[#This Row],[PROVEEDOR]],"*"&amp;'Palabra no opera'!$A$2&amp;"*"))</f>
        <v>0</v>
      </c>
    </row>
    <row r="80" spans="1:26" ht="22.35" customHeight="1" x14ac:dyDescent="0.25">
      <c r="A80" s="314" t="str">
        <f>+IF(PROVEEDORES[[#This Row],[FECHA DE PAGO]]=PROVEEDORES[[#This Row],[FECHA DE FACTURACIÓN]],"DE CONTADO","CRÉDITO")</f>
        <v>CRÉDITO</v>
      </c>
      <c r="B80" s="38" t="b">
        <f>+IF((PROVEEDORES[[#This Row],[FECHA DE PAGO]]-PROVEEDORES[[#This Row],[FECHA DE FACTURACIÓN]])&gt;PROVEEDORES[[#This Row],[PLAZO Días]],"PAGO VENCIDO")</f>
        <v>0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0</v>
      </c>
      <c r="E80" s="25"/>
      <c r="F80" s="56" t="str">
        <f>+VLOOKUP(PROVEEDORES[[#This Row],[PROVEEDOR]],
                       Terceros!$A:$F,
                       5,
                       FALSE)</f>
        <v/>
      </c>
      <c r="G80" s="289">
        <v>45309</v>
      </c>
      <c r="H80" s="26" t="s">
        <v>521</v>
      </c>
      <c r="I80" s="289">
        <v>45308</v>
      </c>
      <c r="J80" s="35" t="s">
        <v>1522</v>
      </c>
      <c r="K80" s="21">
        <v>5108000</v>
      </c>
      <c r="L80" s="21"/>
      <c r="M80" s="22">
        <f>(PROVEEDORES[[#This Row],[SUBTOTAL]]-PROVEEDORES[[#This Row],[descuento sobre subtotal]])*VLOOKUP(PROVEEDORES[[#This Row],[PROVEEDOR]],TERCEROS_INFO[#All],3,FALSE)</f>
        <v>0</v>
      </c>
      <c r="N80" s="23"/>
      <c r="O80" s="22">
        <f>+PROVEEDORES[[#This Row],[Descuento sobre subtotal %]]*(PROVEEDORES[[#This Row],[SUBTOTAL]]-PROVEEDORES[[#This Row],[descuento sobre subtotal]])</f>
        <v>0</v>
      </c>
      <c r="P80" s="72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f>+PROVEEDORES[[#This Row],[SUBTOTAL]]+PROVEEDORES[[#This Row],[IVA 19%]]-PROVEEDORES[[#This Row],[descuento sobre subtotal]]-PROVEEDORES[[#This Row],[Descuento sobre subtotal $2]]-PROVEEDORES[[#This Row],[Rete Fuente $]]</f>
        <v>5108000</v>
      </c>
      <c r="S80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1">
        <f ca="1">IF(PROVEEDORES[[#This Row],[FECHA DE PAGO]]=0,TODAY()-PROVEEDORES[[#This Row],[FECHA DE FACTURACIÓN]]-PROVEEDORES[[#This Row],[PLAZO Días]],0)</f>
        <v>0</v>
      </c>
      <c r="U80" s="97">
        <f>+VLOOKUP(PROVEEDORES[[#This Row],[PROVEEDOR]],Terceros!$A:$D,4,FALSE)</f>
        <v>0</v>
      </c>
      <c r="V80" s="98">
        <f>+YEAR(PROVEEDORES[[#This Row],[FECHA DE FACTURACIÓN]])</f>
        <v>2024</v>
      </c>
      <c r="W80" s="98">
        <f>+MATCH(PROVEEDORES[[#This Row],[año facturado]],Retenciones!$1:$1,0)</f>
        <v>7</v>
      </c>
      <c r="X80" s="99">
        <f>+VLOOKUP(PROVEEDORES[[#This Row],[ID RETENCION]],Retenciones!$A$1:$O$25,PROVEEDORES[[#This Row],[indicador de columna]],FALSE)</f>
        <v>0</v>
      </c>
      <c r="Y80" s="100">
        <f>+VLOOKUP(PROVEEDORES[[#This Row],[ID RETENCION]],Retenciones!$A$1:$O$25,2,FALSE)</f>
        <v>0</v>
      </c>
      <c r="Z80" s="103" t="b">
        <f>OR(COUNTIF(PROVEEDORES[[#This Row],[PROVEEDOR]],"*"&amp;'Palabra no opera'!$A$2&amp;"*"))</f>
        <v>0</v>
      </c>
    </row>
    <row r="81" spans="1:26" ht="22.35" customHeight="1" x14ac:dyDescent="0.25">
      <c r="A81" s="65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30</v>
      </c>
      <c r="D81" s="25">
        <f>+SUMIFS(PROVEEDORES[Total],PROVEEDORES[PROVEEDOR],PROVEEDORES[[#This Row],[PROVEEDOR]],PROVEEDORES[FECHA DE PAGO],"")</f>
        <v>0</v>
      </c>
      <c r="E81" s="25"/>
      <c r="F81" s="56" t="str">
        <f>+VLOOKUP(PROVEEDORES[[#This Row],[PROVEEDOR]],
                       Terceros!$A:$F,
                       5,
                       FALSE)</f>
        <v/>
      </c>
      <c r="G81" s="289">
        <v>45029</v>
      </c>
      <c r="H81" s="26" t="s">
        <v>279</v>
      </c>
      <c r="I81" s="289">
        <v>44942</v>
      </c>
      <c r="J81" s="35" t="s">
        <v>562</v>
      </c>
      <c r="K81" s="21">
        <v>258684</v>
      </c>
      <c r="L81" s="21"/>
      <c r="M81" s="22">
        <f>(PROVEEDORES[[#This Row],[SUBTOTAL]]-PROVEEDORES[[#This Row],[descuento sobre subtotal]])*VLOOKUP(PROVEEDORES[[#This Row],[PROVEEDOR]],TERCEROS_INFO[#All],3,FALSE)</f>
        <v>0</v>
      </c>
      <c r="N81" s="23"/>
      <c r="O81" s="22">
        <f>+PROVEEDORES[[#This Row],[Descuento sobre subtotal %]]*(PROVEEDORES[[#This Row],[SUBTOTAL]]-PROVEEDORES[[#This Row],[descuento sobre subtotal]])</f>
        <v>0</v>
      </c>
      <c r="P81" s="72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f>+PROVEEDORES[[#This Row],[SUBTOTAL]]+PROVEEDORES[[#This Row],[IVA 19%]]-PROVEEDORES[[#This Row],[descuento sobre subtotal]]-PROVEEDORES[[#This Row],[Descuento sobre subtotal $2]]-PROVEEDORES[[#This Row],[Rete Fuente $]]</f>
        <v>258684</v>
      </c>
      <c r="S8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1">
        <f ca="1">IF(PROVEEDORES[[#This Row],[FECHA DE PAGO]]=0,TODAY()-PROVEEDORES[[#This Row],[FECHA DE FACTURACIÓN]]-PROVEEDORES[[#This Row],[PLAZO Días]],0)</f>
        <v>0</v>
      </c>
      <c r="U81" s="97">
        <f>+VLOOKUP(PROVEEDORES[[#This Row],[PROVEEDOR]],Terceros!$A:$D,4,FALSE)</f>
        <v>0</v>
      </c>
      <c r="V81" s="98">
        <f>+YEAR(PROVEEDORES[[#This Row],[FECHA DE FACTURACIÓN]])</f>
        <v>2023</v>
      </c>
      <c r="W81" s="98">
        <f>+MATCH(PROVEEDORES[[#This Row],[año facturado]],Retenciones!$1:$1,0)</f>
        <v>6</v>
      </c>
      <c r="X81" s="99">
        <f>+VLOOKUP(PROVEEDORES[[#This Row],[ID RETENCION]],Retenciones!$A$1:$O$25,PROVEEDORES[[#This Row],[indicador de columna]],FALSE)</f>
        <v>0</v>
      </c>
      <c r="Y81" s="100">
        <f>+VLOOKUP(PROVEEDORES[[#This Row],[ID RETENCION]],Retenciones!$A$1:$O$25,2,FALSE)</f>
        <v>0</v>
      </c>
      <c r="Z81" s="103" t="b">
        <f>OR(COUNTIF(PROVEEDORES[[#This Row],[PROVEEDOR]],"*"&amp;'Palabra no opera'!$A$2&amp;"*"))</f>
        <v>0</v>
      </c>
    </row>
    <row r="82" spans="1:26" ht="22.35" customHeight="1" x14ac:dyDescent="0.25">
      <c r="A82" s="65" t="str">
        <f>+IF(PROVEEDORES[[#This Row],[FECHA DE PAGO]]=PROVEEDORES[[#This Row],[FECHA DE FACTURACIÓN]],"DE CONTADO","CRÉDITO")</f>
        <v>DE CONTADO</v>
      </c>
      <c r="B82" s="38" t="b">
        <f>+IF((PROVEEDORES[[#This Row],[FECHA DE PAGO]]-PROVEEDORES[[#This Row],[FECHA DE FACTURACIÓN]])&gt;PROVEEDORES[[#This Row],[PLAZO Días]],"PAGO VENCIDO")</f>
        <v>0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0</v>
      </c>
      <c r="E82" s="25"/>
      <c r="F82" s="56" t="str">
        <f>+VLOOKUP(PROVEEDORES[[#This Row],[PROVEEDOR]],
                       Terceros!$A:$F,
                       5,
                       FALSE)</f>
        <v/>
      </c>
      <c r="G82" s="289">
        <v>44943</v>
      </c>
      <c r="H82" s="26" t="s">
        <v>279</v>
      </c>
      <c r="I82" s="289">
        <v>44943</v>
      </c>
      <c r="J82" s="35" t="s">
        <v>572</v>
      </c>
      <c r="K82" s="21">
        <v>1055879</v>
      </c>
      <c r="L82" s="21"/>
      <c r="M82" s="22">
        <f>(PROVEEDORES[[#This Row],[SUBTOTAL]]-PROVEEDORES[[#This Row],[descuento sobre subtotal]])*VLOOKUP(PROVEEDORES[[#This Row],[PROVEEDOR]],TERCEROS_INFO[#All],3,FALSE)</f>
        <v>0</v>
      </c>
      <c r="N82" s="23"/>
      <c r="O82" s="22">
        <f>+PROVEEDORES[[#This Row],[Descuento sobre subtotal %]]*(PROVEEDORES[[#This Row],[SUBTOTAL]]-PROVEEDORES[[#This Row],[descuento sobre subtotal]])</f>
        <v>0</v>
      </c>
      <c r="P82" s="72">
        <f>+IF(PROVEEDORES[[#This Row],[SUBTOTAL]]&lt;PROVEEDORES[[#This Row],[base retencion]],0,PROVEEDORES[[#This Row],[retención aplicada]])</f>
        <v>0</v>
      </c>
      <c r="Q82" s="22">
        <f>+PROVEEDORES[[#This Row],[Rete Fuente %]]*(PROVEEDORES[[#This Row],[SUBTOTAL]]-PROVEEDORES[[#This Row],[descuento sobre subtotal]])</f>
        <v>0</v>
      </c>
      <c r="R82" s="21">
        <f>+PROVEEDORES[[#This Row],[SUBTOTAL]]+PROVEEDORES[[#This Row],[IVA 19%]]-PROVEEDORES[[#This Row],[descuento sobre subtotal]]-PROVEEDORES[[#This Row],[Descuento sobre subtotal $2]]-PROVEEDORES[[#This Row],[Rete Fuente $]]</f>
        <v>1055879</v>
      </c>
      <c r="S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1">
        <f ca="1">IF(PROVEEDORES[[#This Row],[FECHA DE PAGO]]=0,TODAY()-PROVEEDORES[[#This Row],[FECHA DE FACTURACIÓN]]-PROVEEDORES[[#This Row],[PLAZO Días]],0)</f>
        <v>0</v>
      </c>
      <c r="U82" s="97">
        <f>+VLOOKUP(PROVEEDORES[[#This Row],[PROVEEDOR]],Terceros!$A:$D,4,FALSE)</f>
        <v>0</v>
      </c>
      <c r="V82" s="98">
        <f>+YEAR(PROVEEDORES[[#This Row],[FECHA DE FACTURACIÓN]])</f>
        <v>2023</v>
      </c>
      <c r="W82" s="98">
        <f>+MATCH(PROVEEDORES[[#This Row],[año facturado]],Retenciones!$1:$1,0)</f>
        <v>6</v>
      </c>
      <c r="X82" s="99">
        <f>+VLOOKUP(PROVEEDORES[[#This Row],[ID RETENCION]],Retenciones!$A$1:$O$25,PROVEEDORES[[#This Row],[indicador de columna]],FALSE)</f>
        <v>0</v>
      </c>
      <c r="Y82" s="100">
        <f>+VLOOKUP(PROVEEDORES[[#This Row],[ID RETENCION]],Retenciones!$A$1:$O$25,2,FALSE)</f>
        <v>0</v>
      </c>
      <c r="Z82" s="103" t="b">
        <f>OR(COUNTIF(PROVEEDORES[[#This Row],[PROVEEDOR]],"*"&amp;'Palabra no opera'!$A$2&amp;"*"))</f>
        <v>0</v>
      </c>
    </row>
    <row r="83" spans="1:26" ht="22.35" customHeight="1" x14ac:dyDescent="0.25">
      <c r="A83" s="65" t="str">
        <f>+IF(PROVEEDORES[[#This Row],[FECHA DE PAGO]]=PROVEEDORES[[#This Row],[FECHA DE FACTURACIÓN]],"DE CONTADO","CRÉDITO")</f>
        <v>DE CONTADO</v>
      </c>
      <c r="B83" s="38" t="b">
        <f>+IF((PROVEEDORES[[#This Row],[FECHA DE PAGO]]-PROVEEDORES[[#This Row],[FECHA DE FACTURACIÓN]])&gt;PROVEEDORES[[#This Row],[PLAZO Días]],"PAGO VENCIDO")</f>
        <v>0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0</v>
      </c>
      <c r="E83" s="25"/>
      <c r="F83" s="56" t="str">
        <f>+VLOOKUP(PROVEEDORES[[#This Row],[PROVEEDOR]],
                       Terceros!$A:$F,
                       5,
                       FALSE)</f>
        <v/>
      </c>
      <c r="G83" s="289">
        <v>44946</v>
      </c>
      <c r="H83" s="26" t="s">
        <v>566</v>
      </c>
      <c r="I83" s="289">
        <v>44946</v>
      </c>
      <c r="J83" s="35" t="s">
        <v>567</v>
      </c>
      <c r="K83" s="21">
        <v>69000</v>
      </c>
      <c r="L83" s="21"/>
      <c r="M83" s="22">
        <f>(PROVEEDORES[[#This Row],[SUBTOTAL]]-PROVEEDORES[[#This Row],[descuento sobre subtotal]])*VLOOKUP(PROVEEDORES[[#This Row],[PROVEEDOR]],TERCEROS_INFO[#All],3,FALSE)</f>
        <v>0</v>
      </c>
      <c r="N83" s="23"/>
      <c r="O83" s="22">
        <f>+PROVEEDORES[[#This Row],[Descuento sobre subtotal %]]*(PROVEEDORES[[#This Row],[SUBTOTAL]]-PROVEEDORES[[#This Row],[descuento sobre subtotal]])</f>
        <v>0</v>
      </c>
      <c r="P83" s="72">
        <f>+IF(PROVEEDORES[[#This Row],[SUBTOTAL]]&lt;PROVEEDORES[[#This Row],[base retencion]],0,PROVEEDORES[[#This Row],[retención aplicada]])</f>
        <v>0</v>
      </c>
      <c r="Q83" s="22">
        <f>+PROVEEDORES[[#This Row],[Rete Fuente %]]*(PROVEEDORES[[#This Row],[SUBTOTAL]]-PROVEEDORES[[#This Row],[descuento sobre subtotal]])</f>
        <v>0</v>
      </c>
      <c r="R83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1">
        <f ca="1">IF(PROVEEDORES[[#This Row],[FECHA DE PAGO]]=0,TODAY()-PROVEEDORES[[#This Row],[FECHA DE FACTURACIÓN]]-PROVEEDORES[[#This Row],[PLAZO Días]],0)</f>
        <v>0</v>
      </c>
      <c r="U83" s="97">
        <f>+VLOOKUP(PROVEEDORES[[#This Row],[PROVEEDOR]],Terceros!$A:$D,4,FALSE)</f>
        <v>0</v>
      </c>
      <c r="V83" s="98">
        <f>+YEAR(PROVEEDORES[[#This Row],[FECHA DE FACTURACIÓN]])</f>
        <v>2023</v>
      </c>
      <c r="W83" s="98">
        <f>+MATCH(PROVEEDORES[[#This Row],[año facturado]],Retenciones!$1:$1,0)</f>
        <v>6</v>
      </c>
      <c r="X83" s="99">
        <f>+VLOOKUP(PROVEEDORES[[#This Row],[ID RETENCION]],Retenciones!$A$1:$O$25,PROVEEDORES[[#This Row],[indicador de columna]],FALSE)</f>
        <v>0</v>
      </c>
      <c r="Y83" s="100">
        <f>+VLOOKUP(PROVEEDORES[[#This Row],[ID RETENCION]],Retenciones!$A$1:$O$25,2,FALSE)</f>
        <v>0</v>
      </c>
      <c r="Z83" s="103" t="b">
        <f>OR(COUNTIF(PROVEEDORES[[#This Row],[PROVEEDOR]],"*"&amp;'Palabra no opera'!$A$2&amp;"*"))</f>
        <v>0</v>
      </c>
    </row>
    <row r="84" spans="1:26" ht="22.35" customHeight="1" x14ac:dyDescent="0.25">
      <c r="A84" s="65" t="str">
        <f>+IF(PROVEEDORES[[#This Row],[FECHA DE PAGO]]=PROVEEDORES[[#This Row],[FECHA DE FACTURACIÓN]],"DE CONTADO","CRÉDITO")</f>
        <v>DE CONTADO</v>
      </c>
      <c r="B84" s="38" t="b">
        <f>+IF((PROVEEDORES[[#This Row],[FECHA DE PAGO]]-PROVEEDORES[[#This Row],[FECHA DE FACTURACIÓN]])&gt;PROVEEDORES[[#This Row],[PLAZO Días]],"PAGO VENCIDO")</f>
        <v>0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0</v>
      </c>
      <c r="E84" s="25"/>
      <c r="F84" s="56" t="str">
        <f>+VLOOKUP(PROVEEDORES[[#This Row],[PROVEEDOR]],
                       Terceros!$A:$F,
                       5,
                       FALSE)</f>
        <v/>
      </c>
      <c r="G84" s="289">
        <v>44954</v>
      </c>
      <c r="H84" s="26" t="s">
        <v>279</v>
      </c>
      <c r="I84" s="289">
        <v>44954</v>
      </c>
      <c r="J84" s="35" t="s">
        <v>571</v>
      </c>
      <c r="K84" s="21">
        <v>771400</v>
      </c>
      <c r="L84" s="21"/>
      <c r="M84" s="22">
        <f>(PROVEEDORES[[#This Row],[SUBTOTAL]]-PROVEEDORES[[#This Row],[descuento sobre subtotal]])*VLOOKUP(PROVEEDORES[[#This Row],[PROVEEDOR]],TERCEROS_INFO[#All],3,FALSE)</f>
        <v>0</v>
      </c>
      <c r="N84" s="23"/>
      <c r="O84" s="22">
        <f>+PROVEEDORES[[#This Row],[Descuento sobre subtotal %]]*(PROVEEDORES[[#This Row],[SUBTOTAL]]-PROVEEDORES[[#This Row],[descuento sobre subtotal]])</f>
        <v>0</v>
      </c>
      <c r="P84" s="72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f>+PROVEEDORES[[#This Row],[SUBTOTAL]]+PROVEEDORES[[#This Row],[IVA 19%]]-PROVEEDORES[[#This Row],[descuento sobre subtotal]]-PROVEEDORES[[#This Row],[Descuento sobre subtotal $2]]-PROVEEDORES[[#This Row],[Rete Fuente $]]</f>
        <v>771400</v>
      </c>
      <c r="S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1">
        <f ca="1">IF(PROVEEDORES[[#This Row],[FECHA DE PAGO]]=0,TODAY()-PROVEEDORES[[#This Row],[FECHA DE FACTURACIÓN]]-PROVEEDORES[[#This Row],[PLAZO Días]],0)</f>
        <v>0</v>
      </c>
      <c r="U84" s="97">
        <f>+VLOOKUP(PROVEEDORES[[#This Row],[PROVEEDOR]],Terceros!$A:$D,4,FALSE)</f>
        <v>0</v>
      </c>
      <c r="V84" s="98">
        <f>+YEAR(PROVEEDORES[[#This Row],[FECHA DE FACTURACIÓN]])</f>
        <v>2023</v>
      </c>
      <c r="W84" s="98">
        <f>+MATCH(PROVEEDORES[[#This Row],[año facturado]],Retenciones!$1:$1,0)</f>
        <v>6</v>
      </c>
      <c r="X84" s="99">
        <f>+VLOOKUP(PROVEEDORES[[#This Row],[ID RETENCION]],Retenciones!$A$1:$O$25,PROVEEDORES[[#This Row],[indicador de columna]],FALSE)</f>
        <v>0</v>
      </c>
      <c r="Y84" s="100">
        <f>+VLOOKUP(PROVEEDORES[[#This Row],[ID RETENCION]],Retenciones!$A$1:$O$25,2,FALSE)</f>
        <v>0</v>
      </c>
      <c r="Z84" s="103" t="b">
        <f>OR(COUNTIF(PROVEEDORES[[#This Row],[PROVEEDOR]],"*"&amp;'Palabra no opera'!$A$2&amp;"*"))</f>
        <v>0</v>
      </c>
    </row>
    <row r="85" spans="1:26" ht="22.35" customHeight="1" x14ac:dyDescent="0.25">
      <c r="A85" s="65" t="str">
        <f>+IF(PROVEEDORES[[#This Row],[FECHA DE PAGO]]=PROVEEDORES[[#This Row],[FECHA DE FACTURACIÓN]],"DE CONTADO","CRÉDITO")</f>
        <v>DE CONTADO</v>
      </c>
      <c r="B85" s="38" t="b">
        <f>+IF((PROVEEDORES[[#This Row],[FECHA DE PAGO]]-PROVEEDORES[[#This Row],[FECHA DE FACTURACIÓN]])&gt;PROVEEDORES[[#This Row],[PLAZO Días]],"PAGO VENCIDO")</f>
        <v>0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0</v>
      </c>
      <c r="E85" s="25"/>
      <c r="F85" s="56" t="str">
        <f>+VLOOKUP(PROVEEDORES[[#This Row],[PROVEEDOR]],
                       Terceros!$A:$F,
                       5,
                       FALSE)</f>
        <v/>
      </c>
      <c r="G85" s="289">
        <v>44957</v>
      </c>
      <c r="H85" s="26" t="s">
        <v>279</v>
      </c>
      <c r="I85" s="289">
        <v>44957</v>
      </c>
      <c r="J85" s="35" t="s">
        <v>517</v>
      </c>
      <c r="K85" s="21">
        <v>1979300</v>
      </c>
      <c r="L85" s="21"/>
      <c r="M85" s="22">
        <f>(PROVEEDORES[[#This Row],[SUBTOTAL]]-PROVEEDORES[[#This Row],[descuento sobre subtotal]])*VLOOKUP(PROVEEDORES[[#This Row],[PROVEEDOR]],TERCEROS_INFO[#All],3,FALSE)</f>
        <v>0</v>
      </c>
      <c r="N85" s="23"/>
      <c r="O85" s="22">
        <f>+PROVEEDORES[[#This Row],[Descuento sobre subtotal %]]*(PROVEEDORES[[#This Row],[SUBTOTAL]]-PROVEEDORES[[#This Row],[descuento sobre subtotal]])</f>
        <v>0</v>
      </c>
      <c r="P85" s="72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f>+PROVEEDORES[[#This Row],[SUBTOTAL]]+PROVEEDORES[[#This Row],[IVA 19%]]-PROVEEDORES[[#This Row],[descuento sobre subtotal]]-PROVEEDORES[[#This Row],[Descuento sobre subtotal $2]]-PROVEEDORES[[#This Row],[Rete Fuente $]]</f>
        <v>1979300</v>
      </c>
      <c r="S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1">
        <f ca="1">IF(PROVEEDORES[[#This Row],[FECHA DE PAGO]]=0,TODAY()-PROVEEDORES[[#This Row],[FECHA DE FACTURACIÓN]]-PROVEEDORES[[#This Row],[PLAZO Días]],0)</f>
        <v>0</v>
      </c>
      <c r="U85" s="97">
        <f>+VLOOKUP(PROVEEDORES[[#This Row],[PROVEEDOR]],Terceros!$A:$D,4,FALSE)</f>
        <v>0</v>
      </c>
      <c r="V85" s="98">
        <f>+YEAR(PROVEEDORES[[#This Row],[FECHA DE FACTURACIÓN]])</f>
        <v>2023</v>
      </c>
      <c r="W85" s="98">
        <f>+MATCH(PROVEEDORES[[#This Row],[año facturado]],Retenciones!$1:$1,0)</f>
        <v>6</v>
      </c>
      <c r="X85" s="99">
        <f>+VLOOKUP(PROVEEDORES[[#This Row],[ID RETENCION]],Retenciones!$A$1:$O$25,PROVEEDORES[[#This Row],[indicador de columna]],FALSE)</f>
        <v>0</v>
      </c>
      <c r="Y85" s="100">
        <f>+VLOOKUP(PROVEEDORES[[#This Row],[ID RETENCION]],Retenciones!$A$1:$O$25,2,FALSE)</f>
        <v>0</v>
      </c>
      <c r="Z85" s="103" t="b">
        <f>OR(COUNTIF(PROVEEDORES[[#This Row],[PROVEEDOR]],"*"&amp;'Palabra no opera'!$A$2&amp;"*"))</f>
        <v>0</v>
      </c>
    </row>
    <row r="86" spans="1:26" ht="22.35" customHeight="1" x14ac:dyDescent="0.25">
      <c r="A86" s="65" t="str">
        <f>+IF(PROVEEDORES[[#This Row],[FECHA DE PAGO]]=PROVEEDORES[[#This Row],[FECHA DE FACTURACIÓN]],"DE CONTADO","CRÉDITO")</f>
        <v>DE CONTADO</v>
      </c>
      <c r="B86" s="38" t="b">
        <f>+IF((PROVEEDORES[[#This Row],[FECHA DE PAGO]]-PROVEEDORES[[#This Row],[FECHA DE FACTURACIÓN]])&gt;PROVEEDORES[[#This Row],[PLAZO Días]],"PAGO VENCIDO")</f>
        <v>0</v>
      </c>
      <c r="C86" s="20">
        <f>+VLOOKUP(PROVEEDORES[[#This Row],[PROVEEDOR]],TERCEROS_INFO[#All],2,FALSE)</f>
        <v>30</v>
      </c>
      <c r="D86" s="25">
        <f>+SUMIFS(PROVEEDORES[Total],PROVEEDORES[PROVEEDOR],PROVEEDORES[[#This Row],[PROVEEDOR]],PROVEEDORES[FECHA DE PAGO],"")</f>
        <v>0</v>
      </c>
      <c r="E86" s="25"/>
      <c r="F86" s="56" t="str">
        <f>+VLOOKUP(PROVEEDORES[[#This Row],[PROVEEDOR]],
                       Terceros!$A:$F,
                       5,
                       FALSE)</f>
        <v/>
      </c>
      <c r="G86" s="289">
        <v>44957</v>
      </c>
      <c r="H86" s="26" t="s">
        <v>279</v>
      </c>
      <c r="I86" s="289">
        <v>44957</v>
      </c>
      <c r="J86" s="35" t="s">
        <v>544</v>
      </c>
      <c r="K86" s="21">
        <v>115930</v>
      </c>
      <c r="L86" s="21"/>
      <c r="M86" s="22">
        <f>(PROVEEDORES[[#This Row],[SUBTOTAL]]-PROVEEDORES[[#This Row],[descuento sobre subtotal]])*VLOOKUP(PROVEEDORES[[#This Row],[PROVEEDOR]],TERCEROS_INFO[#All],3,FALSE)</f>
        <v>0</v>
      </c>
      <c r="N86" s="23"/>
      <c r="O86" s="22">
        <f>+PROVEEDORES[[#This Row],[Descuento sobre subtotal %]]*(PROVEEDORES[[#This Row],[SUBTOTAL]]-PROVEEDORES[[#This Row],[descuento sobre subtotal]])</f>
        <v>0</v>
      </c>
      <c r="P86" s="72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f>+PROVEEDORES[[#This Row],[SUBTOTAL]]+PROVEEDORES[[#This Row],[IVA 19%]]-PROVEEDORES[[#This Row],[descuento sobre subtotal]]-PROVEEDORES[[#This Row],[Descuento sobre subtotal $2]]-PROVEEDORES[[#This Row],[Rete Fuente $]]</f>
        <v>115930</v>
      </c>
      <c r="S8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1">
        <f ca="1">IF(PROVEEDORES[[#This Row],[FECHA DE PAGO]]=0,TODAY()-PROVEEDORES[[#This Row],[FECHA DE FACTURACIÓN]]-PROVEEDORES[[#This Row],[PLAZO Días]],0)</f>
        <v>0</v>
      </c>
      <c r="U86" s="97">
        <f>+VLOOKUP(PROVEEDORES[[#This Row],[PROVEEDOR]],Terceros!$A:$D,4,FALSE)</f>
        <v>0</v>
      </c>
      <c r="V86" s="98">
        <f>+YEAR(PROVEEDORES[[#This Row],[FECHA DE FACTURACIÓN]])</f>
        <v>2023</v>
      </c>
      <c r="W86" s="98">
        <f>+MATCH(PROVEEDORES[[#This Row],[año facturado]],Retenciones!$1:$1,0)</f>
        <v>6</v>
      </c>
      <c r="X86" s="99">
        <f>+VLOOKUP(PROVEEDORES[[#This Row],[ID RETENCION]],Retenciones!$A$1:$O$25,PROVEEDORES[[#This Row],[indicador de columna]],FALSE)</f>
        <v>0</v>
      </c>
      <c r="Y86" s="100">
        <f>+VLOOKUP(PROVEEDORES[[#This Row],[ID RETENCION]],Retenciones!$A$1:$O$25,2,FALSE)</f>
        <v>0</v>
      </c>
      <c r="Z86" s="103" t="b">
        <f>OR(COUNTIF(PROVEEDORES[[#This Row],[PROVEEDOR]],"*"&amp;'Palabra no opera'!$A$2&amp;"*"))</f>
        <v>0</v>
      </c>
    </row>
    <row r="87" spans="1:26" ht="22.35" customHeight="1" x14ac:dyDescent="0.25">
      <c r="A87" s="65" t="str">
        <f>+IF(PROVEEDORES[[#This Row],[FECHA DE PAGO]]=PROVEEDORES[[#This Row],[FECHA DE FACTURACIÓN]],"DE CONTADO","CRÉDITO")</f>
        <v>DE CONTADO</v>
      </c>
      <c r="B87" s="38" t="b">
        <f>+IF((PROVEEDORES[[#This Row],[FECHA DE PAGO]]-PROVEEDORES[[#This Row],[FECHA DE FACTURACIÓN]])&gt;PROVEEDORES[[#This Row],[PLAZO Días]],"PAGO VENCIDO")</f>
        <v>0</v>
      </c>
      <c r="C87" s="20">
        <f>+VLOOKUP(PROVEEDORES[[#This Row],[PROVEEDOR]],TERCEROS_INFO[#All],2,FALSE)</f>
        <v>30</v>
      </c>
      <c r="D87" s="25">
        <f>+SUMIFS(PROVEEDORES[Total],PROVEEDORES[PROVEEDOR],PROVEEDORES[[#This Row],[PROVEEDOR]],PROVEEDORES[FECHA DE PAGO],"")</f>
        <v>0</v>
      </c>
      <c r="E87" s="25"/>
      <c r="F87" s="56" t="str">
        <f>+VLOOKUP(PROVEEDORES[[#This Row],[PROVEEDOR]],
                       Terceros!$A:$F,
                       5,
                       FALSE)</f>
        <v/>
      </c>
      <c r="G87" s="289">
        <v>44957</v>
      </c>
      <c r="H87" s="26" t="s">
        <v>279</v>
      </c>
      <c r="I87" s="289">
        <v>44957</v>
      </c>
      <c r="J87" s="35" t="s">
        <v>518</v>
      </c>
      <c r="K87" s="21">
        <v>177600</v>
      </c>
      <c r="L87" s="21"/>
      <c r="M87" s="22">
        <f>(PROVEEDORES[[#This Row],[SUBTOTAL]]-PROVEEDORES[[#This Row],[descuento sobre subtotal]])*VLOOKUP(PROVEEDORES[[#This Row],[PROVEEDOR]],TERCEROS_INFO[#All],3,FALSE)</f>
        <v>0</v>
      </c>
      <c r="N87" s="23"/>
      <c r="O87" s="22">
        <f>+PROVEEDORES[[#This Row],[Descuento sobre subtotal %]]*(PROVEEDORES[[#This Row],[SUBTOTAL]]-PROVEEDORES[[#This Row],[descuento sobre subtotal]])</f>
        <v>0</v>
      </c>
      <c r="P87" s="72">
        <f>+IF(PROVEEDORES[[#This Row],[SUBTOTAL]]&lt;PROVEEDORES[[#This Row],[base retencion]],0,PROVEEDORES[[#This Row],[retención aplicada]])</f>
        <v>0</v>
      </c>
      <c r="Q87" s="22">
        <f>+PROVEEDORES[[#This Row],[Rete Fuente %]]*(PROVEEDORES[[#This Row],[SUBTOTAL]]-PROVEEDORES[[#This Row],[descuento sobre subtotal]])</f>
        <v>0</v>
      </c>
      <c r="R87" s="21">
        <f>+PROVEEDORES[[#This Row],[SUBTOTAL]]+PROVEEDORES[[#This Row],[IVA 19%]]-PROVEEDORES[[#This Row],[descuento sobre subtotal]]-PROVEEDORES[[#This Row],[Descuento sobre subtotal $2]]-PROVEEDORES[[#This Row],[Rete Fuente $]]</f>
        <v>177600</v>
      </c>
      <c r="S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1">
        <f ca="1">IF(PROVEEDORES[[#This Row],[FECHA DE PAGO]]=0,TODAY()-PROVEEDORES[[#This Row],[FECHA DE FACTURACIÓN]]-PROVEEDORES[[#This Row],[PLAZO Días]],0)</f>
        <v>0</v>
      </c>
      <c r="U87" s="97">
        <f>+VLOOKUP(PROVEEDORES[[#This Row],[PROVEEDOR]],Terceros!$A:$D,4,FALSE)</f>
        <v>0</v>
      </c>
      <c r="V87" s="98">
        <f>+YEAR(PROVEEDORES[[#This Row],[FECHA DE FACTURACIÓN]])</f>
        <v>2023</v>
      </c>
      <c r="W87" s="98">
        <f>+MATCH(PROVEEDORES[[#This Row],[año facturado]],Retenciones!$1:$1,0)</f>
        <v>6</v>
      </c>
      <c r="X87" s="99">
        <f>+VLOOKUP(PROVEEDORES[[#This Row],[ID RETENCION]],Retenciones!$A$1:$O$25,PROVEEDORES[[#This Row],[indicador de columna]],FALSE)</f>
        <v>0</v>
      </c>
      <c r="Y87" s="100">
        <f>+VLOOKUP(PROVEEDORES[[#This Row],[ID RETENCION]],Retenciones!$A$1:$O$25,2,FALSE)</f>
        <v>0</v>
      </c>
      <c r="Z87" s="103" t="b">
        <f>OR(COUNTIF(PROVEEDORES[[#This Row],[PROVEEDOR]],"*"&amp;'Palabra no opera'!$A$2&amp;"*"))</f>
        <v>0</v>
      </c>
    </row>
    <row r="88" spans="1:26" ht="22.35" customHeight="1" x14ac:dyDescent="0.25">
      <c r="A88" s="65" t="str">
        <f>+IF(PROVEEDORES[[#This Row],[FECHA DE PAGO]]=PROVEEDORES[[#This Row],[FECHA DE FACTURACIÓN]],"DE CONTADO","CRÉDITO")</f>
        <v>DE CONTADO</v>
      </c>
      <c r="B88" s="38" t="b">
        <f>+IF((PROVEEDORES[[#This Row],[FECHA DE PAGO]]-PROVEEDORES[[#This Row],[FECHA DE FACTURACIÓN]])&gt;PROVEEDORES[[#This Row],[PLAZO Días]],"PAGO VENCIDO")</f>
        <v>0</v>
      </c>
      <c r="C88" s="20">
        <f>+VLOOKUP(PROVEEDORES[[#This Row],[PROVEEDOR]],TERCEROS_INFO[#All],2,FALSE)</f>
        <v>30</v>
      </c>
      <c r="D88" s="25">
        <f>+SUMIFS(PROVEEDORES[Total],PROVEEDORES[PROVEEDOR],PROVEEDORES[[#This Row],[PROVEEDOR]],PROVEEDORES[FECHA DE PAGO],"")</f>
        <v>0</v>
      </c>
      <c r="E88" s="25"/>
      <c r="F88" s="56" t="str">
        <f>+VLOOKUP(PROVEEDORES[[#This Row],[PROVEEDOR]],
                       Terceros!$A:$F,
                       5,
                       FALSE)</f>
        <v/>
      </c>
      <c r="G88" s="289">
        <v>44957</v>
      </c>
      <c r="H88" s="26" t="s">
        <v>279</v>
      </c>
      <c r="I88" s="289">
        <v>44957</v>
      </c>
      <c r="J88" s="35" t="s">
        <v>543</v>
      </c>
      <c r="K88" s="21">
        <v>56000</v>
      </c>
      <c r="L88" s="21"/>
      <c r="M88" s="22">
        <f>(PROVEEDORES[[#This Row],[SUBTOTAL]]-PROVEEDORES[[#This Row],[descuento sobre subtotal]])*VLOOKUP(PROVEEDORES[[#This Row],[PROVEEDOR]],TERCEROS_INFO[#All],3,FALSE)</f>
        <v>0</v>
      </c>
      <c r="N88" s="23"/>
      <c r="O88" s="22">
        <f>+PROVEEDORES[[#This Row],[Descuento sobre subtotal %]]*(PROVEEDORES[[#This Row],[SUBTOTAL]]-PROVEEDORES[[#This Row],[descuento sobre subtotal]])</f>
        <v>0</v>
      </c>
      <c r="P88" s="72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56000</v>
      </c>
      <c r="S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1">
        <f ca="1">IF(PROVEEDORES[[#This Row],[FECHA DE PAGO]]=0,TODAY()-PROVEEDORES[[#This Row],[FECHA DE FACTURACIÓN]]-PROVEEDORES[[#This Row],[PLAZO Días]],0)</f>
        <v>0</v>
      </c>
      <c r="U88" s="97">
        <f>+VLOOKUP(PROVEEDORES[[#This Row],[PROVEEDOR]],Terceros!$A:$D,4,FALSE)</f>
        <v>0</v>
      </c>
      <c r="V88" s="98">
        <f>+YEAR(PROVEEDORES[[#This Row],[FECHA DE FACTURACIÓN]])</f>
        <v>2023</v>
      </c>
      <c r="W88" s="98">
        <f>+MATCH(PROVEEDORES[[#This Row],[año facturado]],Retenciones!$1:$1,0)</f>
        <v>6</v>
      </c>
      <c r="X88" s="99">
        <f>+VLOOKUP(PROVEEDORES[[#This Row],[ID RETENCION]],Retenciones!$A$1:$O$25,PROVEEDORES[[#This Row],[indicador de columna]],FALSE)</f>
        <v>0</v>
      </c>
      <c r="Y88" s="100">
        <f>+VLOOKUP(PROVEEDORES[[#This Row],[ID RETENCION]],Retenciones!$A$1:$O$25,2,FALSE)</f>
        <v>0</v>
      </c>
      <c r="Z88" s="103" t="b">
        <f>OR(COUNTIF(PROVEEDORES[[#This Row],[PROVEEDOR]],"*"&amp;'Palabra no opera'!$A$2&amp;"*"))</f>
        <v>0</v>
      </c>
    </row>
    <row r="89" spans="1:26" ht="22.35" customHeight="1" x14ac:dyDescent="0.25">
      <c r="A89" s="65" t="str">
        <f>+IF(PROVEEDORES[[#This Row],[FECHA DE PAGO]]=PROVEEDORES[[#This Row],[FECHA DE FACTURACIÓN]],"DE CONTADO","CRÉDITO")</f>
        <v>DE CONTADO</v>
      </c>
      <c r="B89" s="38" t="b">
        <f>+IF((PROVEEDORES[[#This Row],[FECHA DE PAGO]]-PROVEEDORES[[#This Row],[FECHA DE FACTURACIÓN]])&gt;PROVEEDORES[[#This Row],[PLAZO Días]],"PAGO VENCIDO")</f>
        <v>0</v>
      </c>
      <c r="C89" s="20">
        <f>+VLOOKUP(PROVEEDORES[[#This Row],[PROVEEDOR]],TERCEROS_INFO[#All],2,FALSE)</f>
        <v>30</v>
      </c>
      <c r="D89" s="25">
        <f>+SUMIFS(PROVEEDORES[Total],PROVEEDORES[PROVEEDOR],PROVEEDORES[[#This Row],[PROVEEDOR]],PROVEEDORES[FECHA DE PAGO],"")</f>
        <v>0</v>
      </c>
      <c r="E89" s="25"/>
      <c r="F89" s="56" t="str">
        <f>+VLOOKUP(PROVEEDORES[[#This Row],[PROVEEDOR]],
                       Terceros!$A:$F,
                       5,
                       FALSE)</f>
        <v/>
      </c>
      <c r="G89" s="289">
        <v>44957</v>
      </c>
      <c r="H89" s="26" t="s">
        <v>279</v>
      </c>
      <c r="I89" s="289">
        <v>44957</v>
      </c>
      <c r="J89" s="35" t="s">
        <v>516</v>
      </c>
      <c r="K89" s="21">
        <v>586500</v>
      </c>
      <c r="L89" s="21"/>
      <c r="M89" s="22">
        <f>(PROVEEDORES[[#This Row],[SUBTOTAL]]-PROVEEDORES[[#This Row],[descuento sobre subtotal]])*VLOOKUP(PROVEEDORES[[#This Row],[PROVEEDOR]],TERCEROS_INFO[#All],3,FALSE)</f>
        <v>0</v>
      </c>
      <c r="N89" s="23"/>
      <c r="O89" s="22">
        <f>+PROVEEDORES[[#This Row],[Descuento sobre subtotal %]]*(PROVEEDORES[[#This Row],[SUBTOTAL]]-PROVEEDORES[[#This Row],[descuento sobre subtotal]])</f>
        <v>0</v>
      </c>
      <c r="P89" s="72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f>+PROVEEDORES[[#This Row],[SUBTOTAL]]+PROVEEDORES[[#This Row],[IVA 19%]]-PROVEEDORES[[#This Row],[descuento sobre subtotal]]-PROVEEDORES[[#This Row],[Descuento sobre subtotal $2]]-PROVEEDORES[[#This Row],[Rete Fuente $]]</f>
        <v>586500</v>
      </c>
      <c r="S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1">
        <f ca="1">IF(PROVEEDORES[[#This Row],[FECHA DE PAGO]]=0,TODAY()-PROVEEDORES[[#This Row],[FECHA DE FACTURACIÓN]]-PROVEEDORES[[#This Row],[PLAZO Días]],0)</f>
        <v>0</v>
      </c>
      <c r="U89" s="97">
        <f>+VLOOKUP(PROVEEDORES[[#This Row],[PROVEEDOR]],Terceros!$A:$D,4,FALSE)</f>
        <v>0</v>
      </c>
      <c r="V89" s="98">
        <f>+YEAR(PROVEEDORES[[#This Row],[FECHA DE FACTURACIÓN]])</f>
        <v>2023</v>
      </c>
      <c r="W89" s="98">
        <f>+MATCH(PROVEEDORES[[#This Row],[año facturado]],Retenciones!$1:$1,0)</f>
        <v>6</v>
      </c>
      <c r="X89" s="99">
        <f>+VLOOKUP(PROVEEDORES[[#This Row],[ID RETENCION]],Retenciones!$A$1:$O$25,PROVEEDORES[[#This Row],[indicador de columna]],FALSE)</f>
        <v>0</v>
      </c>
      <c r="Y89" s="100">
        <f>+VLOOKUP(PROVEEDORES[[#This Row],[ID RETENCION]],Retenciones!$A$1:$O$25,2,FALSE)</f>
        <v>0</v>
      </c>
      <c r="Z89" s="103" t="b">
        <f>OR(COUNTIF(PROVEEDORES[[#This Row],[PROVEEDOR]],"*"&amp;'Palabra no opera'!$A$2&amp;"*"))</f>
        <v>0</v>
      </c>
    </row>
    <row r="90" spans="1:26" ht="22.35" customHeight="1" x14ac:dyDescent="0.25">
      <c r="A90" s="65" t="str">
        <f>+IF(PROVEEDORES[[#This Row],[FECHA DE PAGO]]=PROVEEDORES[[#This Row],[FECHA DE FACTURACIÓN]],"DE CONTADO","CRÉDITO")</f>
        <v>DE CONTADO</v>
      </c>
      <c r="B90" s="38" t="b">
        <f>+IF((PROVEEDORES[[#This Row],[FECHA DE PAGO]]-PROVEEDORES[[#This Row],[FECHA DE FACTURACIÓN]])&gt;PROVEEDORES[[#This Row],[PLAZO Días]],"PAGO VENCIDO")</f>
        <v>0</v>
      </c>
      <c r="C90" s="20">
        <f>+VLOOKUP(PROVEEDORES[[#This Row],[PROVEEDOR]],TERCEROS_INFO[#All],2,FALSE)</f>
        <v>30</v>
      </c>
      <c r="D90" s="25">
        <f>+SUMIFS(PROVEEDORES[Total],PROVEEDORES[PROVEEDOR],PROVEEDORES[[#This Row],[PROVEEDOR]],PROVEEDORES[FECHA DE PAGO],"")</f>
        <v>0</v>
      </c>
      <c r="E90" s="25"/>
      <c r="F90" s="56" t="str">
        <f>+VLOOKUP(PROVEEDORES[[#This Row],[PROVEEDOR]],
                       Terceros!$A:$F,
                       5,
                       FALSE)</f>
        <v/>
      </c>
      <c r="G90" s="289">
        <v>44957</v>
      </c>
      <c r="H90" s="26" t="s">
        <v>279</v>
      </c>
      <c r="I90" s="289">
        <v>44957</v>
      </c>
      <c r="J90" s="35" t="s">
        <v>545</v>
      </c>
      <c r="K90" s="21">
        <v>0</v>
      </c>
      <c r="L90" s="21"/>
      <c r="M90" s="22">
        <f>(PROVEEDORES[[#This Row],[SUBTOTAL]]-PROVEEDORES[[#This Row],[descuento sobre subtotal]])*VLOOKUP(PROVEEDORES[[#This Row],[PROVEEDOR]],TERCEROS_INFO[#All],3,FALSE)</f>
        <v>0</v>
      </c>
      <c r="N90" s="23"/>
      <c r="O90" s="22">
        <f>+PROVEEDORES[[#This Row],[Descuento sobre subtotal %]]*(PROVEEDORES[[#This Row],[SUBTOTAL]]-PROVEEDORES[[#This Row],[descuento sobre subtotal]])</f>
        <v>0</v>
      </c>
      <c r="P90" s="72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1">
        <f ca="1">IF(PROVEEDORES[[#This Row],[FECHA DE PAGO]]=0,TODAY()-PROVEEDORES[[#This Row],[FECHA DE FACTURACIÓN]]-PROVEEDORES[[#This Row],[PLAZO Días]],0)</f>
        <v>0</v>
      </c>
      <c r="U90" s="97">
        <f>+VLOOKUP(PROVEEDORES[[#This Row],[PROVEEDOR]],Terceros!$A:$D,4,FALSE)</f>
        <v>0</v>
      </c>
      <c r="V90" s="98">
        <f>+YEAR(PROVEEDORES[[#This Row],[FECHA DE FACTURACIÓN]])</f>
        <v>2023</v>
      </c>
      <c r="W90" s="98">
        <f>+MATCH(PROVEEDORES[[#This Row],[año facturado]],Retenciones!$1:$1,0)</f>
        <v>6</v>
      </c>
      <c r="X90" s="99">
        <f>+VLOOKUP(PROVEEDORES[[#This Row],[ID RETENCION]],Retenciones!$A$1:$O$25,PROVEEDORES[[#This Row],[indicador de columna]],FALSE)</f>
        <v>0</v>
      </c>
      <c r="Y90" s="100">
        <f>+VLOOKUP(PROVEEDORES[[#This Row],[ID RETENCION]],Retenciones!$A$1:$O$25,2,FALSE)</f>
        <v>0</v>
      </c>
      <c r="Z90" s="103" t="b">
        <f>OR(COUNTIF(PROVEEDORES[[#This Row],[PROVEEDOR]],"*"&amp;'Palabra no opera'!$A$2&amp;"*"))</f>
        <v>0</v>
      </c>
    </row>
    <row r="91" spans="1:26" ht="22.35" customHeight="1" x14ac:dyDescent="0.25">
      <c r="A91" s="65" t="str">
        <f>+IF(PROVEEDORES[[#This Row],[FECHA DE PAGO]]=PROVEEDORES[[#This Row],[FECHA DE FACTURACIÓN]],"DE CONTADO","CRÉDITO")</f>
        <v>DE CONTADO</v>
      </c>
      <c r="B91" s="38" t="b">
        <f>+IF((PROVEEDORES[[#This Row],[FECHA DE PAGO]]-PROVEEDORES[[#This Row],[FECHA DE FACTURACIÓN]])&gt;PROVEEDORES[[#This Row],[PLAZO Días]],"PAGO VENCIDO")</f>
        <v>0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0</v>
      </c>
      <c r="E91" s="25"/>
      <c r="F91" s="56" t="str">
        <f>+VLOOKUP(PROVEEDORES[[#This Row],[PROVEEDOR]],
                       Terceros!$A:$F,
                       5,
                       FALSE)</f>
        <v/>
      </c>
      <c r="G91" s="289">
        <v>44967</v>
      </c>
      <c r="H91" s="26" t="s">
        <v>566</v>
      </c>
      <c r="I91" s="289">
        <v>44967</v>
      </c>
      <c r="J91" s="35" t="s">
        <v>643</v>
      </c>
      <c r="K91" s="21">
        <v>578000</v>
      </c>
      <c r="L91" s="21"/>
      <c r="M91" s="22">
        <f>(PROVEEDORES[[#This Row],[SUBTOTAL]]-PROVEEDORES[[#This Row],[descuento sobre subtotal]])*VLOOKUP(PROVEEDORES[[#This Row],[PROVEEDOR]],TERCEROS_INFO[#All],3,FALSE)</f>
        <v>0</v>
      </c>
      <c r="N91" s="23"/>
      <c r="O91" s="22">
        <f>+PROVEEDORES[[#This Row],[Descuento sobre subtotal %]]*(PROVEEDORES[[#This Row],[SUBTOTAL]]-PROVEEDORES[[#This Row],[descuento sobre subtotal]])</f>
        <v>0</v>
      </c>
      <c r="P91" s="72">
        <f>+IF(PROVEEDORES[[#This Row],[SUBTOTAL]]&lt;PROVEEDORES[[#This Row],[base retencion]],0,PROVEEDORES[[#This Row],[retención aplicada]])</f>
        <v>0</v>
      </c>
      <c r="Q91" s="22">
        <f>+PROVEEDORES[[#This Row],[Rete Fuente %]]*(PROVEEDORES[[#This Row],[SUBTOTAL]]-PROVEEDORES[[#This Row],[descuento sobre subtotal]])</f>
        <v>0</v>
      </c>
      <c r="R91" s="21">
        <f>+PROVEEDORES[[#This Row],[SUBTOTAL]]+PROVEEDORES[[#This Row],[IVA 19%]]-PROVEEDORES[[#This Row],[descuento sobre subtotal]]-PROVEEDORES[[#This Row],[Descuento sobre subtotal $2]]-PROVEEDORES[[#This Row],[Rete Fuente $]]</f>
        <v>578000</v>
      </c>
      <c r="S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1">
        <f ca="1">IF(PROVEEDORES[[#This Row],[FECHA DE PAGO]]=0,TODAY()-PROVEEDORES[[#This Row],[FECHA DE FACTURACIÓN]]-PROVEEDORES[[#This Row],[PLAZO Días]],0)</f>
        <v>0</v>
      </c>
      <c r="U91" s="97">
        <f>+VLOOKUP(PROVEEDORES[[#This Row],[PROVEEDOR]],Terceros!$A:$D,4,FALSE)</f>
        <v>0</v>
      </c>
      <c r="V91" s="98">
        <f>+YEAR(PROVEEDORES[[#This Row],[FECHA DE FACTURACIÓN]])</f>
        <v>2023</v>
      </c>
      <c r="W91" s="98">
        <f>+MATCH(PROVEEDORES[[#This Row],[año facturado]],Retenciones!$1:$1,0)</f>
        <v>6</v>
      </c>
      <c r="X91" s="99">
        <f>+VLOOKUP(PROVEEDORES[[#This Row],[ID RETENCION]],Retenciones!$A$1:$O$25,PROVEEDORES[[#This Row],[indicador de columna]],FALSE)</f>
        <v>0</v>
      </c>
      <c r="Y91" s="100">
        <f>+VLOOKUP(PROVEEDORES[[#This Row],[ID RETENCION]],Retenciones!$A$1:$O$25,2,FALSE)</f>
        <v>0</v>
      </c>
      <c r="Z91" s="103" t="b">
        <f>OR(COUNTIF(PROVEEDORES[[#This Row],[PROVEEDOR]],"*"&amp;'Palabra no opera'!$A$2&amp;"*"))</f>
        <v>0</v>
      </c>
    </row>
    <row r="92" spans="1:26" ht="22.35" customHeight="1" x14ac:dyDescent="0.25">
      <c r="A92" s="65" t="str">
        <f>+IF(PROVEEDORES[[#This Row],[FECHA DE PAGO]]=PROVEEDORES[[#This Row],[FECHA DE FACTURACIÓN]],"DE CONTADO","CRÉDITO")</f>
        <v>DE CONTADO</v>
      </c>
      <c r="B92" s="38" t="b">
        <f>+IF((PROVEEDORES[[#This Row],[FECHA DE PAGO]]-PROVEEDORES[[#This Row],[FECHA DE FACTURACIÓN]])&gt;PROVEEDORES[[#This Row],[PLAZO Días]],"PAGO VENCIDO")</f>
        <v>0</v>
      </c>
      <c r="C92" s="20">
        <f>+VLOOKUP(PROVEEDORES[[#This Row],[PROVEEDOR]],TERCEROS_INFO[#All],2,FALSE)</f>
        <v>30</v>
      </c>
      <c r="D92" s="25">
        <f>+SUMIFS(PROVEEDORES[Total],PROVEEDORES[PROVEEDOR],PROVEEDORES[[#This Row],[PROVEEDOR]],PROVEEDORES[FECHA DE PAGO],"")</f>
        <v>0</v>
      </c>
      <c r="E92" s="25"/>
      <c r="F92" s="56" t="str">
        <f>+VLOOKUP(PROVEEDORES[[#This Row],[PROVEEDOR]],
                       Terceros!$A:$F,
                       5,
                       FALSE)</f>
        <v/>
      </c>
      <c r="G92" s="289">
        <v>44985</v>
      </c>
      <c r="H92" s="26" t="s">
        <v>566</v>
      </c>
      <c r="I92" s="289">
        <v>44985</v>
      </c>
      <c r="J92" s="35" t="s">
        <v>518</v>
      </c>
      <c r="K92" s="21">
        <v>203500</v>
      </c>
      <c r="L92" s="21"/>
      <c r="M92" s="22">
        <f>(PROVEEDORES[[#This Row],[SUBTOTAL]]-PROVEEDORES[[#This Row],[descuento sobre subtotal]])*VLOOKUP(PROVEEDORES[[#This Row],[PROVEEDOR]],TERCEROS_INFO[#All],3,FALSE)</f>
        <v>0</v>
      </c>
      <c r="N92" s="23"/>
      <c r="O92" s="22">
        <f>+PROVEEDORES[[#This Row],[Descuento sobre subtotal %]]*(PROVEEDORES[[#This Row],[SUBTOTAL]]-PROVEEDORES[[#This Row],[descuento sobre subtotal]])</f>
        <v>0</v>
      </c>
      <c r="P92" s="72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f>+PROVEEDORES[[#This Row],[SUBTOTAL]]+PROVEEDORES[[#This Row],[IVA 19%]]-PROVEEDORES[[#This Row],[descuento sobre subtotal]]-PROVEEDORES[[#This Row],[Descuento sobre subtotal $2]]-PROVEEDORES[[#This Row],[Rete Fuente $]]</f>
        <v>203500</v>
      </c>
      <c r="S9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1">
        <f ca="1">IF(PROVEEDORES[[#This Row],[FECHA DE PAGO]]=0,TODAY()-PROVEEDORES[[#This Row],[FECHA DE FACTURACIÓN]]-PROVEEDORES[[#This Row],[PLAZO Días]],0)</f>
        <v>0</v>
      </c>
      <c r="U92" s="97">
        <f>+VLOOKUP(PROVEEDORES[[#This Row],[PROVEEDOR]],Terceros!$A:$D,4,FALSE)</f>
        <v>0</v>
      </c>
      <c r="V92" s="98">
        <f>+YEAR(PROVEEDORES[[#This Row],[FECHA DE FACTURACIÓN]])</f>
        <v>2023</v>
      </c>
      <c r="W92" s="98">
        <f>+MATCH(PROVEEDORES[[#This Row],[año facturado]],Retenciones!$1:$1,0)</f>
        <v>6</v>
      </c>
      <c r="X92" s="99">
        <f>+VLOOKUP(PROVEEDORES[[#This Row],[ID RETENCION]],Retenciones!$A$1:$O$25,PROVEEDORES[[#This Row],[indicador de columna]],FALSE)</f>
        <v>0</v>
      </c>
      <c r="Y92" s="100">
        <f>+VLOOKUP(PROVEEDORES[[#This Row],[ID RETENCION]],Retenciones!$A$1:$O$25,2,FALSE)</f>
        <v>0</v>
      </c>
      <c r="Z92" s="103" t="b">
        <f>OR(COUNTIF(PROVEEDORES[[#This Row],[PROVEEDOR]],"*"&amp;'Palabra no opera'!$A$2&amp;"*"))</f>
        <v>0</v>
      </c>
    </row>
    <row r="93" spans="1:26" ht="22.35" customHeight="1" x14ac:dyDescent="0.25">
      <c r="A93" s="65" t="str">
        <f>+IF(PROVEEDORES[[#This Row],[FECHA DE PAGO]]=PROVEEDORES[[#This Row],[FECHA DE FACTURACIÓN]],"DE CONTADO","CRÉDITO")</f>
        <v>DE CONTADO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0</v>
      </c>
      <c r="E93" s="25"/>
      <c r="F93" s="56" t="str">
        <f>+VLOOKUP(PROVEEDORES[[#This Row],[PROVEEDOR]],
                       Terceros!$A:$F,
                       5,
                       FALSE)</f>
        <v/>
      </c>
      <c r="G93" s="289">
        <v>44985</v>
      </c>
      <c r="H93" s="26" t="s">
        <v>279</v>
      </c>
      <c r="I93" s="289">
        <v>44985</v>
      </c>
      <c r="J93" s="35" t="s">
        <v>544</v>
      </c>
      <c r="K93" s="21">
        <v>976000</v>
      </c>
      <c r="L93" s="21"/>
      <c r="M93" s="22">
        <f>(PROVEEDORES[[#This Row],[SUBTOTAL]]-PROVEEDORES[[#This Row],[descuento sobre subtotal]])*VLOOKUP(PROVEEDORES[[#This Row],[PROVEEDOR]],TERCEROS_INFO[#All],3,FALSE)</f>
        <v>0</v>
      </c>
      <c r="N93" s="23"/>
      <c r="O93" s="22">
        <f>+PROVEEDORES[[#This Row],[Descuento sobre subtotal %]]*(PROVEEDORES[[#This Row],[SUBTOTAL]]-PROVEEDORES[[#This Row],[descuento sobre subtotal]])</f>
        <v>0</v>
      </c>
      <c r="P93" s="72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f>+PROVEEDORES[[#This Row],[SUBTOTAL]]+PROVEEDORES[[#This Row],[IVA 19%]]-PROVEEDORES[[#This Row],[descuento sobre subtotal]]-PROVEEDORES[[#This Row],[Descuento sobre subtotal $2]]-PROVEEDORES[[#This Row],[Rete Fuente $]]</f>
        <v>976000</v>
      </c>
      <c r="S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1">
        <f ca="1">IF(PROVEEDORES[[#This Row],[FECHA DE PAGO]]=0,TODAY()-PROVEEDORES[[#This Row],[FECHA DE FACTURACIÓN]]-PROVEEDORES[[#This Row],[PLAZO Días]],0)</f>
        <v>0</v>
      </c>
      <c r="U93" s="97">
        <f>+VLOOKUP(PROVEEDORES[[#This Row],[PROVEEDOR]],Terceros!$A:$D,4,FALSE)</f>
        <v>0</v>
      </c>
      <c r="V93" s="98">
        <f>+YEAR(PROVEEDORES[[#This Row],[FECHA DE FACTURACIÓN]])</f>
        <v>2023</v>
      </c>
      <c r="W93" s="98">
        <f>+MATCH(PROVEEDORES[[#This Row],[año facturado]],Retenciones!$1:$1,0)</f>
        <v>6</v>
      </c>
      <c r="X93" s="99">
        <f>+VLOOKUP(PROVEEDORES[[#This Row],[ID RETENCION]],Retenciones!$A$1:$O$25,PROVEEDORES[[#This Row],[indicador de columna]],FALSE)</f>
        <v>0</v>
      </c>
      <c r="Y93" s="100">
        <f>+VLOOKUP(PROVEEDORES[[#This Row],[ID RETENCION]],Retenciones!$A$1:$O$25,2,FALSE)</f>
        <v>0</v>
      </c>
      <c r="Z93" s="103" t="b">
        <f>OR(COUNTIF(PROVEEDORES[[#This Row],[PROVEEDOR]],"*"&amp;'Palabra no opera'!$A$2&amp;"*"))</f>
        <v>0</v>
      </c>
    </row>
    <row r="94" spans="1:26" ht="22.35" customHeight="1" x14ac:dyDescent="0.25">
      <c r="A94" s="65" t="str">
        <f>+IF(PROVEEDORES[[#This Row],[FECHA DE PAGO]]=PROVEEDORES[[#This Row],[FECHA DE FACTURACIÓN]],"DE CONTADO","CRÉDITO")</f>
        <v>DE CONTADO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0</v>
      </c>
      <c r="E94" s="25"/>
      <c r="F94" s="56" t="str">
        <f>+VLOOKUP(PROVEEDORES[[#This Row],[PROVEEDOR]],
                       Terceros!$A:$F,
                       5,
                       FALSE)</f>
        <v/>
      </c>
      <c r="G94" s="289">
        <v>44985</v>
      </c>
      <c r="H94" s="26" t="s">
        <v>279</v>
      </c>
      <c r="I94" s="289">
        <v>44985</v>
      </c>
      <c r="J94" s="35" t="s">
        <v>517</v>
      </c>
      <c r="K94" s="21">
        <v>1657000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72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f>+PROVEEDORES[[#This Row],[SUBTOTAL]]+PROVEEDORES[[#This Row],[IVA 19%]]-PROVEEDORES[[#This Row],[descuento sobre subtotal]]-PROVEEDORES[[#This Row],[Descuento sobre subtotal $2]]-PROVEEDORES[[#This Row],[Rete Fuente $]]</f>
        <v>1657000</v>
      </c>
      <c r="S9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1">
        <f ca="1">IF(PROVEEDORES[[#This Row],[FECHA DE PAGO]]=0,TODAY()-PROVEEDORES[[#This Row],[FECHA DE FACTURACIÓN]]-PROVEEDORES[[#This Row],[PLAZO Días]],0)</f>
        <v>0</v>
      </c>
      <c r="U94" s="97">
        <f>+VLOOKUP(PROVEEDORES[[#This Row],[PROVEEDOR]],Terceros!$A:$D,4,FALSE)</f>
        <v>0</v>
      </c>
      <c r="V94" s="98">
        <f>+YEAR(PROVEEDORES[[#This Row],[FECHA DE FACTURACIÓN]])</f>
        <v>2023</v>
      </c>
      <c r="W94" s="98">
        <f>+MATCH(PROVEEDORES[[#This Row],[año facturado]],Retenciones!$1:$1,0)</f>
        <v>6</v>
      </c>
      <c r="X94" s="99">
        <f>+VLOOKUP(PROVEEDORES[[#This Row],[ID RETENCION]],Retenciones!$A$1:$O$25,PROVEEDORES[[#This Row],[indicador de columna]],FALSE)</f>
        <v>0</v>
      </c>
      <c r="Y94" s="100">
        <f>+VLOOKUP(PROVEEDORES[[#This Row],[ID RETENCION]],Retenciones!$A$1:$O$25,2,FALSE)</f>
        <v>0</v>
      </c>
      <c r="Z94" s="103" t="b">
        <f>OR(COUNTIF(PROVEEDORES[[#This Row],[PROVEEDOR]],"*"&amp;'Palabra no opera'!$A$2&amp;"*"))</f>
        <v>0</v>
      </c>
    </row>
    <row r="95" spans="1:26" ht="22.35" customHeight="1" x14ac:dyDescent="0.25">
      <c r="A95" s="65" t="str">
        <f>+IF(PROVEEDORES[[#This Row],[FECHA DE PAGO]]=PROVEEDORES[[#This Row],[FECHA DE FACTURACIÓN]],"DE CONTADO","CRÉDITO")</f>
        <v>DE CONTADO</v>
      </c>
      <c r="B95" s="38" t="b">
        <f>+IF((PROVEEDORES[[#This Row],[FECHA DE PAGO]]-PROVEEDORES[[#This Row],[FECHA DE FACTURACIÓN]])&gt;PROVEEDORES[[#This Row],[PLAZO Días]],"PAGO VENCIDO")</f>
        <v>0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0</v>
      </c>
      <c r="E95" s="25"/>
      <c r="F95" s="56" t="str">
        <f>+VLOOKUP(PROVEEDORES[[#This Row],[PROVEEDOR]],
                       Terceros!$A:$F,
                       5,
                       FALSE)</f>
        <v/>
      </c>
      <c r="G95" s="289">
        <v>44985</v>
      </c>
      <c r="H95" s="26" t="s">
        <v>566</v>
      </c>
      <c r="I95" s="289">
        <v>44985</v>
      </c>
      <c r="J95" s="35" t="s">
        <v>516</v>
      </c>
      <c r="K95" s="21">
        <v>385700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72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f>+PROVEEDORES[[#This Row],[SUBTOTAL]]+PROVEEDORES[[#This Row],[IVA 19%]]-PROVEEDORES[[#This Row],[descuento sobre subtotal]]-PROVEEDORES[[#This Row],[Descuento sobre subtotal $2]]-PROVEEDORES[[#This Row],[Rete Fuente $]]</f>
        <v>385700</v>
      </c>
      <c r="S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1">
        <f ca="1">IF(PROVEEDORES[[#This Row],[FECHA DE PAGO]]=0,TODAY()-PROVEEDORES[[#This Row],[FECHA DE FACTURACIÓN]]-PROVEEDORES[[#This Row],[PLAZO Días]],0)</f>
        <v>0</v>
      </c>
      <c r="U95" s="97">
        <f>+VLOOKUP(PROVEEDORES[[#This Row],[PROVEEDOR]],Terceros!$A:$D,4,FALSE)</f>
        <v>0</v>
      </c>
      <c r="V95" s="98">
        <f>+YEAR(PROVEEDORES[[#This Row],[FECHA DE FACTURACIÓN]])</f>
        <v>2023</v>
      </c>
      <c r="W95" s="98">
        <f>+MATCH(PROVEEDORES[[#This Row],[año facturado]],Retenciones!$1:$1,0)</f>
        <v>6</v>
      </c>
      <c r="X95" s="99">
        <f>+VLOOKUP(PROVEEDORES[[#This Row],[ID RETENCION]],Retenciones!$A$1:$O$25,PROVEEDORES[[#This Row],[indicador de columna]],FALSE)</f>
        <v>0</v>
      </c>
      <c r="Y95" s="100">
        <f>+VLOOKUP(PROVEEDORES[[#This Row],[ID RETENCION]],Retenciones!$A$1:$O$25,2,FALSE)</f>
        <v>0</v>
      </c>
      <c r="Z95" s="103" t="b">
        <f>OR(COUNTIF(PROVEEDORES[[#This Row],[PROVEEDOR]],"*"&amp;'Palabra no opera'!$A$2&amp;"*"))</f>
        <v>0</v>
      </c>
    </row>
    <row r="96" spans="1:26" ht="22.35" customHeight="1" x14ac:dyDescent="0.25">
      <c r="A96" s="65" t="str">
        <f>+IF(PROVEEDORES[[#This Row],[FECHA DE PAGO]]=PROVEEDORES[[#This Row],[FECHA DE FACTURACIÓN]],"DE CONTADO","CRÉDITO")</f>
        <v>DE CONTADO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0</v>
      </c>
      <c r="E96" s="25"/>
      <c r="F96" s="56" t="str">
        <f>+VLOOKUP(PROVEEDORES[[#This Row],[PROVEEDOR]],
                       Terceros!$A:$F,
                       5,
                       FALSE)</f>
        <v/>
      </c>
      <c r="G96" s="289">
        <v>44985</v>
      </c>
      <c r="H96" s="26" t="s">
        <v>566</v>
      </c>
      <c r="I96" s="289">
        <v>44985</v>
      </c>
      <c r="J96" s="35" t="s">
        <v>543</v>
      </c>
      <c r="K96" s="21">
        <v>0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72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1">
        <f ca="1">IF(PROVEEDORES[[#This Row],[FECHA DE PAGO]]=0,TODAY()-PROVEEDORES[[#This Row],[FECHA DE FACTURACIÓN]]-PROVEEDORES[[#This Row],[PLAZO Días]],0)</f>
        <v>0</v>
      </c>
      <c r="U96" s="97">
        <f>+VLOOKUP(PROVEEDORES[[#This Row],[PROVEEDOR]],Terceros!$A:$D,4,FALSE)</f>
        <v>0</v>
      </c>
      <c r="V96" s="98">
        <f>+YEAR(PROVEEDORES[[#This Row],[FECHA DE FACTURACIÓN]])</f>
        <v>2023</v>
      </c>
      <c r="W96" s="98">
        <f>+MATCH(PROVEEDORES[[#This Row],[año facturado]],Retenciones!$1:$1,0)</f>
        <v>6</v>
      </c>
      <c r="X96" s="99">
        <f>+VLOOKUP(PROVEEDORES[[#This Row],[ID RETENCION]],Retenciones!$A$1:$O$25,PROVEEDORES[[#This Row],[indicador de columna]],FALSE)</f>
        <v>0</v>
      </c>
      <c r="Y96" s="100">
        <f>+VLOOKUP(PROVEEDORES[[#This Row],[ID RETENCION]],Retenciones!$A$1:$O$25,2,FALSE)</f>
        <v>0</v>
      </c>
      <c r="Z96" s="103" t="b">
        <f>OR(COUNTIF(PROVEEDORES[[#This Row],[PROVEEDOR]],"*"&amp;'Palabra no opera'!$A$2&amp;"*"))</f>
        <v>0</v>
      </c>
    </row>
    <row r="97" spans="1:26" ht="22.35" customHeight="1" x14ac:dyDescent="0.25">
      <c r="A97" s="65" t="str">
        <f>+IF(PROVEEDORES[[#This Row],[FECHA DE PAGO]]=PROVEEDORES[[#This Row],[FECHA DE FACTURACIÓN]],"DE CONTADO","CRÉDITO")</f>
        <v>DE CONTADO</v>
      </c>
      <c r="B97" s="38" t="b">
        <f>+IF((PROVEEDORES[[#This Row],[FECHA DE PAGO]]-PROVEEDORES[[#This Row],[FECHA DE FACTURACIÓN]])&gt;PROVEEDORES[[#This Row],[PLAZO Días]],"PAGO VENCIDO")</f>
        <v>0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0</v>
      </c>
      <c r="E97" s="25"/>
      <c r="F97" s="56" t="str">
        <f>+VLOOKUP(PROVEEDORES[[#This Row],[PROVEEDOR]],
                       Terceros!$A:$F,
                       5,
                       FALSE)</f>
        <v/>
      </c>
      <c r="G97" s="289">
        <v>44985</v>
      </c>
      <c r="H97" s="26" t="s">
        <v>566</v>
      </c>
      <c r="I97" s="289">
        <v>44985</v>
      </c>
      <c r="J97" s="35" t="s">
        <v>545</v>
      </c>
      <c r="K97" s="21">
        <v>0</v>
      </c>
      <c r="L97" s="21"/>
      <c r="M97" s="22">
        <f>(PROVEEDORES[[#This Row],[SUBTOTAL]]-PROVEEDORES[[#This Row],[descuento sobre subtotal]])*VLOOKUP(PROVEEDORES[[#This Row],[PROVEEDOR]],TERCEROS_INFO[#All],3,FALSE)</f>
        <v>0</v>
      </c>
      <c r="N97" s="23"/>
      <c r="O97" s="22">
        <f>+PROVEEDORES[[#This Row],[Descuento sobre subtotal %]]*(PROVEEDORES[[#This Row],[SUBTOTAL]]-PROVEEDORES[[#This Row],[descuento sobre subtotal]])</f>
        <v>0</v>
      </c>
      <c r="P97" s="72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1">
        <f ca="1">IF(PROVEEDORES[[#This Row],[FECHA DE PAGO]]=0,TODAY()-PROVEEDORES[[#This Row],[FECHA DE FACTURACIÓN]]-PROVEEDORES[[#This Row],[PLAZO Días]],0)</f>
        <v>0</v>
      </c>
      <c r="U97" s="97">
        <f>+VLOOKUP(PROVEEDORES[[#This Row],[PROVEEDOR]],Terceros!$A:$D,4,FALSE)</f>
        <v>0</v>
      </c>
      <c r="V97" s="98">
        <f>+YEAR(PROVEEDORES[[#This Row],[FECHA DE FACTURACIÓN]])</f>
        <v>2023</v>
      </c>
      <c r="W97" s="98">
        <f>+MATCH(PROVEEDORES[[#This Row],[año facturado]],Retenciones!$1:$1,0)</f>
        <v>6</v>
      </c>
      <c r="X97" s="99">
        <f>+VLOOKUP(PROVEEDORES[[#This Row],[ID RETENCION]],Retenciones!$A$1:$O$25,PROVEEDORES[[#This Row],[indicador de columna]],FALSE)</f>
        <v>0</v>
      </c>
      <c r="Y97" s="100">
        <f>+VLOOKUP(PROVEEDORES[[#This Row],[ID RETENCION]],Retenciones!$A$1:$O$25,2,FALSE)</f>
        <v>0</v>
      </c>
      <c r="Z97" s="103" t="b">
        <f>OR(COUNTIF(PROVEEDORES[[#This Row],[PROVEEDOR]],"*"&amp;'Palabra no opera'!$A$2&amp;"*"))</f>
        <v>0</v>
      </c>
    </row>
    <row r="98" spans="1:26" ht="22.35" customHeight="1" x14ac:dyDescent="0.25">
      <c r="A98" s="167" t="str">
        <f>+IF(PROVEEDORES[[#This Row],[FECHA DE PAGO]]=PROVEEDORES[[#This Row],[FECHA DE FACTURACIÓN]],"DE CONTADO","CRÉDITO")</f>
        <v>DE CONTADO</v>
      </c>
      <c r="B98" s="38" t="b">
        <f>+IF((PROVEEDORES[[#This Row],[FECHA DE PAGO]]-PROVEEDORES[[#This Row],[FECHA DE FACTURACIÓN]])&gt;PROVEEDORES[[#This Row],[PLAZO Días]],"PAGO VENCIDO")</f>
        <v>0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0</v>
      </c>
      <c r="E98" s="25"/>
      <c r="F98" s="56" t="str">
        <f>+VLOOKUP(PROVEEDORES[[#This Row],[PROVEEDOR]],
                       Terceros!$A:$F,
                       5,
                       FALSE)</f>
        <v/>
      </c>
      <c r="G98" s="289">
        <v>45016</v>
      </c>
      <c r="H98" s="26" t="s">
        <v>566</v>
      </c>
      <c r="I98" s="289">
        <v>45016</v>
      </c>
      <c r="J98" s="35" t="s">
        <v>517</v>
      </c>
      <c r="K98" s="21">
        <v>4188400</v>
      </c>
      <c r="L98" s="21"/>
      <c r="M98" s="22">
        <f>(PROVEEDORES[[#This Row],[SUBTOTAL]]-PROVEEDORES[[#This Row],[descuento sobre subtotal]])*VLOOKUP(PROVEEDORES[[#This Row],[PROVEEDOR]],TERCEROS_INFO[#All],3,FALSE)</f>
        <v>0</v>
      </c>
      <c r="N98" s="23"/>
      <c r="O98" s="22">
        <f>+PROVEEDORES[[#This Row],[Descuento sobre subtotal %]]*(PROVEEDORES[[#This Row],[SUBTOTAL]]-PROVEEDORES[[#This Row],[descuento sobre subtotal]])</f>
        <v>0</v>
      </c>
      <c r="P98" s="72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f>+PROVEEDORES[[#This Row],[SUBTOTAL]]+PROVEEDORES[[#This Row],[IVA 19%]]-PROVEEDORES[[#This Row],[descuento sobre subtotal]]-PROVEEDORES[[#This Row],[Descuento sobre subtotal $2]]-PROVEEDORES[[#This Row],[Rete Fuente $]]</f>
        <v>4188400</v>
      </c>
      <c r="S98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1">
        <f ca="1">IF(PROVEEDORES[[#This Row],[FECHA DE PAGO]]=0,TODAY()-PROVEEDORES[[#This Row],[FECHA DE FACTURACIÓN]]-PROVEEDORES[[#This Row],[PLAZO Días]],0)</f>
        <v>0</v>
      </c>
      <c r="U98" s="97">
        <f>+VLOOKUP(PROVEEDORES[[#This Row],[PROVEEDOR]],Terceros!$A:$D,4,FALSE)</f>
        <v>0</v>
      </c>
      <c r="V98" s="98">
        <f>+YEAR(PROVEEDORES[[#This Row],[FECHA DE FACTURACIÓN]])</f>
        <v>2023</v>
      </c>
      <c r="W98" s="98">
        <f>+MATCH(PROVEEDORES[[#This Row],[año facturado]],Retenciones!$1:$1,0)</f>
        <v>6</v>
      </c>
      <c r="X98" s="99">
        <f>+VLOOKUP(PROVEEDORES[[#This Row],[ID RETENCION]],Retenciones!$A$1:$O$25,PROVEEDORES[[#This Row],[indicador de columna]],FALSE)</f>
        <v>0</v>
      </c>
      <c r="Y98" s="100">
        <f>+VLOOKUP(PROVEEDORES[[#This Row],[ID RETENCION]],Retenciones!$A$1:$O$25,2,FALSE)</f>
        <v>0</v>
      </c>
      <c r="Z98" s="103" t="b">
        <f>OR(COUNTIF(PROVEEDORES[[#This Row],[PROVEEDOR]],"*"&amp;'Palabra no opera'!$A$2&amp;"*"))</f>
        <v>0</v>
      </c>
    </row>
    <row r="99" spans="1:26" ht="22.35" customHeight="1" x14ac:dyDescent="0.25">
      <c r="A99" s="167" t="str">
        <f>+IF(PROVEEDORES[[#This Row],[FECHA DE PAGO]]=PROVEEDORES[[#This Row],[FECHA DE FACTURACIÓN]],"DE CONTADO","CRÉDITO")</f>
        <v>DE CONTADO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6" t="str">
        <f>+VLOOKUP(PROVEEDORES[[#This Row],[PROVEEDOR]],
                       Terceros!$A:$F,
                       5,
                       FALSE)</f>
        <v/>
      </c>
      <c r="G99" s="289">
        <v>45016</v>
      </c>
      <c r="H99" s="26" t="s">
        <v>566</v>
      </c>
      <c r="I99" s="289">
        <v>45016</v>
      </c>
      <c r="J99" s="35" t="s">
        <v>520</v>
      </c>
      <c r="K99" s="21">
        <v>645900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72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f>+PROVEEDORES[[#This Row],[SUBTOTAL]]+PROVEEDORES[[#This Row],[IVA 19%]]-PROVEEDORES[[#This Row],[descuento sobre subtotal]]-PROVEEDORES[[#This Row],[Descuento sobre subtotal $2]]-PROVEEDORES[[#This Row],[Rete Fuente $]]</f>
        <v>645900</v>
      </c>
      <c r="S99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1">
        <f ca="1">IF(PROVEEDORES[[#This Row],[FECHA DE PAGO]]=0,TODAY()-PROVEEDORES[[#This Row],[FECHA DE FACTURACIÓN]]-PROVEEDORES[[#This Row],[PLAZO Días]],0)</f>
        <v>0</v>
      </c>
      <c r="U99" s="97">
        <f>+VLOOKUP(PROVEEDORES[[#This Row],[PROVEEDOR]],Terceros!$A:$D,4,FALSE)</f>
        <v>0</v>
      </c>
      <c r="V99" s="98">
        <f>+YEAR(PROVEEDORES[[#This Row],[FECHA DE FACTURACIÓN]])</f>
        <v>2023</v>
      </c>
      <c r="W99" s="98">
        <f>+MATCH(PROVEEDORES[[#This Row],[año facturado]],Retenciones!$1:$1,0)</f>
        <v>6</v>
      </c>
      <c r="X99" s="99">
        <f>+VLOOKUP(PROVEEDORES[[#This Row],[ID RETENCION]],Retenciones!$A$1:$O$25,PROVEEDORES[[#This Row],[indicador de columna]],FALSE)</f>
        <v>0</v>
      </c>
      <c r="Y99" s="100">
        <f>+VLOOKUP(PROVEEDORES[[#This Row],[ID RETENCION]],Retenciones!$A$1:$O$25,2,FALSE)</f>
        <v>0</v>
      </c>
      <c r="Z99" s="103" t="b">
        <f>OR(COUNTIF(PROVEEDORES[[#This Row],[PROVEEDOR]],"*"&amp;'Palabra no opera'!$A$2&amp;"*"))</f>
        <v>0</v>
      </c>
    </row>
    <row r="100" spans="1:26" ht="22.35" customHeight="1" x14ac:dyDescent="0.25">
      <c r="A100" s="167" t="str">
        <f>+IF(PROVEEDORES[[#This Row],[FECHA DE PAGO]]=PROVEEDORES[[#This Row],[FECHA DE FACTURACIÓN]],"DE CONTADO","CRÉDITO")</f>
        <v>DE CONTADO</v>
      </c>
      <c r="B100" s="38" t="b">
        <f>+IF((PROVEEDORES[[#This Row],[FECHA DE PAGO]]-PROVEEDORES[[#This Row],[FECHA DE FACTURACIÓN]])&gt;PROVEEDORES[[#This Row],[PLAZO Días]],"PAGO VENCIDO")</f>
        <v>0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0</v>
      </c>
      <c r="E100" s="25"/>
      <c r="F100" s="56" t="str">
        <f>+VLOOKUP(PROVEEDORES[[#This Row],[PROVEEDOR]],
                       Terceros!$A:$F,
                       5,
                       FALSE)</f>
        <v/>
      </c>
      <c r="G100" s="289">
        <v>45016</v>
      </c>
      <c r="H100" s="26" t="s">
        <v>566</v>
      </c>
      <c r="I100" s="289">
        <v>45016</v>
      </c>
      <c r="J100" s="35" t="s">
        <v>516</v>
      </c>
      <c r="K100" s="21">
        <v>562500</v>
      </c>
      <c r="L100" s="21"/>
      <c r="M100" s="22">
        <f>(PROVEEDORES[[#This Row],[SUBTOTAL]]-PROVEEDORES[[#This Row],[descuento sobre subtotal]])*VLOOKUP(PROVEEDORES[[#This Row],[PROVEEDOR]],TERCEROS_INFO[#All],3,FALSE)</f>
        <v>0</v>
      </c>
      <c r="N100" s="23"/>
      <c r="O100" s="22">
        <f>+PROVEEDORES[[#This Row],[Descuento sobre subtotal %]]*(PROVEEDORES[[#This Row],[SUBTOTAL]]-PROVEEDORES[[#This Row],[descuento sobre subtotal]])</f>
        <v>0</v>
      </c>
      <c r="P100" s="72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100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1">
        <f ca="1">IF(PROVEEDORES[[#This Row],[FECHA DE PAGO]]=0,TODAY()-PROVEEDORES[[#This Row],[FECHA DE FACTURACIÓN]]-PROVEEDORES[[#This Row],[PLAZO Días]],0)</f>
        <v>0</v>
      </c>
      <c r="U100" s="97">
        <f>+VLOOKUP(PROVEEDORES[[#This Row],[PROVEEDOR]],Terceros!$A:$D,4,FALSE)</f>
        <v>0</v>
      </c>
      <c r="V100" s="98">
        <f>+YEAR(PROVEEDORES[[#This Row],[FECHA DE FACTURACIÓN]])</f>
        <v>2023</v>
      </c>
      <c r="W100" s="98">
        <f>+MATCH(PROVEEDORES[[#This Row],[año facturado]],Retenciones!$1:$1,0)</f>
        <v>6</v>
      </c>
      <c r="X100" s="99">
        <f>+VLOOKUP(PROVEEDORES[[#This Row],[ID RETENCION]],Retenciones!$A$1:$O$25,PROVEEDORES[[#This Row],[indicador de columna]],FALSE)</f>
        <v>0</v>
      </c>
      <c r="Y100" s="100">
        <f>+VLOOKUP(PROVEEDORES[[#This Row],[ID RETENCION]],Retenciones!$A$1:$O$25,2,FALSE)</f>
        <v>0</v>
      </c>
      <c r="Z100" s="103" t="b">
        <f>OR(COUNTIF(PROVEEDORES[[#This Row],[PROVEEDOR]],"*"&amp;'Palabra no opera'!$A$2&amp;"*"))</f>
        <v>0</v>
      </c>
    </row>
    <row r="101" spans="1:26" ht="22.35" customHeight="1" x14ac:dyDescent="0.25">
      <c r="A101" s="167" t="str">
        <f>+IF(PROVEEDORES[[#This Row],[FECHA DE PAGO]]=PROVEEDORES[[#This Row],[FECHA DE FACTURACIÓN]],"DE CONTADO","CRÉDITO")</f>
        <v>DE CONTADO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6" t="str">
        <f>+VLOOKUP(PROVEEDORES[[#This Row],[PROVEEDOR]],
                       Terceros!$A:$F,
                       5,
                       FALSE)</f>
        <v/>
      </c>
      <c r="G101" s="289">
        <v>45016</v>
      </c>
      <c r="H101" s="26" t="s">
        <v>566</v>
      </c>
      <c r="I101" s="289">
        <v>45016</v>
      </c>
      <c r="J101" s="35" t="s">
        <v>543</v>
      </c>
      <c r="K101" s="21">
        <v>82500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72">
        <f>+IF(PROVEEDORES[[#This Row],[SUBTOTAL]]&lt;PROVEEDORES[[#This Row],[base retencion]],0,PROVEEDORES[[#This Row],[retención aplicada]])</f>
        <v>0</v>
      </c>
      <c r="Q101" s="22">
        <f>+PROVEEDORES[[#This Row],[Rete Fuente %]]*(PROVEEDORES[[#This Row],[SUBTOTAL]]-PROVEEDORES[[#This Row],[descuento sobre subtotal]])</f>
        <v>0</v>
      </c>
      <c r="R101" s="21">
        <f>+PROVEEDORES[[#This Row],[SUBTOTAL]]+PROVEEDORES[[#This Row],[IVA 19%]]-PROVEEDORES[[#This Row],[descuento sobre subtotal]]-PROVEEDORES[[#This Row],[Descuento sobre subtotal $2]]-PROVEEDORES[[#This Row],[Rete Fuente $]]</f>
        <v>82500</v>
      </c>
      <c r="S101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1">
        <f ca="1">IF(PROVEEDORES[[#This Row],[FECHA DE PAGO]]=0,TODAY()-PROVEEDORES[[#This Row],[FECHA DE FACTURACIÓN]]-PROVEEDORES[[#This Row],[PLAZO Días]],0)</f>
        <v>0</v>
      </c>
      <c r="U101" s="97">
        <f>+VLOOKUP(PROVEEDORES[[#This Row],[PROVEEDOR]],Terceros!$A:$D,4,FALSE)</f>
        <v>0</v>
      </c>
      <c r="V101" s="98">
        <f>+YEAR(PROVEEDORES[[#This Row],[FECHA DE FACTURACIÓN]])</f>
        <v>2023</v>
      </c>
      <c r="W101" s="98">
        <f>+MATCH(PROVEEDORES[[#This Row],[año facturado]],Retenciones!$1:$1,0)</f>
        <v>6</v>
      </c>
      <c r="X101" s="99">
        <f>+VLOOKUP(PROVEEDORES[[#This Row],[ID RETENCION]],Retenciones!$A$1:$O$25,PROVEEDORES[[#This Row],[indicador de columna]],FALSE)</f>
        <v>0</v>
      </c>
      <c r="Y101" s="100">
        <f>+VLOOKUP(PROVEEDORES[[#This Row],[ID RETENCION]],Retenciones!$A$1:$O$25,2,FALSE)</f>
        <v>0</v>
      </c>
      <c r="Z101" s="103" t="b">
        <f>OR(COUNTIF(PROVEEDORES[[#This Row],[PROVEEDOR]],"*"&amp;'Palabra no opera'!$A$2&amp;"*"))</f>
        <v>0</v>
      </c>
    </row>
    <row r="102" spans="1:26" ht="22.35" customHeight="1" x14ac:dyDescent="0.25">
      <c r="A102" s="167" t="str">
        <f>+IF(PROVEEDORES[[#This Row],[FECHA DE PAGO]]=PROVEEDORES[[#This Row],[FECHA DE FACTURACIÓN]],"DE CONTADO","CRÉDITO")</f>
        <v>DE CONTADO</v>
      </c>
      <c r="B102" s="38" t="b">
        <f>+IF((PROVEEDORES[[#This Row],[FECHA DE PAGO]]-PROVEEDORES[[#This Row],[FECHA DE FACTURACIÓN]])&gt;PROVEEDORES[[#This Row],[PLAZO Días]],"PAGO VENCIDO")</f>
        <v>0</v>
      </c>
      <c r="C102" s="20">
        <f>+VLOOKUP(PROVEEDORES[[#This Row],[PROVEEDOR]],TERCEROS_INFO[#All],2,FALSE)</f>
        <v>30</v>
      </c>
      <c r="D102" s="25">
        <f>+SUMIFS(PROVEEDORES[Total],PROVEEDORES[PROVEEDOR],PROVEEDORES[[#This Row],[PROVEEDOR]],PROVEEDORES[FECHA DE PAGO],"")</f>
        <v>0</v>
      </c>
      <c r="E102" s="25"/>
      <c r="F102" s="56" t="str">
        <f>+VLOOKUP(PROVEEDORES[[#This Row],[PROVEEDOR]],
                       Terceros!$A:$F,
                       5,
                       FALSE)</f>
        <v/>
      </c>
      <c r="G102" s="289">
        <v>45016</v>
      </c>
      <c r="H102" s="26" t="s">
        <v>566</v>
      </c>
      <c r="I102" s="289">
        <v>45016</v>
      </c>
      <c r="J102" s="35" t="s">
        <v>545</v>
      </c>
      <c r="K102" s="21">
        <v>0</v>
      </c>
      <c r="L102" s="21"/>
      <c r="M102" s="22">
        <f>(PROVEEDORES[[#This Row],[SUBTOTAL]]-PROVEEDORES[[#This Row],[descuento sobre subtotal]])*VLOOKUP(PROVEEDORES[[#This Row],[PROVEEDOR]],TERCEROS_INFO[#All],3,FALSE)</f>
        <v>0</v>
      </c>
      <c r="N102" s="23"/>
      <c r="O102" s="22">
        <f>+PROVEEDORES[[#This Row],[Descuento sobre subtotal %]]*(PROVEEDORES[[#This Row],[SUBTOTAL]]-PROVEEDORES[[#This Row],[descuento sobre subtotal]])</f>
        <v>0</v>
      </c>
      <c r="P102" s="72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2" s="1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1">
        <f ca="1">IF(PROVEEDORES[[#This Row],[FECHA DE PAGO]]=0,TODAY()-PROVEEDORES[[#This Row],[FECHA DE FACTURACIÓN]]-PROVEEDORES[[#This Row],[PLAZO Días]],0)</f>
        <v>0</v>
      </c>
      <c r="U102" s="97">
        <f>+VLOOKUP(PROVEEDORES[[#This Row],[PROVEEDOR]],Terceros!$A:$D,4,FALSE)</f>
        <v>0</v>
      </c>
      <c r="V102" s="98">
        <f>+YEAR(PROVEEDORES[[#This Row],[FECHA DE FACTURACIÓN]])</f>
        <v>2023</v>
      </c>
      <c r="W102" s="98">
        <f>+MATCH(PROVEEDORES[[#This Row],[año facturado]],Retenciones!$1:$1,0)</f>
        <v>6</v>
      </c>
      <c r="X102" s="99">
        <f>+VLOOKUP(PROVEEDORES[[#This Row],[ID RETENCION]],Retenciones!$A$1:$O$25,PROVEEDORES[[#This Row],[indicador de columna]],FALSE)</f>
        <v>0</v>
      </c>
      <c r="Y102" s="100">
        <f>+VLOOKUP(PROVEEDORES[[#This Row],[ID RETENCION]],Retenciones!$A$1:$O$25,2,FALSE)</f>
        <v>0</v>
      </c>
      <c r="Z102" s="103" t="b">
        <f>OR(COUNTIF(PROVEEDORES[[#This Row],[PROVEEDOR]],"*"&amp;'Palabra no opera'!$A$2&amp;"*"))</f>
        <v>0</v>
      </c>
    </row>
    <row r="103" spans="1:26" ht="22.35" customHeight="1" x14ac:dyDescent="0.25">
      <c r="A103" s="65" t="str">
        <f>+IF(PROVEEDORES[[#This Row],[FECHA DE PAGO]]=PROVEEDORES[[#This Row],[FECHA DE FACTURACIÓN]],"DE CONTADO","CRÉDITO")</f>
        <v>DE CONTADO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0</v>
      </c>
      <c r="E103" s="25"/>
      <c r="F103" s="56" t="str">
        <f>+VLOOKUP(PROVEEDORES[[#This Row],[PROVEEDOR]],
                       Terceros!$A:$F,
                       5,
                       FALSE)</f>
        <v/>
      </c>
      <c r="G103" s="289">
        <v>45030</v>
      </c>
      <c r="H103" s="26" t="s">
        <v>279</v>
      </c>
      <c r="I103" s="289">
        <v>45030</v>
      </c>
      <c r="J103" s="35" t="s">
        <v>766</v>
      </c>
      <c r="K103" s="21">
        <v>90000</v>
      </c>
      <c r="L103" s="21"/>
      <c r="M103" s="22">
        <f>(PROVEEDORES[[#This Row],[SUBTOTAL]]-PROVEEDORES[[#This Row],[descuento sobre subtotal]])*VLOOKUP(PROVEEDORES[[#This Row],[PROVEEDOR]],TERCEROS_INFO[#All],3,FALSE)</f>
        <v>0</v>
      </c>
      <c r="N103" s="23"/>
      <c r="O103" s="22">
        <f>+PROVEEDORES[[#This Row],[Descuento sobre subtotal %]]*(PROVEEDORES[[#This Row],[SUBTOTAL]]-PROVEEDORES[[#This Row],[descuento sobre subtotal]])</f>
        <v>0</v>
      </c>
      <c r="P103" s="72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1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1">
        <f ca="1">IF(PROVEEDORES[[#This Row],[FECHA DE PAGO]]=0,TODAY()-PROVEEDORES[[#This Row],[FECHA DE FACTURACIÓN]]-PROVEEDORES[[#This Row],[PLAZO Días]],0)</f>
        <v>0</v>
      </c>
      <c r="U103" s="97">
        <f>+VLOOKUP(PROVEEDORES[[#This Row],[PROVEEDOR]],Terceros!$A:$D,4,FALSE)</f>
        <v>0</v>
      </c>
      <c r="V103" s="98">
        <f>+YEAR(PROVEEDORES[[#This Row],[FECHA DE FACTURACIÓN]])</f>
        <v>2023</v>
      </c>
      <c r="W103" s="98">
        <f>+MATCH(PROVEEDORES[[#This Row],[año facturado]],Retenciones!$1:$1,0)</f>
        <v>6</v>
      </c>
      <c r="X103" s="99">
        <f>+VLOOKUP(PROVEEDORES[[#This Row],[ID RETENCION]],Retenciones!$A$1:$O$25,PROVEEDORES[[#This Row],[indicador de columna]],FALSE)</f>
        <v>0</v>
      </c>
      <c r="Y103" s="100">
        <f>+VLOOKUP(PROVEEDORES[[#This Row],[ID RETENCION]],Retenciones!$A$1:$O$25,2,FALSE)</f>
        <v>0</v>
      </c>
      <c r="Z103" s="103" t="b">
        <f>OR(COUNTIF(PROVEEDORES[[#This Row],[PROVEEDOR]],"*"&amp;'Palabra no opera'!$A$2&amp;"*"))</f>
        <v>0</v>
      </c>
    </row>
    <row r="104" spans="1:26" ht="22.35" customHeight="1" x14ac:dyDescent="0.25">
      <c r="A104" s="65" t="str">
        <f>+IF(PROVEEDORES[[#This Row],[FECHA DE PAGO]]=PROVEEDORES[[#This Row],[FECHA DE FACTURACIÓN]],"DE CONTADO","CRÉDITO")</f>
        <v>DE CONTADO</v>
      </c>
      <c r="B104" s="38" t="b">
        <f>+IF((PROVEEDORES[[#This Row],[FECHA DE PAGO]]-PROVEEDORES[[#This Row],[FECHA DE FACTURACIÓN]])&gt;PROVEEDORES[[#This Row],[PLAZO Días]],"PAGO VENCIDO")</f>
        <v>0</v>
      </c>
      <c r="C104" s="20">
        <f>+VLOOKUP(PROVEEDORES[[#This Row],[PROVEEDOR]],TERCEROS_INFO[#All],2,FALSE)</f>
        <v>30</v>
      </c>
      <c r="D104" s="25">
        <f>+SUMIFS(PROVEEDORES[Total],PROVEEDORES[PROVEEDOR],PROVEEDORES[[#This Row],[PROVEEDOR]],PROVEEDORES[FECHA DE PAGO],"")</f>
        <v>0</v>
      </c>
      <c r="E104" s="25"/>
      <c r="F104" s="56" t="str">
        <f>+VLOOKUP(PROVEEDORES[[#This Row],[PROVEEDOR]],
                       Terceros!$A:$F,
                       5,
                       FALSE)</f>
        <v/>
      </c>
      <c r="G104" s="289">
        <v>45046</v>
      </c>
      <c r="H104" s="26" t="s">
        <v>566</v>
      </c>
      <c r="I104" s="289">
        <v>45046</v>
      </c>
      <c r="J104" s="35" t="s">
        <v>518</v>
      </c>
      <c r="K104" s="21">
        <v>40000</v>
      </c>
      <c r="L104" s="21"/>
      <c r="M104" s="22">
        <f>(PROVEEDORES[[#This Row],[SUBTOTAL]]-PROVEEDORES[[#This Row],[descuento sobre subtotal]])*VLOOKUP(PROVEEDORES[[#This Row],[PROVEEDOR]],TERCEROS_INFO[#All],3,FALSE)</f>
        <v>0</v>
      </c>
      <c r="N104" s="23"/>
      <c r="O104" s="22">
        <f>+PROVEEDORES[[#This Row],[Descuento sobre subtotal %]]*(PROVEEDORES[[#This Row],[SUBTOTAL]]-PROVEEDORES[[#This Row],[descuento sobre subtotal]])</f>
        <v>0</v>
      </c>
      <c r="P104" s="72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1">
        <f ca="1">IF(PROVEEDORES[[#This Row],[FECHA DE PAGO]]=0,TODAY()-PROVEEDORES[[#This Row],[FECHA DE FACTURACIÓN]]-PROVEEDORES[[#This Row],[PLAZO Días]],0)</f>
        <v>0</v>
      </c>
      <c r="U104" s="97">
        <f>+VLOOKUP(PROVEEDORES[[#This Row],[PROVEEDOR]],Terceros!$A:$D,4,FALSE)</f>
        <v>0</v>
      </c>
      <c r="V104" s="98">
        <f>+YEAR(PROVEEDORES[[#This Row],[FECHA DE FACTURACIÓN]])</f>
        <v>2023</v>
      </c>
      <c r="W104" s="98">
        <f>+MATCH(PROVEEDORES[[#This Row],[año facturado]],Retenciones!$1:$1,0)</f>
        <v>6</v>
      </c>
      <c r="X104" s="99">
        <f>+VLOOKUP(PROVEEDORES[[#This Row],[ID RETENCION]],Retenciones!$A$1:$O$25,PROVEEDORES[[#This Row],[indicador de columna]],FALSE)</f>
        <v>0</v>
      </c>
      <c r="Y104" s="100">
        <f>+VLOOKUP(PROVEEDORES[[#This Row],[ID RETENCION]],Retenciones!$A$1:$O$25,2,FALSE)</f>
        <v>0</v>
      </c>
      <c r="Z104" s="103" t="b">
        <f>OR(COUNTIF(PROVEEDORES[[#This Row],[PROVEEDOR]],"*"&amp;'Palabra no opera'!$A$2&amp;"*"))</f>
        <v>0</v>
      </c>
    </row>
    <row r="105" spans="1:26" ht="22.35" customHeight="1" x14ac:dyDescent="0.25">
      <c r="A105" s="65" t="str">
        <f>+IF(PROVEEDORES[[#This Row],[FECHA DE PAGO]]=PROVEEDORES[[#This Row],[FECHA DE FACTURACIÓN]],"DE CONTADO","CRÉDITO")</f>
        <v>DE CONTADO</v>
      </c>
      <c r="B105" s="38" t="b">
        <f>+IF((PROVEEDORES[[#This Row],[FECHA DE PAGO]]-PROVEEDORES[[#This Row],[FECHA DE FACTURACIÓN]])&gt;PROVEEDORES[[#This Row],[PLAZO Días]],"PAGO VENCIDO")</f>
        <v>0</v>
      </c>
      <c r="C105" s="20">
        <f>+VLOOKUP(PROVEEDORES[[#This Row],[PROVEEDOR]],TERCEROS_INFO[#All],2,FALSE)</f>
        <v>30</v>
      </c>
      <c r="D105" s="25">
        <f>+SUMIFS(PROVEEDORES[Total],PROVEEDORES[PROVEEDOR],PROVEEDORES[[#This Row],[PROVEEDOR]],PROVEEDORES[FECHA DE PAGO],"")</f>
        <v>0</v>
      </c>
      <c r="E105" s="25"/>
      <c r="F105" s="56" t="str">
        <f>+VLOOKUP(PROVEEDORES[[#This Row],[PROVEEDOR]],
                       Terceros!$A:$F,
                       5,
                       FALSE)</f>
        <v/>
      </c>
      <c r="G105" s="289">
        <v>45046</v>
      </c>
      <c r="H105" s="26" t="s">
        <v>566</v>
      </c>
      <c r="I105" s="289">
        <v>45046</v>
      </c>
      <c r="J105" s="35" t="s">
        <v>517</v>
      </c>
      <c r="K105" s="21">
        <v>954000</v>
      </c>
      <c r="L105" s="21"/>
      <c r="M105" s="22">
        <f>(PROVEEDORES[[#This Row],[SUBTOTAL]]-PROVEEDORES[[#This Row],[descuento sobre subtotal]])*VLOOKUP(PROVEEDORES[[#This Row],[PROVEEDOR]],TERCEROS_INFO[#All],3,FALSE)</f>
        <v>0</v>
      </c>
      <c r="N105" s="23"/>
      <c r="O105" s="22">
        <f>+PROVEEDORES[[#This Row],[Descuento sobre subtotal %]]*(PROVEEDORES[[#This Row],[SUBTOTAL]]-PROVEEDORES[[#This Row],[descuento sobre subtotal]])</f>
        <v>0</v>
      </c>
      <c r="P105" s="72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f>+PROVEEDORES[[#This Row],[SUBTOTAL]]+PROVEEDORES[[#This Row],[IVA 19%]]-PROVEEDORES[[#This Row],[descuento sobre subtotal]]-PROVEEDORES[[#This Row],[Descuento sobre subtotal $2]]-PROVEEDORES[[#This Row],[Rete Fuente $]]</f>
        <v>954000</v>
      </c>
      <c r="S10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1">
        <f ca="1">IF(PROVEEDORES[[#This Row],[FECHA DE PAGO]]=0,TODAY()-PROVEEDORES[[#This Row],[FECHA DE FACTURACIÓN]]-PROVEEDORES[[#This Row],[PLAZO Días]],0)</f>
        <v>0</v>
      </c>
      <c r="U105" s="97">
        <f>+VLOOKUP(PROVEEDORES[[#This Row],[PROVEEDOR]],Terceros!$A:$D,4,FALSE)</f>
        <v>0</v>
      </c>
      <c r="V105" s="98">
        <f>+YEAR(PROVEEDORES[[#This Row],[FECHA DE FACTURACIÓN]])</f>
        <v>2023</v>
      </c>
      <c r="W105" s="98">
        <f>+MATCH(PROVEEDORES[[#This Row],[año facturado]],Retenciones!$1:$1,0)</f>
        <v>6</v>
      </c>
      <c r="X105" s="99">
        <f>+VLOOKUP(PROVEEDORES[[#This Row],[ID RETENCION]],Retenciones!$A$1:$O$25,PROVEEDORES[[#This Row],[indicador de columna]],FALSE)</f>
        <v>0</v>
      </c>
      <c r="Y105" s="100">
        <f>+VLOOKUP(PROVEEDORES[[#This Row],[ID RETENCION]],Retenciones!$A$1:$O$25,2,FALSE)</f>
        <v>0</v>
      </c>
      <c r="Z105" s="103" t="b">
        <f>OR(COUNTIF(PROVEEDORES[[#This Row],[PROVEEDOR]],"*"&amp;'Palabra no opera'!$A$2&amp;"*"))</f>
        <v>0</v>
      </c>
    </row>
    <row r="106" spans="1:26" ht="22.35" customHeight="1" x14ac:dyDescent="0.25">
      <c r="A106" s="65" t="str">
        <f>+IF(PROVEEDORES[[#This Row],[FECHA DE PAGO]]=PROVEEDORES[[#This Row],[FECHA DE FACTURACIÓN]],"DE CONTADO","CRÉDITO")</f>
        <v>DE CONTADO</v>
      </c>
      <c r="B106" s="38" t="b">
        <f>+IF((PROVEEDORES[[#This Row],[FECHA DE PAGO]]-PROVEEDORES[[#This Row],[FECHA DE FACTURACIÓN]])&gt;PROVEEDORES[[#This Row],[PLAZO Días]],"PAGO VENCIDO")</f>
        <v>0</v>
      </c>
      <c r="C106" s="20">
        <f>+VLOOKUP(PROVEEDORES[[#This Row],[PROVEEDOR]],TERCEROS_INFO[#All],2,FALSE)</f>
        <v>30</v>
      </c>
      <c r="D106" s="25">
        <f>+SUMIFS(PROVEEDORES[Total],PROVEEDORES[PROVEEDOR],PROVEEDORES[[#This Row],[PROVEEDOR]],PROVEEDORES[FECHA DE PAGO],"")</f>
        <v>0</v>
      </c>
      <c r="E106" s="25"/>
      <c r="F106" s="56" t="str">
        <f>+VLOOKUP(PROVEEDORES[[#This Row],[PROVEEDOR]],
                       Terceros!$A:$F,
                       5,
                       FALSE)</f>
        <v/>
      </c>
      <c r="G106" s="289">
        <v>45046</v>
      </c>
      <c r="H106" s="26" t="s">
        <v>566</v>
      </c>
      <c r="I106" s="289">
        <v>45046</v>
      </c>
      <c r="J106" s="35" t="s">
        <v>543</v>
      </c>
      <c r="K106" s="21">
        <v>69000</v>
      </c>
      <c r="L106" s="21"/>
      <c r="M106" s="22">
        <f>(PROVEEDORES[[#This Row],[SUBTOTAL]]-PROVEEDORES[[#This Row],[descuento sobre subtotal]])*VLOOKUP(PROVEEDORES[[#This Row],[PROVEEDOR]],TERCEROS_INFO[#All],3,FALSE)</f>
        <v>0</v>
      </c>
      <c r="N106" s="23"/>
      <c r="O106" s="22">
        <f>+PROVEEDORES[[#This Row],[Descuento sobre subtotal %]]*(PROVEEDORES[[#This Row],[SUBTOTAL]]-PROVEEDORES[[#This Row],[descuento sobre subtotal]])</f>
        <v>0</v>
      </c>
      <c r="P106" s="72">
        <f>+IF(PROVEEDORES[[#This Row],[SUBTOTAL]]&lt;PROVEEDORES[[#This Row],[base retencion]],0,PROVEEDORES[[#This Row],[retención aplicada]])</f>
        <v>0</v>
      </c>
      <c r="Q106" s="22">
        <f>+PROVEEDORES[[#This Row],[Rete Fuente %]]*(PROVEEDORES[[#This Row],[SUBTOTAL]]-PROVEEDORES[[#This Row],[descuento sobre subtotal]])</f>
        <v>0</v>
      </c>
      <c r="R106" s="21">
        <f>+PROVEEDORES[[#This Row],[SUBTOTAL]]+PROVEEDORES[[#This Row],[IVA 19%]]-PROVEEDORES[[#This Row],[descuento sobre subtotal]]-PROVEEDORES[[#This Row],[Descuento sobre subtotal $2]]-PROVEEDORES[[#This Row],[Rete Fuente $]]</f>
        <v>69000</v>
      </c>
      <c r="S1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1">
        <f ca="1">IF(PROVEEDORES[[#This Row],[FECHA DE PAGO]]=0,TODAY()-PROVEEDORES[[#This Row],[FECHA DE FACTURACIÓN]]-PROVEEDORES[[#This Row],[PLAZO Días]],0)</f>
        <v>0</v>
      </c>
      <c r="U106" s="97">
        <f>+VLOOKUP(PROVEEDORES[[#This Row],[PROVEEDOR]],Terceros!$A:$D,4,FALSE)</f>
        <v>0</v>
      </c>
      <c r="V106" s="98">
        <f>+YEAR(PROVEEDORES[[#This Row],[FECHA DE FACTURACIÓN]])</f>
        <v>2023</v>
      </c>
      <c r="W106" s="98">
        <f>+MATCH(PROVEEDORES[[#This Row],[año facturado]],Retenciones!$1:$1,0)</f>
        <v>6</v>
      </c>
      <c r="X106" s="99">
        <f>+VLOOKUP(PROVEEDORES[[#This Row],[ID RETENCION]],Retenciones!$A$1:$O$25,PROVEEDORES[[#This Row],[indicador de columna]],FALSE)</f>
        <v>0</v>
      </c>
      <c r="Y106" s="100">
        <f>+VLOOKUP(PROVEEDORES[[#This Row],[ID RETENCION]],Retenciones!$A$1:$O$25,2,FALSE)</f>
        <v>0</v>
      </c>
      <c r="Z106" s="103" t="b">
        <f>OR(COUNTIF(PROVEEDORES[[#This Row],[PROVEEDOR]],"*"&amp;'Palabra no opera'!$A$2&amp;"*"))</f>
        <v>0</v>
      </c>
    </row>
    <row r="107" spans="1:26" ht="22.35" customHeight="1" x14ac:dyDescent="0.25">
      <c r="A107" s="65" t="str">
        <f>+IF(PROVEEDORES[[#This Row],[FECHA DE PAGO]]=PROVEEDORES[[#This Row],[FECHA DE FACTURACIÓN]],"DE CONTADO","CRÉDITO")</f>
        <v>DE CONTADO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30</v>
      </c>
      <c r="D107" s="25">
        <f>+SUMIFS(PROVEEDORES[Total],PROVEEDORES[PROVEEDOR],PROVEEDORES[[#This Row],[PROVEEDOR]],PROVEEDORES[FECHA DE PAGO],"")</f>
        <v>0</v>
      </c>
      <c r="E107" s="25"/>
      <c r="F107" s="56" t="str">
        <f>+VLOOKUP(PROVEEDORES[[#This Row],[PROVEEDOR]],
                       Terceros!$A:$F,
                       5,
                       FALSE)</f>
        <v/>
      </c>
      <c r="G107" s="289">
        <v>45046</v>
      </c>
      <c r="H107" s="26" t="s">
        <v>566</v>
      </c>
      <c r="I107" s="289">
        <v>45046</v>
      </c>
      <c r="J107" s="35" t="s">
        <v>516</v>
      </c>
      <c r="K107" s="21">
        <v>200800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72">
        <f>+IF(PROVEEDORES[[#This Row],[SUBTOTAL]]&lt;PROVEEDORES[[#This Row],[base retencion]],0,PROVEEDORES[[#This Row],[retención aplicada]])</f>
        <v>0</v>
      </c>
      <c r="Q107" s="22">
        <f>+PROVEEDORES[[#This Row],[Rete Fuente %]]*(PROVEEDORES[[#This Row],[SUBTOTAL]]-PROVEEDORES[[#This Row],[descuento sobre subtotal]])</f>
        <v>0</v>
      </c>
      <c r="R107" s="21">
        <f>+PROVEEDORES[[#This Row],[SUBTOTAL]]+PROVEEDORES[[#This Row],[IVA 19%]]-PROVEEDORES[[#This Row],[descuento sobre subtotal]]-PROVEEDORES[[#This Row],[Descuento sobre subtotal $2]]-PROVEEDORES[[#This Row],[Rete Fuente $]]</f>
        <v>200800</v>
      </c>
      <c r="S1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1">
        <f ca="1">IF(PROVEEDORES[[#This Row],[FECHA DE PAGO]]=0,TODAY()-PROVEEDORES[[#This Row],[FECHA DE FACTURACIÓN]]-PROVEEDORES[[#This Row],[PLAZO Días]],0)</f>
        <v>0</v>
      </c>
      <c r="U107" s="97">
        <f>+VLOOKUP(PROVEEDORES[[#This Row],[PROVEEDOR]],Terceros!$A:$D,4,FALSE)</f>
        <v>0</v>
      </c>
      <c r="V107" s="98">
        <f>+YEAR(PROVEEDORES[[#This Row],[FECHA DE FACTURACIÓN]])</f>
        <v>2023</v>
      </c>
      <c r="W107" s="98">
        <f>+MATCH(PROVEEDORES[[#This Row],[año facturado]],Retenciones!$1:$1,0)</f>
        <v>6</v>
      </c>
      <c r="X107" s="99">
        <f>+VLOOKUP(PROVEEDORES[[#This Row],[ID RETENCION]],Retenciones!$A$1:$O$25,PROVEEDORES[[#This Row],[indicador de columna]],FALSE)</f>
        <v>0</v>
      </c>
      <c r="Y107" s="100">
        <f>+VLOOKUP(PROVEEDORES[[#This Row],[ID RETENCION]],Retenciones!$A$1:$O$25,2,FALSE)</f>
        <v>0</v>
      </c>
      <c r="Z107" s="103" t="b">
        <f>OR(COUNTIF(PROVEEDORES[[#This Row],[PROVEEDOR]],"*"&amp;'Palabra no opera'!$A$2&amp;"*"))</f>
        <v>0</v>
      </c>
    </row>
    <row r="108" spans="1:26" ht="22.35" customHeight="1" x14ac:dyDescent="0.25">
      <c r="A108" s="65" t="str">
        <f>+IF(PROVEEDORES[[#This Row],[FECHA DE PAGO]]=PROVEEDORES[[#This Row],[FECHA DE FACTURACIÓN]],"DE CONTADO","CRÉDITO")</f>
        <v>DE CONTADO</v>
      </c>
      <c r="B108" s="38" t="b">
        <f>+IF((PROVEEDORES[[#This Row],[FECHA DE PAGO]]-PROVEEDORES[[#This Row],[FECHA DE FACTURACIÓN]])&gt;PROVEEDORES[[#This Row],[PLAZO Días]],"PAGO VENCIDO")</f>
        <v>0</v>
      </c>
      <c r="C108" s="20">
        <f>+VLOOKUP(PROVEEDORES[[#This Row],[PROVEEDOR]],TERCEROS_INFO[#All],2,FALSE)</f>
        <v>30</v>
      </c>
      <c r="D108" s="25">
        <f>+SUMIFS(PROVEEDORES[Total],PROVEEDORES[PROVEEDOR],PROVEEDORES[[#This Row],[PROVEEDOR]],PROVEEDORES[FECHA DE PAGO],"")</f>
        <v>0</v>
      </c>
      <c r="E108" s="25"/>
      <c r="F108" s="56" t="str">
        <f>+VLOOKUP(PROVEEDORES[[#This Row],[PROVEEDOR]],
                       Terceros!$A:$F,
                       5,
                       FALSE)</f>
        <v/>
      </c>
      <c r="G108" s="289">
        <v>45046</v>
      </c>
      <c r="H108" s="26" t="s">
        <v>566</v>
      </c>
      <c r="I108" s="289">
        <v>45046</v>
      </c>
      <c r="J108" s="35" t="s">
        <v>520</v>
      </c>
      <c r="K108" s="21">
        <v>450600</v>
      </c>
      <c r="L108" s="21"/>
      <c r="M108" s="22">
        <f>(PROVEEDORES[[#This Row],[SUBTOTAL]]-PROVEEDORES[[#This Row],[descuento sobre subtotal]])*VLOOKUP(PROVEEDORES[[#This Row],[PROVEEDOR]],TERCEROS_INFO[#All],3,FALSE)</f>
        <v>0</v>
      </c>
      <c r="N108" s="23"/>
      <c r="O108" s="22">
        <f>+PROVEEDORES[[#This Row],[Descuento sobre subtotal %]]*(PROVEEDORES[[#This Row],[SUBTOTAL]]-PROVEEDORES[[#This Row],[descuento sobre subtotal]])</f>
        <v>0</v>
      </c>
      <c r="P108" s="72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f>+PROVEEDORES[[#This Row],[SUBTOTAL]]+PROVEEDORES[[#This Row],[IVA 19%]]-PROVEEDORES[[#This Row],[descuento sobre subtotal]]-PROVEEDORES[[#This Row],[Descuento sobre subtotal $2]]-PROVEEDORES[[#This Row],[Rete Fuente $]]</f>
        <v>450600</v>
      </c>
      <c r="S1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1">
        <f ca="1">IF(PROVEEDORES[[#This Row],[FECHA DE PAGO]]=0,TODAY()-PROVEEDORES[[#This Row],[FECHA DE FACTURACIÓN]]-PROVEEDORES[[#This Row],[PLAZO Días]],0)</f>
        <v>0</v>
      </c>
      <c r="U108" s="97">
        <f>+VLOOKUP(PROVEEDORES[[#This Row],[PROVEEDOR]],Terceros!$A:$D,4,FALSE)</f>
        <v>0</v>
      </c>
      <c r="V108" s="98">
        <f>+YEAR(PROVEEDORES[[#This Row],[FECHA DE FACTURACIÓN]])</f>
        <v>2023</v>
      </c>
      <c r="W108" s="98">
        <f>+MATCH(PROVEEDORES[[#This Row],[año facturado]],Retenciones!$1:$1,0)</f>
        <v>6</v>
      </c>
      <c r="X108" s="99">
        <f>+VLOOKUP(PROVEEDORES[[#This Row],[ID RETENCION]],Retenciones!$A$1:$O$25,PROVEEDORES[[#This Row],[indicador de columna]],FALSE)</f>
        <v>0</v>
      </c>
      <c r="Y108" s="100">
        <f>+VLOOKUP(PROVEEDORES[[#This Row],[ID RETENCION]],Retenciones!$A$1:$O$25,2,FALSE)</f>
        <v>0</v>
      </c>
      <c r="Z108" s="103" t="b">
        <f>OR(COUNTIF(PROVEEDORES[[#This Row],[PROVEEDOR]],"*"&amp;'Palabra no opera'!$A$2&amp;"*"))</f>
        <v>0</v>
      </c>
    </row>
    <row r="109" spans="1:26" ht="22.35" customHeight="1" x14ac:dyDescent="0.25">
      <c r="A109" s="198" t="str">
        <f>+IF(PROVEEDORES[[#This Row],[FECHA DE PAGO]]=PROVEEDORES[[#This Row],[FECHA DE FACTURACIÓN]],"DE CONTADO","CRÉDITO")</f>
        <v>DE CONTADO</v>
      </c>
      <c r="B109" s="38" t="b">
        <f>+IF((PROVEEDORES[[#This Row],[FECHA DE PAGO]]-PROVEEDORES[[#This Row],[FECHA DE FACTURACIÓN]])&gt;PROVEEDORES[[#This Row],[PLAZO Días]],"PAGO VENCIDO")</f>
        <v>0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0</v>
      </c>
      <c r="E109" s="25"/>
      <c r="F109" s="56" t="str">
        <f>+VLOOKUP(PROVEEDORES[[#This Row],[PROVEEDOR]],
                       Terceros!$A:$F,
                       5,
                       FALSE)</f>
        <v/>
      </c>
      <c r="G109" s="289">
        <v>45070</v>
      </c>
      <c r="H109" s="26" t="s">
        <v>566</v>
      </c>
      <c r="I109" s="289">
        <v>45070</v>
      </c>
      <c r="J109" s="35" t="s">
        <v>851</v>
      </c>
      <c r="K109" s="21">
        <v>432000</v>
      </c>
      <c r="L109" s="21"/>
      <c r="M109" s="22">
        <f>(PROVEEDORES[[#This Row],[SUBTOTAL]]-PROVEEDORES[[#This Row],[descuento sobre subtotal]])*VLOOKUP(PROVEEDORES[[#This Row],[PROVEEDOR]],TERCEROS_INFO[#All],3,FALSE)</f>
        <v>0</v>
      </c>
      <c r="N109" s="23"/>
      <c r="O109" s="22">
        <f>+PROVEEDORES[[#This Row],[Descuento sobre subtotal %]]*(PROVEEDORES[[#This Row],[SUBTOTAL]]-PROVEEDORES[[#This Row],[descuento sobre subtotal]])</f>
        <v>0</v>
      </c>
      <c r="P109" s="72">
        <f>+IF(PROVEEDORES[[#This Row],[SUBTOTAL]]&lt;PROVEEDORES[[#This Row],[base retencion]],0,PROVEEDORES[[#This Row],[retención aplicada]])</f>
        <v>0</v>
      </c>
      <c r="Q109" s="22">
        <f>+PROVEEDORES[[#This Row],[Rete Fuente %]]*(PROVEEDORES[[#This Row],[SUBTOTAL]]-PROVEEDORES[[#This Row],[descuento sobre subtotal]])</f>
        <v>0</v>
      </c>
      <c r="R109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109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1">
        <f ca="1">IF(PROVEEDORES[[#This Row],[FECHA DE PAGO]]=0,TODAY()-PROVEEDORES[[#This Row],[FECHA DE FACTURACIÓN]]-PROVEEDORES[[#This Row],[PLAZO Días]],0)</f>
        <v>0</v>
      </c>
      <c r="U109" s="97">
        <f>+VLOOKUP(PROVEEDORES[[#This Row],[PROVEEDOR]],Terceros!$A:$D,4,FALSE)</f>
        <v>0</v>
      </c>
      <c r="V109" s="98">
        <f>+YEAR(PROVEEDORES[[#This Row],[FECHA DE FACTURACIÓN]])</f>
        <v>2023</v>
      </c>
      <c r="W109" s="98">
        <f>+MATCH(PROVEEDORES[[#This Row],[año facturado]],Retenciones!$1:$1,0)</f>
        <v>6</v>
      </c>
      <c r="X109" s="99">
        <f>+VLOOKUP(PROVEEDORES[[#This Row],[ID RETENCION]],Retenciones!$A$1:$O$25,PROVEEDORES[[#This Row],[indicador de columna]],FALSE)</f>
        <v>0</v>
      </c>
      <c r="Y109" s="100">
        <f>+VLOOKUP(PROVEEDORES[[#This Row],[ID RETENCION]],Retenciones!$A$1:$O$25,2,FALSE)</f>
        <v>0</v>
      </c>
      <c r="Z109" s="103" t="b">
        <f>OR(COUNTIF(PROVEEDORES[[#This Row],[PROVEEDOR]],"*"&amp;'Palabra no opera'!$A$2&amp;"*"))</f>
        <v>0</v>
      </c>
    </row>
    <row r="110" spans="1:26" ht="22.35" customHeight="1" x14ac:dyDescent="0.25">
      <c r="A110" s="200" t="str">
        <f>+IF(PROVEEDORES[[#This Row],[FECHA DE PAGO]]=PROVEEDORES[[#This Row],[FECHA DE FACTURACIÓN]],"DE CONTADO","CRÉDITO")</f>
        <v>DE CONTADO</v>
      </c>
      <c r="B110" s="38" t="b">
        <f>+IF((PROVEEDORES[[#This Row],[FECHA DE PAGO]]-PROVEEDORES[[#This Row],[FECHA DE FACTURACIÓN]])&gt;PROVEEDORES[[#This Row],[PLAZO Días]],"PAGO VENCIDO")</f>
        <v>0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0</v>
      </c>
      <c r="E110" s="25"/>
      <c r="F110" s="56" t="str">
        <f>+VLOOKUP(PROVEEDORES[[#This Row],[PROVEEDOR]],
                       Terceros!$A:$F,
                       5,
                       FALSE)</f>
        <v/>
      </c>
      <c r="G110" s="289">
        <v>45077</v>
      </c>
      <c r="H110" s="26" t="s">
        <v>566</v>
      </c>
      <c r="I110" s="289">
        <v>45077</v>
      </c>
      <c r="J110" s="35" t="s">
        <v>517</v>
      </c>
      <c r="K110" s="21">
        <v>1165000</v>
      </c>
      <c r="L110" s="21"/>
      <c r="M110" s="22">
        <f>(PROVEEDORES[[#This Row],[SUBTOTAL]]-PROVEEDORES[[#This Row],[descuento sobre subtotal]])*VLOOKUP(PROVEEDORES[[#This Row],[PROVEEDOR]],TERCEROS_INFO[#All],3,FALSE)</f>
        <v>0</v>
      </c>
      <c r="N110" s="23"/>
      <c r="O110" s="22">
        <f>+PROVEEDORES[[#This Row],[Descuento sobre subtotal %]]*(PROVEEDORES[[#This Row],[SUBTOTAL]]-PROVEEDORES[[#This Row],[descuento sobre subtotal]])</f>
        <v>0</v>
      </c>
      <c r="P110" s="72">
        <f>+IF(PROVEEDORES[[#This Row],[SUBTOTAL]]&lt;PROVEEDORES[[#This Row],[base retencion]],0,PROVEEDORES[[#This Row],[retención aplicada]])</f>
        <v>0</v>
      </c>
      <c r="Q110" s="22">
        <f>+PROVEEDORES[[#This Row],[Rete Fuente %]]*(PROVEEDORES[[#This Row],[SUBTOTAL]]-PROVEEDORES[[#This Row],[descuento sobre subtotal]])</f>
        <v>0</v>
      </c>
      <c r="R110" s="21">
        <f>+PROVEEDORES[[#This Row],[SUBTOTAL]]+PROVEEDORES[[#This Row],[IVA 19%]]-PROVEEDORES[[#This Row],[descuento sobre subtotal]]-PROVEEDORES[[#This Row],[Descuento sobre subtotal $2]]-PROVEEDORES[[#This Row],[Rete Fuente $]]</f>
        <v>1165000</v>
      </c>
      <c r="S110" s="2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1">
        <f ca="1">IF(PROVEEDORES[[#This Row],[FECHA DE PAGO]]=0,TODAY()-PROVEEDORES[[#This Row],[FECHA DE FACTURACIÓN]]-PROVEEDORES[[#This Row],[PLAZO Días]],0)</f>
        <v>0</v>
      </c>
      <c r="U110" s="97">
        <f>+VLOOKUP(PROVEEDORES[[#This Row],[PROVEEDOR]],Terceros!$A:$D,4,FALSE)</f>
        <v>0</v>
      </c>
      <c r="V110" s="98">
        <f>+YEAR(PROVEEDORES[[#This Row],[FECHA DE FACTURACIÓN]])</f>
        <v>2023</v>
      </c>
      <c r="W110" s="98">
        <f>+MATCH(PROVEEDORES[[#This Row],[año facturado]],Retenciones!$1:$1,0)</f>
        <v>6</v>
      </c>
      <c r="X110" s="99">
        <f>+VLOOKUP(PROVEEDORES[[#This Row],[ID RETENCION]],Retenciones!$A$1:$O$25,PROVEEDORES[[#This Row],[indicador de columna]],FALSE)</f>
        <v>0</v>
      </c>
      <c r="Y110" s="100">
        <f>+VLOOKUP(PROVEEDORES[[#This Row],[ID RETENCION]],Retenciones!$A$1:$O$25,2,FALSE)</f>
        <v>0</v>
      </c>
      <c r="Z110" s="103" t="b">
        <f>OR(COUNTIF(PROVEEDORES[[#This Row],[PROVEEDOR]],"*"&amp;'Palabra no opera'!$A$2&amp;"*"))</f>
        <v>0</v>
      </c>
    </row>
    <row r="111" spans="1:26" ht="22.35" customHeight="1" x14ac:dyDescent="0.25">
      <c r="A111" s="200" t="str">
        <f>+IF(PROVEEDORES[[#This Row],[FECHA DE PAGO]]=PROVEEDORES[[#This Row],[FECHA DE FACTURACIÓN]],"DE CONTADO","CRÉDITO")</f>
        <v>DE CONTADO</v>
      </c>
      <c r="B111" s="38" t="b">
        <f>+IF((PROVEEDORES[[#This Row],[FECHA DE PAGO]]-PROVEEDORES[[#This Row],[FECHA DE FACTURACIÓN]])&gt;PROVEEDORES[[#This Row],[PLAZO Días]],"PAGO VENCIDO")</f>
        <v>0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0</v>
      </c>
      <c r="E111" s="25"/>
      <c r="F111" s="56" t="str">
        <f>+VLOOKUP(PROVEEDORES[[#This Row],[PROVEEDOR]],
                       Terceros!$A:$F,
                       5,
                       FALSE)</f>
        <v/>
      </c>
      <c r="G111" s="289">
        <v>45077</v>
      </c>
      <c r="H111" s="26" t="s">
        <v>566</v>
      </c>
      <c r="I111" s="289">
        <v>45077</v>
      </c>
      <c r="J111" s="35" t="s">
        <v>543</v>
      </c>
      <c r="K111" s="21">
        <v>13500</v>
      </c>
      <c r="L111" s="21"/>
      <c r="M111" s="22">
        <f>(PROVEEDORES[[#This Row],[SUBTOTAL]]-PROVEEDORES[[#This Row],[descuento sobre subtotal]])*VLOOKUP(PROVEEDORES[[#This Row],[PROVEEDOR]],TERCEROS_INFO[#All],3,FALSE)</f>
        <v>0</v>
      </c>
      <c r="N111" s="23"/>
      <c r="O111" s="22">
        <f>+PROVEEDORES[[#This Row],[Descuento sobre subtotal %]]*(PROVEEDORES[[#This Row],[SUBTOTAL]]-PROVEEDORES[[#This Row],[descuento sobre subtotal]])</f>
        <v>0</v>
      </c>
      <c r="P111" s="72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f>+PROVEEDORES[[#This Row],[SUBTOTAL]]+PROVEEDORES[[#This Row],[IVA 19%]]-PROVEEDORES[[#This Row],[descuento sobre subtotal]]-PROVEEDORES[[#This Row],[Descuento sobre subtotal $2]]-PROVEEDORES[[#This Row],[Rete Fuente $]]</f>
        <v>13500</v>
      </c>
      <c r="S111" s="2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1">
        <f ca="1">IF(PROVEEDORES[[#This Row],[FECHA DE PAGO]]=0,TODAY()-PROVEEDORES[[#This Row],[FECHA DE FACTURACIÓN]]-PROVEEDORES[[#This Row],[PLAZO Días]],0)</f>
        <v>0</v>
      </c>
      <c r="U111" s="97">
        <f>+VLOOKUP(PROVEEDORES[[#This Row],[PROVEEDOR]],Terceros!$A:$D,4,FALSE)</f>
        <v>0</v>
      </c>
      <c r="V111" s="98">
        <f>+YEAR(PROVEEDORES[[#This Row],[FECHA DE FACTURACIÓN]])</f>
        <v>2023</v>
      </c>
      <c r="W111" s="98">
        <f>+MATCH(PROVEEDORES[[#This Row],[año facturado]],Retenciones!$1:$1,0)</f>
        <v>6</v>
      </c>
      <c r="X111" s="99">
        <f>+VLOOKUP(PROVEEDORES[[#This Row],[ID RETENCION]],Retenciones!$A$1:$O$25,PROVEEDORES[[#This Row],[indicador de columna]],FALSE)</f>
        <v>0</v>
      </c>
      <c r="Y111" s="100">
        <f>+VLOOKUP(PROVEEDORES[[#This Row],[ID RETENCION]],Retenciones!$A$1:$O$25,2,FALSE)</f>
        <v>0</v>
      </c>
      <c r="Z111" s="103" t="b">
        <f>OR(COUNTIF(PROVEEDORES[[#This Row],[PROVEEDOR]],"*"&amp;'Palabra no opera'!$A$2&amp;"*"))</f>
        <v>0</v>
      </c>
    </row>
    <row r="112" spans="1:26" ht="22.35" customHeight="1" x14ac:dyDescent="0.25">
      <c r="A112" s="200" t="str">
        <f>+IF(PROVEEDORES[[#This Row],[FECHA DE PAGO]]=PROVEEDORES[[#This Row],[FECHA DE FACTURACIÓN]],"DE CONTADO","CRÉDITO")</f>
        <v>DE CONTADO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30</v>
      </c>
      <c r="D112" s="25">
        <f>+SUMIFS(PROVEEDORES[Total],PROVEEDORES[PROVEEDOR],PROVEEDORES[[#This Row],[PROVEEDOR]],PROVEEDORES[FECHA DE PAGO],"")</f>
        <v>0</v>
      </c>
      <c r="E112" s="25"/>
      <c r="F112" s="56" t="str">
        <f>+VLOOKUP(PROVEEDORES[[#This Row],[PROVEEDOR]],
                       Terceros!$A:$F,
                       5,
                       FALSE)</f>
        <v/>
      </c>
      <c r="G112" s="289">
        <v>45077</v>
      </c>
      <c r="H112" s="26" t="s">
        <v>566</v>
      </c>
      <c r="I112" s="289">
        <v>45077</v>
      </c>
      <c r="J112" s="35" t="s">
        <v>516</v>
      </c>
      <c r="K112" s="21">
        <v>242000</v>
      </c>
      <c r="L112" s="21"/>
      <c r="M112" s="22">
        <f>(PROVEEDORES[[#This Row],[SUBTOTAL]]-PROVEEDORES[[#This Row],[descuento sobre subtotal]])*VLOOKUP(PROVEEDORES[[#This Row],[PROVEEDOR]],TERCEROS_INFO[#All],3,FALSE)</f>
        <v>0</v>
      </c>
      <c r="N112" s="23"/>
      <c r="O112" s="22">
        <f>+PROVEEDORES[[#This Row],[Descuento sobre subtotal %]]*(PROVEEDORES[[#This Row],[SUBTOTAL]]-PROVEEDORES[[#This Row],[descuento sobre subtotal]])</f>
        <v>0</v>
      </c>
      <c r="P112" s="72">
        <f>+IF(PROVEEDORES[[#This Row],[SUBTOTAL]]&lt;PROVEEDORES[[#This Row],[base retencion]],0,PROVEEDORES[[#This Row],[retención aplicada]])</f>
        <v>0</v>
      </c>
      <c r="Q112" s="22">
        <f>+PROVEEDORES[[#This Row],[Rete Fuente %]]*(PROVEEDORES[[#This Row],[SUBTOTAL]]-PROVEEDORES[[#This Row],[descuento sobre subtotal]])</f>
        <v>0</v>
      </c>
      <c r="R112" s="21">
        <f>+PROVEEDORES[[#This Row],[SUBTOTAL]]+PROVEEDORES[[#This Row],[IVA 19%]]-PROVEEDORES[[#This Row],[descuento sobre subtotal]]-PROVEEDORES[[#This Row],[Descuento sobre subtotal $2]]-PROVEEDORES[[#This Row],[Rete Fuente $]]</f>
        <v>242000</v>
      </c>
      <c r="S112" s="2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1">
        <f ca="1">IF(PROVEEDORES[[#This Row],[FECHA DE PAGO]]=0,TODAY()-PROVEEDORES[[#This Row],[FECHA DE FACTURACIÓN]]-PROVEEDORES[[#This Row],[PLAZO Días]],0)</f>
        <v>0</v>
      </c>
      <c r="U112" s="97">
        <f>+VLOOKUP(PROVEEDORES[[#This Row],[PROVEEDOR]],Terceros!$A:$D,4,FALSE)</f>
        <v>0</v>
      </c>
      <c r="V112" s="98">
        <f>+YEAR(PROVEEDORES[[#This Row],[FECHA DE FACTURACIÓN]])</f>
        <v>2023</v>
      </c>
      <c r="W112" s="98">
        <f>+MATCH(PROVEEDORES[[#This Row],[año facturado]],Retenciones!$1:$1,0)</f>
        <v>6</v>
      </c>
      <c r="X112" s="99">
        <f>+VLOOKUP(PROVEEDORES[[#This Row],[ID RETENCION]],Retenciones!$A$1:$O$25,PROVEEDORES[[#This Row],[indicador de columna]],FALSE)</f>
        <v>0</v>
      </c>
      <c r="Y112" s="100">
        <f>+VLOOKUP(PROVEEDORES[[#This Row],[ID RETENCION]],Retenciones!$A$1:$O$25,2,FALSE)</f>
        <v>0</v>
      </c>
      <c r="Z112" s="103" t="b">
        <f>OR(COUNTIF(PROVEEDORES[[#This Row],[PROVEEDOR]],"*"&amp;'Palabra no opera'!$A$2&amp;"*"))</f>
        <v>0</v>
      </c>
    </row>
    <row r="113" spans="1:26" ht="22.35" customHeight="1" x14ac:dyDescent="0.25">
      <c r="A113" s="200" t="str">
        <f>+IF(PROVEEDORES[[#This Row],[FECHA DE PAGO]]=PROVEEDORES[[#This Row],[FECHA DE FACTURACIÓN]],"DE CONTADO","CRÉDITO")</f>
        <v>DE CONTADO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30</v>
      </c>
      <c r="D113" s="25">
        <f>+SUMIFS(PROVEEDORES[Total],PROVEEDORES[PROVEEDOR],PROVEEDORES[[#This Row],[PROVEEDOR]],PROVEEDORES[FECHA DE PAGO],"")</f>
        <v>0</v>
      </c>
      <c r="E113" s="25"/>
      <c r="F113" s="56" t="str">
        <f>+VLOOKUP(PROVEEDORES[[#This Row],[PROVEEDOR]],
                       Terceros!$A:$F,
                       5,
                       FALSE)</f>
        <v/>
      </c>
      <c r="G113" s="289">
        <v>45077</v>
      </c>
      <c r="H113" s="26" t="s">
        <v>566</v>
      </c>
      <c r="I113" s="289">
        <v>45077</v>
      </c>
      <c r="J113" s="35" t="s">
        <v>520</v>
      </c>
      <c r="K113" s="21">
        <v>466000</v>
      </c>
      <c r="L113" s="21"/>
      <c r="M113" s="22">
        <f>(PROVEEDORES[[#This Row],[SUBTOTAL]]-PROVEEDORES[[#This Row],[descuento sobre subtotal]])*VLOOKUP(PROVEEDORES[[#This Row],[PROVEEDOR]],TERCEROS_INFO[#All],3,FALSE)</f>
        <v>0</v>
      </c>
      <c r="N113" s="23"/>
      <c r="O113" s="22">
        <f>+PROVEEDORES[[#This Row],[Descuento sobre subtotal %]]*(PROVEEDORES[[#This Row],[SUBTOTAL]]-PROVEEDORES[[#This Row],[descuento sobre subtotal]])</f>
        <v>0</v>
      </c>
      <c r="P113" s="72">
        <f>+IF(PROVEEDORES[[#This Row],[SUBTOTAL]]&lt;PROVEEDORES[[#This Row],[base retencion]],0,PROVEEDORES[[#This Row],[retención aplicada]])</f>
        <v>0</v>
      </c>
      <c r="Q113" s="22">
        <f>+PROVEEDORES[[#This Row],[Rete Fuente %]]*(PROVEEDORES[[#This Row],[SUBTOTAL]]-PROVEEDORES[[#This Row],[descuento sobre subtotal]])</f>
        <v>0</v>
      </c>
      <c r="R113" s="21">
        <f>+PROVEEDORES[[#This Row],[SUBTOTAL]]+PROVEEDORES[[#This Row],[IVA 19%]]-PROVEEDORES[[#This Row],[descuento sobre subtotal]]-PROVEEDORES[[#This Row],[Descuento sobre subtotal $2]]-PROVEEDORES[[#This Row],[Rete Fuente $]]</f>
        <v>466000</v>
      </c>
      <c r="S113" s="2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1">
        <f ca="1">IF(PROVEEDORES[[#This Row],[FECHA DE PAGO]]=0,TODAY()-PROVEEDORES[[#This Row],[FECHA DE FACTURACIÓN]]-PROVEEDORES[[#This Row],[PLAZO Días]],0)</f>
        <v>0</v>
      </c>
      <c r="U113" s="97">
        <f>+VLOOKUP(PROVEEDORES[[#This Row],[PROVEEDOR]],Terceros!$A:$D,4,FALSE)</f>
        <v>0</v>
      </c>
      <c r="V113" s="98">
        <f>+YEAR(PROVEEDORES[[#This Row],[FECHA DE FACTURACIÓN]])</f>
        <v>2023</v>
      </c>
      <c r="W113" s="98">
        <f>+MATCH(PROVEEDORES[[#This Row],[año facturado]],Retenciones!$1:$1,0)</f>
        <v>6</v>
      </c>
      <c r="X113" s="99">
        <f>+VLOOKUP(PROVEEDORES[[#This Row],[ID RETENCION]],Retenciones!$A$1:$O$25,PROVEEDORES[[#This Row],[indicador de columna]],FALSE)</f>
        <v>0</v>
      </c>
      <c r="Y113" s="100">
        <f>+VLOOKUP(PROVEEDORES[[#This Row],[ID RETENCION]],Retenciones!$A$1:$O$25,2,FALSE)</f>
        <v>0</v>
      </c>
      <c r="Z113" s="103" t="b">
        <f>OR(COUNTIF(PROVEEDORES[[#This Row],[PROVEEDOR]],"*"&amp;'Palabra no opera'!$A$2&amp;"*"))</f>
        <v>0</v>
      </c>
    </row>
    <row r="114" spans="1:26" ht="22.35" customHeight="1" x14ac:dyDescent="0.25">
      <c r="A114" s="200" t="str">
        <f>+IF(PROVEEDORES[[#This Row],[FECHA DE PAGO]]=PROVEEDORES[[#This Row],[FECHA DE FACTURACIÓN]],"DE CONTADO","CRÉDITO")</f>
        <v>DE CONTADO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30</v>
      </c>
      <c r="D114" s="25">
        <f>+SUMIFS(PROVEEDORES[Total],PROVEEDORES[PROVEEDOR],PROVEEDORES[[#This Row],[PROVEEDOR]],PROVEEDORES[FECHA DE PAGO],"")</f>
        <v>0</v>
      </c>
      <c r="E114" s="25"/>
      <c r="F114" s="56" t="str">
        <f>+VLOOKUP(PROVEEDORES[[#This Row],[PROVEEDOR]],
                       Terceros!$A:$F,
                       5,
                       FALSE)</f>
        <v/>
      </c>
      <c r="G114" s="289">
        <v>45077</v>
      </c>
      <c r="H114" s="26" t="s">
        <v>566</v>
      </c>
      <c r="I114" s="289">
        <v>45077</v>
      </c>
      <c r="J114" s="35" t="s">
        <v>545</v>
      </c>
      <c r="K114" s="21">
        <v>650600</v>
      </c>
      <c r="L114" s="21"/>
      <c r="M114" s="22">
        <f>(PROVEEDORES[[#This Row],[SUBTOTAL]]-PROVEEDORES[[#This Row],[descuento sobre subtotal]])*VLOOKUP(PROVEEDORES[[#This Row],[PROVEEDOR]],TERCEROS_INFO[#All],3,FALSE)</f>
        <v>0</v>
      </c>
      <c r="N114" s="23"/>
      <c r="O114" s="22">
        <f>+PROVEEDORES[[#This Row],[Descuento sobre subtotal %]]*(PROVEEDORES[[#This Row],[SUBTOTAL]]-PROVEEDORES[[#This Row],[descuento sobre subtotal]])</f>
        <v>0</v>
      </c>
      <c r="P114" s="72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f>+PROVEEDORES[[#This Row],[SUBTOTAL]]+PROVEEDORES[[#This Row],[IVA 19%]]-PROVEEDORES[[#This Row],[descuento sobre subtotal]]-PROVEEDORES[[#This Row],[Descuento sobre subtotal $2]]-PROVEEDORES[[#This Row],[Rete Fuente $]]</f>
        <v>650600</v>
      </c>
      <c r="S114" s="20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1">
        <f ca="1">IF(PROVEEDORES[[#This Row],[FECHA DE PAGO]]=0,TODAY()-PROVEEDORES[[#This Row],[FECHA DE FACTURACIÓN]]-PROVEEDORES[[#This Row],[PLAZO Días]],0)</f>
        <v>0</v>
      </c>
      <c r="U114" s="97">
        <f>+VLOOKUP(PROVEEDORES[[#This Row],[PROVEEDOR]],Terceros!$A:$D,4,FALSE)</f>
        <v>0</v>
      </c>
      <c r="V114" s="98">
        <f>+YEAR(PROVEEDORES[[#This Row],[FECHA DE FACTURACIÓN]])</f>
        <v>2023</v>
      </c>
      <c r="W114" s="98">
        <f>+MATCH(PROVEEDORES[[#This Row],[año facturado]],Retenciones!$1:$1,0)</f>
        <v>6</v>
      </c>
      <c r="X114" s="99">
        <f>+VLOOKUP(PROVEEDORES[[#This Row],[ID RETENCION]],Retenciones!$A$1:$O$25,PROVEEDORES[[#This Row],[indicador de columna]],FALSE)</f>
        <v>0</v>
      </c>
      <c r="Y114" s="100">
        <f>+VLOOKUP(PROVEEDORES[[#This Row],[ID RETENCION]],Retenciones!$A$1:$O$25,2,FALSE)</f>
        <v>0</v>
      </c>
      <c r="Z114" s="103" t="b">
        <f>OR(COUNTIF(PROVEEDORES[[#This Row],[PROVEEDOR]],"*"&amp;'Palabra no opera'!$A$2&amp;"*"))</f>
        <v>0</v>
      </c>
    </row>
    <row r="115" spans="1:26" ht="22.35" customHeight="1" x14ac:dyDescent="0.25">
      <c r="A115" s="65" t="str">
        <f>+IF(PROVEEDORES[[#This Row],[FECHA DE PAGO]]=PROVEEDORES[[#This Row],[FECHA DE FACTURACIÓN]],"DE CONTADO","CRÉDITO")</f>
        <v>DE CONTADO</v>
      </c>
      <c r="B115" s="38" t="b">
        <f>+IF((PROVEEDORES[[#This Row],[FECHA DE PAGO]]-PROVEEDORES[[#This Row],[FECHA DE FACTURACIÓN]])&gt;PROVEEDORES[[#This Row],[PLAZO Días]],"PAGO VENCIDO")</f>
        <v>0</v>
      </c>
      <c r="C115" s="20">
        <f>+VLOOKUP(PROVEEDORES[[#This Row],[PROVEEDOR]],TERCEROS_INFO[#All],2,FALSE)</f>
        <v>30</v>
      </c>
      <c r="D115" s="25">
        <f>+SUMIFS(PROVEEDORES[Total],PROVEEDORES[PROVEEDOR],PROVEEDORES[[#This Row],[PROVEEDOR]],PROVEEDORES[FECHA DE PAGO],"")</f>
        <v>0</v>
      </c>
      <c r="E115" s="25"/>
      <c r="F115" s="56" t="str">
        <f>+VLOOKUP(PROVEEDORES[[#This Row],[PROVEEDOR]],
                       Terceros!$A:$F,
                       5,
                       FALSE)</f>
        <v/>
      </c>
      <c r="G115" s="292">
        <v>45078</v>
      </c>
      <c r="H115" s="26" t="s">
        <v>566</v>
      </c>
      <c r="I115" s="289">
        <v>45078</v>
      </c>
      <c r="J115" s="35">
        <v>2312</v>
      </c>
      <c r="K115" s="21">
        <v>210000</v>
      </c>
      <c r="L115" s="21"/>
      <c r="M115" s="22">
        <f>(PROVEEDORES[[#This Row],[SUBTOTAL]]-PROVEEDORES[[#This Row],[descuento sobre subtotal]])*VLOOKUP(PROVEEDORES[[#This Row],[PROVEEDOR]],TERCEROS_INFO[#All],3,FALSE)</f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72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11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1">
        <f ca="1">IF(PROVEEDORES[[#This Row],[FECHA DE PAGO]]=0,TODAY()-PROVEEDORES[[#This Row],[FECHA DE FACTURACIÓN]]-PROVEEDORES[[#This Row],[PLAZO Días]],0)</f>
        <v>0</v>
      </c>
      <c r="U115" s="97">
        <f>+VLOOKUP(PROVEEDORES[[#This Row],[PROVEEDOR]],Terceros!$A:$D,4,FALSE)</f>
        <v>0</v>
      </c>
      <c r="V115" s="98">
        <f>+YEAR(PROVEEDORES[[#This Row],[FECHA DE FACTURACIÓN]])</f>
        <v>2023</v>
      </c>
      <c r="W115" s="98">
        <f>+MATCH(PROVEEDORES[[#This Row],[año facturado]],Retenciones!$1:$1,0)</f>
        <v>6</v>
      </c>
      <c r="X115" s="99">
        <f>+VLOOKUP(PROVEEDORES[[#This Row],[ID RETENCION]],Retenciones!$A$1:$O$25,PROVEEDORES[[#This Row],[indicador de columna]],FALSE)</f>
        <v>0</v>
      </c>
      <c r="Y115" s="100">
        <f>+VLOOKUP(PROVEEDORES[[#This Row],[ID RETENCION]],Retenciones!$A$1:$O$25,2,FALSE)</f>
        <v>0</v>
      </c>
      <c r="Z115" s="103" t="b">
        <f>OR(COUNTIF(PROVEEDORES[[#This Row],[PROVEEDOR]],"*"&amp;'Palabra no opera'!$A$2&amp;"*"))</f>
        <v>0</v>
      </c>
    </row>
    <row r="116" spans="1:26" ht="22.35" customHeight="1" x14ac:dyDescent="0.25">
      <c r="A116" s="65" t="str">
        <f>+IF(PROVEEDORES[[#This Row],[FECHA DE PAGO]]=PROVEEDORES[[#This Row],[FECHA DE FACTURACIÓN]],"DE CONTADO","CRÉDITO")</f>
        <v>DE CONTADO</v>
      </c>
      <c r="B116" s="38" t="b">
        <f>+IF((PROVEEDORES[[#This Row],[FECHA DE PAGO]]-PROVEEDORES[[#This Row],[FECHA DE FACTURACIÓN]])&gt;PROVEEDORES[[#This Row],[PLAZO Días]],"PAGO VENCIDO")</f>
        <v>0</v>
      </c>
      <c r="C116" s="20">
        <f>+VLOOKUP(PROVEEDORES[[#This Row],[PROVEEDOR]],TERCEROS_INFO[#All],2,FALSE)</f>
        <v>30</v>
      </c>
      <c r="D116" s="25">
        <f>+SUMIFS(PROVEEDORES[Total],PROVEEDORES[PROVEEDOR],PROVEEDORES[[#This Row],[PROVEEDOR]],PROVEEDORES[FECHA DE PAGO],"")</f>
        <v>0</v>
      </c>
      <c r="E116" s="25"/>
      <c r="F116" s="56" t="str">
        <f>+VLOOKUP(PROVEEDORES[[#This Row],[PROVEEDOR]],
                       Terceros!$A:$F,
                       5,
                       FALSE)</f>
        <v/>
      </c>
      <c r="G116" s="289">
        <v>45078</v>
      </c>
      <c r="H116" s="26" t="s">
        <v>566</v>
      </c>
      <c r="I116" s="289">
        <v>45078</v>
      </c>
      <c r="J116" s="35" t="s">
        <v>861</v>
      </c>
      <c r="K116" s="21">
        <v>40000</v>
      </c>
      <c r="L116" s="21"/>
      <c r="M116" s="22">
        <f>(PROVEEDORES[[#This Row],[SUBTOTAL]]-PROVEEDORES[[#This Row],[descuento sobre subtotal]])*VLOOKUP(PROVEEDORES[[#This Row],[PROVEEDOR]],TERCEROS_INFO[#All],3,FALSE)</f>
        <v>0</v>
      </c>
      <c r="N116" s="23"/>
      <c r="O116" s="22">
        <f>+PROVEEDORES[[#This Row],[Descuento sobre subtotal %]]*(PROVEEDORES[[#This Row],[SUBTOTAL]]-PROVEEDORES[[#This Row],[descuento sobre subtotal]])</f>
        <v>0</v>
      </c>
      <c r="P116" s="72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1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1">
        <f ca="1">IF(PROVEEDORES[[#This Row],[FECHA DE PAGO]]=0,TODAY()-PROVEEDORES[[#This Row],[FECHA DE FACTURACIÓN]]-PROVEEDORES[[#This Row],[PLAZO Días]],0)</f>
        <v>0</v>
      </c>
      <c r="U116" s="97">
        <f>+VLOOKUP(PROVEEDORES[[#This Row],[PROVEEDOR]],Terceros!$A:$D,4,FALSE)</f>
        <v>0</v>
      </c>
      <c r="V116" s="98">
        <f>+YEAR(PROVEEDORES[[#This Row],[FECHA DE FACTURACIÓN]])</f>
        <v>2023</v>
      </c>
      <c r="W116" s="98">
        <f>+MATCH(PROVEEDORES[[#This Row],[año facturado]],Retenciones!$1:$1,0)</f>
        <v>6</v>
      </c>
      <c r="X116" s="99">
        <f>+VLOOKUP(PROVEEDORES[[#This Row],[ID RETENCION]],Retenciones!$A$1:$O$25,PROVEEDORES[[#This Row],[indicador de columna]],FALSE)</f>
        <v>0</v>
      </c>
      <c r="Y116" s="100">
        <f>+VLOOKUP(PROVEEDORES[[#This Row],[ID RETENCION]],Retenciones!$A$1:$O$25,2,FALSE)</f>
        <v>0</v>
      </c>
      <c r="Z116" s="103" t="b">
        <f>OR(COUNTIF(PROVEEDORES[[#This Row],[PROVEEDOR]],"*"&amp;'Palabra no opera'!$A$2&amp;"*"))</f>
        <v>0</v>
      </c>
    </row>
    <row r="117" spans="1:26" ht="22.35" customHeight="1" x14ac:dyDescent="0.25">
      <c r="A117" s="207" t="str">
        <f>+IF(PROVEEDORES[[#This Row],[FECHA DE PAGO]]=PROVEEDORES[[#This Row],[FECHA DE FACTURACIÓN]],"DE CONTADO","CRÉDITO")</f>
        <v>DE CONTADO</v>
      </c>
      <c r="B117" s="38" t="b">
        <f>+IF((PROVEEDORES[[#This Row],[FECHA DE PAGO]]-PROVEEDORES[[#This Row],[FECHA DE FACTURACIÓN]])&gt;PROVEEDORES[[#This Row],[PLAZO Días]],"PAGO VENCIDO")</f>
        <v>0</v>
      </c>
      <c r="C117" s="20">
        <f>+VLOOKUP(PROVEEDORES[[#This Row],[PROVEEDOR]],TERCEROS_INFO[#All],2,FALSE)</f>
        <v>30</v>
      </c>
      <c r="D117" s="25">
        <f>+SUMIFS(PROVEEDORES[Total],PROVEEDORES[PROVEEDOR],PROVEEDORES[[#This Row],[PROVEEDOR]],PROVEEDORES[FECHA DE PAGO],"")</f>
        <v>0</v>
      </c>
      <c r="E117" s="25"/>
      <c r="F117" s="56" t="str">
        <f>+VLOOKUP(PROVEEDORES[[#This Row],[PROVEEDOR]],
                       Terceros!$A:$F,
                       5,
                       FALSE)</f>
        <v/>
      </c>
      <c r="G117" s="289">
        <v>45106</v>
      </c>
      <c r="H117" s="26" t="s">
        <v>566</v>
      </c>
      <c r="I117" s="289">
        <v>45106</v>
      </c>
      <c r="J117" s="35" t="s">
        <v>906</v>
      </c>
      <c r="K117" s="21">
        <v>375000</v>
      </c>
      <c r="L117" s="21"/>
      <c r="M117" s="22">
        <f>(PROVEEDORES[[#This Row],[SUBTOTAL]]-PROVEEDORES[[#This Row],[descuento sobre subtotal]])*VLOOKUP(PROVEEDORES[[#This Row],[PROVEEDOR]],TERCEROS_INFO[#All],3,FALSE)</f>
        <v>0</v>
      </c>
      <c r="N117" s="23"/>
      <c r="O117" s="22">
        <f>+PROVEEDORES[[#This Row],[Descuento sobre subtotal %]]*(PROVEEDORES[[#This Row],[SUBTOTAL]]-PROVEEDORES[[#This Row],[descuento sobre subtotal]])</f>
        <v>0</v>
      </c>
      <c r="P117" s="72">
        <f>+IF(PROVEEDORES[[#This Row],[SUBTOTAL]]&lt;PROVEEDORES[[#This Row],[base retencion]],0,PROVEEDORES[[#This Row],[retención aplicada]])</f>
        <v>0</v>
      </c>
      <c r="Q117" s="22">
        <f>+PROVEEDORES[[#This Row],[Rete Fuente %]]*(PROVEEDORES[[#This Row],[SUBTOTAL]]-PROVEEDORES[[#This Row],[descuento sobre subtotal]])</f>
        <v>0</v>
      </c>
      <c r="R117" s="21">
        <f>+PROVEEDORES[[#This Row],[SUBTOTAL]]+PROVEEDORES[[#This Row],[IVA 19%]]-PROVEEDORES[[#This Row],[descuento sobre subtotal]]-PROVEEDORES[[#This Row],[Descuento sobre subtotal $2]]-PROVEEDORES[[#This Row],[Rete Fuente $]]</f>
        <v>375000</v>
      </c>
      <c r="S11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1">
        <f ca="1">IF(PROVEEDORES[[#This Row],[FECHA DE PAGO]]=0,TODAY()-PROVEEDORES[[#This Row],[FECHA DE FACTURACIÓN]]-PROVEEDORES[[#This Row],[PLAZO Días]],0)</f>
        <v>0</v>
      </c>
      <c r="U117" s="97">
        <f>+VLOOKUP(PROVEEDORES[[#This Row],[PROVEEDOR]],Terceros!$A:$D,4,FALSE)</f>
        <v>0</v>
      </c>
      <c r="V117" s="98">
        <f>+YEAR(PROVEEDORES[[#This Row],[FECHA DE FACTURACIÓN]])</f>
        <v>2023</v>
      </c>
      <c r="W117" s="98">
        <f>+MATCH(PROVEEDORES[[#This Row],[año facturado]],Retenciones!$1:$1,0)</f>
        <v>6</v>
      </c>
      <c r="X117" s="99">
        <f>+VLOOKUP(PROVEEDORES[[#This Row],[ID RETENCION]],Retenciones!$A$1:$O$25,PROVEEDORES[[#This Row],[indicador de columna]],FALSE)</f>
        <v>0</v>
      </c>
      <c r="Y117" s="100">
        <f>+VLOOKUP(PROVEEDORES[[#This Row],[ID RETENCION]],Retenciones!$A$1:$O$25,2,FALSE)</f>
        <v>0</v>
      </c>
      <c r="Z117" s="103" t="b">
        <f>OR(COUNTIF(PROVEEDORES[[#This Row],[PROVEEDOR]],"*"&amp;'Palabra no opera'!$A$2&amp;"*"))</f>
        <v>0</v>
      </c>
    </row>
    <row r="118" spans="1:26" ht="22.35" customHeight="1" x14ac:dyDescent="0.25">
      <c r="A118" s="65" t="str">
        <f>+IF(PROVEEDORES[[#This Row],[FECHA DE PAGO]]=PROVEEDORES[[#This Row],[FECHA DE FACTURACIÓN]],"DE CONTADO","CRÉDITO")</f>
        <v>DE CONTADO</v>
      </c>
      <c r="B118" s="38" t="b">
        <f>+IF((PROVEEDORES[[#This Row],[FECHA DE PAGO]]-PROVEEDORES[[#This Row],[FECHA DE FACTURACIÓN]])&gt;PROVEEDORES[[#This Row],[PLAZO Días]],"PAGO VENCIDO")</f>
        <v>0</v>
      </c>
      <c r="C118" s="20">
        <f>+VLOOKUP(PROVEEDORES[[#This Row],[PROVEEDOR]],TERCEROS_INFO[#All],2,FALSE)</f>
        <v>30</v>
      </c>
      <c r="D118" s="25">
        <f>+SUMIFS(PROVEEDORES[Total],PROVEEDORES[PROVEEDOR],PROVEEDORES[[#This Row],[PROVEEDOR]],PROVEEDORES[FECHA DE PAGO],"")</f>
        <v>0</v>
      </c>
      <c r="E118" s="25"/>
      <c r="F118" s="56" t="str">
        <f>+VLOOKUP(PROVEEDORES[[#This Row],[PROVEEDOR]],
                       Terceros!$A:$F,
                       5,
                       FALSE)</f>
        <v/>
      </c>
      <c r="G118" s="289">
        <v>45108</v>
      </c>
      <c r="H118" s="26" t="s">
        <v>566</v>
      </c>
      <c r="I118" s="289">
        <v>45108</v>
      </c>
      <c r="J118" s="35" t="s">
        <v>518</v>
      </c>
      <c r="K118" s="21">
        <v>840000</v>
      </c>
      <c r="L118" s="21"/>
      <c r="M118" s="22">
        <f>(PROVEEDORES[[#This Row],[SUBTOTAL]]-PROVEEDORES[[#This Row],[descuento sobre subtotal]])*VLOOKUP(PROVEEDORES[[#This Row],[PROVEEDOR]],TERCEROS_INFO[#All],3,FALSE)</f>
        <v>0</v>
      </c>
      <c r="N118" s="23"/>
      <c r="O118" s="22">
        <f>+PROVEEDORES[[#This Row],[Descuento sobre subtotal %]]*(PROVEEDORES[[#This Row],[SUBTOTAL]]-PROVEEDORES[[#This Row],[descuento sobre subtotal]])</f>
        <v>0</v>
      </c>
      <c r="P118" s="72">
        <f>+IF(PROVEEDORES[[#This Row],[SUBTOTAL]]&lt;PROVEEDORES[[#This Row],[base retencion]],0,PROVEEDORES[[#This Row],[retención aplicada]])</f>
        <v>0</v>
      </c>
      <c r="Q118" s="22">
        <f>+PROVEEDORES[[#This Row],[Rete Fuente %]]*(PROVEEDORES[[#This Row],[SUBTOTAL]]-PROVEEDORES[[#This Row],[descuento sobre subtotal]])</f>
        <v>0</v>
      </c>
      <c r="R118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1">
        <f ca="1">IF(PROVEEDORES[[#This Row],[FECHA DE PAGO]]=0,TODAY()-PROVEEDORES[[#This Row],[FECHA DE FACTURACIÓN]]-PROVEEDORES[[#This Row],[PLAZO Días]],0)</f>
        <v>0</v>
      </c>
      <c r="U118" s="97">
        <f>+VLOOKUP(PROVEEDORES[[#This Row],[PROVEEDOR]],Terceros!$A:$D,4,FALSE)</f>
        <v>0</v>
      </c>
      <c r="V118" s="98">
        <f>+YEAR(PROVEEDORES[[#This Row],[FECHA DE FACTURACIÓN]])</f>
        <v>2023</v>
      </c>
      <c r="W118" s="98">
        <f>+MATCH(PROVEEDORES[[#This Row],[año facturado]],Retenciones!$1:$1,0)</f>
        <v>6</v>
      </c>
      <c r="X118" s="99">
        <f>+VLOOKUP(PROVEEDORES[[#This Row],[ID RETENCION]],Retenciones!$A$1:$O$25,PROVEEDORES[[#This Row],[indicador de columna]],FALSE)</f>
        <v>0</v>
      </c>
      <c r="Y118" s="100">
        <f>+VLOOKUP(PROVEEDORES[[#This Row],[ID RETENCION]],Retenciones!$A$1:$O$25,2,FALSE)</f>
        <v>0</v>
      </c>
      <c r="Z118" s="103" t="b">
        <f>OR(COUNTIF(PROVEEDORES[[#This Row],[PROVEEDOR]],"*"&amp;'Palabra no opera'!$A$2&amp;"*"))</f>
        <v>0</v>
      </c>
    </row>
    <row r="119" spans="1:26" ht="22.35" customHeight="1" x14ac:dyDescent="0.25">
      <c r="A119" s="65" t="str">
        <f>+IF(PROVEEDORES[[#This Row],[FECHA DE PAGO]]=PROVEEDORES[[#This Row],[FECHA DE FACTURACIÓN]],"DE CONTADO","CRÉDITO")</f>
        <v>DE CONTADO</v>
      </c>
      <c r="B119" s="38" t="b">
        <f>+IF((PROVEEDORES[[#This Row],[FECHA DE PAGO]]-PROVEEDORES[[#This Row],[FECHA DE FACTURACIÓN]])&gt;PROVEEDORES[[#This Row],[PLAZO Días]],"PAGO VENCIDO")</f>
        <v>0</v>
      </c>
      <c r="C119" s="20">
        <f>+VLOOKUP(PROVEEDORES[[#This Row],[PROVEEDOR]],TERCEROS_INFO[#All],2,FALSE)</f>
        <v>30</v>
      </c>
      <c r="D119" s="25">
        <f>+SUMIFS(PROVEEDORES[Total],PROVEEDORES[PROVEEDOR],PROVEEDORES[[#This Row],[PROVEEDOR]],PROVEEDORES[FECHA DE PAGO],"")</f>
        <v>0</v>
      </c>
      <c r="E119" s="25"/>
      <c r="F119" s="56" t="str">
        <f>+VLOOKUP(PROVEEDORES[[#This Row],[PROVEEDOR]],
                       Terceros!$A:$F,
                       5,
                       FALSE)</f>
        <v/>
      </c>
      <c r="G119" s="289">
        <v>45108</v>
      </c>
      <c r="H119" s="26" t="s">
        <v>566</v>
      </c>
      <c r="I119" s="289">
        <v>45108</v>
      </c>
      <c r="J119" s="35" t="s">
        <v>545</v>
      </c>
      <c r="K119" s="21">
        <v>171400</v>
      </c>
      <c r="L119" s="21"/>
      <c r="M119" s="22">
        <f>(PROVEEDORES[[#This Row],[SUBTOTAL]]-PROVEEDORES[[#This Row],[descuento sobre subtotal]])*VLOOKUP(PROVEEDORES[[#This Row],[PROVEEDOR]],TERCEROS_INFO[#All],3,FALSE)</f>
        <v>0</v>
      </c>
      <c r="N119" s="23"/>
      <c r="O119" s="22">
        <f>+PROVEEDORES[[#This Row],[Descuento sobre subtotal %]]*(PROVEEDORES[[#This Row],[SUBTOTAL]]-PROVEEDORES[[#This Row],[descuento sobre subtotal]])</f>
        <v>0</v>
      </c>
      <c r="P119" s="72">
        <f>+IF(PROVEEDORES[[#This Row],[SUBTOTAL]]&lt;PROVEEDORES[[#This Row],[base retencion]],0,PROVEEDORES[[#This Row],[retención aplicada]])</f>
        <v>0</v>
      </c>
      <c r="Q119" s="22">
        <f>+PROVEEDORES[[#This Row],[Rete Fuente %]]*(PROVEEDORES[[#This Row],[SUBTOTAL]]-PROVEEDORES[[#This Row],[descuento sobre subtotal]])</f>
        <v>0</v>
      </c>
      <c r="R119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1">
        <f ca="1">IF(PROVEEDORES[[#This Row],[FECHA DE PAGO]]=0,TODAY()-PROVEEDORES[[#This Row],[FECHA DE FACTURACIÓN]]-PROVEEDORES[[#This Row],[PLAZO Días]],0)</f>
        <v>0</v>
      </c>
      <c r="U119" s="97">
        <f>+VLOOKUP(PROVEEDORES[[#This Row],[PROVEEDOR]],Terceros!$A:$D,4,FALSE)</f>
        <v>0</v>
      </c>
      <c r="V119" s="98">
        <f>+YEAR(PROVEEDORES[[#This Row],[FECHA DE FACTURACIÓN]])</f>
        <v>2023</v>
      </c>
      <c r="W119" s="98">
        <f>+MATCH(PROVEEDORES[[#This Row],[año facturado]],Retenciones!$1:$1,0)</f>
        <v>6</v>
      </c>
      <c r="X119" s="99">
        <f>+VLOOKUP(PROVEEDORES[[#This Row],[ID RETENCION]],Retenciones!$A$1:$O$25,PROVEEDORES[[#This Row],[indicador de columna]],FALSE)</f>
        <v>0</v>
      </c>
      <c r="Y119" s="100">
        <f>+VLOOKUP(PROVEEDORES[[#This Row],[ID RETENCION]],Retenciones!$A$1:$O$25,2,FALSE)</f>
        <v>0</v>
      </c>
      <c r="Z119" s="103" t="b">
        <f>OR(COUNTIF(PROVEEDORES[[#This Row],[PROVEEDOR]],"*"&amp;'Palabra no opera'!$A$2&amp;"*"))</f>
        <v>0</v>
      </c>
    </row>
    <row r="120" spans="1:26" ht="22.35" customHeight="1" x14ac:dyDescent="0.25">
      <c r="A120" s="65" t="str">
        <f>+IF(PROVEEDORES[[#This Row],[FECHA DE PAGO]]=PROVEEDORES[[#This Row],[FECHA DE FACTURACIÓN]],"DE CONTADO","CRÉDITO")</f>
        <v>DE CONTADO</v>
      </c>
      <c r="B120" s="38" t="b">
        <f>+IF((PROVEEDORES[[#This Row],[FECHA DE PAGO]]-PROVEEDORES[[#This Row],[FECHA DE FACTURACIÓN]])&gt;PROVEEDORES[[#This Row],[PLAZO Días]],"PAGO VENCIDO")</f>
        <v>0</v>
      </c>
      <c r="C120" s="20">
        <f>+VLOOKUP(PROVEEDORES[[#This Row],[PROVEEDOR]],TERCEROS_INFO[#All],2,FALSE)</f>
        <v>30</v>
      </c>
      <c r="D120" s="25">
        <f>+SUMIFS(PROVEEDORES[Total],PROVEEDORES[PROVEEDOR],PROVEEDORES[[#This Row],[PROVEEDOR]],PROVEEDORES[FECHA DE PAGO],"")</f>
        <v>0</v>
      </c>
      <c r="E120" s="25"/>
      <c r="F120" s="56" t="str">
        <f>+VLOOKUP(PROVEEDORES[[#This Row],[PROVEEDOR]],
                       Terceros!$A:$F,
                       5,
                       FALSE)</f>
        <v/>
      </c>
      <c r="G120" s="289">
        <v>45108</v>
      </c>
      <c r="H120" s="26" t="s">
        <v>566</v>
      </c>
      <c r="I120" s="289">
        <v>45108</v>
      </c>
      <c r="J120" s="35" t="s">
        <v>517</v>
      </c>
      <c r="K120" s="21">
        <v>1419000</v>
      </c>
      <c r="L120" s="21"/>
      <c r="M120" s="22">
        <f>(PROVEEDORES[[#This Row],[SUBTOTAL]]-PROVEEDORES[[#This Row],[descuento sobre subtotal]])*VLOOKUP(PROVEEDORES[[#This Row],[PROVEEDOR]],TERCEROS_INFO[#All],3,FALSE)</f>
        <v>0</v>
      </c>
      <c r="N120" s="23"/>
      <c r="O120" s="22">
        <f>+PROVEEDORES[[#This Row],[Descuento sobre subtotal %]]*(PROVEEDORES[[#This Row],[SUBTOTAL]]-PROVEEDORES[[#This Row],[descuento sobre subtotal]])</f>
        <v>0</v>
      </c>
      <c r="P120" s="72">
        <f>+IF(PROVEEDORES[[#This Row],[SUBTOTAL]]&lt;PROVEEDORES[[#This Row],[base retencion]],0,PROVEEDORES[[#This Row],[retención aplicada]])</f>
        <v>0</v>
      </c>
      <c r="Q120" s="22">
        <f>+PROVEEDORES[[#This Row],[Rete Fuente %]]*(PROVEEDORES[[#This Row],[SUBTOTAL]]-PROVEEDORES[[#This Row],[descuento sobre subtotal]])</f>
        <v>0</v>
      </c>
      <c r="R120" s="21">
        <f>+PROVEEDORES[[#This Row],[SUBTOTAL]]+PROVEEDORES[[#This Row],[IVA 19%]]-PROVEEDORES[[#This Row],[descuento sobre subtotal]]-PROVEEDORES[[#This Row],[Descuento sobre subtotal $2]]-PROVEEDORES[[#This Row],[Rete Fuente $]]</f>
        <v>1419000</v>
      </c>
      <c r="S12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1">
        <f ca="1">IF(PROVEEDORES[[#This Row],[FECHA DE PAGO]]=0,TODAY()-PROVEEDORES[[#This Row],[FECHA DE FACTURACIÓN]]-PROVEEDORES[[#This Row],[PLAZO Días]],0)</f>
        <v>0</v>
      </c>
      <c r="U120" s="97">
        <f>+VLOOKUP(PROVEEDORES[[#This Row],[PROVEEDOR]],Terceros!$A:$D,4,FALSE)</f>
        <v>0</v>
      </c>
      <c r="V120" s="98">
        <f>+YEAR(PROVEEDORES[[#This Row],[FECHA DE FACTURACIÓN]])</f>
        <v>2023</v>
      </c>
      <c r="W120" s="98">
        <f>+MATCH(PROVEEDORES[[#This Row],[año facturado]],Retenciones!$1:$1,0)</f>
        <v>6</v>
      </c>
      <c r="X120" s="99">
        <f>+VLOOKUP(PROVEEDORES[[#This Row],[ID RETENCION]],Retenciones!$A$1:$O$25,PROVEEDORES[[#This Row],[indicador de columna]],FALSE)</f>
        <v>0</v>
      </c>
      <c r="Y120" s="100">
        <f>+VLOOKUP(PROVEEDORES[[#This Row],[ID RETENCION]],Retenciones!$A$1:$O$25,2,FALSE)</f>
        <v>0</v>
      </c>
      <c r="Z120" s="103" t="b">
        <f>OR(COUNTIF(PROVEEDORES[[#This Row],[PROVEEDOR]],"*"&amp;'Palabra no opera'!$A$2&amp;"*"))</f>
        <v>0</v>
      </c>
    </row>
    <row r="121" spans="1:26" ht="22.35" customHeight="1" x14ac:dyDescent="0.25">
      <c r="A121" s="65" t="str">
        <f>+IF(PROVEEDORES[[#This Row],[FECHA DE PAGO]]=PROVEEDORES[[#This Row],[FECHA DE FACTURACIÓN]],"DE CONTADO","CRÉDITO")</f>
        <v>DE CONTADO</v>
      </c>
      <c r="B121" s="38" t="b">
        <f>+IF((PROVEEDORES[[#This Row],[FECHA DE PAGO]]-PROVEEDORES[[#This Row],[FECHA DE FACTURACIÓN]])&gt;PROVEEDORES[[#This Row],[PLAZO Días]],"PAGO VENCIDO")</f>
        <v>0</v>
      </c>
      <c r="C121" s="20">
        <f>+VLOOKUP(PROVEEDORES[[#This Row],[PROVEEDOR]],TERCEROS_INFO[#All],2,FALSE)</f>
        <v>30</v>
      </c>
      <c r="D121" s="25">
        <f>+SUMIFS(PROVEEDORES[Total],PROVEEDORES[PROVEEDOR],PROVEEDORES[[#This Row],[PROVEEDOR]],PROVEEDORES[FECHA DE PAGO],"")</f>
        <v>0</v>
      </c>
      <c r="E121" s="25"/>
      <c r="F121" s="56" t="str">
        <f>+VLOOKUP(PROVEEDORES[[#This Row],[PROVEEDOR]],
                       Terceros!$A:$F,
                       5,
                       FALSE)</f>
        <v/>
      </c>
      <c r="G121" s="289">
        <v>45108</v>
      </c>
      <c r="H121" s="26" t="s">
        <v>566</v>
      </c>
      <c r="I121" s="289">
        <v>45108</v>
      </c>
      <c r="J121" s="35" t="s">
        <v>520</v>
      </c>
      <c r="K121" s="21">
        <v>783800</v>
      </c>
      <c r="L121" s="21"/>
      <c r="M121" s="22">
        <f>(PROVEEDORES[[#This Row],[SUBTOTAL]]-PROVEEDORES[[#This Row],[descuento sobre subtotal]])*VLOOKUP(PROVEEDORES[[#This Row],[PROVEEDOR]],TERCEROS_INFO[#All],3,FALSE)</f>
        <v>0</v>
      </c>
      <c r="N121" s="23"/>
      <c r="O121" s="22">
        <f>+PROVEEDORES[[#This Row],[Descuento sobre subtotal %]]*(PROVEEDORES[[#This Row],[SUBTOTAL]]-PROVEEDORES[[#This Row],[descuento sobre subtotal]])</f>
        <v>0</v>
      </c>
      <c r="P121" s="72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f>+PROVEEDORES[[#This Row],[SUBTOTAL]]+PROVEEDORES[[#This Row],[IVA 19%]]-PROVEEDORES[[#This Row],[descuento sobre subtotal]]-PROVEEDORES[[#This Row],[Descuento sobre subtotal $2]]-PROVEEDORES[[#This Row],[Rete Fuente $]]</f>
        <v>783800</v>
      </c>
      <c r="S1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1">
        <f ca="1">IF(PROVEEDORES[[#This Row],[FECHA DE PAGO]]=0,TODAY()-PROVEEDORES[[#This Row],[FECHA DE FACTURACIÓN]]-PROVEEDORES[[#This Row],[PLAZO Días]],0)</f>
        <v>0</v>
      </c>
      <c r="U121" s="97">
        <f>+VLOOKUP(PROVEEDORES[[#This Row],[PROVEEDOR]],Terceros!$A:$D,4,FALSE)</f>
        <v>0</v>
      </c>
      <c r="V121" s="98">
        <f>+YEAR(PROVEEDORES[[#This Row],[FECHA DE FACTURACIÓN]])</f>
        <v>2023</v>
      </c>
      <c r="W121" s="98">
        <f>+MATCH(PROVEEDORES[[#This Row],[año facturado]],Retenciones!$1:$1,0)</f>
        <v>6</v>
      </c>
      <c r="X121" s="99">
        <f>+VLOOKUP(PROVEEDORES[[#This Row],[ID RETENCION]],Retenciones!$A$1:$O$25,PROVEEDORES[[#This Row],[indicador de columna]],FALSE)</f>
        <v>0</v>
      </c>
      <c r="Y121" s="100">
        <f>+VLOOKUP(PROVEEDORES[[#This Row],[ID RETENCION]],Retenciones!$A$1:$O$25,2,FALSE)</f>
        <v>0</v>
      </c>
      <c r="Z121" s="103" t="b">
        <f>OR(COUNTIF(PROVEEDORES[[#This Row],[PROVEEDOR]],"*"&amp;'Palabra no opera'!$A$2&amp;"*"))</f>
        <v>0</v>
      </c>
    </row>
    <row r="122" spans="1:26" ht="22.35" customHeight="1" x14ac:dyDescent="0.25">
      <c r="A122" s="65" t="str">
        <f>+IF(PROVEEDORES[[#This Row],[FECHA DE PAGO]]=PROVEEDORES[[#This Row],[FECHA DE FACTURACIÓN]],"DE CONTADO","CRÉDITO")</f>
        <v>DE CONTADO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0</v>
      </c>
      <c r="E122" s="25"/>
      <c r="F122" s="56" t="str">
        <f>+VLOOKUP(PROVEEDORES[[#This Row],[PROVEEDOR]],
                       Terceros!$A:$F,
                       5,
                       FALSE)</f>
        <v/>
      </c>
      <c r="G122" s="289">
        <v>45108</v>
      </c>
      <c r="H122" s="26" t="s">
        <v>566</v>
      </c>
      <c r="I122" s="289">
        <v>45108</v>
      </c>
      <c r="J122" s="35" t="s">
        <v>519</v>
      </c>
      <c r="K122" s="21">
        <v>62997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72">
        <f>+IF(PROVEEDORES[[#This Row],[SUBTOTAL]]&lt;PROVEEDORES[[#This Row],[base retencion]],0,PROVEEDORES[[#This Row],[retención aplicada]])</f>
        <v>0</v>
      </c>
      <c r="Q122" s="22">
        <f>+PROVEEDORES[[#This Row],[Rete Fuente %]]*(PROVEEDORES[[#This Row],[SUBTOTAL]]-PROVEEDORES[[#This Row],[descuento sobre subtotal]])</f>
        <v>0</v>
      </c>
      <c r="R122" s="21">
        <f>+PROVEEDORES[[#This Row],[SUBTOTAL]]+PROVEEDORES[[#This Row],[IVA 19%]]-PROVEEDORES[[#This Row],[descuento sobre subtotal]]-PROVEEDORES[[#This Row],[Descuento sobre subtotal $2]]-PROVEEDORES[[#This Row],[Rete Fuente $]]</f>
        <v>62997</v>
      </c>
      <c r="S1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1">
        <f ca="1">IF(PROVEEDORES[[#This Row],[FECHA DE PAGO]]=0,TODAY()-PROVEEDORES[[#This Row],[FECHA DE FACTURACIÓN]]-PROVEEDORES[[#This Row],[PLAZO Días]],0)</f>
        <v>0</v>
      </c>
      <c r="U122" s="97">
        <f>+VLOOKUP(PROVEEDORES[[#This Row],[PROVEEDOR]],Terceros!$A:$D,4,FALSE)</f>
        <v>0</v>
      </c>
      <c r="V122" s="98">
        <f>+YEAR(PROVEEDORES[[#This Row],[FECHA DE FACTURACIÓN]])</f>
        <v>2023</v>
      </c>
      <c r="W122" s="98">
        <f>+MATCH(PROVEEDORES[[#This Row],[año facturado]],Retenciones!$1:$1,0)</f>
        <v>6</v>
      </c>
      <c r="X122" s="99">
        <f>+VLOOKUP(PROVEEDORES[[#This Row],[ID RETENCION]],Retenciones!$A$1:$O$25,PROVEEDORES[[#This Row],[indicador de columna]],FALSE)</f>
        <v>0</v>
      </c>
      <c r="Y122" s="100">
        <f>+VLOOKUP(PROVEEDORES[[#This Row],[ID RETENCION]],Retenciones!$A$1:$O$25,2,FALSE)</f>
        <v>0</v>
      </c>
      <c r="Z122" s="103" t="b">
        <f>OR(COUNTIF(PROVEEDORES[[#This Row],[PROVEEDOR]],"*"&amp;'Palabra no opera'!$A$2&amp;"*"))</f>
        <v>0</v>
      </c>
    </row>
    <row r="123" spans="1:26" ht="22.35" customHeight="1" x14ac:dyDescent="0.25">
      <c r="A123" s="65" t="str">
        <f>+IF(PROVEEDORES[[#This Row],[FECHA DE PAGO]]=PROVEEDORES[[#This Row],[FECHA DE FACTURACIÓN]],"DE CONTADO","CRÉDITO")</f>
        <v>DE CONTADO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0</v>
      </c>
      <c r="E123" s="25"/>
      <c r="F123" s="56" t="str">
        <f>+VLOOKUP(PROVEEDORES[[#This Row],[PROVEEDOR]],
                       Terceros!$A:$F,
                       5,
                       FALSE)</f>
        <v/>
      </c>
      <c r="G123" s="289">
        <v>45108</v>
      </c>
      <c r="H123" s="26" t="s">
        <v>566</v>
      </c>
      <c r="I123" s="289">
        <v>45108</v>
      </c>
      <c r="J123" s="35" t="s">
        <v>516</v>
      </c>
      <c r="K123" s="21">
        <v>300500</v>
      </c>
      <c r="L123" s="21"/>
      <c r="M123" s="22">
        <f>(PROVEEDORES[[#This Row],[SUBTOTAL]]-PROVEEDORES[[#This Row],[descuento sobre subtotal]])*VLOOKUP(PROVEEDORES[[#This Row],[PROVEEDOR]],TERCEROS_INFO[#All],3,FALSE)</f>
        <v>0</v>
      </c>
      <c r="N123" s="23"/>
      <c r="O123" s="22">
        <f>+PROVEEDORES[[#This Row],[Descuento sobre subtotal %]]*(PROVEEDORES[[#This Row],[SUBTOTAL]]-PROVEEDORES[[#This Row],[descuento sobre subtotal]])</f>
        <v>0</v>
      </c>
      <c r="P123" s="72">
        <f>+IF(PROVEEDORES[[#This Row],[SUBTOTAL]]&lt;PROVEEDORES[[#This Row],[base retencion]],0,PROVEEDORES[[#This Row],[retención aplicada]])</f>
        <v>0</v>
      </c>
      <c r="Q123" s="22">
        <f>+PROVEEDORES[[#This Row],[Rete Fuente %]]*(PROVEEDORES[[#This Row],[SUBTOTAL]]-PROVEEDORES[[#This Row],[descuento sobre subtotal]])</f>
        <v>0</v>
      </c>
      <c r="R123" s="21">
        <f>+PROVEEDORES[[#This Row],[SUBTOTAL]]+PROVEEDORES[[#This Row],[IVA 19%]]-PROVEEDORES[[#This Row],[descuento sobre subtotal]]-PROVEEDORES[[#This Row],[Descuento sobre subtotal $2]]-PROVEEDORES[[#This Row],[Rete Fuente $]]</f>
        <v>300500</v>
      </c>
      <c r="S1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1">
        <f ca="1">IF(PROVEEDORES[[#This Row],[FECHA DE PAGO]]=0,TODAY()-PROVEEDORES[[#This Row],[FECHA DE FACTURACIÓN]]-PROVEEDORES[[#This Row],[PLAZO Días]],0)</f>
        <v>0</v>
      </c>
      <c r="U123" s="97">
        <f>+VLOOKUP(PROVEEDORES[[#This Row],[PROVEEDOR]],Terceros!$A:$D,4,FALSE)</f>
        <v>0</v>
      </c>
      <c r="V123" s="98">
        <f>+YEAR(PROVEEDORES[[#This Row],[FECHA DE FACTURACIÓN]])</f>
        <v>2023</v>
      </c>
      <c r="W123" s="98">
        <f>+MATCH(PROVEEDORES[[#This Row],[año facturado]],Retenciones!$1:$1,0)</f>
        <v>6</v>
      </c>
      <c r="X123" s="99">
        <f>+VLOOKUP(PROVEEDORES[[#This Row],[ID RETENCION]],Retenciones!$A$1:$O$25,PROVEEDORES[[#This Row],[indicador de columna]],FALSE)</f>
        <v>0</v>
      </c>
      <c r="Y123" s="100">
        <f>+VLOOKUP(PROVEEDORES[[#This Row],[ID RETENCION]],Retenciones!$A$1:$O$25,2,FALSE)</f>
        <v>0</v>
      </c>
      <c r="Z123" s="103" t="b">
        <f>OR(COUNTIF(PROVEEDORES[[#This Row],[PROVEEDOR]],"*"&amp;'Palabra no opera'!$A$2&amp;"*"))</f>
        <v>0</v>
      </c>
    </row>
    <row r="124" spans="1:26" ht="22.35" customHeight="1" x14ac:dyDescent="0.25">
      <c r="A124" s="65" t="str">
        <f>+IF(PROVEEDORES[[#This Row],[FECHA DE PAGO]]=PROVEEDORES[[#This Row],[FECHA DE FACTURACIÓN]],"DE CONTADO","CRÉDITO")</f>
        <v>CRÉDITO</v>
      </c>
      <c r="B124" s="38" t="str">
        <f>+IF((PROVEEDORES[[#This Row],[FECHA DE PAGO]]-PROVEEDORES[[#This Row],[FECHA DE FACTURACIÓN]])&gt;PROVEEDORES[[#This Row],[PLAZO Días]],"PAGO VENCIDO")</f>
        <v>PAGO VENCIDO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0</v>
      </c>
      <c r="E124" s="25"/>
      <c r="F124" s="56" t="str">
        <f>+VLOOKUP(PROVEEDORES[[#This Row],[PROVEEDOR]],
                       Terceros!$A:$F,
                       5,
                       FALSE)</f>
        <v/>
      </c>
      <c r="G124" s="289">
        <v>45201</v>
      </c>
      <c r="H124" s="26" t="s">
        <v>279</v>
      </c>
      <c r="I124" s="289">
        <v>45117</v>
      </c>
      <c r="J124" s="35" t="s">
        <v>936</v>
      </c>
      <c r="K124" s="21">
        <v>1117000</v>
      </c>
      <c r="L124" s="21"/>
      <c r="M124" s="22">
        <f>(PROVEEDORES[[#This Row],[SUBTOTAL]]-PROVEEDORES[[#This Row],[descuento sobre subtotal]])*VLOOKUP(PROVEEDORES[[#This Row],[PROVEEDOR]],TERCEROS_INFO[#All],3,FALSE)</f>
        <v>0</v>
      </c>
      <c r="N124" s="23"/>
      <c r="O124" s="22">
        <f>+PROVEEDORES[[#This Row],[Descuento sobre subtotal %]]*(PROVEEDORES[[#This Row],[SUBTOTAL]]-PROVEEDORES[[#This Row],[descuento sobre subtotal]])</f>
        <v>0</v>
      </c>
      <c r="P124" s="72">
        <f>+IF(PROVEEDORES[[#This Row],[SUBTOTAL]]&lt;PROVEEDORES[[#This Row],[base retencion]],0,PROVEEDORES[[#This Row],[retención aplicada]])</f>
        <v>0</v>
      </c>
      <c r="Q124" s="22">
        <f>+PROVEEDORES[[#This Row],[Rete Fuente %]]*(PROVEEDORES[[#This Row],[SUBTOTAL]]-PROVEEDORES[[#This Row],[descuento sobre subtotal]])</f>
        <v>0</v>
      </c>
      <c r="R124" s="21">
        <f>+PROVEEDORES[[#This Row],[SUBTOTAL]]+PROVEEDORES[[#This Row],[IVA 19%]]-PROVEEDORES[[#This Row],[descuento sobre subtotal]]-PROVEEDORES[[#This Row],[Descuento sobre subtotal $2]]-PROVEEDORES[[#This Row],[Rete Fuente $]]</f>
        <v>1117000</v>
      </c>
      <c r="S1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1">
        <f ca="1">IF(PROVEEDORES[[#This Row],[FECHA DE PAGO]]=0,TODAY()-PROVEEDORES[[#This Row],[FECHA DE FACTURACIÓN]]-PROVEEDORES[[#This Row],[PLAZO Días]],0)</f>
        <v>0</v>
      </c>
      <c r="U124" s="97">
        <f>+VLOOKUP(PROVEEDORES[[#This Row],[PROVEEDOR]],Terceros!$A:$D,4,FALSE)</f>
        <v>0</v>
      </c>
      <c r="V124" s="98">
        <f>+YEAR(PROVEEDORES[[#This Row],[FECHA DE FACTURACIÓN]])</f>
        <v>2023</v>
      </c>
      <c r="W124" s="98">
        <f>+MATCH(PROVEEDORES[[#This Row],[año facturado]],Retenciones!$1:$1,0)</f>
        <v>6</v>
      </c>
      <c r="X124" s="99">
        <f>+VLOOKUP(PROVEEDORES[[#This Row],[ID RETENCION]],Retenciones!$A$1:$O$25,PROVEEDORES[[#This Row],[indicador de columna]],FALSE)</f>
        <v>0</v>
      </c>
      <c r="Y124" s="100">
        <f>+VLOOKUP(PROVEEDORES[[#This Row],[ID RETENCION]],Retenciones!$A$1:$O$25,2,FALSE)</f>
        <v>0</v>
      </c>
      <c r="Z124" s="103" t="b">
        <f>OR(COUNTIF(PROVEEDORES[[#This Row],[PROVEEDOR]],"*"&amp;'Palabra no opera'!$A$2&amp;"*"))</f>
        <v>0</v>
      </c>
    </row>
    <row r="125" spans="1:26" ht="22.35" customHeight="1" x14ac:dyDescent="0.25">
      <c r="A125" s="65" t="str">
        <f>+IF(PROVEEDORES[[#This Row],[FECHA DE PAGO]]=PROVEEDORES[[#This Row],[FECHA DE FACTURACIÓN]],"DE CONTADO","CRÉDITO")</f>
        <v>DE CONTADO</v>
      </c>
      <c r="B125" s="38" t="b">
        <f>+IF((PROVEEDORES[[#This Row],[FECHA DE PAGO]]-PROVEEDORES[[#This Row],[FECHA DE FACTURACIÓN]])&gt;PROVEEDORES[[#This Row],[PLAZO Días]],"PAGO VENCIDO")</f>
        <v>0</v>
      </c>
      <c r="C125" s="20">
        <f>+VLOOKUP(PROVEEDORES[[#This Row],[PROVEEDOR]],TERCEROS_INFO[#All],2,FALSE)</f>
        <v>30</v>
      </c>
      <c r="D125" s="25">
        <f>+SUMIFS(PROVEEDORES[Total],PROVEEDORES[PROVEEDOR],PROVEEDORES[[#This Row],[PROVEEDOR]],PROVEEDORES[FECHA DE PAGO],"")</f>
        <v>0</v>
      </c>
      <c r="E125" s="25"/>
      <c r="F125" s="56" t="str">
        <f>+VLOOKUP(PROVEEDORES[[#This Row],[PROVEEDOR]],
                       Terceros!$A:$F,
                       5,
                       FALSE)</f>
        <v/>
      </c>
      <c r="G125" s="289">
        <v>45131</v>
      </c>
      <c r="H125" s="26" t="s">
        <v>566</v>
      </c>
      <c r="I125" s="289">
        <v>45131</v>
      </c>
      <c r="J125" s="35" t="s">
        <v>972</v>
      </c>
      <c r="K125" s="21">
        <v>280000</v>
      </c>
      <c r="L125" s="21"/>
      <c r="M125" s="22">
        <f>(PROVEEDORES[[#This Row],[SUBTOTAL]]-PROVEEDORES[[#This Row],[descuento sobre subtotal]])*VLOOKUP(PROVEEDORES[[#This Row],[PROVEEDOR]],TERCEROS_INFO[#All],3,FALSE)</f>
        <v>0</v>
      </c>
      <c r="N125" s="23"/>
      <c r="O125" s="22">
        <f>+PROVEEDORES[[#This Row],[Descuento sobre subtotal %]]*(PROVEEDORES[[#This Row],[SUBTOTAL]]-PROVEEDORES[[#This Row],[descuento sobre subtotal]])</f>
        <v>0</v>
      </c>
      <c r="P125" s="72">
        <f>+IF(PROVEEDORES[[#This Row],[SUBTOTAL]]&lt;PROVEEDORES[[#This Row],[base retencion]],0,PROVEEDORES[[#This Row],[retención aplicada]])</f>
        <v>0</v>
      </c>
      <c r="Q125" s="22">
        <f>+PROVEEDORES[[#This Row],[Rete Fuente %]]*(PROVEEDORES[[#This Row],[SUBTOTAL]]-PROVEEDORES[[#This Row],[descuento sobre subtotal]])</f>
        <v>0</v>
      </c>
      <c r="R125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1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1">
        <f ca="1">IF(PROVEEDORES[[#This Row],[FECHA DE PAGO]]=0,TODAY()-PROVEEDORES[[#This Row],[FECHA DE FACTURACIÓN]]-PROVEEDORES[[#This Row],[PLAZO Días]],0)</f>
        <v>0</v>
      </c>
      <c r="U125" s="97">
        <f>+VLOOKUP(PROVEEDORES[[#This Row],[PROVEEDOR]],Terceros!$A:$D,4,FALSE)</f>
        <v>0</v>
      </c>
      <c r="V125" s="98">
        <f>+YEAR(PROVEEDORES[[#This Row],[FECHA DE FACTURACIÓN]])</f>
        <v>2023</v>
      </c>
      <c r="W125" s="98">
        <f>+MATCH(PROVEEDORES[[#This Row],[año facturado]],Retenciones!$1:$1,0)</f>
        <v>6</v>
      </c>
      <c r="X125" s="99">
        <f>+VLOOKUP(PROVEEDORES[[#This Row],[ID RETENCION]],Retenciones!$A$1:$O$25,PROVEEDORES[[#This Row],[indicador de columna]],FALSE)</f>
        <v>0</v>
      </c>
      <c r="Y125" s="100">
        <f>+VLOOKUP(PROVEEDORES[[#This Row],[ID RETENCION]],Retenciones!$A$1:$O$25,2,FALSE)</f>
        <v>0</v>
      </c>
      <c r="Z125" s="103" t="b">
        <f>OR(COUNTIF(PROVEEDORES[[#This Row],[PROVEEDOR]],"*"&amp;'Palabra no opera'!$A$2&amp;"*"))</f>
        <v>0</v>
      </c>
    </row>
    <row r="126" spans="1:26" ht="22.35" customHeight="1" x14ac:dyDescent="0.25">
      <c r="A126" s="65" t="str">
        <f>+IF(PROVEEDORES[[#This Row],[FECHA DE PAGO]]=PROVEEDORES[[#This Row],[FECHA DE FACTURACIÓN]],"DE CONTADO","CRÉDITO")</f>
        <v>CRÉDITO</v>
      </c>
      <c r="B126" s="38" t="b">
        <f>+IF((PROVEEDORES[[#This Row],[FECHA DE PAGO]]-PROVEEDORES[[#This Row],[FECHA DE FACTURACIÓN]])&gt;PROVEEDORES[[#This Row],[PLAZO Días]],"PAGO VENCIDO")</f>
        <v>0</v>
      </c>
      <c r="C126" s="20">
        <f>+VLOOKUP(PROVEEDORES[[#This Row],[PROVEEDOR]],TERCEROS_INFO[#All],2,FALSE)</f>
        <v>30</v>
      </c>
      <c r="D126" s="25">
        <f>+SUMIFS(PROVEEDORES[Total],PROVEEDORES[PROVEEDOR],PROVEEDORES[[#This Row],[PROVEEDOR]],PROVEEDORES[FECHA DE PAGO],"")</f>
        <v>0</v>
      </c>
      <c r="E126" s="25"/>
      <c r="F126" s="56" t="str">
        <f>+VLOOKUP(PROVEEDORES[[#This Row],[PROVEEDOR]],
                       Terceros!$A:$F,
                       5,
                       FALSE)</f>
        <v/>
      </c>
      <c r="G126" s="289">
        <v>45132</v>
      </c>
      <c r="H126" s="26" t="s">
        <v>566</v>
      </c>
      <c r="I126" s="289">
        <v>45131</v>
      </c>
      <c r="J126" s="35" t="s">
        <v>973</v>
      </c>
      <c r="K126" s="21">
        <v>330000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72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1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1">
        <f ca="1">IF(PROVEEDORES[[#This Row],[FECHA DE PAGO]]=0,TODAY()-PROVEEDORES[[#This Row],[FECHA DE FACTURACIÓN]]-PROVEEDORES[[#This Row],[PLAZO Días]],0)</f>
        <v>0</v>
      </c>
      <c r="U126" s="97">
        <f>+VLOOKUP(PROVEEDORES[[#This Row],[PROVEEDOR]],Terceros!$A:$D,4,FALSE)</f>
        <v>0</v>
      </c>
      <c r="V126" s="98">
        <f>+YEAR(PROVEEDORES[[#This Row],[FECHA DE FACTURACIÓN]])</f>
        <v>2023</v>
      </c>
      <c r="W126" s="98">
        <f>+MATCH(PROVEEDORES[[#This Row],[año facturado]],Retenciones!$1:$1,0)</f>
        <v>6</v>
      </c>
      <c r="X126" s="99">
        <f>+VLOOKUP(PROVEEDORES[[#This Row],[ID RETENCION]],Retenciones!$A$1:$O$25,PROVEEDORES[[#This Row],[indicador de columna]],FALSE)</f>
        <v>0</v>
      </c>
      <c r="Y126" s="100">
        <f>+VLOOKUP(PROVEEDORES[[#This Row],[ID RETENCION]],Retenciones!$A$1:$O$25,2,FALSE)</f>
        <v>0</v>
      </c>
      <c r="Z126" s="103" t="b">
        <f>OR(COUNTIF(PROVEEDORES[[#This Row],[PROVEEDOR]],"*"&amp;'Palabra no opera'!$A$2&amp;"*"))</f>
        <v>0</v>
      </c>
    </row>
    <row r="127" spans="1:26" ht="22.35" customHeight="1" x14ac:dyDescent="0.25">
      <c r="A127" s="227" t="str">
        <f>+IF(PROVEEDORES[[#This Row],[FECHA DE PAGO]]=PROVEEDORES[[#This Row],[FECHA DE FACTURACIÓN]],"DE CONTADO","CRÉDITO")</f>
        <v>DE CONTADO</v>
      </c>
      <c r="B127" s="38" t="b">
        <f>+IF((PROVEEDORES[[#This Row],[FECHA DE PAGO]]-PROVEEDORES[[#This Row],[FECHA DE FACTURACIÓN]])&gt;PROVEEDORES[[#This Row],[PLAZO Días]],"PAGO VENCIDO")</f>
        <v>0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6" t="str">
        <f>+VLOOKUP(PROVEEDORES[[#This Row],[PROVEEDOR]],
                       Terceros!$A:$F,
                       5,
                       FALSE)</f>
        <v/>
      </c>
      <c r="G127" s="289">
        <v>45157</v>
      </c>
      <c r="H127" s="26" t="s">
        <v>279</v>
      </c>
      <c r="I127" s="289">
        <v>45157</v>
      </c>
      <c r="J127" s="35" t="s">
        <v>1040</v>
      </c>
      <c r="K127" s="21">
        <v>50000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72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127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1">
        <f ca="1">IF(PROVEEDORES[[#This Row],[FECHA DE PAGO]]=0,TODAY()-PROVEEDORES[[#This Row],[FECHA DE FACTURACIÓN]]-PROVEEDORES[[#This Row],[PLAZO Días]],0)</f>
        <v>0</v>
      </c>
      <c r="U127" s="97">
        <f>+VLOOKUP(PROVEEDORES[[#This Row],[PROVEEDOR]],Terceros!$A:$D,4,FALSE)</f>
        <v>0</v>
      </c>
      <c r="V127" s="98">
        <f>+YEAR(PROVEEDORES[[#This Row],[FECHA DE FACTURACIÓN]])</f>
        <v>2023</v>
      </c>
      <c r="W127" s="98">
        <f>+MATCH(PROVEEDORES[[#This Row],[año facturado]],Retenciones!$1:$1,0)</f>
        <v>6</v>
      </c>
      <c r="X127" s="99">
        <f>+VLOOKUP(PROVEEDORES[[#This Row],[ID RETENCION]],Retenciones!$A$1:$O$25,PROVEEDORES[[#This Row],[indicador de columna]],FALSE)</f>
        <v>0</v>
      </c>
      <c r="Y127" s="100">
        <f>+VLOOKUP(PROVEEDORES[[#This Row],[ID RETENCION]],Retenciones!$A$1:$O$25,2,FALSE)</f>
        <v>0</v>
      </c>
      <c r="Z127" s="103" t="b">
        <f>OR(COUNTIF(PROVEEDORES[[#This Row],[PROVEEDOR]],"*"&amp;'Palabra no opera'!$A$2&amp;"*"))</f>
        <v>0</v>
      </c>
    </row>
    <row r="128" spans="1:26" ht="22.35" customHeight="1" x14ac:dyDescent="0.25">
      <c r="A128" s="227" t="str">
        <f>+IF(PROVEEDORES[[#This Row],[FECHA DE PAGO]]=PROVEEDORES[[#This Row],[FECHA DE FACTURACIÓN]],"DE CONTADO","CRÉDITO")</f>
        <v>DE CONTADO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0</v>
      </c>
      <c r="E128" s="25"/>
      <c r="F128" s="56" t="str">
        <f>+VLOOKUP(PROVEEDORES[[#This Row],[PROVEEDOR]],
                       Terceros!$A:$F,
                       5,
                       FALSE)</f>
        <v/>
      </c>
      <c r="G128" s="289">
        <v>45160</v>
      </c>
      <c r="H128" s="26" t="s">
        <v>279</v>
      </c>
      <c r="I128" s="289">
        <v>45160</v>
      </c>
      <c r="J128" s="35" t="s">
        <v>1039</v>
      </c>
      <c r="K128" s="21">
        <v>70000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72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128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1">
        <f ca="1">IF(PROVEEDORES[[#This Row],[FECHA DE PAGO]]=0,TODAY()-PROVEEDORES[[#This Row],[FECHA DE FACTURACIÓN]]-PROVEEDORES[[#This Row],[PLAZO Días]],0)</f>
        <v>0</v>
      </c>
      <c r="U128" s="97">
        <f>+VLOOKUP(PROVEEDORES[[#This Row],[PROVEEDOR]],Terceros!$A:$D,4,FALSE)</f>
        <v>0</v>
      </c>
      <c r="V128" s="98">
        <f>+YEAR(PROVEEDORES[[#This Row],[FECHA DE FACTURACIÓN]])</f>
        <v>2023</v>
      </c>
      <c r="W128" s="98">
        <f>+MATCH(PROVEEDORES[[#This Row],[año facturado]],Retenciones!$1:$1,0)</f>
        <v>6</v>
      </c>
      <c r="X128" s="99">
        <f>+VLOOKUP(PROVEEDORES[[#This Row],[ID RETENCION]],Retenciones!$A$1:$O$25,PROVEEDORES[[#This Row],[indicador de columna]],FALSE)</f>
        <v>0</v>
      </c>
      <c r="Y128" s="100">
        <f>+VLOOKUP(PROVEEDORES[[#This Row],[ID RETENCION]],Retenciones!$A$1:$O$25,2,FALSE)</f>
        <v>0</v>
      </c>
      <c r="Z128" s="103" t="b">
        <f>OR(COUNTIF(PROVEEDORES[[#This Row],[PROVEEDOR]],"*"&amp;'Palabra no opera'!$A$2&amp;"*"))</f>
        <v>0</v>
      </c>
    </row>
    <row r="129" spans="1:26" ht="22.35" customHeight="1" x14ac:dyDescent="0.25">
      <c r="A129" s="229" t="str">
        <f>+IF(PROVEEDORES[[#This Row],[FECHA DE PAGO]]=PROVEEDORES[[#This Row],[FECHA DE FACTURACIÓN]],"DE CONTADO","CRÉDITO")</f>
        <v>DE CONTADO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0</v>
      </c>
      <c r="E129" s="25"/>
      <c r="F129" s="56" t="str">
        <f>+VLOOKUP(PROVEEDORES[[#This Row],[PROVEEDOR]],
                       Terceros!$A:$F,
                       5,
                       FALSE)</f>
        <v/>
      </c>
      <c r="G129" s="289">
        <v>45169</v>
      </c>
      <c r="H129" s="26" t="s">
        <v>279</v>
      </c>
      <c r="I129" s="289">
        <v>45169</v>
      </c>
      <c r="J129" s="35" t="s">
        <v>1079</v>
      </c>
      <c r="K129" s="21">
        <v>60000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72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29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1">
        <f ca="1">IF(PROVEEDORES[[#This Row],[FECHA DE PAGO]]=0,TODAY()-PROVEEDORES[[#This Row],[FECHA DE FACTURACIÓN]]-PROVEEDORES[[#This Row],[PLAZO Días]],0)</f>
        <v>0</v>
      </c>
      <c r="U129" s="97">
        <f>+VLOOKUP(PROVEEDORES[[#This Row],[PROVEEDOR]],Terceros!$A:$D,4,FALSE)</f>
        <v>0</v>
      </c>
      <c r="V129" s="98">
        <f>+YEAR(PROVEEDORES[[#This Row],[FECHA DE FACTURACIÓN]])</f>
        <v>2023</v>
      </c>
      <c r="W129" s="98">
        <f>+MATCH(PROVEEDORES[[#This Row],[año facturado]],Retenciones!$1:$1,0)</f>
        <v>6</v>
      </c>
      <c r="X129" s="99">
        <f>+VLOOKUP(PROVEEDORES[[#This Row],[ID RETENCION]],Retenciones!$A$1:$O$25,PROVEEDORES[[#This Row],[indicador de columna]],FALSE)</f>
        <v>0</v>
      </c>
      <c r="Y129" s="100">
        <f>+VLOOKUP(PROVEEDORES[[#This Row],[ID RETENCION]],Retenciones!$A$1:$O$25,2,FALSE)</f>
        <v>0</v>
      </c>
      <c r="Z129" s="103" t="b">
        <f>OR(COUNTIF(PROVEEDORES[[#This Row],[PROVEEDOR]],"*"&amp;'Palabra no opera'!$A$2&amp;"*"))</f>
        <v>0</v>
      </c>
    </row>
    <row r="130" spans="1:26" ht="22.35" customHeight="1" x14ac:dyDescent="0.25">
      <c r="A130" s="229" t="str">
        <f>+IF(PROVEEDORES[[#This Row],[FECHA DE PAGO]]=PROVEEDORES[[#This Row],[FECHA DE FACTURACIÓN]],"DE CONTADO","CRÉDITO")</f>
        <v>DE CONTADO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0</v>
      </c>
      <c r="E130" s="25"/>
      <c r="F130" s="56" t="str">
        <f>+VLOOKUP(PROVEEDORES[[#This Row],[PROVEEDOR]],
                       Terceros!$A:$F,
                       5,
                       FALSE)</f>
        <v/>
      </c>
      <c r="G130" s="289">
        <v>45169</v>
      </c>
      <c r="H130" s="26" t="s">
        <v>279</v>
      </c>
      <c r="I130" s="289">
        <v>45169</v>
      </c>
      <c r="J130" s="35" t="s">
        <v>517</v>
      </c>
      <c r="K130" s="21">
        <v>1304150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72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f>+PROVEEDORES[[#This Row],[SUBTOTAL]]+PROVEEDORES[[#This Row],[IVA 19%]]-PROVEEDORES[[#This Row],[descuento sobre subtotal]]-PROVEEDORES[[#This Row],[Descuento sobre subtotal $2]]-PROVEEDORES[[#This Row],[Rete Fuente $]]</f>
        <v>1304150</v>
      </c>
      <c r="S130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1">
        <f ca="1">IF(PROVEEDORES[[#This Row],[FECHA DE PAGO]]=0,TODAY()-PROVEEDORES[[#This Row],[FECHA DE FACTURACIÓN]]-PROVEEDORES[[#This Row],[PLAZO Días]],0)</f>
        <v>0</v>
      </c>
      <c r="U130" s="97">
        <f>+VLOOKUP(PROVEEDORES[[#This Row],[PROVEEDOR]],Terceros!$A:$D,4,FALSE)</f>
        <v>0</v>
      </c>
      <c r="V130" s="98">
        <f>+YEAR(PROVEEDORES[[#This Row],[FECHA DE FACTURACIÓN]])</f>
        <v>2023</v>
      </c>
      <c r="W130" s="98">
        <f>+MATCH(PROVEEDORES[[#This Row],[año facturado]],Retenciones!$1:$1,0)</f>
        <v>6</v>
      </c>
      <c r="X130" s="99">
        <f>+VLOOKUP(PROVEEDORES[[#This Row],[ID RETENCION]],Retenciones!$A$1:$O$25,PROVEEDORES[[#This Row],[indicador de columna]],FALSE)</f>
        <v>0</v>
      </c>
      <c r="Y130" s="100">
        <f>+VLOOKUP(PROVEEDORES[[#This Row],[ID RETENCION]],Retenciones!$A$1:$O$25,2,FALSE)</f>
        <v>0</v>
      </c>
      <c r="Z130" s="103" t="b">
        <f>OR(COUNTIF(PROVEEDORES[[#This Row],[PROVEEDOR]],"*"&amp;'Palabra no opera'!$A$2&amp;"*"))</f>
        <v>0</v>
      </c>
    </row>
    <row r="131" spans="1:26" ht="22.35" customHeight="1" x14ac:dyDescent="0.25">
      <c r="A131" s="229" t="str">
        <f>+IF(PROVEEDORES[[#This Row],[FECHA DE PAGO]]=PROVEEDORES[[#This Row],[FECHA DE FACTURACIÓN]],"DE CONTADO","CRÉDITO")</f>
        <v>DE CONTADO</v>
      </c>
      <c r="B131" s="38" t="b">
        <f>+IF((PROVEEDORES[[#This Row],[FECHA DE PAGO]]-PROVEEDORES[[#This Row],[FECHA DE FACTURACIÓN]])&gt;PROVEEDORES[[#This Row],[PLAZO Días]],"PAGO VENCIDO")</f>
        <v>0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0</v>
      </c>
      <c r="E131" s="25"/>
      <c r="F131" s="56" t="str">
        <f>+VLOOKUP(PROVEEDORES[[#This Row],[PROVEEDOR]],
                       Terceros!$A:$F,
                       5,
                       FALSE)</f>
        <v/>
      </c>
      <c r="G131" s="289">
        <v>45169</v>
      </c>
      <c r="H131" s="26" t="s">
        <v>279</v>
      </c>
      <c r="I131" s="289">
        <v>45169</v>
      </c>
      <c r="J131" s="35" t="s">
        <v>518</v>
      </c>
      <c r="K131" s="21">
        <v>4238550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72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f>+PROVEEDORES[[#This Row],[SUBTOTAL]]+PROVEEDORES[[#This Row],[IVA 19%]]-PROVEEDORES[[#This Row],[descuento sobre subtotal]]-PROVEEDORES[[#This Row],[Descuento sobre subtotal $2]]-PROVEEDORES[[#This Row],[Rete Fuente $]]</f>
        <v>4238550</v>
      </c>
      <c r="S131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1">
        <f ca="1">IF(PROVEEDORES[[#This Row],[FECHA DE PAGO]]=0,TODAY()-PROVEEDORES[[#This Row],[FECHA DE FACTURACIÓN]]-PROVEEDORES[[#This Row],[PLAZO Días]],0)</f>
        <v>0</v>
      </c>
      <c r="U131" s="97">
        <f>+VLOOKUP(PROVEEDORES[[#This Row],[PROVEEDOR]],Terceros!$A:$D,4,FALSE)</f>
        <v>0</v>
      </c>
      <c r="V131" s="98">
        <f>+YEAR(PROVEEDORES[[#This Row],[FECHA DE FACTURACIÓN]])</f>
        <v>2023</v>
      </c>
      <c r="W131" s="98">
        <f>+MATCH(PROVEEDORES[[#This Row],[año facturado]],Retenciones!$1:$1,0)</f>
        <v>6</v>
      </c>
      <c r="X131" s="99">
        <f>+VLOOKUP(PROVEEDORES[[#This Row],[ID RETENCION]],Retenciones!$A$1:$O$25,PROVEEDORES[[#This Row],[indicador de columna]],FALSE)</f>
        <v>0</v>
      </c>
      <c r="Y131" s="100">
        <f>+VLOOKUP(PROVEEDORES[[#This Row],[ID RETENCION]],Retenciones!$A$1:$O$25,2,FALSE)</f>
        <v>0</v>
      </c>
      <c r="Z131" s="103" t="b">
        <f>OR(COUNTIF(PROVEEDORES[[#This Row],[PROVEEDOR]],"*"&amp;'Palabra no opera'!$A$2&amp;"*"))</f>
        <v>0</v>
      </c>
    </row>
    <row r="132" spans="1:26" ht="22.35" customHeight="1" x14ac:dyDescent="0.25">
      <c r="A132" s="229" t="str">
        <f>+IF(PROVEEDORES[[#This Row],[FECHA DE PAGO]]=PROVEEDORES[[#This Row],[FECHA DE FACTURACIÓN]],"DE CONTADO","CRÉDITO")</f>
        <v>DE CONTADO</v>
      </c>
      <c r="B132" s="38" t="b">
        <f>+IF((PROVEEDORES[[#This Row],[FECHA DE PAGO]]-PROVEEDORES[[#This Row],[FECHA DE FACTURACIÓN]])&gt;PROVEEDORES[[#This Row],[PLAZO Días]],"PAGO VENCIDO")</f>
        <v>0</v>
      </c>
      <c r="C132" s="20">
        <f>+VLOOKUP(PROVEEDORES[[#This Row],[PROVEEDOR]],TERCEROS_INFO[#All],2,FALSE)</f>
        <v>30</v>
      </c>
      <c r="D132" s="25">
        <f>+SUMIFS(PROVEEDORES[Total],PROVEEDORES[PROVEEDOR],PROVEEDORES[[#This Row],[PROVEEDOR]],PROVEEDORES[FECHA DE PAGO],"")</f>
        <v>0</v>
      </c>
      <c r="E132" s="25"/>
      <c r="F132" s="56" t="str">
        <f>+VLOOKUP(PROVEEDORES[[#This Row],[PROVEEDOR]],
                       Terceros!$A:$F,
                       5,
                       FALSE)</f>
        <v/>
      </c>
      <c r="G132" s="289">
        <v>45169</v>
      </c>
      <c r="H132" s="26" t="s">
        <v>279</v>
      </c>
      <c r="I132" s="289">
        <v>45169</v>
      </c>
      <c r="J132" s="35" t="s">
        <v>516</v>
      </c>
      <c r="K132" s="21">
        <v>427000</v>
      </c>
      <c r="L132" s="21"/>
      <c r="M132" s="22">
        <f>(PROVEEDORES[[#This Row],[SUBTOTAL]]-PROVEEDORES[[#This Row],[descuento sobre subtotal]])*VLOOKUP(PROVEEDORES[[#This Row],[PROVEEDOR]],TERCEROS_INFO[#All],3,FALSE)</f>
        <v>0</v>
      </c>
      <c r="N132" s="23"/>
      <c r="O132" s="22">
        <f>+PROVEEDORES[[#This Row],[Descuento sobre subtotal %]]*(PROVEEDORES[[#This Row],[SUBTOTAL]]-PROVEEDORES[[#This Row],[descuento sobre subtotal]])</f>
        <v>0</v>
      </c>
      <c r="P132" s="72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f>+PROVEEDORES[[#This Row],[SUBTOTAL]]+PROVEEDORES[[#This Row],[IVA 19%]]-PROVEEDORES[[#This Row],[descuento sobre subtotal]]-PROVEEDORES[[#This Row],[Descuento sobre subtotal $2]]-PROVEEDORES[[#This Row],[Rete Fuente $]]</f>
        <v>427000</v>
      </c>
      <c r="S132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1">
        <f ca="1">IF(PROVEEDORES[[#This Row],[FECHA DE PAGO]]=0,TODAY()-PROVEEDORES[[#This Row],[FECHA DE FACTURACIÓN]]-PROVEEDORES[[#This Row],[PLAZO Días]],0)</f>
        <v>0</v>
      </c>
      <c r="U132" s="97">
        <f>+VLOOKUP(PROVEEDORES[[#This Row],[PROVEEDOR]],Terceros!$A:$D,4,FALSE)</f>
        <v>0</v>
      </c>
      <c r="V132" s="98">
        <f>+YEAR(PROVEEDORES[[#This Row],[FECHA DE FACTURACIÓN]])</f>
        <v>2023</v>
      </c>
      <c r="W132" s="98">
        <f>+MATCH(PROVEEDORES[[#This Row],[año facturado]],Retenciones!$1:$1,0)</f>
        <v>6</v>
      </c>
      <c r="X132" s="99">
        <f>+VLOOKUP(PROVEEDORES[[#This Row],[ID RETENCION]],Retenciones!$A$1:$O$25,PROVEEDORES[[#This Row],[indicador de columna]],FALSE)</f>
        <v>0</v>
      </c>
      <c r="Y132" s="100">
        <f>+VLOOKUP(PROVEEDORES[[#This Row],[ID RETENCION]],Retenciones!$A$1:$O$25,2,FALSE)</f>
        <v>0</v>
      </c>
      <c r="Z132" s="103" t="b">
        <f>OR(COUNTIF(PROVEEDORES[[#This Row],[PROVEEDOR]],"*"&amp;'Palabra no opera'!$A$2&amp;"*"))</f>
        <v>0</v>
      </c>
    </row>
    <row r="133" spans="1:26" ht="22.35" customHeight="1" x14ac:dyDescent="0.25">
      <c r="A133" s="229" t="str">
        <f>+IF(PROVEEDORES[[#This Row],[FECHA DE PAGO]]=PROVEEDORES[[#This Row],[FECHA DE FACTURACIÓN]],"DE CONTADO","CRÉDITO")</f>
        <v>DE CONTADO</v>
      </c>
      <c r="B133" s="38" t="b">
        <f>+IF((PROVEEDORES[[#This Row],[FECHA DE PAGO]]-PROVEEDORES[[#This Row],[FECHA DE FACTURACIÓN]])&gt;PROVEEDORES[[#This Row],[PLAZO Días]],"PAGO VENCIDO")</f>
        <v>0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6" t="str">
        <f>+VLOOKUP(PROVEEDORES[[#This Row],[PROVEEDOR]],
                       Terceros!$A:$F,
                       5,
                       FALSE)</f>
        <v/>
      </c>
      <c r="G133" s="289">
        <v>45169</v>
      </c>
      <c r="H133" s="26" t="s">
        <v>279</v>
      </c>
      <c r="I133" s="289">
        <v>45169</v>
      </c>
      <c r="J133" s="35" t="s">
        <v>520</v>
      </c>
      <c r="K133" s="21">
        <v>646000</v>
      </c>
      <c r="L133" s="21"/>
      <c r="M133" s="22">
        <f>(PROVEEDORES[[#This Row],[SUBTOTAL]]-PROVEEDORES[[#This Row],[descuento sobre subtotal]])*VLOOKUP(PROVEEDORES[[#This Row],[PROVEEDOR]],TERCEROS_INFO[#All],3,FALSE)</f>
        <v>0</v>
      </c>
      <c r="N133" s="23"/>
      <c r="O133" s="22">
        <f>+PROVEEDORES[[#This Row],[Descuento sobre subtotal %]]*(PROVEEDORES[[#This Row],[SUBTOTAL]]-PROVEEDORES[[#This Row],[descuento sobre subtotal]])</f>
        <v>0</v>
      </c>
      <c r="P133" s="72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f>+PROVEEDORES[[#This Row],[SUBTOTAL]]+PROVEEDORES[[#This Row],[IVA 19%]]-PROVEEDORES[[#This Row],[descuento sobre subtotal]]-PROVEEDORES[[#This Row],[Descuento sobre subtotal $2]]-PROVEEDORES[[#This Row],[Rete Fuente $]]</f>
        <v>646000</v>
      </c>
      <c r="S133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1">
        <f ca="1">IF(PROVEEDORES[[#This Row],[FECHA DE PAGO]]=0,TODAY()-PROVEEDORES[[#This Row],[FECHA DE FACTURACIÓN]]-PROVEEDORES[[#This Row],[PLAZO Días]],0)</f>
        <v>0</v>
      </c>
      <c r="U133" s="97">
        <f>+VLOOKUP(PROVEEDORES[[#This Row],[PROVEEDOR]],Terceros!$A:$D,4,FALSE)</f>
        <v>0</v>
      </c>
      <c r="V133" s="98">
        <f>+YEAR(PROVEEDORES[[#This Row],[FECHA DE FACTURACIÓN]])</f>
        <v>2023</v>
      </c>
      <c r="W133" s="98">
        <f>+MATCH(PROVEEDORES[[#This Row],[año facturado]],Retenciones!$1:$1,0)</f>
        <v>6</v>
      </c>
      <c r="X133" s="99">
        <f>+VLOOKUP(PROVEEDORES[[#This Row],[ID RETENCION]],Retenciones!$A$1:$O$25,PROVEEDORES[[#This Row],[indicador de columna]],FALSE)</f>
        <v>0</v>
      </c>
      <c r="Y133" s="100">
        <f>+VLOOKUP(PROVEEDORES[[#This Row],[ID RETENCION]],Retenciones!$A$1:$O$25,2,FALSE)</f>
        <v>0</v>
      </c>
      <c r="Z133" s="103" t="b">
        <f>OR(COUNTIF(PROVEEDORES[[#This Row],[PROVEEDOR]],"*"&amp;'Palabra no opera'!$A$2&amp;"*"))</f>
        <v>0</v>
      </c>
    </row>
    <row r="134" spans="1:26" ht="22.35" customHeight="1" x14ac:dyDescent="0.25">
      <c r="A134" s="229" t="str">
        <f>+IF(PROVEEDORES[[#This Row],[FECHA DE PAGO]]=PROVEEDORES[[#This Row],[FECHA DE FACTURACIÓN]],"DE CONTADO","CRÉDITO")</f>
        <v>DE CONTADO</v>
      </c>
      <c r="B134" s="38" t="b">
        <f>+IF((PROVEEDORES[[#This Row],[FECHA DE PAGO]]-PROVEEDORES[[#This Row],[FECHA DE FACTURACIÓN]])&gt;PROVEEDORES[[#This Row],[PLAZO Días]],"PAGO VENCIDO")</f>
        <v>0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0</v>
      </c>
      <c r="E134" s="25"/>
      <c r="F134" s="56" t="str">
        <f>+VLOOKUP(PROVEEDORES[[#This Row],[PROVEEDOR]],
                       Terceros!$A:$F,
                       5,
                       FALSE)</f>
        <v/>
      </c>
      <c r="G134" s="289">
        <v>45169</v>
      </c>
      <c r="H134" s="26" t="s">
        <v>279</v>
      </c>
      <c r="I134" s="289">
        <v>45169</v>
      </c>
      <c r="J134" s="35" t="s">
        <v>519</v>
      </c>
      <c r="K134" s="21">
        <v>165300</v>
      </c>
      <c r="L134" s="21"/>
      <c r="M134" s="22">
        <f>(PROVEEDORES[[#This Row],[SUBTOTAL]]-PROVEEDORES[[#This Row],[descuento sobre subtotal]])*VLOOKUP(PROVEEDORES[[#This Row],[PROVEEDOR]],TERCEROS_INFO[#All],3,FALSE)</f>
        <v>0</v>
      </c>
      <c r="N134" s="23"/>
      <c r="O134" s="22">
        <f>+PROVEEDORES[[#This Row],[Descuento sobre subtotal %]]*(PROVEEDORES[[#This Row],[SUBTOTAL]]-PROVEEDORES[[#This Row],[descuento sobre subtotal]])</f>
        <v>0</v>
      </c>
      <c r="P134" s="72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f>+PROVEEDORES[[#This Row],[SUBTOTAL]]+PROVEEDORES[[#This Row],[IVA 19%]]-PROVEEDORES[[#This Row],[descuento sobre subtotal]]-PROVEEDORES[[#This Row],[Descuento sobre subtotal $2]]-PROVEEDORES[[#This Row],[Rete Fuente $]]</f>
        <v>165300</v>
      </c>
      <c r="S134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1">
        <f ca="1">IF(PROVEEDORES[[#This Row],[FECHA DE PAGO]]=0,TODAY()-PROVEEDORES[[#This Row],[FECHA DE FACTURACIÓN]]-PROVEEDORES[[#This Row],[PLAZO Días]],0)</f>
        <v>0</v>
      </c>
      <c r="U134" s="97">
        <f>+VLOOKUP(PROVEEDORES[[#This Row],[PROVEEDOR]],Terceros!$A:$D,4,FALSE)</f>
        <v>0</v>
      </c>
      <c r="V134" s="98">
        <f>+YEAR(PROVEEDORES[[#This Row],[FECHA DE FACTURACIÓN]])</f>
        <v>2023</v>
      </c>
      <c r="W134" s="98">
        <f>+MATCH(PROVEEDORES[[#This Row],[año facturado]],Retenciones!$1:$1,0)</f>
        <v>6</v>
      </c>
      <c r="X134" s="99">
        <f>+VLOOKUP(PROVEEDORES[[#This Row],[ID RETENCION]],Retenciones!$A$1:$O$25,PROVEEDORES[[#This Row],[indicador de columna]],FALSE)</f>
        <v>0</v>
      </c>
      <c r="Y134" s="100">
        <f>+VLOOKUP(PROVEEDORES[[#This Row],[ID RETENCION]],Retenciones!$A$1:$O$25,2,FALSE)</f>
        <v>0</v>
      </c>
      <c r="Z134" s="103" t="b">
        <f>OR(COUNTIF(PROVEEDORES[[#This Row],[PROVEEDOR]],"*"&amp;'Palabra no opera'!$A$2&amp;"*"))</f>
        <v>0</v>
      </c>
    </row>
    <row r="135" spans="1:26" ht="22.35" customHeight="1" x14ac:dyDescent="0.25">
      <c r="A135" s="229" t="str">
        <f>+IF(PROVEEDORES[[#This Row],[FECHA DE PAGO]]=PROVEEDORES[[#This Row],[FECHA DE FACTURACIÓN]],"DE CONTADO","CRÉDITO")</f>
        <v>DE CONTADO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6" t="str">
        <f>+VLOOKUP(PROVEEDORES[[#This Row],[PROVEEDOR]],
                       Terceros!$A:$F,
                       5,
                       FALSE)</f>
        <v/>
      </c>
      <c r="G135" s="289">
        <v>45169</v>
      </c>
      <c r="H135" s="26" t="s">
        <v>279</v>
      </c>
      <c r="I135" s="289">
        <v>45169</v>
      </c>
      <c r="J135" s="35" t="s">
        <v>545</v>
      </c>
      <c r="K135" s="21">
        <v>214000</v>
      </c>
      <c r="L135" s="21"/>
      <c r="M135" s="22">
        <f>(PROVEEDORES[[#This Row],[SUBTOTAL]]-PROVEEDORES[[#This Row],[descuento sobre subtotal]])*VLOOKUP(PROVEEDORES[[#This Row],[PROVEEDOR]],TERCEROS_INFO[#All],3,FALSE)</f>
        <v>0</v>
      </c>
      <c r="N135" s="23"/>
      <c r="O135" s="22">
        <f>+PROVEEDORES[[#This Row],[Descuento sobre subtotal %]]*(PROVEEDORES[[#This Row],[SUBTOTAL]]-PROVEEDORES[[#This Row],[descuento sobre subtotal]])</f>
        <v>0</v>
      </c>
      <c r="P135" s="72">
        <f>+IF(PROVEEDORES[[#This Row],[SUBTOTAL]]&lt;PROVEEDORES[[#This Row],[base retencion]],0,PROVEEDORES[[#This Row],[retención aplicada]])</f>
        <v>0</v>
      </c>
      <c r="Q135" s="22">
        <f>+PROVEEDORES[[#This Row],[Rete Fuente %]]*(PROVEEDORES[[#This Row],[SUBTOTAL]]-PROVEEDORES[[#This Row],[descuento sobre subtotal]])</f>
        <v>0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214000</v>
      </c>
      <c r="S135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1">
        <f ca="1">IF(PROVEEDORES[[#This Row],[FECHA DE PAGO]]=0,TODAY()-PROVEEDORES[[#This Row],[FECHA DE FACTURACIÓN]]-PROVEEDORES[[#This Row],[PLAZO Días]],0)</f>
        <v>0</v>
      </c>
      <c r="U135" s="97">
        <f>+VLOOKUP(PROVEEDORES[[#This Row],[PROVEEDOR]],Terceros!$A:$D,4,FALSE)</f>
        <v>0</v>
      </c>
      <c r="V135" s="98">
        <f>+YEAR(PROVEEDORES[[#This Row],[FECHA DE FACTURACIÓN]])</f>
        <v>2023</v>
      </c>
      <c r="W135" s="98">
        <f>+MATCH(PROVEEDORES[[#This Row],[año facturado]],Retenciones!$1:$1,0)</f>
        <v>6</v>
      </c>
      <c r="X135" s="99">
        <f>+VLOOKUP(PROVEEDORES[[#This Row],[ID RETENCION]],Retenciones!$A$1:$O$25,PROVEEDORES[[#This Row],[indicador de columna]],FALSE)</f>
        <v>0</v>
      </c>
      <c r="Y135" s="100">
        <f>+VLOOKUP(PROVEEDORES[[#This Row],[ID RETENCION]],Retenciones!$A$1:$O$25,2,FALSE)</f>
        <v>0</v>
      </c>
      <c r="Z135" s="103" t="b">
        <f>OR(COUNTIF(PROVEEDORES[[#This Row],[PROVEEDOR]],"*"&amp;'Palabra no opera'!$A$2&amp;"*"))</f>
        <v>0</v>
      </c>
    </row>
    <row r="136" spans="1:26" ht="22.35" customHeight="1" x14ac:dyDescent="0.25">
      <c r="A136" s="243" t="str">
        <f>+IF(PROVEEDORES[[#This Row],[FECHA DE PAGO]]=PROVEEDORES[[#This Row],[FECHA DE FACTURACIÓN]],"DE CONTADO","CRÉDITO")</f>
        <v>DE CONTADO</v>
      </c>
      <c r="B136" s="38" t="b">
        <f>+IF((PROVEEDORES[[#This Row],[FECHA DE PAGO]]-PROVEEDORES[[#This Row],[FECHA DE FACTURACIÓN]])&gt;PROVEEDORES[[#This Row],[PLAZO Días]],"PAGO VENCIDO")</f>
        <v>0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0</v>
      </c>
      <c r="E136" s="25"/>
      <c r="F136" s="56" t="str">
        <f>+VLOOKUP(PROVEEDORES[[#This Row],[PROVEEDOR]],
                       Terceros!$A:$F,
                       5,
                       FALSE)</f>
        <v/>
      </c>
      <c r="G136" s="289">
        <v>45183</v>
      </c>
      <c r="H136" s="26" t="s">
        <v>279</v>
      </c>
      <c r="I136" s="289">
        <v>45183</v>
      </c>
      <c r="J136" s="35" t="s">
        <v>1145</v>
      </c>
      <c r="K136" s="21">
        <v>171400</v>
      </c>
      <c r="L136" s="21"/>
      <c r="M136" s="22">
        <f>(PROVEEDORES[[#This Row],[SUBTOTAL]]-PROVEEDORES[[#This Row],[descuento sobre subtotal]])*VLOOKUP(PROVEEDORES[[#This Row],[PROVEEDOR]],TERCEROS_INFO[#All],3,FALSE)</f>
        <v>0</v>
      </c>
      <c r="N136" s="23"/>
      <c r="O136" s="22">
        <f>+PROVEEDORES[[#This Row],[Descuento sobre subtotal %]]*(PROVEEDORES[[#This Row],[SUBTOTAL]]-PROVEEDORES[[#This Row],[descuento sobre subtotal]])</f>
        <v>0</v>
      </c>
      <c r="P136" s="72">
        <f>+IF(PROVEEDORES[[#This Row],[SUBTOTAL]]&lt;PROVEEDORES[[#This Row],[base retencion]],0,PROVEEDORES[[#This Row],[retención aplicada]])</f>
        <v>0</v>
      </c>
      <c r="Q136" s="22">
        <f>+PROVEEDORES[[#This Row],[Rete Fuente %]]*(PROVEEDORES[[#This Row],[SUBTOTAL]]-PROVEEDORES[[#This Row],[descuento sobre subtotal]])</f>
        <v>0</v>
      </c>
      <c r="R136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136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1">
        <f ca="1">IF(PROVEEDORES[[#This Row],[FECHA DE PAGO]]=0,TODAY()-PROVEEDORES[[#This Row],[FECHA DE FACTURACIÓN]]-PROVEEDORES[[#This Row],[PLAZO Días]],0)</f>
        <v>0</v>
      </c>
      <c r="U136" s="97">
        <f>+VLOOKUP(PROVEEDORES[[#This Row],[PROVEEDOR]],Terceros!$A:$D,4,FALSE)</f>
        <v>0</v>
      </c>
      <c r="V136" s="98">
        <f>+YEAR(PROVEEDORES[[#This Row],[FECHA DE FACTURACIÓN]])</f>
        <v>2023</v>
      </c>
      <c r="W136" s="98">
        <f>+MATCH(PROVEEDORES[[#This Row],[año facturado]],Retenciones!$1:$1,0)</f>
        <v>6</v>
      </c>
      <c r="X136" s="99">
        <f>+VLOOKUP(PROVEEDORES[[#This Row],[ID RETENCION]],Retenciones!$A$1:$O$25,PROVEEDORES[[#This Row],[indicador de columna]],FALSE)</f>
        <v>0</v>
      </c>
      <c r="Y136" s="100">
        <f>+VLOOKUP(PROVEEDORES[[#This Row],[ID RETENCION]],Retenciones!$A$1:$O$25,2,FALSE)</f>
        <v>0</v>
      </c>
      <c r="Z136" s="103" t="b">
        <f>OR(COUNTIF(PROVEEDORES[[#This Row],[PROVEEDOR]],"*"&amp;'Palabra no opera'!$A$2&amp;"*"))</f>
        <v>0</v>
      </c>
    </row>
    <row r="137" spans="1:26" ht="22.35" customHeight="1" x14ac:dyDescent="0.25">
      <c r="A137" s="243" t="str">
        <f>+IF(PROVEEDORES[[#This Row],[FECHA DE PAGO]]=PROVEEDORES[[#This Row],[FECHA DE FACTURACIÓN]],"DE CONTADO","CRÉDITO")</f>
        <v>DE CONTADO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6" t="str">
        <f>+VLOOKUP(PROVEEDORES[[#This Row],[PROVEEDOR]],
                       Terceros!$A:$F,
                       5,
                       FALSE)</f>
        <v/>
      </c>
      <c r="G137" s="289">
        <v>45195</v>
      </c>
      <c r="H137" s="26" t="s">
        <v>279</v>
      </c>
      <c r="I137" s="289">
        <v>45195</v>
      </c>
      <c r="J137" s="35" t="s">
        <v>1151</v>
      </c>
      <c r="K137" s="21">
        <v>708000</v>
      </c>
      <c r="L137" s="21"/>
      <c r="M137" s="22">
        <f>(PROVEEDORES[[#This Row],[SUBTOTAL]]-PROVEEDORES[[#This Row],[descuento sobre subtotal]])*VLOOKUP(PROVEEDORES[[#This Row],[PROVEEDOR]],TERCEROS_INFO[#All],3,FALSE)</f>
        <v>0</v>
      </c>
      <c r="N137" s="23"/>
      <c r="O137" s="22">
        <f>+PROVEEDORES[[#This Row],[Descuento sobre subtotal %]]*(PROVEEDORES[[#This Row],[SUBTOTAL]]-PROVEEDORES[[#This Row],[descuento sobre subtotal]])</f>
        <v>0</v>
      </c>
      <c r="P137" s="72">
        <f>+IF(PROVEEDORES[[#This Row],[SUBTOTAL]]&lt;PROVEEDORES[[#This Row],[base retencion]],0,PROVEEDORES[[#This Row],[retención aplicada]])</f>
        <v>0</v>
      </c>
      <c r="Q137" s="22">
        <f>+PROVEEDORES[[#This Row],[Rete Fuente %]]*(PROVEEDORES[[#This Row],[SUBTOTAL]]-PROVEEDORES[[#This Row],[descuento sobre subtotal]])</f>
        <v>0</v>
      </c>
      <c r="R137" s="21">
        <f>+PROVEEDORES[[#This Row],[SUBTOTAL]]+PROVEEDORES[[#This Row],[IVA 19%]]-PROVEEDORES[[#This Row],[descuento sobre subtotal]]-PROVEEDORES[[#This Row],[Descuento sobre subtotal $2]]-PROVEEDORES[[#This Row],[Rete Fuente $]]</f>
        <v>708000</v>
      </c>
      <c r="S137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1">
        <f ca="1">IF(PROVEEDORES[[#This Row],[FECHA DE PAGO]]=0,TODAY()-PROVEEDORES[[#This Row],[FECHA DE FACTURACIÓN]]-PROVEEDORES[[#This Row],[PLAZO Días]],0)</f>
        <v>0</v>
      </c>
      <c r="U137" s="97">
        <f>+VLOOKUP(PROVEEDORES[[#This Row],[PROVEEDOR]],Terceros!$A:$D,4,FALSE)</f>
        <v>0</v>
      </c>
      <c r="V137" s="98">
        <f>+YEAR(PROVEEDORES[[#This Row],[FECHA DE FACTURACIÓN]])</f>
        <v>2023</v>
      </c>
      <c r="W137" s="98">
        <f>+MATCH(PROVEEDORES[[#This Row],[año facturado]],Retenciones!$1:$1,0)</f>
        <v>6</v>
      </c>
      <c r="X137" s="99">
        <f>+VLOOKUP(PROVEEDORES[[#This Row],[ID RETENCION]],Retenciones!$A$1:$O$25,PROVEEDORES[[#This Row],[indicador de columna]],FALSE)</f>
        <v>0</v>
      </c>
      <c r="Y137" s="100">
        <f>+VLOOKUP(PROVEEDORES[[#This Row],[ID RETENCION]],Retenciones!$A$1:$O$25,2,FALSE)</f>
        <v>0</v>
      </c>
      <c r="Z137" s="103" t="b">
        <f>OR(COUNTIF(PROVEEDORES[[#This Row],[PROVEEDOR]],"*"&amp;'Palabra no opera'!$A$2&amp;"*"))</f>
        <v>0</v>
      </c>
    </row>
    <row r="138" spans="1:26" ht="22.35" customHeight="1" x14ac:dyDescent="0.25">
      <c r="A138" s="243" t="str">
        <f>+IF(PROVEEDORES[[#This Row],[FECHA DE PAGO]]=PROVEEDORES[[#This Row],[FECHA DE FACTURACIÓN]],"DE CONTADO","CRÉDITO")</f>
        <v>DE CONTADO</v>
      </c>
      <c r="B138" s="38" t="b">
        <f>+IF((PROVEEDORES[[#This Row],[FECHA DE PAGO]]-PROVEEDORES[[#This Row],[FECHA DE FACTURACIÓN]])&gt;PROVEEDORES[[#This Row],[PLAZO Días]],"PAGO VENCIDO")</f>
        <v>0</v>
      </c>
      <c r="C138" s="20">
        <f>+VLOOKUP(PROVEEDORES[[#This Row],[PROVEEDOR]],TERCEROS_INFO[#All],2,FALSE)</f>
        <v>30</v>
      </c>
      <c r="D138" s="25">
        <f>+SUMIFS(PROVEEDORES[Total],PROVEEDORES[PROVEEDOR],PROVEEDORES[[#This Row],[PROVEEDOR]],PROVEEDORES[FECHA DE PAGO],"")</f>
        <v>0</v>
      </c>
      <c r="E138" s="25"/>
      <c r="F138" s="56" t="str">
        <f>+VLOOKUP(PROVEEDORES[[#This Row],[PROVEEDOR]],
                       Terceros!$A:$F,
                       5,
                       FALSE)</f>
        <v/>
      </c>
      <c r="G138" s="289">
        <v>45199</v>
      </c>
      <c r="H138" s="26" t="s">
        <v>279</v>
      </c>
      <c r="I138" s="289">
        <v>45199</v>
      </c>
      <c r="J138" s="35" t="s">
        <v>516</v>
      </c>
      <c r="K138" s="21">
        <v>512100</v>
      </c>
      <c r="L138" s="21"/>
      <c r="M138" s="22">
        <f>(PROVEEDORES[[#This Row],[SUBTOTAL]]-PROVEEDORES[[#This Row],[descuento sobre subtotal]])*VLOOKUP(PROVEEDORES[[#This Row],[PROVEEDOR]],TERCEROS_INFO[#All],3,FALSE)</f>
        <v>0</v>
      </c>
      <c r="N138" s="23"/>
      <c r="O138" s="22">
        <f>+PROVEEDORES[[#This Row],[Descuento sobre subtotal %]]*(PROVEEDORES[[#This Row],[SUBTOTAL]]-PROVEEDORES[[#This Row],[descuento sobre subtotal]])</f>
        <v>0</v>
      </c>
      <c r="P138" s="72">
        <f>+IF(PROVEEDORES[[#This Row],[SUBTOTAL]]&lt;PROVEEDORES[[#This Row],[base retencion]],0,PROVEEDORES[[#This Row],[retención aplicada]])</f>
        <v>0</v>
      </c>
      <c r="Q138" s="22">
        <f>+PROVEEDORES[[#This Row],[Rete Fuente %]]*(PROVEEDORES[[#This Row],[SUBTOTAL]]-PROVEEDORES[[#This Row],[descuento sobre subtotal]])</f>
        <v>0</v>
      </c>
      <c r="R138" s="21">
        <f>+PROVEEDORES[[#This Row],[SUBTOTAL]]+PROVEEDORES[[#This Row],[IVA 19%]]-PROVEEDORES[[#This Row],[descuento sobre subtotal]]-PROVEEDORES[[#This Row],[Descuento sobre subtotal $2]]-PROVEEDORES[[#This Row],[Rete Fuente $]]</f>
        <v>512100</v>
      </c>
      <c r="S138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1">
        <f ca="1">IF(PROVEEDORES[[#This Row],[FECHA DE PAGO]]=0,TODAY()-PROVEEDORES[[#This Row],[FECHA DE FACTURACIÓN]]-PROVEEDORES[[#This Row],[PLAZO Días]],0)</f>
        <v>0</v>
      </c>
      <c r="U138" s="97">
        <f>+VLOOKUP(PROVEEDORES[[#This Row],[PROVEEDOR]],Terceros!$A:$D,4,FALSE)</f>
        <v>0</v>
      </c>
      <c r="V138" s="98">
        <f>+YEAR(PROVEEDORES[[#This Row],[FECHA DE FACTURACIÓN]])</f>
        <v>2023</v>
      </c>
      <c r="W138" s="98">
        <f>+MATCH(PROVEEDORES[[#This Row],[año facturado]],Retenciones!$1:$1,0)</f>
        <v>6</v>
      </c>
      <c r="X138" s="99">
        <f>+VLOOKUP(PROVEEDORES[[#This Row],[ID RETENCION]],Retenciones!$A$1:$O$25,PROVEEDORES[[#This Row],[indicador de columna]],FALSE)</f>
        <v>0</v>
      </c>
      <c r="Y138" s="100">
        <f>+VLOOKUP(PROVEEDORES[[#This Row],[ID RETENCION]],Retenciones!$A$1:$O$25,2,FALSE)</f>
        <v>0</v>
      </c>
      <c r="Z138" s="103" t="b">
        <f>OR(COUNTIF(PROVEEDORES[[#This Row],[PROVEEDOR]],"*"&amp;'Palabra no opera'!$A$2&amp;"*"))</f>
        <v>0</v>
      </c>
    </row>
    <row r="139" spans="1:26" ht="22.35" customHeight="1" x14ac:dyDescent="0.25">
      <c r="A139" s="243" t="str">
        <f>+IF(PROVEEDORES[[#This Row],[FECHA DE PAGO]]=PROVEEDORES[[#This Row],[FECHA DE FACTURACIÓN]],"DE CONTADO","CRÉDITO")</f>
        <v>DE CONTADO</v>
      </c>
      <c r="B139" s="38" t="b">
        <f>+IF((PROVEEDORES[[#This Row],[FECHA DE PAGO]]-PROVEEDORES[[#This Row],[FECHA DE FACTURACIÓN]])&gt;PROVEEDORES[[#This Row],[PLAZO Días]],"PAGO VENCIDO")</f>
        <v>0</v>
      </c>
      <c r="C139" s="20">
        <f>+VLOOKUP(PROVEEDORES[[#This Row],[PROVEEDOR]],TERCEROS_INFO[#All],2,FALSE)</f>
        <v>30</v>
      </c>
      <c r="D139" s="25">
        <f>+SUMIFS(PROVEEDORES[Total],PROVEEDORES[PROVEEDOR],PROVEEDORES[[#This Row],[PROVEEDOR]],PROVEEDORES[FECHA DE PAGO],"")</f>
        <v>0</v>
      </c>
      <c r="E139" s="25"/>
      <c r="F139" s="56" t="str">
        <f>+VLOOKUP(PROVEEDORES[[#This Row],[PROVEEDOR]],
                       Terceros!$A:$F,
                       5,
                       FALSE)</f>
        <v/>
      </c>
      <c r="G139" s="289">
        <v>45199</v>
      </c>
      <c r="H139" s="26" t="s">
        <v>279</v>
      </c>
      <c r="I139" s="289">
        <v>45199</v>
      </c>
      <c r="J139" s="35" t="s">
        <v>517</v>
      </c>
      <c r="K139" s="21">
        <v>2566850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72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f>+PROVEEDORES[[#This Row],[SUBTOTAL]]+PROVEEDORES[[#This Row],[IVA 19%]]-PROVEEDORES[[#This Row],[descuento sobre subtotal]]-PROVEEDORES[[#This Row],[Descuento sobre subtotal $2]]-PROVEEDORES[[#This Row],[Rete Fuente $]]</f>
        <v>2566850</v>
      </c>
      <c r="S139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1">
        <f ca="1">IF(PROVEEDORES[[#This Row],[FECHA DE PAGO]]=0,TODAY()-PROVEEDORES[[#This Row],[FECHA DE FACTURACIÓN]]-PROVEEDORES[[#This Row],[PLAZO Días]],0)</f>
        <v>0</v>
      </c>
      <c r="U139" s="97">
        <f>+VLOOKUP(PROVEEDORES[[#This Row],[PROVEEDOR]],Terceros!$A:$D,4,FALSE)</f>
        <v>0</v>
      </c>
      <c r="V139" s="98">
        <f>+YEAR(PROVEEDORES[[#This Row],[FECHA DE FACTURACIÓN]])</f>
        <v>2023</v>
      </c>
      <c r="W139" s="98">
        <f>+MATCH(PROVEEDORES[[#This Row],[año facturado]],Retenciones!$1:$1,0)</f>
        <v>6</v>
      </c>
      <c r="X139" s="99">
        <f>+VLOOKUP(PROVEEDORES[[#This Row],[ID RETENCION]],Retenciones!$A$1:$O$25,PROVEEDORES[[#This Row],[indicador de columna]],FALSE)</f>
        <v>0</v>
      </c>
      <c r="Y139" s="100">
        <f>+VLOOKUP(PROVEEDORES[[#This Row],[ID RETENCION]],Retenciones!$A$1:$O$25,2,FALSE)</f>
        <v>0</v>
      </c>
      <c r="Z139" s="103" t="b">
        <f>OR(COUNTIF(PROVEEDORES[[#This Row],[PROVEEDOR]],"*"&amp;'Palabra no opera'!$A$2&amp;"*"))</f>
        <v>0</v>
      </c>
    </row>
    <row r="140" spans="1:26" ht="22.35" customHeight="1" x14ac:dyDescent="0.25">
      <c r="A140" s="243" t="str">
        <f>+IF(PROVEEDORES[[#This Row],[FECHA DE PAGO]]=PROVEEDORES[[#This Row],[FECHA DE FACTURACIÓN]],"DE CONTADO","CRÉDITO")</f>
        <v>DE CONTADO</v>
      </c>
      <c r="B140" s="38" t="b">
        <f>+IF((PROVEEDORES[[#This Row],[FECHA DE PAGO]]-PROVEEDORES[[#This Row],[FECHA DE FACTURACIÓN]])&gt;PROVEEDORES[[#This Row],[PLAZO Días]],"PAGO VENCIDO")</f>
        <v>0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0</v>
      </c>
      <c r="E140" s="25"/>
      <c r="F140" s="56" t="str">
        <f>+VLOOKUP(PROVEEDORES[[#This Row],[PROVEEDOR]],
                       Terceros!$A:$F,
                       5,
                       FALSE)</f>
        <v/>
      </c>
      <c r="G140" s="289">
        <v>45199</v>
      </c>
      <c r="H140" s="26" t="s">
        <v>279</v>
      </c>
      <c r="I140" s="289">
        <v>45199</v>
      </c>
      <c r="J140" s="35" t="s">
        <v>520</v>
      </c>
      <c r="K140" s="21">
        <v>284873</v>
      </c>
      <c r="L140" s="21"/>
      <c r="M140" s="22">
        <f>(PROVEEDORES[[#This Row],[SUBTOTAL]]-PROVEEDORES[[#This Row],[descuento sobre subtotal]])*VLOOKUP(PROVEEDORES[[#This Row],[PROVEEDOR]],TERCEROS_INFO[#All],3,FALSE)</f>
        <v>0</v>
      </c>
      <c r="N140" s="23"/>
      <c r="O140" s="22">
        <f>+PROVEEDORES[[#This Row],[Descuento sobre subtotal %]]*(PROVEEDORES[[#This Row],[SUBTOTAL]]-PROVEEDORES[[#This Row],[descuento sobre subtotal]])</f>
        <v>0</v>
      </c>
      <c r="P140" s="72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f>+PROVEEDORES[[#This Row],[SUBTOTAL]]+PROVEEDORES[[#This Row],[IVA 19%]]-PROVEEDORES[[#This Row],[descuento sobre subtotal]]-PROVEEDORES[[#This Row],[Descuento sobre subtotal $2]]-PROVEEDORES[[#This Row],[Rete Fuente $]]</f>
        <v>284873</v>
      </c>
      <c r="S140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1">
        <f ca="1">IF(PROVEEDORES[[#This Row],[FECHA DE PAGO]]=0,TODAY()-PROVEEDORES[[#This Row],[FECHA DE FACTURACIÓN]]-PROVEEDORES[[#This Row],[PLAZO Días]],0)</f>
        <v>0</v>
      </c>
      <c r="U140" s="97">
        <f>+VLOOKUP(PROVEEDORES[[#This Row],[PROVEEDOR]],Terceros!$A:$D,4,FALSE)</f>
        <v>0</v>
      </c>
      <c r="V140" s="98">
        <f>+YEAR(PROVEEDORES[[#This Row],[FECHA DE FACTURACIÓN]])</f>
        <v>2023</v>
      </c>
      <c r="W140" s="98">
        <f>+MATCH(PROVEEDORES[[#This Row],[año facturado]],Retenciones!$1:$1,0)</f>
        <v>6</v>
      </c>
      <c r="X140" s="99">
        <f>+VLOOKUP(PROVEEDORES[[#This Row],[ID RETENCION]],Retenciones!$A$1:$O$25,PROVEEDORES[[#This Row],[indicador de columna]],FALSE)</f>
        <v>0</v>
      </c>
      <c r="Y140" s="100">
        <f>+VLOOKUP(PROVEEDORES[[#This Row],[ID RETENCION]],Retenciones!$A$1:$O$25,2,FALSE)</f>
        <v>0</v>
      </c>
      <c r="Z140" s="103" t="b">
        <f>OR(COUNTIF(PROVEEDORES[[#This Row],[PROVEEDOR]],"*"&amp;'Palabra no opera'!$A$2&amp;"*"))</f>
        <v>0</v>
      </c>
    </row>
    <row r="141" spans="1:26" ht="22.35" customHeight="1" x14ac:dyDescent="0.25">
      <c r="A141" s="243" t="str">
        <f>+IF(PROVEEDORES[[#This Row],[FECHA DE PAGO]]=PROVEEDORES[[#This Row],[FECHA DE FACTURACIÓN]],"DE CONTADO","CRÉDITO")</f>
        <v>DE CONTADO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0</v>
      </c>
      <c r="E141" s="25"/>
      <c r="F141" s="56" t="str">
        <f>+VLOOKUP(PROVEEDORES[[#This Row],[PROVEEDOR]],
                       Terceros!$A:$F,
                       5,
                       FALSE)</f>
        <v/>
      </c>
      <c r="G141" s="289">
        <v>45199</v>
      </c>
      <c r="H141" s="26" t="s">
        <v>279</v>
      </c>
      <c r="I141" s="289">
        <v>45199</v>
      </c>
      <c r="J141" s="35" t="s">
        <v>518</v>
      </c>
      <c r="K141" s="21">
        <v>135500</v>
      </c>
      <c r="L141" s="21"/>
      <c r="M141" s="22">
        <f>(PROVEEDORES[[#This Row],[SUBTOTAL]]-PROVEEDORES[[#This Row],[descuento sobre subtotal]])*VLOOKUP(PROVEEDORES[[#This Row],[PROVEEDOR]],TERCEROS_INFO[#All],3,FALSE)</f>
        <v>0</v>
      </c>
      <c r="N141" s="23"/>
      <c r="O141" s="22">
        <f>+PROVEEDORES[[#This Row],[Descuento sobre subtotal %]]*(PROVEEDORES[[#This Row],[SUBTOTAL]]-PROVEEDORES[[#This Row],[descuento sobre subtotal]])</f>
        <v>0</v>
      </c>
      <c r="P141" s="72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f>+PROVEEDORES[[#This Row],[SUBTOTAL]]+PROVEEDORES[[#This Row],[IVA 19%]]-PROVEEDORES[[#This Row],[descuento sobre subtotal]]-PROVEEDORES[[#This Row],[Descuento sobre subtotal $2]]-PROVEEDORES[[#This Row],[Rete Fuente $]]</f>
        <v>135500</v>
      </c>
      <c r="S141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1">
        <f ca="1">IF(PROVEEDORES[[#This Row],[FECHA DE PAGO]]=0,TODAY()-PROVEEDORES[[#This Row],[FECHA DE FACTURACIÓN]]-PROVEEDORES[[#This Row],[PLAZO Días]],0)</f>
        <v>0</v>
      </c>
      <c r="U141" s="97">
        <f>+VLOOKUP(PROVEEDORES[[#This Row],[PROVEEDOR]],Terceros!$A:$D,4,FALSE)</f>
        <v>0</v>
      </c>
      <c r="V141" s="98">
        <f>+YEAR(PROVEEDORES[[#This Row],[FECHA DE FACTURACIÓN]])</f>
        <v>2023</v>
      </c>
      <c r="W141" s="98">
        <f>+MATCH(PROVEEDORES[[#This Row],[año facturado]],Retenciones!$1:$1,0)</f>
        <v>6</v>
      </c>
      <c r="X141" s="99">
        <f>+VLOOKUP(PROVEEDORES[[#This Row],[ID RETENCION]],Retenciones!$A$1:$O$25,PROVEEDORES[[#This Row],[indicador de columna]],FALSE)</f>
        <v>0</v>
      </c>
      <c r="Y141" s="100">
        <f>+VLOOKUP(PROVEEDORES[[#This Row],[ID RETENCION]],Retenciones!$A$1:$O$25,2,FALSE)</f>
        <v>0</v>
      </c>
      <c r="Z141" s="103" t="b">
        <f>OR(COUNTIF(PROVEEDORES[[#This Row],[PROVEEDOR]],"*"&amp;'Palabra no opera'!$A$2&amp;"*"))</f>
        <v>0</v>
      </c>
    </row>
    <row r="142" spans="1:26" ht="22.35" customHeight="1" x14ac:dyDescent="0.25">
      <c r="A142" s="243" t="str">
        <f>+IF(PROVEEDORES[[#This Row],[FECHA DE PAGO]]=PROVEEDORES[[#This Row],[FECHA DE FACTURACIÓN]],"DE CONTADO","CRÉDITO")</f>
        <v>DE CONTADO</v>
      </c>
      <c r="B142" s="38" t="b">
        <f>+IF((PROVEEDORES[[#This Row],[FECHA DE PAGO]]-PROVEEDORES[[#This Row],[FECHA DE FACTURACIÓN]])&gt;PROVEEDORES[[#This Row],[PLAZO Días]],"PAGO VENCIDO")</f>
        <v>0</v>
      </c>
      <c r="C142" s="20">
        <f>+VLOOKUP(PROVEEDORES[[#This Row],[PROVEEDOR]],TERCEROS_INFO[#All],2,FALSE)</f>
        <v>30</v>
      </c>
      <c r="D142" s="25">
        <f>+SUMIFS(PROVEEDORES[Total],PROVEEDORES[PROVEEDOR],PROVEEDORES[[#This Row],[PROVEEDOR]],PROVEEDORES[FECHA DE PAGO],"")</f>
        <v>0</v>
      </c>
      <c r="E142" s="25"/>
      <c r="F142" s="56" t="str">
        <f>+VLOOKUP(PROVEEDORES[[#This Row],[PROVEEDOR]],
                       Terceros!$A:$F,
                       5,
                       FALSE)</f>
        <v/>
      </c>
      <c r="G142" s="289">
        <v>45199</v>
      </c>
      <c r="H142" s="26" t="s">
        <v>279</v>
      </c>
      <c r="I142" s="289">
        <v>45199</v>
      </c>
      <c r="J142" s="35" t="s">
        <v>519</v>
      </c>
      <c r="K142" s="21">
        <v>19000</v>
      </c>
      <c r="L142" s="21"/>
      <c r="M142" s="22">
        <f>(PROVEEDORES[[#This Row],[SUBTOTAL]]-PROVEEDORES[[#This Row],[descuento sobre subtotal]])*VLOOKUP(PROVEEDORES[[#This Row],[PROVEEDOR]],TERCEROS_INFO[#All],3,FALSE)</f>
        <v>0</v>
      </c>
      <c r="N142" s="23"/>
      <c r="O142" s="22">
        <f>+PROVEEDORES[[#This Row],[Descuento sobre subtotal %]]*(PROVEEDORES[[#This Row],[SUBTOTAL]]-PROVEEDORES[[#This Row],[descuento sobre subtotal]])</f>
        <v>0</v>
      </c>
      <c r="P142" s="72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f>+PROVEEDORES[[#This Row],[SUBTOTAL]]+PROVEEDORES[[#This Row],[IVA 19%]]-PROVEEDORES[[#This Row],[descuento sobre subtotal]]-PROVEEDORES[[#This Row],[Descuento sobre subtotal $2]]-PROVEEDORES[[#This Row],[Rete Fuente $]]</f>
        <v>19000</v>
      </c>
      <c r="S142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1">
        <f ca="1">IF(PROVEEDORES[[#This Row],[FECHA DE PAGO]]=0,TODAY()-PROVEEDORES[[#This Row],[FECHA DE FACTURACIÓN]]-PROVEEDORES[[#This Row],[PLAZO Días]],0)</f>
        <v>0</v>
      </c>
      <c r="U142" s="97">
        <f>+VLOOKUP(PROVEEDORES[[#This Row],[PROVEEDOR]],Terceros!$A:$D,4,FALSE)</f>
        <v>0</v>
      </c>
      <c r="V142" s="98">
        <f>+YEAR(PROVEEDORES[[#This Row],[FECHA DE FACTURACIÓN]])</f>
        <v>2023</v>
      </c>
      <c r="W142" s="98">
        <f>+MATCH(PROVEEDORES[[#This Row],[año facturado]],Retenciones!$1:$1,0)</f>
        <v>6</v>
      </c>
      <c r="X142" s="99">
        <f>+VLOOKUP(PROVEEDORES[[#This Row],[ID RETENCION]],Retenciones!$A$1:$O$25,PROVEEDORES[[#This Row],[indicador de columna]],FALSE)</f>
        <v>0</v>
      </c>
      <c r="Y142" s="100">
        <f>+VLOOKUP(PROVEEDORES[[#This Row],[ID RETENCION]],Retenciones!$A$1:$O$25,2,FALSE)</f>
        <v>0</v>
      </c>
      <c r="Z142" s="103" t="b">
        <f>OR(COUNTIF(PROVEEDORES[[#This Row],[PROVEEDOR]],"*"&amp;'Palabra no opera'!$A$2&amp;"*"))</f>
        <v>0</v>
      </c>
    </row>
    <row r="143" spans="1:26" ht="22.35" customHeight="1" x14ac:dyDescent="0.25">
      <c r="A143" s="243" t="str">
        <f>+IF(PROVEEDORES[[#This Row],[FECHA DE PAGO]]=PROVEEDORES[[#This Row],[FECHA DE FACTURACIÓN]],"DE CONTADO","CRÉDITO")</f>
        <v>DE CONTADO</v>
      </c>
      <c r="B143" s="38" t="b">
        <f>+IF((PROVEEDORES[[#This Row],[FECHA DE PAGO]]-PROVEEDORES[[#This Row],[FECHA DE FACTURACIÓN]])&gt;PROVEEDORES[[#This Row],[PLAZO Días]],"PAGO VENCIDO")</f>
        <v>0</v>
      </c>
      <c r="C143" s="20">
        <f>+VLOOKUP(PROVEEDORES[[#This Row],[PROVEEDOR]],TERCEROS_INFO[#All],2,FALSE)</f>
        <v>30</v>
      </c>
      <c r="D143" s="25">
        <f>+SUMIFS(PROVEEDORES[Total],PROVEEDORES[PROVEEDOR],PROVEEDORES[[#This Row],[PROVEEDOR]],PROVEEDORES[FECHA DE PAGO],"")</f>
        <v>0</v>
      </c>
      <c r="E143" s="25"/>
      <c r="F143" s="56" t="str">
        <f>+VLOOKUP(PROVEEDORES[[#This Row],[PROVEEDOR]],
                       Terceros!$A:$F,
                       5,
                       FALSE)</f>
        <v/>
      </c>
      <c r="G143" s="289">
        <v>45199</v>
      </c>
      <c r="H143" s="26" t="s">
        <v>279</v>
      </c>
      <c r="I143" s="289">
        <v>45199</v>
      </c>
      <c r="J143" s="35" t="s">
        <v>545</v>
      </c>
      <c r="K143" s="21">
        <v>0</v>
      </c>
      <c r="L143" s="21"/>
      <c r="M143" s="22">
        <f>(PROVEEDORES[[#This Row],[SUBTOTAL]]-PROVEEDORES[[#This Row],[descuento sobre subtotal]])*VLOOKUP(PROVEEDORES[[#This Row],[PROVEEDOR]],TERCEROS_INFO[#All],3,FALSE)</f>
        <v>0</v>
      </c>
      <c r="N143" s="23"/>
      <c r="O143" s="22">
        <f>+PROVEEDORES[[#This Row],[Descuento sobre subtotal %]]*(PROVEEDORES[[#This Row],[SUBTOTAL]]-PROVEEDORES[[#This Row],[descuento sobre subtotal]])</f>
        <v>0</v>
      </c>
      <c r="P143" s="72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43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1">
        <f ca="1">IF(PROVEEDORES[[#This Row],[FECHA DE PAGO]]=0,TODAY()-PROVEEDORES[[#This Row],[FECHA DE FACTURACIÓN]]-PROVEEDORES[[#This Row],[PLAZO Días]],0)</f>
        <v>0</v>
      </c>
      <c r="U143" s="97">
        <f>+VLOOKUP(PROVEEDORES[[#This Row],[PROVEEDOR]],Terceros!$A:$D,4,FALSE)</f>
        <v>0</v>
      </c>
      <c r="V143" s="98">
        <f>+YEAR(PROVEEDORES[[#This Row],[FECHA DE FACTURACIÓN]])</f>
        <v>2023</v>
      </c>
      <c r="W143" s="98">
        <f>+MATCH(PROVEEDORES[[#This Row],[año facturado]],Retenciones!$1:$1,0)</f>
        <v>6</v>
      </c>
      <c r="X143" s="99">
        <f>+VLOOKUP(PROVEEDORES[[#This Row],[ID RETENCION]],Retenciones!$A$1:$O$25,PROVEEDORES[[#This Row],[indicador de columna]],FALSE)</f>
        <v>0</v>
      </c>
      <c r="Y143" s="100">
        <f>+VLOOKUP(PROVEEDORES[[#This Row],[ID RETENCION]],Retenciones!$A$1:$O$25,2,FALSE)</f>
        <v>0</v>
      </c>
      <c r="Z143" s="103" t="b">
        <f>OR(COUNTIF(PROVEEDORES[[#This Row],[PROVEEDOR]],"*"&amp;'Palabra no opera'!$A$2&amp;"*"))</f>
        <v>0</v>
      </c>
    </row>
    <row r="144" spans="1:26" ht="22.35" customHeight="1" x14ac:dyDescent="0.25">
      <c r="A144" s="65" t="str">
        <f>+IF(PROVEEDORES[[#This Row],[FECHA DE PAGO]]=PROVEEDORES[[#This Row],[FECHA DE FACTURACIÓN]],"DE CONTADO","CRÉDITO")</f>
        <v>DE CONTADO</v>
      </c>
      <c r="B144" s="38" t="b">
        <f>+IF((PROVEEDORES[[#This Row],[FECHA DE PAGO]]-PROVEEDORES[[#This Row],[FECHA DE FACTURACIÓN]])&gt;PROVEEDORES[[#This Row],[PLAZO Días]],"PAGO VENCIDO")</f>
        <v>0</v>
      </c>
      <c r="C144" s="20">
        <f>+VLOOKUP(PROVEEDORES[[#This Row],[PROVEEDOR]],TERCEROS_INFO[#All],2,FALSE)</f>
        <v>30</v>
      </c>
      <c r="D144" s="25">
        <f>+SUMIFS(PROVEEDORES[Total],PROVEEDORES[PROVEEDOR],PROVEEDORES[[#This Row],[PROVEEDOR]],PROVEEDORES[FECHA DE PAGO],"")</f>
        <v>0</v>
      </c>
      <c r="E144" s="25"/>
      <c r="F144" s="56" t="str">
        <f>+VLOOKUP(PROVEEDORES[[#This Row],[PROVEEDOR]],
                       Terceros!$A:$F,
                       5,
                       FALSE)</f>
        <v/>
      </c>
      <c r="G144" s="289">
        <v>45201</v>
      </c>
      <c r="H144" s="26" t="s">
        <v>279</v>
      </c>
      <c r="I144" s="289">
        <v>45201</v>
      </c>
      <c r="J144" s="35" t="s">
        <v>1167</v>
      </c>
      <c r="K144" s="21">
        <v>150000</v>
      </c>
      <c r="L144" s="21"/>
      <c r="M144" s="22">
        <f>(PROVEEDORES[[#This Row],[SUBTOTAL]]-PROVEEDORES[[#This Row],[descuento sobre subtotal]])*VLOOKUP(PROVEEDORES[[#This Row],[PROVEEDOR]],TERCEROS_INFO[#All],3,FALSE)</f>
        <v>0</v>
      </c>
      <c r="N144" s="23"/>
      <c r="O144" s="22">
        <f>+PROVEEDORES[[#This Row],[Descuento sobre subtotal %]]*(PROVEEDORES[[#This Row],[SUBTOTAL]]-PROVEEDORES[[#This Row],[descuento sobre subtotal]])</f>
        <v>0</v>
      </c>
      <c r="P144" s="72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4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1">
        <f ca="1">IF(PROVEEDORES[[#This Row],[FECHA DE PAGO]]=0,TODAY()-PROVEEDORES[[#This Row],[FECHA DE FACTURACIÓN]]-PROVEEDORES[[#This Row],[PLAZO Días]],0)</f>
        <v>0</v>
      </c>
      <c r="U144" s="97">
        <f>+VLOOKUP(PROVEEDORES[[#This Row],[PROVEEDOR]],Terceros!$A:$D,4,FALSE)</f>
        <v>0</v>
      </c>
      <c r="V144" s="98">
        <f>+YEAR(PROVEEDORES[[#This Row],[FECHA DE FACTURACIÓN]])</f>
        <v>2023</v>
      </c>
      <c r="W144" s="98">
        <f>+MATCH(PROVEEDORES[[#This Row],[año facturado]],Retenciones!$1:$1,0)</f>
        <v>6</v>
      </c>
      <c r="X144" s="99">
        <f>+VLOOKUP(PROVEEDORES[[#This Row],[ID RETENCION]],Retenciones!$A$1:$O$25,PROVEEDORES[[#This Row],[indicador de columna]],FALSE)</f>
        <v>0</v>
      </c>
      <c r="Y144" s="100">
        <f>+VLOOKUP(PROVEEDORES[[#This Row],[ID RETENCION]],Retenciones!$A$1:$O$25,2,FALSE)</f>
        <v>0</v>
      </c>
      <c r="Z144" s="103" t="b">
        <f>OR(COUNTIF(PROVEEDORES[[#This Row],[PROVEEDOR]],"*"&amp;'Palabra no opera'!$A$2&amp;"*"))</f>
        <v>0</v>
      </c>
    </row>
    <row r="145" spans="1:26" ht="22.35" customHeight="1" x14ac:dyDescent="0.25">
      <c r="A145" s="65" t="str">
        <f>+IF(PROVEEDORES[[#This Row],[FECHA DE PAGO]]=PROVEEDORES[[#This Row],[FECHA DE FACTURACIÓN]],"DE CONTADO","CRÉDITO")</f>
        <v>DE CONTADO</v>
      </c>
      <c r="B145" s="38" t="b">
        <f>+IF((PROVEEDORES[[#This Row],[FECHA DE PAGO]]-PROVEEDORES[[#This Row],[FECHA DE FACTURACIÓN]])&gt;PROVEEDORES[[#This Row],[PLAZO Días]],"PAGO VENCIDO")</f>
        <v>0</v>
      </c>
      <c r="C145" s="20">
        <f>+VLOOKUP(PROVEEDORES[[#This Row],[PROVEEDOR]],TERCEROS_INFO[#All],2,FALSE)</f>
        <v>30</v>
      </c>
      <c r="D145" s="25">
        <f>+SUMIFS(PROVEEDORES[Total],PROVEEDORES[PROVEEDOR],PROVEEDORES[[#This Row],[PROVEEDOR]],PROVEEDORES[FECHA DE PAGO],"")</f>
        <v>0</v>
      </c>
      <c r="E145" s="25"/>
      <c r="F145" s="56" t="str">
        <f>+VLOOKUP(PROVEEDORES[[#This Row],[PROVEEDOR]],
                       Terceros!$A:$F,
                       5,
                       FALSE)</f>
        <v/>
      </c>
      <c r="G145" s="289">
        <v>45201</v>
      </c>
      <c r="H145" s="26" t="s">
        <v>279</v>
      </c>
      <c r="I145" s="289">
        <v>45201</v>
      </c>
      <c r="J145" s="35" t="s">
        <v>1168</v>
      </c>
      <c r="K145" s="21">
        <v>588000</v>
      </c>
      <c r="L145" s="21"/>
      <c r="M145" s="22">
        <f>(PROVEEDORES[[#This Row],[SUBTOTAL]]-PROVEEDORES[[#This Row],[descuento sobre subtotal]])*VLOOKUP(PROVEEDORES[[#This Row],[PROVEEDOR]],TERCEROS_INFO[#All],3,FALSE)</f>
        <v>0</v>
      </c>
      <c r="N145" s="23"/>
      <c r="O145" s="22">
        <f>+PROVEEDORES[[#This Row],[Descuento sobre subtotal %]]*(PROVEEDORES[[#This Row],[SUBTOTAL]]-PROVEEDORES[[#This Row],[descuento sobre subtotal]])</f>
        <v>0</v>
      </c>
      <c r="P145" s="72">
        <f>+IF(PROVEEDORES[[#This Row],[SUBTOTAL]]&lt;PROVEEDORES[[#This Row],[base retencion]],0,PROVEEDORES[[#This Row],[retención aplicada]])</f>
        <v>0</v>
      </c>
      <c r="Q145" s="22">
        <f>+PROVEEDORES[[#This Row],[Rete Fuente %]]*(PROVEEDORES[[#This Row],[SUBTOTAL]]-PROVEEDORES[[#This Row],[descuento sobre subtotal]])</f>
        <v>0</v>
      </c>
      <c r="R145" s="21">
        <f>+PROVEEDORES[[#This Row],[SUBTOTAL]]+PROVEEDORES[[#This Row],[IVA 19%]]-PROVEEDORES[[#This Row],[descuento sobre subtotal]]-PROVEEDORES[[#This Row],[Descuento sobre subtotal $2]]-PROVEEDORES[[#This Row],[Rete Fuente $]]</f>
        <v>588000</v>
      </c>
      <c r="S1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61">
        <f ca="1">IF(PROVEEDORES[[#This Row],[FECHA DE PAGO]]=0,TODAY()-PROVEEDORES[[#This Row],[FECHA DE FACTURACIÓN]]-PROVEEDORES[[#This Row],[PLAZO Días]],0)</f>
        <v>0</v>
      </c>
      <c r="U145" s="97">
        <f>+VLOOKUP(PROVEEDORES[[#This Row],[PROVEEDOR]],Terceros!$A:$D,4,FALSE)</f>
        <v>0</v>
      </c>
      <c r="V145" s="98">
        <f>+YEAR(PROVEEDORES[[#This Row],[FECHA DE FACTURACIÓN]])</f>
        <v>2023</v>
      </c>
      <c r="W145" s="98">
        <f>+MATCH(PROVEEDORES[[#This Row],[año facturado]],Retenciones!$1:$1,0)</f>
        <v>6</v>
      </c>
      <c r="X145" s="99">
        <f>+VLOOKUP(PROVEEDORES[[#This Row],[ID RETENCION]],Retenciones!$A$1:$O$25,PROVEEDORES[[#This Row],[indicador de columna]],FALSE)</f>
        <v>0</v>
      </c>
      <c r="Y145" s="100">
        <f>+VLOOKUP(PROVEEDORES[[#This Row],[ID RETENCION]],Retenciones!$A$1:$O$25,2,FALSE)</f>
        <v>0</v>
      </c>
      <c r="Z145" s="103" t="b">
        <f>OR(COUNTIF(PROVEEDORES[[#This Row],[PROVEEDOR]],"*"&amp;'Palabra no opera'!$A$2&amp;"*"))</f>
        <v>0</v>
      </c>
    </row>
    <row r="146" spans="1:26" ht="22.35" customHeight="1" x14ac:dyDescent="0.25">
      <c r="A146" s="243" t="str">
        <f>+IF(PROVEEDORES[[#This Row],[FECHA DE PAGO]]=PROVEEDORES[[#This Row],[FECHA DE FACTURACIÓN]],"DE CONTADO","CRÉDITO")</f>
        <v>DE CONTADO</v>
      </c>
      <c r="B146" s="38" t="b">
        <f>+IF((PROVEEDORES[[#This Row],[FECHA DE PAGO]]-PROVEEDORES[[#This Row],[FECHA DE FACTURACIÓN]])&gt;PROVEEDORES[[#This Row],[PLAZO Días]],"PAGO VENCIDO")</f>
        <v>0</v>
      </c>
      <c r="C146" s="20">
        <f>+VLOOKUP(PROVEEDORES[[#This Row],[PROVEEDOR]],TERCEROS_INFO[#All],2,FALSE)</f>
        <v>30</v>
      </c>
      <c r="D146" s="25">
        <f>+SUMIFS(PROVEEDORES[Total],PROVEEDORES[PROVEEDOR],PROVEEDORES[[#This Row],[PROVEEDOR]],PROVEEDORES[FECHA DE PAGO],"")</f>
        <v>0</v>
      </c>
      <c r="E146" s="25"/>
      <c r="F146" s="56" t="str">
        <f>+VLOOKUP(PROVEEDORES[[#This Row],[PROVEEDOR]],
                       Terceros!$A:$F,
                       5,
                       FALSE)</f>
        <v/>
      </c>
      <c r="G146" s="289">
        <v>45202</v>
      </c>
      <c r="H146" s="26" t="s">
        <v>279</v>
      </c>
      <c r="I146" s="289">
        <v>45202</v>
      </c>
      <c r="J146" s="35" t="s">
        <v>1149</v>
      </c>
      <c r="K146" s="21">
        <v>150000</v>
      </c>
      <c r="L146" s="21"/>
      <c r="M146" s="22">
        <f>(PROVEEDORES[[#This Row],[SUBTOTAL]]-PROVEEDORES[[#This Row],[descuento sobre subtotal]])*VLOOKUP(PROVEEDORES[[#This Row],[PROVEEDOR]],TERCEROS_INFO[#All],3,FALSE)</f>
        <v>0</v>
      </c>
      <c r="N146" s="23"/>
      <c r="O146" s="22">
        <f>+PROVEEDORES[[#This Row],[Descuento sobre subtotal %]]*(PROVEEDORES[[#This Row],[SUBTOTAL]]-PROVEEDORES[[#This Row],[descuento sobre subtotal]])</f>
        <v>0</v>
      </c>
      <c r="P146" s="72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146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1">
        <f ca="1">IF(PROVEEDORES[[#This Row],[FECHA DE PAGO]]=0,TODAY()-PROVEEDORES[[#This Row],[FECHA DE FACTURACIÓN]]-PROVEEDORES[[#This Row],[PLAZO Días]],0)</f>
        <v>0</v>
      </c>
      <c r="U146" s="97">
        <f>+VLOOKUP(PROVEEDORES[[#This Row],[PROVEEDOR]],Terceros!$A:$D,4,FALSE)</f>
        <v>0</v>
      </c>
      <c r="V146" s="98">
        <f>+YEAR(PROVEEDORES[[#This Row],[FECHA DE FACTURACIÓN]])</f>
        <v>2023</v>
      </c>
      <c r="W146" s="98">
        <f>+MATCH(PROVEEDORES[[#This Row],[año facturado]],Retenciones!$1:$1,0)</f>
        <v>6</v>
      </c>
      <c r="X146" s="99">
        <f>+VLOOKUP(PROVEEDORES[[#This Row],[ID RETENCION]],Retenciones!$A$1:$O$25,PROVEEDORES[[#This Row],[indicador de columna]],FALSE)</f>
        <v>0</v>
      </c>
      <c r="Y146" s="100">
        <f>+VLOOKUP(PROVEEDORES[[#This Row],[ID RETENCION]],Retenciones!$A$1:$O$25,2,FALSE)</f>
        <v>0</v>
      </c>
      <c r="Z146" s="103" t="b">
        <f>OR(COUNTIF(PROVEEDORES[[#This Row],[PROVEEDOR]],"*"&amp;'Palabra no opera'!$A$2&amp;"*"))</f>
        <v>0</v>
      </c>
    </row>
    <row r="147" spans="1:26" ht="22.35" customHeight="1" x14ac:dyDescent="0.25">
      <c r="A147" s="65" t="str">
        <f>+IF(PROVEEDORES[[#This Row],[FECHA DE PAGO]]=PROVEEDORES[[#This Row],[FECHA DE FACTURACIÓN]],"DE CONTADO","CRÉDITO")</f>
        <v>DE CONTADO</v>
      </c>
      <c r="B147" s="38" t="b">
        <f>+IF((PROVEEDORES[[#This Row],[FECHA DE PAGO]]-PROVEEDORES[[#This Row],[FECHA DE FACTURACIÓN]])&gt;PROVEEDORES[[#This Row],[PLAZO Días]],"PAGO VENCIDO")</f>
        <v>0</v>
      </c>
      <c r="C147" s="20">
        <f>+VLOOKUP(PROVEEDORES[[#This Row],[PROVEEDOR]],TERCEROS_INFO[#All],2,FALSE)</f>
        <v>30</v>
      </c>
      <c r="D147" s="25">
        <f>+SUMIFS(PROVEEDORES[Total],PROVEEDORES[PROVEEDOR],PROVEEDORES[[#This Row],[PROVEEDOR]],PROVEEDORES[FECHA DE PAGO],"")</f>
        <v>0</v>
      </c>
      <c r="E147" s="25"/>
      <c r="F147" s="56" t="str">
        <f>+VLOOKUP(PROVEEDORES[[#This Row],[PROVEEDOR]],
                       Terceros!$A:$F,
                       5,
                       FALSE)</f>
        <v/>
      </c>
      <c r="G147" s="289">
        <v>45202</v>
      </c>
      <c r="H147" s="26" t="s">
        <v>279</v>
      </c>
      <c r="I147" s="289">
        <v>45202</v>
      </c>
      <c r="J147" s="35" t="s">
        <v>1169</v>
      </c>
      <c r="K147" s="21">
        <v>210000</v>
      </c>
      <c r="L147" s="21"/>
      <c r="M147" s="22">
        <f>(PROVEEDORES[[#This Row],[SUBTOTAL]]-PROVEEDORES[[#This Row],[descuento sobre subtotal]])*VLOOKUP(PROVEEDORES[[#This Row],[PROVEEDOR]],TERCEROS_INFO[#All],3,FALSE)</f>
        <v>0</v>
      </c>
      <c r="N147" s="23"/>
      <c r="O147" s="22">
        <f>+PROVEEDORES[[#This Row],[Descuento sobre subtotal %]]*(PROVEEDORES[[#This Row],[SUBTOTAL]]-PROVEEDORES[[#This Row],[descuento sobre subtotal]])</f>
        <v>0</v>
      </c>
      <c r="P147" s="72">
        <f>+IF(PROVEEDORES[[#This Row],[SUBTOTAL]]&lt;PROVEEDORES[[#This Row],[base retencion]],0,PROVEEDORES[[#This Row],[retención aplicada]])</f>
        <v>0</v>
      </c>
      <c r="Q147" s="22">
        <f>+PROVEEDORES[[#This Row],[Rete Fuente %]]*(PROVEEDORES[[#This Row],[SUBTOTAL]]-PROVEEDORES[[#This Row],[descuento sobre subtotal]])</f>
        <v>0</v>
      </c>
      <c r="R147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1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1">
        <f ca="1">IF(PROVEEDORES[[#This Row],[FECHA DE PAGO]]=0,TODAY()-PROVEEDORES[[#This Row],[FECHA DE FACTURACIÓN]]-PROVEEDORES[[#This Row],[PLAZO Días]],0)</f>
        <v>0</v>
      </c>
      <c r="U147" s="97">
        <f>+VLOOKUP(PROVEEDORES[[#This Row],[PROVEEDOR]],Terceros!$A:$D,4,FALSE)</f>
        <v>0</v>
      </c>
      <c r="V147" s="98">
        <f>+YEAR(PROVEEDORES[[#This Row],[FECHA DE FACTURACIÓN]])</f>
        <v>2023</v>
      </c>
      <c r="W147" s="98">
        <f>+MATCH(PROVEEDORES[[#This Row],[año facturado]],Retenciones!$1:$1,0)</f>
        <v>6</v>
      </c>
      <c r="X147" s="99">
        <f>+VLOOKUP(PROVEEDORES[[#This Row],[ID RETENCION]],Retenciones!$A$1:$O$25,PROVEEDORES[[#This Row],[indicador de columna]],FALSE)</f>
        <v>0</v>
      </c>
      <c r="Y147" s="100">
        <f>+VLOOKUP(PROVEEDORES[[#This Row],[ID RETENCION]],Retenciones!$A$1:$O$25,2,FALSE)</f>
        <v>0</v>
      </c>
      <c r="Z147" s="103" t="b">
        <f>OR(COUNTIF(PROVEEDORES[[#This Row],[PROVEEDOR]],"*"&amp;'Palabra no opera'!$A$2&amp;"*"))</f>
        <v>0</v>
      </c>
    </row>
    <row r="148" spans="1:26" ht="22.35" customHeight="1" x14ac:dyDescent="0.25">
      <c r="A148" s="65" t="str">
        <f>+IF(PROVEEDORES[[#This Row],[FECHA DE PAGO]]=PROVEEDORES[[#This Row],[FECHA DE FACTURACIÓN]],"DE CONTADO","CRÉDITO")</f>
        <v>DE CONTADO</v>
      </c>
      <c r="B148" s="38" t="b">
        <f>+IF((PROVEEDORES[[#This Row],[FECHA DE PAGO]]-PROVEEDORES[[#This Row],[FECHA DE FACTURACIÓN]])&gt;PROVEEDORES[[#This Row],[PLAZO Días]],"PAGO VENCIDO")</f>
        <v>0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0</v>
      </c>
      <c r="E148" s="25"/>
      <c r="F148" s="56" t="str">
        <f>+VLOOKUP(PROVEEDORES[[#This Row],[PROVEEDOR]],
                       Terceros!$A:$F,
                       5,
                       FALSE)</f>
        <v/>
      </c>
      <c r="G148" s="289">
        <v>45210</v>
      </c>
      <c r="H148" s="26" t="s">
        <v>279</v>
      </c>
      <c r="I148" s="289">
        <v>45210</v>
      </c>
      <c r="J148" s="35" t="s">
        <v>1196</v>
      </c>
      <c r="K148" s="21">
        <v>180000</v>
      </c>
      <c r="L148" s="21"/>
      <c r="M148" s="22">
        <f>(PROVEEDORES[[#This Row],[SUBTOTAL]]-PROVEEDORES[[#This Row],[descuento sobre subtotal]])*VLOOKUP(PROVEEDORES[[#This Row],[PROVEEDOR]],TERCEROS_INFO[#All],3,FALSE)</f>
        <v>0</v>
      </c>
      <c r="N148" s="23"/>
      <c r="O148" s="22">
        <f>+PROVEEDORES[[#This Row],[Descuento sobre subtotal %]]*(PROVEEDORES[[#This Row],[SUBTOTAL]]-PROVEEDORES[[#This Row],[descuento sobre subtotal]])</f>
        <v>0</v>
      </c>
      <c r="P148" s="72">
        <f>+IF(PROVEEDORES[[#This Row],[SUBTOTAL]]&lt;PROVEEDORES[[#This Row],[base retencion]],0,PROVEEDORES[[#This Row],[retención aplicada]])</f>
        <v>0</v>
      </c>
      <c r="Q148" s="22">
        <f>+PROVEEDORES[[#This Row],[Rete Fuente %]]*(PROVEEDORES[[#This Row],[SUBTOTAL]]-PROVEEDORES[[#This Row],[descuento sobre subtotal]])</f>
        <v>0</v>
      </c>
      <c r="R148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4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1">
        <f ca="1">IF(PROVEEDORES[[#This Row],[FECHA DE PAGO]]=0,TODAY()-PROVEEDORES[[#This Row],[FECHA DE FACTURACIÓN]]-PROVEEDORES[[#This Row],[PLAZO Días]],0)</f>
        <v>0</v>
      </c>
      <c r="U148" s="97">
        <f>+VLOOKUP(PROVEEDORES[[#This Row],[PROVEEDOR]],Terceros!$A:$D,4,FALSE)</f>
        <v>0</v>
      </c>
      <c r="V148" s="98">
        <f>+YEAR(PROVEEDORES[[#This Row],[FECHA DE FACTURACIÓN]])</f>
        <v>2023</v>
      </c>
      <c r="W148" s="98">
        <f>+MATCH(PROVEEDORES[[#This Row],[año facturado]],Retenciones!$1:$1,0)</f>
        <v>6</v>
      </c>
      <c r="X148" s="99">
        <f>+VLOOKUP(PROVEEDORES[[#This Row],[ID RETENCION]],Retenciones!$A$1:$O$25,PROVEEDORES[[#This Row],[indicador de columna]],FALSE)</f>
        <v>0</v>
      </c>
      <c r="Y148" s="100">
        <f>+VLOOKUP(PROVEEDORES[[#This Row],[ID RETENCION]],Retenciones!$A$1:$O$25,2,FALSE)</f>
        <v>0</v>
      </c>
      <c r="Z148" s="103" t="b">
        <f>OR(COUNTIF(PROVEEDORES[[#This Row],[PROVEEDOR]],"*"&amp;'Palabra no opera'!$A$2&amp;"*"))</f>
        <v>0</v>
      </c>
    </row>
    <row r="149" spans="1:26" ht="22.35" customHeight="1" x14ac:dyDescent="0.25">
      <c r="A149" s="65" t="str">
        <f>+IF(PROVEEDORES[[#This Row],[FECHA DE PAGO]]=PROVEEDORES[[#This Row],[FECHA DE FACTURACIÓN]],"DE CONTADO","CRÉDITO")</f>
        <v>CRÉDITO</v>
      </c>
      <c r="B149" s="38" t="str">
        <f>+IF((PROVEEDORES[[#This Row],[FECHA DE PAGO]]-PROVEEDORES[[#This Row],[FECHA DE FACTURACIÓN]])&gt;PROVEEDORES[[#This Row],[PLAZO Días]],"PAGO VENCIDO")</f>
        <v>PAGO VENCIDO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0</v>
      </c>
      <c r="E149" s="25"/>
      <c r="F149" s="56" t="str">
        <f>+VLOOKUP(PROVEEDORES[[#This Row],[PROVEEDOR]],
                       Terceros!$A:$F,
                       5,
                       FALSE)</f>
        <v/>
      </c>
      <c r="G149" s="289">
        <v>45257</v>
      </c>
      <c r="H149" s="26" t="s">
        <v>279</v>
      </c>
      <c r="I149" s="289">
        <v>45210</v>
      </c>
      <c r="J149" s="35" t="s">
        <v>1199</v>
      </c>
      <c r="K149" s="21">
        <v>3841000</v>
      </c>
      <c r="L149" s="21"/>
      <c r="M149" s="22">
        <f>(PROVEEDORES[[#This Row],[SUBTOTAL]]-PROVEEDORES[[#This Row],[descuento sobre subtotal]])*VLOOKUP(PROVEEDORES[[#This Row],[PROVEEDOR]],TERCEROS_INFO[#All],3,FALSE)</f>
        <v>0</v>
      </c>
      <c r="N149" s="23"/>
      <c r="O149" s="22">
        <f>+PROVEEDORES[[#This Row],[Descuento sobre subtotal %]]*(PROVEEDORES[[#This Row],[SUBTOTAL]]-PROVEEDORES[[#This Row],[descuento sobre subtotal]])</f>
        <v>0</v>
      </c>
      <c r="P149" s="72">
        <f>+IF(PROVEEDORES[[#This Row],[SUBTOTAL]]&lt;PROVEEDORES[[#This Row],[base retencion]],0,PROVEEDORES[[#This Row],[retención aplicada]])</f>
        <v>0</v>
      </c>
      <c r="Q149" s="22">
        <f>+PROVEEDORES[[#This Row],[Rete Fuente %]]*(PROVEEDORES[[#This Row],[SUBTOTAL]]-PROVEEDORES[[#This Row],[descuento sobre subtotal]])</f>
        <v>0</v>
      </c>
      <c r="R149" s="21">
        <f>+PROVEEDORES[[#This Row],[SUBTOTAL]]+PROVEEDORES[[#This Row],[IVA 19%]]-PROVEEDORES[[#This Row],[descuento sobre subtotal]]-PROVEEDORES[[#This Row],[Descuento sobre subtotal $2]]-PROVEEDORES[[#This Row],[Rete Fuente $]]</f>
        <v>3841000</v>
      </c>
      <c r="S14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1">
        <f ca="1">IF(PROVEEDORES[[#This Row],[FECHA DE PAGO]]=0,TODAY()-PROVEEDORES[[#This Row],[FECHA DE FACTURACIÓN]]-PROVEEDORES[[#This Row],[PLAZO Días]],0)</f>
        <v>0</v>
      </c>
      <c r="U149" s="97">
        <f>+VLOOKUP(PROVEEDORES[[#This Row],[PROVEEDOR]],Terceros!$A:$D,4,FALSE)</f>
        <v>0</v>
      </c>
      <c r="V149" s="98">
        <f>+YEAR(PROVEEDORES[[#This Row],[FECHA DE FACTURACIÓN]])</f>
        <v>2023</v>
      </c>
      <c r="W149" s="98">
        <f>+MATCH(PROVEEDORES[[#This Row],[año facturado]],Retenciones!$1:$1,0)</f>
        <v>6</v>
      </c>
      <c r="X149" s="99">
        <f>+VLOOKUP(PROVEEDORES[[#This Row],[ID RETENCION]],Retenciones!$A$1:$O$25,PROVEEDORES[[#This Row],[indicador de columna]],FALSE)</f>
        <v>0</v>
      </c>
      <c r="Y149" s="100">
        <f>+VLOOKUP(PROVEEDORES[[#This Row],[ID RETENCION]],Retenciones!$A$1:$O$25,2,FALSE)</f>
        <v>0</v>
      </c>
      <c r="Z149" s="103" t="b">
        <f>OR(COUNTIF(PROVEEDORES[[#This Row],[PROVEEDOR]],"*"&amp;'Palabra no opera'!$A$2&amp;"*"))</f>
        <v>0</v>
      </c>
    </row>
    <row r="150" spans="1:26" ht="22.35" customHeight="1" x14ac:dyDescent="0.25">
      <c r="A150" s="65" t="str">
        <f>+IF(PROVEEDORES[[#This Row],[FECHA DE PAGO]]=PROVEEDORES[[#This Row],[FECHA DE FACTURACIÓN]],"DE CONTADO","CRÉDITO")</f>
        <v>DE CONTADO</v>
      </c>
      <c r="B150" s="38" t="b">
        <f>+IF((PROVEEDORES[[#This Row],[FECHA DE PAGO]]-PROVEEDORES[[#This Row],[FECHA DE FACTURACIÓN]])&gt;PROVEEDORES[[#This Row],[PLAZO Días]],"PAGO VENCIDO")</f>
        <v>0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0</v>
      </c>
      <c r="E150" s="25"/>
      <c r="F150" s="56" t="str">
        <f>+VLOOKUP(PROVEEDORES[[#This Row],[PROVEEDOR]],
                       Terceros!$A:$F,
                       5,
                       FALSE)</f>
        <v/>
      </c>
      <c r="G150" s="289">
        <v>45211</v>
      </c>
      <c r="H150" s="26" t="s">
        <v>279</v>
      </c>
      <c r="I150" s="289">
        <v>45211</v>
      </c>
      <c r="J150" s="35" t="s">
        <v>1174</v>
      </c>
      <c r="K150" s="21">
        <v>280331</v>
      </c>
      <c r="L150" s="21"/>
      <c r="M150" s="22">
        <f>(PROVEEDORES[[#This Row],[SUBTOTAL]]-PROVEEDORES[[#This Row],[descuento sobre subtotal]])*VLOOKUP(PROVEEDORES[[#This Row],[PROVEEDOR]],TERCEROS_INFO[#All],3,FALSE)</f>
        <v>0</v>
      </c>
      <c r="N150" s="23"/>
      <c r="O150" s="22">
        <f>+PROVEEDORES[[#This Row],[Descuento sobre subtotal %]]*(PROVEEDORES[[#This Row],[SUBTOTAL]]-PROVEEDORES[[#This Row],[descuento sobre subtotal]])</f>
        <v>0</v>
      </c>
      <c r="P150" s="72">
        <f>+IF(PROVEEDORES[[#This Row],[SUBTOTAL]]&lt;PROVEEDORES[[#This Row],[base retencion]],0,PROVEEDORES[[#This Row],[retención aplicada]])</f>
        <v>0</v>
      </c>
      <c r="Q150" s="22">
        <f>+PROVEEDORES[[#This Row],[Rete Fuente %]]*(PROVEEDORES[[#This Row],[SUBTOTAL]]-PROVEEDORES[[#This Row],[descuento sobre subtotal]])</f>
        <v>0</v>
      </c>
      <c r="R150" s="21">
        <f>+PROVEEDORES[[#This Row],[SUBTOTAL]]+PROVEEDORES[[#This Row],[IVA 19%]]-PROVEEDORES[[#This Row],[descuento sobre subtotal]]-PROVEEDORES[[#This Row],[Descuento sobre subtotal $2]]-PROVEEDORES[[#This Row],[Rete Fuente $]]</f>
        <v>280331</v>
      </c>
      <c r="S1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1">
        <f ca="1">IF(PROVEEDORES[[#This Row],[FECHA DE PAGO]]=0,TODAY()-PROVEEDORES[[#This Row],[FECHA DE FACTURACIÓN]]-PROVEEDORES[[#This Row],[PLAZO Días]],0)</f>
        <v>0</v>
      </c>
      <c r="U150" s="97">
        <f>+VLOOKUP(PROVEEDORES[[#This Row],[PROVEEDOR]],Terceros!$A:$D,4,FALSE)</f>
        <v>0</v>
      </c>
      <c r="V150" s="98">
        <f>+YEAR(PROVEEDORES[[#This Row],[FECHA DE FACTURACIÓN]])</f>
        <v>2023</v>
      </c>
      <c r="W150" s="98">
        <f>+MATCH(PROVEEDORES[[#This Row],[año facturado]],Retenciones!$1:$1,0)</f>
        <v>6</v>
      </c>
      <c r="X150" s="99">
        <f>+VLOOKUP(PROVEEDORES[[#This Row],[ID RETENCION]],Retenciones!$A$1:$O$25,PROVEEDORES[[#This Row],[indicador de columna]],FALSE)</f>
        <v>0</v>
      </c>
      <c r="Y150" s="100">
        <f>+VLOOKUP(PROVEEDORES[[#This Row],[ID RETENCION]],Retenciones!$A$1:$O$25,2,FALSE)</f>
        <v>0</v>
      </c>
      <c r="Z150" s="103" t="b">
        <f>OR(COUNTIF(PROVEEDORES[[#This Row],[PROVEEDOR]],"*"&amp;'Palabra no opera'!$A$2&amp;"*"))</f>
        <v>0</v>
      </c>
    </row>
    <row r="151" spans="1:26" ht="22.35" customHeight="1" x14ac:dyDescent="0.25">
      <c r="A151" s="247" t="str">
        <f>+IF(PROVEEDORES[[#This Row],[FECHA DE PAGO]]=PROVEEDORES[[#This Row],[FECHA DE FACTURACIÓN]],"DE CONTADO","CRÉDITO")</f>
        <v>DE CONTADO</v>
      </c>
      <c r="B151" s="38" t="b">
        <f>+IF((PROVEEDORES[[#This Row],[FECHA DE PAGO]]-PROVEEDORES[[#This Row],[FECHA DE FACTURACIÓN]])&gt;PROVEEDORES[[#This Row],[PLAZO Días]],"PAGO VENCIDO")</f>
        <v>0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0</v>
      </c>
      <c r="E151" s="25"/>
      <c r="F151" s="56" t="str">
        <f>+VLOOKUP(PROVEEDORES[[#This Row],[PROVEEDOR]],
                       Terceros!$A:$F,
                       5,
                       FALSE)</f>
        <v/>
      </c>
      <c r="G151" s="289">
        <v>45220</v>
      </c>
      <c r="H151" s="26" t="s">
        <v>279</v>
      </c>
      <c r="I151" s="289">
        <v>45220</v>
      </c>
      <c r="J151" s="35" t="s">
        <v>1168</v>
      </c>
      <c r="K151" s="21">
        <v>200000</v>
      </c>
      <c r="L151" s="21"/>
      <c r="M151" s="22">
        <f>(PROVEEDORES[[#This Row],[SUBTOTAL]]-PROVEEDORES[[#This Row],[descuento sobre subtotal]])*VLOOKUP(PROVEEDORES[[#This Row],[PROVEEDOR]],TERCEROS_INFO[#All],3,FALSE)</f>
        <v>0</v>
      </c>
      <c r="N151" s="23"/>
      <c r="O151" s="22">
        <f>+PROVEEDORES[[#This Row],[Descuento sobre subtotal %]]*(PROVEEDORES[[#This Row],[SUBTOTAL]]-PROVEEDORES[[#This Row],[descuento sobre subtotal]])</f>
        <v>0</v>
      </c>
      <c r="P151" s="72">
        <f>+IF(PROVEEDORES[[#This Row],[SUBTOTAL]]&lt;PROVEEDORES[[#This Row],[base retencion]],0,PROVEEDORES[[#This Row],[retención aplicada]])</f>
        <v>0</v>
      </c>
      <c r="Q151" s="22">
        <f>+PROVEEDORES[[#This Row],[Rete Fuente %]]*(PROVEEDORES[[#This Row],[SUBTOTAL]]-PROVEEDORES[[#This Row],[descuento sobre subtotal]])</f>
        <v>0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51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1">
        <f ca="1">IF(PROVEEDORES[[#This Row],[FECHA DE PAGO]]=0,TODAY()-PROVEEDORES[[#This Row],[FECHA DE FACTURACIÓN]]-PROVEEDORES[[#This Row],[PLAZO Días]],0)</f>
        <v>0</v>
      </c>
      <c r="U151" s="97">
        <f>+VLOOKUP(PROVEEDORES[[#This Row],[PROVEEDOR]],Terceros!$A:$D,4,FALSE)</f>
        <v>0</v>
      </c>
      <c r="V151" s="98">
        <f>+YEAR(PROVEEDORES[[#This Row],[FECHA DE FACTURACIÓN]])</f>
        <v>2023</v>
      </c>
      <c r="W151" s="98">
        <f>+MATCH(PROVEEDORES[[#This Row],[año facturado]],Retenciones!$1:$1,0)</f>
        <v>6</v>
      </c>
      <c r="X151" s="99">
        <f>+VLOOKUP(PROVEEDORES[[#This Row],[ID RETENCION]],Retenciones!$A$1:$O$25,PROVEEDORES[[#This Row],[indicador de columna]],FALSE)</f>
        <v>0</v>
      </c>
      <c r="Y151" s="100">
        <f>+VLOOKUP(PROVEEDORES[[#This Row],[ID RETENCION]],Retenciones!$A$1:$O$25,2,FALSE)</f>
        <v>0</v>
      </c>
      <c r="Z151" s="103" t="b">
        <f>OR(COUNTIF(PROVEEDORES[[#This Row],[PROVEEDOR]],"*"&amp;'Palabra no opera'!$A$2&amp;"*"))</f>
        <v>0</v>
      </c>
    </row>
    <row r="152" spans="1:26" ht="22.35" customHeight="1" x14ac:dyDescent="0.25">
      <c r="A152" s="65" t="str">
        <f>+IF(PROVEEDORES[[#This Row],[FECHA DE PAGO]]=PROVEEDORES[[#This Row],[FECHA DE FACTURACIÓN]],"DE CONTADO","CRÉDITO")</f>
        <v>DE CONTADO</v>
      </c>
      <c r="B152" s="38" t="b">
        <f>+IF((PROVEEDORES[[#This Row],[FECHA DE PAGO]]-PROVEEDORES[[#This Row],[FECHA DE FACTURACIÓN]])&gt;PROVEEDORES[[#This Row],[PLAZO Días]],"PAGO VENCIDO")</f>
        <v>0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0</v>
      </c>
      <c r="E152" s="25"/>
      <c r="F152" s="56" t="str">
        <f>+VLOOKUP(PROVEEDORES[[#This Row],[PROVEEDOR]],
                       Terceros!$A:$F,
                       5,
                       FALSE)</f>
        <v/>
      </c>
      <c r="G152" s="289">
        <v>45222</v>
      </c>
      <c r="H152" s="26" t="s">
        <v>279</v>
      </c>
      <c r="I152" s="289">
        <v>45222</v>
      </c>
      <c r="J152" s="35" t="s">
        <v>1184</v>
      </c>
      <c r="K152" s="21">
        <v>628650</v>
      </c>
      <c r="L152" s="21"/>
      <c r="M152" s="22">
        <f>(PROVEEDORES[[#This Row],[SUBTOTAL]]-PROVEEDORES[[#This Row],[descuento sobre subtotal]])*VLOOKUP(PROVEEDORES[[#This Row],[PROVEEDOR]],TERCEROS_INFO[#All],3,FALSE)</f>
        <v>0</v>
      </c>
      <c r="N152" s="23"/>
      <c r="O152" s="22">
        <f>+PROVEEDORES[[#This Row],[Descuento sobre subtotal %]]*(PROVEEDORES[[#This Row],[SUBTOTAL]]-PROVEEDORES[[#This Row],[descuento sobre subtotal]])</f>
        <v>0</v>
      </c>
      <c r="P152" s="72">
        <f>+IF(PROVEEDORES[[#This Row],[SUBTOTAL]]&lt;PROVEEDORES[[#This Row],[base retencion]],0,PROVEEDORES[[#This Row],[retención aplicada]])</f>
        <v>0</v>
      </c>
      <c r="Q152" s="22">
        <f>+PROVEEDORES[[#This Row],[Rete Fuente %]]*(PROVEEDORES[[#This Row],[SUBTOTAL]]-PROVEEDORES[[#This Row],[descuento sobre subtotal]])</f>
        <v>0</v>
      </c>
      <c r="R152" s="21">
        <f>+PROVEEDORES[[#This Row],[SUBTOTAL]]+PROVEEDORES[[#This Row],[IVA 19%]]-PROVEEDORES[[#This Row],[descuento sobre subtotal]]-PROVEEDORES[[#This Row],[Descuento sobre subtotal $2]]-PROVEEDORES[[#This Row],[Rete Fuente $]]</f>
        <v>628650</v>
      </c>
      <c r="S1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1">
        <f ca="1">IF(PROVEEDORES[[#This Row],[FECHA DE PAGO]]=0,TODAY()-PROVEEDORES[[#This Row],[FECHA DE FACTURACIÓN]]-PROVEEDORES[[#This Row],[PLAZO Días]],0)</f>
        <v>0</v>
      </c>
      <c r="U152" s="97">
        <f>+VLOOKUP(PROVEEDORES[[#This Row],[PROVEEDOR]],Terceros!$A:$D,4,FALSE)</f>
        <v>0</v>
      </c>
      <c r="V152" s="98">
        <f>+YEAR(PROVEEDORES[[#This Row],[FECHA DE FACTURACIÓN]])</f>
        <v>2023</v>
      </c>
      <c r="W152" s="98">
        <f>+MATCH(PROVEEDORES[[#This Row],[año facturado]],Retenciones!$1:$1,0)</f>
        <v>6</v>
      </c>
      <c r="X152" s="99">
        <f>+VLOOKUP(PROVEEDORES[[#This Row],[ID RETENCION]],Retenciones!$A$1:$O$25,PROVEEDORES[[#This Row],[indicador de columna]],FALSE)</f>
        <v>0</v>
      </c>
      <c r="Y152" s="100">
        <f>+VLOOKUP(PROVEEDORES[[#This Row],[ID RETENCION]],Retenciones!$A$1:$O$25,2,FALSE)</f>
        <v>0</v>
      </c>
      <c r="Z152" s="103" t="b">
        <f>OR(COUNTIF(PROVEEDORES[[#This Row],[PROVEEDOR]],"*"&amp;'Palabra no opera'!$A$2&amp;"*"))</f>
        <v>0</v>
      </c>
    </row>
    <row r="153" spans="1:26" ht="22.35" customHeight="1" x14ac:dyDescent="0.25">
      <c r="A153" s="65" t="str">
        <f>+IF(PROVEEDORES[[#This Row],[FECHA DE PAGO]]=PROVEEDORES[[#This Row],[FECHA DE FACTURACIÓN]],"DE CONTADO","CRÉDITO")</f>
        <v>DE CONTADO</v>
      </c>
      <c r="B153" s="38" t="b">
        <f>+IF((PROVEEDORES[[#This Row],[FECHA DE PAGO]]-PROVEEDORES[[#This Row],[FECHA DE FACTURACIÓN]])&gt;PROVEEDORES[[#This Row],[PLAZO Días]],"PAGO VENCIDO")</f>
        <v>0</v>
      </c>
      <c r="C153" s="20">
        <f>+VLOOKUP(PROVEEDORES[[#This Row],[PROVEEDOR]],TERCEROS_INFO[#All],2,FALSE)</f>
        <v>30</v>
      </c>
      <c r="D153" s="25">
        <f>+SUMIFS(PROVEEDORES[Total],PROVEEDORES[PROVEEDOR],PROVEEDORES[[#This Row],[PROVEEDOR]],PROVEEDORES[FECHA DE PAGO],"")</f>
        <v>0</v>
      </c>
      <c r="E153" s="25"/>
      <c r="F153" s="56" t="str">
        <f>+VLOOKUP(PROVEEDORES[[#This Row],[PROVEEDOR]],
                       Terceros!$A:$F,
                       5,
                       FALSE)</f>
        <v/>
      </c>
      <c r="G153" s="289">
        <v>45222</v>
      </c>
      <c r="H153" s="26" t="s">
        <v>279</v>
      </c>
      <c r="I153" s="289">
        <v>45222</v>
      </c>
      <c r="J153" s="35" t="s">
        <v>1185</v>
      </c>
      <c r="K153" s="21">
        <v>172600</v>
      </c>
      <c r="L153" s="21"/>
      <c r="M153" s="22">
        <f>(PROVEEDORES[[#This Row],[SUBTOTAL]]-PROVEEDORES[[#This Row],[descuento sobre subtotal]])*VLOOKUP(PROVEEDORES[[#This Row],[PROVEEDOR]],TERCEROS_INFO[#All],3,FALSE)</f>
        <v>0</v>
      </c>
      <c r="N153" s="23"/>
      <c r="O153" s="22">
        <f>+PROVEEDORES[[#This Row],[Descuento sobre subtotal %]]*(PROVEEDORES[[#This Row],[SUBTOTAL]]-PROVEEDORES[[#This Row],[descuento sobre subtotal]])</f>
        <v>0</v>
      </c>
      <c r="P153" s="72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f>+PROVEEDORES[[#This Row],[SUBTOTAL]]+PROVEEDORES[[#This Row],[IVA 19%]]-PROVEEDORES[[#This Row],[descuento sobre subtotal]]-PROVEEDORES[[#This Row],[Descuento sobre subtotal $2]]-PROVEEDORES[[#This Row],[Rete Fuente $]]</f>
        <v>172600</v>
      </c>
      <c r="S15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1">
        <f ca="1">IF(PROVEEDORES[[#This Row],[FECHA DE PAGO]]=0,TODAY()-PROVEEDORES[[#This Row],[FECHA DE FACTURACIÓN]]-PROVEEDORES[[#This Row],[PLAZO Días]],0)</f>
        <v>0</v>
      </c>
      <c r="U153" s="97">
        <f>+VLOOKUP(PROVEEDORES[[#This Row],[PROVEEDOR]],Terceros!$A:$D,4,FALSE)</f>
        <v>0</v>
      </c>
      <c r="V153" s="98">
        <f>+YEAR(PROVEEDORES[[#This Row],[FECHA DE FACTURACIÓN]])</f>
        <v>2023</v>
      </c>
      <c r="W153" s="98">
        <f>+MATCH(PROVEEDORES[[#This Row],[año facturado]],Retenciones!$1:$1,0)</f>
        <v>6</v>
      </c>
      <c r="X153" s="99">
        <f>+VLOOKUP(PROVEEDORES[[#This Row],[ID RETENCION]],Retenciones!$A$1:$O$25,PROVEEDORES[[#This Row],[indicador de columna]],FALSE)</f>
        <v>0</v>
      </c>
      <c r="Y153" s="100">
        <f>+VLOOKUP(PROVEEDORES[[#This Row],[ID RETENCION]],Retenciones!$A$1:$O$25,2,FALSE)</f>
        <v>0</v>
      </c>
      <c r="Z153" s="103" t="b">
        <f>OR(COUNTIF(PROVEEDORES[[#This Row],[PROVEEDOR]],"*"&amp;'Palabra no opera'!$A$2&amp;"*"))</f>
        <v>0</v>
      </c>
    </row>
    <row r="154" spans="1:26" ht="22.35" customHeight="1" x14ac:dyDescent="0.25">
      <c r="A154" s="65" t="str">
        <f>+IF(PROVEEDORES[[#This Row],[FECHA DE PAGO]]=PROVEEDORES[[#This Row],[FECHA DE FACTURACIÓN]],"DE CONTADO","CRÉDITO")</f>
        <v>DE CONTADO</v>
      </c>
      <c r="B154" s="38" t="b">
        <f>+IF((PROVEEDORES[[#This Row],[FECHA DE PAGO]]-PROVEEDORES[[#This Row],[FECHA DE FACTURACIÓN]])&gt;PROVEEDORES[[#This Row],[PLAZO Días]],"PAGO VENCIDO")</f>
        <v>0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0</v>
      </c>
      <c r="E154" s="25"/>
      <c r="F154" s="56" t="str">
        <f>+VLOOKUP(PROVEEDORES[[#This Row],[PROVEEDOR]],
                       Terceros!$A:$F,
                       5,
                       FALSE)</f>
        <v/>
      </c>
      <c r="G154" s="289">
        <v>45222</v>
      </c>
      <c r="H154" s="26" t="s">
        <v>279</v>
      </c>
      <c r="I154" s="289">
        <v>45222</v>
      </c>
      <c r="J154" s="35" t="s">
        <v>1186</v>
      </c>
      <c r="K154" s="21">
        <v>2000000</v>
      </c>
      <c r="L154" s="21"/>
      <c r="M154" s="22">
        <f>(PROVEEDORES[[#This Row],[SUBTOTAL]]-PROVEEDORES[[#This Row],[descuento sobre subtotal]])*VLOOKUP(PROVEEDORES[[#This Row],[PROVEEDOR]],TERCEROS_INFO[#All],3,FALSE)</f>
        <v>0</v>
      </c>
      <c r="N154" s="23"/>
      <c r="O154" s="22">
        <f>+PROVEEDORES[[#This Row],[Descuento sobre subtotal %]]*(PROVEEDORES[[#This Row],[SUBTOTAL]]-PROVEEDORES[[#This Row],[descuento sobre subtotal]])</f>
        <v>0</v>
      </c>
      <c r="P154" s="72">
        <f>+IF(PROVEEDORES[[#This Row],[SUBTOTAL]]&lt;PROVEEDORES[[#This Row],[base retencion]],0,PROVEEDORES[[#This Row],[retención aplicada]])</f>
        <v>0</v>
      </c>
      <c r="Q154" s="22">
        <f>+PROVEEDORES[[#This Row],[Rete Fuente %]]*(PROVEEDORES[[#This Row],[SUBTOTAL]]-PROVEEDORES[[#This Row],[descuento sobre subtotal]])</f>
        <v>0</v>
      </c>
      <c r="R154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1">
        <f ca="1">IF(PROVEEDORES[[#This Row],[FECHA DE PAGO]]=0,TODAY()-PROVEEDORES[[#This Row],[FECHA DE FACTURACIÓN]]-PROVEEDORES[[#This Row],[PLAZO Días]],0)</f>
        <v>0</v>
      </c>
      <c r="U154" s="97">
        <f>+VLOOKUP(PROVEEDORES[[#This Row],[PROVEEDOR]],Terceros!$A:$D,4,FALSE)</f>
        <v>0</v>
      </c>
      <c r="V154" s="98">
        <f>+YEAR(PROVEEDORES[[#This Row],[FECHA DE FACTURACIÓN]])</f>
        <v>2023</v>
      </c>
      <c r="W154" s="98">
        <f>+MATCH(PROVEEDORES[[#This Row],[año facturado]],Retenciones!$1:$1,0)</f>
        <v>6</v>
      </c>
      <c r="X154" s="99">
        <f>+VLOOKUP(PROVEEDORES[[#This Row],[ID RETENCION]],Retenciones!$A$1:$O$25,PROVEEDORES[[#This Row],[indicador de columna]],FALSE)</f>
        <v>0</v>
      </c>
      <c r="Y154" s="100">
        <f>+VLOOKUP(PROVEEDORES[[#This Row],[ID RETENCION]],Retenciones!$A$1:$O$25,2,FALSE)</f>
        <v>0</v>
      </c>
      <c r="Z154" s="103" t="b">
        <f>OR(COUNTIF(PROVEEDORES[[#This Row],[PROVEEDOR]],"*"&amp;'Palabra no opera'!$A$2&amp;"*"))</f>
        <v>0</v>
      </c>
    </row>
    <row r="155" spans="1:26" ht="22.35" customHeight="1" x14ac:dyDescent="0.25">
      <c r="A155" s="247" t="str">
        <f>+IF(PROVEEDORES[[#This Row],[FECHA DE PAGO]]=PROVEEDORES[[#This Row],[FECHA DE FACTURACIÓN]],"DE CONTADO","CRÉDITO")</f>
        <v>DE CONTADO</v>
      </c>
      <c r="B155" s="38" t="b">
        <f>+IF((PROVEEDORES[[#This Row],[FECHA DE PAGO]]-PROVEEDORES[[#This Row],[FECHA DE FACTURACIÓN]])&gt;PROVEEDORES[[#This Row],[PLAZO Días]],"PAGO VENCIDO")</f>
        <v>0</v>
      </c>
      <c r="C155" s="20">
        <f>+VLOOKUP(PROVEEDORES[[#This Row],[PROVEEDOR]],TERCEROS_INFO[#All],2,FALSE)</f>
        <v>30</v>
      </c>
      <c r="D155" s="25">
        <f>+SUMIFS(PROVEEDORES[Total],PROVEEDORES[PROVEEDOR],PROVEEDORES[[#This Row],[PROVEEDOR]],PROVEEDORES[FECHA DE PAGO],"")</f>
        <v>0</v>
      </c>
      <c r="E155" s="25"/>
      <c r="F155" s="56" t="str">
        <f>+VLOOKUP(PROVEEDORES[[#This Row],[PROVEEDOR]],
                       Terceros!$A:$F,
                       5,
                       FALSE)</f>
        <v/>
      </c>
      <c r="G155" s="289">
        <v>45222</v>
      </c>
      <c r="H155" s="26" t="s">
        <v>279</v>
      </c>
      <c r="I155" s="289">
        <v>45222</v>
      </c>
      <c r="J155" s="35" t="s">
        <v>1189</v>
      </c>
      <c r="K155" s="21">
        <v>245000</v>
      </c>
      <c r="L155" s="21"/>
      <c r="M155" s="22">
        <f>(PROVEEDORES[[#This Row],[SUBTOTAL]]-PROVEEDORES[[#This Row],[descuento sobre subtotal]])*VLOOKUP(PROVEEDORES[[#This Row],[PROVEEDOR]],TERCEROS_INFO[#All],3,FALSE)</f>
        <v>0</v>
      </c>
      <c r="N155" s="23"/>
      <c r="O155" s="22">
        <f>+PROVEEDORES[[#This Row],[Descuento sobre subtotal %]]*(PROVEEDORES[[#This Row],[SUBTOTAL]]-PROVEEDORES[[#This Row],[descuento sobre subtotal]])</f>
        <v>0</v>
      </c>
      <c r="P155" s="72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15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1">
        <f ca="1">IF(PROVEEDORES[[#This Row],[FECHA DE PAGO]]=0,TODAY()-PROVEEDORES[[#This Row],[FECHA DE FACTURACIÓN]]-PROVEEDORES[[#This Row],[PLAZO Días]],0)</f>
        <v>0</v>
      </c>
      <c r="U155" s="97">
        <f>+VLOOKUP(PROVEEDORES[[#This Row],[PROVEEDOR]],Terceros!$A:$D,4,FALSE)</f>
        <v>0</v>
      </c>
      <c r="V155" s="98">
        <f>+YEAR(PROVEEDORES[[#This Row],[FECHA DE FACTURACIÓN]])</f>
        <v>2023</v>
      </c>
      <c r="W155" s="98">
        <f>+MATCH(PROVEEDORES[[#This Row],[año facturado]],Retenciones!$1:$1,0)</f>
        <v>6</v>
      </c>
      <c r="X155" s="99">
        <f>+VLOOKUP(PROVEEDORES[[#This Row],[ID RETENCION]],Retenciones!$A$1:$O$25,PROVEEDORES[[#This Row],[indicador de columna]],FALSE)</f>
        <v>0</v>
      </c>
      <c r="Y155" s="100">
        <f>+VLOOKUP(PROVEEDORES[[#This Row],[ID RETENCION]],Retenciones!$A$1:$O$25,2,FALSE)</f>
        <v>0</v>
      </c>
      <c r="Z155" s="103" t="b">
        <f>OR(COUNTIF(PROVEEDORES[[#This Row],[PROVEEDOR]],"*"&amp;'Palabra no opera'!$A$2&amp;"*"))</f>
        <v>0</v>
      </c>
    </row>
    <row r="156" spans="1:26" ht="22.35" customHeight="1" x14ac:dyDescent="0.25">
      <c r="A156" s="247" t="str">
        <f>+IF(PROVEEDORES[[#This Row],[FECHA DE PAGO]]=PROVEEDORES[[#This Row],[FECHA DE FACTURACIÓN]],"DE CONTADO","CRÉDITO")</f>
        <v>DE CONTADO</v>
      </c>
      <c r="B156" s="38" t="b">
        <f>+IF((PROVEEDORES[[#This Row],[FECHA DE PAGO]]-PROVEEDORES[[#This Row],[FECHA DE FACTURACIÓN]])&gt;PROVEEDORES[[#This Row],[PLAZO Días]],"PAGO VENCIDO")</f>
        <v>0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6" t="str">
        <f>+VLOOKUP(PROVEEDORES[[#This Row],[PROVEEDOR]],
                       Terceros!$A:$F,
                       5,
                       FALSE)</f>
        <v/>
      </c>
      <c r="G156" s="289">
        <v>45222</v>
      </c>
      <c r="H156" s="26" t="s">
        <v>279</v>
      </c>
      <c r="I156" s="289">
        <v>45222</v>
      </c>
      <c r="J156" s="35" t="s">
        <v>1190</v>
      </c>
      <c r="K156" s="21">
        <v>621000</v>
      </c>
      <c r="L156" s="21"/>
      <c r="M156" s="22">
        <f>(PROVEEDORES[[#This Row],[SUBTOTAL]]-PROVEEDORES[[#This Row],[descuento sobre subtotal]])*VLOOKUP(PROVEEDORES[[#This Row],[PROVEEDOR]],TERCEROS_INFO[#All],3,FALSE)</f>
        <v>0</v>
      </c>
      <c r="N156" s="23"/>
      <c r="O156" s="22">
        <f>+PROVEEDORES[[#This Row],[Descuento sobre subtotal %]]*(PROVEEDORES[[#This Row],[SUBTOTAL]]-PROVEEDORES[[#This Row],[descuento sobre subtotal]])</f>
        <v>0</v>
      </c>
      <c r="P156" s="72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f>+PROVEEDORES[[#This Row],[SUBTOTAL]]+PROVEEDORES[[#This Row],[IVA 19%]]-PROVEEDORES[[#This Row],[descuento sobre subtotal]]-PROVEEDORES[[#This Row],[Descuento sobre subtotal $2]]-PROVEEDORES[[#This Row],[Rete Fuente $]]</f>
        <v>621000</v>
      </c>
      <c r="S156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1">
        <f ca="1">IF(PROVEEDORES[[#This Row],[FECHA DE PAGO]]=0,TODAY()-PROVEEDORES[[#This Row],[FECHA DE FACTURACIÓN]]-PROVEEDORES[[#This Row],[PLAZO Días]],0)</f>
        <v>0</v>
      </c>
      <c r="U156" s="97">
        <f>+VLOOKUP(PROVEEDORES[[#This Row],[PROVEEDOR]],Terceros!$A:$D,4,FALSE)</f>
        <v>0</v>
      </c>
      <c r="V156" s="98">
        <f>+YEAR(PROVEEDORES[[#This Row],[FECHA DE FACTURACIÓN]])</f>
        <v>2023</v>
      </c>
      <c r="W156" s="98">
        <f>+MATCH(PROVEEDORES[[#This Row],[año facturado]],Retenciones!$1:$1,0)</f>
        <v>6</v>
      </c>
      <c r="X156" s="99">
        <f>+VLOOKUP(PROVEEDORES[[#This Row],[ID RETENCION]],Retenciones!$A$1:$O$25,PROVEEDORES[[#This Row],[indicador de columna]],FALSE)</f>
        <v>0</v>
      </c>
      <c r="Y156" s="100">
        <f>+VLOOKUP(PROVEEDORES[[#This Row],[ID RETENCION]],Retenciones!$A$1:$O$25,2,FALSE)</f>
        <v>0</v>
      </c>
      <c r="Z156" s="103" t="b">
        <f>OR(COUNTIF(PROVEEDORES[[#This Row],[PROVEEDOR]],"*"&amp;'Palabra no opera'!$A$2&amp;"*"))</f>
        <v>0</v>
      </c>
    </row>
    <row r="157" spans="1:26" ht="22.35" customHeight="1" x14ac:dyDescent="0.25">
      <c r="A157" s="247" t="str">
        <f>+IF(PROVEEDORES[[#This Row],[FECHA DE PAGO]]=PROVEEDORES[[#This Row],[FECHA DE FACTURACIÓN]],"DE CONTADO","CRÉDITO")</f>
        <v>DE CONTADO</v>
      </c>
      <c r="B157" s="38" t="b">
        <f>+IF((PROVEEDORES[[#This Row],[FECHA DE PAGO]]-PROVEEDORES[[#This Row],[FECHA DE FACTURACIÓN]])&gt;PROVEEDORES[[#This Row],[PLAZO Días]],"PAGO VENCIDO")</f>
        <v>0</v>
      </c>
      <c r="C157" s="20">
        <f>+VLOOKUP(PROVEEDORES[[#This Row],[PROVEEDOR]],TERCEROS_INFO[#All],2,FALSE)</f>
        <v>30</v>
      </c>
      <c r="D157" s="25">
        <f>+SUMIFS(PROVEEDORES[Total],PROVEEDORES[PROVEEDOR],PROVEEDORES[[#This Row],[PROVEEDOR]],PROVEEDORES[FECHA DE PAGO],"")</f>
        <v>0</v>
      </c>
      <c r="E157" s="25"/>
      <c r="F157" s="56" t="str">
        <f>+VLOOKUP(PROVEEDORES[[#This Row],[PROVEEDOR]],
                       Terceros!$A:$F,
                       5,
                       FALSE)</f>
        <v/>
      </c>
      <c r="G157" s="289">
        <v>45222</v>
      </c>
      <c r="H157" s="26" t="s">
        <v>279</v>
      </c>
      <c r="I157" s="289">
        <v>45222</v>
      </c>
      <c r="J157" s="35" t="s">
        <v>1191</v>
      </c>
      <c r="K157" s="21">
        <v>1200000</v>
      </c>
      <c r="L157" s="21"/>
      <c r="M157" s="22">
        <f>(PROVEEDORES[[#This Row],[SUBTOTAL]]-PROVEEDORES[[#This Row],[descuento sobre subtotal]])*VLOOKUP(PROVEEDORES[[#This Row],[PROVEEDOR]],TERCEROS_INFO[#All],3,FALSE)</f>
        <v>0</v>
      </c>
      <c r="N157" s="23"/>
      <c r="O157" s="22">
        <f>+PROVEEDORES[[#This Row],[Descuento sobre subtotal %]]*(PROVEEDORES[[#This Row],[SUBTOTAL]]-PROVEEDORES[[#This Row],[descuento sobre subtotal]])</f>
        <v>0</v>
      </c>
      <c r="P157" s="72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157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1">
        <f ca="1">IF(PROVEEDORES[[#This Row],[FECHA DE PAGO]]=0,TODAY()-PROVEEDORES[[#This Row],[FECHA DE FACTURACIÓN]]-PROVEEDORES[[#This Row],[PLAZO Días]],0)</f>
        <v>0</v>
      </c>
      <c r="U157" s="97">
        <f>+VLOOKUP(PROVEEDORES[[#This Row],[PROVEEDOR]],Terceros!$A:$D,4,FALSE)</f>
        <v>0</v>
      </c>
      <c r="V157" s="98">
        <f>+YEAR(PROVEEDORES[[#This Row],[FECHA DE FACTURACIÓN]])</f>
        <v>2023</v>
      </c>
      <c r="W157" s="98">
        <f>+MATCH(PROVEEDORES[[#This Row],[año facturado]],Retenciones!$1:$1,0)</f>
        <v>6</v>
      </c>
      <c r="X157" s="99">
        <f>+VLOOKUP(PROVEEDORES[[#This Row],[ID RETENCION]],Retenciones!$A$1:$O$25,PROVEEDORES[[#This Row],[indicador de columna]],FALSE)</f>
        <v>0</v>
      </c>
      <c r="Y157" s="100">
        <f>+VLOOKUP(PROVEEDORES[[#This Row],[ID RETENCION]],Retenciones!$A$1:$O$25,2,FALSE)</f>
        <v>0</v>
      </c>
      <c r="Z157" s="103" t="b">
        <f>OR(COUNTIF(PROVEEDORES[[#This Row],[PROVEEDOR]],"*"&amp;'Palabra no opera'!$A$2&amp;"*"))</f>
        <v>0</v>
      </c>
    </row>
    <row r="158" spans="1:26" ht="22.35" customHeight="1" x14ac:dyDescent="0.25">
      <c r="A158" s="247" t="str">
        <f>+IF(PROVEEDORES[[#This Row],[FECHA DE PAGO]]=PROVEEDORES[[#This Row],[FECHA DE FACTURACIÓN]],"DE CONTADO","CRÉDITO")</f>
        <v>DE CONTADO</v>
      </c>
      <c r="B158" s="38" t="b">
        <f>+IF((PROVEEDORES[[#This Row],[FECHA DE PAGO]]-PROVEEDORES[[#This Row],[FECHA DE FACTURACIÓN]])&gt;PROVEEDORES[[#This Row],[PLAZO Días]],"PAGO VENCIDO")</f>
        <v>0</v>
      </c>
      <c r="C158" s="20">
        <f>+VLOOKUP(PROVEEDORES[[#This Row],[PROVEEDOR]],TERCEROS_INFO[#All],2,FALSE)</f>
        <v>30</v>
      </c>
      <c r="D158" s="25">
        <f>+SUMIFS(PROVEEDORES[Total],PROVEEDORES[PROVEEDOR],PROVEEDORES[[#This Row],[PROVEEDOR]],PROVEEDORES[FECHA DE PAGO],"")</f>
        <v>0</v>
      </c>
      <c r="E158" s="25"/>
      <c r="F158" s="56" t="str">
        <f>+VLOOKUP(PROVEEDORES[[#This Row],[PROVEEDOR]],
                       Terceros!$A:$F,
                       5,
                       FALSE)</f>
        <v/>
      </c>
      <c r="G158" s="289">
        <v>45226</v>
      </c>
      <c r="H158" s="26" t="s">
        <v>279</v>
      </c>
      <c r="I158" s="289">
        <v>45226</v>
      </c>
      <c r="J158" s="35" t="s">
        <v>1168</v>
      </c>
      <c r="K158" s="21">
        <v>200000</v>
      </c>
      <c r="L158" s="21"/>
      <c r="M158" s="22">
        <f>(PROVEEDORES[[#This Row],[SUBTOTAL]]-PROVEEDORES[[#This Row],[descuento sobre subtotal]])*VLOOKUP(PROVEEDORES[[#This Row],[PROVEEDOR]],TERCEROS_INFO[#All],3,FALSE)</f>
        <v>0</v>
      </c>
      <c r="N158" s="23"/>
      <c r="O158" s="22">
        <f>+PROVEEDORES[[#This Row],[Descuento sobre subtotal %]]*(PROVEEDORES[[#This Row],[SUBTOTAL]]-PROVEEDORES[[#This Row],[descuento sobre subtotal]])</f>
        <v>0</v>
      </c>
      <c r="P158" s="72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58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1">
        <f ca="1">IF(PROVEEDORES[[#This Row],[FECHA DE PAGO]]=0,TODAY()-PROVEEDORES[[#This Row],[FECHA DE FACTURACIÓN]]-PROVEEDORES[[#This Row],[PLAZO Días]],0)</f>
        <v>0</v>
      </c>
      <c r="U158" s="97">
        <f>+VLOOKUP(PROVEEDORES[[#This Row],[PROVEEDOR]],Terceros!$A:$D,4,FALSE)</f>
        <v>0</v>
      </c>
      <c r="V158" s="98">
        <f>+YEAR(PROVEEDORES[[#This Row],[FECHA DE FACTURACIÓN]])</f>
        <v>2023</v>
      </c>
      <c r="W158" s="98">
        <f>+MATCH(PROVEEDORES[[#This Row],[año facturado]],Retenciones!$1:$1,0)</f>
        <v>6</v>
      </c>
      <c r="X158" s="99">
        <f>+VLOOKUP(PROVEEDORES[[#This Row],[ID RETENCION]],Retenciones!$A$1:$O$25,PROVEEDORES[[#This Row],[indicador de columna]],FALSE)</f>
        <v>0</v>
      </c>
      <c r="Y158" s="100">
        <f>+VLOOKUP(PROVEEDORES[[#This Row],[ID RETENCION]],Retenciones!$A$1:$O$25,2,FALSE)</f>
        <v>0</v>
      </c>
      <c r="Z158" s="103" t="b">
        <f>OR(COUNTIF(PROVEEDORES[[#This Row],[PROVEEDOR]],"*"&amp;'Palabra no opera'!$A$2&amp;"*"))</f>
        <v>0</v>
      </c>
    </row>
    <row r="159" spans="1:26" ht="22.35" customHeight="1" x14ac:dyDescent="0.25">
      <c r="A159" s="249" t="str">
        <f>+IF(PROVEEDORES[[#This Row],[FECHA DE PAGO]]=PROVEEDORES[[#This Row],[FECHA DE FACTURACIÓN]],"DE CONTADO","CRÉDITO")</f>
        <v>DE CONTADO</v>
      </c>
      <c r="B159" s="38" t="b">
        <f>+IF((PROVEEDORES[[#This Row],[FECHA DE PAGO]]-PROVEEDORES[[#This Row],[FECHA DE FACTURACIÓN]])&gt;PROVEEDORES[[#This Row],[PLAZO Días]],"PAGO VENCIDO")</f>
        <v>0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0</v>
      </c>
      <c r="E159" s="25"/>
      <c r="F159" s="56" t="str">
        <f>+VLOOKUP(PROVEEDORES[[#This Row],[PROVEEDOR]],
                       Terceros!$A:$F,
                       5,
                       FALSE)</f>
        <v/>
      </c>
      <c r="G159" s="289">
        <v>45230</v>
      </c>
      <c r="H159" s="26" t="s">
        <v>279</v>
      </c>
      <c r="I159" s="289">
        <v>45230</v>
      </c>
      <c r="J159" s="35" t="s">
        <v>517</v>
      </c>
      <c r="K159" s="21">
        <v>1574050</v>
      </c>
      <c r="L159" s="21"/>
      <c r="M159" s="22">
        <f>(PROVEEDORES[[#This Row],[SUBTOTAL]]-PROVEEDORES[[#This Row],[descuento sobre subtotal]])*VLOOKUP(PROVEEDORES[[#This Row],[PROVEEDOR]],TERCEROS_INFO[#All],3,FALSE)</f>
        <v>0</v>
      </c>
      <c r="N159" s="23"/>
      <c r="O159" s="22">
        <f>+PROVEEDORES[[#This Row],[Descuento sobre subtotal %]]*(PROVEEDORES[[#This Row],[SUBTOTAL]]-PROVEEDORES[[#This Row],[descuento sobre subtotal]])</f>
        <v>0</v>
      </c>
      <c r="P159" s="72">
        <f>+IF(PROVEEDORES[[#This Row],[SUBTOTAL]]&lt;PROVEEDORES[[#This Row],[base retencion]],0,PROVEEDORES[[#This Row],[retención aplicada]])</f>
        <v>0</v>
      </c>
      <c r="Q159" s="22">
        <f>+PROVEEDORES[[#This Row],[Rete Fuente %]]*(PROVEEDORES[[#This Row],[SUBTOTAL]]-PROVEEDORES[[#This Row],[descuento sobre subtotal]])</f>
        <v>0</v>
      </c>
      <c r="R159" s="21">
        <f>+PROVEEDORES[[#This Row],[SUBTOTAL]]+PROVEEDORES[[#This Row],[IVA 19%]]-PROVEEDORES[[#This Row],[descuento sobre subtotal]]-PROVEEDORES[[#This Row],[Descuento sobre subtotal $2]]-PROVEEDORES[[#This Row],[Rete Fuente $]]</f>
        <v>1574050</v>
      </c>
      <c r="S159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1">
        <f ca="1">IF(PROVEEDORES[[#This Row],[FECHA DE PAGO]]=0,TODAY()-PROVEEDORES[[#This Row],[FECHA DE FACTURACIÓN]]-PROVEEDORES[[#This Row],[PLAZO Días]],0)</f>
        <v>0</v>
      </c>
      <c r="U159" s="97">
        <f>+VLOOKUP(PROVEEDORES[[#This Row],[PROVEEDOR]],Terceros!$A:$D,4,FALSE)</f>
        <v>0</v>
      </c>
      <c r="V159" s="98">
        <f>+YEAR(PROVEEDORES[[#This Row],[FECHA DE FACTURACIÓN]])</f>
        <v>2023</v>
      </c>
      <c r="W159" s="98">
        <f>+MATCH(PROVEEDORES[[#This Row],[año facturado]],Retenciones!$1:$1,0)</f>
        <v>6</v>
      </c>
      <c r="X159" s="99">
        <f>+VLOOKUP(PROVEEDORES[[#This Row],[ID RETENCION]],Retenciones!$A$1:$O$25,PROVEEDORES[[#This Row],[indicador de columna]],FALSE)</f>
        <v>0</v>
      </c>
      <c r="Y159" s="100">
        <f>+VLOOKUP(PROVEEDORES[[#This Row],[ID RETENCION]],Retenciones!$A$1:$O$25,2,FALSE)</f>
        <v>0</v>
      </c>
      <c r="Z159" s="103" t="b">
        <f>OR(COUNTIF(PROVEEDORES[[#This Row],[PROVEEDOR]],"*"&amp;'Palabra no opera'!$A$2&amp;"*"))</f>
        <v>0</v>
      </c>
    </row>
    <row r="160" spans="1:26" ht="22.35" customHeight="1" x14ac:dyDescent="0.25">
      <c r="A160" s="249" t="str">
        <f>+IF(PROVEEDORES[[#This Row],[FECHA DE PAGO]]=PROVEEDORES[[#This Row],[FECHA DE FACTURACIÓN]],"DE CONTADO","CRÉDITO")</f>
        <v>DE CONTADO</v>
      </c>
      <c r="B160" s="38" t="b">
        <f>+IF((PROVEEDORES[[#This Row],[FECHA DE PAGO]]-PROVEEDORES[[#This Row],[FECHA DE FACTURACIÓN]])&gt;PROVEEDORES[[#This Row],[PLAZO Días]],"PAGO VENCIDO")</f>
        <v>0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0</v>
      </c>
      <c r="E160" s="25"/>
      <c r="F160" s="56" t="str">
        <f>+VLOOKUP(PROVEEDORES[[#This Row],[PROVEEDOR]],
                       Terceros!$A:$F,
                       5,
                       FALSE)</f>
        <v/>
      </c>
      <c r="G160" s="289">
        <v>45230</v>
      </c>
      <c r="H160" s="26" t="s">
        <v>279</v>
      </c>
      <c r="I160" s="289">
        <v>45230</v>
      </c>
      <c r="J160" s="35" t="s">
        <v>516</v>
      </c>
      <c r="K160" s="21">
        <v>267000</v>
      </c>
      <c r="L160" s="21"/>
      <c r="M160" s="22">
        <f>(PROVEEDORES[[#This Row],[SUBTOTAL]]-PROVEEDORES[[#This Row],[descuento sobre subtotal]])*VLOOKUP(PROVEEDORES[[#This Row],[PROVEEDOR]],TERCEROS_INFO[#All],3,FALSE)</f>
        <v>0</v>
      </c>
      <c r="N160" s="23"/>
      <c r="O160" s="22">
        <f>+PROVEEDORES[[#This Row],[Descuento sobre subtotal %]]*(PROVEEDORES[[#This Row],[SUBTOTAL]]-PROVEEDORES[[#This Row],[descuento sobre subtotal]])</f>
        <v>0</v>
      </c>
      <c r="P160" s="72">
        <f>+IF(PROVEEDORES[[#This Row],[SUBTOTAL]]&lt;PROVEEDORES[[#This Row],[base retencion]],0,PROVEEDORES[[#This Row],[retención aplicada]])</f>
        <v>0</v>
      </c>
      <c r="Q160" s="22">
        <f>+PROVEEDORES[[#This Row],[Rete Fuente %]]*(PROVEEDORES[[#This Row],[SUBTOTAL]]-PROVEEDORES[[#This Row],[descuento sobre subtotal]])</f>
        <v>0</v>
      </c>
      <c r="R160" s="21">
        <f>+PROVEEDORES[[#This Row],[SUBTOTAL]]+PROVEEDORES[[#This Row],[IVA 19%]]-PROVEEDORES[[#This Row],[descuento sobre subtotal]]-PROVEEDORES[[#This Row],[Descuento sobre subtotal $2]]-PROVEEDORES[[#This Row],[Rete Fuente $]]</f>
        <v>267000</v>
      </c>
      <c r="S160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1">
        <f ca="1">IF(PROVEEDORES[[#This Row],[FECHA DE PAGO]]=0,TODAY()-PROVEEDORES[[#This Row],[FECHA DE FACTURACIÓN]]-PROVEEDORES[[#This Row],[PLAZO Días]],0)</f>
        <v>0</v>
      </c>
      <c r="U160" s="97">
        <f>+VLOOKUP(PROVEEDORES[[#This Row],[PROVEEDOR]],Terceros!$A:$D,4,FALSE)</f>
        <v>0</v>
      </c>
      <c r="V160" s="98">
        <f>+YEAR(PROVEEDORES[[#This Row],[FECHA DE FACTURACIÓN]])</f>
        <v>2023</v>
      </c>
      <c r="W160" s="98">
        <f>+MATCH(PROVEEDORES[[#This Row],[año facturado]],Retenciones!$1:$1,0)</f>
        <v>6</v>
      </c>
      <c r="X160" s="99">
        <f>+VLOOKUP(PROVEEDORES[[#This Row],[ID RETENCION]],Retenciones!$A$1:$O$25,PROVEEDORES[[#This Row],[indicador de columna]],FALSE)</f>
        <v>0</v>
      </c>
      <c r="Y160" s="100">
        <f>+VLOOKUP(PROVEEDORES[[#This Row],[ID RETENCION]],Retenciones!$A$1:$O$25,2,FALSE)</f>
        <v>0</v>
      </c>
      <c r="Z160" s="103" t="b">
        <f>OR(COUNTIF(PROVEEDORES[[#This Row],[PROVEEDOR]],"*"&amp;'Palabra no opera'!$A$2&amp;"*"))</f>
        <v>0</v>
      </c>
    </row>
    <row r="161" spans="1:31" s="189" customFormat="1" ht="22.35" customHeight="1" x14ac:dyDescent="0.25">
      <c r="A161" s="249" t="str">
        <f>+IF(PROVEEDORES[[#This Row],[FECHA DE PAGO]]=PROVEEDORES[[#This Row],[FECHA DE FACTURACIÓN]],"DE CONTADO","CRÉDITO")</f>
        <v>DE CONTADO</v>
      </c>
      <c r="B161" s="38" t="b">
        <f>+IF((PROVEEDORES[[#This Row],[FECHA DE PAGO]]-PROVEEDORES[[#This Row],[FECHA DE FACTURACIÓN]])&gt;PROVEEDORES[[#This Row],[PLAZO Días]],"PAGO VENCIDO")</f>
        <v>0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0</v>
      </c>
      <c r="E161" s="25"/>
      <c r="F161" s="56" t="str">
        <f>+VLOOKUP(PROVEEDORES[[#This Row],[PROVEEDOR]],
                       Terceros!$A:$F,
                       5,
                       FALSE)</f>
        <v/>
      </c>
      <c r="G161" s="289">
        <v>45230</v>
      </c>
      <c r="H161" s="26" t="s">
        <v>279</v>
      </c>
      <c r="I161" s="289">
        <v>45230</v>
      </c>
      <c r="J161" s="35" t="s">
        <v>518</v>
      </c>
      <c r="K161" s="21">
        <v>144000</v>
      </c>
      <c r="L161" s="21"/>
      <c r="M161" s="22">
        <f>(PROVEEDORES[[#This Row],[SUBTOTAL]]-PROVEEDORES[[#This Row],[descuento sobre subtotal]])*VLOOKUP(PROVEEDORES[[#This Row],[PROVEEDOR]],TERCEROS_INFO[#All],3,FALSE)</f>
        <v>0</v>
      </c>
      <c r="N161" s="23"/>
      <c r="O161" s="22">
        <f>+PROVEEDORES[[#This Row],[Descuento sobre subtotal %]]*(PROVEEDORES[[#This Row],[SUBTOTAL]]-PROVEEDORES[[#This Row],[descuento sobre subtotal]])</f>
        <v>0</v>
      </c>
      <c r="P161" s="72">
        <f>+IF(PROVEEDORES[[#This Row],[SUBTOTAL]]&lt;PROVEEDORES[[#This Row],[base retencion]],0,PROVEEDORES[[#This Row],[retención aplicada]])</f>
        <v>0</v>
      </c>
      <c r="Q161" s="22">
        <f>+PROVEEDORES[[#This Row],[Rete Fuente %]]*(PROVEEDORES[[#This Row],[SUBTOTAL]]-PROVEEDORES[[#This Row],[descuento sobre subtotal]])</f>
        <v>0</v>
      </c>
      <c r="R161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16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1">
        <f ca="1">IF(PROVEEDORES[[#This Row],[FECHA DE PAGO]]=0,TODAY()-PROVEEDORES[[#This Row],[FECHA DE FACTURACIÓN]]-PROVEEDORES[[#This Row],[PLAZO Días]],0)</f>
        <v>0</v>
      </c>
      <c r="U161" s="97">
        <f>+VLOOKUP(PROVEEDORES[[#This Row],[PROVEEDOR]],Terceros!$A:$D,4,FALSE)</f>
        <v>0</v>
      </c>
      <c r="V161" s="98">
        <f>+YEAR(PROVEEDORES[[#This Row],[FECHA DE FACTURACIÓN]])</f>
        <v>2023</v>
      </c>
      <c r="W161" s="98">
        <f>+MATCH(PROVEEDORES[[#This Row],[año facturado]],Retenciones!$1:$1,0)</f>
        <v>6</v>
      </c>
      <c r="X161" s="99">
        <f>+VLOOKUP(PROVEEDORES[[#This Row],[ID RETENCION]],Retenciones!$A$1:$O$25,PROVEEDORES[[#This Row],[indicador de columna]],FALSE)</f>
        <v>0</v>
      </c>
      <c r="Y161" s="100">
        <f>+VLOOKUP(PROVEEDORES[[#This Row],[ID RETENCION]],Retenciones!$A$1:$O$25,2,FALSE)</f>
        <v>0</v>
      </c>
      <c r="Z161" s="103" t="b">
        <f>OR(COUNTIF(PROVEEDORES[[#This Row],[PROVEEDOR]],"*"&amp;'Palabra no opera'!$A$2&amp;"*"))</f>
        <v>0</v>
      </c>
      <c r="AA161" s="186"/>
      <c r="AB161" s="187"/>
      <c r="AC161" s="187"/>
      <c r="AD161" s="188"/>
      <c r="AE161" s="177"/>
    </row>
    <row r="162" spans="1:31" ht="22.35" customHeight="1" x14ac:dyDescent="0.25">
      <c r="A162" s="249" t="str">
        <f>+IF(PROVEEDORES[[#This Row],[FECHA DE PAGO]]=PROVEEDORES[[#This Row],[FECHA DE FACTURACIÓN]],"DE CONTADO","CRÉDITO")</f>
        <v>DE CONTADO</v>
      </c>
      <c r="B162" s="38" t="b">
        <f>+IF((PROVEEDORES[[#This Row],[FECHA DE PAGO]]-PROVEEDORES[[#This Row],[FECHA DE FACTURACIÓN]])&gt;PROVEEDORES[[#This Row],[PLAZO Días]],"PAGO VENCIDO")</f>
        <v>0</v>
      </c>
      <c r="C162" s="20">
        <f>+VLOOKUP(PROVEEDORES[[#This Row],[PROVEEDOR]],TERCEROS_INFO[#All],2,FALSE)</f>
        <v>30</v>
      </c>
      <c r="D162" s="25">
        <f>+SUMIFS(PROVEEDORES[Total],PROVEEDORES[PROVEEDOR],PROVEEDORES[[#This Row],[PROVEEDOR]],PROVEEDORES[FECHA DE PAGO],"")</f>
        <v>0</v>
      </c>
      <c r="E162" s="25"/>
      <c r="F162" s="56" t="str">
        <f>+VLOOKUP(PROVEEDORES[[#This Row],[PROVEEDOR]],
                       Terceros!$A:$F,
                       5,
                       FALSE)</f>
        <v/>
      </c>
      <c r="G162" s="289">
        <v>45230</v>
      </c>
      <c r="H162" s="26" t="s">
        <v>279</v>
      </c>
      <c r="I162" s="289">
        <v>45230</v>
      </c>
      <c r="J162" s="35" t="s">
        <v>520</v>
      </c>
      <c r="K162" s="21">
        <v>160000</v>
      </c>
      <c r="L162" s="21"/>
      <c r="M162" s="22">
        <f>(PROVEEDORES[[#This Row],[SUBTOTAL]]-PROVEEDORES[[#This Row],[descuento sobre subtotal]])*VLOOKUP(PROVEEDORES[[#This Row],[PROVEEDOR]],TERCEROS_INFO[#All],3,FALSE)</f>
        <v>0</v>
      </c>
      <c r="N162" s="23"/>
      <c r="O162" s="22">
        <f>+PROVEEDORES[[#This Row],[Descuento sobre subtotal %]]*(PROVEEDORES[[#This Row],[SUBTOTAL]]-PROVEEDORES[[#This Row],[descuento sobre subtotal]])</f>
        <v>0</v>
      </c>
      <c r="P162" s="72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162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1">
        <f ca="1">IF(PROVEEDORES[[#This Row],[FECHA DE PAGO]]=0,TODAY()-PROVEEDORES[[#This Row],[FECHA DE FACTURACIÓN]]-PROVEEDORES[[#This Row],[PLAZO Días]],0)</f>
        <v>0</v>
      </c>
      <c r="U162" s="97">
        <f>+VLOOKUP(PROVEEDORES[[#This Row],[PROVEEDOR]],Terceros!$A:$D,4,FALSE)</f>
        <v>0</v>
      </c>
      <c r="V162" s="98">
        <f>+YEAR(PROVEEDORES[[#This Row],[FECHA DE FACTURACIÓN]])</f>
        <v>2023</v>
      </c>
      <c r="W162" s="98">
        <f>+MATCH(PROVEEDORES[[#This Row],[año facturado]],Retenciones!$1:$1,0)</f>
        <v>6</v>
      </c>
      <c r="X162" s="99">
        <f>+VLOOKUP(PROVEEDORES[[#This Row],[ID RETENCION]],Retenciones!$A$1:$O$25,PROVEEDORES[[#This Row],[indicador de columna]],FALSE)</f>
        <v>0</v>
      </c>
      <c r="Y162" s="100">
        <f>+VLOOKUP(PROVEEDORES[[#This Row],[ID RETENCION]],Retenciones!$A$1:$O$25,2,FALSE)</f>
        <v>0</v>
      </c>
      <c r="Z162" s="103" t="b">
        <f>OR(COUNTIF(PROVEEDORES[[#This Row],[PROVEEDOR]],"*"&amp;'Palabra no opera'!$A$2&amp;"*"))</f>
        <v>0</v>
      </c>
    </row>
    <row r="163" spans="1:31" ht="22.35" customHeight="1" x14ac:dyDescent="0.25">
      <c r="A163" s="249" t="str">
        <f>+IF(PROVEEDORES[[#This Row],[FECHA DE PAGO]]=PROVEEDORES[[#This Row],[FECHA DE FACTURACIÓN]],"DE CONTADO","CRÉDITO")</f>
        <v>DE CONTADO</v>
      </c>
      <c r="B163" s="38" t="b">
        <f>+IF((PROVEEDORES[[#This Row],[FECHA DE PAGO]]-PROVEEDORES[[#This Row],[FECHA DE FACTURACIÓN]])&gt;PROVEEDORES[[#This Row],[PLAZO Días]],"PAGO VENCIDO")</f>
        <v>0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0</v>
      </c>
      <c r="E163" s="25"/>
      <c r="F163" s="56" t="str">
        <f>+VLOOKUP(PROVEEDORES[[#This Row],[PROVEEDOR]],
                       Terceros!$A:$F,
                       5,
                       FALSE)</f>
        <v/>
      </c>
      <c r="G163" s="289">
        <v>45230</v>
      </c>
      <c r="H163" s="26" t="s">
        <v>279</v>
      </c>
      <c r="I163" s="289">
        <v>45230</v>
      </c>
      <c r="J163" s="35" t="s">
        <v>519</v>
      </c>
      <c r="K163" s="21">
        <v>157900</v>
      </c>
      <c r="L163" s="21"/>
      <c r="M163" s="22">
        <f>(PROVEEDORES[[#This Row],[SUBTOTAL]]-PROVEEDORES[[#This Row],[descuento sobre subtotal]])*VLOOKUP(PROVEEDORES[[#This Row],[PROVEEDOR]],TERCEROS_INFO[#All],3,FALSE)</f>
        <v>0</v>
      </c>
      <c r="N163" s="23"/>
      <c r="O163" s="22">
        <f>+PROVEEDORES[[#This Row],[Descuento sobre subtotal %]]*(PROVEEDORES[[#This Row],[SUBTOTAL]]-PROVEEDORES[[#This Row],[descuento sobre subtotal]])</f>
        <v>0</v>
      </c>
      <c r="P163" s="72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f>+PROVEEDORES[[#This Row],[SUBTOTAL]]+PROVEEDORES[[#This Row],[IVA 19%]]-PROVEEDORES[[#This Row],[descuento sobre subtotal]]-PROVEEDORES[[#This Row],[Descuento sobre subtotal $2]]-PROVEEDORES[[#This Row],[Rete Fuente $]]</f>
        <v>157900</v>
      </c>
      <c r="S163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61">
        <f ca="1">IF(PROVEEDORES[[#This Row],[FECHA DE PAGO]]=0,TODAY()-PROVEEDORES[[#This Row],[FECHA DE FACTURACIÓN]]-PROVEEDORES[[#This Row],[PLAZO Días]],0)</f>
        <v>0</v>
      </c>
      <c r="U163" s="97">
        <f>+VLOOKUP(PROVEEDORES[[#This Row],[PROVEEDOR]],Terceros!$A:$D,4,FALSE)</f>
        <v>0</v>
      </c>
      <c r="V163" s="98">
        <f>+YEAR(PROVEEDORES[[#This Row],[FECHA DE FACTURACIÓN]])</f>
        <v>2023</v>
      </c>
      <c r="W163" s="98">
        <f>+MATCH(PROVEEDORES[[#This Row],[año facturado]],Retenciones!$1:$1,0)</f>
        <v>6</v>
      </c>
      <c r="X163" s="99">
        <f>+VLOOKUP(PROVEEDORES[[#This Row],[ID RETENCION]],Retenciones!$A$1:$O$25,PROVEEDORES[[#This Row],[indicador de columna]],FALSE)</f>
        <v>0</v>
      </c>
      <c r="Y163" s="100">
        <f>+VLOOKUP(PROVEEDORES[[#This Row],[ID RETENCION]],Retenciones!$A$1:$O$25,2,FALSE)</f>
        <v>0</v>
      </c>
      <c r="Z163" s="103" t="b">
        <f>OR(COUNTIF(PROVEEDORES[[#This Row],[PROVEEDOR]],"*"&amp;'Palabra no opera'!$A$2&amp;"*"))</f>
        <v>0</v>
      </c>
    </row>
    <row r="164" spans="1:31" ht="22.35" customHeight="1" x14ac:dyDescent="0.25">
      <c r="A164" s="249" t="str">
        <f>+IF(PROVEEDORES[[#This Row],[FECHA DE PAGO]]=PROVEEDORES[[#This Row],[FECHA DE FACTURACIÓN]],"DE CONTADO","CRÉDITO")</f>
        <v>DE CONTADO</v>
      </c>
      <c r="B164" s="38" t="b">
        <f>+IF((PROVEEDORES[[#This Row],[FECHA DE PAGO]]-PROVEEDORES[[#This Row],[FECHA DE FACTURACIÓN]])&gt;PROVEEDORES[[#This Row],[PLAZO Días]],"PAGO VENCIDO")</f>
        <v>0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0</v>
      </c>
      <c r="E164" s="25"/>
      <c r="F164" s="56" t="str">
        <f>+VLOOKUP(PROVEEDORES[[#This Row],[PROVEEDOR]],
                       Terceros!$A:$F,
                       5,
                       FALSE)</f>
        <v/>
      </c>
      <c r="G164" s="289">
        <v>45230</v>
      </c>
      <c r="H164" s="26" t="s">
        <v>279</v>
      </c>
      <c r="I164" s="289">
        <v>45230</v>
      </c>
      <c r="J164" s="35" t="s">
        <v>545</v>
      </c>
      <c r="K164" s="21">
        <v>0</v>
      </c>
      <c r="L164" s="21"/>
      <c r="M164" s="22">
        <f>(PROVEEDORES[[#This Row],[SUBTOTAL]]-PROVEEDORES[[#This Row],[descuento sobre subtotal]])*VLOOKUP(PROVEEDORES[[#This Row],[PROVEEDOR]],TERCEROS_INFO[#All],3,FALSE)</f>
        <v>0</v>
      </c>
      <c r="N164" s="23"/>
      <c r="O164" s="22">
        <f>+PROVEEDORES[[#This Row],[Descuento sobre subtotal %]]*(PROVEEDORES[[#This Row],[SUBTOTAL]]-PROVEEDORES[[#This Row],[descuento sobre subtotal]])</f>
        <v>0</v>
      </c>
      <c r="P164" s="72">
        <f>+IF(PROVEEDORES[[#This Row],[SUBTOTAL]]&lt;PROVEEDORES[[#This Row],[base retencion]],0,PROVEEDORES[[#This Row],[retención aplicada]])</f>
        <v>0</v>
      </c>
      <c r="Q164" s="22">
        <f>+PROVEEDORES[[#This Row],[Rete Fuente %]]*(PROVEEDORES[[#This Row],[SUBTOTAL]]-PROVEEDORES[[#This Row],[descuento sobre subtotal]])</f>
        <v>0</v>
      </c>
      <c r="R16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6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1">
        <f ca="1">IF(PROVEEDORES[[#This Row],[FECHA DE PAGO]]=0,TODAY()-PROVEEDORES[[#This Row],[FECHA DE FACTURACIÓN]]-PROVEEDORES[[#This Row],[PLAZO Días]],0)</f>
        <v>0</v>
      </c>
      <c r="U164" s="97">
        <f>+VLOOKUP(PROVEEDORES[[#This Row],[PROVEEDOR]],Terceros!$A:$D,4,FALSE)</f>
        <v>0</v>
      </c>
      <c r="V164" s="98">
        <f>+YEAR(PROVEEDORES[[#This Row],[FECHA DE FACTURACIÓN]])</f>
        <v>2023</v>
      </c>
      <c r="W164" s="98">
        <f>+MATCH(PROVEEDORES[[#This Row],[año facturado]],Retenciones!$1:$1,0)</f>
        <v>6</v>
      </c>
      <c r="X164" s="99">
        <f>+VLOOKUP(PROVEEDORES[[#This Row],[ID RETENCION]],Retenciones!$A$1:$O$25,PROVEEDORES[[#This Row],[indicador de columna]],FALSE)</f>
        <v>0</v>
      </c>
      <c r="Y164" s="100">
        <f>+VLOOKUP(PROVEEDORES[[#This Row],[ID RETENCION]],Retenciones!$A$1:$O$25,2,FALSE)</f>
        <v>0</v>
      </c>
      <c r="Z164" s="103" t="b">
        <f>OR(COUNTIF(PROVEEDORES[[#This Row],[PROVEEDOR]],"*"&amp;'Palabra no opera'!$A$2&amp;"*"))</f>
        <v>0</v>
      </c>
    </row>
    <row r="165" spans="1:31" ht="22.35" customHeight="1" x14ac:dyDescent="0.25">
      <c r="A165" s="256" t="str">
        <f>+IF(PROVEEDORES[[#This Row],[FECHA DE PAGO]]=PROVEEDORES[[#This Row],[FECHA DE FACTURACIÓN]],"DE CONTADO","CRÉDITO")</f>
        <v>DE CONTADO</v>
      </c>
      <c r="B165" s="38" t="b">
        <f>+IF((PROVEEDORES[[#This Row],[FECHA DE PAGO]]-PROVEEDORES[[#This Row],[FECHA DE FACTURACIÓN]])&gt;PROVEEDORES[[#This Row],[PLAZO Días]],"PAGO VENCIDO")</f>
        <v>0</v>
      </c>
      <c r="C165" s="20">
        <f>+VLOOKUP(PROVEEDORES[[#This Row],[PROVEEDOR]],TERCEROS_INFO[#All],2,FALSE)</f>
        <v>30</v>
      </c>
      <c r="D165" s="25">
        <f>+SUMIFS(PROVEEDORES[Total],PROVEEDORES[PROVEEDOR],PROVEEDORES[[#This Row],[PROVEEDOR]],PROVEEDORES[FECHA DE PAGO],"")</f>
        <v>0</v>
      </c>
      <c r="E165" s="25"/>
      <c r="F165" s="56" t="str">
        <f>+VLOOKUP(PROVEEDORES[[#This Row],[PROVEEDOR]],
                       Terceros!$A:$F,
                       5,
                       FALSE)</f>
        <v/>
      </c>
      <c r="G165" s="289">
        <v>45231</v>
      </c>
      <c r="H165" s="26" t="s">
        <v>279</v>
      </c>
      <c r="I165" s="289">
        <v>45231</v>
      </c>
      <c r="J165" s="35" t="s">
        <v>1260</v>
      </c>
      <c r="K165" s="21">
        <v>420000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72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165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1">
        <f ca="1">IF(PROVEEDORES[[#This Row],[FECHA DE PAGO]]=0,TODAY()-PROVEEDORES[[#This Row],[FECHA DE FACTURACIÓN]]-PROVEEDORES[[#This Row],[PLAZO Días]],0)</f>
        <v>0</v>
      </c>
      <c r="U165" s="97">
        <f>+VLOOKUP(PROVEEDORES[[#This Row],[PROVEEDOR]],Terceros!$A:$D,4,FALSE)</f>
        <v>0</v>
      </c>
      <c r="V165" s="98">
        <f>+YEAR(PROVEEDORES[[#This Row],[FECHA DE FACTURACIÓN]])</f>
        <v>2023</v>
      </c>
      <c r="W165" s="98">
        <f>+MATCH(PROVEEDORES[[#This Row],[año facturado]],Retenciones!$1:$1,0)</f>
        <v>6</v>
      </c>
      <c r="X165" s="99">
        <f>+VLOOKUP(PROVEEDORES[[#This Row],[ID RETENCION]],Retenciones!$A$1:$O$25,PROVEEDORES[[#This Row],[indicador de columna]],FALSE)</f>
        <v>0</v>
      </c>
      <c r="Y165" s="100">
        <f>+VLOOKUP(PROVEEDORES[[#This Row],[ID RETENCION]],Retenciones!$A$1:$O$25,2,FALSE)</f>
        <v>0</v>
      </c>
      <c r="Z165" s="103" t="b">
        <f>OR(COUNTIF(PROVEEDORES[[#This Row],[PROVEEDOR]],"*"&amp;'Palabra no opera'!$A$2&amp;"*"))</f>
        <v>0</v>
      </c>
    </row>
    <row r="166" spans="1:31" ht="22.35" customHeight="1" x14ac:dyDescent="0.25">
      <c r="A166" s="256" t="str">
        <f>+IF(PROVEEDORES[[#This Row],[FECHA DE PAGO]]=PROVEEDORES[[#This Row],[FECHA DE FACTURACIÓN]],"DE CONTADO","CRÉDITO")</f>
        <v>DE CONTADO</v>
      </c>
      <c r="B166" s="38" t="b">
        <f>+IF((PROVEEDORES[[#This Row],[FECHA DE PAGO]]-PROVEEDORES[[#This Row],[FECHA DE FACTURACIÓN]])&gt;PROVEEDORES[[#This Row],[PLAZO Días]],"PAGO VENCIDO")</f>
        <v>0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0</v>
      </c>
      <c r="E166" s="25"/>
      <c r="F166" s="56" t="str">
        <f>+VLOOKUP(PROVEEDORES[[#This Row],[PROVEEDOR]],
                       Terceros!$A:$F,
                       5,
                       FALSE)</f>
        <v/>
      </c>
      <c r="G166" s="289">
        <v>45231</v>
      </c>
      <c r="H166" s="26" t="s">
        <v>279</v>
      </c>
      <c r="I166" s="289">
        <v>45231</v>
      </c>
      <c r="J166" s="35" t="s">
        <v>1263</v>
      </c>
      <c r="K166" s="21">
        <v>120000</v>
      </c>
      <c r="L166" s="21"/>
      <c r="M166" s="22">
        <f>(PROVEEDORES[[#This Row],[SUBTOTAL]]-PROVEEDORES[[#This Row],[descuento sobre subtotal]])*VLOOKUP(PROVEEDORES[[#This Row],[PROVEEDOR]],TERCEROS_INFO[#All],3,FALSE)</f>
        <v>0</v>
      </c>
      <c r="N166" s="23"/>
      <c r="O166" s="22">
        <f>+PROVEEDORES[[#This Row],[Descuento sobre subtotal %]]*(PROVEEDORES[[#This Row],[SUBTOTAL]]-PROVEEDORES[[#This Row],[descuento sobre subtotal]])</f>
        <v>0</v>
      </c>
      <c r="P166" s="72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166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1">
        <f ca="1">IF(PROVEEDORES[[#This Row],[FECHA DE PAGO]]=0,TODAY()-PROVEEDORES[[#This Row],[FECHA DE FACTURACIÓN]]-PROVEEDORES[[#This Row],[PLAZO Días]],0)</f>
        <v>0</v>
      </c>
      <c r="U166" s="97">
        <f>+VLOOKUP(PROVEEDORES[[#This Row],[PROVEEDOR]],Terceros!$A:$D,4,FALSE)</f>
        <v>0</v>
      </c>
      <c r="V166" s="98">
        <f>+YEAR(PROVEEDORES[[#This Row],[FECHA DE FACTURACIÓN]])</f>
        <v>2023</v>
      </c>
      <c r="W166" s="98">
        <f>+MATCH(PROVEEDORES[[#This Row],[año facturado]],Retenciones!$1:$1,0)</f>
        <v>6</v>
      </c>
      <c r="X166" s="99">
        <f>+VLOOKUP(PROVEEDORES[[#This Row],[ID RETENCION]],Retenciones!$A$1:$O$25,PROVEEDORES[[#This Row],[indicador de columna]],FALSE)</f>
        <v>0</v>
      </c>
      <c r="Y166" s="100">
        <f>+VLOOKUP(PROVEEDORES[[#This Row],[ID RETENCION]],Retenciones!$A$1:$O$25,2,FALSE)</f>
        <v>0</v>
      </c>
      <c r="Z166" s="103" t="b">
        <f>OR(COUNTIF(PROVEEDORES[[#This Row],[PROVEEDOR]],"*"&amp;'Palabra no opera'!$A$2&amp;"*"))</f>
        <v>0</v>
      </c>
    </row>
    <row r="167" spans="1:31" ht="22.35" customHeight="1" x14ac:dyDescent="0.25">
      <c r="A167" s="65" t="str">
        <f>+IF(PROVEEDORES[[#This Row],[FECHA DE PAGO]]=PROVEEDORES[[#This Row],[FECHA DE FACTURACIÓN]],"DE CONTADO","CRÉDITO")</f>
        <v>DE CONTADO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0</v>
      </c>
      <c r="E167" s="25"/>
      <c r="F167" s="56" t="str">
        <f>+VLOOKUP(PROVEEDORES[[#This Row],[PROVEEDOR]],
                       Terceros!$A:$F,
                       5,
                       FALSE)</f>
        <v/>
      </c>
      <c r="G167" s="289">
        <v>45245</v>
      </c>
      <c r="H167" s="26" t="s">
        <v>279</v>
      </c>
      <c r="I167" s="289">
        <v>45245</v>
      </c>
      <c r="J167" s="35" t="s">
        <v>1332</v>
      </c>
      <c r="K167" s="21">
        <v>600000</v>
      </c>
      <c r="L167" s="21"/>
      <c r="M167" s="22">
        <f>(PROVEEDORES[[#This Row],[SUBTOTAL]]-PROVEEDORES[[#This Row],[descuento sobre subtotal]])*VLOOKUP(PROVEEDORES[[#This Row],[PROVEEDOR]],TERCEROS_INFO[#All],3,FALSE)</f>
        <v>0</v>
      </c>
      <c r="N167" s="23"/>
      <c r="O167" s="22">
        <f>+PROVEEDORES[[#This Row],[Descuento sobre subtotal %]]*(PROVEEDORES[[#This Row],[SUBTOTAL]]-PROVEEDORES[[#This Row],[descuento sobre subtotal]])</f>
        <v>0</v>
      </c>
      <c r="P167" s="72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1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1">
        <f ca="1">IF(PROVEEDORES[[#This Row],[FECHA DE PAGO]]=0,TODAY()-PROVEEDORES[[#This Row],[FECHA DE FACTURACIÓN]]-PROVEEDORES[[#This Row],[PLAZO Días]],0)</f>
        <v>0</v>
      </c>
      <c r="U167" s="97">
        <f>+VLOOKUP(PROVEEDORES[[#This Row],[PROVEEDOR]],Terceros!$A:$D,4,FALSE)</f>
        <v>0</v>
      </c>
      <c r="V167" s="98">
        <f>+YEAR(PROVEEDORES[[#This Row],[FECHA DE FACTURACIÓN]])</f>
        <v>2023</v>
      </c>
      <c r="W167" s="98">
        <f>+MATCH(PROVEEDORES[[#This Row],[año facturado]],Retenciones!$1:$1,0)</f>
        <v>6</v>
      </c>
      <c r="X167" s="99">
        <f>+VLOOKUP(PROVEEDORES[[#This Row],[ID RETENCION]],Retenciones!$A$1:$O$25,PROVEEDORES[[#This Row],[indicador de columna]],FALSE)</f>
        <v>0</v>
      </c>
      <c r="Y167" s="100">
        <f>+VLOOKUP(PROVEEDORES[[#This Row],[ID RETENCION]],Retenciones!$A$1:$O$25,2,FALSE)</f>
        <v>0</v>
      </c>
      <c r="Z167" s="103" t="b">
        <f>OR(COUNTIF(PROVEEDORES[[#This Row],[PROVEEDOR]],"*"&amp;'Palabra no opera'!$A$2&amp;"*"))</f>
        <v>0</v>
      </c>
    </row>
    <row r="168" spans="1:31" ht="22.35" customHeight="1" x14ac:dyDescent="0.25">
      <c r="A168" s="258" t="str">
        <f>+IF(PROVEEDORES[[#This Row],[FECHA DE PAGO]]=PROVEEDORES[[#This Row],[FECHA DE FACTURACIÓN]],"DE CONTADO","CRÉDITO")</f>
        <v>DE CONTADO</v>
      </c>
      <c r="B168" s="38" t="b">
        <f>+IF((PROVEEDORES[[#This Row],[FECHA DE PAGO]]-PROVEEDORES[[#This Row],[FECHA DE FACTURACIÓN]])&gt;PROVEEDORES[[#This Row],[PLAZO Días]],"PAGO VENCIDO")</f>
        <v>0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0</v>
      </c>
      <c r="E168" s="25"/>
      <c r="F168" s="56" t="str">
        <f>+VLOOKUP(PROVEEDORES[[#This Row],[PROVEEDOR]],
                       Terceros!$A:$F,
                       5,
                       FALSE)</f>
        <v/>
      </c>
      <c r="G168" s="289">
        <v>45247</v>
      </c>
      <c r="H168" s="26" t="s">
        <v>279</v>
      </c>
      <c r="I168" s="289">
        <v>45247</v>
      </c>
      <c r="J168" s="35" t="s">
        <v>1282</v>
      </c>
      <c r="K168" s="21">
        <v>200000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72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68" s="25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61">
        <f ca="1">IF(PROVEEDORES[[#This Row],[FECHA DE PAGO]]=0,TODAY()-PROVEEDORES[[#This Row],[FECHA DE FACTURACIÓN]]-PROVEEDORES[[#This Row],[PLAZO Días]],0)</f>
        <v>0</v>
      </c>
      <c r="U168" s="97">
        <f>+VLOOKUP(PROVEEDORES[[#This Row],[PROVEEDOR]],Terceros!$A:$D,4,FALSE)</f>
        <v>0</v>
      </c>
      <c r="V168" s="98">
        <f>+YEAR(PROVEEDORES[[#This Row],[FECHA DE FACTURACIÓN]])</f>
        <v>2023</v>
      </c>
      <c r="W168" s="98">
        <f>+MATCH(PROVEEDORES[[#This Row],[año facturado]],Retenciones!$1:$1,0)</f>
        <v>6</v>
      </c>
      <c r="X168" s="99">
        <f>+VLOOKUP(PROVEEDORES[[#This Row],[ID RETENCION]],Retenciones!$A$1:$O$25,PROVEEDORES[[#This Row],[indicador de columna]],FALSE)</f>
        <v>0</v>
      </c>
      <c r="Y168" s="100">
        <f>+VLOOKUP(PROVEEDORES[[#This Row],[ID RETENCION]],Retenciones!$A$1:$O$25,2,FALSE)</f>
        <v>0</v>
      </c>
      <c r="Z168" s="103" t="b">
        <f>OR(COUNTIF(PROVEEDORES[[#This Row],[PROVEEDOR]],"*"&amp;'Palabra no opera'!$A$2&amp;"*"))</f>
        <v>0</v>
      </c>
    </row>
    <row r="169" spans="1:31" ht="22.35" customHeight="1" x14ac:dyDescent="0.25">
      <c r="A169" s="65" t="str">
        <f>+IF(PROVEEDORES[[#This Row],[FECHA DE PAGO]]=PROVEEDORES[[#This Row],[FECHA DE FACTURACIÓN]],"DE CONTADO","CRÉDITO")</f>
        <v>DE CONTADO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30</v>
      </c>
      <c r="D169" s="25">
        <f>+SUMIFS(PROVEEDORES[Total],PROVEEDORES[PROVEEDOR],PROVEEDORES[[#This Row],[PROVEEDOR]],PROVEEDORES[FECHA DE PAGO],"")</f>
        <v>0</v>
      </c>
      <c r="E169" s="25"/>
      <c r="F169" s="56" t="str">
        <f>+VLOOKUP(PROVEEDORES[[#This Row],[PROVEEDOR]],
                       Terceros!$A:$F,
                       5,
                       FALSE)</f>
        <v/>
      </c>
      <c r="G169" s="289">
        <v>45247</v>
      </c>
      <c r="H169" s="26" t="s">
        <v>279</v>
      </c>
      <c r="I169" s="289">
        <v>45247</v>
      </c>
      <c r="J169" s="35" t="s">
        <v>1168</v>
      </c>
      <c r="K169" s="21">
        <v>200000</v>
      </c>
      <c r="L169" s="21"/>
      <c r="M169" s="22">
        <f>(PROVEEDORES[[#This Row],[SUBTOTAL]]-PROVEEDORES[[#This Row],[descuento sobre subtotal]])*VLOOKUP(PROVEEDORES[[#This Row],[PROVEEDOR]],TERCEROS_INFO[#All],3,FALSE)</f>
        <v>0</v>
      </c>
      <c r="N169" s="23"/>
      <c r="O169" s="22">
        <f>+PROVEEDORES[[#This Row],[Descuento sobre subtotal %]]*(PROVEEDORES[[#This Row],[SUBTOTAL]]-PROVEEDORES[[#This Row],[descuento sobre subtotal]])</f>
        <v>0</v>
      </c>
      <c r="P169" s="72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6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61">
        <f ca="1">IF(PROVEEDORES[[#This Row],[FECHA DE PAGO]]=0,TODAY()-PROVEEDORES[[#This Row],[FECHA DE FACTURACIÓN]]-PROVEEDORES[[#This Row],[PLAZO Días]],0)</f>
        <v>0</v>
      </c>
      <c r="U169" s="97">
        <f>+VLOOKUP(PROVEEDORES[[#This Row],[PROVEEDOR]],Terceros!$A:$D,4,FALSE)</f>
        <v>0</v>
      </c>
      <c r="V169" s="98">
        <f>+YEAR(PROVEEDORES[[#This Row],[FECHA DE FACTURACIÓN]])</f>
        <v>2023</v>
      </c>
      <c r="W169" s="98">
        <f>+MATCH(PROVEEDORES[[#This Row],[año facturado]],Retenciones!$1:$1,0)</f>
        <v>6</v>
      </c>
      <c r="X169" s="99">
        <f>+VLOOKUP(PROVEEDORES[[#This Row],[ID RETENCION]],Retenciones!$A$1:$O$25,PROVEEDORES[[#This Row],[indicador de columna]],FALSE)</f>
        <v>0</v>
      </c>
      <c r="Y169" s="100">
        <f>+VLOOKUP(PROVEEDORES[[#This Row],[ID RETENCION]],Retenciones!$A$1:$O$25,2,FALSE)</f>
        <v>0</v>
      </c>
      <c r="Z169" s="103" t="b">
        <f>OR(COUNTIF(PROVEEDORES[[#This Row],[PROVEEDOR]],"*"&amp;'Palabra no opera'!$A$2&amp;"*"))</f>
        <v>0</v>
      </c>
    </row>
    <row r="170" spans="1:31" ht="22.35" customHeight="1" x14ac:dyDescent="0.25">
      <c r="A170" s="65" t="str">
        <f>+IF(PROVEEDORES[[#This Row],[FECHA DE PAGO]]=PROVEEDORES[[#This Row],[FECHA DE FACTURACIÓN]],"DE CONTADO","CRÉDITO")</f>
        <v>DE CONTADO</v>
      </c>
      <c r="B170" s="38" t="b">
        <f>+IF((PROVEEDORES[[#This Row],[FECHA DE PAGO]]-PROVEEDORES[[#This Row],[FECHA DE FACTURACIÓN]])&gt;PROVEEDORES[[#This Row],[PLAZO Días]],"PAGO VENCIDO")</f>
        <v>0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0</v>
      </c>
      <c r="E170" s="25"/>
      <c r="F170" s="56" t="str">
        <f>+VLOOKUP(PROVEEDORES[[#This Row],[PROVEEDOR]],
                       Terceros!$A:$F,
                       5,
                       FALSE)</f>
        <v/>
      </c>
      <c r="G170" s="289">
        <v>45250</v>
      </c>
      <c r="H170" s="26" t="s">
        <v>279</v>
      </c>
      <c r="I170" s="289">
        <v>45250</v>
      </c>
      <c r="J170" s="35" t="s">
        <v>1331</v>
      </c>
      <c r="K170" s="21">
        <v>190000</v>
      </c>
      <c r="L170" s="21"/>
      <c r="M170" s="22">
        <f>(PROVEEDORES[[#This Row],[SUBTOTAL]]-PROVEEDORES[[#This Row],[descuento sobre subtotal]])*VLOOKUP(PROVEEDORES[[#This Row],[PROVEEDOR]],TERCEROS_INFO[#All],3,FALSE)</f>
        <v>0</v>
      </c>
      <c r="N170" s="23"/>
      <c r="O170" s="22">
        <f>+PROVEEDORES[[#This Row],[Descuento sobre subtotal %]]*(PROVEEDORES[[#This Row],[SUBTOTAL]]-PROVEEDORES[[#This Row],[descuento sobre subtotal]])</f>
        <v>0</v>
      </c>
      <c r="P170" s="72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1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1">
        <f ca="1">IF(PROVEEDORES[[#This Row],[FECHA DE PAGO]]=0,TODAY()-PROVEEDORES[[#This Row],[FECHA DE FACTURACIÓN]]-PROVEEDORES[[#This Row],[PLAZO Días]],0)</f>
        <v>0</v>
      </c>
      <c r="U170" s="97">
        <f>+VLOOKUP(PROVEEDORES[[#This Row],[PROVEEDOR]],Terceros!$A:$D,4,FALSE)</f>
        <v>0</v>
      </c>
      <c r="V170" s="98">
        <f>+YEAR(PROVEEDORES[[#This Row],[FECHA DE FACTURACIÓN]])</f>
        <v>2023</v>
      </c>
      <c r="W170" s="98">
        <f>+MATCH(PROVEEDORES[[#This Row],[año facturado]],Retenciones!$1:$1,0)</f>
        <v>6</v>
      </c>
      <c r="X170" s="99">
        <f>+VLOOKUP(PROVEEDORES[[#This Row],[ID RETENCION]],Retenciones!$A$1:$O$25,PROVEEDORES[[#This Row],[indicador de columna]],FALSE)</f>
        <v>0</v>
      </c>
      <c r="Y170" s="100">
        <f>+VLOOKUP(PROVEEDORES[[#This Row],[ID RETENCION]],Retenciones!$A$1:$O$25,2,FALSE)</f>
        <v>0</v>
      </c>
      <c r="Z170" s="103" t="b">
        <f>OR(COUNTIF(PROVEEDORES[[#This Row],[PROVEEDOR]],"*"&amp;'Palabra no opera'!$A$2&amp;"*"))</f>
        <v>0</v>
      </c>
    </row>
    <row r="171" spans="1:31" ht="22.35" customHeight="1" x14ac:dyDescent="0.25">
      <c r="A171" s="262" t="str">
        <f>+IF(PROVEEDORES[[#This Row],[FECHA DE PAGO]]=PROVEEDORES[[#This Row],[FECHA DE FACTURACIÓN]],"DE CONTADO","CRÉDITO")</f>
        <v>CRÉDITO</v>
      </c>
      <c r="B171" s="38" t="b">
        <f>+IF((PROVEEDORES[[#This Row],[FECHA DE PAGO]]-PROVEEDORES[[#This Row],[FECHA DE FACTURACIÓN]])&gt;PROVEEDORES[[#This Row],[PLAZO Días]],"PAGO VENCIDO")</f>
        <v>0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0</v>
      </c>
      <c r="E171" s="25"/>
      <c r="F171" s="56" t="str">
        <f>+VLOOKUP(PROVEEDORES[[#This Row],[PROVEEDOR]],
                       Terceros!$A:$F,
                       5,
                       FALSE)</f>
        <v/>
      </c>
      <c r="G171" s="289">
        <v>45274</v>
      </c>
      <c r="H171" s="26" t="s">
        <v>279</v>
      </c>
      <c r="I171" s="289">
        <v>45253</v>
      </c>
      <c r="J171" s="35" t="s">
        <v>1290</v>
      </c>
      <c r="K171" s="21">
        <v>22500</v>
      </c>
      <c r="L171" s="21"/>
      <c r="M171" s="22">
        <f>(PROVEEDORES[[#This Row],[SUBTOTAL]]-PROVEEDORES[[#This Row],[descuento sobre subtotal]])*VLOOKUP(PROVEEDORES[[#This Row],[PROVEEDOR]],TERCEROS_INFO[#All],3,FALSE)</f>
        <v>0</v>
      </c>
      <c r="N171" s="23"/>
      <c r="O171" s="22">
        <f>+PROVEEDORES[[#This Row],[Descuento sobre subtotal %]]*(PROVEEDORES[[#This Row],[SUBTOTAL]]-PROVEEDORES[[#This Row],[descuento sobre subtotal]])</f>
        <v>0</v>
      </c>
      <c r="P171" s="72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f>+PROVEEDORES[[#This Row],[SUBTOTAL]]+PROVEEDORES[[#This Row],[IVA 19%]]-PROVEEDORES[[#This Row],[descuento sobre subtotal]]-PROVEEDORES[[#This Row],[Descuento sobre subtotal $2]]-PROVEEDORES[[#This Row],[Rete Fuente $]]</f>
        <v>22500</v>
      </c>
      <c r="S171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1">
        <f ca="1">IF(PROVEEDORES[[#This Row],[FECHA DE PAGO]]=0,TODAY()-PROVEEDORES[[#This Row],[FECHA DE FACTURACIÓN]]-PROVEEDORES[[#This Row],[PLAZO Días]],0)</f>
        <v>0</v>
      </c>
      <c r="U171" s="97">
        <f>+VLOOKUP(PROVEEDORES[[#This Row],[PROVEEDOR]],Terceros!$A:$D,4,FALSE)</f>
        <v>0</v>
      </c>
      <c r="V171" s="98">
        <f>+YEAR(PROVEEDORES[[#This Row],[FECHA DE FACTURACIÓN]])</f>
        <v>2023</v>
      </c>
      <c r="W171" s="98">
        <f>+MATCH(PROVEEDORES[[#This Row],[año facturado]],Retenciones!$1:$1,0)</f>
        <v>6</v>
      </c>
      <c r="X171" s="99">
        <f>+VLOOKUP(PROVEEDORES[[#This Row],[ID RETENCION]],Retenciones!$A$1:$O$25,PROVEEDORES[[#This Row],[indicador de columna]],FALSE)</f>
        <v>0</v>
      </c>
      <c r="Y171" s="100">
        <f>+VLOOKUP(PROVEEDORES[[#This Row],[ID RETENCION]],Retenciones!$A$1:$O$25,2,FALSE)</f>
        <v>0</v>
      </c>
      <c r="Z171" s="103" t="b">
        <f>OR(COUNTIF(PROVEEDORES[[#This Row],[PROVEEDOR]],"*"&amp;'Palabra no opera'!$A$2&amp;"*"))</f>
        <v>0</v>
      </c>
    </row>
    <row r="172" spans="1:31" ht="22.35" customHeight="1" x14ac:dyDescent="0.25">
      <c r="A172" s="260" t="str">
        <f>+IF(PROVEEDORES[[#This Row],[FECHA DE PAGO]]=PROVEEDORES[[#This Row],[FECHA DE FACTURACIÓN]],"DE CONTADO","CRÉDITO")</f>
        <v>CRÉDITO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0</v>
      </c>
      <c r="E172" s="25"/>
      <c r="F172" s="56" t="str">
        <f>+VLOOKUP(PROVEEDORES[[#This Row],[PROVEEDOR]],
                       Terceros!$A:$F,
                       5,
                       FALSE)</f>
        <v/>
      </c>
      <c r="G172" s="289">
        <v>45271</v>
      </c>
      <c r="H172" s="26" t="s">
        <v>279</v>
      </c>
      <c r="I172" s="289">
        <v>45255</v>
      </c>
      <c r="J172" s="35" t="s">
        <v>1352</v>
      </c>
      <c r="K172" s="21">
        <v>71000</v>
      </c>
      <c r="L172" s="21"/>
      <c r="M172" s="22">
        <f>(PROVEEDORES[[#This Row],[SUBTOTAL]]-PROVEEDORES[[#This Row],[descuento sobre subtotal]])*VLOOKUP(PROVEEDORES[[#This Row],[PROVEEDOR]],TERCEROS_INFO[#All],3,FALSE)</f>
        <v>0</v>
      </c>
      <c r="N172" s="23"/>
      <c r="O172" s="22">
        <f>+PROVEEDORES[[#This Row],[Descuento sobre subtotal %]]*(PROVEEDORES[[#This Row],[SUBTOTAL]]-PROVEEDORES[[#This Row],[descuento sobre subtotal]])</f>
        <v>0</v>
      </c>
      <c r="P172" s="72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f>+PROVEEDORES[[#This Row],[SUBTOTAL]]+PROVEEDORES[[#This Row],[IVA 19%]]-PROVEEDORES[[#This Row],[descuento sobre subtotal]]-PROVEEDORES[[#This Row],[Descuento sobre subtotal $2]]-PROVEEDORES[[#This Row],[Rete Fuente $]]</f>
        <v>71000</v>
      </c>
      <c r="S172" s="2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1">
        <f ca="1">IF(PROVEEDORES[[#This Row],[FECHA DE PAGO]]=0,TODAY()-PROVEEDORES[[#This Row],[FECHA DE FACTURACIÓN]]-PROVEEDORES[[#This Row],[PLAZO Días]],0)</f>
        <v>0</v>
      </c>
      <c r="U172" s="97">
        <f>+VLOOKUP(PROVEEDORES[[#This Row],[PROVEEDOR]],Terceros!$A:$D,4,FALSE)</f>
        <v>0</v>
      </c>
      <c r="V172" s="98">
        <f>+YEAR(PROVEEDORES[[#This Row],[FECHA DE FACTURACIÓN]])</f>
        <v>2023</v>
      </c>
      <c r="W172" s="98">
        <f>+MATCH(PROVEEDORES[[#This Row],[año facturado]],Retenciones!$1:$1,0)</f>
        <v>6</v>
      </c>
      <c r="X172" s="99">
        <f>+VLOOKUP(PROVEEDORES[[#This Row],[ID RETENCION]],Retenciones!$A$1:$O$25,PROVEEDORES[[#This Row],[indicador de columna]],FALSE)</f>
        <v>0</v>
      </c>
      <c r="Y172" s="100">
        <f>+VLOOKUP(PROVEEDORES[[#This Row],[ID RETENCION]],Retenciones!$A$1:$O$25,2,FALSE)</f>
        <v>0</v>
      </c>
      <c r="Z172" s="103" t="b">
        <f>OR(COUNTIF(PROVEEDORES[[#This Row],[PROVEEDOR]],"*"&amp;'Palabra no opera'!$A$2&amp;"*"))</f>
        <v>0</v>
      </c>
    </row>
    <row r="173" spans="1:31" ht="22.35" customHeight="1" x14ac:dyDescent="0.25">
      <c r="A173" s="262" t="str">
        <f>+IF(PROVEEDORES[[#This Row],[FECHA DE PAGO]]=PROVEEDORES[[#This Row],[FECHA DE FACTURACIÓN]],"DE CONTADO","CRÉDITO")</f>
        <v>CRÉDITO</v>
      </c>
      <c r="B173" s="38" t="b">
        <f>+IF((PROVEEDORES[[#This Row],[FECHA DE PAGO]]-PROVEEDORES[[#This Row],[FECHA DE FACTURACIÓN]])&gt;PROVEEDORES[[#This Row],[PLAZO Días]],"PAGO VENCIDO")</f>
        <v>0</v>
      </c>
      <c r="C173" s="20">
        <f>+VLOOKUP(PROVEEDORES[[#This Row],[PROVEEDOR]],TERCEROS_INFO[#All],2,FALSE)</f>
        <v>30</v>
      </c>
      <c r="D173" s="25">
        <f>+SUMIFS(PROVEEDORES[Total],PROVEEDORES[PROVEEDOR],PROVEEDORES[[#This Row],[PROVEEDOR]],PROVEEDORES[FECHA DE PAGO],"")</f>
        <v>0</v>
      </c>
      <c r="E173" s="25"/>
      <c r="F173" s="56" t="str">
        <f>+VLOOKUP(PROVEEDORES[[#This Row],[PROVEEDOR]],
                       Terceros!$A:$F,
                       5,
                       FALSE)</f>
        <v/>
      </c>
      <c r="G173" s="289">
        <v>45273</v>
      </c>
      <c r="H173" s="26" t="s">
        <v>279</v>
      </c>
      <c r="I173" s="289">
        <v>45258</v>
      </c>
      <c r="J173" s="35" t="s">
        <v>1291</v>
      </c>
      <c r="K173" s="21">
        <v>821850</v>
      </c>
      <c r="L173" s="21"/>
      <c r="M173" s="22">
        <f>(PROVEEDORES[[#This Row],[SUBTOTAL]]-PROVEEDORES[[#This Row],[descuento sobre subtotal]])*VLOOKUP(PROVEEDORES[[#This Row],[PROVEEDOR]],TERCEROS_INFO[#All],3,FALSE)</f>
        <v>0</v>
      </c>
      <c r="N173" s="23"/>
      <c r="O173" s="22">
        <f>+PROVEEDORES[[#This Row],[Descuento sobre subtotal %]]*(PROVEEDORES[[#This Row],[SUBTOTAL]]-PROVEEDORES[[#This Row],[descuento sobre subtotal]])</f>
        <v>0</v>
      </c>
      <c r="P173" s="72">
        <f>+IF(PROVEEDORES[[#This Row],[SUBTOTAL]]&lt;PROVEEDORES[[#This Row],[base retencion]],0,PROVEEDORES[[#This Row],[retención aplicada]])</f>
        <v>0</v>
      </c>
      <c r="Q173" s="22">
        <f>+PROVEEDORES[[#This Row],[Rete Fuente %]]*(PROVEEDORES[[#This Row],[SUBTOTAL]]-PROVEEDORES[[#This Row],[descuento sobre subtotal]])</f>
        <v>0</v>
      </c>
      <c r="R173" s="21">
        <f>+PROVEEDORES[[#This Row],[SUBTOTAL]]+PROVEEDORES[[#This Row],[IVA 19%]]-PROVEEDORES[[#This Row],[descuento sobre subtotal]]-PROVEEDORES[[#This Row],[Descuento sobre subtotal $2]]-PROVEEDORES[[#This Row],[Rete Fuente $]]</f>
        <v>821850</v>
      </c>
      <c r="S17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1">
        <f ca="1">IF(PROVEEDORES[[#This Row],[FECHA DE PAGO]]=0,TODAY()-PROVEEDORES[[#This Row],[FECHA DE FACTURACIÓN]]-PROVEEDORES[[#This Row],[PLAZO Días]],0)</f>
        <v>0</v>
      </c>
      <c r="U173" s="97">
        <f>+VLOOKUP(PROVEEDORES[[#This Row],[PROVEEDOR]],Terceros!$A:$D,4,FALSE)</f>
        <v>0</v>
      </c>
      <c r="V173" s="98">
        <f>+YEAR(PROVEEDORES[[#This Row],[FECHA DE FACTURACIÓN]])</f>
        <v>2023</v>
      </c>
      <c r="W173" s="98">
        <f>+MATCH(PROVEEDORES[[#This Row],[año facturado]],Retenciones!$1:$1,0)</f>
        <v>6</v>
      </c>
      <c r="X173" s="99">
        <f>+VLOOKUP(PROVEEDORES[[#This Row],[ID RETENCION]],Retenciones!$A$1:$O$25,PROVEEDORES[[#This Row],[indicador de columna]],FALSE)</f>
        <v>0</v>
      </c>
      <c r="Y173" s="100">
        <f>+VLOOKUP(PROVEEDORES[[#This Row],[ID RETENCION]],Retenciones!$A$1:$O$25,2,FALSE)</f>
        <v>0</v>
      </c>
      <c r="Z173" s="103" t="b">
        <f>OR(COUNTIF(PROVEEDORES[[#This Row],[PROVEEDOR]],"*"&amp;'Palabra no opera'!$A$2&amp;"*"))</f>
        <v>0</v>
      </c>
    </row>
    <row r="174" spans="1:31" ht="22.35" customHeight="1" x14ac:dyDescent="0.25">
      <c r="A174" s="262" t="str">
        <f>+IF(PROVEEDORES[[#This Row],[FECHA DE PAGO]]=PROVEEDORES[[#This Row],[FECHA DE FACTURACIÓN]],"DE CONTADO","CRÉDITO")</f>
        <v>CRÉDITO</v>
      </c>
      <c r="B174" s="38" t="b">
        <f>+IF((PROVEEDORES[[#This Row],[FECHA DE PAGO]]-PROVEEDORES[[#This Row],[FECHA DE FACTURACIÓN]])&gt;PROVEEDORES[[#This Row],[PLAZO Días]],"PAGO VENCIDO")</f>
        <v>0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0</v>
      </c>
      <c r="E174" s="25"/>
      <c r="F174" s="56" t="str">
        <f>+VLOOKUP(PROVEEDORES[[#This Row],[PROVEEDOR]],
                       Terceros!$A:$F,
                       5,
                       FALSE)</f>
        <v/>
      </c>
      <c r="G174" s="289">
        <v>45271</v>
      </c>
      <c r="H174" s="26" t="s">
        <v>279</v>
      </c>
      <c r="I174" s="289">
        <v>45259</v>
      </c>
      <c r="J174" s="35" t="s">
        <v>1353</v>
      </c>
      <c r="K174" s="21">
        <v>697800</v>
      </c>
      <c r="L174" s="21"/>
      <c r="M174" s="22">
        <f>(PROVEEDORES[[#This Row],[SUBTOTAL]]-PROVEEDORES[[#This Row],[descuento sobre subtotal]])*VLOOKUP(PROVEEDORES[[#This Row],[PROVEEDOR]],TERCEROS_INFO[#All],3,FALSE)</f>
        <v>0</v>
      </c>
      <c r="N174" s="23"/>
      <c r="O174" s="22">
        <f>+PROVEEDORES[[#This Row],[Descuento sobre subtotal %]]*(PROVEEDORES[[#This Row],[SUBTOTAL]]-PROVEEDORES[[#This Row],[descuento sobre subtotal]])</f>
        <v>0</v>
      </c>
      <c r="P174" s="72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f>+PROVEEDORES[[#This Row],[SUBTOTAL]]+PROVEEDORES[[#This Row],[IVA 19%]]-PROVEEDORES[[#This Row],[descuento sobre subtotal]]-PROVEEDORES[[#This Row],[Descuento sobre subtotal $2]]-PROVEEDORES[[#This Row],[Rete Fuente $]]</f>
        <v>697800</v>
      </c>
      <c r="S17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1">
        <f ca="1">IF(PROVEEDORES[[#This Row],[FECHA DE PAGO]]=0,TODAY()-PROVEEDORES[[#This Row],[FECHA DE FACTURACIÓN]]-PROVEEDORES[[#This Row],[PLAZO Días]],0)</f>
        <v>0</v>
      </c>
      <c r="U174" s="97">
        <f>+VLOOKUP(PROVEEDORES[[#This Row],[PROVEEDOR]],Terceros!$A:$D,4,FALSE)</f>
        <v>0</v>
      </c>
      <c r="V174" s="98">
        <f>+YEAR(PROVEEDORES[[#This Row],[FECHA DE FACTURACIÓN]])</f>
        <v>2023</v>
      </c>
      <c r="W174" s="98">
        <f>+MATCH(PROVEEDORES[[#This Row],[año facturado]],Retenciones!$1:$1,0)</f>
        <v>6</v>
      </c>
      <c r="X174" s="99">
        <f>+VLOOKUP(PROVEEDORES[[#This Row],[ID RETENCION]],Retenciones!$A$1:$O$25,PROVEEDORES[[#This Row],[indicador de columna]],FALSE)</f>
        <v>0</v>
      </c>
      <c r="Y174" s="100">
        <f>+VLOOKUP(PROVEEDORES[[#This Row],[ID RETENCION]],Retenciones!$A$1:$O$25,2,FALSE)</f>
        <v>0</v>
      </c>
      <c r="Z174" s="103" t="b">
        <f>OR(COUNTIF(PROVEEDORES[[#This Row],[PROVEEDOR]],"*"&amp;'Palabra no opera'!$A$2&amp;"*"))</f>
        <v>0</v>
      </c>
    </row>
    <row r="175" spans="1:31" ht="22.35" customHeight="1" x14ac:dyDescent="0.25">
      <c r="A175" s="65" t="str">
        <f>+IF(PROVEEDORES[[#This Row],[FECHA DE PAGO]]=PROVEEDORES[[#This Row],[FECHA DE FACTURACIÓN]],"DE CONTADO","CRÉDITO")</f>
        <v>DE CONTADO</v>
      </c>
      <c r="B175" s="38" t="b">
        <f>+IF((PROVEEDORES[[#This Row],[FECHA DE PAGO]]-PROVEEDORES[[#This Row],[FECHA DE FACTURACIÓN]])&gt;PROVEEDORES[[#This Row],[PLAZO Días]],"PAGO VENCIDO")</f>
        <v>0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0</v>
      </c>
      <c r="E175" s="25"/>
      <c r="F175" s="56" t="str">
        <f>+VLOOKUP(PROVEEDORES[[#This Row],[PROVEEDOR]],
                       Terceros!$A:$F,
                       5,
                       FALSE)</f>
        <v/>
      </c>
      <c r="G175" s="289">
        <v>45260</v>
      </c>
      <c r="H175" s="26" t="s">
        <v>566</v>
      </c>
      <c r="I175" s="289">
        <v>45260</v>
      </c>
      <c r="J175" s="35" t="s">
        <v>516</v>
      </c>
      <c r="K175" s="21">
        <v>556000</v>
      </c>
      <c r="L175" s="21"/>
      <c r="M175" s="22">
        <f>(PROVEEDORES[[#This Row],[SUBTOTAL]]-PROVEEDORES[[#This Row],[descuento sobre subtotal]])*VLOOKUP(PROVEEDORES[[#This Row],[PROVEEDOR]],TERCEROS_INFO[#All],3,FALSE)</f>
        <v>0</v>
      </c>
      <c r="N175" s="23"/>
      <c r="O175" s="22">
        <f>+PROVEEDORES[[#This Row],[Descuento sobre subtotal %]]*(PROVEEDORES[[#This Row],[SUBTOTAL]]-PROVEEDORES[[#This Row],[descuento sobre subtotal]])</f>
        <v>0</v>
      </c>
      <c r="P175" s="72">
        <f>+IF(PROVEEDORES[[#This Row],[SUBTOTAL]]&lt;PROVEEDORES[[#This Row],[base retencion]],0,PROVEEDORES[[#This Row],[retención aplicada]])</f>
        <v>0</v>
      </c>
      <c r="Q175" s="22">
        <f>+PROVEEDORES[[#This Row],[Rete Fuente %]]*(PROVEEDORES[[#This Row],[SUBTOTAL]]-PROVEEDORES[[#This Row],[descuento sobre subtotal]])</f>
        <v>0</v>
      </c>
      <c r="R175" s="21">
        <f>+PROVEEDORES[[#This Row],[SUBTOTAL]]+PROVEEDORES[[#This Row],[IVA 19%]]-PROVEEDORES[[#This Row],[descuento sobre subtotal]]-PROVEEDORES[[#This Row],[Descuento sobre subtotal $2]]-PROVEEDORES[[#This Row],[Rete Fuente $]]</f>
        <v>556000</v>
      </c>
      <c r="S1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1">
        <f ca="1">IF(PROVEEDORES[[#This Row],[FECHA DE PAGO]]=0,TODAY()-PROVEEDORES[[#This Row],[FECHA DE FACTURACIÓN]]-PROVEEDORES[[#This Row],[PLAZO Días]],0)</f>
        <v>0</v>
      </c>
      <c r="U175" s="97">
        <f>+VLOOKUP(PROVEEDORES[[#This Row],[PROVEEDOR]],Terceros!$A:$D,4,FALSE)</f>
        <v>0</v>
      </c>
      <c r="V175" s="98">
        <f>+YEAR(PROVEEDORES[[#This Row],[FECHA DE FACTURACIÓN]])</f>
        <v>2023</v>
      </c>
      <c r="W175" s="98">
        <f>+MATCH(PROVEEDORES[[#This Row],[año facturado]],Retenciones!$1:$1,0)</f>
        <v>6</v>
      </c>
      <c r="X175" s="99">
        <f>+VLOOKUP(PROVEEDORES[[#This Row],[ID RETENCION]],Retenciones!$A$1:$O$25,PROVEEDORES[[#This Row],[indicador de columna]],FALSE)</f>
        <v>0</v>
      </c>
      <c r="Y175" s="100">
        <f>+VLOOKUP(PROVEEDORES[[#This Row],[ID RETENCION]],Retenciones!$A$1:$O$25,2,FALSE)</f>
        <v>0</v>
      </c>
      <c r="Z175" s="103" t="b">
        <f>OR(COUNTIF(PROVEEDORES[[#This Row],[PROVEEDOR]],"*"&amp;'Palabra no opera'!$A$2&amp;"*"))</f>
        <v>0</v>
      </c>
    </row>
    <row r="176" spans="1:31" ht="22.35" customHeight="1" x14ac:dyDescent="0.25">
      <c r="A176" s="65" t="str">
        <f>+IF(PROVEEDORES[[#This Row],[FECHA DE PAGO]]=PROVEEDORES[[#This Row],[FECHA DE FACTURACIÓN]],"DE CONTADO","CRÉDITO")</f>
        <v>DE CONTADO</v>
      </c>
      <c r="B176" s="38" t="b">
        <f>+IF((PROVEEDORES[[#This Row],[FECHA DE PAGO]]-PROVEEDORES[[#This Row],[FECHA DE FACTURACIÓN]])&gt;PROVEEDORES[[#This Row],[PLAZO Días]],"PAGO VENCIDO")</f>
        <v>0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0</v>
      </c>
      <c r="E176" s="25"/>
      <c r="F176" s="56" t="str">
        <f>+VLOOKUP(PROVEEDORES[[#This Row],[PROVEEDOR]],
                       Terceros!$A:$F,
                       5,
                       FALSE)</f>
        <v/>
      </c>
      <c r="G176" s="289">
        <v>45260</v>
      </c>
      <c r="H176" s="26" t="s">
        <v>566</v>
      </c>
      <c r="I176" s="289">
        <v>45260</v>
      </c>
      <c r="J176" s="35" t="s">
        <v>545</v>
      </c>
      <c r="K176" s="21">
        <v>32000</v>
      </c>
      <c r="L176" s="21"/>
      <c r="M176" s="22">
        <f>(PROVEEDORES[[#This Row],[SUBTOTAL]]-PROVEEDORES[[#This Row],[descuento sobre subtotal]])*VLOOKUP(PROVEEDORES[[#This Row],[PROVEEDOR]],TERCEROS_INFO[#All],3,FALSE)</f>
        <v>0</v>
      </c>
      <c r="N176" s="23"/>
      <c r="O176" s="22">
        <f>+PROVEEDORES[[#This Row],[Descuento sobre subtotal %]]*(PROVEEDORES[[#This Row],[SUBTOTAL]]-PROVEEDORES[[#This Row],[descuento sobre subtotal]])</f>
        <v>0</v>
      </c>
      <c r="P176" s="72">
        <f>+IF(PROVEEDORES[[#This Row],[SUBTOTAL]]&lt;PROVEEDORES[[#This Row],[base retencion]],0,PROVEEDORES[[#This Row],[retención aplicada]])</f>
        <v>0</v>
      </c>
      <c r="Q176" s="22">
        <f>+PROVEEDORES[[#This Row],[Rete Fuente %]]*(PROVEEDORES[[#This Row],[SUBTOTAL]]-PROVEEDORES[[#This Row],[descuento sobre subtotal]])</f>
        <v>0</v>
      </c>
      <c r="R176" s="21">
        <f>+PROVEEDORES[[#This Row],[SUBTOTAL]]+PROVEEDORES[[#This Row],[IVA 19%]]-PROVEEDORES[[#This Row],[descuento sobre subtotal]]-PROVEEDORES[[#This Row],[Descuento sobre subtotal $2]]-PROVEEDORES[[#This Row],[Rete Fuente $]]</f>
        <v>32000</v>
      </c>
      <c r="S1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1">
        <f ca="1">IF(PROVEEDORES[[#This Row],[FECHA DE PAGO]]=0,TODAY()-PROVEEDORES[[#This Row],[FECHA DE FACTURACIÓN]]-PROVEEDORES[[#This Row],[PLAZO Días]],0)</f>
        <v>0</v>
      </c>
      <c r="U176" s="97">
        <f>+VLOOKUP(PROVEEDORES[[#This Row],[PROVEEDOR]],Terceros!$A:$D,4,FALSE)</f>
        <v>0</v>
      </c>
      <c r="V176" s="98">
        <f>+YEAR(PROVEEDORES[[#This Row],[FECHA DE FACTURACIÓN]])</f>
        <v>2023</v>
      </c>
      <c r="W176" s="98">
        <f>+MATCH(PROVEEDORES[[#This Row],[año facturado]],Retenciones!$1:$1,0)</f>
        <v>6</v>
      </c>
      <c r="X176" s="99">
        <f>+VLOOKUP(PROVEEDORES[[#This Row],[ID RETENCION]],Retenciones!$A$1:$O$25,PROVEEDORES[[#This Row],[indicador de columna]],FALSE)</f>
        <v>0</v>
      </c>
      <c r="Y176" s="100">
        <f>+VLOOKUP(PROVEEDORES[[#This Row],[ID RETENCION]],Retenciones!$A$1:$O$25,2,FALSE)</f>
        <v>0</v>
      </c>
      <c r="Z176" s="103" t="b">
        <f>OR(COUNTIF(PROVEEDORES[[#This Row],[PROVEEDOR]],"*"&amp;'Palabra no opera'!$A$2&amp;"*"))</f>
        <v>0</v>
      </c>
    </row>
    <row r="177" spans="1:26" ht="22.35" customHeight="1" x14ac:dyDescent="0.25">
      <c r="A177" s="65" t="str">
        <f>+IF(PROVEEDORES[[#This Row],[FECHA DE PAGO]]=PROVEEDORES[[#This Row],[FECHA DE FACTURACIÓN]],"DE CONTADO","CRÉDITO")</f>
        <v>DE CONTADO</v>
      </c>
      <c r="B177" s="38" t="b">
        <f>+IF((PROVEEDORES[[#This Row],[FECHA DE PAGO]]-PROVEEDORES[[#This Row],[FECHA DE FACTURACIÓN]])&gt;PROVEEDORES[[#This Row],[PLAZO Días]],"PAGO VENCIDO")</f>
        <v>0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0</v>
      </c>
      <c r="E177" s="25"/>
      <c r="F177" s="56" t="str">
        <f>+VLOOKUP(PROVEEDORES[[#This Row],[PROVEEDOR]],
                       Terceros!$A:$F,
                       5,
                       FALSE)</f>
        <v/>
      </c>
      <c r="G177" s="289">
        <v>45260</v>
      </c>
      <c r="H177" s="26" t="s">
        <v>566</v>
      </c>
      <c r="I177" s="289">
        <v>45260</v>
      </c>
      <c r="J177" s="35" t="s">
        <v>517</v>
      </c>
      <c r="K177" s="21">
        <v>1599800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72">
        <f>+IF(PROVEEDORES[[#This Row],[SUBTOTAL]]&lt;PROVEEDORES[[#This Row],[base retencion]],0,PROVEEDORES[[#This Row],[retención aplicada]])</f>
        <v>0</v>
      </c>
      <c r="Q177" s="22">
        <f>+PROVEEDORES[[#This Row],[Rete Fuente %]]*(PROVEEDORES[[#This Row],[SUBTOTAL]]-PROVEEDORES[[#This Row],[descuento sobre subtotal]])</f>
        <v>0</v>
      </c>
      <c r="R177" s="21">
        <f>+PROVEEDORES[[#This Row],[SUBTOTAL]]+PROVEEDORES[[#This Row],[IVA 19%]]-PROVEEDORES[[#This Row],[descuento sobre subtotal]]-PROVEEDORES[[#This Row],[Descuento sobre subtotal $2]]-PROVEEDORES[[#This Row],[Rete Fuente $]]</f>
        <v>1599800</v>
      </c>
      <c r="S1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1">
        <f ca="1">IF(PROVEEDORES[[#This Row],[FECHA DE PAGO]]=0,TODAY()-PROVEEDORES[[#This Row],[FECHA DE FACTURACIÓN]]-PROVEEDORES[[#This Row],[PLAZO Días]],0)</f>
        <v>0</v>
      </c>
      <c r="U177" s="97">
        <f>+VLOOKUP(PROVEEDORES[[#This Row],[PROVEEDOR]],Terceros!$A:$D,4,FALSE)</f>
        <v>0</v>
      </c>
      <c r="V177" s="98">
        <f>+YEAR(PROVEEDORES[[#This Row],[FECHA DE FACTURACIÓN]])</f>
        <v>2023</v>
      </c>
      <c r="W177" s="98">
        <f>+MATCH(PROVEEDORES[[#This Row],[año facturado]],Retenciones!$1:$1,0)</f>
        <v>6</v>
      </c>
      <c r="X177" s="99">
        <f>+VLOOKUP(PROVEEDORES[[#This Row],[ID RETENCION]],Retenciones!$A$1:$O$25,PROVEEDORES[[#This Row],[indicador de columna]],FALSE)</f>
        <v>0</v>
      </c>
      <c r="Y177" s="100">
        <f>+VLOOKUP(PROVEEDORES[[#This Row],[ID RETENCION]],Retenciones!$A$1:$O$25,2,FALSE)</f>
        <v>0</v>
      </c>
      <c r="Z177" s="103" t="b">
        <f>OR(COUNTIF(PROVEEDORES[[#This Row],[PROVEEDOR]],"*"&amp;'Palabra no opera'!$A$2&amp;"*"))</f>
        <v>0</v>
      </c>
    </row>
    <row r="178" spans="1:26" ht="22.35" customHeight="1" x14ac:dyDescent="0.25">
      <c r="A178" s="65" t="str">
        <f>+IF(PROVEEDORES[[#This Row],[FECHA DE PAGO]]=PROVEEDORES[[#This Row],[FECHA DE FACTURACIÓN]],"DE CONTADO","CRÉDITO")</f>
        <v>DE CONTADO</v>
      </c>
      <c r="B178" s="38" t="b">
        <f>+IF((PROVEEDORES[[#This Row],[FECHA DE PAGO]]-PROVEEDORES[[#This Row],[FECHA DE FACTURACIÓN]])&gt;PROVEEDORES[[#This Row],[PLAZO Días]],"PAGO VENCIDO")</f>
        <v>0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0</v>
      </c>
      <c r="E178" s="25"/>
      <c r="F178" s="56" t="str">
        <f>+VLOOKUP(PROVEEDORES[[#This Row],[PROVEEDOR]],
                       Terceros!$A:$F,
                       5,
                       FALSE)</f>
        <v/>
      </c>
      <c r="G178" s="289">
        <v>45260</v>
      </c>
      <c r="H178" s="26" t="s">
        <v>566</v>
      </c>
      <c r="I178" s="289">
        <v>45260</v>
      </c>
      <c r="J178" s="35" t="s">
        <v>519</v>
      </c>
      <c r="K178" s="21">
        <v>313000</v>
      </c>
      <c r="L178" s="21"/>
      <c r="M178" s="22">
        <f>(PROVEEDORES[[#This Row],[SUBTOTAL]]-PROVEEDORES[[#This Row],[descuento sobre subtotal]])*VLOOKUP(PROVEEDORES[[#This Row],[PROVEEDOR]],TERCEROS_INFO[#All],3,FALSE)</f>
        <v>0</v>
      </c>
      <c r="N178" s="23"/>
      <c r="O178" s="22">
        <f>+PROVEEDORES[[#This Row],[Descuento sobre subtotal %]]*(PROVEEDORES[[#This Row],[SUBTOTAL]]-PROVEEDORES[[#This Row],[descuento sobre subtotal]])</f>
        <v>0</v>
      </c>
      <c r="P178" s="72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f>+PROVEEDORES[[#This Row],[SUBTOTAL]]+PROVEEDORES[[#This Row],[IVA 19%]]-PROVEEDORES[[#This Row],[descuento sobre subtotal]]-PROVEEDORES[[#This Row],[Descuento sobre subtotal $2]]-PROVEEDORES[[#This Row],[Rete Fuente $]]</f>
        <v>313000</v>
      </c>
      <c r="S1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1">
        <f ca="1">IF(PROVEEDORES[[#This Row],[FECHA DE PAGO]]=0,TODAY()-PROVEEDORES[[#This Row],[FECHA DE FACTURACIÓN]]-PROVEEDORES[[#This Row],[PLAZO Días]],0)</f>
        <v>0</v>
      </c>
      <c r="U178" s="97">
        <f>+VLOOKUP(PROVEEDORES[[#This Row],[PROVEEDOR]],Terceros!$A:$D,4,FALSE)</f>
        <v>0</v>
      </c>
      <c r="V178" s="98">
        <f>+YEAR(PROVEEDORES[[#This Row],[FECHA DE FACTURACIÓN]])</f>
        <v>2023</v>
      </c>
      <c r="W178" s="98">
        <f>+MATCH(PROVEEDORES[[#This Row],[año facturado]],Retenciones!$1:$1,0)</f>
        <v>6</v>
      </c>
      <c r="X178" s="99">
        <f>+VLOOKUP(PROVEEDORES[[#This Row],[ID RETENCION]],Retenciones!$A$1:$O$25,PROVEEDORES[[#This Row],[indicador de columna]],FALSE)</f>
        <v>0</v>
      </c>
      <c r="Y178" s="100">
        <f>+VLOOKUP(PROVEEDORES[[#This Row],[ID RETENCION]],Retenciones!$A$1:$O$25,2,FALSE)</f>
        <v>0</v>
      </c>
      <c r="Z178" s="103" t="b">
        <f>OR(COUNTIF(PROVEEDORES[[#This Row],[PROVEEDOR]],"*"&amp;'Palabra no opera'!$A$2&amp;"*"))</f>
        <v>0</v>
      </c>
    </row>
    <row r="179" spans="1:26" ht="22.35" customHeight="1" x14ac:dyDescent="0.25">
      <c r="A179" s="65" t="str">
        <f>+IF(PROVEEDORES[[#This Row],[FECHA DE PAGO]]=PROVEEDORES[[#This Row],[FECHA DE FACTURACIÓN]],"DE CONTADO","CRÉDITO")</f>
        <v>DE CONTADO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0</v>
      </c>
      <c r="E179" s="25"/>
      <c r="F179" s="56" t="str">
        <f>+VLOOKUP(PROVEEDORES[[#This Row],[PROVEEDOR]],
                       Terceros!$A:$F,
                       5,
                       FALSE)</f>
        <v/>
      </c>
      <c r="G179" s="289">
        <v>45260</v>
      </c>
      <c r="H179" s="26" t="s">
        <v>566</v>
      </c>
      <c r="I179" s="289">
        <v>45260</v>
      </c>
      <c r="J179" s="35" t="s">
        <v>518</v>
      </c>
      <c r="K179" s="21">
        <v>452200</v>
      </c>
      <c r="L179" s="21"/>
      <c r="M179" s="22">
        <f>(PROVEEDORES[[#This Row],[SUBTOTAL]]-PROVEEDORES[[#This Row],[descuento sobre subtotal]])*VLOOKUP(PROVEEDORES[[#This Row],[PROVEEDOR]],TERCEROS_INFO[#All],3,FALSE)</f>
        <v>0</v>
      </c>
      <c r="N179" s="23"/>
      <c r="O179" s="22">
        <f>+PROVEEDORES[[#This Row],[Descuento sobre subtotal %]]*(PROVEEDORES[[#This Row],[SUBTOTAL]]-PROVEEDORES[[#This Row],[descuento sobre subtotal]])</f>
        <v>0</v>
      </c>
      <c r="P179" s="72">
        <f>+IF(PROVEEDORES[[#This Row],[SUBTOTAL]]&lt;PROVEEDORES[[#This Row],[base retencion]],0,PROVEEDORES[[#This Row],[retención aplicada]])</f>
        <v>0</v>
      </c>
      <c r="Q179" s="22">
        <f>+PROVEEDORES[[#This Row],[Rete Fuente %]]*(PROVEEDORES[[#This Row],[SUBTOTAL]]-PROVEEDORES[[#This Row],[descuento sobre subtotal]])</f>
        <v>0</v>
      </c>
      <c r="R179" s="21">
        <f>+PROVEEDORES[[#This Row],[SUBTOTAL]]+PROVEEDORES[[#This Row],[IVA 19%]]-PROVEEDORES[[#This Row],[descuento sobre subtotal]]-PROVEEDORES[[#This Row],[Descuento sobre subtotal $2]]-PROVEEDORES[[#This Row],[Rete Fuente $]]</f>
        <v>452200</v>
      </c>
      <c r="S1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1">
        <f ca="1">IF(PROVEEDORES[[#This Row],[FECHA DE PAGO]]=0,TODAY()-PROVEEDORES[[#This Row],[FECHA DE FACTURACIÓN]]-PROVEEDORES[[#This Row],[PLAZO Días]],0)</f>
        <v>0</v>
      </c>
      <c r="U179" s="97">
        <f>+VLOOKUP(PROVEEDORES[[#This Row],[PROVEEDOR]],Terceros!$A:$D,4,FALSE)</f>
        <v>0</v>
      </c>
      <c r="V179" s="98">
        <f>+YEAR(PROVEEDORES[[#This Row],[FECHA DE FACTURACIÓN]])</f>
        <v>2023</v>
      </c>
      <c r="W179" s="98">
        <f>+MATCH(PROVEEDORES[[#This Row],[año facturado]],Retenciones!$1:$1,0)</f>
        <v>6</v>
      </c>
      <c r="X179" s="99">
        <f>+VLOOKUP(PROVEEDORES[[#This Row],[ID RETENCION]],Retenciones!$A$1:$O$25,PROVEEDORES[[#This Row],[indicador de columna]],FALSE)</f>
        <v>0</v>
      </c>
      <c r="Y179" s="100">
        <f>+VLOOKUP(PROVEEDORES[[#This Row],[ID RETENCION]],Retenciones!$A$1:$O$25,2,FALSE)</f>
        <v>0</v>
      </c>
      <c r="Z179" s="103" t="b">
        <f>OR(COUNTIF(PROVEEDORES[[#This Row],[PROVEEDOR]],"*"&amp;'Palabra no opera'!$A$2&amp;"*"))</f>
        <v>0</v>
      </c>
    </row>
    <row r="180" spans="1:26" ht="22.35" customHeight="1" x14ac:dyDescent="0.25">
      <c r="A180" s="65" t="str">
        <f>+IF(PROVEEDORES[[#This Row],[FECHA DE PAGO]]=PROVEEDORES[[#This Row],[FECHA DE FACTURACIÓN]],"DE CONTADO","CRÉDITO")</f>
        <v>DE CONTADO</v>
      </c>
      <c r="B180" s="38" t="b">
        <f>+IF((PROVEEDORES[[#This Row],[FECHA DE PAGO]]-PROVEEDORES[[#This Row],[FECHA DE FACTURACIÓN]])&gt;PROVEEDORES[[#This Row],[PLAZO Días]],"PAGO VENCIDO")</f>
        <v>0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0</v>
      </c>
      <c r="E180" s="25"/>
      <c r="F180" s="56" t="str">
        <f>+VLOOKUP(PROVEEDORES[[#This Row],[PROVEEDOR]],
                       Terceros!$A:$F,
                       5,
                       FALSE)</f>
        <v/>
      </c>
      <c r="G180" s="289">
        <v>45260</v>
      </c>
      <c r="H180" s="26" t="s">
        <v>566</v>
      </c>
      <c r="I180" s="289">
        <v>45260</v>
      </c>
      <c r="J180" s="35" t="s">
        <v>520</v>
      </c>
      <c r="K180" s="21">
        <v>269600</v>
      </c>
      <c r="L180" s="21"/>
      <c r="M180" s="22">
        <f>(PROVEEDORES[[#This Row],[SUBTOTAL]]-PROVEEDORES[[#This Row],[descuento sobre subtotal]])*VLOOKUP(PROVEEDORES[[#This Row],[PROVEEDOR]],TERCEROS_INFO[#All],3,FALSE)</f>
        <v>0</v>
      </c>
      <c r="N180" s="23"/>
      <c r="O180" s="22">
        <f>+PROVEEDORES[[#This Row],[Descuento sobre subtotal %]]*(PROVEEDORES[[#This Row],[SUBTOTAL]]-PROVEEDORES[[#This Row],[descuento sobre subtotal]])</f>
        <v>0</v>
      </c>
      <c r="P180" s="72">
        <f>+IF(PROVEEDORES[[#This Row],[SUBTOTAL]]&lt;PROVEEDORES[[#This Row],[base retencion]],0,PROVEEDORES[[#This Row],[retención aplicada]])</f>
        <v>0</v>
      </c>
      <c r="Q180" s="22">
        <f>+PROVEEDORES[[#This Row],[Rete Fuente %]]*(PROVEEDORES[[#This Row],[SUBTOTAL]]-PROVEEDORES[[#This Row],[descuento sobre subtotal]])</f>
        <v>0</v>
      </c>
      <c r="R180" s="21">
        <f>+PROVEEDORES[[#This Row],[SUBTOTAL]]+PROVEEDORES[[#This Row],[IVA 19%]]-PROVEEDORES[[#This Row],[descuento sobre subtotal]]-PROVEEDORES[[#This Row],[Descuento sobre subtotal $2]]-PROVEEDORES[[#This Row],[Rete Fuente $]]</f>
        <v>269600</v>
      </c>
      <c r="S1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1">
        <f ca="1">IF(PROVEEDORES[[#This Row],[FECHA DE PAGO]]=0,TODAY()-PROVEEDORES[[#This Row],[FECHA DE FACTURACIÓN]]-PROVEEDORES[[#This Row],[PLAZO Días]],0)</f>
        <v>0</v>
      </c>
      <c r="U180" s="97">
        <f>+VLOOKUP(PROVEEDORES[[#This Row],[PROVEEDOR]],Terceros!$A:$D,4,FALSE)</f>
        <v>0</v>
      </c>
      <c r="V180" s="98">
        <f>+YEAR(PROVEEDORES[[#This Row],[FECHA DE FACTURACIÓN]])</f>
        <v>2023</v>
      </c>
      <c r="W180" s="98">
        <f>+MATCH(PROVEEDORES[[#This Row],[año facturado]],Retenciones!$1:$1,0)</f>
        <v>6</v>
      </c>
      <c r="X180" s="99">
        <f>+VLOOKUP(PROVEEDORES[[#This Row],[ID RETENCION]],Retenciones!$A$1:$O$25,PROVEEDORES[[#This Row],[indicador de columna]],FALSE)</f>
        <v>0</v>
      </c>
      <c r="Y180" s="100">
        <f>+VLOOKUP(PROVEEDORES[[#This Row],[ID RETENCION]],Retenciones!$A$1:$O$25,2,FALSE)</f>
        <v>0</v>
      </c>
      <c r="Z180" s="103" t="b">
        <f>OR(COUNTIF(PROVEEDORES[[#This Row],[PROVEEDOR]],"*"&amp;'Palabra no opera'!$A$2&amp;"*"))</f>
        <v>0</v>
      </c>
    </row>
    <row r="181" spans="1:26" ht="22.35" customHeight="1" x14ac:dyDescent="0.25">
      <c r="A181" s="265" t="str">
        <f>+IF(PROVEEDORES[[#This Row],[FECHA DE PAGO]]=PROVEEDORES[[#This Row],[FECHA DE FACTURACIÓN]],"DE CONTADO","CRÉDITO")</f>
        <v>DE CONTADO</v>
      </c>
      <c r="B181" s="38" t="b">
        <f>+IF((PROVEEDORES[[#This Row],[FECHA DE PAGO]]-PROVEEDORES[[#This Row],[FECHA DE FACTURACIÓN]])&gt;PROVEEDORES[[#This Row],[PLAZO Días]],"PAGO VENCIDO")</f>
        <v>0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0</v>
      </c>
      <c r="E181" s="25"/>
      <c r="F181" s="56" t="str">
        <f>+VLOOKUP(PROVEEDORES[[#This Row],[PROVEEDOR]],
                       Terceros!$A:$F,
                       5,
                       FALSE)</f>
        <v/>
      </c>
      <c r="G181" s="289">
        <v>45261</v>
      </c>
      <c r="H181" s="26" t="s">
        <v>566</v>
      </c>
      <c r="I181" s="289">
        <v>45261</v>
      </c>
      <c r="J181" s="35" t="s">
        <v>1282</v>
      </c>
      <c r="K181" s="21">
        <v>200000</v>
      </c>
      <c r="L181" s="21"/>
      <c r="M181" s="22">
        <f>(PROVEEDORES[[#This Row],[SUBTOTAL]]-PROVEEDORES[[#This Row],[descuento sobre subtotal]])*VLOOKUP(PROVEEDORES[[#This Row],[PROVEEDOR]],TERCEROS_INFO[#All],3,FALSE)</f>
        <v>0</v>
      </c>
      <c r="N181" s="23"/>
      <c r="O181" s="22">
        <f>+PROVEEDORES[[#This Row],[Descuento sobre subtotal %]]*(PROVEEDORES[[#This Row],[SUBTOTAL]]-PROVEEDORES[[#This Row],[descuento sobre subtotal]])</f>
        <v>0</v>
      </c>
      <c r="P181" s="72">
        <f>+IF(PROVEEDORES[[#This Row],[SUBTOTAL]]&lt;PROVEEDORES[[#This Row],[base retencion]],0,PROVEEDORES[[#This Row],[retención aplicada]])</f>
        <v>0</v>
      </c>
      <c r="Q181" s="22">
        <f>+PROVEEDORES[[#This Row],[Rete Fuente %]]*(PROVEEDORES[[#This Row],[SUBTOTAL]]-PROVEEDORES[[#This Row],[descuento sobre subtotal]])</f>
        <v>0</v>
      </c>
      <c r="R181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81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1">
        <f ca="1">IF(PROVEEDORES[[#This Row],[FECHA DE PAGO]]=0,TODAY()-PROVEEDORES[[#This Row],[FECHA DE FACTURACIÓN]]-PROVEEDORES[[#This Row],[PLAZO Días]],0)</f>
        <v>0</v>
      </c>
      <c r="U181" s="97">
        <f>+VLOOKUP(PROVEEDORES[[#This Row],[PROVEEDOR]],Terceros!$A:$D,4,FALSE)</f>
        <v>0</v>
      </c>
      <c r="V181" s="98">
        <f>+YEAR(PROVEEDORES[[#This Row],[FECHA DE FACTURACIÓN]])</f>
        <v>2023</v>
      </c>
      <c r="W181" s="98">
        <f>+MATCH(PROVEEDORES[[#This Row],[año facturado]],Retenciones!$1:$1,0)</f>
        <v>6</v>
      </c>
      <c r="X181" s="99">
        <f>+VLOOKUP(PROVEEDORES[[#This Row],[ID RETENCION]],Retenciones!$A$1:$O$25,PROVEEDORES[[#This Row],[indicador de columna]],FALSE)</f>
        <v>0</v>
      </c>
      <c r="Y181" s="100">
        <f>+VLOOKUP(PROVEEDORES[[#This Row],[ID RETENCION]],Retenciones!$A$1:$O$25,2,FALSE)</f>
        <v>0</v>
      </c>
      <c r="Z181" s="103" t="b">
        <f>OR(COUNTIF(PROVEEDORES[[#This Row],[PROVEEDOR]],"*"&amp;'Palabra no opera'!$A$2&amp;"*"))</f>
        <v>0</v>
      </c>
    </row>
    <row r="182" spans="1:26" ht="22.35" customHeight="1" x14ac:dyDescent="0.25">
      <c r="A182" s="65" t="str">
        <f>+IF(PROVEEDORES[[#This Row],[FECHA DE PAGO]]=PROVEEDORES[[#This Row],[FECHA DE FACTURACIÓN]],"DE CONTADO","CRÉDITO")</f>
        <v>DE CONTADO</v>
      </c>
      <c r="B182" s="38" t="b">
        <f>+IF((PROVEEDORES[[#This Row],[FECHA DE PAGO]]-PROVEEDORES[[#This Row],[FECHA DE FACTURACIÓN]])&gt;PROVEEDORES[[#This Row],[PLAZO Días]],"PAGO VENCIDO")</f>
        <v>0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0</v>
      </c>
      <c r="E182" s="25"/>
      <c r="F182" s="56" t="str">
        <f>+VLOOKUP(PROVEEDORES[[#This Row],[PROVEEDOR]],
                       Terceros!$A:$F,
                       5,
                       FALSE)</f>
        <v/>
      </c>
      <c r="G182" s="289">
        <v>45262</v>
      </c>
      <c r="H182" s="26" t="s">
        <v>279</v>
      </c>
      <c r="I182" s="289">
        <v>45262</v>
      </c>
      <c r="J182" s="35" t="s">
        <v>1168</v>
      </c>
      <c r="K182" s="21">
        <v>200000</v>
      </c>
      <c r="L182" s="21"/>
      <c r="M182" s="22">
        <f>(PROVEEDORES[[#This Row],[SUBTOTAL]]-PROVEEDORES[[#This Row],[descuento sobre subtotal]])*VLOOKUP(PROVEEDORES[[#This Row],[PROVEEDOR]],TERCEROS_INFO[#All],3,FALSE)</f>
        <v>0</v>
      </c>
      <c r="N182" s="23"/>
      <c r="O182" s="22">
        <f>+PROVEEDORES[[#This Row],[Descuento sobre subtotal %]]*(PROVEEDORES[[#This Row],[SUBTOTAL]]-PROVEEDORES[[#This Row],[descuento sobre subtotal]])</f>
        <v>0</v>
      </c>
      <c r="P182" s="72">
        <f>+IF(PROVEEDORES[[#This Row],[SUBTOTAL]]&lt;PROVEEDORES[[#This Row],[base retencion]],0,PROVEEDORES[[#This Row],[retención aplicada]])</f>
        <v>0</v>
      </c>
      <c r="Q182" s="22">
        <f>+PROVEEDORES[[#This Row],[Rete Fuente %]]*(PROVEEDORES[[#This Row],[SUBTOTAL]]-PROVEEDORES[[#This Row],[descuento sobre subtotal]])</f>
        <v>0</v>
      </c>
      <c r="R182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1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1">
        <f ca="1">IF(PROVEEDORES[[#This Row],[FECHA DE PAGO]]=0,TODAY()-PROVEEDORES[[#This Row],[FECHA DE FACTURACIÓN]]-PROVEEDORES[[#This Row],[PLAZO Días]],0)</f>
        <v>0</v>
      </c>
      <c r="U182" s="97">
        <f>+VLOOKUP(PROVEEDORES[[#This Row],[PROVEEDOR]],Terceros!$A:$D,4,FALSE)</f>
        <v>0</v>
      </c>
      <c r="V182" s="98">
        <f>+YEAR(PROVEEDORES[[#This Row],[FECHA DE FACTURACIÓN]])</f>
        <v>2023</v>
      </c>
      <c r="W182" s="98">
        <f>+MATCH(PROVEEDORES[[#This Row],[año facturado]],Retenciones!$1:$1,0)</f>
        <v>6</v>
      </c>
      <c r="X182" s="99">
        <f>+VLOOKUP(PROVEEDORES[[#This Row],[ID RETENCION]],Retenciones!$A$1:$O$25,PROVEEDORES[[#This Row],[indicador de columna]],FALSE)</f>
        <v>0</v>
      </c>
      <c r="Y182" s="100">
        <f>+VLOOKUP(PROVEEDORES[[#This Row],[ID RETENCION]],Retenciones!$A$1:$O$25,2,FALSE)</f>
        <v>0</v>
      </c>
      <c r="Z182" s="103" t="b">
        <f>OR(COUNTIF(PROVEEDORES[[#This Row],[PROVEEDOR]],"*"&amp;'Palabra no opera'!$A$2&amp;"*"))</f>
        <v>0</v>
      </c>
    </row>
    <row r="183" spans="1:26" ht="22.35" customHeight="1" x14ac:dyDescent="0.25">
      <c r="A183" s="65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0</v>
      </c>
      <c r="E183" s="25"/>
      <c r="F183" s="56" t="str">
        <f>+VLOOKUP(PROVEEDORES[[#This Row],[PROVEEDOR]],
                       Terceros!$A:$F,
                       5,
                       FALSE)</f>
        <v/>
      </c>
      <c r="G183" s="289">
        <v>45266</v>
      </c>
      <c r="H183" s="26" t="s">
        <v>279</v>
      </c>
      <c r="I183" s="289">
        <v>45266</v>
      </c>
      <c r="J183" s="35" t="s">
        <v>1373</v>
      </c>
      <c r="K183" s="21">
        <v>412900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72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f>+PROVEEDORES[[#This Row],[SUBTOTAL]]+PROVEEDORES[[#This Row],[IVA 19%]]-PROVEEDORES[[#This Row],[descuento sobre subtotal]]-PROVEEDORES[[#This Row],[Descuento sobre subtotal $2]]-PROVEEDORES[[#This Row],[Rete Fuente $]]</f>
        <v>412900</v>
      </c>
      <c r="S1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1">
        <f ca="1">IF(PROVEEDORES[[#This Row],[FECHA DE PAGO]]=0,TODAY()-PROVEEDORES[[#This Row],[FECHA DE FACTURACIÓN]]-PROVEEDORES[[#This Row],[PLAZO Días]],0)</f>
        <v>0</v>
      </c>
      <c r="U183" s="97">
        <f>+VLOOKUP(PROVEEDORES[[#This Row],[PROVEEDOR]],Terceros!$A:$D,4,FALSE)</f>
        <v>0</v>
      </c>
      <c r="V183" s="98">
        <f>+YEAR(PROVEEDORES[[#This Row],[FECHA DE FACTURACIÓN]])</f>
        <v>2023</v>
      </c>
      <c r="W183" s="98">
        <f>+MATCH(PROVEEDORES[[#This Row],[año facturado]],Retenciones!$1:$1,0)</f>
        <v>6</v>
      </c>
      <c r="X183" s="99">
        <f>+VLOOKUP(PROVEEDORES[[#This Row],[ID RETENCION]],Retenciones!$A$1:$O$25,PROVEEDORES[[#This Row],[indicador de columna]],FALSE)</f>
        <v>0</v>
      </c>
      <c r="Y183" s="100">
        <f>+VLOOKUP(PROVEEDORES[[#This Row],[ID RETENCION]],Retenciones!$A$1:$O$25,2,FALSE)</f>
        <v>0</v>
      </c>
      <c r="Z183" s="103" t="b">
        <f>OR(COUNTIF(PROVEEDORES[[#This Row],[PROVEEDOR]],"*"&amp;'Palabra no opera'!$A$2&amp;"*"))</f>
        <v>0</v>
      </c>
    </row>
    <row r="184" spans="1:26" ht="22.35" customHeight="1" x14ac:dyDescent="0.25">
      <c r="A184" s="65" t="str">
        <f>+IF(PROVEEDORES[[#This Row],[FECHA DE PAGO]]=PROVEEDORES[[#This Row],[FECHA DE FACTURACIÓN]],"DE CONTADO","CRÉDITO")</f>
        <v>DE CONTADO</v>
      </c>
      <c r="B184" s="38" t="b">
        <f>+IF((PROVEEDORES[[#This Row],[FECHA DE PAGO]]-PROVEEDORES[[#This Row],[FECHA DE FACTURACIÓN]])&gt;PROVEEDORES[[#This Row],[PLAZO Días]],"PAGO VENCIDO")</f>
        <v>0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0</v>
      </c>
      <c r="E184" s="25"/>
      <c r="F184" s="56" t="str">
        <f>+VLOOKUP(PROVEEDORES[[#This Row],[PROVEEDOR]],
                       Terceros!$A:$F,
                       5,
                       FALSE)</f>
        <v/>
      </c>
      <c r="G184" s="289">
        <v>45271</v>
      </c>
      <c r="H184" s="26" t="s">
        <v>566</v>
      </c>
      <c r="I184" s="289">
        <v>45271</v>
      </c>
      <c r="J184" s="269" t="s">
        <v>1358</v>
      </c>
      <c r="K184" s="21">
        <v>1500000</v>
      </c>
      <c r="L184" s="21"/>
      <c r="M184" s="22">
        <f>(PROVEEDORES[[#This Row],[SUBTOTAL]]-PROVEEDORES[[#This Row],[descuento sobre subtotal]])*VLOOKUP(PROVEEDORES[[#This Row],[PROVEEDOR]],TERCEROS_INFO[#All],3,FALSE)</f>
        <v>0</v>
      </c>
      <c r="N184" s="23"/>
      <c r="O184" s="22">
        <f>+PROVEEDORES[[#This Row],[Descuento sobre subtotal %]]*(PROVEEDORES[[#This Row],[SUBTOTAL]]-PROVEEDORES[[#This Row],[descuento sobre subtotal]])</f>
        <v>0</v>
      </c>
      <c r="P184" s="72">
        <f>+IF(PROVEEDORES[[#This Row],[SUBTOTAL]]&lt;PROVEEDORES[[#This Row],[base retencion]],0,PROVEEDORES[[#This Row],[retención aplicada]])</f>
        <v>0</v>
      </c>
      <c r="Q184" s="22">
        <f>+PROVEEDORES[[#This Row],[Rete Fuente %]]*(PROVEEDORES[[#This Row],[SUBTOTAL]]-PROVEEDORES[[#This Row],[descuento sobre subtotal]])</f>
        <v>0</v>
      </c>
      <c r="R184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1">
        <f ca="1">IF(PROVEEDORES[[#This Row],[FECHA DE PAGO]]=0,TODAY()-PROVEEDORES[[#This Row],[FECHA DE FACTURACIÓN]]-PROVEEDORES[[#This Row],[PLAZO Días]],0)</f>
        <v>0</v>
      </c>
      <c r="U184" s="97">
        <f>+VLOOKUP(PROVEEDORES[[#This Row],[PROVEEDOR]],Terceros!$A:$D,4,FALSE)</f>
        <v>0</v>
      </c>
      <c r="V184" s="98">
        <f>+YEAR(PROVEEDORES[[#This Row],[FECHA DE FACTURACIÓN]])</f>
        <v>2023</v>
      </c>
      <c r="W184" s="98">
        <f>+MATCH(PROVEEDORES[[#This Row],[año facturado]],Retenciones!$1:$1,0)</f>
        <v>6</v>
      </c>
      <c r="X184" s="99">
        <f>+VLOOKUP(PROVEEDORES[[#This Row],[ID RETENCION]],Retenciones!$A$1:$O$25,PROVEEDORES[[#This Row],[indicador de columna]],FALSE)</f>
        <v>0</v>
      </c>
      <c r="Y184" s="100">
        <f>+VLOOKUP(PROVEEDORES[[#This Row],[ID RETENCION]],Retenciones!$A$1:$O$25,2,FALSE)</f>
        <v>0</v>
      </c>
      <c r="Z184" s="103" t="b">
        <f>OR(COUNTIF(PROVEEDORES[[#This Row],[PROVEEDOR]],"*"&amp;'Palabra no opera'!$A$2&amp;"*"))</f>
        <v>0</v>
      </c>
    </row>
    <row r="185" spans="1:26" ht="22.35" customHeight="1" x14ac:dyDescent="0.25">
      <c r="A185" s="65" t="str">
        <f>+IF(PROVEEDORES[[#This Row],[FECHA DE PAGO]]=PROVEEDORES[[#This Row],[FECHA DE FACTURACIÓN]],"DE CONTADO","CRÉDITO")</f>
        <v>DE CONTADO</v>
      </c>
      <c r="B185" s="38" t="b">
        <f>+IF((PROVEEDORES[[#This Row],[FECHA DE PAGO]]-PROVEEDORES[[#This Row],[FECHA DE FACTURACIÓN]])&gt;PROVEEDORES[[#This Row],[PLAZO Días]],"PAGO VENCIDO")</f>
        <v>0</v>
      </c>
      <c r="C185" s="20">
        <f>+VLOOKUP(PROVEEDORES[[#This Row],[PROVEEDOR]],TERCEROS_INFO[#All],2,FALSE)</f>
        <v>30</v>
      </c>
      <c r="D185" s="25">
        <f>+SUMIFS(PROVEEDORES[Total],PROVEEDORES[PROVEEDOR],PROVEEDORES[[#This Row],[PROVEEDOR]],PROVEEDORES[FECHA DE PAGO],"")</f>
        <v>0</v>
      </c>
      <c r="E185" s="25"/>
      <c r="F185" s="56" t="str">
        <f>+VLOOKUP(PROVEEDORES[[#This Row],[PROVEEDOR]],
                       Terceros!$A:$F,
                       5,
                       FALSE)</f>
        <v/>
      </c>
      <c r="G185" s="289">
        <v>45275</v>
      </c>
      <c r="H185" s="26" t="s">
        <v>279</v>
      </c>
      <c r="I185" s="289">
        <v>45275</v>
      </c>
      <c r="J185" s="35" t="s">
        <v>1388</v>
      </c>
      <c r="K185" s="21">
        <v>180000</v>
      </c>
      <c r="L185" s="21"/>
      <c r="M185" s="22">
        <f>(PROVEEDORES[[#This Row],[SUBTOTAL]]-PROVEEDORES[[#This Row],[descuento sobre subtotal]])*VLOOKUP(PROVEEDORES[[#This Row],[PROVEEDOR]],TERCEROS_INFO[#All],3,FALSE)</f>
        <v>0</v>
      </c>
      <c r="N185" s="23"/>
      <c r="O185" s="22">
        <f>+PROVEEDORES[[#This Row],[Descuento sobre subtotal %]]*(PROVEEDORES[[#This Row],[SUBTOTAL]]-PROVEEDORES[[#This Row],[descuento sobre subtotal]])</f>
        <v>0</v>
      </c>
      <c r="P185" s="72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1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1">
        <f ca="1">IF(PROVEEDORES[[#This Row],[FECHA DE PAGO]]=0,TODAY()-PROVEEDORES[[#This Row],[FECHA DE FACTURACIÓN]]-PROVEEDORES[[#This Row],[PLAZO Días]],0)</f>
        <v>0</v>
      </c>
      <c r="U185" s="97">
        <f>+VLOOKUP(PROVEEDORES[[#This Row],[PROVEEDOR]],Terceros!$A:$D,4,FALSE)</f>
        <v>0</v>
      </c>
      <c r="V185" s="98">
        <f>+YEAR(PROVEEDORES[[#This Row],[FECHA DE FACTURACIÓN]])</f>
        <v>2023</v>
      </c>
      <c r="W185" s="98">
        <f>+MATCH(PROVEEDORES[[#This Row],[año facturado]],Retenciones!$1:$1,0)</f>
        <v>6</v>
      </c>
      <c r="X185" s="99">
        <f>+VLOOKUP(PROVEEDORES[[#This Row],[ID RETENCION]],Retenciones!$A$1:$O$25,PROVEEDORES[[#This Row],[indicador de columna]],FALSE)</f>
        <v>0</v>
      </c>
      <c r="Y185" s="100">
        <f>+VLOOKUP(PROVEEDORES[[#This Row],[ID RETENCION]],Retenciones!$A$1:$O$25,2,FALSE)</f>
        <v>0</v>
      </c>
      <c r="Z185" s="103" t="b">
        <f>OR(COUNTIF(PROVEEDORES[[#This Row],[PROVEEDOR]],"*"&amp;'Palabra no opera'!$A$2&amp;"*"))</f>
        <v>0</v>
      </c>
    </row>
    <row r="186" spans="1:26" ht="22.35" customHeight="1" x14ac:dyDescent="0.25">
      <c r="A186" s="65" t="str">
        <f>+IF(PROVEEDORES[[#This Row],[FECHA DE PAGO]]=PROVEEDORES[[#This Row],[FECHA DE FACTURACIÓN]],"DE CONTADO","CRÉDITO")</f>
        <v>DE CONTADO</v>
      </c>
      <c r="B186" s="38" t="b">
        <f>+IF((PROVEEDORES[[#This Row],[FECHA DE PAGO]]-PROVEEDORES[[#This Row],[FECHA DE FACTURACIÓN]])&gt;PROVEEDORES[[#This Row],[PLAZO Días]],"PAGO VENCIDO")</f>
        <v>0</v>
      </c>
      <c r="C186" s="20">
        <f>+VLOOKUP(PROVEEDORES[[#This Row],[PROVEEDOR]],TERCEROS_INFO[#All],2,FALSE)</f>
        <v>30</v>
      </c>
      <c r="D186" s="25">
        <f>+SUMIFS(PROVEEDORES[Total],PROVEEDORES[PROVEEDOR],PROVEEDORES[[#This Row],[PROVEEDOR]],PROVEEDORES[FECHA DE PAGO],"")</f>
        <v>0</v>
      </c>
      <c r="E186" s="25"/>
      <c r="F186" s="56" t="str">
        <f>+VLOOKUP(PROVEEDORES[[#This Row],[PROVEEDOR]],
                       Terceros!$A:$F,
                       5,
                       FALSE)</f>
        <v/>
      </c>
      <c r="G186" s="289">
        <v>45277</v>
      </c>
      <c r="H186" s="26" t="s">
        <v>279</v>
      </c>
      <c r="I186" s="289">
        <v>45277</v>
      </c>
      <c r="J186" s="35" t="s">
        <v>1168</v>
      </c>
      <c r="K186" s="21">
        <v>400000</v>
      </c>
      <c r="L186" s="21"/>
      <c r="M186" s="22">
        <f>(PROVEEDORES[[#This Row],[SUBTOTAL]]-PROVEEDORES[[#This Row],[descuento sobre subtotal]])*VLOOKUP(PROVEEDORES[[#This Row],[PROVEEDOR]],TERCEROS_INFO[#All],3,FALSE)</f>
        <v>0</v>
      </c>
      <c r="N186" s="23"/>
      <c r="O186" s="22">
        <f>+PROVEEDORES[[#This Row],[Descuento sobre subtotal %]]*(PROVEEDORES[[#This Row],[SUBTOTAL]]-PROVEEDORES[[#This Row],[descuento sobre subtotal]])</f>
        <v>0</v>
      </c>
      <c r="P186" s="72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18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1">
        <f ca="1">IF(PROVEEDORES[[#This Row],[FECHA DE PAGO]]=0,TODAY()-PROVEEDORES[[#This Row],[FECHA DE FACTURACIÓN]]-PROVEEDORES[[#This Row],[PLAZO Días]],0)</f>
        <v>0</v>
      </c>
      <c r="U186" s="97">
        <f>+VLOOKUP(PROVEEDORES[[#This Row],[PROVEEDOR]],Terceros!$A:$D,4,FALSE)</f>
        <v>0</v>
      </c>
      <c r="V186" s="98">
        <f>+YEAR(PROVEEDORES[[#This Row],[FECHA DE FACTURACIÓN]])</f>
        <v>2023</v>
      </c>
      <c r="W186" s="98">
        <f>+MATCH(PROVEEDORES[[#This Row],[año facturado]],Retenciones!$1:$1,0)</f>
        <v>6</v>
      </c>
      <c r="X186" s="99">
        <f>+VLOOKUP(PROVEEDORES[[#This Row],[ID RETENCION]],Retenciones!$A$1:$O$25,PROVEEDORES[[#This Row],[indicador de columna]],FALSE)</f>
        <v>0</v>
      </c>
      <c r="Y186" s="100">
        <f>+VLOOKUP(PROVEEDORES[[#This Row],[ID RETENCION]],Retenciones!$A$1:$O$25,2,FALSE)</f>
        <v>0</v>
      </c>
      <c r="Z186" s="103" t="b">
        <f>OR(COUNTIF(PROVEEDORES[[#This Row],[PROVEEDOR]],"*"&amp;'Palabra no opera'!$A$2&amp;"*"))</f>
        <v>0</v>
      </c>
    </row>
    <row r="187" spans="1:26" ht="22.35" customHeight="1" x14ac:dyDescent="0.25">
      <c r="A187" s="65" t="str">
        <f>+IF(PROVEEDORES[[#This Row],[FECHA DE PAGO]]=PROVEEDORES[[#This Row],[FECHA DE FACTURACIÓN]],"DE CONTADO","CRÉDITO")</f>
        <v>DE CONTADO</v>
      </c>
      <c r="B187" s="38" t="b">
        <f>+IF((PROVEEDORES[[#This Row],[FECHA DE PAGO]]-PROVEEDORES[[#This Row],[FECHA DE FACTURACIÓN]])&gt;PROVEEDORES[[#This Row],[PLAZO Días]],"PAGO VENCIDO")</f>
        <v>0</v>
      </c>
      <c r="C187" s="20">
        <f>+VLOOKUP(PROVEEDORES[[#This Row],[PROVEEDOR]],TERCEROS_INFO[#All],2,FALSE)</f>
        <v>30</v>
      </c>
      <c r="D187" s="25">
        <f>+SUMIFS(PROVEEDORES[Total],PROVEEDORES[PROVEEDOR],PROVEEDORES[[#This Row],[PROVEEDOR]],PROVEEDORES[FECHA DE PAGO],"")</f>
        <v>0</v>
      </c>
      <c r="E187" s="25"/>
      <c r="F187" s="56" t="str">
        <f>+VLOOKUP(PROVEEDORES[[#This Row],[PROVEEDOR]],
                       Terceros!$A:$F,
                       5,
                       FALSE)</f>
        <v/>
      </c>
      <c r="G187" s="289">
        <v>45280</v>
      </c>
      <c r="H187" s="26" t="s">
        <v>279</v>
      </c>
      <c r="I187" s="289">
        <v>45280</v>
      </c>
      <c r="J187" s="35" t="s">
        <v>1392</v>
      </c>
      <c r="K187" s="21">
        <v>665000</v>
      </c>
      <c r="L187" s="21"/>
      <c r="M187" s="22">
        <f>(PROVEEDORES[[#This Row],[SUBTOTAL]]-PROVEEDORES[[#This Row],[descuento sobre subtotal]])*VLOOKUP(PROVEEDORES[[#This Row],[PROVEEDOR]],TERCEROS_INFO[#All],3,FALSE)</f>
        <v>0</v>
      </c>
      <c r="N187" s="23"/>
      <c r="O187" s="22">
        <f>+PROVEEDORES[[#This Row],[Descuento sobre subtotal %]]*(PROVEEDORES[[#This Row],[SUBTOTAL]]-PROVEEDORES[[#This Row],[descuento sobre subtotal]])</f>
        <v>0</v>
      </c>
      <c r="P187" s="72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f>+PROVEEDORES[[#This Row],[SUBTOTAL]]+PROVEEDORES[[#This Row],[IVA 19%]]-PROVEEDORES[[#This Row],[descuento sobre subtotal]]-PROVEEDORES[[#This Row],[Descuento sobre subtotal $2]]-PROVEEDORES[[#This Row],[Rete Fuente $]]</f>
        <v>665000</v>
      </c>
      <c r="S1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1">
        <f ca="1">IF(PROVEEDORES[[#This Row],[FECHA DE PAGO]]=0,TODAY()-PROVEEDORES[[#This Row],[FECHA DE FACTURACIÓN]]-PROVEEDORES[[#This Row],[PLAZO Días]],0)</f>
        <v>0</v>
      </c>
      <c r="U187" s="97">
        <f>+VLOOKUP(PROVEEDORES[[#This Row],[PROVEEDOR]],Terceros!$A:$D,4,FALSE)</f>
        <v>0</v>
      </c>
      <c r="V187" s="98">
        <f>+YEAR(PROVEEDORES[[#This Row],[FECHA DE FACTURACIÓN]])</f>
        <v>2023</v>
      </c>
      <c r="W187" s="98">
        <f>+MATCH(PROVEEDORES[[#This Row],[año facturado]],Retenciones!$1:$1,0)</f>
        <v>6</v>
      </c>
      <c r="X187" s="99">
        <f>+VLOOKUP(PROVEEDORES[[#This Row],[ID RETENCION]],Retenciones!$A$1:$O$25,PROVEEDORES[[#This Row],[indicador de columna]],FALSE)</f>
        <v>0</v>
      </c>
      <c r="Y187" s="100">
        <f>+VLOOKUP(PROVEEDORES[[#This Row],[ID RETENCION]],Retenciones!$A$1:$O$25,2,FALSE)</f>
        <v>0</v>
      </c>
      <c r="Z187" s="103" t="b">
        <f>OR(COUNTIF(PROVEEDORES[[#This Row],[PROVEEDOR]],"*"&amp;'Palabra no opera'!$A$2&amp;"*"))</f>
        <v>0</v>
      </c>
    </row>
    <row r="188" spans="1:26" ht="22.35" customHeight="1" x14ac:dyDescent="0.25">
      <c r="A188" s="65" t="str">
        <f>+IF(PROVEEDORES[[#This Row],[FECHA DE PAGO]]=PROVEEDORES[[#This Row],[FECHA DE FACTURACIÓN]],"DE CONTADO","CRÉDITO")</f>
        <v>DE CONTADO</v>
      </c>
      <c r="B188" s="38" t="b">
        <f>+IF((PROVEEDORES[[#This Row],[FECHA DE PAGO]]-PROVEEDORES[[#This Row],[FECHA DE FACTURACIÓN]])&gt;PROVEEDORES[[#This Row],[PLAZO Días]],"PAGO VENCIDO")</f>
        <v>0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0</v>
      </c>
      <c r="E188" s="25"/>
      <c r="F188" s="56" t="str">
        <f>+VLOOKUP(PROVEEDORES[[#This Row],[PROVEEDOR]],
                       Terceros!$A:$F,
                       5,
                       FALSE)</f>
        <v/>
      </c>
      <c r="G188" s="289">
        <v>45294</v>
      </c>
      <c r="H188" s="26" t="s">
        <v>566</v>
      </c>
      <c r="I188" s="289">
        <v>45294</v>
      </c>
      <c r="J188" s="35" t="s">
        <v>1454</v>
      </c>
      <c r="K188" s="21">
        <v>5000000</v>
      </c>
      <c r="L188" s="21"/>
      <c r="M188" s="22">
        <f>(PROVEEDORES[[#This Row],[SUBTOTAL]]-PROVEEDORES[[#This Row],[descuento sobre subtotal]])*VLOOKUP(PROVEEDORES[[#This Row],[PROVEEDOR]],TERCEROS_INFO[#All],3,FALSE)</f>
        <v>0</v>
      </c>
      <c r="N188" s="23"/>
      <c r="O188" s="22">
        <f>+PROVEEDORES[[#This Row],[Descuento sobre subtotal %]]*(PROVEEDORES[[#This Row],[SUBTOTAL]]-PROVEEDORES[[#This Row],[descuento sobre subtotal]])</f>
        <v>0</v>
      </c>
      <c r="P188" s="72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f>+PROVEEDORES[[#This Row],[SUBTOTAL]]+PROVEEDORES[[#This Row],[IVA 19%]]-PROVEEDORES[[#This Row],[descuento sobre subtotal]]-PROVEEDORES[[#This Row],[Descuento sobre subtotal $2]]-PROVEEDORES[[#This Row],[Rete Fuente $]]</f>
        <v>5000000</v>
      </c>
      <c r="S1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1">
        <f ca="1">IF(PROVEEDORES[[#This Row],[FECHA DE PAGO]]=0,TODAY()-PROVEEDORES[[#This Row],[FECHA DE FACTURACIÓN]]-PROVEEDORES[[#This Row],[PLAZO Días]],0)</f>
        <v>0</v>
      </c>
      <c r="U188" s="97">
        <f>+VLOOKUP(PROVEEDORES[[#This Row],[PROVEEDOR]],Terceros!$A:$D,4,FALSE)</f>
        <v>0</v>
      </c>
      <c r="V188" s="98">
        <f>+YEAR(PROVEEDORES[[#This Row],[FECHA DE FACTURACIÓN]])</f>
        <v>2024</v>
      </c>
      <c r="W188" s="98">
        <f>+MATCH(PROVEEDORES[[#This Row],[año facturado]],Retenciones!$1:$1,0)</f>
        <v>7</v>
      </c>
      <c r="X188" s="99">
        <f>+VLOOKUP(PROVEEDORES[[#This Row],[ID RETENCION]],Retenciones!$A$1:$O$25,PROVEEDORES[[#This Row],[indicador de columna]],FALSE)</f>
        <v>0</v>
      </c>
      <c r="Y188" s="100">
        <f>+VLOOKUP(PROVEEDORES[[#This Row],[ID RETENCION]],Retenciones!$A$1:$O$25,2,FALSE)</f>
        <v>0</v>
      </c>
      <c r="Z188" s="103" t="b">
        <f>OR(COUNTIF(PROVEEDORES[[#This Row],[PROVEEDOR]],"*"&amp;'Palabra no opera'!$A$2&amp;"*"))</f>
        <v>0</v>
      </c>
    </row>
    <row r="189" spans="1:26" ht="22.35" customHeight="1" x14ac:dyDescent="0.25">
      <c r="A189" s="65" t="str">
        <f>+IF(PROVEEDORES[[#This Row],[FECHA DE PAGO]]=PROVEEDORES[[#This Row],[FECHA DE FACTURACIÓN]],"DE CONTADO","CRÉDITO")</f>
        <v>DE CONTADO</v>
      </c>
      <c r="B189" s="38" t="b">
        <f>+IF((PROVEEDORES[[#This Row],[FECHA DE PAGO]]-PROVEEDORES[[#This Row],[FECHA DE FACTURACIÓN]])&gt;PROVEEDORES[[#This Row],[PLAZO Días]],"PAGO VENCIDO")</f>
        <v>0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0</v>
      </c>
      <c r="E189" s="25"/>
      <c r="F189" s="56" t="str">
        <f>+VLOOKUP(PROVEEDORES[[#This Row],[PROVEEDOR]],
                       Terceros!$A:$F,
                       5,
                       FALSE)</f>
        <v/>
      </c>
      <c r="G189" s="289">
        <v>45296</v>
      </c>
      <c r="H189" s="26" t="s">
        <v>566</v>
      </c>
      <c r="I189" s="289">
        <v>45296</v>
      </c>
      <c r="J189" s="35" t="s">
        <v>1457</v>
      </c>
      <c r="K189" s="21">
        <v>942000</v>
      </c>
      <c r="L189" s="21"/>
      <c r="M189" s="22">
        <f>(PROVEEDORES[[#This Row],[SUBTOTAL]]-PROVEEDORES[[#This Row],[descuento sobre subtotal]])*VLOOKUP(PROVEEDORES[[#This Row],[PROVEEDOR]],TERCEROS_INFO[#All],3,FALSE)</f>
        <v>0</v>
      </c>
      <c r="N189" s="23"/>
      <c r="O189" s="22">
        <f>+PROVEEDORES[[#This Row],[Descuento sobre subtotal %]]*(PROVEEDORES[[#This Row],[SUBTOTAL]]-PROVEEDORES[[#This Row],[descuento sobre subtotal]])</f>
        <v>0</v>
      </c>
      <c r="P189" s="72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f>+PROVEEDORES[[#This Row],[SUBTOTAL]]+PROVEEDORES[[#This Row],[IVA 19%]]-PROVEEDORES[[#This Row],[descuento sobre subtotal]]-PROVEEDORES[[#This Row],[Descuento sobre subtotal $2]]-PROVEEDORES[[#This Row],[Rete Fuente $]]</f>
        <v>942000</v>
      </c>
      <c r="S1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1">
        <f ca="1">IF(PROVEEDORES[[#This Row],[FECHA DE PAGO]]=0,TODAY()-PROVEEDORES[[#This Row],[FECHA DE FACTURACIÓN]]-PROVEEDORES[[#This Row],[PLAZO Días]],0)</f>
        <v>0</v>
      </c>
      <c r="U189" s="97">
        <f>+VLOOKUP(PROVEEDORES[[#This Row],[PROVEEDOR]],Terceros!$A:$D,4,FALSE)</f>
        <v>0</v>
      </c>
      <c r="V189" s="98">
        <f>+YEAR(PROVEEDORES[[#This Row],[FECHA DE FACTURACIÓN]])</f>
        <v>2024</v>
      </c>
      <c r="W189" s="98">
        <f>+MATCH(PROVEEDORES[[#This Row],[año facturado]],Retenciones!$1:$1,0)</f>
        <v>7</v>
      </c>
      <c r="X189" s="99">
        <f>+VLOOKUP(PROVEEDORES[[#This Row],[ID RETENCION]],Retenciones!$A$1:$O$25,PROVEEDORES[[#This Row],[indicador de columna]],FALSE)</f>
        <v>0</v>
      </c>
      <c r="Y189" s="100">
        <f>+VLOOKUP(PROVEEDORES[[#This Row],[ID RETENCION]],Retenciones!$A$1:$O$25,2,FALSE)</f>
        <v>0</v>
      </c>
      <c r="Z189" s="103" t="b">
        <f>OR(COUNTIF(PROVEEDORES[[#This Row],[PROVEEDOR]],"*"&amp;'Palabra no opera'!$A$2&amp;"*"))</f>
        <v>0</v>
      </c>
    </row>
    <row r="190" spans="1:26" ht="22.35" customHeight="1" x14ac:dyDescent="0.25">
      <c r="A190" s="310" t="str">
        <f>+IF(PROVEEDORES[[#This Row],[FECHA DE PAGO]]=PROVEEDORES[[#This Row],[FECHA DE FACTURACIÓN]],"DE CONTADO","CRÉDITO")</f>
        <v>DE CONTADO</v>
      </c>
      <c r="B190" s="38" t="b">
        <f>+IF((PROVEEDORES[[#This Row],[FECHA DE PAGO]]-PROVEEDORES[[#This Row],[FECHA DE FACTURACIÓN]])&gt;PROVEEDORES[[#This Row],[PLAZO Días]],"PAGO VENCIDO")</f>
        <v>0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0</v>
      </c>
      <c r="E190" s="25"/>
      <c r="F190" s="56" t="str">
        <f>+VLOOKUP(PROVEEDORES[[#This Row],[PROVEEDOR]],
                       Terceros!$A:$F,
                       5,
                       FALSE)</f>
        <v/>
      </c>
      <c r="G190" s="289">
        <v>45306</v>
      </c>
      <c r="H190" s="26" t="s">
        <v>566</v>
      </c>
      <c r="I190" s="289">
        <v>45306</v>
      </c>
      <c r="J190" s="35" t="s">
        <v>1506</v>
      </c>
      <c r="K190" s="21">
        <v>462000</v>
      </c>
      <c r="L190" s="21"/>
      <c r="M190" s="22">
        <f>(PROVEEDORES[[#This Row],[SUBTOTAL]]-PROVEEDORES[[#This Row],[descuento sobre subtotal]])*VLOOKUP(PROVEEDORES[[#This Row],[PROVEEDOR]],TERCEROS_INFO[#All],3,FALSE)</f>
        <v>0</v>
      </c>
      <c r="N190" s="23"/>
      <c r="O190" s="22">
        <f>+PROVEEDORES[[#This Row],[Descuento sobre subtotal %]]*(PROVEEDORES[[#This Row],[SUBTOTAL]]-PROVEEDORES[[#This Row],[descuento sobre subtotal]])</f>
        <v>0</v>
      </c>
      <c r="P190" s="72">
        <f>+IF(PROVEEDORES[[#This Row],[SUBTOTAL]]&lt;PROVEEDORES[[#This Row],[base retencion]],0,PROVEEDORES[[#This Row],[retención aplicada]])</f>
        <v>0</v>
      </c>
      <c r="Q190" s="22">
        <f>+PROVEEDORES[[#This Row],[Rete Fuente %]]*(PROVEEDORES[[#This Row],[SUBTOTAL]]-PROVEEDORES[[#This Row],[descuento sobre subtotal]])</f>
        <v>0</v>
      </c>
      <c r="R190" s="21">
        <f>+PROVEEDORES[[#This Row],[SUBTOTAL]]+PROVEEDORES[[#This Row],[IVA 19%]]-PROVEEDORES[[#This Row],[descuento sobre subtotal]]-PROVEEDORES[[#This Row],[Descuento sobre subtotal $2]]-PROVEEDORES[[#This Row],[Rete Fuente $]]</f>
        <v>462000</v>
      </c>
      <c r="S190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1">
        <f ca="1">IF(PROVEEDORES[[#This Row],[FECHA DE PAGO]]=0,TODAY()-PROVEEDORES[[#This Row],[FECHA DE FACTURACIÓN]]-PROVEEDORES[[#This Row],[PLAZO Días]],0)</f>
        <v>0</v>
      </c>
      <c r="U190" s="97">
        <f>+VLOOKUP(PROVEEDORES[[#This Row],[PROVEEDOR]],Terceros!$A:$D,4,FALSE)</f>
        <v>0</v>
      </c>
      <c r="V190" s="98">
        <f>+YEAR(PROVEEDORES[[#This Row],[FECHA DE FACTURACIÓN]])</f>
        <v>2024</v>
      </c>
      <c r="W190" s="98">
        <f>+MATCH(PROVEEDORES[[#This Row],[año facturado]],Retenciones!$1:$1,0)</f>
        <v>7</v>
      </c>
      <c r="X190" s="99">
        <f>+VLOOKUP(PROVEEDORES[[#This Row],[ID RETENCION]],Retenciones!$A$1:$O$25,PROVEEDORES[[#This Row],[indicador de columna]],FALSE)</f>
        <v>0</v>
      </c>
      <c r="Y190" s="100">
        <f>+VLOOKUP(PROVEEDORES[[#This Row],[ID RETENCION]],Retenciones!$A$1:$O$25,2,FALSE)</f>
        <v>0</v>
      </c>
      <c r="Z190" s="103" t="b">
        <f>OR(COUNTIF(PROVEEDORES[[#This Row],[PROVEEDOR]],"*"&amp;'Palabra no opera'!$A$2&amp;"*"))</f>
        <v>0</v>
      </c>
    </row>
    <row r="191" spans="1:26" ht="22.35" customHeight="1" x14ac:dyDescent="0.25">
      <c r="A191" s="207" t="str">
        <f>+IF(PROVEEDORES[[#This Row],[FECHA DE PAGO]]=PROVEEDORES[[#This Row],[FECHA DE FACTURACIÓN]],"DE CONTADO","CRÉDITO")</f>
        <v>CRÉDITO</v>
      </c>
      <c r="B191" s="38" t="str">
        <f>+IF((PROVEEDORES[[#This Row],[FECHA DE PAGO]]-PROVEEDORES[[#This Row],[FECHA DE FACTURACIÓN]])&gt;PROVEEDORES[[#This Row],[PLAZO Días]],"PAGO VENCIDO")</f>
        <v>PAGO VENCIDO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0</v>
      </c>
      <c r="E191" s="25"/>
      <c r="F191" s="56">
        <f>+VLOOKUP(PROVEEDORES[[#This Row],[PROVEEDOR]],
                       Terceros!$A:$F,
                       5,
                       FALSE)</f>
        <v>0</v>
      </c>
      <c r="G191" s="289">
        <v>45146</v>
      </c>
      <c r="H191" s="26" t="s">
        <v>907</v>
      </c>
      <c r="I191" s="289">
        <v>45098</v>
      </c>
      <c r="J191" s="35">
        <v>5846</v>
      </c>
      <c r="K191" s="21">
        <v>1167100</v>
      </c>
      <c r="L191" s="21"/>
      <c r="M191" s="22">
        <f>(PROVEEDORES[[#This Row],[SUBTOTAL]]-PROVEEDORES[[#This Row],[descuento sobre subtotal]])*VLOOKUP(PROVEEDORES[[#This Row],[PROVEEDOR]],TERCEROS_INFO[#All],3,FALSE)</f>
        <v>0</v>
      </c>
      <c r="N191" s="23"/>
      <c r="O191" s="22">
        <f>+PROVEEDORES[[#This Row],[Descuento sobre subtotal %]]*(PROVEEDORES[[#This Row],[SUBTOTAL]]-PROVEEDORES[[#This Row],[descuento sobre subtotal]])</f>
        <v>0</v>
      </c>
      <c r="P191" s="72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f>+PROVEEDORES[[#This Row],[SUBTOTAL]]+PROVEEDORES[[#This Row],[IVA 19%]]-PROVEEDORES[[#This Row],[descuento sobre subtotal]]-PROVEEDORES[[#This Row],[Descuento sobre subtotal $2]]-PROVEEDORES[[#This Row],[Rete Fuente $]]</f>
        <v>1167100</v>
      </c>
      <c r="S19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1">
        <f ca="1">IF(PROVEEDORES[[#This Row],[FECHA DE PAGO]]=0,TODAY()-PROVEEDORES[[#This Row],[FECHA DE FACTURACIÓN]]-PROVEEDORES[[#This Row],[PLAZO Días]],0)</f>
        <v>0</v>
      </c>
      <c r="U191" s="97">
        <f>+VLOOKUP(PROVEEDORES[[#This Row],[PROVEEDOR]],Terceros!$A:$D,4,FALSE)</f>
        <v>0</v>
      </c>
      <c r="V191" s="98">
        <f>+YEAR(PROVEEDORES[[#This Row],[FECHA DE FACTURACIÓN]])</f>
        <v>2023</v>
      </c>
      <c r="W191" s="98">
        <f>+MATCH(PROVEEDORES[[#This Row],[año facturado]],Retenciones!$1:$1,0)</f>
        <v>6</v>
      </c>
      <c r="X191" s="99">
        <f>+VLOOKUP(PROVEEDORES[[#This Row],[ID RETENCION]],Retenciones!$A$1:$O$25,PROVEEDORES[[#This Row],[indicador de columna]],FALSE)</f>
        <v>0</v>
      </c>
      <c r="Y191" s="100">
        <f>+VLOOKUP(PROVEEDORES[[#This Row],[ID RETENCION]],Retenciones!$A$1:$O$25,2,FALSE)</f>
        <v>0</v>
      </c>
      <c r="Z191" s="103" t="b">
        <f>OR(COUNTIF(PROVEEDORES[[#This Row],[PROVEEDOR]],"*"&amp;'Palabra no opera'!$A$2&amp;"*"))</f>
        <v>0</v>
      </c>
    </row>
    <row r="192" spans="1:26" ht="22.35" customHeight="1" x14ac:dyDescent="0.25">
      <c r="A192" s="65" t="str">
        <f>+IF(PROVEEDORES[[#This Row],[FECHA DE PAGO]]=PROVEEDORES[[#This Row],[FECHA DE FACTURACIÓN]],"DE CONTADO","CRÉDITO")</f>
        <v>DE CONTADO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0</v>
      </c>
      <c r="E192" s="25"/>
      <c r="F192" s="56">
        <f>+VLOOKUP(PROVEEDORES[[#This Row],[PROVEEDOR]],
                       Terceros!$A:$F,
                       5,
                       FALSE)</f>
        <v>0</v>
      </c>
      <c r="G192" s="289">
        <v>45113</v>
      </c>
      <c r="H192" s="26" t="s">
        <v>907</v>
      </c>
      <c r="I192" s="289">
        <v>45113</v>
      </c>
      <c r="J192" s="35" t="s">
        <v>943</v>
      </c>
      <c r="K192" s="21">
        <v>582000</v>
      </c>
      <c r="L192" s="21"/>
      <c r="M192" s="22">
        <f>(PROVEEDORES[[#This Row],[SUBTOTAL]]-PROVEEDORES[[#This Row],[descuento sobre subtotal]])*VLOOKUP(PROVEEDORES[[#This Row],[PROVEEDOR]],TERCEROS_INFO[#All],3,FALSE)</f>
        <v>0</v>
      </c>
      <c r="N192" s="23"/>
      <c r="O192" s="22">
        <f>+PROVEEDORES[[#This Row],[Descuento sobre subtotal %]]*(PROVEEDORES[[#This Row],[SUBTOTAL]]-PROVEEDORES[[#This Row],[descuento sobre subtotal]])</f>
        <v>0</v>
      </c>
      <c r="P192" s="72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f>+PROVEEDORES[[#This Row],[SUBTOTAL]]+PROVEEDORES[[#This Row],[IVA 19%]]-PROVEEDORES[[#This Row],[descuento sobre subtotal]]-PROVEEDORES[[#This Row],[Descuento sobre subtotal $2]]-PROVEEDORES[[#This Row],[Rete Fuente $]]</f>
        <v>582000</v>
      </c>
      <c r="S19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1">
        <f ca="1">IF(PROVEEDORES[[#This Row],[FECHA DE PAGO]]=0,TODAY()-PROVEEDORES[[#This Row],[FECHA DE FACTURACIÓN]]-PROVEEDORES[[#This Row],[PLAZO Días]],0)</f>
        <v>0</v>
      </c>
      <c r="U192" s="97">
        <f>+VLOOKUP(PROVEEDORES[[#This Row],[PROVEEDOR]],Terceros!$A:$D,4,FALSE)</f>
        <v>0</v>
      </c>
      <c r="V192" s="98">
        <f>+YEAR(PROVEEDORES[[#This Row],[FECHA DE FACTURACIÓN]])</f>
        <v>2023</v>
      </c>
      <c r="W192" s="98">
        <f>+MATCH(PROVEEDORES[[#This Row],[año facturado]],Retenciones!$1:$1,0)</f>
        <v>6</v>
      </c>
      <c r="X192" s="99">
        <f>+VLOOKUP(PROVEEDORES[[#This Row],[ID RETENCION]],Retenciones!$A$1:$O$25,PROVEEDORES[[#This Row],[indicador de columna]],FALSE)</f>
        <v>0</v>
      </c>
      <c r="Y192" s="100">
        <f>+VLOOKUP(PROVEEDORES[[#This Row],[ID RETENCION]],Retenciones!$A$1:$O$25,2,FALSE)</f>
        <v>0</v>
      </c>
      <c r="Z192" s="103" t="b">
        <f>OR(COUNTIF(PROVEEDORES[[#This Row],[PROVEEDOR]],"*"&amp;'Palabra no opera'!$A$2&amp;"*"))</f>
        <v>0</v>
      </c>
    </row>
    <row r="193" spans="1:26" ht="22.35" customHeight="1" x14ac:dyDescent="0.25">
      <c r="A193" s="219" t="str">
        <f>+IF(PROVEEDORES[[#This Row],[FECHA DE PAGO]]=PROVEEDORES[[#This Row],[FECHA DE FACTURACIÓN]],"DE CONTADO","CRÉDITO")</f>
        <v>DE CONTADO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0</v>
      </c>
      <c r="E193" s="25"/>
      <c r="F193" s="56">
        <f>+VLOOKUP(PROVEEDORES[[#This Row],[PROVEEDOR]],
                       Terceros!$A:$F,
                       5,
                       FALSE)</f>
        <v>0</v>
      </c>
      <c r="G193" s="289">
        <v>45138</v>
      </c>
      <c r="H193" s="26" t="s">
        <v>907</v>
      </c>
      <c r="I193" s="289">
        <v>45138</v>
      </c>
      <c r="J193" s="35">
        <v>5961</v>
      </c>
      <c r="K193" s="21">
        <v>307000</v>
      </c>
      <c r="L193" s="21"/>
      <c r="M193" s="22">
        <f>(PROVEEDORES[[#This Row],[SUBTOTAL]]-PROVEEDORES[[#This Row],[descuento sobre subtotal]])*VLOOKUP(PROVEEDORES[[#This Row],[PROVEEDOR]],TERCEROS_INFO[#All],3,FALSE)</f>
        <v>0</v>
      </c>
      <c r="N193" s="23"/>
      <c r="O193" s="22">
        <f>+PROVEEDORES[[#This Row],[Descuento sobre subtotal %]]*(PROVEEDORES[[#This Row],[SUBTOTAL]]-PROVEEDORES[[#This Row],[descuento sobre subtotal]])</f>
        <v>0</v>
      </c>
      <c r="P193" s="72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f>+PROVEEDORES[[#This Row],[SUBTOTAL]]+PROVEEDORES[[#This Row],[IVA 19%]]-PROVEEDORES[[#This Row],[descuento sobre subtotal]]-PROVEEDORES[[#This Row],[Descuento sobre subtotal $2]]-PROVEEDORES[[#This Row],[Rete Fuente $]]</f>
        <v>307000</v>
      </c>
      <c r="S193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1">
        <f ca="1">IF(PROVEEDORES[[#This Row],[FECHA DE PAGO]]=0,TODAY()-PROVEEDORES[[#This Row],[FECHA DE FACTURACIÓN]]-PROVEEDORES[[#This Row],[PLAZO Días]],0)</f>
        <v>0</v>
      </c>
      <c r="U193" s="97">
        <f>+VLOOKUP(PROVEEDORES[[#This Row],[PROVEEDOR]],Terceros!$A:$D,4,FALSE)</f>
        <v>0</v>
      </c>
      <c r="V193" s="98">
        <f>+YEAR(PROVEEDORES[[#This Row],[FECHA DE FACTURACIÓN]])</f>
        <v>2023</v>
      </c>
      <c r="W193" s="98">
        <f>+MATCH(PROVEEDORES[[#This Row],[año facturado]],Retenciones!$1:$1,0)</f>
        <v>6</v>
      </c>
      <c r="X193" s="99">
        <f>+VLOOKUP(PROVEEDORES[[#This Row],[ID RETENCION]],Retenciones!$A$1:$O$25,PROVEEDORES[[#This Row],[indicador de columna]],FALSE)</f>
        <v>0</v>
      </c>
      <c r="Y193" s="100">
        <f>+VLOOKUP(PROVEEDORES[[#This Row],[ID RETENCION]],Retenciones!$A$1:$O$25,2,FALSE)</f>
        <v>0</v>
      </c>
      <c r="Z193" s="103" t="b">
        <f>OR(COUNTIF(PROVEEDORES[[#This Row],[PROVEEDOR]],"*"&amp;'Palabra no opera'!$A$2&amp;"*"))</f>
        <v>0</v>
      </c>
    </row>
    <row r="194" spans="1:26" ht="22.35" customHeight="1" x14ac:dyDescent="0.25">
      <c r="A194" s="229" t="str">
        <f>+IF(PROVEEDORES[[#This Row],[FECHA DE PAGO]]=PROVEEDORES[[#This Row],[FECHA DE FACTURACIÓN]],"DE CONTADO","CRÉDITO")</f>
        <v>DE CONTADO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0</v>
      </c>
      <c r="E194" s="25"/>
      <c r="F194" s="56">
        <f>+VLOOKUP(PROVEEDORES[[#This Row],[PROVEEDOR]],
                       Terceros!$A:$F,
                       5,
                       FALSE)</f>
        <v>0</v>
      </c>
      <c r="G194" s="289">
        <v>45169</v>
      </c>
      <c r="H194" s="26" t="s">
        <v>907</v>
      </c>
      <c r="I194" s="289">
        <v>45169</v>
      </c>
      <c r="J194" s="35">
        <v>5918</v>
      </c>
      <c r="K194" s="21">
        <v>505000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72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505000</v>
      </c>
      <c r="S194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1">
        <f ca="1">IF(PROVEEDORES[[#This Row],[FECHA DE PAGO]]=0,TODAY()-PROVEEDORES[[#This Row],[FECHA DE FACTURACIÓN]]-PROVEEDORES[[#This Row],[PLAZO Días]],0)</f>
        <v>0</v>
      </c>
      <c r="U194" s="97">
        <f>+VLOOKUP(PROVEEDORES[[#This Row],[PROVEEDOR]],Terceros!$A:$D,4,FALSE)</f>
        <v>0</v>
      </c>
      <c r="V194" s="98">
        <f>+YEAR(PROVEEDORES[[#This Row],[FECHA DE FACTURACIÓN]])</f>
        <v>2023</v>
      </c>
      <c r="W194" s="98">
        <f>+MATCH(PROVEEDORES[[#This Row],[año facturado]],Retenciones!$1:$1,0)</f>
        <v>6</v>
      </c>
      <c r="X194" s="99">
        <f>+VLOOKUP(PROVEEDORES[[#This Row],[ID RETENCION]],Retenciones!$A$1:$O$25,PROVEEDORES[[#This Row],[indicador de columna]],FALSE)</f>
        <v>0</v>
      </c>
      <c r="Y194" s="100">
        <f>+VLOOKUP(PROVEEDORES[[#This Row],[ID RETENCION]],Retenciones!$A$1:$O$25,2,FALSE)</f>
        <v>0</v>
      </c>
      <c r="Z194" s="103" t="b">
        <f>OR(COUNTIF(PROVEEDORES[[#This Row],[PROVEEDOR]],"*"&amp;'Palabra no opera'!$A$2&amp;"*"))</f>
        <v>0</v>
      </c>
    </row>
    <row r="195" spans="1:26" ht="22.35" customHeight="1" x14ac:dyDescent="0.25">
      <c r="A195" s="65" t="str">
        <f>+IF(PROVEEDORES[[#This Row],[FECHA DE PAGO]]=PROVEEDORES[[#This Row],[FECHA DE FACTURACIÓN]],"DE CONTADO","CRÉDITO")</f>
        <v>DE CONTADO</v>
      </c>
      <c r="B195" s="38" t="b">
        <f>+IF((PROVEEDORES[[#This Row],[FECHA DE PAGO]]-PROVEEDORES[[#This Row],[FECHA DE FACTURACIÓN]])&gt;PROVEEDORES[[#This Row],[PLAZO Días]],"PAGO VENCIDO")</f>
        <v>0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0</v>
      </c>
      <c r="E195" s="25"/>
      <c r="F195" s="56">
        <f>+VLOOKUP(PROVEEDORES[[#This Row],[PROVEEDOR]],
                       Terceros!$A:$F,
                       5,
                       FALSE)</f>
        <v>0</v>
      </c>
      <c r="G195" s="289">
        <v>45247</v>
      </c>
      <c r="H195" s="26" t="s">
        <v>907</v>
      </c>
      <c r="I195" s="289">
        <v>45247</v>
      </c>
      <c r="J195" s="35" t="s">
        <v>1330</v>
      </c>
      <c r="K195" s="21">
        <v>438000</v>
      </c>
      <c r="L195" s="21"/>
      <c r="M195" s="22">
        <f>(PROVEEDORES[[#This Row],[SUBTOTAL]]-PROVEEDORES[[#This Row],[descuento sobre subtotal]])*VLOOKUP(PROVEEDORES[[#This Row],[PROVEEDOR]],TERCEROS_INFO[#All],3,FALSE)</f>
        <v>0</v>
      </c>
      <c r="N195" s="23"/>
      <c r="O195" s="22">
        <f>+PROVEEDORES[[#This Row],[Descuento sobre subtotal %]]*(PROVEEDORES[[#This Row],[SUBTOTAL]]-PROVEEDORES[[#This Row],[descuento sobre subtotal]])</f>
        <v>0</v>
      </c>
      <c r="P195" s="72">
        <f>+IF(PROVEEDORES[[#This Row],[SUBTOTAL]]&lt;PROVEEDORES[[#This Row],[base retencion]],0,PROVEEDORES[[#This Row],[retención aplicada]])</f>
        <v>0</v>
      </c>
      <c r="Q195" s="22">
        <f>+PROVEEDORES[[#This Row],[Rete Fuente %]]*(PROVEEDORES[[#This Row],[SUBTOTAL]]-PROVEEDORES[[#This Row],[descuento sobre subtotal]])</f>
        <v>0</v>
      </c>
      <c r="R195" s="21">
        <f>+PROVEEDORES[[#This Row],[SUBTOTAL]]+PROVEEDORES[[#This Row],[IVA 19%]]-PROVEEDORES[[#This Row],[descuento sobre subtotal]]-PROVEEDORES[[#This Row],[Descuento sobre subtotal $2]]-PROVEEDORES[[#This Row],[Rete Fuente $]]</f>
        <v>438000</v>
      </c>
      <c r="S1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1">
        <f ca="1">IF(PROVEEDORES[[#This Row],[FECHA DE PAGO]]=0,TODAY()-PROVEEDORES[[#This Row],[FECHA DE FACTURACIÓN]]-PROVEEDORES[[#This Row],[PLAZO Días]],0)</f>
        <v>0</v>
      </c>
      <c r="U195" s="97">
        <f>+VLOOKUP(PROVEEDORES[[#This Row],[PROVEEDOR]],Terceros!$A:$D,4,FALSE)</f>
        <v>0</v>
      </c>
      <c r="V195" s="98">
        <f>+YEAR(PROVEEDORES[[#This Row],[FECHA DE FACTURACIÓN]])</f>
        <v>2023</v>
      </c>
      <c r="W195" s="98">
        <f>+MATCH(PROVEEDORES[[#This Row],[año facturado]],Retenciones!$1:$1,0)</f>
        <v>6</v>
      </c>
      <c r="X195" s="99">
        <f>+VLOOKUP(PROVEEDORES[[#This Row],[ID RETENCION]],Retenciones!$A$1:$O$25,PROVEEDORES[[#This Row],[indicador de columna]],FALSE)</f>
        <v>0</v>
      </c>
      <c r="Y195" s="100">
        <f>+VLOOKUP(PROVEEDORES[[#This Row],[ID RETENCION]],Retenciones!$A$1:$O$25,2,FALSE)</f>
        <v>0</v>
      </c>
      <c r="Z195" s="103" t="b">
        <f>OR(COUNTIF(PROVEEDORES[[#This Row],[PROVEEDOR]],"*"&amp;'Palabra no opera'!$A$2&amp;"*"))</f>
        <v>0</v>
      </c>
    </row>
    <row r="196" spans="1:26" ht="22.35" customHeight="1" x14ac:dyDescent="0.25">
      <c r="A196" s="65" t="str">
        <f>+IF(PROVEEDORES[[#This Row],[FECHA DE PAGO]]=PROVEEDORES[[#This Row],[FECHA DE FACTURACIÓN]],"DE CONTADO","CRÉDITO")</f>
        <v>CRÉDITO</v>
      </c>
      <c r="B196" s="38" t="str">
        <f>+IF((PROVEEDORES[[#This Row],[FECHA DE PAGO]]-PROVEEDORES[[#This Row],[FECHA DE FACTURACIÓN]])&gt;PROVEEDORES[[#This Row],[PLAZO Días]],"PAGO VENCIDO")</f>
        <v>PAGO VENCIDO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5480000</v>
      </c>
      <c r="E196" s="25"/>
      <c r="F196" s="56" t="str">
        <f>+VLOOKUP(PROVEEDORES[[#This Row],[PROVEEDOR]],
                       Terceros!$A:$F,
                       5,
                       FALSE)</f>
        <v/>
      </c>
      <c r="G196" s="289">
        <v>45083</v>
      </c>
      <c r="H196" s="26" t="s">
        <v>285</v>
      </c>
      <c r="I196" s="289">
        <v>45002</v>
      </c>
      <c r="J196" s="35" t="s">
        <v>739</v>
      </c>
      <c r="K196" s="21">
        <v>1870000</v>
      </c>
      <c r="L196" s="21"/>
      <c r="M196" s="22">
        <f>(PROVEEDORES[[#This Row],[SUBTOTAL]]-PROVEEDORES[[#This Row],[descuento sobre subtotal]])*VLOOKUP(PROVEEDORES[[#This Row],[PROVEEDOR]],TERCEROS_INFO[#All],3,FALSE)</f>
        <v>0</v>
      </c>
      <c r="N196" s="23"/>
      <c r="O196" s="22">
        <f>+PROVEEDORES[[#This Row],[Descuento sobre subtotal %]]*(PROVEEDORES[[#This Row],[SUBTOTAL]]-PROVEEDORES[[#This Row],[descuento sobre subtotal]])</f>
        <v>0</v>
      </c>
      <c r="P196" s="72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f>+PROVEEDORES[[#This Row],[SUBTOTAL]]+PROVEEDORES[[#This Row],[IVA 19%]]-PROVEEDORES[[#This Row],[descuento sobre subtotal]]-PROVEEDORES[[#This Row],[Descuento sobre subtotal $2]]-PROVEEDORES[[#This Row],[Rete Fuente $]]</f>
        <v>1870000</v>
      </c>
      <c r="S1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1">
        <f ca="1">IF(PROVEEDORES[[#This Row],[FECHA DE PAGO]]=0,TODAY()-PROVEEDORES[[#This Row],[FECHA DE FACTURACIÓN]]-PROVEEDORES[[#This Row],[PLAZO Días]],0)</f>
        <v>0</v>
      </c>
      <c r="U196" s="97">
        <f>+VLOOKUP(PROVEEDORES[[#This Row],[PROVEEDOR]],Terceros!$A:$D,4,FALSE)</f>
        <v>0</v>
      </c>
      <c r="V196" s="98">
        <f>+YEAR(PROVEEDORES[[#This Row],[FECHA DE FACTURACIÓN]])</f>
        <v>2023</v>
      </c>
      <c r="W196" s="98">
        <f>+MATCH(PROVEEDORES[[#This Row],[año facturado]],Retenciones!$1:$1,0)</f>
        <v>6</v>
      </c>
      <c r="X196" s="99">
        <f>+VLOOKUP(PROVEEDORES[[#This Row],[ID RETENCION]],Retenciones!$A$1:$O$25,PROVEEDORES[[#This Row],[indicador de columna]],FALSE)</f>
        <v>0</v>
      </c>
      <c r="Y196" s="100">
        <f>+VLOOKUP(PROVEEDORES[[#This Row],[ID RETENCION]],Retenciones!$A$1:$O$25,2,FALSE)</f>
        <v>0</v>
      </c>
      <c r="Z196" s="103" t="b">
        <f>OR(COUNTIF(PROVEEDORES[[#This Row],[PROVEEDOR]],"*"&amp;'Palabra no opera'!$A$2&amp;"*"))</f>
        <v>0</v>
      </c>
    </row>
    <row r="197" spans="1:26" ht="22.35" customHeight="1" x14ac:dyDescent="0.25">
      <c r="A197" s="207" t="str">
        <f>+IF(PROVEEDORES[[#This Row],[FECHA DE PAGO]]=PROVEEDORES[[#This Row],[FECHA DE FACTURACIÓN]],"DE CONTADO","CRÉDITO")</f>
        <v>CRÉDITO</v>
      </c>
      <c r="B197" s="38" t="str">
        <f>+IF((PROVEEDORES[[#This Row],[FECHA DE PAGO]]-PROVEEDORES[[#This Row],[FECHA DE FACTURACIÓN]])&gt;PROVEEDORES[[#This Row],[PLAZO Días]],"PAGO VENCIDO")</f>
        <v>PAGO VENCIDO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5480000</v>
      </c>
      <c r="E197" s="25"/>
      <c r="F197" s="56" t="str">
        <f>+VLOOKUP(PROVEEDORES[[#This Row],[PROVEEDOR]],
                       Terceros!$A:$F,
                       5,
                       FALSE)</f>
        <v/>
      </c>
      <c r="G197" s="289">
        <v>45147</v>
      </c>
      <c r="H197" s="26" t="s">
        <v>285</v>
      </c>
      <c r="I197" s="289">
        <v>45083</v>
      </c>
      <c r="J197" s="35">
        <v>8725</v>
      </c>
      <c r="K197" s="21">
        <v>3943000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72">
        <f>+IF(PROVEEDORES[[#This Row],[SUBTOTAL]]&lt;PROVEEDORES[[#This Row],[base retencion]],0,PROVEEDORES[[#This Row],[retención aplicada]])</f>
        <v>0</v>
      </c>
      <c r="Q197" s="22">
        <f>+PROVEEDORES[[#This Row],[Rete Fuente %]]*(PROVEEDORES[[#This Row],[SUBTOTAL]]-PROVEEDORES[[#This Row],[descuento sobre subtotal]])</f>
        <v>0</v>
      </c>
      <c r="R197" s="21">
        <f>+PROVEEDORES[[#This Row],[SUBTOTAL]]+PROVEEDORES[[#This Row],[IVA 19%]]-PROVEEDORES[[#This Row],[descuento sobre subtotal]]-PROVEEDORES[[#This Row],[Descuento sobre subtotal $2]]-PROVEEDORES[[#This Row],[Rete Fuente $]]</f>
        <v>3943000</v>
      </c>
      <c r="S197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1">
        <f ca="1">IF(PROVEEDORES[[#This Row],[FECHA DE PAGO]]=0,TODAY()-PROVEEDORES[[#This Row],[FECHA DE FACTURACIÓN]]-PROVEEDORES[[#This Row],[PLAZO Días]],0)</f>
        <v>0</v>
      </c>
      <c r="U197" s="97">
        <f>+VLOOKUP(PROVEEDORES[[#This Row],[PROVEEDOR]],Terceros!$A:$D,4,FALSE)</f>
        <v>0</v>
      </c>
      <c r="V197" s="98">
        <f>+YEAR(PROVEEDORES[[#This Row],[FECHA DE FACTURACIÓN]])</f>
        <v>2023</v>
      </c>
      <c r="W197" s="98">
        <f>+MATCH(PROVEEDORES[[#This Row],[año facturado]],Retenciones!$1:$1,0)</f>
        <v>6</v>
      </c>
      <c r="X197" s="99">
        <f>+VLOOKUP(PROVEEDORES[[#This Row],[ID RETENCION]],Retenciones!$A$1:$O$25,PROVEEDORES[[#This Row],[indicador de columna]],FALSE)</f>
        <v>0</v>
      </c>
      <c r="Y197" s="100">
        <f>+VLOOKUP(PROVEEDORES[[#This Row],[ID RETENCION]],Retenciones!$A$1:$O$25,2,FALSE)</f>
        <v>0</v>
      </c>
      <c r="Z197" s="103" t="b">
        <f>OR(COUNTIF(PROVEEDORES[[#This Row],[PROVEEDOR]],"*"&amp;'Palabra no opera'!$A$2&amp;"*"))</f>
        <v>0</v>
      </c>
    </row>
    <row r="198" spans="1:26" ht="22.35" customHeight="1" x14ac:dyDescent="0.25">
      <c r="A198" s="65" t="str">
        <f>+IF(PROVEEDORES[[#This Row],[FECHA DE PAGO]]=PROVEEDORES[[#This Row],[FECHA DE FACTURACIÓN]],"DE CONTADO","CRÉDITO")</f>
        <v>CRÉDITO</v>
      </c>
      <c r="B198" s="38" t="str">
        <f>+IF((PROVEEDORES[[#This Row],[FECHA DE PAGO]]-PROVEEDORES[[#This Row],[FECHA DE FACTURACIÓN]])&gt;PROVEEDORES[[#This Row],[PLAZO Días]],"PAGO VENCIDO")</f>
        <v>PAGO VENCIDO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5480000</v>
      </c>
      <c r="E198" s="25"/>
      <c r="F198" s="56" t="str">
        <f>+VLOOKUP(PROVEEDORES[[#This Row],[PROVEEDOR]],
                       Terceros!$A:$F,
                       5,
                       FALSE)</f>
        <v/>
      </c>
      <c r="G198" s="289">
        <v>45201</v>
      </c>
      <c r="H198" s="26" t="s">
        <v>285</v>
      </c>
      <c r="I198" s="289">
        <v>45117</v>
      </c>
      <c r="J198" s="35">
        <v>8943</v>
      </c>
      <c r="K198" s="21">
        <v>3668500</v>
      </c>
      <c r="L198" s="21"/>
      <c r="M198" s="22">
        <f>(PROVEEDORES[[#This Row],[SUBTOTAL]]-PROVEEDORES[[#This Row],[descuento sobre subtotal]])*VLOOKUP(PROVEEDORES[[#This Row],[PROVEEDOR]],TERCEROS_INFO[#All],3,FALSE)</f>
        <v>0</v>
      </c>
      <c r="N198" s="23"/>
      <c r="O198" s="22">
        <f>+PROVEEDORES[[#This Row],[Descuento sobre subtotal %]]*(PROVEEDORES[[#This Row],[SUBTOTAL]]-PROVEEDORES[[#This Row],[descuento sobre subtotal]])</f>
        <v>0</v>
      </c>
      <c r="P198" s="72">
        <f>+IF(PROVEEDORES[[#This Row],[SUBTOTAL]]&lt;PROVEEDORES[[#This Row],[base retencion]],0,PROVEEDORES[[#This Row],[retención aplicada]])</f>
        <v>0</v>
      </c>
      <c r="Q198" s="22">
        <f>+PROVEEDORES[[#This Row],[Rete Fuente %]]*(PROVEEDORES[[#This Row],[SUBTOTAL]]-PROVEEDORES[[#This Row],[descuento sobre subtotal]])</f>
        <v>0</v>
      </c>
      <c r="R198" s="21">
        <f>+PROVEEDORES[[#This Row],[SUBTOTAL]]+PROVEEDORES[[#This Row],[IVA 19%]]-PROVEEDORES[[#This Row],[descuento sobre subtotal]]-PROVEEDORES[[#This Row],[Descuento sobre subtotal $2]]-PROVEEDORES[[#This Row],[Rete Fuente $]]</f>
        <v>3668500</v>
      </c>
      <c r="S1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1">
        <f ca="1">IF(PROVEEDORES[[#This Row],[FECHA DE PAGO]]=0,TODAY()-PROVEEDORES[[#This Row],[FECHA DE FACTURACIÓN]]-PROVEEDORES[[#This Row],[PLAZO Días]],0)</f>
        <v>0</v>
      </c>
      <c r="U198" s="97">
        <f>+VLOOKUP(PROVEEDORES[[#This Row],[PROVEEDOR]],Terceros!$A:$D,4,FALSE)</f>
        <v>0</v>
      </c>
      <c r="V198" s="98">
        <f>+YEAR(PROVEEDORES[[#This Row],[FECHA DE FACTURACIÓN]])</f>
        <v>2023</v>
      </c>
      <c r="W198" s="98">
        <f>+MATCH(PROVEEDORES[[#This Row],[año facturado]],Retenciones!$1:$1,0)</f>
        <v>6</v>
      </c>
      <c r="X198" s="99">
        <f>+VLOOKUP(PROVEEDORES[[#This Row],[ID RETENCION]],Retenciones!$A$1:$O$25,PROVEEDORES[[#This Row],[indicador de columna]],FALSE)</f>
        <v>0</v>
      </c>
      <c r="Y198" s="100">
        <f>+VLOOKUP(PROVEEDORES[[#This Row],[ID RETENCION]],Retenciones!$A$1:$O$25,2,FALSE)</f>
        <v>0</v>
      </c>
      <c r="Z198" s="103" t="b">
        <f>OR(COUNTIF(PROVEEDORES[[#This Row],[PROVEEDOR]],"*"&amp;'Palabra no opera'!$A$2&amp;"*"))</f>
        <v>0</v>
      </c>
    </row>
    <row r="199" spans="1:26" ht="22.35" customHeight="1" x14ac:dyDescent="0.25">
      <c r="A199" s="65" t="str">
        <f>+IF(PROVEEDORES[[#This Row],[FECHA DE PAGO]]=PROVEEDORES[[#This Row],[FECHA DE FACTURACIÓN]],"DE CONTADO","CRÉDITO")</f>
        <v>CRÉDITO</v>
      </c>
      <c r="B199" s="38" t="str">
        <f>+IF((PROVEEDORES[[#This Row],[FECHA DE PAGO]]-PROVEEDORES[[#This Row],[FECHA DE FACTURACIÓN]])&gt;PROVEEDORES[[#This Row],[PLAZO Días]],"PAGO VENCIDO")</f>
        <v>PAGO VENCIDO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5480000</v>
      </c>
      <c r="E199" s="25"/>
      <c r="F199" s="56" t="str">
        <f>+VLOOKUP(PROVEEDORES[[#This Row],[PROVEEDOR]],
                       Terceros!$A:$F,
                       5,
                       FALSE)</f>
        <v/>
      </c>
      <c r="G199" s="289">
        <v>45264</v>
      </c>
      <c r="H199" s="26" t="s">
        <v>1197</v>
      </c>
      <c r="I199" s="289">
        <v>45209</v>
      </c>
      <c r="J199" s="35" t="s">
        <v>1198</v>
      </c>
      <c r="K199" s="21">
        <v>4438500</v>
      </c>
      <c r="L199" s="21"/>
      <c r="M199" s="22">
        <f>(PROVEEDORES[[#This Row],[SUBTOTAL]]-PROVEEDORES[[#This Row],[descuento sobre subtotal]])*VLOOKUP(PROVEEDORES[[#This Row],[PROVEEDOR]],TERCEROS_INFO[#All],3,FALSE)</f>
        <v>0</v>
      </c>
      <c r="N199" s="23"/>
      <c r="O199" s="22">
        <f>+PROVEEDORES[[#This Row],[Descuento sobre subtotal %]]*(PROVEEDORES[[#This Row],[SUBTOTAL]]-PROVEEDORES[[#This Row],[descuento sobre subtotal]])</f>
        <v>0</v>
      </c>
      <c r="P199" s="72">
        <f>+IF(PROVEEDORES[[#This Row],[SUBTOTAL]]&lt;PROVEEDORES[[#This Row],[base retencion]],0,PROVEEDORES[[#This Row],[retención aplicada]])</f>
        <v>0</v>
      </c>
      <c r="Q199" s="22">
        <f>+PROVEEDORES[[#This Row],[Rete Fuente %]]*(PROVEEDORES[[#This Row],[SUBTOTAL]]-PROVEEDORES[[#This Row],[descuento sobre subtotal]])</f>
        <v>0</v>
      </c>
      <c r="R199" s="21">
        <f>+PROVEEDORES[[#This Row],[SUBTOTAL]]+PROVEEDORES[[#This Row],[IVA 19%]]-PROVEEDORES[[#This Row],[descuento sobre subtotal]]-PROVEEDORES[[#This Row],[Descuento sobre subtotal $2]]-PROVEEDORES[[#This Row],[Rete Fuente $]]</f>
        <v>4438500</v>
      </c>
      <c r="S1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1">
        <f ca="1">IF(PROVEEDORES[[#This Row],[FECHA DE PAGO]]=0,TODAY()-PROVEEDORES[[#This Row],[FECHA DE FACTURACIÓN]]-PROVEEDORES[[#This Row],[PLAZO Días]],0)</f>
        <v>0</v>
      </c>
      <c r="U199" s="97">
        <f>+VLOOKUP(PROVEEDORES[[#This Row],[PROVEEDOR]],Terceros!$A:$D,4,FALSE)</f>
        <v>0</v>
      </c>
      <c r="V199" s="98">
        <f>+YEAR(PROVEEDORES[[#This Row],[FECHA DE FACTURACIÓN]])</f>
        <v>2023</v>
      </c>
      <c r="W199" s="98">
        <f>+MATCH(PROVEEDORES[[#This Row],[año facturado]],Retenciones!$1:$1,0)</f>
        <v>6</v>
      </c>
      <c r="X199" s="99">
        <f>+VLOOKUP(PROVEEDORES[[#This Row],[ID RETENCION]],Retenciones!$A$1:$O$25,PROVEEDORES[[#This Row],[indicador de columna]],FALSE)</f>
        <v>0</v>
      </c>
      <c r="Y199" s="100">
        <f>+VLOOKUP(PROVEEDORES[[#This Row],[ID RETENCION]],Retenciones!$A$1:$O$25,2,FALSE)</f>
        <v>0</v>
      </c>
      <c r="Z199" s="103" t="b">
        <f>OR(COUNTIF(PROVEEDORES[[#This Row],[PROVEEDOR]],"*"&amp;'Palabra no opera'!$A$2&amp;"*"))</f>
        <v>0</v>
      </c>
    </row>
    <row r="200" spans="1:26" ht="22.35" customHeight="1" x14ac:dyDescent="0.25">
      <c r="A200" s="270" t="str">
        <f>+IF(PROVEEDORES[[#This Row],[FECHA DE PAGO]]=PROVEEDORES[[#This Row],[FECHA DE FACTURACIÓN]],"DE CONTADO","CRÉDITO")</f>
        <v>CRÉDITO</v>
      </c>
      <c r="B200" s="38" t="b">
        <f>+IF((PROVEEDORES[[#This Row],[FECHA DE PAGO]]-PROVEEDORES[[#This Row],[FECHA DE FACTURACIÓN]])&gt;PROVEEDORES[[#This Row],[PLAZO Días]],"PAGO VENCIDO")</f>
        <v>0</v>
      </c>
      <c r="C200" s="20">
        <f>+VLOOKUP(PROVEEDORES[[#This Row],[PROVEEDOR]],TERCEROS_INFO[#All],2,FALSE)</f>
        <v>30</v>
      </c>
      <c r="D200" s="25">
        <f>+SUMIFS(PROVEEDORES[Total],PROVEEDORES[PROVEEDOR],PROVEEDORES[[#This Row],[PROVEEDOR]],PROVEEDORES[FECHA DE PAGO],"")</f>
        <v>5480000</v>
      </c>
      <c r="E200" s="25"/>
      <c r="F200" s="56" t="str">
        <f>+VLOOKUP(PROVEEDORES[[#This Row],[PROVEEDOR]],
                       Terceros!$A:$F,
                       5,
                       FALSE)</f>
        <v/>
      </c>
      <c r="H200" s="26" t="s">
        <v>1197</v>
      </c>
      <c r="I200" s="289">
        <v>45264</v>
      </c>
      <c r="J200" s="35" t="s">
        <v>1445</v>
      </c>
      <c r="K200" s="21">
        <v>5480000</v>
      </c>
      <c r="L200" s="21"/>
      <c r="M200" s="22">
        <f>(PROVEEDORES[[#This Row],[SUBTOTAL]]-PROVEEDORES[[#This Row],[descuento sobre subtotal]])*VLOOKUP(PROVEEDORES[[#This Row],[PROVEEDOR]],TERCEROS_INFO[#All],3,FALSE)</f>
        <v>0</v>
      </c>
      <c r="N200" s="23"/>
      <c r="O200" s="22">
        <f>+PROVEEDORES[[#This Row],[Descuento sobre subtotal %]]*(PROVEEDORES[[#This Row],[SUBTOTAL]]-PROVEEDORES[[#This Row],[descuento sobre subtotal]])</f>
        <v>0</v>
      </c>
      <c r="P200" s="72">
        <f>+IF(PROVEEDORES[[#This Row],[SUBTOTAL]]&lt;PROVEEDORES[[#This Row],[base retencion]],0,PROVEEDORES[[#This Row],[retención aplicada]])</f>
        <v>0</v>
      </c>
      <c r="Q200" s="22">
        <f>+PROVEEDORES[[#This Row],[Rete Fuente %]]*(PROVEEDORES[[#This Row],[SUBTOTAL]]-PROVEEDORES[[#This Row],[descuento sobre subtotal]])</f>
        <v>0</v>
      </c>
      <c r="R200" s="21">
        <f>+PROVEEDORES[[#This Row],[SUBTOTAL]]+PROVEEDORES[[#This Row],[IVA 19%]]-PROVEEDORES[[#This Row],[descuento sobre subtotal]]-PROVEEDORES[[#This Row],[Descuento sobre subtotal $2]]-PROVEEDORES[[#This Row],[Rete Fuente $]]</f>
        <v>5480000</v>
      </c>
      <c r="S200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0" s="61">
        <f ca="1">IF(PROVEEDORES[[#This Row],[FECHA DE PAGO]]=0,TODAY()-PROVEEDORES[[#This Row],[FECHA DE FACTURACIÓN]]-PROVEEDORES[[#This Row],[PLAZO Días]],0)</f>
        <v>34</v>
      </c>
      <c r="U200" s="97">
        <f>+VLOOKUP(PROVEEDORES[[#This Row],[PROVEEDOR]],Terceros!$A:$D,4,FALSE)</f>
        <v>0</v>
      </c>
      <c r="V200" s="98">
        <f>+YEAR(PROVEEDORES[[#This Row],[FECHA DE FACTURACIÓN]])</f>
        <v>2023</v>
      </c>
      <c r="W200" s="98">
        <f>+MATCH(PROVEEDORES[[#This Row],[año facturado]],Retenciones!$1:$1,0)</f>
        <v>6</v>
      </c>
      <c r="X200" s="99">
        <f>+VLOOKUP(PROVEEDORES[[#This Row],[ID RETENCION]],Retenciones!$A$1:$O$25,PROVEEDORES[[#This Row],[indicador de columna]],FALSE)</f>
        <v>0</v>
      </c>
      <c r="Y200" s="100">
        <f>+VLOOKUP(PROVEEDORES[[#This Row],[ID RETENCION]],Retenciones!$A$1:$O$25,2,FALSE)</f>
        <v>0</v>
      </c>
      <c r="Z200" s="103" t="b">
        <f>OR(COUNTIF(PROVEEDORES[[#This Row],[PROVEEDOR]],"*"&amp;'Palabra no opera'!$A$2&amp;"*"))</f>
        <v>0</v>
      </c>
    </row>
    <row r="201" spans="1:26" ht="22.35" customHeight="1" x14ac:dyDescent="0.25">
      <c r="A201" s="65" t="str">
        <f>+IF(PROVEEDORES[[#This Row],[FECHA DE PAGO]]=PROVEEDORES[[#This Row],[FECHA DE FACTURACIÓN]],"DE CONTADO","CRÉDITO")</f>
        <v>CRÉDITO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0</v>
      </c>
      <c r="E201" s="25"/>
      <c r="F201" s="56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201" s="289">
        <v>45222</v>
      </c>
      <c r="H201" s="26" t="s">
        <v>287</v>
      </c>
      <c r="I201" s="289">
        <v>45219</v>
      </c>
      <c r="J201" s="35" t="s">
        <v>1183</v>
      </c>
      <c r="K201" s="21">
        <v>2074832</v>
      </c>
      <c r="L201" s="21"/>
      <c r="M201" s="22">
        <f>(PROVEEDORES[[#This Row],[SUBTOTAL]]-PROVEEDORES[[#This Row],[descuento sobre subtotal]])*VLOOKUP(PROVEEDORES[[#This Row],[PROVEEDOR]],TERCEROS_INFO[#All],3,FALSE)</f>
        <v>0</v>
      </c>
      <c r="N201" s="23"/>
      <c r="O201" s="22">
        <f>+PROVEEDORES[[#This Row],[Descuento sobre subtotal %]]*(PROVEEDORES[[#This Row],[SUBTOTAL]]-PROVEEDORES[[#This Row],[descuento sobre subtotal]])</f>
        <v>0</v>
      </c>
      <c r="P201" s="72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f>+PROVEEDORES[[#This Row],[SUBTOTAL]]+PROVEEDORES[[#This Row],[IVA 19%]]-PROVEEDORES[[#This Row],[descuento sobre subtotal]]-PROVEEDORES[[#This Row],[Descuento sobre subtotal $2]]-PROVEEDORES[[#This Row],[Rete Fuente $]]</f>
        <v>2074832</v>
      </c>
      <c r="S2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1">
        <f ca="1">IF(PROVEEDORES[[#This Row],[FECHA DE PAGO]]=0,TODAY()-PROVEEDORES[[#This Row],[FECHA DE FACTURACIÓN]]-PROVEEDORES[[#This Row],[PLAZO Días]],0)</f>
        <v>0</v>
      </c>
      <c r="U201" s="97">
        <f>+VLOOKUP(PROVEEDORES[[#This Row],[PROVEEDOR]],Terceros!$A:$D,4,FALSE)</f>
        <v>0</v>
      </c>
      <c r="V201" s="98">
        <f>+YEAR(PROVEEDORES[[#This Row],[FECHA DE FACTURACIÓN]])</f>
        <v>2023</v>
      </c>
      <c r="W201" s="98">
        <f>+MATCH(PROVEEDORES[[#This Row],[año facturado]],Retenciones!$1:$1,0)</f>
        <v>6</v>
      </c>
      <c r="X201" s="99">
        <f>+VLOOKUP(PROVEEDORES[[#This Row],[ID RETENCION]],Retenciones!$A$1:$O$25,PROVEEDORES[[#This Row],[indicador de columna]],FALSE)</f>
        <v>0</v>
      </c>
      <c r="Y201" s="100">
        <f>+VLOOKUP(PROVEEDORES[[#This Row],[ID RETENCION]],Retenciones!$A$1:$O$25,2,FALSE)</f>
        <v>0</v>
      </c>
      <c r="Z201" s="103" t="b">
        <f>OR(COUNTIF(PROVEEDORES[[#This Row],[PROVEEDOR]],"*"&amp;'Palabra no opera'!$A$2&amp;"*"))</f>
        <v>0</v>
      </c>
    </row>
    <row r="202" spans="1:26" ht="22.35" customHeight="1" x14ac:dyDescent="0.25">
      <c r="A202" s="65" t="str">
        <f>+IF(PROVEEDORES[[#This Row],[FECHA DE PAGO]]=PROVEEDORES[[#This Row],[FECHA DE FACTURACIÓN]],"DE CONTADO","CRÉDITO")</f>
        <v>CRÉDITO</v>
      </c>
      <c r="B202" s="38" t="b">
        <f>+IF((PROVEEDORES[[#This Row],[FECHA DE PAGO]]-PROVEEDORES[[#This Row],[FECHA DE FACTURACIÓN]])&gt;PROVEEDORES[[#This Row],[PLAZO Días]],"PAGO VENCIDO")</f>
        <v>0</v>
      </c>
      <c r="C202" s="20">
        <f>+VLOOKUP(PROVEEDORES[[#This Row],[PROVEEDOR]],TERCEROS_INFO[#All],2,FALSE)</f>
        <v>60</v>
      </c>
      <c r="D202" s="25">
        <f>+SUMIFS(PROVEEDORES[Total],PROVEEDORES[PROVEEDOR],PROVEEDORES[[#This Row],[PROVEEDOR]],PROVEEDORES[FECHA DE PAGO],"")</f>
        <v>0</v>
      </c>
      <c r="E202" s="25"/>
      <c r="F202" s="56" t="str">
        <f>+VLOOKUP(PROVEEDORES[[#This Row],[PROVEEDOR]],
                       Terceros!$A:$F,
                       5,
                       FALSE)</f>
        <v>gloritasz@gmail.com;girlesa.ruiz@servipilas.com;joriescobar64@gmail.com</v>
      </c>
      <c r="G202" s="289">
        <v>45262</v>
      </c>
      <c r="H202" s="26" t="s">
        <v>290</v>
      </c>
      <c r="I202" s="289">
        <v>45288</v>
      </c>
      <c r="J202" s="35" t="s">
        <v>29</v>
      </c>
      <c r="K202" s="21">
        <v>500000</v>
      </c>
      <c r="L202" s="21"/>
      <c r="M202" s="22">
        <f>(PROVEEDORES[[#This Row],[SUBTOTAL]]-PROVEEDORES[[#This Row],[descuento sobre subtotal]])*VLOOKUP(PROVEEDORES[[#This Row],[PROVEEDOR]],TERCEROS_INFO[#All],3,FALSE)</f>
        <v>0</v>
      </c>
      <c r="N202" s="23"/>
      <c r="O202" s="22">
        <f>+PROVEEDORES[[#This Row],[Descuento sobre subtotal %]]*(PROVEEDORES[[#This Row],[SUBTOTAL]]-PROVEEDORES[[#This Row],[descuento sobre subtotal]])</f>
        <v>0</v>
      </c>
      <c r="P202" s="72">
        <f>+IF(PROVEEDORES[[#This Row],[SUBTOTAL]]&lt;PROVEEDORES[[#This Row],[base retencion]],0,PROVEEDORES[[#This Row],[retención aplicada]])</f>
        <v>0</v>
      </c>
      <c r="Q202" s="22">
        <f>+PROVEEDORES[[#This Row],[Rete Fuente %]]*(PROVEEDORES[[#This Row],[SUBTOTAL]]-PROVEEDORES[[#This Row],[descuento sobre subtotal]])</f>
        <v>0</v>
      </c>
      <c r="R202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20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1">
        <f ca="1">IF(PROVEEDORES[[#This Row],[FECHA DE PAGO]]=0,TODAY()-PROVEEDORES[[#This Row],[FECHA DE FACTURACIÓN]]-PROVEEDORES[[#This Row],[PLAZO Días]],0)</f>
        <v>0</v>
      </c>
      <c r="U202" s="97">
        <f>+VLOOKUP(PROVEEDORES[[#This Row],[PROVEEDOR]],Terceros!$A:$D,4,FALSE)</f>
        <v>0</v>
      </c>
      <c r="V202" s="98">
        <f>+YEAR(PROVEEDORES[[#This Row],[FECHA DE FACTURACIÓN]])</f>
        <v>2023</v>
      </c>
      <c r="W202" s="98">
        <f>+MATCH(PROVEEDORES[[#This Row],[año facturado]],Retenciones!$1:$1,0)</f>
        <v>6</v>
      </c>
      <c r="X202" s="99">
        <f>+VLOOKUP(PROVEEDORES[[#This Row],[ID RETENCION]],Retenciones!$A$1:$O$25,PROVEEDORES[[#This Row],[indicador de columna]],FALSE)</f>
        <v>0</v>
      </c>
      <c r="Y202" s="100">
        <f>+VLOOKUP(PROVEEDORES[[#This Row],[ID RETENCION]],Retenciones!$A$1:$O$25,2,FALSE)</f>
        <v>0</v>
      </c>
      <c r="Z202" s="103" t="b">
        <f>OR(COUNTIF(PROVEEDORES[[#This Row],[PROVEEDOR]],"*"&amp;'Palabra no opera'!$A$2&amp;"*"))</f>
        <v>0</v>
      </c>
    </row>
    <row r="203" spans="1:26" ht="22.35" customHeight="1" x14ac:dyDescent="0.25">
      <c r="A203" s="65" t="str">
        <f>+IF(PROVEEDORES[[#This Row],[FECHA DE PAGO]]=PROVEEDORES[[#This Row],[FECHA DE FACTURACIÓN]],"DE CONTADO","CRÉDITO")</f>
        <v>DE CONTADO</v>
      </c>
      <c r="B203" s="38" t="b">
        <f>+IF((PROVEEDORES[[#This Row],[FECHA DE PAGO]]-PROVEEDORES[[#This Row],[FECHA DE FACTURACIÓN]])&gt;PROVEEDORES[[#This Row],[PLAZO Días]],"PAGO VENCIDO")</f>
        <v>0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0</v>
      </c>
      <c r="E203" s="25"/>
      <c r="F203" s="56" t="str">
        <f>+VLOOKUP(PROVEEDORES[[#This Row],[PROVEEDOR]],
                       Terceros!$A:$F,
                       5,
                       FALSE)</f>
        <v/>
      </c>
      <c r="G203" s="289">
        <v>44947</v>
      </c>
      <c r="H203" s="26" t="s">
        <v>291</v>
      </c>
      <c r="I203" s="289">
        <v>44947</v>
      </c>
      <c r="J203" s="35" t="s">
        <v>570</v>
      </c>
      <c r="K203" s="21">
        <v>840000</v>
      </c>
      <c r="L203" s="21"/>
      <c r="M203" s="22">
        <f>(PROVEEDORES[[#This Row],[SUBTOTAL]]-PROVEEDORES[[#This Row],[descuento sobre subtotal]])*VLOOKUP(PROVEEDORES[[#This Row],[PROVEEDOR]],TERCEROS_INFO[#All],3,FALSE)</f>
        <v>0</v>
      </c>
      <c r="N203" s="23"/>
      <c r="O203" s="22">
        <f>+PROVEEDORES[[#This Row],[Descuento sobre subtotal %]]*(PROVEEDORES[[#This Row],[SUBTOTAL]]-PROVEEDORES[[#This Row],[descuento sobre subtotal]])</f>
        <v>0</v>
      </c>
      <c r="P203" s="72">
        <f>+IF(PROVEEDORES[[#This Row],[SUBTOTAL]]&lt;PROVEEDORES[[#This Row],[base retencion]],0,PROVEEDORES[[#This Row],[retención aplicada]])</f>
        <v>0</v>
      </c>
      <c r="Q203" s="22">
        <f>+PROVEEDORES[[#This Row],[Rete Fuente %]]*(PROVEEDORES[[#This Row],[SUBTOTAL]]-PROVEEDORES[[#This Row],[descuento sobre subtotal]])</f>
        <v>0</v>
      </c>
      <c r="R203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2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1">
        <f ca="1">IF(PROVEEDORES[[#This Row],[FECHA DE PAGO]]=0,TODAY()-PROVEEDORES[[#This Row],[FECHA DE FACTURACIÓN]]-PROVEEDORES[[#This Row],[PLAZO Días]],0)</f>
        <v>0</v>
      </c>
      <c r="U203" s="97">
        <f>+VLOOKUP(PROVEEDORES[[#This Row],[PROVEEDOR]],Terceros!$A:$D,4,FALSE)</f>
        <v>0</v>
      </c>
      <c r="V203" s="98">
        <f>+YEAR(PROVEEDORES[[#This Row],[FECHA DE FACTURACIÓN]])</f>
        <v>2023</v>
      </c>
      <c r="W203" s="98">
        <f>+MATCH(PROVEEDORES[[#This Row],[año facturado]],Retenciones!$1:$1,0)</f>
        <v>6</v>
      </c>
      <c r="X203" s="99">
        <f>+VLOOKUP(PROVEEDORES[[#This Row],[ID RETENCION]],Retenciones!$A$1:$O$25,PROVEEDORES[[#This Row],[indicador de columna]],FALSE)</f>
        <v>0</v>
      </c>
      <c r="Y203" s="100">
        <f>+VLOOKUP(PROVEEDORES[[#This Row],[ID RETENCION]],Retenciones!$A$1:$O$25,2,FALSE)</f>
        <v>0</v>
      </c>
      <c r="Z203" s="103" t="b">
        <f>OR(COUNTIF(PROVEEDORES[[#This Row],[PROVEEDOR]],"*"&amp;'Palabra no opera'!$A$2&amp;"*"))</f>
        <v>0</v>
      </c>
    </row>
    <row r="204" spans="1:26" ht="22.35" customHeight="1" x14ac:dyDescent="0.25">
      <c r="A204" s="65" t="str">
        <f>+IF(PROVEEDORES[[#This Row],[FECHA DE PAGO]]=PROVEEDORES[[#This Row],[FECHA DE FACTURACIÓN]],"DE CONTADO","CRÉDITO")</f>
        <v>CRÉDITO</v>
      </c>
      <c r="B204" s="38" t="b">
        <f>+IF((PROVEEDORES[[#This Row],[FECHA DE PAGO]]-PROVEEDORES[[#This Row],[FECHA DE FACTURACIÓN]])&gt;PROVEEDORES[[#This Row],[PLAZO Días]],"PAGO VENCIDO")</f>
        <v>0</v>
      </c>
      <c r="C204" s="20">
        <f>+VLOOKUP(PROVEEDORES[[#This Row],[PROVEEDOR]],TERCEROS_INFO[#All],2,FALSE)</f>
        <v>30</v>
      </c>
      <c r="D204" s="25">
        <f>+SUMIFS(PROVEEDORES[Total],PROVEEDORES[PROVEEDOR],PROVEEDORES[[#This Row],[PROVEEDOR]],PROVEEDORES[FECHA DE PAGO],"")</f>
        <v>0</v>
      </c>
      <c r="E204" s="25"/>
      <c r="F204" s="56" t="str">
        <f>+VLOOKUP(PROVEEDORES[[#This Row],[PROVEEDOR]],
                       Terceros!$A:$F,
                       5,
                       FALSE)</f>
        <v/>
      </c>
      <c r="G204" s="289">
        <v>45010</v>
      </c>
      <c r="H204" s="26" t="s">
        <v>291</v>
      </c>
      <c r="I204" s="289">
        <v>45009</v>
      </c>
      <c r="J204" s="35" t="s">
        <v>700</v>
      </c>
      <c r="K204" s="21">
        <v>1440000</v>
      </c>
      <c r="L204" s="21"/>
      <c r="M204" s="22">
        <f>(PROVEEDORES[[#This Row],[SUBTOTAL]]-PROVEEDORES[[#This Row],[descuento sobre subtotal]])*VLOOKUP(PROVEEDORES[[#This Row],[PROVEEDOR]],TERCEROS_INFO[#All],3,FALSE)</f>
        <v>0</v>
      </c>
      <c r="N204" s="23"/>
      <c r="O204" s="22">
        <f>+PROVEEDORES[[#This Row],[Descuento sobre subtotal %]]*(PROVEEDORES[[#This Row],[SUBTOTAL]]-PROVEEDORES[[#This Row],[descuento sobre subtotal]])</f>
        <v>0</v>
      </c>
      <c r="P204" s="72">
        <f>+IF(PROVEEDORES[[#This Row],[SUBTOTAL]]&lt;PROVEEDORES[[#This Row],[base retencion]],0,PROVEEDORES[[#This Row],[retención aplicada]])</f>
        <v>0</v>
      </c>
      <c r="Q204" s="22">
        <f>+PROVEEDORES[[#This Row],[Rete Fuente %]]*(PROVEEDORES[[#This Row],[SUBTOTAL]]-PROVEEDORES[[#This Row],[descuento sobre subtotal]])</f>
        <v>0</v>
      </c>
      <c r="R204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2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1">
        <f ca="1">IF(PROVEEDORES[[#This Row],[FECHA DE PAGO]]=0,TODAY()-PROVEEDORES[[#This Row],[FECHA DE FACTURACIÓN]]-PROVEEDORES[[#This Row],[PLAZO Días]],0)</f>
        <v>0</v>
      </c>
      <c r="U204" s="97">
        <f>+VLOOKUP(PROVEEDORES[[#This Row],[PROVEEDOR]],Terceros!$A:$D,4,FALSE)</f>
        <v>0</v>
      </c>
      <c r="V204" s="98">
        <f>+YEAR(PROVEEDORES[[#This Row],[FECHA DE FACTURACIÓN]])</f>
        <v>2023</v>
      </c>
      <c r="W204" s="98">
        <f>+MATCH(PROVEEDORES[[#This Row],[año facturado]],Retenciones!$1:$1,0)</f>
        <v>6</v>
      </c>
      <c r="X204" s="99">
        <f>+VLOOKUP(PROVEEDORES[[#This Row],[ID RETENCION]],Retenciones!$A$1:$O$25,PROVEEDORES[[#This Row],[indicador de columna]],FALSE)</f>
        <v>0</v>
      </c>
      <c r="Y204" s="100">
        <f>+VLOOKUP(PROVEEDORES[[#This Row],[ID RETENCION]],Retenciones!$A$1:$O$25,2,FALSE)</f>
        <v>0</v>
      </c>
      <c r="Z204" s="103" t="b">
        <f>OR(COUNTIF(PROVEEDORES[[#This Row],[PROVEEDOR]],"*"&amp;'Palabra no opera'!$A$2&amp;"*"))</f>
        <v>0</v>
      </c>
    </row>
    <row r="205" spans="1:26" ht="22.35" customHeight="1" x14ac:dyDescent="0.25">
      <c r="A205" s="65" t="str">
        <f>+IF(PROVEEDORES[[#This Row],[FECHA DE PAGO]]=PROVEEDORES[[#This Row],[FECHA DE FACTURACIÓN]],"DE CONTADO","CRÉDITO")</f>
        <v>DE CONTADO</v>
      </c>
      <c r="B205" s="38" t="b">
        <f>+IF((PROVEEDORES[[#This Row],[FECHA DE PAGO]]-PROVEEDORES[[#This Row],[FECHA DE FACTURACIÓN]])&gt;PROVEEDORES[[#This Row],[PLAZO Días]],"PAGO VENCIDO")</f>
        <v>0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0</v>
      </c>
      <c r="E205" s="25"/>
      <c r="F205" s="56" t="str">
        <f>+VLOOKUP(PROVEEDORES[[#This Row],[PROVEEDOR]],
                       Terceros!$A:$F,
                       5,
                       FALSE)</f>
        <v/>
      </c>
      <c r="G205" s="289">
        <v>45021</v>
      </c>
      <c r="H205" s="26" t="s">
        <v>291</v>
      </c>
      <c r="I205" s="289">
        <v>45021</v>
      </c>
      <c r="J205" s="35" t="s">
        <v>765</v>
      </c>
      <c r="K205" s="21">
        <v>360000</v>
      </c>
      <c r="L205" s="21"/>
      <c r="M205" s="22">
        <f>(PROVEEDORES[[#This Row],[SUBTOTAL]]-PROVEEDORES[[#This Row],[descuento sobre subtotal]])*VLOOKUP(PROVEEDORES[[#This Row],[PROVEEDOR]],TERCEROS_INFO[#All],3,FALSE)</f>
        <v>0</v>
      </c>
      <c r="N205" s="23"/>
      <c r="O205" s="22">
        <f>+PROVEEDORES[[#This Row],[Descuento sobre subtotal %]]*(PROVEEDORES[[#This Row],[SUBTOTAL]]-PROVEEDORES[[#This Row],[descuento sobre subtotal]])</f>
        <v>0</v>
      </c>
      <c r="P205" s="72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20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1">
        <f ca="1">IF(PROVEEDORES[[#This Row],[FECHA DE PAGO]]=0,TODAY()-PROVEEDORES[[#This Row],[FECHA DE FACTURACIÓN]]-PROVEEDORES[[#This Row],[PLAZO Días]],0)</f>
        <v>0</v>
      </c>
      <c r="U205" s="97">
        <f>+VLOOKUP(PROVEEDORES[[#This Row],[PROVEEDOR]],Terceros!$A:$D,4,FALSE)</f>
        <v>0</v>
      </c>
      <c r="V205" s="98">
        <f>+YEAR(PROVEEDORES[[#This Row],[FECHA DE FACTURACIÓN]])</f>
        <v>2023</v>
      </c>
      <c r="W205" s="98">
        <f>+MATCH(PROVEEDORES[[#This Row],[año facturado]],Retenciones!$1:$1,0)</f>
        <v>6</v>
      </c>
      <c r="X205" s="99">
        <f>+VLOOKUP(PROVEEDORES[[#This Row],[ID RETENCION]],Retenciones!$A$1:$O$25,PROVEEDORES[[#This Row],[indicador de columna]],FALSE)</f>
        <v>0</v>
      </c>
      <c r="Y205" s="100">
        <f>+VLOOKUP(PROVEEDORES[[#This Row],[ID RETENCION]],Retenciones!$A$1:$O$25,2,FALSE)</f>
        <v>0</v>
      </c>
      <c r="Z205" s="103" t="b">
        <f>OR(COUNTIF(PROVEEDORES[[#This Row],[PROVEEDOR]],"*"&amp;'Palabra no opera'!$A$2&amp;"*"))</f>
        <v>0</v>
      </c>
    </row>
    <row r="206" spans="1:26" ht="22.35" customHeight="1" x14ac:dyDescent="0.25">
      <c r="A206" s="192" t="str">
        <f>+IF(PROVEEDORES[[#This Row],[FECHA DE PAGO]]=PROVEEDORES[[#This Row],[FECHA DE FACTURACIÓN]],"DE CONTADO","CRÉDITO")</f>
        <v>DE CONTADO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0</v>
      </c>
      <c r="E206" s="25"/>
      <c r="F206" s="56" t="str">
        <f>+VLOOKUP(PROVEEDORES[[#This Row],[PROVEEDOR]],
                       Terceros!$A:$F,
                       5,
                       FALSE)</f>
        <v/>
      </c>
      <c r="G206" s="289">
        <v>45031</v>
      </c>
      <c r="H206" s="26" t="s">
        <v>291</v>
      </c>
      <c r="I206" s="289">
        <v>45031</v>
      </c>
      <c r="J206" s="35" t="s">
        <v>775</v>
      </c>
      <c r="K206" s="21">
        <v>590000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72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f>+PROVEEDORES[[#This Row],[SUBTOTAL]]+PROVEEDORES[[#This Row],[IVA 19%]]-PROVEEDORES[[#This Row],[descuento sobre subtotal]]-PROVEEDORES[[#This Row],[Descuento sobre subtotal $2]]-PROVEEDORES[[#This Row],[Rete Fuente $]]</f>
        <v>590000</v>
      </c>
      <c r="S20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1">
        <f ca="1">IF(PROVEEDORES[[#This Row],[FECHA DE PAGO]]=0,TODAY()-PROVEEDORES[[#This Row],[FECHA DE FACTURACIÓN]]-PROVEEDORES[[#This Row],[PLAZO Días]],0)</f>
        <v>0</v>
      </c>
      <c r="U206" s="97">
        <f>+VLOOKUP(PROVEEDORES[[#This Row],[PROVEEDOR]],Terceros!$A:$D,4,FALSE)</f>
        <v>0</v>
      </c>
      <c r="V206" s="98">
        <f>+YEAR(PROVEEDORES[[#This Row],[FECHA DE FACTURACIÓN]])</f>
        <v>2023</v>
      </c>
      <c r="W206" s="98">
        <f>+MATCH(PROVEEDORES[[#This Row],[año facturado]],Retenciones!$1:$1,0)</f>
        <v>6</v>
      </c>
      <c r="X206" s="99">
        <f>+VLOOKUP(PROVEEDORES[[#This Row],[ID RETENCION]],Retenciones!$A$1:$O$25,PROVEEDORES[[#This Row],[indicador de columna]],FALSE)</f>
        <v>0</v>
      </c>
      <c r="Y206" s="100">
        <f>+VLOOKUP(PROVEEDORES[[#This Row],[ID RETENCION]],Retenciones!$A$1:$O$25,2,FALSE)</f>
        <v>0</v>
      </c>
      <c r="Z206" s="103" t="b">
        <f>OR(COUNTIF(PROVEEDORES[[#This Row],[PROVEEDOR]],"*"&amp;'Palabra no opera'!$A$2&amp;"*"))</f>
        <v>0</v>
      </c>
    </row>
    <row r="207" spans="1:26" ht="22.35" customHeight="1" x14ac:dyDescent="0.25">
      <c r="A207" s="192" t="str">
        <f>+IF(PROVEEDORES[[#This Row],[FECHA DE PAGO]]=PROVEEDORES[[#This Row],[FECHA DE FACTURACIÓN]],"DE CONTADO","CRÉDITO")</f>
        <v>DE CONTADO</v>
      </c>
      <c r="B207" s="38" t="b">
        <f>+IF((PROVEEDORES[[#This Row],[FECHA DE PAGO]]-PROVEEDORES[[#This Row],[FECHA DE FACTURACIÓN]])&gt;PROVEEDORES[[#This Row],[PLAZO Días]],"PAGO VENCIDO")</f>
        <v>0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0</v>
      </c>
      <c r="E207" s="25"/>
      <c r="F207" s="56" t="str">
        <f>+VLOOKUP(PROVEEDORES[[#This Row],[PROVEEDOR]],
                       Terceros!$A:$F,
                       5,
                       FALSE)</f>
        <v/>
      </c>
      <c r="G207" s="289">
        <v>45038</v>
      </c>
      <c r="H207" s="26" t="s">
        <v>291</v>
      </c>
      <c r="I207" s="289">
        <v>45038</v>
      </c>
      <c r="J207" s="35" t="s">
        <v>776</v>
      </c>
      <c r="K207" s="21">
        <v>1070000</v>
      </c>
      <c r="L207" s="21"/>
      <c r="M207" s="22">
        <f>(PROVEEDORES[[#This Row],[SUBTOTAL]]-PROVEEDORES[[#This Row],[descuento sobre subtotal]])*VLOOKUP(PROVEEDORES[[#This Row],[PROVEEDOR]],TERCEROS_INFO[#All],3,FALSE)</f>
        <v>0</v>
      </c>
      <c r="N207" s="23"/>
      <c r="O207" s="22">
        <f>+PROVEEDORES[[#This Row],[Descuento sobre subtotal %]]*(PROVEEDORES[[#This Row],[SUBTOTAL]]-PROVEEDORES[[#This Row],[descuento sobre subtotal]])</f>
        <v>0</v>
      </c>
      <c r="P207" s="72">
        <f>+IF(PROVEEDORES[[#This Row],[SUBTOTAL]]&lt;PROVEEDORES[[#This Row],[base retencion]],0,PROVEEDORES[[#This Row],[retención aplicada]])</f>
        <v>0</v>
      </c>
      <c r="Q207" s="22">
        <f>+PROVEEDORES[[#This Row],[Rete Fuente %]]*(PROVEEDORES[[#This Row],[SUBTOTAL]]-PROVEEDORES[[#This Row],[descuento sobre subtotal]])</f>
        <v>0</v>
      </c>
      <c r="R207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20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1">
        <f ca="1">IF(PROVEEDORES[[#This Row],[FECHA DE PAGO]]=0,TODAY()-PROVEEDORES[[#This Row],[FECHA DE FACTURACIÓN]]-PROVEEDORES[[#This Row],[PLAZO Días]],0)</f>
        <v>0</v>
      </c>
      <c r="U207" s="97">
        <f>+VLOOKUP(PROVEEDORES[[#This Row],[PROVEEDOR]],Terceros!$A:$D,4,FALSE)</f>
        <v>0</v>
      </c>
      <c r="V207" s="98">
        <f>+YEAR(PROVEEDORES[[#This Row],[FECHA DE FACTURACIÓN]])</f>
        <v>2023</v>
      </c>
      <c r="W207" s="98">
        <f>+MATCH(PROVEEDORES[[#This Row],[año facturado]],Retenciones!$1:$1,0)</f>
        <v>6</v>
      </c>
      <c r="X207" s="99">
        <f>+VLOOKUP(PROVEEDORES[[#This Row],[ID RETENCION]],Retenciones!$A$1:$O$25,PROVEEDORES[[#This Row],[indicador de columna]],FALSE)</f>
        <v>0</v>
      </c>
      <c r="Y207" s="100">
        <f>+VLOOKUP(PROVEEDORES[[#This Row],[ID RETENCION]],Retenciones!$A$1:$O$25,2,FALSE)</f>
        <v>0</v>
      </c>
      <c r="Z207" s="103" t="b">
        <f>OR(COUNTIF(PROVEEDORES[[#This Row],[PROVEEDOR]],"*"&amp;'Palabra no opera'!$A$2&amp;"*"))</f>
        <v>0</v>
      </c>
    </row>
    <row r="208" spans="1:26" ht="22.35" customHeight="1" x14ac:dyDescent="0.25">
      <c r="A208" s="65" t="str">
        <f>+IF(PROVEEDORES[[#This Row],[FECHA DE PAGO]]=PROVEEDORES[[#This Row],[FECHA DE FACTURACIÓN]],"DE CONTADO","CRÉDITO")</f>
        <v>DE CONTADO</v>
      </c>
      <c r="B208" s="38" t="b">
        <f>+IF((PROVEEDORES[[#This Row],[FECHA DE PAGO]]-PROVEEDORES[[#This Row],[FECHA DE FACTURACIÓN]])&gt;PROVEEDORES[[#This Row],[PLAZO Días]],"PAGO VENCIDO")</f>
        <v>0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0</v>
      </c>
      <c r="E208" s="25"/>
      <c r="F208" s="56" t="str">
        <f>+VLOOKUP(PROVEEDORES[[#This Row],[PROVEEDOR]],
                       Terceros!$A:$F,
                       5,
                       FALSE)</f>
        <v/>
      </c>
      <c r="G208" s="289">
        <v>45059</v>
      </c>
      <c r="H208" s="26" t="s">
        <v>291</v>
      </c>
      <c r="I208" s="289">
        <v>45059</v>
      </c>
      <c r="J208" s="35" t="s">
        <v>826</v>
      </c>
      <c r="K208" s="21">
        <v>670000</v>
      </c>
      <c r="L208" s="21"/>
      <c r="M208" s="22">
        <f>(PROVEEDORES[[#This Row],[SUBTOTAL]]-PROVEEDORES[[#This Row],[descuento sobre subtotal]])*VLOOKUP(PROVEEDORES[[#This Row],[PROVEEDOR]],TERCEROS_INFO[#All],3,FALSE)</f>
        <v>0</v>
      </c>
      <c r="N208" s="23"/>
      <c r="O208" s="22">
        <f>+PROVEEDORES[[#This Row],[Descuento sobre subtotal %]]*(PROVEEDORES[[#This Row],[SUBTOTAL]]-PROVEEDORES[[#This Row],[descuento sobre subtotal]])</f>
        <v>0</v>
      </c>
      <c r="P208" s="72">
        <f>+IF(PROVEEDORES[[#This Row],[SUBTOTAL]]&lt;PROVEEDORES[[#This Row],[base retencion]],0,PROVEEDORES[[#This Row],[retención aplicada]])</f>
        <v>0</v>
      </c>
      <c r="Q208" s="22">
        <f>+PROVEEDORES[[#This Row],[Rete Fuente %]]*(PROVEEDORES[[#This Row],[SUBTOTAL]]-PROVEEDORES[[#This Row],[descuento sobre subtotal]])</f>
        <v>0</v>
      </c>
      <c r="R208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2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1">
        <f ca="1">IF(PROVEEDORES[[#This Row],[FECHA DE PAGO]]=0,TODAY()-PROVEEDORES[[#This Row],[FECHA DE FACTURACIÓN]]-PROVEEDORES[[#This Row],[PLAZO Días]],0)</f>
        <v>0</v>
      </c>
      <c r="U208" s="97">
        <f>+VLOOKUP(PROVEEDORES[[#This Row],[PROVEEDOR]],Terceros!$A:$D,4,FALSE)</f>
        <v>0</v>
      </c>
      <c r="V208" s="98">
        <f>+YEAR(PROVEEDORES[[#This Row],[FECHA DE FACTURACIÓN]])</f>
        <v>2023</v>
      </c>
      <c r="W208" s="98">
        <f>+MATCH(PROVEEDORES[[#This Row],[año facturado]],Retenciones!$1:$1,0)</f>
        <v>6</v>
      </c>
      <c r="X208" s="99">
        <f>+VLOOKUP(PROVEEDORES[[#This Row],[ID RETENCION]],Retenciones!$A$1:$O$25,PROVEEDORES[[#This Row],[indicador de columna]],FALSE)</f>
        <v>0</v>
      </c>
      <c r="Y208" s="100">
        <f>+VLOOKUP(PROVEEDORES[[#This Row],[ID RETENCION]],Retenciones!$A$1:$O$25,2,FALSE)</f>
        <v>0</v>
      </c>
      <c r="Z208" s="103" t="b">
        <f>OR(COUNTIF(PROVEEDORES[[#This Row],[PROVEEDOR]],"*"&amp;'Palabra no opera'!$A$2&amp;"*"))</f>
        <v>0</v>
      </c>
    </row>
    <row r="209" spans="1:26" ht="22.35" customHeight="1" x14ac:dyDescent="0.25">
      <c r="A209" s="65" t="str">
        <f>+IF(PROVEEDORES[[#This Row],[FECHA DE PAGO]]=PROVEEDORES[[#This Row],[FECHA DE FACTURACIÓN]],"DE CONTADO","CRÉDITO")</f>
        <v>DE CONTADO</v>
      </c>
      <c r="B209" s="38" t="b">
        <f>+IF((PROVEEDORES[[#This Row],[FECHA DE PAGO]]-PROVEEDORES[[#This Row],[FECHA DE FACTURACIÓN]])&gt;PROVEEDORES[[#This Row],[PLAZO Días]],"PAGO VENCIDO")</f>
        <v>0</v>
      </c>
      <c r="C209" s="20">
        <f>+VLOOKUP(PROVEEDORES[[#This Row],[PROVEEDOR]],TERCEROS_INFO[#All],2,FALSE)</f>
        <v>30</v>
      </c>
      <c r="D209" s="25">
        <f>+SUMIFS(PROVEEDORES[Total],PROVEEDORES[PROVEEDOR],PROVEEDORES[[#This Row],[PROVEEDOR]],PROVEEDORES[FECHA DE PAGO],"")</f>
        <v>0</v>
      </c>
      <c r="E209" s="25"/>
      <c r="F209" s="56" t="str">
        <f>+VLOOKUP(PROVEEDORES[[#This Row],[PROVEEDOR]],
                       Terceros!$A:$F,
                       5,
                       FALSE)</f>
        <v/>
      </c>
      <c r="G209" s="289">
        <v>45059</v>
      </c>
      <c r="H209" s="26" t="s">
        <v>291</v>
      </c>
      <c r="I209" s="289">
        <v>45059</v>
      </c>
      <c r="J209" s="35" t="s">
        <v>827</v>
      </c>
      <c r="K209" s="21">
        <v>480000</v>
      </c>
      <c r="L209" s="21"/>
      <c r="M209" s="22">
        <f>(PROVEEDORES[[#This Row],[SUBTOTAL]]-PROVEEDORES[[#This Row],[descuento sobre subtotal]])*VLOOKUP(PROVEEDORES[[#This Row],[PROVEEDOR]],TERCEROS_INFO[#All],3,FALSE)</f>
        <v>0</v>
      </c>
      <c r="N209" s="23"/>
      <c r="O209" s="22">
        <f>+PROVEEDORES[[#This Row],[Descuento sobre subtotal %]]*(PROVEEDORES[[#This Row],[SUBTOTAL]]-PROVEEDORES[[#This Row],[descuento sobre subtotal]])</f>
        <v>0</v>
      </c>
      <c r="P209" s="72">
        <f>+IF(PROVEEDORES[[#This Row],[SUBTOTAL]]&lt;PROVEEDORES[[#This Row],[base retencion]],0,PROVEEDORES[[#This Row],[retención aplicada]])</f>
        <v>0</v>
      </c>
      <c r="Q209" s="22">
        <f>+PROVEEDORES[[#This Row],[Rete Fuente %]]*(PROVEEDORES[[#This Row],[SUBTOTAL]]-PROVEEDORES[[#This Row],[descuento sobre subtotal]])</f>
        <v>0</v>
      </c>
      <c r="R209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20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1">
        <f ca="1">IF(PROVEEDORES[[#This Row],[FECHA DE PAGO]]=0,TODAY()-PROVEEDORES[[#This Row],[FECHA DE FACTURACIÓN]]-PROVEEDORES[[#This Row],[PLAZO Días]],0)</f>
        <v>0</v>
      </c>
      <c r="U209" s="97">
        <f>+VLOOKUP(PROVEEDORES[[#This Row],[PROVEEDOR]],Terceros!$A:$D,4,FALSE)</f>
        <v>0</v>
      </c>
      <c r="V209" s="98">
        <f>+YEAR(PROVEEDORES[[#This Row],[FECHA DE FACTURACIÓN]])</f>
        <v>2023</v>
      </c>
      <c r="W209" s="98">
        <f>+MATCH(PROVEEDORES[[#This Row],[año facturado]],Retenciones!$1:$1,0)</f>
        <v>6</v>
      </c>
      <c r="X209" s="99">
        <f>+VLOOKUP(PROVEEDORES[[#This Row],[ID RETENCION]],Retenciones!$A$1:$O$25,PROVEEDORES[[#This Row],[indicador de columna]],FALSE)</f>
        <v>0</v>
      </c>
      <c r="Y209" s="100">
        <f>+VLOOKUP(PROVEEDORES[[#This Row],[ID RETENCION]],Retenciones!$A$1:$O$25,2,FALSE)</f>
        <v>0</v>
      </c>
      <c r="Z209" s="103" t="b">
        <f>OR(COUNTIF(PROVEEDORES[[#This Row],[PROVEEDOR]],"*"&amp;'Palabra no opera'!$A$2&amp;"*"))</f>
        <v>0</v>
      </c>
    </row>
    <row r="210" spans="1:26" ht="22.35" customHeight="1" x14ac:dyDescent="0.25">
      <c r="A210" s="207" t="str">
        <f>+IF(PROVEEDORES[[#This Row],[FECHA DE PAGO]]=PROVEEDORES[[#This Row],[FECHA DE FACTURACIÓN]],"DE CONTADO","CRÉDITO")</f>
        <v>DE CONTADO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0</v>
      </c>
      <c r="E210" s="25"/>
      <c r="F210" s="56" t="str">
        <f>+VLOOKUP(PROVEEDORES[[#This Row],[PROVEEDOR]],
                       Terceros!$A:$F,
                       5,
                       FALSE)</f>
        <v/>
      </c>
      <c r="G210" s="289">
        <v>45087</v>
      </c>
      <c r="H210" s="26" t="s">
        <v>291</v>
      </c>
      <c r="I210" s="289">
        <v>45087</v>
      </c>
      <c r="J210" s="35" t="s">
        <v>908</v>
      </c>
      <c r="K210" s="21">
        <v>895000</v>
      </c>
      <c r="L210" s="21"/>
      <c r="M210" s="22">
        <f>(PROVEEDORES[[#This Row],[SUBTOTAL]]-PROVEEDORES[[#This Row],[descuento sobre subtotal]])*VLOOKUP(PROVEEDORES[[#This Row],[PROVEEDOR]],TERCEROS_INFO[#All],3,FALSE)</f>
        <v>0</v>
      </c>
      <c r="N210" s="23"/>
      <c r="O210" s="22">
        <f>+PROVEEDORES[[#This Row],[Descuento sobre subtotal %]]*(PROVEEDORES[[#This Row],[SUBTOTAL]]-PROVEEDORES[[#This Row],[descuento sobre subtotal]])</f>
        <v>0</v>
      </c>
      <c r="P210" s="72">
        <f>+IF(PROVEEDORES[[#This Row],[SUBTOTAL]]&lt;PROVEEDORES[[#This Row],[base retencion]],0,PROVEEDORES[[#This Row],[retención aplicada]])</f>
        <v>0</v>
      </c>
      <c r="Q210" s="22">
        <f>+PROVEEDORES[[#This Row],[Rete Fuente %]]*(PROVEEDORES[[#This Row],[SUBTOTAL]]-PROVEEDORES[[#This Row],[descuento sobre subtotal]])</f>
        <v>0</v>
      </c>
      <c r="R210" s="21">
        <f>+PROVEEDORES[[#This Row],[SUBTOTAL]]+PROVEEDORES[[#This Row],[IVA 19%]]-PROVEEDORES[[#This Row],[descuento sobre subtotal]]-PROVEEDORES[[#This Row],[Descuento sobre subtotal $2]]-PROVEEDORES[[#This Row],[Rete Fuente $]]</f>
        <v>895000</v>
      </c>
      <c r="S21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1">
        <f ca="1">IF(PROVEEDORES[[#This Row],[FECHA DE PAGO]]=0,TODAY()-PROVEEDORES[[#This Row],[FECHA DE FACTURACIÓN]]-PROVEEDORES[[#This Row],[PLAZO Días]],0)</f>
        <v>0</v>
      </c>
      <c r="U210" s="97">
        <f>+VLOOKUP(PROVEEDORES[[#This Row],[PROVEEDOR]],Terceros!$A:$D,4,FALSE)</f>
        <v>0</v>
      </c>
      <c r="V210" s="98">
        <f>+YEAR(PROVEEDORES[[#This Row],[FECHA DE FACTURACIÓN]])</f>
        <v>2023</v>
      </c>
      <c r="W210" s="98">
        <f>+MATCH(PROVEEDORES[[#This Row],[año facturado]],Retenciones!$1:$1,0)</f>
        <v>6</v>
      </c>
      <c r="X210" s="99">
        <f>+VLOOKUP(PROVEEDORES[[#This Row],[ID RETENCION]],Retenciones!$A$1:$O$25,PROVEEDORES[[#This Row],[indicador de columna]],FALSE)</f>
        <v>0</v>
      </c>
      <c r="Y210" s="100">
        <f>+VLOOKUP(PROVEEDORES[[#This Row],[ID RETENCION]],Retenciones!$A$1:$O$25,2,FALSE)</f>
        <v>0</v>
      </c>
      <c r="Z210" s="103" t="b">
        <f>OR(COUNTIF(PROVEEDORES[[#This Row],[PROVEEDOR]],"*"&amp;'Palabra no opera'!$A$2&amp;"*"))</f>
        <v>0</v>
      </c>
    </row>
    <row r="211" spans="1:26" ht="22.35" customHeight="1" x14ac:dyDescent="0.25">
      <c r="A211" s="207" t="str">
        <f>+IF(PROVEEDORES[[#This Row],[FECHA DE PAGO]]=PROVEEDORES[[#This Row],[FECHA DE FACTURACIÓN]],"DE CONTADO","CRÉDITO")</f>
        <v>DE CONTADO</v>
      </c>
      <c r="B211" s="38" t="b">
        <f>+IF((PROVEEDORES[[#This Row],[FECHA DE PAGO]]-PROVEEDORES[[#This Row],[FECHA DE FACTURACIÓN]])&gt;PROVEEDORES[[#This Row],[PLAZO Días]],"PAGO VENCIDO")</f>
        <v>0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0</v>
      </c>
      <c r="E211" s="25"/>
      <c r="F211" s="56" t="str">
        <f>+VLOOKUP(PROVEEDORES[[#This Row],[PROVEEDOR]],
                       Terceros!$A:$F,
                       5,
                       FALSE)</f>
        <v/>
      </c>
      <c r="G211" s="289">
        <v>45101</v>
      </c>
      <c r="H211" s="26" t="s">
        <v>291</v>
      </c>
      <c r="I211" s="289">
        <v>45101</v>
      </c>
      <c r="J211" s="35" t="s">
        <v>909</v>
      </c>
      <c r="K211" s="21">
        <v>660000</v>
      </c>
      <c r="L211" s="21"/>
      <c r="M211" s="22">
        <f>(PROVEEDORES[[#This Row],[SUBTOTAL]]-PROVEEDORES[[#This Row],[descuento sobre subtotal]])*VLOOKUP(PROVEEDORES[[#This Row],[PROVEEDOR]],TERCEROS_INFO[#All],3,FALSE)</f>
        <v>0</v>
      </c>
      <c r="N211" s="23"/>
      <c r="O211" s="22">
        <f>+PROVEEDORES[[#This Row],[Descuento sobre subtotal %]]*(PROVEEDORES[[#This Row],[SUBTOTAL]]-PROVEEDORES[[#This Row],[descuento sobre subtotal]])</f>
        <v>0</v>
      </c>
      <c r="P211" s="72">
        <f>+IF(PROVEEDORES[[#This Row],[SUBTOTAL]]&lt;PROVEEDORES[[#This Row],[base retencion]],0,PROVEEDORES[[#This Row],[retención aplicada]])</f>
        <v>0</v>
      </c>
      <c r="Q211" s="22">
        <f>+PROVEEDORES[[#This Row],[Rete Fuente %]]*(PROVEEDORES[[#This Row],[SUBTOTAL]]-PROVEEDORES[[#This Row],[descuento sobre subtotal]])</f>
        <v>0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660000</v>
      </c>
      <c r="S21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1">
        <f ca="1">IF(PROVEEDORES[[#This Row],[FECHA DE PAGO]]=0,TODAY()-PROVEEDORES[[#This Row],[FECHA DE FACTURACIÓN]]-PROVEEDORES[[#This Row],[PLAZO Días]],0)</f>
        <v>0</v>
      </c>
      <c r="U211" s="97">
        <f>+VLOOKUP(PROVEEDORES[[#This Row],[PROVEEDOR]],Terceros!$A:$D,4,FALSE)</f>
        <v>0</v>
      </c>
      <c r="V211" s="98">
        <f>+YEAR(PROVEEDORES[[#This Row],[FECHA DE FACTURACIÓN]])</f>
        <v>2023</v>
      </c>
      <c r="W211" s="98">
        <f>+MATCH(PROVEEDORES[[#This Row],[año facturado]],Retenciones!$1:$1,0)</f>
        <v>6</v>
      </c>
      <c r="X211" s="99">
        <f>+VLOOKUP(PROVEEDORES[[#This Row],[ID RETENCION]],Retenciones!$A$1:$O$25,PROVEEDORES[[#This Row],[indicador de columna]],FALSE)</f>
        <v>0</v>
      </c>
      <c r="Y211" s="100">
        <f>+VLOOKUP(PROVEEDORES[[#This Row],[ID RETENCION]],Retenciones!$A$1:$O$25,2,FALSE)</f>
        <v>0</v>
      </c>
      <c r="Z211" s="103" t="b">
        <f>OR(COUNTIF(PROVEEDORES[[#This Row],[PROVEEDOR]],"*"&amp;'Palabra no opera'!$A$2&amp;"*"))</f>
        <v>0</v>
      </c>
    </row>
    <row r="212" spans="1:26" ht="22.35" customHeight="1" x14ac:dyDescent="0.25">
      <c r="A212" s="65" t="str">
        <f>+IF(PROVEEDORES[[#This Row],[FECHA DE PAGO]]=PROVEEDORES[[#This Row],[FECHA DE FACTURACIÓN]],"DE CONTADO","CRÉDITO")</f>
        <v>DE CONTADO</v>
      </c>
      <c r="B212" s="38" t="b">
        <f>+IF((PROVEEDORES[[#This Row],[FECHA DE PAGO]]-PROVEEDORES[[#This Row],[FECHA DE FACTURACIÓN]])&gt;PROVEEDORES[[#This Row],[PLAZO Días]],"PAGO VENCIDO")</f>
        <v>0</v>
      </c>
      <c r="C212" s="20">
        <f>+VLOOKUP(PROVEEDORES[[#This Row],[PROVEEDOR]],TERCEROS_INFO[#All],2,FALSE)</f>
        <v>30</v>
      </c>
      <c r="D212" s="25">
        <f>+SUMIFS(PROVEEDORES[Total],PROVEEDORES[PROVEEDOR],PROVEEDORES[[#This Row],[PROVEEDOR]],PROVEEDORES[FECHA DE PAGO],"")</f>
        <v>0</v>
      </c>
      <c r="E212" s="25"/>
      <c r="F212" s="56" t="str">
        <f>+VLOOKUP(PROVEEDORES[[#This Row],[PROVEEDOR]],
                       Terceros!$A:$F,
                       5,
                       FALSE)</f>
        <v/>
      </c>
      <c r="G212" s="289">
        <v>45115</v>
      </c>
      <c r="H212" s="26" t="s">
        <v>291</v>
      </c>
      <c r="I212" s="289">
        <v>45115</v>
      </c>
      <c r="J212" s="35" t="s">
        <v>942</v>
      </c>
      <c r="K212" s="21">
        <v>625000</v>
      </c>
      <c r="L212" s="21"/>
      <c r="M212" s="22">
        <f>(PROVEEDORES[[#This Row],[SUBTOTAL]]-PROVEEDORES[[#This Row],[descuento sobre subtotal]])*VLOOKUP(PROVEEDORES[[#This Row],[PROVEEDOR]],TERCEROS_INFO[#All],3,FALSE)</f>
        <v>0</v>
      </c>
      <c r="N212" s="23"/>
      <c r="O212" s="22">
        <f>+PROVEEDORES[[#This Row],[Descuento sobre subtotal %]]*(PROVEEDORES[[#This Row],[SUBTOTAL]]-PROVEEDORES[[#This Row],[descuento sobre subtotal]])</f>
        <v>0</v>
      </c>
      <c r="P212" s="72">
        <f>+IF(PROVEEDORES[[#This Row],[SUBTOTAL]]&lt;PROVEEDORES[[#This Row],[base retencion]],0,PROVEEDORES[[#This Row],[retención aplicada]])</f>
        <v>0</v>
      </c>
      <c r="Q212" s="22">
        <f>+PROVEEDORES[[#This Row],[Rete Fuente %]]*(PROVEEDORES[[#This Row],[SUBTOTAL]]-PROVEEDORES[[#This Row],[descuento sobre subtotal]])</f>
        <v>0</v>
      </c>
      <c r="R212" s="21">
        <f>+PROVEEDORES[[#This Row],[SUBTOTAL]]+PROVEEDORES[[#This Row],[IVA 19%]]-PROVEEDORES[[#This Row],[descuento sobre subtotal]]-PROVEEDORES[[#This Row],[Descuento sobre subtotal $2]]-PROVEEDORES[[#This Row],[Rete Fuente $]]</f>
        <v>625000</v>
      </c>
      <c r="S2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1">
        <f ca="1">IF(PROVEEDORES[[#This Row],[FECHA DE PAGO]]=0,TODAY()-PROVEEDORES[[#This Row],[FECHA DE FACTURACIÓN]]-PROVEEDORES[[#This Row],[PLAZO Días]],0)</f>
        <v>0</v>
      </c>
      <c r="U212" s="97">
        <f>+VLOOKUP(PROVEEDORES[[#This Row],[PROVEEDOR]],Terceros!$A:$D,4,FALSE)</f>
        <v>0</v>
      </c>
      <c r="V212" s="98">
        <f>+YEAR(PROVEEDORES[[#This Row],[FECHA DE FACTURACIÓN]])</f>
        <v>2023</v>
      </c>
      <c r="W212" s="98">
        <f>+MATCH(PROVEEDORES[[#This Row],[año facturado]],Retenciones!$1:$1,0)</f>
        <v>6</v>
      </c>
      <c r="X212" s="99">
        <f>+VLOOKUP(PROVEEDORES[[#This Row],[ID RETENCION]],Retenciones!$A$1:$O$25,PROVEEDORES[[#This Row],[indicador de columna]],FALSE)</f>
        <v>0</v>
      </c>
      <c r="Y212" s="100">
        <f>+VLOOKUP(PROVEEDORES[[#This Row],[ID RETENCION]],Retenciones!$A$1:$O$25,2,FALSE)</f>
        <v>0</v>
      </c>
      <c r="Z212" s="103" t="b">
        <f>OR(COUNTIF(PROVEEDORES[[#This Row],[PROVEEDOR]],"*"&amp;'Palabra no opera'!$A$2&amp;"*"))</f>
        <v>0</v>
      </c>
    </row>
    <row r="213" spans="1:26" ht="22.35" customHeight="1" x14ac:dyDescent="0.25">
      <c r="A213" s="65" t="str">
        <f>+IF(PROVEEDORES[[#This Row],[FECHA DE PAGO]]=PROVEEDORES[[#This Row],[FECHA DE FACTURACIÓN]],"DE CONTADO","CRÉDITO")</f>
        <v>DE CONTADO</v>
      </c>
      <c r="B213" s="38" t="b">
        <f>+IF((PROVEEDORES[[#This Row],[FECHA DE PAGO]]-PROVEEDORES[[#This Row],[FECHA DE FACTURACIÓN]])&gt;PROVEEDORES[[#This Row],[PLAZO Días]],"PAGO VENCIDO")</f>
        <v>0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0</v>
      </c>
      <c r="E213" s="25"/>
      <c r="F213" s="56" t="str">
        <f>+VLOOKUP(PROVEEDORES[[#This Row],[PROVEEDOR]],
                       Terceros!$A:$F,
                       5,
                       FALSE)</f>
        <v/>
      </c>
      <c r="G213" s="289">
        <v>45136</v>
      </c>
      <c r="H213" s="26" t="s">
        <v>291</v>
      </c>
      <c r="I213" s="289">
        <v>45136</v>
      </c>
      <c r="J213" s="35" t="s">
        <v>985</v>
      </c>
      <c r="K213" s="21">
        <v>1470000</v>
      </c>
      <c r="L213" s="21"/>
      <c r="M213" s="22">
        <f>(PROVEEDORES[[#This Row],[SUBTOTAL]]-PROVEEDORES[[#This Row],[descuento sobre subtotal]])*VLOOKUP(PROVEEDORES[[#This Row],[PROVEEDOR]],TERCEROS_INFO[#All],3,FALSE)</f>
        <v>0</v>
      </c>
      <c r="N213" s="23"/>
      <c r="O213" s="22">
        <f>+PROVEEDORES[[#This Row],[Descuento sobre subtotal %]]*(PROVEEDORES[[#This Row],[SUBTOTAL]]-PROVEEDORES[[#This Row],[descuento sobre subtotal]])</f>
        <v>0</v>
      </c>
      <c r="P213" s="72">
        <f>+IF(PROVEEDORES[[#This Row],[SUBTOTAL]]&lt;PROVEEDORES[[#This Row],[base retencion]],0,PROVEEDORES[[#This Row],[retención aplicada]])</f>
        <v>0</v>
      </c>
      <c r="Q213" s="22">
        <f>+PROVEEDORES[[#This Row],[Rete Fuente %]]*(PROVEEDORES[[#This Row],[SUBTOTAL]]-PROVEEDORES[[#This Row],[descuento sobre subtotal]])</f>
        <v>0</v>
      </c>
      <c r="R213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2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1">
        <f ca="1">IF(PROVEEDORES[[#This Row],[FECHA DE PAGO]]=0,TODAY()-PROVEEDORES[[#This Row],[FECHA DE FACTURACIÓN]]-PROVEEDORES[[#This Row],[PLAZO Días]],0)</f>
        <v>0</v>
      </c>
      <c r="U213" s="97">
        <f>+VLOOKUP(PROVEEDORES[[#This Row],[PROVEEDOR]],Terceros!$A:$D,4,FALSE)</f>
        <v>0</v>
      </c>
      <c r="V213" s="98">
        <f>+YEAR(PROVEEDORES[[#This Row],[FECHA DE FACTURACIÓN]])</f>
        <v>2023</v>
      </c>
      <c r="W213" s="98">
        <f>+MATCH(PROVEEDORES[[#This Row],[año facturado]],Retenciones!$1:$1,0)</f>
        <v>6</v>
      </c>
      <c r="X213" s="99">
        <f>+VLOOKUP(PROVEEDORES[[#This Row],[ID RETENCION]],Retenciones!$A$1:$O$25,PROVEEDORES[[#This Row],[indicador de columna]],FALSE)</f>
        <v>0</v>
      </c>
      <c r="Y213" s="100">
        <f>+VLOOKUP(PROVEEDORES[[#This Row],[ID RETENCION]],Retenciones!$A$1:$O$25,2,FALSE)</f>
        <v>0</v>
      </c>
      <c r="Z213" s="103" t="b">
        <f>OR(COUNTIF(PROVEEDORES[[#This Row],[PROVEEDOR]],"*"&amp;'Palabra no opera'!$A$2&amp;"*"))</f>
        <v>0</v>
      </c>
    </row>
    <row r="214" spans="1:26" ht="22.35" customHeight="1" x14ac:dyDescent="0.25">
      <c r="A214" s="219" t="str">
        <f>+IF(PROVEEDORES[[#This Row],[FECHA DE PAGO]]=PROVEEDORES[[#This Row],[FECHA DE FACTURACIÓN]],"DE CONTADO","CRÉDITO")</f>
        <v>DE CONTADO</v>
      </c>
      <c r="B214" s="38" t="b">
        <f>+IF((PROVEEDORES[[#This Row],[FECHA DE PAGO]]-PROVEEDORES[[#This Row],[FECHA DE FACTURACIÓN]])&gt;PROVEEDORES[[#This Row],[PLAZO Días]],"PAGO VENCIDO")</f>
        <v>0</v>
      </c>
      <c r="C214" s="20">
        <f>+VLOOKUP(PROVEEDORES[[#This Row],[PROVEEDOR]],TERCEROS_INFO[#All],2,FALSE)</f>
        <v>30</v>
      </c>
      <c r="D214" s="25">
        <f>+SUMIFS(PROVEEDORES[Total],PROVEEDORES[PROVEEDOR],PROVEEDORES[[#This Row],[PROVEEDOR]],PROVEEDORES[FECHA DE PAGO],"")</f>
        <v>0</v>
      </c>
      <c r="E214" s="25"/>
      <c r="F214" s="56" t="str">
        <f>+VLOOKUP(PROVEEDORES[[#This Row],[PROVEEDOR]],
                       Terceros!$A:$F,
                       5,
                       FALSE)</f>
        <v/>
      </c>
      <c r="G214" s="289">
        <v>45141</v>
      </c>
      <c r="H214" s="26" t="s">
        <v>291</v>
      </c>
      <c r="I214" s="289">
        <v>45141</v>
      </c>
      <c r="J214" s="35" t="s">
        <v>992</v>
      </c>
      <c r="K214" s="21">
        <v>290000</v>
      </c>
      <c r="L214" s="21"/>
      <c r="M214" s="22">
        <f>(PROVEEDORES[[#This Row],[SUBTOTAL]]-PROVEEDORES[[#This Row],[descuento sobre subtotal]])*VLOOKUP(PROVEEDORES[[#This Row],[PROVEEDOR]],TERCEROS_INFO[#All],3,FALSE)</f>
        <v>0</v>
      </c>
      <c r="N214" s="23"/>
      <c r="O214" s="22">
        <f>+PROVEEDORES[[#This Row],[Descuento sobre subtotal %]]*(PROVEEDORES[[#This Row],[SUBTOTAL]]-PROVEEDORES[[#This Row],[descuento sobre subtotal]])</f>
        <v>0</v>
      </c>
      <c r="P214" s="72">
        <f>+IF(PROVEEDORES[[#This Row],[SUBTOTAL]]&lt;PROVEEDORES[[#This Row],[base retencion]],0,PROVEEDORES[[#This Row],[retención aplicada]])</f>
        <v>0</v>
      </c>
      <c r="Q214" s="22">
        <f>+PROVEEDORES[[#This Row],[Rete Fuente %]]*(PROVEEDORES[[#This Row],[SUBTOTAL]]-PROVEEDORES[[#This Row],[descuento sobre subtotal]])</f>
        <v>0</v>
      </c>
      <c r="R214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214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1">
        <f ca="1">IF(PROVEEDORES[[#This Row],[FECHA DE PAGO]]=0,TODAY()-PROVEEDORES[[#This Row],[FECHA DE FACTURACIÓN]]-PROVEEDORES[[#This Row],[PLAZO Días]],0)</f>
        <v>0</v>
      </c>
      <c r="U214" s="97">
        <f>+VLOOKUP(PROVEEDORES[[#This Row],[PROVEEDOR]],Terceros!$A:$D,4,FALSE)</f>
        <v>0</v>
      </c>
      <c r="V214" s="98">
        <f>+YEAR(PROVEEDORES[[#This Row],[FECHA DE FACTURACIÓN]])</f>
        <v>2023</v>
      </c>
      <c r="W214" s="98">
        <f>+MATCH(PROVEEDORES[[#This Row],[año facturado]],Retenciones!$1:$1,0)</f>
        <v>6</v>
      </c>
      <c r="X214" s="99">
        <f>+VLOOKUP(PROVEEDORES[[#This Row],[ID RETENCION]],Retenciones!$A$1:$O$25,PROVEEDORES[[#This Row],[indicador de columna]],FALSE)</f>
        <v>0</v>
      </c>
      <c r="Y214" s="100">
        <f>+VLOOKUP(PROVEEDORES[[#This Row],[ID RETENCION]],Retenciones!$A$1:$O$25,2,FALSE)</f>
        <v>0</v>
      </c>
      <c r="Z214" s="103" t="b">
        <f>OR(COUNTIF(PROVEEDORES[[#This Row],[PROVEEDOR]],"*"&amp;'Palabra no opera'!$A$2&amp;"*"))</f>
        <v>0</v>
      </c>
    </row>
    <row r="215" spans="1:26" ht="22.35" customHeight="1" x14ac:dyDescent="0.25">
      <c r="A215" s="227" t="str">
        <f>+IF(PROVEEDORES[[#This Row],[FECHA DE PAGO]]=PROVEEDORES[[#This Row],[FECHA DE FACTURACIÓN]],"DE CONTADO","CRÉDITO")</f>
        <v>DE CONTADO</v>
      </c>
      <c r="B215" s="38" t="b">
        <f>+IF((PROVEEDORES[[#This Row],[FECHA DE PAGO]]-PROVEEDORES[[#This Row],[FECHA DE FACTURACIÓN]])&gt;PROVEEDORES[[#This Row],[PLAZO Días]],"PAGO VENCIDO")</f>
        <v>0</v>
      </c>
      <c r="C215" s="20">
        <f>+VLOOKUP(PROVEEDORES[[#This Row],[PROVEEDOR]],TERCEROS_INFO[#All],2,FALSE)</f>
        <v>30</v>
      </c>
      <c r="D215" s="25">
        <f>+SUMIFS(PROVEEDORES[Total],PROVEEDORES[PROVEEDOR],PROVEEDORES[[#This Row],[PROVEEDOR]],PROVEEDORES[FECHA DE PAGO],"")</f>
        <v>0</v>
      </c>
      <c r="E215" s="25"/>
      <c r="F215" s="56" t="str">
        <f>+VLOOKUP(PROVEEDORES[[#This Row],[PROVEEDOR]],
                       Terceros!$A:$F,
                       5,
                       FALSE)</f>
        <v/>
      </c>
      <c r="G215" s="289">
        <v>45163</v>
      </c>
      <c r="H215" s="26" t="s">
        <v>291</v>
      </c>
      <c r="I215" s="289">
        <v>45163</v>
      </c>
      <c r="J215" s="35" t="s">
        <v>1038</v>
      </c>
      <c r="K215" s="21">
        <v>1280000</v>
      </c>
      <c r="L215" s="21"/>
      <c r="M215" s="22">
        <f>(PROVEEDORES[[#This Row],[SUBTOTAL]]-PROVEEDORES[[#This Row],[descuento sobre subtotal]])*VLOOKUP(PROVEEDORES[[#This Row],[PROVEEDOR]],TERCEROS_INFO[#All],3,FALSE)</f>
        <v>0</v>
      </c>
      <c r="N215" s="23"/>
      <c r="O215" s="22">
        <f>+PROVEEDORES[[#This Row],[Descuento sobre subtotal %]]*(PROVEEDORES[[#This Row],[SUBTOTAL]]-PROVEEDORES[[#This Row],[descuento sobre subtotal]])</f>
        <v>0</v>
      </c>
      <c r="P215" s="72">
        <f>+IF(PROVEEDORES[[#This Row],[SUBTOTAL]]&lt;PROVEEDORES[[#This Row],[base retencion]],0,PROVEEDORES[[#This Row],[retención aplicada]])</f>
        <v>0</v>
      </c>
      <c r="Q215" s="22">
        <f>+PROVEEDORES[[#This Row],[Rete Fuente %]]*(PROVEEDORES[[#This Row],[SUBTOTAL]]-PROVEEDORES[[#This Row],[descuento sobre subtotal]])</f>
        <v>0</v>
      </c>
      <c r="R215" s="21">
        <f>+PROVEEDORES[[#This Row],[SUBTOTAL]]+PROVEEDORES[[#This Row],[IVA 19%]]-PROVEEDORES[[#This Row],[descuento sobre subtotal]]-PROVEEDORES[[#This Row],[Descuento sobre subtotal $2]]-PROVEEDORES[[#This Row],[Rete Fuente $]]</f>
        <v>1280000</v>
      </c>
      <c r="S215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1">
        <f ca="1">IF(PROVEEDORES[[#This Row],[FECHA DE PAGO]]=0,TODAY()-PROVEEDORES[[#This Row],[FECHA DE FACTURACIÓN]]-PROVEEDORES[[#This Row],[PLAZO Días]],0)</f>
        <v>0</v>
      </c>
      <c r="U215" s="97">
        <f>+VLOOKUP(PROVEEDORES[[#This Row],[PROVEEDOR]],Terceros!$A:$D,4,FALSE)</f>
        <v>0</v>
      </c>
      <c r="V215" s="98">
        <f>+YEAR(PROVEEDORES[[#This Row],[FECHA DE FACTURACIÓN]])</f>
        <v>2023</v>
      </c>
      <c r="W215" s="98">
        <f>+MATCH(PROVEEDORES[[#This Row],[año facturado]],Retenciones!$1:$1,0)</f>
        <v>6</v>
      </c>
      <c r="X215" s="99">
        <f>+VLOOKUP(PROVEEDORES[[#This Row],[ID RETENCION]],Retenciones!$A$1:$O$25,PROVEEDORES[[#This Row],[indicador de columna]],FALSE)</f>
        <v>0</v>
      </c>
      <c r="Y215" s="100">
        <f>+VLOOKUP(PROVEEDORES[[#This Row],[ID RETENCION]],Retenciones!$A$1:$O$25,2,FALSE)</f>
        <v>0</v>
      </c>
      <c r="Z215" s="103" t="b">
        <f>OR(COUNTIF(PROVEEDORES[[#This Row],[PROVEEDOR]],"*"&amp;'Palabra no opera'!$A$2&amp;"*"))</f>
        <v>0</v>
      </c>
    </row>
    <row r="216" spans="1:26" ht="22.35" customHeight="1" x14ac:dyDescent="0.25">
      <c r="A216" s="229" t="str">
        <f>+IF(PROVEEDORES[[#This Row],[FECHA DE PAGO]]=PROVEEDORES[[#This Row],[FECHA DE FACTURACIÓN]],"DE CONTADO","CRÉDITO")</f>
        <v>DE CONTADO</v>
      </c>
      <c r="B216" s="38" t="b">
        <f>+IF((PROVEEDORES[[#This Row],[FECHA DE PAGO]]-PROVEEDORES[[#This Row],[FECHA DE FACTURACIÓN]])&gt;PROVEEDORES[[#This Row],[PLAZO Días]],"PAGO VENCIDO")</f>
        <v>0</v>
      </c>
      <c r="C216" s="20">
        <f>+VLOOKUP(PROVEEDORES[[#This Row],[PROVEEDOR]],TERCEROS_INFO[#All],2,FALSE)</f>
        <v>30</v>
      </c>
      <c r="D216" s="25">
        <f>+SUMIFS(PROVEEDORES[Total],PROVEEDORES[PROVEEDOR],PROVEEDORES[[#This Row],[PROVEEDOR]],PROVEEDORES[FECHA DE PAGO],"")</f>
        <v>0</v>
      </c>
      <c r="E216" s="25"/>
      <c r="F216" s="56" t="str">
        <f>+VLOOKUP(PROVEEDORES[[#This Row],[PROVEEDOR]],
                       Terceros!$A:$F,
                       5,
                       FALSE)</f>
        <v/>
      </c>
      <c r="G216" s="289">
        <v>45171</v>
      </c>
      <c r="H216" s="26" t="s">
        <v>291</v>
      </c>
      <c r="I216" s="289">
        <v>45171</v>
      </c>
      <c r="J216" s="35" t="s">
        <v>1078</v>
      </c>
      <c r="K216" s="21">
        <v>540000</v>
      </c>
      <c r="L216" s="21"/>
      <c r="M216" s="22">
        <f>(PROVEEDORES[[#This Row],[SUBTOTAL]]-PROVEEDORES[[#This Row],[descuento sobre subtotal]])*VLOOKUP(PROVEEDORES[[#This Row],[PROVEEDOR]],TERCEROS_INFO[#All],3,FALSE)</f>
        <v>0</v>
      </c>
      <c r="N216" s="23"/>
      <c r="O216" s="22">
        <f>+PROVEEDORES[[#This Row],[Descuento sobre subtotal %]]*(PROVEEDORES[[#This Row],[SUBTOTAL]]-PROVEEDORES[[#This Row],[descuento sobre subtotal]])</f>
        <v>0</v>
      </c>
      <c r="P216" s="72">
        <f>+IF(PROVEEDORES[[#This Row],[SUBTOTAL]]&lt;PROVEEDORES[[#This Row],[base retencion]],0,PROVEEDORES[[#This Row],[retención aplicada]])</f>
        <v>0</v>
      </c>
      <c r="Q216" s="22">
        <f>+PROVEEDORES[[#This Row],[Rete Fuente %]]*(PROVEEDORES[[#This Row],[SUBTOTAL]]-PROVEEDORES[[#This Row],[descuento sobre subtotal]])</f>
        <v>0</v>
      </c>
      <c r="R216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21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61">
        <f ca="1">IF(PROVEEDORES[[#This Row],[FECHA DE PAGO]]=0,TODAY()-PROVEEDORES[[#This Row],[FECHA DE FACTURACIÓN]]-PROVEEDORES[[#This Row],[PLAZO Días]],0)</f>
        <v>0</v>
      </c>
      <c r="U216" s="97">
        <f>+VLOOKUP(PROVEEDORES[[#This Row],[PROVEEDOR]],Terceros!$A:$D,4,FALSE)</f>
        <v>0</v>
      </c>
      <c r="V216" s="98">
        <f>+YEAR(PROVEEDORES[[#This Row],[FECHA DE FACTURACIÓN]])</f>
        <v>2023</v>
      </c>
      <c r="W216" s="98">
        <f>+MATCH(PROVEEDORES[[#This Row],[año facturado]],Retenciones!$1:$1,0)</f>
        <v>6</v>
      </c>
      <c r="X216" s="99">
        <f>+VLOOKUP(PROVEEDORES[[#This Row],[ID RETENCION]],Retenciones!$A$1:$O$25,PROVEEDORES[[#This Row],[indicador de columna]],FALSE)</f>
        <v>0</v>
      </c>
      <c r="Y216" s="100">
        <f>+VLOOKUP(PROVEEDORES[[#This Row],[ID RETENCION]],Retenciones!$A$1:$O$25,2,FALSE)</f>
        <v>0</v>
      </c>
      <c r="Z216" s="103" t="b">
        <f>OR(COUNTIF(PROVEEDORES[[#This Row],[PROVEEDOR]],"*"&amp;'Palabra no opera'!$A$2&amp;"*"))</f>
        <v>0</v>
      </c>
    </row>
    <row r="217" spans="1:26" ht="22.35" customHeight="1" x14ac:dyDescent="0.25">
      <c r="A217" s="243" t="str">
        <f>+IF(PROVEEDORES[[#This Row],[FECHA DE PAGO]]=PROVEEDORES[[#This Row],[FECHA DE FACTURACIÓN]],"DE CONTADO","CRÉDITO")</f>
        <v>DE CONTADO</v>
      </c>
      <c r="B217" s="38" t="b">
        <f>+IF((PROVEEDORES[[#This Row],[FECHA DE PAGO]]-PROVEEDORES[[#This Row],[FECHA DE FACTURACIÓN]])&gt;PROVEEDORES[[#This Row],[PLAZO Días]],"PAGO VENCIDO")</f>
        <v>0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0</v>
      </c>
      <c r="E217" s="25"/>
      <c r="F217" s="56" t="str">
        <f>+VLOOKUP(PROVEEDORES[[#This Row],[PROVEEDOR]],
                       Terceros!$A:$F,
                       5,
                       FALSE)</f>
        <v/>
      </c>
      <c r="G217" s="289">
        <v>45192</v>
      </c>
      <c r="H217" s="26" t="s">
        <v>291</v>
      </c>
      <c r="I217" s="289">
        <v>45192</v>
      </c>
      <c r="J217" s="35" t="s">
        <v>1152</v>
      </c>
      <c r="K217" s="21">
        <v>900000</v>
      </c>
      <c r="L217" s="21"/>
      <c r="M217" s="22">
        <f>(PROVEEDORES[[#This Row],[SUBTOTAL]]-PROVEEDORES[[#This Row],[descuento sobre subtotal]])*VLOOKUP(PROVEEDORES[[#This Row],[PROVEEDOR]],TERCEROS_INFO[#All],3,FALSE)</f>
        <v>0</v>
      </c>
      <c r="N217" s="23"/>
      <c r="O217" s="22">
        <f>+PROVEEDORES[[#This Row],[Descuento sobre subtotal %]]*(PROVEEDORES[[#This Row],[SUBTOTAL]]-PROVEEDORES[[#This Row],[descuento sobre subtotal]])</f>
        <v>0</v>
      </c>
      <c r="P217" s="72">
        <f>+IF(PROVEEDORES[[#This Row],[SUBTOTAL]]&lt;PROVEEDORES[[#This Row],[base retencion]],0,PROVEEDORES[[#This Row],[retención aplicada]])</f>
        <v>0</v>
      </c>
      <c r="Q217" s="22">
        <f>+PROVEEDORES[[#This Row],[Rete Fuente %]]*(PROVEEDORES[[#This Row],[SUBTOTAL]]-PROVEEDORES[[#This Row],[descuento sobre subtotal]])</f>
        <v>0</v>
      </c>
      <c r="R217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217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1">
        <f ca="1">IF(PROVEEDORES[[#This Row],[FECHA DE PAGO]]=0,TODAY()-PROVEEDORES[[#This Row],[FECHA DE FACTURACIÓN]]-PROVEEDORES[[#This Row],[PLAZO Días]],0)</f>
        <v>0</v>
      </c>
      <c r="U217" s="97">
        <f>+VLOOKUP(PROVEEDORES[[#This Row],[PROVEEDOR]],Terceros!$A:$D,4,FALSE)</f>
        <v>0</v>
      </c>
      <c r="V217" s="98">
        <f>+YEAR(PROVEEDORES[[#This Row],[FECHA DE FACTURACIÓN]])</f>
        <v>2023</v>
      </c>
      <c r="W217" s="98">
        <f>+MATCH(PROVEEDORES[[#This Row],[año facturado]],Retenciones!$1:$1,0)</f>
        <v>6</v>
      </c>
      <c r="X217" s="99">
        <f>+VLOOKUP(PROVEEDORES[[#This Row],[ID RETENCION]],Retenciones!$A$1:$O$25,PROVEEDORES[[#This Row],[indicador de columna]],FALSE)</f>
        <v>0</v>
      </c>
      <c r="Y217" s="100">
        <f>+VLOOKUP(PROVEEDORES[[#This Row],[ID RETENCION]],Retenciones!$A$1:$O$25,2,FALSE)</f>
        <v>0</v>
      </c>
      <c r="Z217" s="103" t="b">
        <f>OR(COUNTIF(PROVEEDORES[[#This Row],[PROVEEDOR]],"*"&amp;'Palabra no opera'!$A$2&amp;"*"))</f>
        <v>0</v>
      </c>
    </row>
    <row r="218" spans="1:26" ht="22.35" customHeight="1" x14ac:dyDescent="0.25">
      <c r="A218" s="65" t="str">
        <f>+IF(PROVEEDORES[[#This Row],[FECHA DE PAGO]]=PROVEEDORES[[#This Row],[FECHA DE FACTURACIÓN]],"DE CONTADO","CRÉDITO")</f>
        <v>DE CONTADO</v>
      </c>
      <c r="B218" s="38" t="b">
        <f>+IF((PROVEEDORES[[#This Row],[FECHA DE PAGO]]-PROVEEDORES[[#This Row],[FECHA DE FACTURACIÓN]])&gt;PROVEEDORES[[#This Row],[PLAZO Días]],"PAGO VENCIDO")</f>
        <v>0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0</v>
      </c>
      <c r="E218" s="25"/>
      <c r="F218" s="56" t="str">
        <f>+VLOOKUP(PROVEEDORES[[#This Row],[PROVEEDOR]],
                       Terceros!$A:$F,
                       5,
                       FALSE)</f>
        <v/>
      </c>
      <c r="G218" s="289">
        <v>45209</v>
      </c>
      <c r="H218" s="26" t="s">
        <v>291</v>
      </c>
      <c r="I218" s="289">
        <v>45209</v>
      </c>
      <c r="J218" s="35" t="s">
        <v>1200</v>
      </c>
      <c r="K218" s="21">
        <v>1380000</v>
      </c>
      <c r="L218" s="21"/>
      <c r="M218" s="22">
        <f>(PROVEEDORES[[#This Row],[SUBTOTAL]]-PROVEEDORES[[#This Row],[descuento sobre subtotal]])*VLOOKUP(PROVEEDORES[[#This Row],[PROVEEDOR]],TERCEROS_INFO[#All],3,FALSE)</f>
        <v>0</v>
      </c>
      <c r="N218" s="23"/>
      <c r="O218" s="22">
        <f>+PROVEEDORES[[#This Row],[Descuento sobre subtotal %]]*(PROVEEDORES[[#This Row],[SUBTOTAL]]-PROVEEDORES[[#This Row],[descuento sobre subtotal]])</f>
        <v>0</v>
      </c>
      <c r="P218" s="72">
        <f>+IF(PROVEEDORES[[#This Row],[SUBTOTAL]]&lt;PROVEEDORES[[#This Row],[base retencion]],0,PROVEEDORES[[#This Row],[retención aplicada]])</f>
        <v>0</v>
      </c>
      <c r="Q218" s="22">
        <f>+PROVEEDORES[[#This Row],[Rete Fuente %]]*(PROVEEDORES[[#This Row],[SUBTOTAL]]-PROVEEDORES[[#This Row],[descuento sobre subtotal]])</f>
        <v>0</v>
      </c>
      <c r="R218" s="21">
        <f>+PROVEEDORES[[#This Row],[SUBTOTAL]]+PROVEEDORES[[#This Row],[IVA 19%]]-PROVEEDORES[[#This Row],[descuento sobre subtotal]]-PROVEEDORES[[#This Row],[Descuento sobre subtotal $2]]-PROVEEDORES[[#This Row],[Rete Fuente $]]</f>
        <v>1380000</v>
      </c>
      <c r="S2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1">
        <f ca="1">IF(PROVEEDORES[[#This Row],[FECHA DE PAGO]]=0,TODAY()-PROVEEDORES[[#This Row],[FECHA DE FACTURACIÓN]]-PROVEEDORES[[#This Row],[PLAZO Días]],0)</f>
        <v>0</v>
      </c>
      <c r="U218" s="97">
        <f>+VLOOKUP(PROVEEDORES[[#This Row],[PROVEEDOR]],Terceros!$A:$D,4,FALSE)</f>
        <v>0</v>
      </c>
      <c r="V218" s="98">
        <f>+YEAR(PROVEEDORES[[#This Row],[FECHA DE FACTURACIÓN]])</f>
        <v>2023</v>
      </c>
      <c r="W218" s="98">
        <f>+MATCH(PROVEEDORES[[#This Row],[año facturado]],Retenciones!$1:$1,0)</f>
        <v>6</v>
      </c>
      <c r="X218" s="99">
        <f>+VLOOKUP(PROVEEDORES[[#This Row],[ID RETENCION]],Retenciones!$A$1:$O$25,PROVEEDORES[[#This Row],[indicador de columna]],FALSE)</f>
        <v>0</v>
      </c>
      <c r="Y218" s="100">
        <f>+VLOOKUP(PROVEEDORES[[#This Row],[ID RETENCION]],Retenciones!$A$1:$O$25,2,FALSE)</f>
        <v>0</v>
      </c>
      <c r="Z218" s="103" t="b">
        <f>OR(COUNTIF(PROVEEDORES[[#This Row],[PROVEEDOR]],"*"&amp;'Palabra no opera'!$A$2&amp;"*"))</f>
        <v>0</v>
      </c>
    </row>
    <row r="219" spans="1:26" ht="22.35" customHeight="1" x14ac:dyDescent="0.25">
      <c r="A219" s="65" t="str">
        <f>+IF(PROVEEDORES[[#This Row],[FECHA DE PAGO]]=PROVEEDORES[[#This Row],[FECHA DE FACTURACIÓN]],"DE CONTADO","CRÉDITO")</f>
        <v>DE CONTADO</v>
      </c>
      <c r="B219" s="38" t="b">
        <f>+IF((PROVEEDORES[[#This Row],[FECHA DE PAGO]]-PROVEEDORES[[#This Row],[FECHA DE FACTURACIÓN]])&gt;PROVEEDORES[[#This Row],[PLAZO Días]],"PAGO VENCIDO")</f>
        <v>0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0</v>
      </c>
      <c r="E219" s="25"/>
      <c r="F219" s="56" t="str">
        <f>+VLOOKUP(PROVEEDORES[[#This Row],[PROVEEDOR]],
                       Terceros!$A:$F,
                       5,
                       FALSE)</f>
        <v/>
      </c>
      <c r="G219" s="289">
        <v>45220</v>
      </c>
      <c r="H219" s="26" t="s">
        <v>291</v>
      </c>
      <c r="I219" s="289">
        <v>45220</v>
      </c>
      <c r="J219" s="35" t="s">
        <v>1201</v>
      </c>
      <c r="K219" s="21">
        <v>680000</v>
      </c>
      <c r="L219" s="21"/>
      <c r="M219" s="22">
        <f>(PROVEEDORES[[#This Row],[SUBTOTAL]]-PROVEEDORES[[#This Row],[descuento sobre subtotal]])*VLOOKUP(PROVEEDORES[[#This Row],[PROVEEDOR]],TERCEROS_INFO[#All],3,FALSE)</f>
        <v>0</v>
      </c>
      <c r="N219" s="23"/>
      <c r="O219" s="22">
        <f>+PROVEEDORES[[#This Row],[Descuento sobre subtotal %]]*(PROVEEDORES[[#This Row],[SUBTOTAL]]-PROVEEDORES[[#This Row],[descuento sobre subtotal]])</f>
        <v>0</v>
      </c>
      <c r="P219" s="72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2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1">
        <f ca="1">IF(PROVEEDORES[[#This Row],[FECHA DE PAGO]]=0,TODAY()-PROVEEDORES[[#This Row],[FECHA DE FACTURACIÓN]]-PROVEEDORES[[#This Row],[PLAZO Días]],0)</f>
        <v>0</v>
      </c>
      <c r="U219" s="97">
        <f>+VLOOKUP(PROVEEDORES[[#This Row],[PROVEEDOR]],Terceros!$A:$D,4,FALSE)</f>
        <v>0</v>
      </c>
      <c r="V219" s="98">
        <f>+YEAR(PROVEEDORES[[#This Row],[FECHA DE FACTURACIÓN]])</f>
        <v>2023</v>
      </c>
      <c r="W219" s="98">
        <f>+MATCH(PROVEEDORES[[#This Row],[año facturado]],Retenciones!$1:$1,0)</f>
        <v>6</v>
      </c>
      <c r="X219" s="99">
        <f>+VLOOKUP(PROVEEDORES[[#This Row],[ID RETENCION]],Retenciones!$A$1:$O$25,PROVEEDORES[[#This Row],[indicador de columna]],FALSE)</f>
        <v>0</v>
      </c>
      <c r="Y219" s="100">
        <f>+VLOOKUP(PROVEEDORES[[#This Row],[ID RETENCION]],Retenciones!$A$1:$O$25,2,FALSE)</f>
        <v>0</v>
      </c>
      <c r="Z219" s="103" t="b">
        <f>OR(COUNTIF(PROVEEDORES[[#This Row],[PROVEEDOR]],"*"&amp;'Palabra no opera'!$A$2&amp;"*"))</f>
        <v>0</v>
      </c>
    </row>
    <row r="220" spans="1:26" ht="22.35" customHeight="1" x14ac:dyDescent="0.25">
      <c r="A220" s="256" t="str">
        <f>+IF(PROVEEDORES[[#This Row],[FECHA DE PAGO]]=PROVEEDORES[[#This Row],[FECHA DE FACTURACIÓN]],"DE CONTADO","CRÉDITO")</f>
        <v>DE CONTADO</v>
      </c>
      <c r="B220" s="38" t="b">
        <f>+IF((PROVEEDORES[[#This Row],[FECHA DE PAGO]]-PROVEEDORES[[#This Row],[FECHA DE FACTURACIÓN]])&gt;PROVEEDORES[[#This Row],[PLAZO Días]],"PAGO VENCIDO")</f>
        <v>0</v>
      </c>
      <c r="C220" s="20">
        <f>+VLOOKUP(PROVEEDORES[[#This Row],[PROVEEDOR]],TERCEROS_INFO[#All],2,FALSE)</f>
        <v>30</v>
      </c>
      <c r="D220" s="25">
        <f>+SUMIFS(PROVEEDORES[Total],PROVEEDORES[PROVEEDOR],PROVEEDORES[[#This Row],[PROVEEDOR]],PROVEEDORES[FECHA DE PAGO],"")</f>
        <v>0</v>
      </c>
      <c r="E220" s="25"/>
      <c r="F220" s="56" t="str">
        <f>+VLOOKUP(PROVEEDORES[[#This Row],[PROVEEDOR]],
                       Terceros!$A:$F,
                       5,
                       FALSE)</f>
        <v/>
      </c>
      <c r="G220" s="289">
        <v>45231</v>
      </c>
      <c r="H220" s="26" t="s">
        <v>291</v>
      </c>
      <c r="I220" s="289">
        <v>45231</v>
      </c>
      <c r="J220" s="35" t="s">
        <v>1264</v>
      </c>
      <c r="K220" s="21">
        <v>810000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72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220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1">
        <f ca="1">IF(PROVEEDORES[[#This Row],[FECHA DE PAGO]]=0,TODAY()-PROVEEDORES[[#This Row],[FECHA DE FACTURACIÓN]]-PROVEEDORES[[#This Row],[PLAZO Días]],0)</f>
        <v>0</v>
      </c>
      <c r="U220" s="97">
        <f>+VLOOKUP(PROVEEDORES[[#This Row],[PROVEEDOR]],Terceros!$A:$D,4,FALSE)</f>
        <v>0</v>
      </c>
      <c r="V220" s="98">
        <f>+YEAR(PROVEEDORES[[#This Row],[FECHA DE FACTURACIÓN]])</f>
        <v>2023</v>
      </c>
      <c r="W220" s="98">
        <f>+MATCH(PROVEEDORES[[#This Row],[año facturado]],Retenciones!$1:$1,0)</f>
        <v>6</v>
      </c>
      <c r="X220" s="99">
        <f>+VLOOKUP(PROVEEDORES[[#This Row],[ID RETENCION]],Retenciones!$A$1:$O$25,PROVEEDORES[[#This Row],[indicador de columna]],FALSE)</f>
        <v>0</v>
      </c>
      <c r="Y220" s="100">
        <f>+VLOOKUP(PROVEEDORES[[#This Row],[ID RETENCION]],Retenciones!$A$1:$O$25,2,FALSE)</f>
        <v>0</v>
      </c>
      <c r="Z220" s="103" t="b">
        <f>OR(COUNTIF(PROVEEDORES[[#This Row],[PROVEEDOR]],"*"&amp;'Palabra no opera'!$A$2&amp;"*"))</f>
        <v>0</v>
      </c>
    </row>
    <row r="221" spans="1:26" ht="22.35" customHeight="1" x14ac:dyDescent="0.25">
      <c r="A221" s="256" t="str">
        <f>+IF(PROVEEDORES[[#This Row],[FECHA DE PAGO]]=PROVEEDORES[[#This Row],[FECHA DE FACTURACIÓN]],"DE CONTADO","CRÉDITO")</f>
        <v>DE CONTADO</v>
      </c>
      <c r="B221" s="38" t="b">
        <f>+IF((PROVEEDORES[[#This Row],[FECHA DE PAGO]]-PROVEEDORES[[#This Row],[FECHA DE FACTURACIÓN]])&gt;PROVEEDORES[[#This Row],[PLAZO Días]],"PAGO VENCIDO")</f>
        <v>0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0</v>
      </c>
      <c r="E221" s="25"/>
      <c r="F221" s="56" t="str">
        <f>+VLOOKUP(PROVEEDORES[[#This Row],[PROVEEDOR]],
                       Terceros!$A:$F,
                       5,
                       FALSE)</f>
        <v/>
      </c>
      <c r="G221" s="289">
        <v>45234</v>
      </c>
      <c r="H221" s="26" t="s">
        <v>291</v>
      </c>
      <c r="I221" s="289">
        <v>45234</v>
      </c>
      <c r="J221" s="35" t="s">
        <v>1262</v>
      </c>
      <c r="K221" s="21">
        <v>520000</v>
      </c>
      <c r="L221" s="21"/>
      <c r="M221" s="22">
        <f>(PROVEEDORES[[#This Row],[SUBTOTAL]]-PROVEEDORES[[#This Row],[descuento sobre subtotal]])*VLOOKUP(PROVEEDORES[[#This Row],[PROVEEDOR]],TERCEROS_INFO[#All],3,FALSE)</f>
        <v>0</v>
      </c>
      <c r="N221" s="23"/>
      <c r="O221" s="22">
        <f>+PROVEEDORES[[#This Row],[Descuento sobre subtotal %]]*(PROVEEDORES[[#This Row],[SUBTOTAL]]-PROVEEDORES[[#This Row],[descuento sobre subtotal]])</f>
        <v>0</v>
      </c>
      <c r="P221" s="72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221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1">
        <f ca="1">IF(PROVEEDORES[[#This Row],[FECHA DE PAGO]]=0,TODAY()-PROVEEDORES[[#This Row],[FECHA DE FACTURACIÓN]]-PROVEEDORES[[#This Row],[PLAZO Días]],0)</f>
        <v>0</v>
      </c>
      <c r="U221" s="97">
        <f>+VLOOKUP(PROVEEDORES[[#This Row],[PROVEEDOR]],Terceros!$A:$D,4,FALSE)</f>
        <v>0</v>
      </c>
      <c r="V221" s="98">
        <f>+YEAR(PROVEEDORES[[#This Row],[FECHA DE FACTURACIÓN]])</f>
        <v>2023</v>
      </c>
      <c r="W221" s="98">
        <f>+MATCH(PROVEEDORES[[#This Row],[año facturado]],Retenciones!$1:$1,0)</f>
        <v>6</v>
      </c>
      <c r="X221" s="99">
        <f>+VLOOKUP(PROVEEDORES[[#This Row],[ID RETENCION]],Retenciones!$A$1:$O$25,PROVEEDORES[[#This Row],[indicador de columna]],FALSE)</f>
        <v>0</v>
      </c>
      <c r="Y221" s="100">
        <f>+VLOOKUP(PROVEEDORES[[#This Row],[ID RETENCION]],Retenciones!$A$1:$O$25,2,FALSE)</f>
        <v>0</v>
      </c>
      <c r="Z221" s="103" t="b">
        <f>OR(COUNTIF(PROVEEDORES[[#This Row],[PROVEEDOR]],"*"&amp;'Palabra no opera'!$A$2&amp;"*"))</f>
        <v>0</v>
      </c>
    </row>
    <row r="222" spans="1:26" ht="22.35" customHeight="1" x14ac:dyDescent="0.25">
      <c r="A222" s="65" t="str">
        <f>+IF(PROVEEDORES[[#This Row],[FECHA DE PAGO]]=PROVEEDORES[[#This Row],[FECHA DE FACTURACIÓN]],"DE CONTADO","CRÉDITO")</f>
        <v>DE CONTADO</v>
      </c>
      <c r="B222" s="38" t="b">
        <f>+IF((PROVEEDORES[[#This Row],[FECHA DE PAGO]]-PROVEEDORES[[#This Row],[FECHA DE FACTURACIÓN]])&gt;PROVEEDORES[[#This Row],[PLAZO Días]],"PAGO VENCIDO")</f>
        <v>0</v>
      </c>
      <c r="C222" s="20">
        <f>+VLOOKUP(PROVEEDORES[[#This Row],[PROVEEDOR]],TERCEROS_INFO[#All],2,FALSE)</f>
        <v>30</v>
      </c>
      <c r="D222" s="25">
        <f>+SUMIFS(PROVEEDORES[Total],PROVEEDORES[PROVEEDOR],PROVEEDORES[[#This Row],[PROVEEDOR]],PROVEEDORES[FECHA DE PAGO],"")</f>
        <v>0</v>
      </c>
      <c r="E222" s="25"/>
      <c r="F222" s="56" t="str">
        <f>+VLOOKUP(PROVEEDORES[[#This Row],[PROVEEDOR]],
                       Terceros!$A:$F,
                       5,
                       FALSE)</f>
        <v/>
      </c>
      <c r="G222" s="289">
        <v>45245</v>
      </c>
      <c r="H222" s="26" t="s">
        <v>291</v>
      </c>
      <c r="I222" s="289">
        <v>45245</v>
      </c>
      <c r="J222" s="35" t="s">
        <v>1329</v>
      </c>
      <c r="K222" s="21">
        <v>460000</v>
      </c>
      <c r="L222" s="21"/>
      <c r="M222" s="22">
        <f>(PROVEEDORES[[#This Row],[SUBTOTAL]]-PROVEEDORES[[#This Row],[descuento sobre subtotal]])*VLOOKUP(PROVEEDORES[[#This Row],[PROVEEDOR]],TERCEROS_INFO[#All],3,FALSE)</f>
        <v>0</v>
      </c>
      <c r="N222" s="23"/>
      <c r="O222" s="22">
        <f>+PROVEEDORES[[#This Row],[Descuento sobre subtotal %]]*(PROVEEDORES[[#This Row],[SUBTOTAL]]-PROVEEDORES[[#This Row],[descuento sobre subtotal]])</f>
        <v>0</v>
      </c>
      <c r="P222" s="72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f>+PROVEEDORES[[#This Row],[SUBTOTAL]]+PROVEEDORES[[#This Row],[IVA 19%]]-PROVEEDORES[[#This Row],[descuento sobre subtotal]]-PROVEEDORES[[#This Row],[Descuento sobre subtotal $2]]-PROVEEDORES[[#This Row],[Rete Fuente $]]</f>
        <v>460000</v>
      </c>
      <c r="S2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1">
        <f ca="1">IF(PROVEEDORES[[#This Row],[FECHA DE PAGO]]=0,TODAY()-PROVEEDORES[[#This Row],[FECHA DE FACTURACIÓN]]-PROVEEDORES[[#This Row],[PLAZO Días]],0)</f>
        <v>0</v>
      </c>
      <c r="U222" s="97">
        <f>+VLOOKUP(PROVEEDORES[[#This Row],[PROVEEDOR]],Terceros!$A:$D,4,FALSE)</f>
        <v>0</v>
      </c>
      <c r="V222" s="98">
        <f>+YEAR(PROVEEDORES[[#This Row],[FECHA DE FACTURACIÓN]])</f>
        <v>2023</v>
      </c>
      <c r="W222" s="98">
        <f>+MATCH(PROVEEDORES[[#This Row],[año facturado]],Retenciones!$1:$1,0)</f>
        <v>6</v>
      </c>
      <c r="X222" s="99">
        <f>+VLOOKUP(PROVEEDORES[[#This Row],[ID RETENCION]],Retenciones!$A$1:$O$25,PROVEEDORES[[#This Row],[indicador de columna]],FALSE)</f>
        <v>0</v>
      </c>
      <c r="Y222" s="100">
        <f>+VLOOKUP(PROVEEDORES[[#This Row],[ID RETENCION]],Retenciones!$A$1:$O$25,2,FALSE)</f>
        <v>0</v>
      </c>
      <c r="Z222" s="103" t="b">
        <f>OR(COUNTIF(PROVEEDORES[[#This Row],[PROVEEDOR]],"*"&amp;'Palabra no opera'!$A$2&amp;"*"))</f>
        <v>0</v>
      </c>
    </row>
    <row r="223" spans="1:26" ht="22.35" customHeight="1" x14ac:dyDescent="0.25">
      <c r="A223" s="65" t="str">
        <f>+IF(PROVEEDORES[[#This Row],[FECHA DE PAGO]]=PROVEEDORES[[#This Row],[FECHA DE FACTURACIÓN]],"DE CONTADO","CRÉDITO")</f>
        <v>DE CONTADO</v>
      </c>
      <c r="B223" s="38" t="b">
        <f>+IF((PROVEEDORES[[#This Row],[FECHA DE PAGO]]-PROVEEDORES[[#This Row],[FECHA DE FACTURACIÓN]])&gt;PROVEEDORES[[#This Row],[PLAZO Días]],"PAGO VENCIDO")</f>
        <v>0</v>
      </c>
      <c r="C223" s="20">
        <f>+VLOOKUP(PROVEEDORES[[#This Row],[PROVEEDOR]],TERCEROS_INFO[#All],2,FALSE)</f>
        <v>30</v>
      </c>
      <c r="D223" s="25">
        <f>+SUMIFS(PROVEEDORES[Total],PROVEEDORES[PROVEEDOR],PROVEEDORES[[#This Row],[PROVEEDOR]],PROVEEDORES[FECHA DE PAGO],"")</f>
        <v>0</v>
      </c>
      <c r="E223" s="25"/>
      <c r="F223" s="56" t="str">
        <f>+VLOOKUP(PROVEEDORES[[#This Row],[PROVEEDOR]],
                       Terceros!$A:$F,
                       5,
                       FALSE)</f>
        <v/>
      </c>
      <c r="G223" s="289">
        <v>45266</v>
      </c>
      <c r="H223" s="26" t="s">
        <v>291</v>
      </c>
      <c r="I223" s="289">
        <v>45266</v>
      </c>
      <c r="J223" s="35" t="s">
        <v>1432</v>
      </c>
      <c r="K223" s="21">
        <v>1200000</v>
      </c>
      <c r="L223" s="21"/>
      <c r="M223" s="22">
        <f>(PROVEEDORES[[#This Row],[SUBTOTAL]]-PROVEEDORES[[#This Row],[descuento sobre subtotal]])*VLOOKUP(PROVEEDORES[[#This Row],[PROVEEDOR]],TERCEROS_INFO[#All],3,FALSE)</f>
        <v>0</v>
      </c>
      <c r="N223" s="23"/>
      <c r="O223" s="22">
        <f>+PROVEEDORES[[#This Row],[Descuento sobre subtotal %]]*(PROVEEDORES[[#This Row],[SUBTOTAL]]-PROVEEDORES[[#This Row],[descuento sobre subtotal]])</f>
        <v>0</v>
      </c>
      <c r="P223" s="72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2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1">
        <f ca="1">IF(PROVEEDORES[[#This Row],[FECHA DE PAGO]]=0,TODAY()-PROVEEDORES[[#This Row],[FECHA DE FACTURACIÓN]]-PROVEEDORES[[#This Row],[PLAZO Días]],0)</f>
        <v>0</v>
      </c>
      <c r="U223" s="97">
        <f>+VLOOKUP(PROVEEDORES[[#This Row],[PROVEEDOR]],Terceros!$A:$D,4,FALSE)</f>
        <v>0</v>
      </c>
      <c r="V223" s="98">
        <f>+YEAR(PROVEEDORES[[#This Row],[FECHA DE FACTURACIÓN]])</f>
        <v>2023</v>
      </c>
      <c r="W223" s="98">
        <f>+MATCH(PROVEEDORES[[#This Row],[año facturado]],Retenciones!$1:$1,0)</f>
        <v>6</v>
      </c>
      <c r="X223" s="99">
        <f>+VLOOKUP(PROVEEDORES[[#This Row],[ID RETENCION]],Retenciones!$A$1:$O$25,PROVEEDORES[[#This Row],[indicador de columna]],FALSE)</f>
        <v>0</v>
      </c>
      <c r="Y223" s="100">
        <f>+VLOOKUP(PROVEEDORES[[#This Row],[ID RETENCION]],Retenciones!$A$1:$O$25,2,FALSE)</f>
        <v>0</v>
      </c>
      <c r="Z223" s="103" t="b">
        <f>OR(COUNTIF(PROVEEDORES[[#This Row],[PROVEEDOR]],"*"&amp;'Palabra no opera'!$A$2&amp;"*"))</f>
        <v>0</v>
      </c>
    </row>
    <row r="224" spans="1:26" ht="22.35" customHeight="1" x14ac:dyDescent="0.25">
      <c r="A224" s="310" t="str">
        <f>+IF(PROVEEDORES[[#This Row],[FECHA DE PAGO]]=PROVEEDORES[[#This Row],[FECHA DE FACTURACIÓN]],"DE CONTADO","CRÉDITO")</f>
        <v>DE CONTADO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0</v>
      </c>
      <c r="E224" s="25"/>
      <c r="F224" s="56" t="str">
        <f>+VLOOKUP(PROVEEDORES[[#This Row],[PROVEEDOR]],
                       Terceros!$A:$F,
                       5,
                       FALSE)</f>
        <v/>
      </c>
      <c r="G224" s="289">
        <v>45304</v>
      </c>
      <c r="H224" s="26" t="s">
        <v>291</v>
      </c>
      <c r="I224" s="289">
        <v>45304</v>
      </c>
      <c r="J224" s="35" t="s">
        <v>1504</v>
      </c>
      <c r="K224" s="21">
        <v>720000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72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22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1">
        <f ca="1">IF(PROVEEDORES[[#This Row],[FECHA DE PAGO]]=0,TODAY()-PROVEEDORES[[#This Row],[FECHA DE FACTURACIÓN]]-PROVEEDORES[[#This Row],[PLAZO Días]],0)</f>
        <v>0</v>
      </c>
      <c r="U224" s="97">
        <f>+VLOOKUP(PROVEEDORES[[#This Row],[PROVEEDOR]],Terceros!$A:$D,4,FALSE)</f>
        <v>0</v>
      </c>
      <c r="V224" s="98">
        <f>+YEAR(PROVEEDORES[[#This Row],[FECHA DE FACTURACIÓN]])</f>
        <v>2024</v>
      </c>
      <c r="W224" s="98">
        <f>+MATCH(PROVEEDORES[[#This Row],[año facturado]],Retenciones!$1:$1,0)</f>
        <v>7</v>
      </c>
      <c r="X224" s="99">
        <f>+VLOOKUP(PROVEEDORES[[#This Row],[ID RETENCION]],Retenciones!$A$1:$O$25,PROVEEDORES[[#This Row],[indicador de columna]],FALSE)</f>
        <v>0</v>
      </c>
      <c r="Y224" s="100">
        <f>+VLOOKUP(PROVEEDORES[[#This Row],[ID RETENCION]],Retenciones!$A$1:$O$25,2,FALSE)</f>
        <v>0</v>
      </c>
      <c r="Z224" s="103" t="b">
        <f>OR(COUNTIF(PROVEEDORES[[#This Row],[PROVEEDOR]],"*"&amp;'Palabra no opera'!$A$2&amp;"*"))</f>
        <v>0</v>
      </c>
    </row>
    <row r="225" spans="1:26" ht="22.35" customHeight="1" x14ac:dyDescent="0.25">
      <c r="A225" s="310" t="str">
        <f>+IF(PROVEEDORES[[#This Row],[FECHA DE PAGO]]=PROVEEDORES[[#This Row],[FECHA DE FACTURACIÓN]],"DE CONTADO","CRÉDITO")</f>
        <v>DE CONTADO</v>
      </c>
      <c r="B225" s="38" t="b">
        <f>+IF((PROVEEDORES[[#This Row],[FECHA DE PAGO]]-PROVEEDORES[[#This Row],[FECHA DE FACTURACIÓN]])&gt;PROVEEDORES[[#This Row],[PLAZO Días]],"PAGO VENCIDO")</f>
        <v>0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0</v>
      </c>
      <c r="E225" s="25"/>
      <c r="F225" s="56" t="str">
        <f>+VLOOKUP(PROVEEDORES[[#This Row],[PROVEEDOR]],
                       Terceros!$A:$F,
                       5,
                       FALSE)</f>
        <v/>
      </c>
      <c r="G225" s="289">
        <v>45266</v>
      </c>
      <c r="H225" s="26" t="s">
        <v>291</v>
      </c>
      <c r="I225" s="289">
        <v>45266</v>
      </c>
      <c r="J225" s="35" t="s">
        <v>1510</v>
      </c>
      <c r="K225" s="21">
        <v>1810000</v>
      </c>
      <c r="L225" s="21"/>
      <c r="M225" s="22">
        <f>(PROVEEDORES[[#This Row],[SUBTOTAL]]-PROVEEDORES[[#This Row],[descuento sobre subtotal]])*VLOOKUP(PROVEEDORES[[#This Row],[PROVEEDOR]],TERCEROS_INFO[#All],3,FALSE)</f>
        <v>0</v>
      </c>
      <c r="N225" s="23"/>
      <c r="O225" s="22">
        <f>+PROVEEDORES[[#This Row],[Descuento sobre subtotal %]]*(PROVEEDORES[[#This Row],[SUBTOTAL]]-PROVEEDORES[[#This Row],[descuento sobre subtotal]])</f>
        <v>0</v>
      </c>
      <c r="P225" s="72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f>+PROVEEDORES[[#This Row],[SUBTOTAL]]+PROVEEDORES[[#This Row],[IVA 19%]]-PROVEEDORES[[#This Row],[descuento sobre subtotal]]-PROVEEDORES[[#This Row],[Descuento sobre subtotal $2]]-PROVEEDORES[[#This Row],[Rete Fuente $]]</f>
        <v>1810000</v>
      </c>
      <c r="S225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1">
        <f ca="1">IF(PROVEEDORES[[#This Row],[FECHA DE PAGO]]=0,TODAY()-PROVEEDORES[[#This Row],[FECHA DE FACTURACIÓN]]-PROVEEDORES[[#This Row],[PLAZO Días]],0)</f>
        <v>0</v>
      </c>
      <c r="U225" s="97">
        <f>+VLOOKUP(PROVEEDORES[[#This Row],[PROVEEDOR]],Terceros!$A:$D,4,FALSE)</f>
        <v>0</v>
      </c>
      <c r="V225" s="98">
        <f>+YEAR(PROVEEDORES[[#This Row],[FECHA DE FACTURACIÓN]])</f>
        <v>2023</v>
      </c>
      <c r="W225" s="98">
        <f>+MATCH(PROVEEDORES[[#This Row],[año facturado]],Retenciones!$1:$1,0)</f>
        <v>6</v>
      </c>
      <c r="X225" s="99">
        <f>+VLOOKUP(PROVEEDORES[[#This Row],[ID RETENCION]],Retenciones!$A$1:$O$25,PROVEEDORES[[#This Row],[indicador de columna]],FALSE)</f>
        <v>0</v>
      </c>
      <c r="Y225" s="100">
        <f>+VLOOKUP(PROVEEDORES[[#This Row],[ID RETENCION]],Retenciones!$A$1:$O$25,2,FALSE)</f>
        <v>0</v>
      </c>
      <c r="Z225" s="103" t="b">
        <f>OR(COUNTIF(PROVEEDORES[[#This Row],[PROVEEDOR]],"*"&amp;'Palabra no opera'!$A$2&amp;"*"))</f>
        <v>0</v>
      </c>
    </row>
    <row r="226" spans="1:26" ht="22.35" customHeight="1" x14ac:dyDescent="0.25">
      <c r="A226" s="314" t="str">
        <f>+IF(PROVEEDORES[[#This Row],[FECHA DE PAGO]]=PROVEEDORES[[#This Row],[FECHA DE FACTURACIÓN]],"DE CONTADO","CRÉDITO")</f>
        <v>DE CONTADO</v>
      </c>
      <c r="B226" s="38" t="b">
        <f>+IF((PROVEEDORES[[#This Row],[FECHA DE PAGO]]-PROVEEDORES[[#This Row],[FECHA DE FACTURACIÓN]])&gt;PROVEEDORES[[#This Row],[PLAZO Días]],"PAGO VENCIDO")</f>
        <v>0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0</v>
      </c>
      <c r="E226" s="25"/>
      <c r="F226" s="56" t="str">
        <f>+VLOOKUP(PROVEEDORES[[#This Row],[PROVEEDOR]],
                       Terceros!$A:$F,
                       5,
                       FALSE)</f>
        <v/>
      </c>
      <c r="G226" s="289">
        <v>45311</v>
      </c>
      <c r="H226" s="26" t="s">
        <v>291</v>
      </c>
      <c r="I226" s="289">
        <v>45311</v>
      </c>
      <c r="J226" s="35"/>
      <c r="K226" s="21">
        <v>280000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72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f>+PROVEEDORES[[#This Row],[SUBTOTAL]]+PROVEEDORES[[#This Row],[IVA 19%]]-PROVEEDORES[[#This Row],[descuento sobre subtotal]]-PROVEEDORES[[#This Row],[Descuento sobre subtotal $2]]-PROVEEDORES[[#This Row],[Rete Fuente $]]</f>
        <v>280000</v>
      </c>
      <c r="S226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1">
        <f ca="1">IF(PROVEEDORES[[#This Row],[FECHA DE PAGO]]=0,TODAY()-PROVEEDORES[[#This Row],[FECHA DE FACTURACIÓN]]-PROVEEDORES[[#This Row],[PLAZO Días]],0)</f>
        <v>0</v>
      </c>
      <c r="U226" s="97">
        <f>+VLOOKUP(PROVEEDORES[[#This Row],[PROVEEDOR]],Terceros!$A:$D,4,FALSE)</f>
        <v>0</v>
      </c>
      <c r="V226" s="98">
        <f>+YEAR(PROVEEDORES[[#This Row],[FECHA DE FACTURACIÓN]])</f>
        <v>2024</v>
      </c>
      <c r="W226" s="98">
        <f>+MATCH(PROVEEDORES[[#This Row],[año facturado]],Retenciones!$1:$1,0)</f>
        <v>7</v>
      </c>
      <c r="X226" s="99">
        <f>+VLOOKUP(PROVEEDORES[[#This Row],[ID RETENCION]],Retenciones!$A$1:$O$25,PROVEEDORES[[#This Row],[indicador de columna]],FALSE)</f>
        <v>0</v>
      </c>
      <c r="Y226" s="100">
        <f>+VLOOKUP(PROVEEDORES[[#This Row],[ID RETENCION]],Retenciones!$A$1:$O$25,2,FALSE)</f>
        <v>0</v>
      </c>
      <c r="Z226" s="103" t="b">
        <f>OR(COUNTIF(PROVEEDORES[[#This Row],[PROVEEDOR]],"*"&amp;'Palabra no opera'!$A$2&amp;"*"))</f>
        <v>0</v>
      </c>
    </row>
    <row r="227" spans="1:26" ht="22.35" customHeight="1" x14ac:dyDescent="0.25">
      <c r="A227" s="314" t="str">
        <f>+IF(PROVEEDORES[[#This Row],[FECHA DE PAGO]]=PROVEEDORES[[#This Row],[FECHA DE FACTURACIÓN]],"DE CONTADO","CRÉDITO")</f>
        <v>DE CONTADO</v>
      </c>
      <c r="B227" s="38" t="b">
        <f>+IF((PROVEEDORES[[#This Row],[FECHA DE PAGO]]-PROVEEDORES[[#This Row],[FECHA DE FACTURACIÓN]])&gt;PROVEEDORES[[#This Row],[PLAZO Días]],"PAGO VENCIDO")</f>
        <v>0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0</v>
      </c>
      <c r="E227" s="25"/>
      <c r="F227" s="56" t="str">
        <f>+VLOOKUP(PROVEEDORES[[#This Row],[PROVEEDOR]],
                       Terceros!$A:$F,
                       5,
                       FALSE)</f>
        <v/>
      </c>
      <c r="G227" s="289">
        <v>45311</v>
      </c>
      <c r="H227" s="26" t="s">
        <v>291</v>
      </c>
      <c r="I227" s="289">
        <v>45311</v>
      </c>
      <c r="J227" s="35" t="s">
        <v>1521</v>
      </c>
      <c r="K227" s="21">
        <v>880000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72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880000</v>
      </c>
      <c r="S227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1">
        <f ca="1">IF(PROVEEDORES[[#This Row],[FECHA DE PAGO]]=0,TODAY()-PROVEEDORES[[#This Row],[FECHA DE FACTURACIÓN]]-PROVEEDORES[[#This Row],[PLAZO Días]],0)</f>
        <v>0</v>
      </c>
      <c r="U227" s="97">
        <f>+VLOOKUP(PROVEEDORES[[#This Row],[PROVEEDOR]],Terceros!$A:$D,4,FALSE)</f>
        <v>0</v>
      </c>
      <c r="V227" s="98">
        <f>+YEAR(PROVEEDORES[[#This Row],[FECHA DE FACTURACIÓN]])</f>
        <v>2024</v>
      </c>
      <c r="W227" s="98">
        <f>+MATCH(PROVEEDORES[[#This Row],[año facturado]],Retenciones!$1:$1,0)</f>
        <v>7</v>
      </c>
      <c r="X227" s="99">
        <f>+VLOOKUP(PROVEEDORES[[#This Row],[ID RETENCION]],Retenciones!$A$1:$O$25,PROVEEDORES[[#This Row],[indicador de columna]],FALSE)</f>
        <v>0</v>
      </c>
      <c r="Y227" s="100">
        <f>+VLOOKUP(PROVEEDORES[[#This Row],[ID RETENCION]],Retenciones!$A$1:$O$25,2,FALSE)</f>
        <v>0</v>
      </c>
      <c r="Z227" s="103" t="b">
        <f>OR(COUNTIF(PROVEEDORES[[#This Row],[PROVEEDOR]],"*"&amp;'Palabra no opera'!$A$2&amp;"*"))</f>
        <v>0</v>
      </c>
    </row>
    <row r="228" spans="1:26" ht="22.35" customHeight="1" x14ac:dyDescent="0.25">
      <c r="A228" s="65" t="str">
        <f>+IF(PROVEEDORES[[#This Row],[FECHA DE PAGO]]=PROVEEDORES[[#This Row],[FECHA DE FACTURACIÓN]],"DE CONTADO","CRÉDITO")</f>
        <v>CRÉDITO</v>
      </c>
      <c r="B228" s="38" t="b">
        <f>+IF((PROVEEDORES[[#This Row],[FECHA DE PAGO]]-PROVEEDORES[[#This Row],[FECHA DE FACTURACIÓN]])&gt;PROVEEDORES[[#This Row],[PLAZO Días]],"PAGO VENCIDO")</f>
        <v>0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0</v>
      </c>
      <c r="E228" s="25"/>
      <c r="F228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28" s="289">
        <v>44952</v>
      </c>
      <c r="H228" s="26" t="s">
        <v>486</v>
      </c>
      <c r="I228" s="289">
        <v>44945</v>
      </c>
      <c r="J228" s="35">
        <v>394</v>
      </c>
      <c r="K228" s="21">
        <v>300000</v>
      </c>
      <c r="L228" s="21"/>
      <c r="M228" s="22">
        <f>(PROVEEDORES[[#This Row],[SUBTOTAL]]-PROVEEDORES[[#This Row],[descuento sobre subtotal]])*VLOOKUP(PROVEEDORES[[#This Row],[PROVEEDOR]],TERCEROS_INFO[#All],3,FALSE)</f>
        <v>0</v>
      </c>
      <c r="N228" s="23"/>
      <c r="O228" s="22">
        <f>+PROVEEDORES[[#This Row],[Descuento sobre subtotal %]]*(PROVEEDORES[[#This Row],[SUBTOTAL]]-PROVEEDORES[[#This Row],[descuento sobre subtotal]])</f>
        <v>0</v>
      </c>
      <c r="P228" s="72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2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1">
        <f ca="1">IF(PROVEEDORES[[#This Row],[FECHA DE PAGO]]=0,TODAY()-PROVEEDORES[[#This Row],[FECHA DE FACTURACIÓN]]-PROVEEDORES[[#This Row],[PLAZO Días]],0)</f>
        <v>0</v>
      </c>
      <c r="U228" s="97">
        <f>+VLOOKUP(PROVEEDORES[[#This Row],[PROVEEDOR]],Terceros!$A:$D,4,FALSE)</f>
        <v>0</v>
      </c>
      <c r="V228" s="98">
        <f>+YEAR(PROVEEDORES[[#This Row],[FECHA DE FACTURACIÓN]])</f>
        <v>2023</v>
      </c>
      <c r="W228" s="98">
        <f>+MATCH(PROVEEDORES[[#This Row],[año facturado]],Retenciones!$1:$1,0)</f>
        <v>6</v>
      </c>
      <c r="X228" s="99">
        <f>+VLOOKUP(PROVEEDORES[[#This Row],[ID RETENCION]],Retenciones!$A$1:$O$25,PROVEEDORES[[#This Row],[indicador de columna]],FALSE)</f>
        <v>0</v>
      </c>
      <c r="Y228" s="100">
        <f>+VLOOKUP(PROVEEDORES[[#This Row],[ID RETENCION]],Retenciones!$A$1:$O$25,2,FALSE)</f>
        <v>0</v>
      </c>
      <c r="Z228" s="103" t="b">
        <f>OR(COUNTIF(PROVEEDORES[[#This Row],[PROVEEDOR]],"*"&amp;'Palabra no opera'!$A$2&amp;"*"))</f>
        <v>0</v>
      </c>
    </row>
    <row r="229" spans="1:26" ht="22.35" customHeight="1" x14ac:dyDescent="0.25">
      <c r="A229" s="155" t="str">
        <f>+IF(PROVEEDORES[[#This Row],[FECHA DE PAGO]]=PROVEEDORES[[#This Row],[FECHA DE FACTURACIÓN]],"DE CONTADO","CRÉDITO")</f>
        <v>CRÉDITO</v>
      </c>
      <c r="B229" s="38" t="b">
        <f>+IF((PROVEEDORES[[#This Row],[FECHA DE PAGO]]-PROVEEDORES[[#This Row],[FECHA DE FACTURACIÓN]])&gt;PROVEEDORES[[#This Row],[PLAZO Días]],"PAGO VENCIDO")</f>
        <v>0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0</v>
      </c>
      <c r="E229" s="25"/>
      <c r="F229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29" s="289">
        <v>44953</v>
      </c>
      <c r="H229" s="26" t="s">
        <v>486</v>
      </c>
      <c r="I229" s="289">
        <v>44976</v>
      </c>
      <c r="J229" s="35">
        <v>402</v>
      </c>
      <c r="K229" s="21">
        <v>400000</v>
      </c>
      <c r="L229" s="21"/>
      <c r="M229" s="22">
        <f>(PROVEEDORES[[#This Row],[SUBTOTAL]]-PROVEEDORES[[#This Row],[descuento sobre subtotal]])*VLOOKUP(PROVEEDORES[[#This Row],[PROVEEDOR]],TERCEROS_INFO[#All],3,FALSE)</f>
        <v>0</v>
      </c>
      <c r="N229" s="23"/>
      <c r="O229" s="22">
        <f>+PROVEEDORES[[#This Row],[Descuento sobre subtotal %]]*(PROVEEDORES[[#This Row],[SUBTOTAL]]-PROVEEDORES[[#This Row],[descuento sobre subtotal]])</f>
        <v>0</v>
      </c>
      <c r="P229" s="72">
        <f>+IF(PROVEEDORES[[#This Row],[SUBTOTAL]]&lt;PROVEEDORES[[#This Row],[base retencion]],0,PROVEEDORES[[#This Row],[retención aplicada]])</f>
        <v>0</v>
      </c>
      <c r="Q229" s="22">
        <f>+PROVEEDORES[[#This Row],[Rete Fuente %]]*(PROVEEDORES[[#This Row],[SUBTOTAL]]-PROVEEDORES[[#This Row],[descuento sobre subtotal]])</f>
        <v>0</v>
      </c>
      <c r="R229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29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1">
        <f ca="1">IF(PROVEEDORES[[#This Row],[FECHA DE PAGO]]=0,TODAY()-PROVEEDORES[[#This Row],[FECHA DE FACTURACIÓN]]-PROVEEDORES[[#This Row],[PLAZO Días]],0)</f>
        <v>0</v>
      </c>
      <c r="U229" s="97">
        <f>+VLOOKUP(PROVEEDORES[[#This Row],[PROVEEDOR]],Terceros!$A:$D,4,FALSE)</f>
        <v>0</v>
      </c>
      <c r="V229" s="98">
        <f>+YEAR(PROVEEDORES[[#This Row],[FECHA DE FACTURACIÓN]])</f>
        <v>2023</v>
      </c>
      <c r="W229" s="98">
        <f>+MATCH(PROVEEDORES[[#This Row],[año facturado]],Retenciones!$1:$1,0)</f>
        <v>6</v>
      </c>
      <c r="X229" s="99">
        <f>+VLOOKUP(PROVEEDORES[[#This Row],[ID RETENCION]],Retenciones!$A$1:$O$25,PROVEEDORES[[#This Row],[indicador de columna]],FALSE)</f>
        <v>0</v>
      </c>
      <c r="Y229" s="100">
        <f>+VLOOKUP(PROVEEDORES[[#This Row],[ID RETENCION]],Retenciones!$A$1:$O$25,2,FALSE)</f>
        <v>0</v>
      </c>
      <c r="Z229" s="103" t="b">
        <f>OR(COUNTIF(PROVEEDORES[[#This Row],[PROVEEDOR]],"*"&amp;'Palabra no opera'!$A$2&amp;"*"))</f>
        <v>0</v>
      </c>
    </row>
    <row r="230" spans="1:26" ht="22.35" customHeight="1" x14ac:dyDescent="0.25">
      <c r="A230" s="164" t="str">
        <f>+IF(PROVEEDORES[[#This Row],[FECHA DE PAGO]]=PROVEEDORES[[#This Row],[FECHA DE FACTURACIÓN]],"DE CONTADO","CRÉDITO")</f>
        <v>CRÉDITO</v>
      </c>
      <c r="B230" s="38" t="b">
        <f>+IF((PROVEEDORES[[#This Row],[FECHA DE PAGO]]-PROVEEDORES[[#This Row],[FECHA DE FACTURACIÓN]])&gt;PROVEEDORES[[#This Row],[PLAZO Días]],"PAGO VENCIDO")</f>
        <v>0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0</v>
      </c>
      <c r="E230" s="25"/>
      <c r="F230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0" s="289">
        <v>45012</v>
      </c>
      <c r="H230" s="26" t="s">
        <v>486</v>
      </c>
      <c r="I230" s="289">
        <v>44993</v>
      </c>
      <c r="J230" s="35">
        <v>403</v>
      </c>
      <c r="K230" s="21">
        <v>300000</v>
      </c>
      <c r="L230" s="21"/>
      <c r="M230" s="22">
        <f>(PROVEEDORES[[#This Row],[SUBTOTAL]]-PROVEEDORES[[#This Row],[descuento sobre subtotal]])*VLOOKUP(PROVEEDORES[[#This Row],[PROVEEDOR]],TERCEROS_INFO[#All],3,FALSE)</f>
        <v>0</v>
      </c>
      <c r="N230" s="23"/>
      <c r="O230" s="22">
        <f>+PROVEEDORES[[#This Row],[Descuento sobre subtotal %]]*(PROVEEDORES[[#This Row],[SUBTOTAL]]-PROVEEDORES[[#This Row],[descuento sobre subtotal]])</f>
        <v>0</v>
      </c>
      <c r="P230" s="72">
        <f>+IF(PROVEEDORES[[#This Row],[SUBTOTAL]]&lt;PROVEEDORES[[#This Row],[base retencion]],0,PROVEEDORES[[#This Row],[retención aplicada]])</f>
        <v>0</v>
      </c>
      <c r="Q230" s="22">
        <f>+PROVEEDORES[[#This Row],[Rete Fuente %]]*(PROVEEDORES[[#This Row],[SUBTOTAL]]-PROVEEDORES[[#This Row],[descuento sobre subtotal]])</f>
        <v>0</v>
      </c>
      <c r="R230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230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1">
        <f ca="1">IF(PROVEEDORES[[#This Row],[FECHA DE PAGO]]=0,TODAY()-PROVEEDORES[[#This Row],[FECHA DE FACTURACIÓN]]-PROVEEDORES[[#This Row],[PLAZO Días]],0)</f>
        <v>0</v>
      </c>
      <c r="U230" s="97">
        <f>+VLOOKUP(PROVEEDORES[[#This Row],[PROVEEDOR]],Terceros!$A:$D,4,FALSE)</f>
        <v>0</v>
      </c>
      <c r="V230" s="98">
        <f>+YEAR(PROVEEDORES[[#This Row],[FECHA DE FACTURACIÓN]])</f>
        <v>2023</v>
      </c>
      <c r="W230" s="98">
        <f>+MATCH(PROVEEDORES[[#This Row],[año facturado]],Retenciones!$1:$1,0)</f>
        <v>6</v>
      </c>
      <c r="X230" s="99">
        <f>+VLOOKUP(PROVEEDORES[[#This Row],[ID RETENCION]],Retenciones!$A$1:$O$25,PROVEEDORES[[#This Row],[indicador de columna]],FALSE)</f>
        <v>0</v>
      </c>
      <c r="Y230" s="100">
        <f>+VLOOKUP(PROVEEDORES[[#This Row],[ID RETENCION]],Retenciones!$A$1:$O$25,2,FALSE)</f>
        <v>0</v>
      </c>
      <c r="Z230" s="103" t="b">
        <f>OR(COUNTIF(PROVEEDORES[[#This Row],[PROVEEDOR]],"*"&amp;'Palabra no opera'!$A$2&amp;"*"))</f>
        <v>0</v>
      </c>
    </row>
    <row r="231" spans="1:26" ht="22.35" customHeight="1" x14ac:dyDescent="0.25">
      <c r="A231" s="65" t="str">
        <f>+IF(PROVEEDORES[[#This Row],[FECHA DE PAGO]]=PROVEEDORES[[#This Row],[FECHA DE FACTURACIÓN]],"DE CONTADO","CRÉDITO")</f>
        <v>CRÉDITO</v>
      </c>
      <c r="B231" s="38" t="b">
        <f>+IF((PROVEEDORES[[#This Row],[FECHA DE PAGO]]-PROVEEDORES[[#This Row],[FECHA DE FACTURACIÓN]])&gt;PROVEEDORES[[#This Row],[PLAZO Días]],"PAGO VENCIDO")</f>
        <v>0</v>
      </c>
      <c r="C231" s="20">
        <f>+VLOOKUP(PROVEEDORES[[#This Row],[PROVEEDOR]],TERCEROS_INFO[#All],2,FALSE)</f>
        <v>30</v>
      </c>
      <c r="D231" s="25">
        <f>+SUMIFS(PROVEEDORES[Total],PROVEEDORES[PROVEEDOR],PROVEEDORES[[#This Row],[PROVEEDOR]],PROVEEDORES[FECHA DE PAGO],"")</f>
        <v>0</v>
      </c>
      <c r="E231" s="25"/>
      <c r="F23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1" s="289">
        <v>45027</v>
      </c>
      <c r="H231" s="26" t="s">
        <v>486</v>
      </c>
      <c r="I231" s="289">
        <v>45026</v>
      </c>
      <c r="J231" s="35">
        <v>408</v>
      </c>
      <c r="K231" s="21">
        <v>470000</v>
      </c>
      <c r="L231" s="21"/>
      <c r="M231" s="22">
        <f>(PROVEEDORES[[#This Row],[SUBTOTAL]]-PROVEEDORES[[#This Row],[descuento sobre subtotal]])*VLOOKUP(PROVEEDORES[[#This Row],[PROVEEDOR]],TERCEROS_INFO[#All],3,FALSE)</f>
        <v>0</v>
      </c>
      <c r="N231" s="23"/>
      <c r="O231" s="22">
        <f>+PROVEEDORES[[#This Row],[Descuento sobre subtotal %]]*(PROVEEDORES[[#This Row],[SUBTOTAL]]-PROVEEDORES[[#This Row],[descuento sobre subtotal]])</f>
        <v>0</v>
      </c>
      <c r="P231" s="72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f>+PROVEEDORES[[#This Row],[SUBTOTAL]]+PROVEEDORES[[#This Row],[IVA 19%]]-PROVEEDORES[[#This Row],[descuento sobre subtotal]]-PROVEEDORES[[#This Row],[Descuento sobre subtotal $2]]-PROVEEDORES[[#This Row],[Rete Fuente $]]</f>
        <v>470000</v>
      </c>
      <c r="S2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1">
        <f ca="1">IF(PROVEEDORES[[#This Row],[FECHA DE PAGO]]=0,TODAY()-PROVEEDORES[[#This Row],[FECHA DE FACTURACIÓN]]-PROVEEDORES[[#This Row],[PLAZO Días]],0)</f>
        <v>0</v>
      </c>
      <c r="U231" s="97">
        <f>+VLOOKUP(PROVEEDORES[[#This Row],[PROVEEDOR]],Terceros!$A:$D,4,FALSE)</f>
        <v>0</v>
      </c>
      <c r="V231" s="98">
        <f>+YEAR(PROVEEDORES[[#This Row],[FECHA DE FACTURACIÓN]])</f>
        <v>2023</v>
      </c>
      <c r="W231" s="98">
        <f>+MATCH(PROVEEDORES[[#This Row],[año facturado]],Retenciones!$1:$1,0)</f>
        <v>6</v>
      </c>
      <c r="X231" s="99">
        <f>+VLOOKUP(PROVEEDORES[[#This Row],[ID RETENCION]],Retenciones!$A$1:$O$25,PROVEEDORES[[#This Row],[indicador de columna]],FALSE)</f>
        <v>0</v>
      </c>
      <c r="Y231" s="100">
        <f>+VLOOKUP(PROVEEDORES[[#This Row],[ID RETENCION]],Retenciones!$A$1:$O$25,2,FALSE)</f>
        <v>0</v>
      </c>
      <c r="Z231" s="103" t="b">
        <f>OR(COUNTIF(PROVEEDORES[[#This Row],[PROVEEDOR]],"*"&amp;'Palabra no opera'!$A$2&amp;"*"))</f>
        <v>0</v>
      </c>
    </row>
    <row r="232" spans="1:26" ht="22.35" customHeight="1" x14ac:dyDescent="0.25">
      <c r="A232" s="65" t="str">
        <f>+IF(PROVEEDORES[[#This Row],[FECHA DE PAGO]]=PROVEEDORES[[#This Row],[FECHA DE FACTURACIÓN]],"DE CONTADO","CRÉDITO")</f>
        <v>CRÉDITO</v>
      </c>
      <c r="B232" s="38" t="b">
        <f>+IF((PROVEEDORES[[#This Row],[FECHA DE PAGO]]-PROVEEDORES[[#This Row],[FECHA DE FACTURACIÓN]])&gt;PROVEEDORES[[#This Row],[PLAZO Días]],"PAGO VENCIDO")</f>
        <v>0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0</v>
      </c>
      <c r="E232" s="25"/>
      <c r="F232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2" s="289">
        <v>45056</v>
      </c>
      <c r="H232" s="26" t="s">
        <v>486</v>
      </c>
      <c r="I232" s="289">
        <v>45057</v>
      </c>
      <c r="J232" s="35">
        <v>418</v>
      </c>
      <c r="K232" s="21">
        <v>415000</v>
      </c>
      <c r="L232" s="21"/>
      <c r="M232" s="22">
        <f>(PROVEEDORES[[#This Row],[SUBTOTAL]]-PROVEEDORES[[#This Row],[descuento sobre subtotal]])*VLOOKUP(PROVEEDORES[[#This Row],[PROVEEDOR]],TERCEROS_INFO[#All],3,FALSE)</f>
        <v>0</v>
      </c>
      <c r="N232" s="23"/>
      <c r="O232" s="22">
        <f>+PROVEEDORES[[#This Row],[Descuento sobre subtotal %]]*(PROVEEDORES[[#This Row],[SUBTOTAL]]-PROVEEDORES[[#This Row],[descuento sobre subtotal]])</f>
        <v>0</v>
      </c>
      <c r="P232" s="72">
        <f>+IF(PROVEEDORES[[#This Row],[SUBTOTAL]]&lt;PROVEEDORES[[#This Row],[base retencion]],0,PROVEEDORES[[#This Row],[retención aplicada]])</f>
        <v>0</v>
      </c>
      <c r="Q232" s="22">
        <f>+PROVEEDORES[[#This Row],[Rete Fuente %]]*(PROVEEDORES[[#This Row],[SUBTOTAL]]-PROVEEDORES[[#This Row],[descuento sobre subtotal]])</f>
        <v>0</v>
      </c>
      <c r="R232" s="21">
        <f>+PROVEEDORES[[#This Row],[SUBTOTAL]]+PROVEEDORES[[#This Row],[IVA 19%]]-PROVEEDORES[[#This Row],[descuento sobre subtotal]]-PROVEEDORES[[#This Row],[Descuento sobre subtotal $2]]-PROVEEDORES[[#This Row],[Rete Fuente $]]</f>
        <v>415000</v>
      </c>
      <c r="S2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1">
        <f ca="1">IF(PROVEEDORES[[#This Row],[FECHA DE PAGO]]=0,TODAY()-PROVEEDORES[[#This Row],[FECHA DE FACTURACIÓN]]-PROVEEDORES[[#This Row],[PLAZO Días]],0)</f>
        <v>0</v>
      </c>
      <c r="U232" s="97">
        <f>+VLOOKUP(PROVEEDORES[[#This Row],[PROVEEDOR]],Terceros!$A:$D,4,FALSE)</f>
        <v>0</v>
      </c>
      <c r="V232" s="98">
        <f>+YEAR(PROVEEDORES[[#This Row],[FECHA DE FACTURACIÓN]])</f>
        <v>2023</v>
      </c>
      <c r="W232" s="98">
        <f>+MATCH(PROVEEDORES[[#This Row],[año facturado]],Retenciones!$1:$1,0)</f>
        <v>6</v>
      </c>
      <c r="X232" s="99">
        <f>+VLOOKUP(PROVEEDORES[[#This Row],[ID RETENCION]],Retenciones!$A$1:$O$25,PROVEEDORES[[#This Row],[indicador de columna]],FALSE)</f>
        <v>0</v>
      </c>
      <c r="Y232" s="100">
        <f>+VLOOKUP(PROVEEDORES[[#This Row],[ID RETENCION]],Retenciones!$A$1:$O$25,2,FALSE)</f>
        <v>0</v>
      </c>
      <c r="Z232" s="103" t="b">
        <f>OR(COUNTIF(PROVEEDORES[[#This Row],[PROVEEDOR]],"*"&amp;'Palabra no opera'!$A$2&amp;"*"))</f>
        <v>0</v>
      </c>
    </row>
    <row r="233" spans="1:26" ht="22.35" customHeight="1" x14ac:dyDescent="0.25">
      <c r="A233" s="203" t="str">
        <f>+IF(PROVEEDORES[[#This Row],[FECHA DE PAGO]]=PROVEEDORES[[#This Row],[FECHA DE FACTURACIÓN]],"DE CONTADO","CRÉDITO")</f>
        <v>CRÉDITO</v>
      </c>
      <c r="B233" s="38" t="b">
        <f>+IF((PROVEEDORES[[#This Row],[FECHA DE PAGO]]-PROVEEDORES[[#This Row],[FECHA DE FACTURACIÓN]])&gt;PROVEEDORES[[#This Row],[PLAZO Días]],"PAGO VENCIDO")</f>
        <v>0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0</v>
      </c>
      <c r="E233" s="25"/>
      <c r="F233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33" s="289">
        <v>45094</v>
      </c>
      <c r="H233" s="26" t="s">
        <v>486</v>
      </c>
      <c r="I233" s="289">
        <v>45085</v>
      </c>
      <c r="J233" s="35">
        <v>422</v>
      </c>
      <c r="K233" s="21">
        <v>400000</v>
      </c>
      <c r="L233" s="21"/>
      <c r="M233" s="22">
        <f>(PROVEEDORES[[#This Row],[SUBTOTAL]]-PROVEEDORES[[#This Row],[descuento sobre subtotal]])*VLOOKUP(PROVEEDORES[[#This Row],[PROVEEDOR]],TERCEROS_INFO[#All],3,FALSE)</f>
        <v>0</v>
      </c>
      <c r="N233" s="23"/>
      <c r="O233" s="22">
        <f>+PROVEEDORES[[#This Row],[Descuento sobre subtotal %]]*(PROVEEDORES[[#This Row],[SUBTOTAL]]-PROVEEDORES[[#This Row],[descuento sobre subtotal]])</f>
        <v>0</v>
      </c>
      <c r="P233" s="72">
        <f>+IF(PROVEEDORES[[#This Row],[SUBTOTAL]]&lt;PROVEEDORES[[#This Row],[base retencion]],0,PROVEEDORES[[#This Row],[retención aplicada]])</f>
        <v>0</v>
      </c>
      <c r="Q233" s="22">
        <f>+PROVEEDORES[[#This Row],[Rete Fuente %]]*(PROVEEDORES[[#This Row],[SUBTOTAL]]-PROVEEDORES[[#This Row],[descuento sobre subtotal]])</f>
        <v>0</v>
      </c>
      <c r="R233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33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1">
        <f ca="1">IF(PROVEEDORES[[#This Row],[FECHA DE PAGO]]=0,TODAY()-PROVEEDORES[[#This Row],[FECHA DE FACTURACIÓN]]-PROVEEDORES[[#This Row],[PLAZO Días]],0)</f>
        <v>0</v>
      </c>
      <c r="U233" s="97">
        <f>+VLOOKUP(PROVEEDORES[[#This Row],[PROVEEDOR]],Terceros!$A:$D,4,FALSE)</f>
        <v>0</v>
      </c>
      <c r="V233" s="98">
        <f>+YEAR(PROVEEDORES[[#This Row],[FECHA DE FACTURACIÓN]])</f>
        <v>2023</v>
      </c>
      <c r="W233" s="98">
        <f>+MATCH(PROVEEDORES[[#This Row],[año facturado]],Retenciones!$1:$1,0)</f>
        <v>6</v>
      </c>
      <c r="X233" s="99">
        <f>+VLOOKUP(PROVEEDORES[[#This Row],[ID RETENCION]],Retenciones!$A$1:$O$25,PROVEEDORES[[#This Row],[indicador de columna]],FALSE)</f>
        <v>0</v>
      </c>
      <c r="Y233" s="100">
        <f>+VLOOKUP(PROVEEDORES[[#This Row],[ID RETENCION]],Retenciones!$A$1:$O$25,2,FALSE)</f>
        <v>0</v>
      </c>
      <c r="Z233" s="103" t="b">
        <f>OR(COUNTIF(PROVEEDORES[[#This Row],[PROVEEDOR]],"*"&amp;'Palabra no opera'!$A$2&amp;"*"))</f>
        <v>0</v>
      </c>
    </row>
    <row r="234" spans="1:26" ht="22.35" customHeight="1" x14ac:dyDescent="0.25">
      <c r="A234" s="65" t="str">
        <f>+IF(PROVEEDORES[[#This Row],[FECHA DE PAGO]]=PROVEEDORES[[#This Row],[FECHA DE FACTURACIÓN]],"DE CONTADO","CRÉDITO")</f>
        <v>DE CONTADO</v>
      </c>
      <c r="B234" s="38" t="b">
        <f>+IF((PROVEEDORES[[#This Row],[FECHA DE PAGO]]-PROVEEDORES[[#This Row],[FECHA DE FACTURACIÓN]])&gt;PROVEEDORES[[#This Row],[PLAZO Días]],"PAGO VENCIDO")</f>
        <v>0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496505</v>
      </c>
      <c r="E234" s="25"/>
      <c r="F234" s="56">
        <f>+VLOOKUP(PROVEEDORES[[#This Row],[PROVEEDOR]],
                       Terceros!$A:$F,
                       5,
                       FALSE)</f>
        <v>0</v>
      </c>
      <c r="G234" s="289">
        <v>45203</v>
      </c>
      <c r="H234" s="26" t="s">
        <v>1170</v>
      </c>
      <c r="I234" s="289">
        <v>45203</v>
      </c>
      <c r="J234" s="35" t="s">
        <v>1171</v>
      </c>
      <c r="K234" s="21">
        <v>833450</v>
      </c>
      <c r="L234" s="21"/>
      <c r="M234" s="22">
        <f>(PROVEEDORES[[#This Row],[SUBTOTAL]]-PROVEEDORES[[#This Row],[descuento sobre subtotal]])*VLOOKUP(PROVEEDORES[[#This Row],[PROVEEDOR]],TERCEROS_INFO[#All],3,FALSE)</f>
        <v>0</v>
      </c>
      <c r="N234" s="23"/>
      <c r="O234" s="22">
        <f>+PROVEEDORES[[#This Row],[Descuento sobre subtotal %]]*(PROVEEDORES[[#This Row],[SUBTOTAL]]-PROVEEDORES[[#This Row],[descuento sobre subtotal]])</f>
        <v>0</v>
      </c>
      <c r="P234" s="72">
        <f>+IF(PROVEEDORES[[#This Row],[SUBTOTAL]]&lt;PROVEEDORES[[#This Row],[base retencion]],0,PROVEEDORES[[#This Row],[retención aplicada]])</f>
        <v>0</v>
      </c>
      <c r="Q234" s="22">
        <f>+PROVEEDORES[[#This Row],[Rete Fuente %]]*(PROVEEDORES[[#This Row],[SUBTOTAL]]-PROVEEDORES[[#This Row],[descuento sobre subtotal]])</f>
        <v>0</v>
      </c>
      <c r="R234" s="21">
        <f>+PROVEEDORES[[#This Row],[SUBTOTAL]]+PROVEEDORES[[#This Row],[IVA 19%]]-PROVEEDORES[[#This Row],[descuento sobre subtotal]]-PROVEEDORES[[#This Row],[Descuento sobre subtotal $2]]-PROVEEDORES[[#This Row],[Rete Fuente $]]</f>
        <v>833450</v>
      </c>
      <c r="S2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1">
        <f ca="1">IF(PROVEEDORES[[#This Row],[FECHA DE PAGO]]=0,TODAY()-PROVEEDORES[[#This Row],[FECHA DE FACTURACIÓN]]-PROVEEDORES[[#This Row],[PLAZO Días]],0)</f>
        <v>0</v>
      </c>
      <c r="U234" s="97">
        <f>+VLOOKUP(PROVEEDORES[[#This Row],[PROVEEDOR]],Terceros!$A:$D,4,FALSE)</f>
        <v>0</v>
      </c>
      <c r="V234" s="98">
        <f>+YEAR(PROVEEDORES[[#This Row],[FECHA DE FACTURACIÓN]])</f>
        <v>2023</v>
      </c>
      <c r="W234" s="98">
        <f>+MATCH(PROVEEDORES[[#This Row],[año facturado]],Retenciones!$1:$1,0)</f>
        <v>6</v>
      </c>
      <c r="X234" s="99">
        <f>+VLOOKUP(PROVEEDORES[[#This Row],[ID RETENCION]],Retenciones!$A$1:$O$25,PROVEEDORES[[#This Row],[indicador de columna]],FALSE)</f>
        <v>0</v>
      </c>
      <c r="Y234" s="100">
        <f>+VLOOKUP(PROVEEDORES[[#This Row],[ID RETENCION]],Retenciones!$A$1:$O$25,2,FALSE)</f>
        <v>0</v>
      </c>
      <c r="Z234" s="103" t="b">
        <f>OR(COUNTIF(PROVEEDORES[[#This Row],[PROVEEDOR]],"*"&amp;'Palabra no opera'!$A$2&amp;"*"))</f>
        <v>0</v>
      </c>
    </row>
    <row r="235" spans="1:26" ht="22.35" customHeight="1" x14ac:dyDescent="0.25">
      <c r="A235" s="65" t="str">
        <f>+IF(PROVEEDORES[[#This Row],[FECHA DE PAGO]]=PROVEEDORES[[#This Row],[FECHA DE FACTURACIÓN]],"DE CONTADO","CRÉDITO")</f>
        <v>DE CONTADO</v>
      </c>
      <c r="B235" s="38" t="b">
        <f>+IF((PROVEEDORES[[#This Row],[FECHA DE PAGO]]-PROVEEDORES[[#This Row],[FECHA DE FACTURACIÓN]])&gt;PROVEEDORES[[#This Row],[PLAZO Días]],"PAGO VENCIDO")</f>
        <v>0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496505</v>
      </c>
      <c r="E235" s="25"/>
      <c r="F235" s="56">
        <f>+VLOOKUP(PROVEEDORES[[#This Row],[PROVEEDOR]],
                       Terceros!$A:$F,
                       5,
                       FALSE)</f>
        <v>0</v>
      </c>
      <c r="G235" s="289">
        <v>45246</v>
      </c>
      <c r="H235" s="26" t="s">
        <v>1170</v>
      </c>
      <c r="I235" s="289">
        <v>45246</v>
      </c>
      <c r="J235" s="35" t="s">
        <v>1281</v>
      </c>
      <c r="K235" s="21">
        <v>258800</v>
      </c>
      <c r="L235" s="21"/>
      <c r="M235" s="22">
        <f>(PROVEEDORES[[#This Row],[SUBTOTAL]]-PROVEEDORES[[#This Row],[descuento sobre subtotal]])*VLOOKUP(PROVEEDORES[[#This Row],[PROVEEDOR]],TERCEROS_INFO[#All],3,FALSE)</f>
        <v>0</v>
      </c>
      <c r="N235" s="23"/>
      <c r="O235" s="22">
        <f>+PROVEEDORES[[#This Row],[Descuento sobre subtotal %]]*(PROVEEDORES[[#This Row],[SUBTOTAL]]-PROVEEDORES[[#This Row],[descuento sobre subtotal]])</f>
        <v>0</v>
      </c>
      <c r="P235" s="72">
        <f>+IF(PROVEEDORES[[#This Row],[SUBTOTAL]]&lt;PROVEEDORES[[#This Row],[base retencion]],0,PROVEEDORES[[#This Row],[retención aplicada]])</f>
        <v>0</v>
      </c>
      <c r="Q235" s="22">
        <f>+PROVEEDORES[[#This Row],[Rete Fuente %]]*(PROVEEDORES[[#This Row],[SUBTOTAL]]-PROVEEDORES[[#This Row],[descuento sobre subtotal]])</f>
        <v>0</v>
      </c>
      <c r="R235" s="21">
        <f>+PROVEEDORES[[#This Row],[SUBTOTAL]]+PROVEEDORES[[#This Row],[IVA 19%]]-PROVEEDORES[[#This Row],[descuento sobre subtotal]]-PROVEEDORES[[#This Row],[Descuento sobre subtotal $2]]-PROVEEDORES[[#This Row],[Rete Fuente $]]</f>
        <v>258800</v>
      </c>
      <c r="S2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1">
        <f ca="1">IF(PROVEEDORES[[#This Row],[FECHA DE PAGO]]=0,TODAY()-PROVEEDORES[[#This Row],[FECHA DE FACTURACIÓN]]-PROVEEDORES[[#This Row],[PLAZO Días]],0)</f>
        <v>0</v>
      </c>
      <c r="U235" s="97">
        <f>+VLOOKUP(PROVEEDORES[[#This Row],[PROVEEDOR]],Terceros!$A:$D,4,FALSE)</f>
        <v>0</v>
      </c>
      <c r="V235" s="98">
        <f>+YEAR(PROVEEDORES[[#This Row],[FECHA DE FACTURACIÓN]])</f>
        <v>2023</v>
      </c>
      <c r="W235" s="98">
        <f>+MATCH(PROVEEDORES[[#This Row],[año facturado]],Retenciones!$1:$1,0)</f>
        <v>6</v>
      </c>
      <c r="X235" s="99">
        <f>+VLOOKUP(PROVEEDORES[[#This Row],[ID RETENCION]],Retenciones!$A$1:$O$25,PROVEEDORES[[#This Row],[indicador de columna]],FALSE)</f>
        <v>0</v>
      </c>
      <c r="Y235" s="100">
        <f>+VLOOKUP(PROVEEDORES[[#This Row],[ID RETENCION]],Retenciones!$A$1:$O$25,2,FALSE)</f>
        <v>0</v>
      </c>
      <c r="Z235" s="103" t="b">
        <f>OR(COUNTIF(PROVEEDORES[[#This Row],[PROVEEDOR]],"*"&amp;'Palabra no opera'!$A$2&amp;"*"))</f>
        <v>0</v>
      </c>
    </row>
    <row r="236" spans="1:26" ht="22.35" customHeight="1" x14ac:dyDescent="0.25">
      <c r="A236" s="65" t="str">
        <f>+IF(PROVEEDORES[[#This Row],[FECHA DE PAGO]]=PROVEEDORES[[#This Row],[FECHA DE FACTURACIÓN]],"DE CONTADO","CRÉDITO")</f>
        <v>CRÉDITO</v>
      </c>
      <c r="B236" s="38" t="str">
        <f>+IF((PROVEEDORES[[#This Row],[FECHA DE PAGO]]-PROVEEDORES[[#This Row],[FECHA DE FACTURACIÓN]])&gt;PROVEEDORES[[#This Row],[PLAZO Días]],"PAGO VENCIDO")</f>
        <v>PAGO VENCIDO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0</v>
      </c>
      <c r="E236" s="25"/>
      <c r="F236" s="56">
        <f>+VLOOKUP(PROVEEDORES[[#This Row],[PROVEEDOR]],
                       Terceros!$A:$F,
                       5,
                       FALSE)</f>
        <v>0</v>
      </c>
      <c r="G236" s="289">
        <v>45257</v>
      </c>
      <c r="H236" s="26" t="s">
        <v>1218</v>
      </c>
      <c r="I236" s="289">
        <v>45209</v>
      </c>
      <c r="J236" s="35" t="s">
        <v>1202</v>
      </c>
      <c r="K236" s="21">
        <v>2224000</v>
      </c>
      <c r="L236" s="21"/>
      <c r="M236" s="22">
        <f>(PROVEEDORES[[#This Row],[SUBTOTAL]]-PROVEEDORES[[#This Row],[descuento sobre subtotal]])*VLOOKUP(PROVEEDORES[[#This Row],[PROVEEDOR]],TERCEROS_INFO[#All],3,FALSE)</f>
        <v>0</v>
      </c>
      <c r="N236" s="23"/>
      <c r="O236" s="22">
        <f>+PROVEEDORES[[#This Row],[Descuento sobre subtotal %]]*(PROVEEDORES[[#This Row],[SUBTOTAL]]-PROVEEDORES[[#This Row],[descuento sobre subtotal]])</f>
        <v>0</v>
      </c>
      <c r="P236" s="72">
        <f>+IF(PROVEEDORES[[#This Row],[SUBTOTAL]]&lt;PROVEEDORES[[#This Row],[base retencion]],0,PROVEEDORES[[#This Row],[retención aplicada]])</f>
        <v>0</v>
      </c>
      <c r="Q236" s="22">
        <f>+PROVEEDORES[[#This Row],[Rete Fuente %]]*(PROVEEDORES[[#This Row],[SUBTOTAL]]-PROVEEDORES[[#This Row],[descuento sobre subtotal]])</f>
        <v>0</v>
      </c>
      <c r="R236" s="21">
        <f>+PROVEEDORES[[#This Row],[SUBTOTAL]]+PROVEEDORES[[#This Row],[IVA 19%]]-PROVEEDORES[[#This Row],[descuento sobre subtotal]]-PROVEEDORES[[#This Row],[Descuento sobre subtotal $2]]-PROVEEDORES[[#This Row],[Rete Fuente $]]</f>
        <v>2224000</v>
      </c>
      <c r="S2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1">
        <f ca="1">IF(PROVEEDORES[[#This Row],[FECHA DE PAGO]]=0,TODAY()-PROVEEDORES[[#This Row],[FECHA DE FACTURACIÓN]]-PROVEEDORES[[#This Row],[PLAZO Días]],0)</f>
        <v>0</v>
      </c>
      <c r="U236" s="97">
        <f>+VLOOKUP(PROVEEDORES[[#This Row],[PROVEEDOR]],Terceros!$A:$D,4,FALSE)</f>
        <v>0</v>
      </c>
      <c r="V236" s="98">
        <f>+YEAR(PROVEEDORES[[#This Row],[FECHA DE FACTURACIÓN]])</f>
        <v>2023</v>
      </c>
      <c r="W236" s="98">
        <f>+MATCH(PROVEEDORES[[#This Row],[año facturado]],Retenciones!$1:$1,0)</f>
        <v>6</v>
      </c>
      <c r="X236" s="99">
        <f>+VLOOKUP(PROVEEDORES[[#This Row],[ID RETENCION]],Retenciones!$A$1:$O$25,PROVEEDORES[[#This Row],[indicador de columna]],FALSE)</f>
        <v>0</v>
      </c>
      <c r="Y236" s="100">
        <f>+VLOOKUP(PROVEEDORES[[#This Row],[ID RETENCION]],Retenciones!$A$1:$O$25,2,FALSE)</f>
        <v>0</v>
      </c>
      <c r="Z236" s="103" t="b">
        <f>OR(COUNTIF(PROVEEDORES[[#This Row],[PROVEEDOR]],"*"&amp;'Palabra no opera'!$A$2&amp;"*"))</f>
        <v>0</v>
      </c>
    </row>
    <row r="237" spans="1:26" ht="22.35" customHeight="1" x14ac:dyDescent="0.25">
      <c r="A237" s="65" t="str">
        <f>+IF(PROVEEDORES[[#This Row],[FECHA DE PAGO]]=PROVEEDORES[[#This Row],[FECHA DE FACTURACIÓN]],"DE CONTADO","CRÉDITO")</f>
        <v>CRÉDITO</v>
      </c>
      <c r="B237" s="38" t="str">
        <f>+IF((PROVEEDORES[[#This Row],[FECHA DE PAGO]]-PROVEEDORES[[#This Row],[FECHA DE FACTURACIÓN]])&gt;PROVEEDORES[[#This Row],[PLAZO Días]],"PAGO VENCIDO")</f>
        <v>PAGO VENCIDO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0</v>
      </c>
      <c r="E237" s="25"/>
      <c r="F237" s="56">
        <f>+VLOOKUP(PROVEEDORES[[#This Row],[PROVEEDOR]],
                       Terceros!$A:$F,
                       5,
                       FALSE)</f>
        <v>0</v>
      </c>
      <c r="G237" s="289">
        <v>45317</v>
      </c>
      <c r="H237" s="26" t="s">
        <v>1218</v>
      </c>
      <c r="I237" s="289">
        <v>45273</v>
      </c>
      <c r="J237" s="35" t="s">
        <v>1421</v>
      </c>
      <c r="K237" s="21">
        <v>1355000</v>
      </c>
      <c r="L237" s="21"/>
      <c r="M237" s="22">
        <f>(PROVEEDORES[[#This Row],[SUBTOTAL]]-PROVEEDORES[[#This Row],[descuento sobre subtotal]])*VLOOKUP(PROVEEDORES[[#This Row],[PROVEEDOR]],TERCEROS_INFO[#All],3,FALSE)</f>
        <v>0</v>
      </c>
      <c r="N237" s="23"/>
      <c r="O237" s="22">
        <f>+PROVEEDORES[[#This Row],[Descuento sobre subtotal %]]*(PROVEEDORES[[#This Row],[SUBTOTAL]]-PROVEEDORES[[#This Row],[descuento sobre subtotal]])</f>
        <v>0</v>
      </c>
      <c r="P237" s="72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f>+PROVEEDORES[[#This Row],[SUBTOTAL]]+PROVEEDORES[[#This Row],[IVA 19%]]-PROVEEDORES[[#This Row],[descuento sobre subtotal]]-PROVEEDORES[[#This Row],[Descuento sobre subtotal $2]]-PROVEEDORES[[#This Row],[Rete Fuente $]]</f>
        <v>1355000</v>
      </c>
      <c r="S23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1">
        <f ca="1">IF(PROVEEDORES[[#This Row],[FECHA DE PAGO]]=0,TODAY()-PROVEEDORES[[#This Row],[FECHA DE FACTURACIÓN]]-PROVEEDORES[[#This Row],[PLAZO Días]],0)</f>
        <v>0</v>
      </c>
      <c r="U237" s="97">
        <f>+VLOOKUP(PROVEEDORES[[#This Row],[PROVEEDOR]],Terceros!$A:$D,4,FALSE)</f>
        <v>0</v>
      </c>
      <c r="V237" s="98">
        <f>+YEAR(PROVEEDORES[[#This Row],[FECHA DE FACTURACIÓN]])</f>
        <v>2023</v>
      </c>
      <c r="W237" s="98">
        <f>+MATCH(PROVEEDORES[[#This Row],[año facturado]],Retenciones!$1:$1,0)</f>
        <v>6</v>
      </c>
      <c r="X237" s="99">
        <f>+VLOOKUP(PROVEEDORES[[#This Row],[ID RETENCION]],Retenciones!$A$1:$O$25,PROVEEDORES[[#This Row],[indicador de columna]],FALSE)</f>
        <v>0</v>
      </c>
      <c r="Y237" s="100">
        <f>+VLOOKUP(PROVEEDORES[[#This Row],[ID RETENCION]],Retenciones!$A$1:$O$25,2,FALSE)</f>
        <v>0</v>
      </c>
      <c r="Z237" s="103" t="b">
        <f>OR(COUNTIF(PROVEEDORES[[#This Row],[PROVEEDOR]],"*"&amp;'Palabra no opera'!$A$2&amp;"*"))</f>
        <v>0</v>
      </c>
    </row>
    <row r="238" spans="1:26" ht="22.35" customHeight="1" x14ac:dyDescent="0.25">
      <c r="A238" s="65" t="str">
        <f>+IF(PROVEEDORES[[#This Row],[FECHA DE PAGO]]=PROVEEDORES[[#This Row],[FECHA DE FACTURACIÓN]],"DE CONTADO","CRÉDITO")</f>
        <v>CRÉDITO</v>
      </c>
      <c r="B238" s="38" t="str">
        <f>+IF((PROVEEDORES[[#This Row],[FECHA DE PAGO]]-PROVEEDORES[[#This Row],[FECHA DE FACTURACIÓN]])&gt;PROVEEDORES[[#This Row],[PLAZO Días]],"PAGO VENCIDO")</f>
        <v>PAGO VENCIDO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0</v>
      </c>
      <c r="E238" s="25"/>
      <c r="F238" s="56">
        <f>+VLOOKUP(PROVEEDORES[[#This Row],[PROVEEDOR]],
                       Terceros!$A:$F,
                       5,
                       FALSE)</f>
        <v>0</v>
      </c>
      <c r="G238" s="289">
        <v>45317</v>
      </c>
      <c r="H238" s="26" t="s">
        <v>1218</v>
      </c>
      <c r="I238" s="289">
        <v>45274</v>
      </c>
      <c r="J238" s="35" t="s">
        <v>1420</v>
      </c>
      <c r="K238" s="21">
        <v>350000</v>
      </c>
      <c r="L238" s="21"/>
      <c r="M238" s="22">
        <f>(PROVEEDORES[[#This Row],[SUBTOTAL]]-PROVEEDORES[[#This Row],[descuento sobre subtotal]])*VLOOKUP(PROVEEDORES[[#This Row],[PROVEEDOR]],TERCEROS_INFO[#All],3,FALSE)</f>
        <v>0</v>
      </c>
      <c r="N238" s="23"/>
      <c r="O238" s="22">
        <f>+PROVEEDORES[[#This Row],[Descuento sobre subtotal %]]*(PROVEEDORES[[#This Row],[SUBTOTAL]]-PROVEEDORES[[#This Row],[descuento sobre subtotal]])</f>
        <v>0</v>
      </c>
      <c r="P238" s="72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2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1">
        <f ca="1">IF(PROVEEDORES[[#This Row],[FECHA DE PAGO]]=0,TODAY()-PROVEEDORES[[#This Row],[FECHA DE FACTURACIÓN]]-PROVEEDORES[[#This Row],[PLAZO Días]],0)</f>
        <v>0</v>
      </c>
      <c r="U238" s="97">
        <f>+VLOOKUP(PROVEEDORES[[#This Row],[PROVEEDOR]],Terceros!$A:$D,4,FALSE)</f>
        <v>0</v>
      </c>
      <c r="V238" s="98">
        <f>+YEAR(PROVEEDORES[[#This Row],[FECHA DE FACTURACIÓN]])</f>
        <v>2023</v>
      </c>
      <c r="W238" s="98">
        <f>+MATCH(PROVEEDORES[[#This Row],[año facturado]],Retenciones!$1:$1,0)</f>
        <v>6</v>
      </c>
      <c r="X238" s="99">
        <f>+VLOOKUP(PROVEEDORES[[#This Row],[ID RETENCION]],Retenciones!$A$1:$O$25,PROVEEDORES[[#This Row],[indicador de columna]],FALSE)</f>
        <v>0</v>
      </c>
      <c r="Y238" s="100">
        <f>+VLOOKUP(PROVEEDORES[[#This Row],[ID RETENCION]],Retenciones!$A$1:$O$25,2,FALSE)</f>
        <v>0</v>
      </c>
      <c r="Z238" s="103" t="b">
        <f>OR(COUNTIF(PROVEEDORES[[#This Row],[PROVEEDOR]],"*"&amp;'Palabra no opera'!$A$2&amp;"*"))</f>
        <v>0</v>
      </c>
    </row>
    <row r="239" spans="1:26" ht="22.35" customHeight="1" x14ac:dyDescent="0.25">
      <c r="A239" s="65" t="str">
        <f>+IF(PROVEEDORES[[#This Row],[FECHA DE PAGO]]=PROVEEDORES[[#This Row],[FECHA DE FACTURACIÓN]],"DE CONTADO","CRÉDITO")</f>
        <v>CRÉDITO</v>
      </c>
      <c r="B239" s="38" t="str">
        <f>+IF((PROVEEDORES[[#This Row],[FECHA DE PAGO]]-PROVEEDORES[[#This Row],[FECHA DE FACTURACIÓN]])&gt;PROVEEDORES[[#This Row],[PLAZO Días]],"PAGO VENCIDO")</f>
        <v>PAGO VENCIDO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0</v>
      </c>
      <c r="E239" s="25"/>
      <c r="F239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39" s="289">
        <v>45027</v>
      </c>
      <c r="H239" s="26" t="s">
        <v>296</v>
      </c>
      <c r="I239" s="289">
        <v>44928</v>
      </c>
      <c r="J239" s="35">
        <v>2739</v>
      </c>
      <c r="K239" s="21">
        <v>2244350</v>
      </c>
      <c r="L239" s="21"/>
      <c r="M239" s="22">
        <f>(PROVEEDORES[[#This Row],[SUBTOTAL]]-PROVEEDORES[[#This Row],[descuento sobre subtotal]])*VLOOKUP(PROVEEDORES[[#This Row],[PROVEEDOR]],TERCEROS_INFO[#All],3,FALSE)</f>
        <v>0</v>
      </c>
      <c r="N239" s="23"/>
      <c r="O239" s="22">
        <f>+PROVEEDORES[[#This Row],[Descuento sobre subtotal %]]*(PROVEEDORES[[#This Row],[SUBTOTAL]]-PROVEEDORES[[#This Row],[descuento sobre subtotal]])</f>
        <v>0</v>
      </c>
      <c r="P239" s="72">
        <f>+IF(PROVEEDORES[[#This Row],[SUBTOTAL]]&lt;PROVEEDORES[[#This Row],[base retencion]],0,PROVEEDORES[[#This Row],[retención aplicada]])</f>
        <v>0</v>
      </c>
      <c r="Q239" s="22">
        <f>+PROVEEDORES[[#This Row],[Rete Fuente %]]*(PROVEEDORES[[#This Row],[SUBTOTAL]]-PROVEEDORES[[#This Row],[descuento sobre subtotal]])</f>
        <v>0</v>
      </c>
      <c r="R239" s="21">
        <f>+PROVEEDORES[[#This Row],[SUBTOTAL]]+PROVEEDORES[[#This Row],[IVA 19%]]-PROVEEDORES[[#This Row],[descuento sobre subtotal]]-PROVEEDORES[[#This Row],[Descuento sobre subtotal $2]]-PROVEEDORES[[#This Row],[Rete Fuente $]]</f>
        <v>2244350</v>
      </c>
      <c r="S2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1">
        <f ca="1">IF(PROVEEDORES[[#This Row],[FECHA DE PAGO]]=0,TODAY()-PROVEEDORES[[#This Row],[FECHA DE FACTURACIÓN]]-PROVEEDORES[[#This Row],[PLAZO Días]],0)</f>
        <v>0</v>
      </c>
      <c r="U239" s="97">
        <f>+VLOOKUP(PROVEEDORES[[#This Row],[PROVEEDOR]],Terceros!$A:$D,4,FALSE)</f>
        <v>0</v>
      </c>
      <c r="V239" s="98">
        <f>+YEAR(PROVEEDORES[[#This Row],[FECHA DE FACTURACIÓN]])</f>
        <v>2023</v>
      </c>
      <c r="W239" s="98">
        <f>+MATCH(PROVEEDORES[[#This Row],[año facturado]],Retenciones!$1:$1,0)</f>
        <v>6</v>
      </c>
      <c r="X239" s="99">
        <f>+VLOOKUP(PROVEEDORES[[#This Row],[ID RETENCION]],Retenciones!$A$1:$O$25,PROVEEDORES[[#This Row],[indicador de columna]],FALSE)</f>
        <v>0</v>
      </c>
      <c r="Y239" s="100">
        <f>+VLOOKUP(PROVEEDORES[[#This Row],[ID RETENCION]],Retenciones!$A$1:$O$25,2,FALSE)</f>
        <v>0</v>
      </c>
      <c r="Z239" s="103" t="b">
        <f>OR(COUNTIF(PROVEEDORES[[#This Row],[PROVEEDOR]],"*"&amp;'Palabra no opera'!$A$2&amp;"*"))</f>
        <v>0</v>
      </c>
    </row>
    <row r="240" spans="1:26" ht="22.35" customHeight="1" x14ac:dyDescent="0.25">
      <c r="A240" s="243" t="str">
        <f>+IF(PROVEEDORES[[#This Row],[FECHA DE PAGO]]=PROVEEDORES[[#This Row],[FECHA DE FACTURACIÓN]],"DE CONTADO","CRÉDITO")</f>
        <v>CRÉDITO</v>
      </c>
      <c r="B240" s="38" t="str">
        <f>+IF((PROVEEDORES[[#This Row],[FECHA DE PAGO]]-PROVEEDORES[[#This Row],[FECHA DE FACTURACIÓN]])&gt;PROVEEDORES[[#This Row],[PLAZO Días]],"PAGO VENCIDO")</f>
        <v>PAGO VENCIDO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0</v>
      </c>
      <c r="E240" s="25"/>
      <c r="F240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40" s="289">
        <v>45251</v>
      </c>
      <c r="H240" s="26" t="s">
        <v>296</v>
      </c>
      <c r="I240" s="289">
        <v>45195</v>
      </c>
      <c r="J240" s="35" t="s">
        <v>1153</v>
      </c>
      <c r="K240" s="21">
        <v>4316750</v>
      </c>
      <c r="L240" s="21">
        <v>319000</v>
      </c>
      <c r="M240" s="22">
        <f>(PROVEEDORES[[#This Row],[SUBTOTAL]]-PROVEEDORES[[#This Row],[descuento sobre subtotal]])*VLOOKUP(PROVEEDORES[[#This Row],[PROVEEDOR]],TERCEROS_INFO[#All],3,FALSE)</f>
        <v>0</v>
      </c>
      <c r="N240" s="23"/>
      <c r="O240" s="22">
        <f>+PROVEEDORES[[#This Row],[Descuento sobre subtotal %]]*(PROVEEDORES[[#This Row],[SUBTOTAL]]-PROVEEDORES[[#This Row],[descuento sobre subtotal]])</f>
        <v>0</v>
      </c>
      <c r="P240" s="72">
        <f>+IF(PROVEEDORES[[#This Row],[SUBTOTAL]]&lt;PROVEEDORES[[#This Row],[base retencion]],0,PROVEEDORES[[#This Row],[retención aplicada]])</f>
        <v>0</v>
      </c>
      <c r="Q240" s="22">
        <f>+PROVEEDORES[[#This Row],[Rete Fuente %]]*(PROVEEDORES[[#This Row],[SUBTOTAL]]-PROVEEDORES[[#This Row],[descuento sobre subtotal]])</f>
        <v>0</v>
      </c>
      <c r="R240" s="21">
        <f>+PROVEEDORES[[#This Row],[SUBTOTAL]]+PROVEEDORES[[#This Row],[IVA 19%]]-PROVEEDORES[[#This Row],[descuento sobre subtotal]]-PROVEEDORES[[#This Row],[Descuento sobre subtotal $2]]-PROVEEDORES[[#This Row],[Rete Fuente $]]</f>
        <v>3997750</v>
      </c>
      <c r="S240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1">
        <f ca="1">IF(PROVEEDORES[[#This Row],[FECHA DE PAGO]]=0,TODAY()-PROVEEDORES[[#This Row],[FECHA DE FACTURACIÓN]]-PROVEEDORES[[#This Row],[PLAZO Días]],0)</f>
        <v>0</v>
      </c>
      <c r="U240" s="97">
        <f>+VLOOKUP(PROVEEDORES[[#This Row],[PROVEEDOR]],Terceros!$A:$D,4,FALSE)</f>
        <v>0</v>
      </c>
      <c r="V240" s="98">
        <f>+YEAR(PROVEEDORES[[#This Row],[FECHA DE FACTURACIÓN]])</f>
        <v>2023</v>
      </c>
      <c r="W240" s="98">
        <f>+MATCH(PROVEEDORES[[#This Row],[año facturado]],Retenciones!$1:$1,0)</f>
        <v>6</v>
      </c>
      <c r="X240" s="99">
        <f>+VLOOKUP(PROVEEDORES[[#This Row],[ID RETENCION]],Retenciones!$A$1:$O$25,PROVEEDORES[[#This Row],[indicador de columna]],FALSE)</f>
        <v>0</v>
      </c>
      <c r="Y240" s="100">
        <f>+VLOOKUP(PROVEEDORES[[#This Row],[ID RETENCION]],Retenciones!$A$1:$O$25,2,FALSE)</f>
        <v>0</v>
      </c>
      <c r="Z240" s="103" t="b">
        <f>OR(COUNTIF(PROVEEDORES[[#This Row],[PROVEEDOR]],"*"&amp;'Palabra no opera'!$A$2&amp;"*"))</f>
        <v>0</v>
      </c>
    </row>
    <row r="241" spans="1:26" ht="22.35" customHeight="1" x14ac:dyDescent="0.25">
      <c r="A241" s="198" t="str">
        <f>+IF(PROVEEDORES[[#This Row],[FECHA DE PAGO]]=PROVEEDORES[[#This Row],[FECHA DE FACTURACIÓN]],"DE CONTADO","CRÉDITO")</f>
        <v>CRÉDITO</v>
      </c>
      <c r="B241" s="38" t="b">
        <f>+IF((PROVEEDORES[[#This Row],[FECHA DE PAGO]]-PROVEEDORES[[#This Row],[FECHA DE FACTURACIÓN]])&gt;PROVEEDORES[[#This Row],[PLAZO Días]],"PAGO VENCIDO")</f>
        <v>0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0</v>
      </c>
      <c r="E241" s="25"/>
      <c r="F241" s="56">
        <f>+VLOOKUP(PROVEEDORES[[#This Row],[PROVEEDOR]],
                       Terceros!$A:$F,
                       5,
                       FALSE)</f>
        <v>0</v>
      </c>
      <c r="G241" s="289">
        <v>45091</v>
      </c>
      <c r="H241" s="26" t="s">
        <v>856</v>
      </c>
      <c r="I241" s="289">
        <v>45064</v>
      </c>
      <c r="J241" s="35" t="s">
        <v>852</v>
      </c>
      <c r="K241" s="21">
        <v>400000</v>
      </c>
      <c r="L241" s="21"/>
      <c r="M241" s="22">
        <f>(PROVEEDORES[[#This Row],[SUBTOTAL]]-PROVEEDORES[[#This Row],[descuento sobre subtotal]])*VLOOKUP(PROVEEDORES[[#This Row],[PROVEEDOR]],TERCEROS_INFO[#All],3,FALSE)</f>
        <v>0</v>
      </c>
      <c r="N241" s="23"/>
      <c r="O241" s="22">
        <f>+PROVEEDORES[[#This Row],[Descuento sobre subtotal %]]*(PROVEEDORES[[#This Row],[SUBTOTAL]]-PROVEEDORES[[#This Row],[descuento sobre subtotal]])</f>
        <v>0</v>
      </c>
      <c r="P241" s="72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41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1">
        <f ca="1">IF(PROVEEDORES[[#This Row],[FECHA DE PAGO]]=0,TODAY()-PROVEEDORES[[#This Row],[FECHA DE FACTURACIÓN]]-PROVEEDORES[[#This Row],[PLAZO Días]],0)</f>
        <v>0</v>
      </c>
      <c r="U241" s="97">
        <f>+VLOOKUP(PROVEEDORES[[#This Row],[PROVEEDOR]],Terceros!$A:$D,4,FALSE)</f>
        <v>0</v>
      </c>
      <c r="V241" s="98">
        <f>+YEAR(PROVEEDORES[[#This Row],[FECHA DE FACTURACIÓN]])</f>
        <v>2023</v>
      </c>
      <c r="W241" s="98">
        <f>+MATCH(PROVEEDORES[[#This Row],[año facturado]],Retenciones!$1:$1,0)</f>
        <v>6</v>
      </c>
      <c r="X241" s="99">
        <f>+VLOOKUP(PROVEEDORES[[#This Row],[ID RETENCION]],Retenciones!$A$1:$O$25,PROVEEDORES[[#This Row],[indicador de columna]],FALSE)</f>
        <v>0</v>
      </c>
      <c r="Y241" s="100">
        <f>+VLOOKUP(PROVEEDORES[[#This Row],[ID RETENCION]],Retenciones!$A$1:$O$25,2,FALSE)</f>
        <v>0</v>
      </c>
      <c r="Z241" s="103" t="b">
        <f>OR(COUNTIF(PROVEEDORES[[#This Row],[PROVEEDOR]],"*"&amp;'Palabra no opera'!$A$2&amp;"*"))</f>
        <v>0</v>
      </c>
    </row>
    <row r="242" spans="1:26" ht="22.35" customHeight="1" x14ac:dyDescent="0.25">
      <c r="A242" s="65" t="str">
        <f>+IF(PROVEEDORES[[#This Row],[FECHA DE PAGO]]=PROVEEDORES[[#This Row],[FECHA DE FACTURACIÓN]],"DE CONTADO","CRÉDITO")</f>
        <v>DE CONTADO</v>
      </c>
      <c r="B242" s="38" t="b">
        <f>+IF((PROVEEDORES[[#This Row],[FECHA DE PAGO]]-PROVEEDORES[[#This Row],[FECHA DE FACTURACIÓN]])&gt;PROVEEDORES[[#This Row],[PLAZO Días]],"PAGO VENCIDO")</f>
        <v>0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0</v>
      </c>
      <c r="E242" s="25"/>
      <c r="F242" s="56" t="str">
        <f>+VLOOKUP(PROVEEDORES[[#This Row],[PROVEEDOR]],
                       Terceros!$A:$F,
                       5,
                       FALSE)</f>
        <v/>
      </c>
      <c r="G242" s="289">
        <v>45201</v>
      </c>
      <c r="H242" s="26" t="s">
        <v>299</v>
      </c>
      <c r="I242" s="289">
        <v>45201</v>
      </c>
      <c r="J242" s="35"/>
      <c r="K242" s="21">
        <v>1031000</v>
      </c>
      <c r="L242" s="21"/>
      <c r="M242" s="22">
        <f>(PROVEEDORES[[#This Row],[SUBTOTAL]]-PROVEEDORES[[#This Row],[descuento sobre subtotal]])*VLOOKUP(PROVEEDORES[[#This Row],[PROVEEDOR]],TERCEROS_INFO[#All],3,FALSE)</f>
        <v>0</v>
      </c>
      <c r="N242" s="23"/>
      <c r="O242" s="22">
        <f>+PROVEEDORES[[#This Row],[Descuento sobre subtotal %]]*(PROVEEDORES[[#This Row],[SUBTOTAL]]-PROVEEDORES[[#This Row],[descuento sobre subtotal]])</f>
        <v>0</v>
      </c>
      <c r="P242" s="72">
        <f>+IF(PROVEEDORES[[#This Row],[SUBTOTAL]]&lt;PROVEEDORES[[#This Row],[base retencion]],0,PROVEEDORES[[#This Row],[retención aplicada]])</f>
        <v>0</v>
      </c>
      <c r="Q242" s="22">
        <f>+PROVEEDORES[[#This Row],[Rete Fuente %]]*(PROVEEDORES[[#This Row],[SUBTOTAL]]-PROVEEDORES[[#This Row],[descuento sobre subtotal]])</f>
        <v>0</v>
      </c>
      <c r="R242" s="21">
        <f>+PROVEEDORES[[#This Row],[SUBTOTAL]]+PROVEEDORES[[#This Row],[IVA 19%]]-PROVEEDORES[[#This Row],[descuento sobre subtotal]]-PROVEEDORES[[#This Row],[Descuento sobre subtotal $2]]-PROVEEDORES[[#This Row],[Rete Fuente $]]</f>
        <v>1031000</v>
      </c>
      <c r="S2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1">
        <f ca="1">IF(PROVEEDORES[[#This Row],[FECHA DE PAGO]]=0,TODAY()-PROVEEDORES[[#This Row],[FECHA DE FACTURACIÓN]]-PROVEEDORES[[#This Row],[PLAZO Días]],0)</f>
        <v>0</v>
      </c>
      <c r="U242" s="97">
        <f>+VLOOKUP(PROVEEDORES[[#This Row],[PROVEEDOR]],Terceros!$A:$D,4,FALSE)</f>
        <v>0</v>
      </c>
      <c r="V242" s="98">
        <f>+YEAR(PROVEEDORES[[#This Row],[FECHA DE FACTURACIÓN]])</f>
        <v>2023</v>
      </c>
      <c r="W242" s="98">
        <f>+MATCH(PROVEEDORES[[#This Row],[año facturado]],Retenciones!$1:$1,0)</f>
        <v>6</v>
      </c>
      <c r="X242" s="99">
        <f>+VLOOKUP(PROVEEDORES[[#This Row],[ID RETENCION]],Retenciones!$A$1:$O$25,PROVEEDORES[[#This Row],[indicador de columna]],FALSE)</f>
        <v>0</v>
      </c>
      <c r="Y242" s="100">
        <f>+VLOOKUP(PROVEEDORES[[#This Row],[ID RETENCION]],Retenciones!$A$1:$O$25,2,FALSE)</f>
        <v>0</v>
      </c>
      <c r="Z242" s="103" t="b">
        <f>OR(COUNTIF(PROVEEDORES[[#This Row],[PROVEEDOR]],"*"&amp;'Palabra no opera'!$A$2&amp;"*"))</f>
        <v>0</v>
      </c>
    </row>
    <row r="243" spans="1:26" ht="22.35" customHeight="1" x14ac:dyDescent="0.25">
      <c r="A243" s="65" t="str">
        <f>+IF(PROVEEDORES[[#This Row],[FECHA DE PAGO]]=PROVEEDORES[[#This Row],[FECHA DE FACTURACIÓN]],"DE CONTADO","CRÉDITO")</f>
        <v>DE CONTADO</v>
      </c>
      <c r="B243" s="38" t="b">
        <f>+IF((PROVEEDORES[[#This Row],[FECHA DE PAGO]]-PROVEEDORES[[#This Row],[FECHA DE FACTURACIÓN]])&gt;PROVEEDORES[[#This Row],[PLAZO Días]],"PAGO VENCIDO")</f>
        <v>0</v>
      </c>
      <c r="C243" s="20">
        <f>+VLOOKUP(PROVEEDORES[[#This Row],[PROVEEDOR]],TERCEROS_INFO[#All],2,FALSE)</f>
        <v>30</v>
      </c>
      <c r="D243" s="25">
        <f>+SUMIFS(PROVEEDORES[Total],PROVEEDORES[PROVEEDOR],PROVEEDORES[[#This Row],[PROVEEDOR]],PROVEEDORES[FECHA DE PAGO],"")</f>
        <v>0</v>
      </c>
      <c r="E243" s="25"/>
      <c r="F243" s="56" t="str">
        <f>+VLOOKUP(PROVEEDORES[[#This Row],[PROVEEDOR]],
                       Terceros!$A:$F,
                       5,
                       FALSE)</f>
        <v/>
      </c>
      <c r="G243" s="289">
        <v>45208</v>
      </c>
      <c r="H243" s="26" t="s">
        <v>299</v>
      </c>
      <c r="I243" s="289">
        <v>45208</v>
      </c>
      <c r="J243" s="35"/>
      <c r="K243" s="21">
        <v>1000000</v>
      </c>
      <c r="L243" s="21"/>
      <c r="M243" s="22">
        <f>(PROVEEDORES[[#This Row],[SUBTOTAL]]-PROVEEDORES[[#This Row],[descuento sobre subtotal]])*VLOOKUP(PROVEEDORES[[#This Row],[PROVEEDOR]],TERCEROS_INFO[#All],3,FALSE)</f>
        <v>0</v>
      </c>
      <c r="N243" s="23"/>
      <c r="O243" s="22">
        <f>+PROVEEDORES[[#This Row],[Descuento sobre subtotal %]]*(PROVEEDORES[[#This Row],[SUBTOTAL]]-PROVEEDORES[[#This Row],[descuento sobre subtotal]])</f>
        <v>0</v>
      </c>
      <c r="P243" s="72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1">
        <f ca="1">IF(PROVEEDORES[[#This Row],[FECHA DE PAGO]]=0,TODAY()-PROVEEDORES[[#This Row],[FECHA DE FACTURACIÓN]]-PROVEEDORES[[#This Row],[PLAZO Días]],0)</f>
        <v>0</v>
      </c>
      <c r="U243" s="97">
        <f>+VLOOKUP(PROVEEDORES[[#This Row],[PROVEEDOR]],Terceros!$A:$D,4,FALSE)</f>
        <v>0</v>
      </c>
      <c r="V243" s="98">
        <f>+YEAR(PROVEEDORES[[#This Row],[FECHA DE FACTURACIÓN]])</f>
        <v>2023</v>
      </c>
      <c r="W243" s="98">
        <f>+MATCH(PROVEEDORES[[#This Row],[año facturado]],Retenciones!$1:$1,0)</f>
        <v>6</v>
      </c>
      <c r="X243" s="99">
        <f>+VLOOKUP(PROVEEDORES[[#This Row],[ID RETENCION]],Retenciones!$A$1:$O$25,PROVEEDORES[[#This Row],[indicador de columna]],FALSE)</f>
        <v>0</v>
      </c>
      <c r="Y243" s="100">
        <f>+VLOOKUP(PROVEEDORES[[#This Row],[ID RETENCION]],Retenciones!$A$1:$O$25,2,FALSE)</f>
        <v>0</v>
      </c>
      <c r="Z243" s="103" t="b">
        <f>OR(COUNTIF(PROVEEDORES[[#This Row],[PROVEEDOR]],"*"&amp;'Palabra no opera'!$A$2&amp;"*"))</f>
        <v>0</v>
      </c>
    </row>
    <row r="244" spans="1:26" ht="22.35" customHeight="1" x14ac:dyDescent="0.25">
      <c r="A244" s="65" t="str">
        <f>+IF(PROVEEDORES[[#This Row],[FECHA DE PAGO]]=PROVEEDORES[[#This Row],[FECHA DE FACTURACIÓN]],"DE CONTADO","CRÉDITO")</f>
        <v>DE CONTADO</v>
      </c>
      <c r="B244" s="38" t="b">
        <f>+IF((PROVEEDORES[[#This Row],[FECHA DE PAGO]]-PROVEEDORES[[#This Row],[FECHA DE FACTURACIÓN]])&gt;PROVEEDORES[[#This Row],[PLAZO Días]],"PAGO VENCIDO")</f>
        <v>0</v>
      </c>
      <c r="C244" s="20">
        <f>+VLOOKUP(PROVEEDORES[[#This Row],[PROVEEDOR]],TERCEROS_INFO[#All],2,FALSE)</f>
        <v>30</v>
      </c>
      <c r="D244" s="25">
        <f>+SUMIFS(PROVEEDORES[Total],PROVEEDORES[PROVEEDOR],PROVEEDORES[[#This Row],[PROVEEDOR]],PROVEEDORES[FECHA DE PAGO],"")</f>
        <v>0</v>
      </c>
      <c r="E244" s="25"/>
      <c r="F244" s="56" t="str">
        <f>+VLOOKUP(PROVEEDORES[[#This Row],[PROVEEDOR]],
                       Terceros!$A:$F,
                       5,
                       FALSE)</f>
        <v/>
      </c>
      <c r="G244" s="289">
        <v>45218</v>
      </c>
      <c r="H244" s="26" t="s">
        <v>299</v>
      </c>
      <c r="I244" s="289">
        <v>45218</v>
      </c>
      <c r="J244" s="35"/>
      <c r="K244" s="21">
        <v>1000000</v>
      </c>
      <c r="L244" s="21"/>
      <c r="M244" s="22">
        <f>(PROVEEDORES[[#This Row],[SUBTOTAL]]-PROVEEDORES[[#This Row],[descuento sobre subtotal]])*VLOOKUP(PROVEEDORES[[#This Row],[PROVEEDOR]],TERCEROS_INFO[#All],3,FALSE)</f>
        <v>0</v>
      </c>
      <c r="N244" s="23"/>
      <c r="O244" s="22">
        <f>+PROVEEDORES[[#This Row],[Descuento sobre subtotal %]]*(PROVEEDORES[[#This Row],[SUBTOTAL]]-PROVEEDORES[[#This Row],[descuento sobre subtotal]])</f>
        <v>0</v>
      </c>
      <c r="P244" s="72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1">
        <f ca="1">IF(PROVEEDORES[[#This Row],[FECHA DE PAGO]]=0,TODAY()-PROVEEDORES[[#This Row],[FECHA DE FACTURACIÓN]]-PROVEEDORES[[#This Row],[PLAZO Días]],0)</f>
        <v>0</v>
      </c>
      <c r="U244" s="97">
        <f>+VLOOKUP(PROVEEDORES[[#This Row],[PROVEEDOR]],Terceros!$A:$D,4,FALSE)</f>
        <v>0</v>
      </c>
      <c r="V244" s="98">
        <f>+YEAR(PROVEEDORES[[#This Row],[FECHA DE FACTURACIÓN]])</f>
        <v>2023</v>
      </c>
      <c r="W244" s="98">
        <f>+MATCH(PROVEEDORES[[#This Row],[año facturado]],Retenciones!$1:$1,0)</f>
        <v>6</v>
      </c>
      <c r="X244" s="99">
        <f>+VLOOKUP(PROVEEDORES[[#This Row],[ID RETENCION]],Retenciones!$A$1:$O$25,PROVEEDORES[[#This Row],[indicador de columna]],FALSE)</f>
        <v>0</v>
      </c>
      <c r="Y244" s="100">
        <f>+VLOOKUP(PROVEEDORES[[#This Row],[ID RETENCION]],Retenciones!$A$1:$O$25,2,FALSE)</f>
        <v>0</v>
      </c>
      <c r="Z244" s="103" t="b">
        <f>OR(COUNTIF(PROVEEDORES[[#This Row],[PROVEEDOR]],"*"&amp;'Palabra no opera'!$A$2&amp;"*"))</f>
        <v>0</v>
      </c>
    </row>
    <row r="245" spans="1:26" ht="22.35" customHeight="1" x14ac:dyDescent="0.25">
      <c r="A245" s="247" t="str">
        <f>+IF(PROVEEDORES[[#This Row],[FECHA DE PAGO]]=PROVEEDORES[[#This Row],[FECHA DE FACTURACIÓN]],"DE CONTADO","CRÉDITO")</f>
        <v>DE CONTADO</v>
      </c>
      <c r="B245" s="38" t="b">
        <f>+IF((PROVEEDORES[[#This Row],[FECHA DE PAGO]]-PROVEEDORES[[#This Row],[FECHA DE FACTURACIÓN]])&gt;PROVEEDORES[[#This Row],[PLAZO Días]],"PAGO VENCIDO")</f>
        <v>0</v>
      </c>
      <c r="C245" s="20">
        <f>+VLOOKUP(PROVEEDORES[[#This Row],[PROVEEDOR]],TERCEROS_INFO[#All],2,FALSE)</f>
        <v>30</v>
      </c>
      <c r="D245" s="25">
        <f>+SUMIFS(PROVEEDORES[Total],PROVEEDORES[PROVEEDOR],PROVEEDORES[[#This Row],[PROVEEDOR]],PROVEEDORES[FECHA DE PAGO],"")</f>
        <v>0</v>
      </c>
      <c r="E245" s="25"/>
      <c r="F245" s="56" t="str">
        <f>+VLOOKUP(PROVEEDORES[[#This Row],[PROVEEDOR]],
                       Terceros!$A:$F,
                       5,
                       FALSE)</f>
        <v/>
      </c>
      <c r="G245" s="289">
        <v>45224</v>
      </c>
      <c r="H245" s="26" t="s">
        <v>299</v>
      </c>
      <c r="I245" s="289">
        <v>45224</v>
      </c>
      <c r="J245" s="35"/>
      <c r="K245" s="21">
        <v>800000</v>
      </c>
      <c r="L245" s="21"/>
      <c r="M245" s="22">
        <f>(PROVEEDORES[[#This Row],[SUBTOTAL]]-PROVEEDORES[[#This Row],[descuento sobre subtotal]])*VLOOKUP(PROVEEDORES[[#This Row],[PROVEEDOR]],TERCEROS_INFO[#All],3,FALSE)</f>
        <v>0</v>
      </c>
      <c r="N245" s="23"/>
      <c r="O245" s="22">
        <f>+PROVEEDORES[[#This Row],[Descuento sobre subtotal %]]*(PROVEEDORES[[#This Row],[SUBTOTAL]]-PROVEEDORES[[#This Row],[descuento sobre subtotal]])</f>
        <v>0</v>
      </c>
      <c r="P245" s="72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245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1">
        <f ca="1">IF(PROVEEDORES[[#This Row],[FECHA DE PAGO]]=0,TODAY()-PROVEEDORES[[#This Row],[FECHA DE FACTURACIÓN]]-PROVEEDORES[[#This Row],[PLAZO Días]],0)</f>
        <v>0</v>
      </c>
      <c r="U245" s="97">
        <f>+VLOOKUP(PROVEEDORES[[#This Row],[PROVEEDOR]],Terceros!$A:$D,4,FALSE)</f>
        <v>0</v>
      </c>
      <c r="V245" s="98">
        <f>+YEAR(PROVEEDORES[[#This Row],[FECHA DE FACTURACIÓN]])</f>
        <v>2023</v>
      </c>
      <c r="W245" s="98">
        <f>+MATCH(PROVEEDORES[[#This Row],[año facturado]],Retenciones!$1:$1,0)</f>
        <v>6</v>
      </c>
      <c r="X245" s="99">
        <f>+VLOOKUP(PROVEEDORES[[#This Row],[ID RETENCION]],Retenciones!$A$1:$O$25,PROVEEDORES[[#This Row],[indicador de columna]],FALSE)</f>
        <v>0</v>
      </c>
      <c r="Y245" s="100">
        <f>+VLOOKUP(PROVEEDORES[[#This Row],[ID RETENCION]],Retenciones!$A$1:$O$25,2,FALSE)</f>
        <v>0</v>
      </c>
      <c r="Z245" s="103" t="b">
        <f>OR(COUNTIF(PROVEEDORES[[#This Row],[PROVEEDOR]],"*"&amp;'Palabra no opera'!$A$2&amp;"*"))</f>
        <v>0</v>
      </c>
    </row>
    <row r="246" spans="1:26" ht="22.35" customHeight="1" x14ac:dyDescent="0.25">
      <c r="A246" s="249" t="str">
        <f>+IF(PROVEEDORES[[#This Row],[FECHA DE PAGO]]=PROVEEDORES[[#This Row],[FECHA DE FACTURACIÓN]],"DE CONTADO","CRÉDITO")</f>
        <v>DE CONTADO</v>
      </c>
      <c r="B246" s="38" t="b">
        <f>+IF((PROVEEDORES[[#This Row],[FECHA DE PAGO]]-PROVEEDORES[[#This Row],[FECHA DE FACTURACIÓN]])&gt;PROVEEDORES[[#This Row],[PLAZO Días]],"PAGO VENCIDO")</f>
        <v>0</v>
      </c>
      <c r="C246" s="20">
        <f>+VLOOKUP(PROVEEDORES[[#This Row],[PROVEEDOR]],TERCEROS_INFO[#All],2,FALSE)</f>
        <v>30</v>
      </c>
      <c r="D246" s="25">
        <f>+SUMIFS(PROVEEDORES[Total],PROVEEDORES[PROVEEDOR],PROVEEDORES[[#This Row],[PROVEEDOR]],PROVEEDORES[FECHA DE PAGO],"")</f>
        <v>0</v>
      </c>
      <c r="E246" s="25"/>
      <c r="F246" s="56" t="str">
        <f>+VLOOKUP(PROVEEDORES[[#This Row],[PROVEEDOR]],
                       Terceros!$A:$F,
                       5,
                       FALSE)</f>
        <v/>
      </c>
      <c r="G246" s="289">
        <v>45232</v>
      </c>
      <c r="H246" s="26" t="s">
        <v>299</v>
      </c>
      <c r="I246" s="289">
        <v>45232</v>
      </c>
      <c r="J246" s="35"/>
      <c r="K246" s="21">
        <v>1000000</v>
      </c>
      <c r="L246" s="21"/>
      <c r="M246" s="22">
        <f>(PROVEEDORES[[#This Row],[SUBTOTAL]]-PROVEEDORES[[#This Row],[descuento sobre subtotal]])*VLOOKUP(PROVEEDORES[[#This Row],[PROVEEDOR]],TERCEROS_INFO[#All],3,FALSE)</f>
        <v>0</v>
      </c>
      <c r="N246" s="23"/>
      <c r="O246" s="22">
        <f>+PROVEEDORES[[#This Row],[Descuento sobre subtotal %]]*(PROVEEDORES[[#This Row],[SUBTOTAL]]-PROVEEDORES[[#This Row],[descuento sobre subtotal]])</f>
        <v>0</v>
      </c>
      <c r="P246" s="72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6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1">
        <f ca="1">IF(PROVEEDORES[[#This Row],[FECHA DE PAGO]]=0,TODAY()-PROVEEDORES[[#This Row],[FECHA DE FACTURACIÓN]]-PROVEEDORES[[#This Row],[PLAZO Días]],0)</f>
        <v>0</v>
      </c>
      <c r="U246" s="97">
        <f>+VLOOKUP(PROVEEDORES[[#This Row],[PROVEEDOR]],Terceros!$A:$D,4,FALSE)</f>
        <v>0</v>
      </c>
      <c r="V246" s="98">
        <f>+YEAR(PROVEEDORES[[#This Row],[FECHA DE FACTURACIÓN]])</f>
        <v>2023</v>
      </c>
      <c r="W246" s="98">
        <f>+MATCH(PROVEEDORES[[#This Row],[año facturado]],Retenciones!$1:$1,0)</f>
        <v>6</v>
      </c>
      <c r="X246" s="99">
        <f>+VLOOKUP(PROVEEDORES[[#This Row],[ID RETENCION]],Retenciones!$A$1:$O$25,PROVEEDORES[[#This Row],[indicador de columna]],FALSE)</f>
        <v>0</v>
      </c>
      <c r="Y246" s="100">
        <f>+VLOOKUP(PROVEEDORES[[#This Row],[ID RETENCION]],Retenciones!$A$1:$O$25,2,FALSE)</f>
        <v>0</v>
      </c>
      <c r="Z246" s="103" t="b">
        <f>OR(COUNTIF(PROVEEDORES[[#This Row],[PROVEEDOR]],"*"&amp;'Palabra no opera'!$A$2&amp;"*"))</f>
        <v>0</v>
      </c>
    </row>
    <row r="247" spans="1:26" ht="22.35" customHeight="1" x14ac:dyDescent="0.25">
      <c r="A247" s="252" t="str">
        <f>+IF(PROVEEDORES[[#This Row],[FECHA DE PAGO]]=PROVEEDORES[[#This Row],[FECHA DE FACTURACIÓN]],"DE CONTADO","CRÉDITO")</f>
        <v>DE CONTADO</v>
      </c>
      <c r="B247" s="38" t="b">
        <f>+IF((PROVEEDORES[[#This Row],[FECHA DE PAGO]]-PROVEEDORES[[#This Row],[FECHA DE FACTURACIÓN]])&gt;PROVEEDORES[[#This Row],[PLAZO Días]],"PAGO VENCIDO")</f>
        <v>0</v>
      </c>
      <c r="C247" s="20">
        <f>+VLOOKUP(PROVEEDORES[[#This Row],[PROVEEDOR]],TERCEROS_INFO[#All],2,FALSE)</f>
        <v>30</v>
      </c>
      <c r="D247" s="25">
        <f>+SUMIFS(PROVEEDORES[Total],PROVEEDORES[PROVEEDOR],PROVEEDORES[[#This Row],[PROVEEDOR]],PROVEEDORES[FECHA DE PAGO],"")</f>
        <v>0</v>
      </c>
      <c r="E247" s="25"/>
      <c r="F247" s="56" t="str">
        <f>+VLOOKUP(PROVEEDORES[[#This Row],[PROVEEDOR]],
                       Terceros!$A:$F,
                       5,
                       FALSE)</f>
        <v/>
      </c>
      <c r="G247" s="289">
        <v>45237</v>
      </c>
      <c r="H247" s="26" t="s">
        <v>299</v>
      </c>
      <c r="I247" s="289">
        <v>45237</v>
      </c>
      <c r="J247" s="35"/>
      <c r="K247" s="21">
        <v>1000000</v>
      </c>
      <c r="L247" s="21"/>
      <c r="M247" s="22">
        <f>(PROVEEDORES[[#This Row],[SUBTOTAL]]-PROVEEDORES[[#This Row],[descuento sobre subtotal]])*VLOOKUP(PROVEEDORES[[#This Row],[PROVEEDOR]],TERCEROS_INFO[#All],3,FALSE)</f>
        <v>0</v>
      </c>
      <c r="N247" s="23"/>
      <c r="O247" s="22">
        <f>+PROVEEDORES[[#This Row],[Descuento sobre subtotal %]]*(PROVEEDORES[[#This Row],[SUBTOTAL]]-PROVEEDORES[[#This Row],[descuento sobre subtotal]])</f>
        <v>0</v>
      </c>
      <c r="P247" s="72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1">
        <f ca="1">IF(PROVEEDORES[[#This Row],[FECHA DE PAGO]]=0,TODAY()-PROVEEDORES[[#This Row],[FECHA DE FACTURACIÓN]]-PROVEEDORES[[#This Row],[PLAZO Días]],0)</f>
        <v>0</v>
      </c>
      <c r="U247" s="97">
        <f>+VLOOKUP(PROVEEDORES[[#This Row],[PROVEEDOR]],Terceros!$A:$D,4,FALSE)</f>
        <v>0</v>
      </c>
      <c r="V247" s="98">
        <f>+YEAR(PROVEEDORES[[#This Row],[FECHA DE FACTURACIÓN]])</f>
        <v>2023</v>
      </c>
      <c r="W247" s="98">
        <f>+MATCH(PROVEEDORES[[#This Row],[año facturado]],Retenciones!$1:$1,0)</f>
        <v>6</v>
      </c>
      <c r="X247" s="99">
        <f>+VLOOKUP(PROVEEDORES[[#This Row],[ID RETENCION]],Retenciones!$A$1:$O$25,PROVEEDORES[[#This Row],[indicador de columna]],FALSE)</f>
        <v>0</v>
      </c>
      <c r="Y247" s="100">
        <f>+VLOOKUP(PROVEEDORES[[#This Row],[ID RETENCION]],Retenciones!$A$1:$O$25,2,FALSE)</f>
        <v>0</v>
      </c>
      <c r="Z247" s="103" t="b">
        <f>OR(COUNTIF(PROVEEDORES[[#This Row],[PROVEEDOR]],"*"&amp;'Palabra no opera'!$A$2&amp;"*"))</f>
        <v>0</v>
      </c>
    </row>
    <row r="248" spans="1:26" ht="22.35" customHeight="1" x14ac:dyDescent="0.25">
      <c r="A248" s="258" t="str">
        <f>+IF(PROVEEDORES[[#This Row],[FECHA DE PAGO]]=PROVEEDORES[[#This Row],[FECHA DE FACTURACIÓN]],"DE CONTADO","CRÉDITO")</f>
        <v>DE CONTADO</v>
      </c>
      <c r="B248" s="38" t="b">
        <f>+IF((PROVEEDORES[[#This Row],[FECHA DE PAGO]]-PROVEEDORES[[#This Row],[FECHA DE FACTURACIÓN]])&gt;PROVEEDORES[[#This Row],[PLAZO Días]],"PAGO VENCIDO")</f>
        <v>0</v>
      </c>
      <c r="C248" s="20">
        <f>+VLOOKUP(PROVEEDORES[[#This Row],[PROVEEDOR]],TERCEROS_INFO[#All],2,FALSE)</f>
        <v>30</v>
      </c>
      <c r="D248" s="25">
        <f>+SUMIFS(PROVEEDORES[Total],PROVEEDORES[PROVEEDOR],PROVEEDORES[[#This Row],[PROVEEDOR]],PROVEEDORES[FECHA DE PAGO],"")</f>
        <v>0</v>
      </c>
      <c r="E248" s="25"/>
      <c r="F248" s="56" t="str">
        <f>+VLOOKUP(PROVEEDORES[[#This Row],[PROVEEDOR]],
                       Terceros!$A:$F,
                       5,
                       FALSE)</f>
        <v/>
      </c>
      <c r="G248" s="289">
        <v>45247</v>
      </c>
      <c r="H248" s="26" t="s">
        <v>299</v>
      </c>
      <c r="I248" s="289">
        <v>45247</v>
      </c>
      <c r="J248" s="35"/>
      <c r="K248" s="21">
        <v>1000000</v>
      </c>
      <c r="L248" s="21"/>
      <c r="M248" s="22">
        <f>(PROVEEDORES[[#This Row],[SUBTOTAL]]-PROVEEDORES[[#This Row],[descuento sobre subtotal]])*VLOOKUP(PROVEEDORES[[#This Row],[PROVEEDOR]],TERCEROS_INFO[#All],3,FALSE)</f>
        <v>0</v>
      </c>
      <c r="N248" s="23"/>
      <c r="O248" s="22">
        <f>+PROVEEDORES[[#This Row],[Descuento sobre subtotal %]]*(PROVEEDORES[[#This Row],[SUBTOTAL]]-PROVEEDORES[[#This Row],[descuento sobre subtotal]])</f>
        <v>0</v>
      </c>
      <c r="P248" s="72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8" s="25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1">
        <f ca="1">IF(PROVEEDORES[[#This Row],[FECHA DE PAGO]]=0,TODAY()-PROVEEDORES[[#This Row],[FECHA DE FACTURACIÓN]]-PROVEEDORES[[#This Row],[PLAZO Días]],0)</f>
        <v>0</v>
      </c>
      <c r="U248" s="97">
        <f>+VLOOKUP(PROVEEDORES[[#This Row],[PROVEEDOR]],Terceros!$A:$D,4,FALSE)</f>
        <v>0</v>
      </c>
      <c r="V248" s="98">
        <f>+YEAR(PROVEEDORES[[#This Row],[FECHA DE FACTURACIÓN]])</f>
        <v>2023</v>
      </c>
      <c r="W248" s="98">
        <f>+MATCH(PROVEEDORES[[#This Row],[año facturado]],Retenciones!$1:$1,0)</f>
        <v>6</v>
      </c>
      <c r="X248" s="99">
        <f>+VLOOKUP(PROVEEDORES[[#This Row],[ID RETENCION]],Retenciones!$A$1:$O$25,PROVEEDORES[[#This Row],[indicador de columna]],FALSE)</f>
        <v>0</v>
      </c>
      <c r="Y248" s="100">
        <f>+VLOOKUP(PROVEEDORES[[#This Row],[ID RETENCION]],Retenciones!$A$1:$O$25,2,FALSE)</f>
        <v>0</v>
      </c>
      <c r="Z248" s="103" t="b">
        <f>OR(COUNTIF(PROVEEDORES[[#This Row],[PROVEEDOR]],"*"&amp;'Palabra no opera'!$A$2&amp;"*"))</f>
        <v>0</v>
      </c>
    </row>
    <row r="249" spans="1:26" ht="22.35" customHeight="1" x14ac:dyDescent="0.25">
      <c r="A249" s="265" t="str">
        <f>+IF(PROVEEDORES[[#This Row],[FECHA DE PAGO]]=PROVEEDORES[[#This Row],[FECHA DE FACTURACIÓN]],"DE CONTADO","CRÉDITO")</f>
        <v>DE CONTADO</v>
      </c>
      <c r="B249" s="38" t="b">
        <f>+IF((PROVEEDORES[[#This Row],[FECHA DE PAGO]]-PROVEEDORES[[#This Row],[FECHA DE FACTURACIÓN]])&gt;PROVEEDORES[[#This Row],[PLAZO Días]],"PAGO VENCIDO")</f>
        <v>0</v>
      </c>
      <c r="C249" s="20">
        <f>+VLOOKUP(PROVEEDORES[[#This Row],[PROVEEDOR]],TERCEROS_INFO[#All],2,FALSE)</f>
        <v>30</v>
      </c>
      <c r="D249" s="25">
        <f>+SUMIFS(PROVEEDORES[Total],PROVEEDORES[PROVEEDOR],PROVEEDORES[[#This Row],[PROVEEDOR]],PROVEEDORES[FECHA DE PAGO],"")</f>
        <v>0</v>
      </c>
      <c r="E249" s="25"/>
      <c r="F249" s="56" t="str">
        <f>+VLOOKUP(PROVEEDORES[[#This Row],[PROVEEDOR]],
                       Terceros!$A:$F,
                       5,
                       FALSE)</f>
        <v/>
      </c>
      <c r="G249" s="289">
        <v>45261</v>
      </c>
      <c r="H249" s="26" t="s">
        <v>299</v>
      </c>
      <c r="I249" s="289">
        <v>45261</v>
      </c>
      <c r="J249" s="35"/>
      <c r="K249" s="21">
        <v>1000000</v>
      </c>
      <c r="L249" s="21"/>
      <c r="M249" s="22">
        <f>(PROVEEDORES[[#This Row],[SUBTOTAL]]-PROVEEDORES[[#This Row],[descuento sobre subtotal]])*VLOOKUP(PROVEEDORES[[#This Row],[PROVEEDOR]],TERCEROS_INFO[#All],3,FALSE)</f>
        <v>0</v>
      </c>
      <c r="N249" s="23"/>
      <c r="O249" s="22">
        <f>+PROVEEDORES[[#This Row],[Descuento sobre subtotal %]]*(PROVEEDORES[[#This Row],[SUBTOTAL]]-PROVEEDORES[[#This Row],[descuento sobre subtotal]])</f>
        <v>0</v>
      </c>
      <c r="P249" s="72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49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1">
        <f ca="1">IF(PROVEEDORES[[#This Row],[FECHA DE PAGO]]=0,TODAY()-PROVEEDORES[[#This Row],[FECHA DE FACTURACIÓN]]-PROVEEDORES[[#This Row],[PLAZO Días]],0)</f>
        <v>0</v>
      </c>
      <c r="U249" s="97">
        <f>+VLOOKUP(PROVEEDORES[[#This Row],[PROVEEDOR]],Terceros!$A:$D,4,FALSE)</f>
        <v>0</v>
      </c>
      <c r="V249" s="98">
        <f>+YEAR(PROVEEDORES[[#This Row],[FECHA DE FACTURACIÓN]])</f>
        <v>2023</v>
      </c>
      <c r="W249" s="98">
        <f>+MATCH(PROVEEDORES[[#This Row],[año facturado]],Retenciones!$1:$1,0)</f>
        <v>6</v>
      </c>
      <c r="X249" s="99">
        <f>+VLOOKUP(PROVEEDORES[[#This Row],[ID RETENCION]],Retenciones!$A$1:$O$25,PROVEEDORES[[#This Row],[indicador de columna]],FALSE)</f>
        <v>0</v>
      </c>
      <c r="Y249" s="100">
        <f>+VLOOKUP(PROVEEDORES[[#This Row],[ID RETENCION]],Retenciones!$A$1:$O$25,2,FALSE)</f>
        <v>0</v>
      </c>
      <c r="Z249" s="103" t="b">
        <f>OR(COUNTIF(PROVEEDORES[[#This Row],[PROVEEDOR]],"*"&amp;'Palabra no opera'!$A$2&amp;"*"))</f>
        <v>0</v>
      </c>
    </row>
    <row r="250" spans="1:26" ht="22.35" customHeight="1" x14ac:dyDescent="0.25">
      <c r="A250" s="65" t="str">
        <f>+IF(PROVEEDORES[[#This Row],[FECHA DE PAGO]]=PROVEEDORES[[#This Row],[FECHA DE FACTURACIÓN]],"DE CONTADO","CRÉDITO")</f>
        <v>DE CONTADO</v>
      </c>
      <c r="B250" s="38" t="b">
        <f>+IF((PROVEEDORES[[#This Row],[FECHA DE PAGO]]-PROVEEDORES[[#This Row],[FECHA DE FACTURACIÓN]])&gt;PROVEEDORES[[#This Row],[PLAZO Días]],"PAGO VENCIDO")</f>
        <v>0</v>
      </c>
      <c r="C250" s="20">
        <f>+VLOOKUP(PROVEEDORES[[#This Row],[PROVEEDOR]],TERCEROS_INFO[#All],2,FALSE)</f>
        <v>30</v>
      </c>
      <c r="D250" s="25">
        <f>+SUMIFS(PROVEEDORES[Total],PROVEEDORES[PROVEEDOR],PROVEEDORES[[#This Row],[PROVEEDOR]],PROVEEDORES[FECHA DE PAGO],"")</f>
        <v>0</v>
      </c>
      <c r="E250" s="25"/>
      <c r="F250" s="56" t="str">
        <f>+VLOOKUP(PROVEEDORES[[#This Row],[PROVEEDOR]],
                       Terceros!$A:$F,
                       5,
                       FALSE)</f>
        <v/>
      </c>
      <c r="G250" s="289">
        <v>45267</v>
      </c>
      <c r="H250" s="26" t="s">
        <v>299</v>
      </c>
      <c r="I250" s="289">
        <v>45267</v>
      </c>
      <c r="J250" s="35"/>
      <c r="K250" s="21">
        <v>1315000</v>
      </c>
      <c r="L250" s="21"/>
      <c r="M250" s="22">
        <f>(PROVEEDORES[[#This Row],[SUBTOTAL]]-PROVEEDORES[[#This Row],[descuento sobre subtotal]])*VLOOKUP(PROVEEDORES[[#This Row],[PROVEEDOR]],TERCEROS_INFO[#All],3,FALSE)</f>
        <v>0</v>
      </c>
      <c r="N250" s="23"/>
      <c r="O250" s="22">
        <f>+PROVEEDORES[[#This Row],[Descuento sobre subtotal %]]*(PROVEEDORES[[#This Row],[SUBTOTAL]]-PROVEEDORES[[#This Row],[descuento sobre subtotal]])</f>
        <v>0</v>
      </c>
      <c r="P250" s="72">
        <f>+IF(PROVEEDORES[[#This Row],[SUBTOTAL]]&lt;PROVEEDORES[[#This Row],[base retencion]],0,PROVEEDORES[[#This Row],[retención aplicada]])</f>
        <v>0</v>
      </c>
      <c r="Q250" s="22">
        <f>+PROVEEDORES[[#This Row],[Rete Fuente %]]*(PROVEEDORES[[#This Row],[SUBTOTAL]]-PROVEEDORES[[#This Row],[descuento sobre subtotal]])</f>
        <v>0</v>
      </c>
      <c r="R250" s="21">
        <f>+PROVEEDORES[[#This Row],[SUBTOTAL]]+PROVEEDORES[[#This Row],[IVA 19%]]-PROVEEDORES[[#This Row],[descuento sobre subtotal]]-PROVEEDORES[[#This Row],[Descuento sobre subtotal $2]]-PROVEEDORES[[#This Row],[Rete Fuente $]]</f>
        <v>1315000</v>
      </c>
      <c r="S2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1">
        <f ca="1">IF(PROVEEDORES[[#This Row],[FECHA DE PAGO]]=0,TODAY()-PROVEEDORES[[#This Row],[FECHA DE FACTURACIÓN]]-PROVEEDORES[[#This Row],[PLAZO Días]],0)</f>
        <v>0</v>
      </c>
      <c r="U250" s="97">
        <f>+VLOOKUP(PROVEEDORES[[#This Row],[PROVEEDOR]],Terceros!$A:$D,4,FALSE)</f>
        <v>0</v>
      </c>
      <c r="V250" s="98">
        <f>+YEAR(PROVEEDORES[[#This Row],[FECHA DE FACTURACIÓN]])</f>
        <v>2023</v>
      </c>
      <c r="W250" s="98">
        <f>+MATCH(PROVEEDORES[[#This Row],[año facturado]],Retenciones!$1:$1,0)</f>
        <v>6</v>
      </c>
      <c r="X250" s="99">
        <f>+VLOOKUP(PROVEEDORES[[#This Row],[ID RETENCION]],Retenciones!$A$1:$O$25,PROVEEDORES[[#This Row],[indicador de columna]],FALSE)</f>
        <v>0</v>
      </c>
      <c r="Y250" s="100">
        <f>+VLOOKUP(PROVEEDORES[[#This Row],[ID RETENCION]],Retenciones!$A$1:$O$25,2,FALSE)</f>
        <v>0</v>
      </c>
      <c r="Z250" s="103" t="b">
        <f>OR(COUNTIF(PROVEEDORES[[#This Row],[PROVEEDOR]],"*"&amp;'Palabra no opera'!$A$2&amp;"*"))</f>
        <v>0</v>
      </c>
    </row>
    <row r="251" spans="1:26" ht="22.35" customHeight="1" x14ac:dyDescent="0.25">
      <c r="A251" s="65" t="str">
        <f>+IF(PROVEEDORES[[#This Row],[FECHA DE PAGO]]=PROVEEDORES[[#This Row],[FECHA DE FACTURACIÓN]],"DE CONTADO","CRÉDITO")</f>
        <v>DE CONTADO</v>
      </c>
      <c r="B251" s="38" t="b">
        <f>+IF((PROVEEDORES[[#This Row],[FECHA DE PAGO]]-PROVEEDORES[[#This Row],[FECHA DE FACTURACIÓN]])&gt;PROVEEDORES[[#This Row],[PLAZO Días]],"PAGO VENCIDO")</f>
        <v>0</v>
      </c>
      <c r="C251" s="20">
        <f>+VLOOKUP(PROVEEDORES[[#This Row],[PROVEEDOR]],TERCEROS_INFO[#All],2,FALSE)</f>
        <v>30</v>
      </c>
      <c r="D251" s="25">
        <f>+SUMIFS(PROVEEDORES[Total],PROVEEDORES[PROVEEDOR],PROVEEDORES[[#This Row],[PROVEEDOR]],PROVEEDORES[FECHA DE PAGO],"")</f>
        <v>0</v>
      </c>
      <c r="E251" s="25"/>
      <c r="F251" s="56" t="str">
        <f>+VLOOKUP(PROVEEDORES[[#This Row],[PROVEEDOR]],
                       Terceros!$A:$F,
                       5,
                       FALSE)</f>
        <v/>
      </c>
      <c r="G251" s="289">
        <v>45274</v>
      </c>
      <c r="H251" s="26" t="s">
        <v>299</v>
      </c>
      <c r="I251" s="289">
        <v>45274</v>
      </c>
      <c r="J251" s="35"/>
      <c r="K251" s="21">
        <v>1300850</v>
      </c>
      <c r="L251" s="21"/>
      <c r="M251" s="22">
        <f>(PROVEEDORES[[#This Row],[SUBTOTAL]]-PROVEEDORES[[#This Row],[descuento sobre subtotal]])*VLOOKUP(PROVEEDORES[[#This Row],[PROVEEDOR]],TERCEROS_INFO[#All],3,FALSE)</f>
        <v>0</v>
      </c>
      <c r="N251" s="23"/>
      <c r="O251" s="22">
        <f>+PROVEEDORES[[#This Row],[Descuento sobre subtotal %]]*(PROVEEDORES[[#This Row],[SUBTOTAL]]-PROVEEDORES[[#This Row],[descuento sobre subtotal]])</f>
        <v>0</v>
      </c>
      <c r="P251" s="72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f>+PROVEEDORES[[#This Row],[SUBTOTAL]]+PROVEEDORES[[#This Row],[IVA 19%]]-PROVEEDORES[[#This Row],[descuento sobre subtotal]]-PROVEEDORES[[#This Row],[Descuento sobre subtotal $2]]-PROVEEDORES[[#This Row],[Rete Fuente $]]</f>
        <v>1300850</v>
      </c>
      <c r="S2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1">
        <f ca="1">IF(PROVEEDORES[[#This Row],[FECHA DE PAGO]]=0,TODAY()-PROVEEDORES[[#This Row],[FECHA DE FACTURACIÓN]]-PROVEEDORES[[#This Row],[PLAZO Días]],0)</f>
        <v>0</v>
      </c>
      <c r="U251" s="97">
        <f>+VLOOKUP(PROVEEDORES[[#This Row],[PROVEEDOR]],Terceros!$A:$D,4,FALSE)</f>
        <v>0</v>
      </c>
      <c r="V251" s="98">
        <f>+YEAR(PROVEEDORES[[#This Row],[FECHA DE FACTURACIÓN]])</f>
        <v>2023</v>
      </c>
      <c r="W251" s="98">
        <f>+MATCH(PROVEEDORES[[#This Row],[año facturado]],Retenciones!$1:$1,0)</f>
        <v>6</v>
      </c>
      <c r="X251" s="99">
        <f>+VLOOKUP(PROVEEDORES[[#This Row],[ID RETENCION]],Retenciones!$A$1:$O$25,PROVEEDORES[[#This Row],[indicador de columna]],FALSE)</f>
        <v>0</v>
      </c>
      <c r="Y251" s="100">
        <f>+VLOOKUP(PROVEEDORES[[#This Row],[ID RETENCION]],Retenciones!$A$1:$O$25,2,FALSE)</f>
        <v>0</v>
      </c>
      <c r="Z251" s="103" t="b">
        <f>OR(COUNTIF(PROVEEDORES[[#This Row],[PROVEEDOR]],"*"&amp;'Palabra no opera'!$A$2&amp;"*"))</f>
        <v>0</v>
      </c>
    </row>
    <row r="252" spans="1:26" ht="22.35" customHeight="1" x14ac:dyDescent="0.25">
      <c r="A252" s="65" t="str">
        <f>+IF(PROVEEDORES[[#This Row],[FECHA DE PAGO]]=PROVEEDORES[[#This Row],[FECHA DE FACTURACIÓN]],"DE CONTADO","CRÉDITO")</f>
        <v>DE CONTADO</v>
      </c>
      <c r="B252" s="38" t="b">
        <f>+IF((PROVEEDORES[[#This Row],[FECHA DE PAGO]]-PROVEEDORES[[#This Row],[FECHA DE FACTURACIÓN]])&gt;PROVEEDORES[[#This Row],[PLAZO Días]],"PAGO VENCIDO")</f>
        <v>0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0</v>
      </c>
      <c r="E252" s="25"/>
      <c r="F252" s="56" t="str">
        <f>+VLOOKUP(PROVEEDORES[[#This Row],[PROVEEDOR]],
                       Terceros!$A:$F,
                       5,
                       FALSE)</f>
        <v/>
      </c>
      <c r="G252" s="289">
        <v>45280</v>
      </c>
      <c r="H252" s="26" t="s">
        <v>299</v>
      </c>
      <c r="I252" s="289">
        <v>45280</v>
      </c>
      <c r="J252" s="35"/>
      <c r="K252" s="21">
        <v>1048450</v>
      </c>
      <c r="L252" s="21"/>
      <c r="M252" s="22">
        <f>(PROVEEDORES[[#This Row],[SUBTOTAL]]-PROVEEDORES[[#This Row],[descuento sobre subtotal]])*VLOOKUP(PROVEEDORES[[#This Row],[PROVEEDOR]],TERCEROS_INFO[#All],3,FALSE)</f>
        <v>0</v>
      </c>
      <c r="N252" s="23"/>
      <c r="O252" s="22">
        <f>+PROVEEDORES[[#This Row],[Descuento sobre subtotal %]]*(PROVEEDORES[[#This Row],[SUBTOTAL]]-PROVEEDORES[[#This Row],[descuento sobre subtotal]])</f>
        <v>0</v>
      </c>
      <c r="P252" s="72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f>+PROVEEDORES[[#This Row],[SUBTOTAL]]+PROVEEDORES[[#This Row],[IVA 19%]]-PROVEEDORES[[#This Row],[descuento sobre subtotal]]-PROVEEDORES[[#This Row],[Descuento sobre subtotal $2]]-PROVEEDORES[[#This Row],[Rete Fuente $]]</f>
        <v>1048450</v>
      </c>
      <c r="S2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1">
        <f ca="1">IF(PROVEEDORES[[#This Row],[FECHA DE PAGO]]=0,TODAY()-PROVEEDORES[[#This Row],[FECHA DE FACTURACIÓN]]-PROVEEDORES[[#This Row],[PLAZO Días]],0)</f>
        <v>0</v>
      </c>
      <c r="U252" s="97">
        <f>+VLOOKUP(PROVEEDORES[[#This Row],[PROVEEDOR]],Terceros!$A:$D,4,FALSE)</f>
        <v>0</v>
      </c>
      <c r="V252" s="98">
        <f>+YEAR(PROVEEDORES[[#This Row],[FECHA DE FACTURACIÓN]])</f>
        <v>2023</v>
      </c>
      <c r="W252" s="98">
        <f>+MATCH(PROVEEDORES[[#This Row],[año facturado]],Retenciones!$1:$1,0)</f>
        <v>6</v>
      </c>
      <c r="X252" s="99">
        <f>+VLOOKUP(PROVEEDORES[[#This Row],[ID RETENCION]],Retenciones!$A$1:$O$25,PROVEEDORES[[#This Row],[indicador de columna]],FALSE)</f>
        <v>0</v>
      </c>
      <c r="Y252" s="100">
        <f>+VLOOKUP(PROVEEDORES[[#This Row],[ID RETENCION]],Retenciones!$A$1:$O$25,2,FALSE)</f>
        <v>0</v>
      </c>
      <c r="Z252" s="103" t="b">
        <f>OR(COUNTIF(PROVEEDORES[[#This Row],[PROVEEDOR]],"*"&amp;'Palabra no opera'!$A$2&amp;"*"))</f>
        <v>0</v>
      </c>
    </row>
    <row r="253" spans="1:26" ht="22.35" customHeight="1" x14ac:dyDescent="0.25">
      <c r="A253" s="65" t="str">
        <f>+IF(PROVEEDORES[[#This Row],[FECHA DE PAGO]]=PROVEEDORES[[#This Row],[FECHA DE FACTURACIÓN]],"DE CONTADO","CRÉDITO")</f>
        <v>DE CONTADO</v>
      </c>
      <c r="B253" s="38" t="b">
        <f>+IF((PROVEEDORES[[#This Row],[FECHA DE PAGO]]-PROVEEDORES[[#This Row],[FECHA DE FACTURACIÓN]])&gt;PROVEEDORES[[#This Row],[PLAZO Días]],"PAGO VENCIDO")</f>
        <v>0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0</v>
      </c>
      <c r="E253" s="25"/>
      <c r="F253" s="56" t="str">
        <f>+VLOOKUP(PROVEEDORES[[#This Row],[PROVEEDOR]],
                       Terceros!$A:$F,
                       5,
                       FALSE)</f>
        <v/>
      </c>
      <c r="G253" s="289">
        <v>45288</v>
      </c>
      <c r="H253" s="26" t="s">
        <v>299</v>
      </c>
      <c r="I253" s="289">
        <v>45288</v>
      </c>
      <c r="J253" s="35"/>
      <c r="K253" s="21">
        <v>1303050</v>
      </c>
      <c r="L253" s="21"/>
      <c r="M253" s="22">
        <f>(PROVEEDORES[[#This Row],[SUBTOTAL]]-PROVEEDORES[[#This Row],[descuento sobre subtotal]])*VLOOKUP(PROVEEDORES[[#This Row],[PROVEEDOR]],TERCEROS_INFO[#All],3,FALSE)</f>
        <v>0</v>
      </c>
      <c r="N253" s="23"/>
      <c r="O253" s="22">
        <f>+PROVEEDORES[[#This Row],[Descuento sobre subtotal %]]*(PROVEEDORES[[#This Row],[SUBTOTAL]]-PROVEEDORES[[#This Row],[descuento sobre subtotal]])</f>
        <v>0</v>
      </c>
      <c r="P253" s="72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f>+PROVEEDORES[[#This Row],[SUBTOTAL]]+PROVEEDORES[[#This Row],[IVA 19%]]-PROVEEDORES[[#This Row],[descuento sobre subtotal]]-PROVEEDORES[[#This Row],[Descuento sobre subtotal $2]]-PROVEEDORES[[#This Row],[Rete Fuente $]]</f>
        <v>1303050</v>
      </c>
      <c r="S25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1">
        <f ca="1">IF(PROVEEDORES[[#This Row],[FECHA DE PAGO]]=0,TODAY()-PROVEEDORES[[#This Row],[FECHA DE FACTURACIÓN]]-PROVEEDORES[[#This Row],[PLAZO Días]],0)</f>
        <v>0</v>
      </c>
      <c r="U253" s="97">
        <f>+VLOOKUP(PROVEEDORES[[#This Row],[PROVEEDOR]],Terceros!$A:$D,4,FALSE)</f>
        <v>0</v>
      </c>
      <c r="V253" s="98">
        <f>+YEAR(PROVEEDORES[[#This Row],[FECHA DE FACTURACIÓN]])</f>
        <v>2023</v>
      </c>
      <c r="W253" s="98">
        <f>+MATCH(PROVEEDORES[[#This Row],[año facturado]],Retenciones!$1:$1,0)</f>
        <v>6</v>
      </c>
      <c r="X253" s="99">
        <f>+VLOOKUP(PROVEEDORES[[#This Row],[ID RETENCION]],Retenciones!$A$1:$O$25,PROVEEDORES[[#This Row],[indicador de columna]],FALSE)</f>
        <v>0</v>
      </c>
      <c r="Y253" s="100">
        <f>+VLOOKUP(PROVEEDORES[[#This Row],[ID RETENCION]],Retenciones!$A$1:$O$25,2,FALSE)</f>
        <v>0</v>
      </c>
      <c r="Z253" s="103" t="b">
        <f>OR(COUNTIF(PROVEEDORES[[#This Row],[PROVEEDOR]],"*"&amp;'Palabra no opera'!$A$2&amp;"*"))</f>
        <v>0</v>
      </c>
    </row>
    <row r="254" spans="1:26" ht="22.35" customHeight="1" x14ac:dyDescent="0.25">
      <c r="A254" s="65" t="str">
        <f>+IF(PROVEEDORES[[#This Row],[FECHA DE PAGO]]=PROVEEDORES[[#This Row],[FECHA DE FACTURACIÓN]],"DE CONTADO","CRÉDITO")</f>
        <v>DE CONTADO</v>
      </c>
      <c r="B254" s="38" t="b">
        <f>+IF((PROVEEDORES[[#This Row],[FECHA DE PAGO]]-PROVEEDORES[[#This Row],[FECHA DE FACTURACIÓN]])&gt;PROVEEDORES[[#This Row],[PLAZO Días]],"PAGO VENCIDO")</f>
        <v>0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0</v>
      </c>
      <c r="E254" s="25"/>
      <c r="F254" s="56" t="str">
        <f>+VLOOKUP(PROVEEDORES[[#This Row],[PROVEEDOR]],
                       Terceros!$A:$F,
                       5,
                       FALSE)</f>
        <v/>
      </c>
      <c r="G254" s="289">
        <v>45296</v>
      </c>
      <c r="H254" s="26" t="s">
        <v>299</v>
      </c>
      <c r="I254" s="289">
        <v>45296</v>
      </c>
      <c r="J254" s="35"/>
      <c r="K254" s="21">
        <v>1000000</v>
      </c>
      <c r="L254" s="21"/>
      <c r="M254" s="22">
        <f>(PROVEEDORES[[#This Row],[SUBTOTAL]]-PROVEEDORES[[#This Row],[descuento sobre subtotal]])*VLOOKUP(PROVEEDORES[[#This Row],[PROVEEDOR]],TERCEROS_INFO[#All],3,FALSE)</f>
        <v>0</v>
      </c>
      <c r="N254" s="23"/>
      <c r="O254" s="22">
        <f>+PROVEEDORES[[#This Row],[Descuento sobre subtotal %]]*(PROVEEDORES[[#This Row],[SUBTOTAL]]-PROVEEDORES[[#This Row],[descuento sobre subtotal]])</f>
        <v>0</v>
      </c>
      <c r="P254" s="72">
        <f>+IF(PROVEEDORES[[#This Row],[SUBTOTAL]]&lt;PROVEEDORES[[#This Row],[base retencion]],0,PROVEEDORES[[#This Row],[retención aplicada]])</f>
        <v>0</v>
      </c>
      <c r="Q254" s="22">
        <f>+PROVEEDORES[[#This Row],[Rete Fuente %]]*(PROVEEDORES[[#This Row],[SUBTOTAL]]-PROVEEDORES[[#This Row],[descuento sobre subtotal]])</f>
        <v>0</v>
      </c>
      <c r="R25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5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1">
        <f ca="1">IF(PROVEEDORES[[#This Row],[FECHA DE PAGO]]=0,TODAY()-PROVEEDORES[[#This Row],[FECHA DE FACTURACIÓN]]-PROVEEDORES[[#This Row],[PLAZO Días]],0)</f>
        <v>0</v>
      </c>
      <c r="U254" s="97">
        <f>+VLOOKUP(PROVEEDORES[[#This Row],[PROVEEDOR]],Terceros!$A:$D,4,FALSE)</f>
        <v>0</v>
      </c>
      <c r="V254" s="98">
        <f>+YEAR(PROVEEDORES[[#This Row],[FECHA DE FACTURACIÓN]])</f>
        <v>2024</v>
      </c>
      <c r="W254" s="98">
        <f>+MATCH(PROVEEDORES[[#This Row],[año facturado]],Retenciones!$1:$1,0)</f>
        <v>7</v>
      </c>
      <c r="X254" s="99">
        <f>+VLOOKUP(PROVEEDORES[[#This Row],[ID RETENCION]],Retenciones!$A$1:$O$25,PROVEEDORES[[#This Row],[indicador de columna]],FALSE)</f>
        <v>0</v>
      </c>
      <c r="Y254" s="100">
        <f>+VLOOKUP(PROVEEDORES[[#This Row],[ID RETENCION]],Retenciones!$A$1:$O$25,2,FALSE)</f>
        <v>0</v>
      </c>
      <c r="Z254" s="103" t="b">
        <f>OR(COUNTIF(PROVEEDORES[[#This Row],[PROVEEDOR]],"*"&amp;'Palabra no opera'!$A$2&amp;"*"))</f>
        <v>0</v>
      </c>
    </row>
    <row r="255" spans="1:26" ht="22.35" customHeight="1" x14ac:dyDescent="0.25">
      <c r="A255" s="314" t="str">
        <f>+IF(PROVEEDORES[[#This Row],[FECHA DE PAGO]]=PROVEEDORES[[#This Row],[FECHA DE FACTURACIÓN]],"DE CONTADO","CRÉDITO")</f>
        <v>DE CONTADO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0</v>
      </c>
      <c r="E255" s="25"/>
      <c r="F255" s="56" t="str">
        <f>+VLOOKUP(PROVEEDORES[[#This Row],[PROVEEDOR]],
                       Terceros!$A:$F,
                       5,
                       FALSE)</f>
        <v/>
      </c>
      <c r="G255" s="289">
        <v>45306</v>
      </c>
      <c r="H255" s="26" t="s">
        <v>299</v>
      </c>
      <c r="I255" s="289">
        <v>45306</v>
      </c>
      <c r="J255" s="35"/>
      <c r="K255" s="21">
        <v>1000000</v>
      </c>
      <c r="L255" s="21"/>
      <c r="M255" s="22">
        <f>(PROVEEDORES[[#This Row],[SUBTOTAL]]-PROVEEDORES[[#This Row],[descuento sobre subtotal]])*VLOOKUP(PROVEEDORES[[#This Row],[PROVEEDOR]],TERCEROS_INFO[#All],3,FALSE)</f>
        <v>0</v>
      </c>
      <c r="N255" s="23"/>
      <c r="O255" s="22">
        <f>+PROVEEDORES[[#This Row],[Descuento sobre subtotal %]]*(PROVEEDORES[[#This Row],[SUBTOTAL]]-PROVEEDORES[[#This Row],[descuento sobre subtotal]])</f>
        <v>0</v>
      </c>
      <c r="P255" s="72">
        <f>+IF(PROVEEDORES[[#This Row],[SUBTOTAL]]&lt;PROVEEDORES[[#This Row],[base retencion]],0,PROVEEDORES[[#This Row],[retención aplicada]])</f>
        <v>0</v>
      </c>
      <c r="Q255" s="22">
        <f>+PROVEEDORES[[#This Row],[Rete Fuente %]]*(PROVEEDORES[[#This Row],[SUBTOTAL]]-PROVEEDORES[[#This Row],[descuento sobre subtotal]])</f>
        <v>0</v>
      </c>
      <c r="R25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255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1">
        <f ca="1">IF(PROVEEDORES[[#This Row],[FECHA DE PAGO]]=0,TODAY()-PROVEEDORES[[#This Row],[FECHA DE FACTURACIÓN]]-PROVEEDORES[[#This Row],[PLAZO Días]],0)</f>
        <v>0</v>
      </c>
      <c r="U255" s="97">
        <f>+VLOOKUP(PROVEEDORES[[#This Row],[PROVEEDOR]],Terceros!$A:$D,4,FALSE)</f>
        <v>0</v>
      </c>
      <c r="V255" s="98">
        <f>+YEAR(PROVEEDORES[[#This Row],[FECHA DE FACTURACIÓN]])</f>
        <v>2024</v>
      </c>
      <c r="W255" s="98">
        <f>+MATCH(PROVEEDORES[[#This Row],[año facturado]],Retenciones!$1:$1,0)</f>
        <v>7</v>
      </c>
      <c r="X255" s="99">
        <f>+VLOOKUP(PROVEEDORES[[#This Row],[ID RETENCION]],Retenciones!$A$1:$O$25,PROVEEDORES[[#This Row],[indicador de columna]],FALSE)</f>
        <v>0</v>
      </c>
      <c r="Y255" s="100">
        <f>+VLOOKUP(PROVEEDORES[[#This Row],[ID RETENCION]],Retenciones!$A$1:$O$25,2,FALSE)</f>
        <v>0</v>
      </c>
      <c r="Z255" s="103" t="b">
        <f>OR(COUNTIF(PROVEEDORES[[#This Row],[PROVEEDOR]],"*"&amp;'Palabra no opera'!$A$2&amp;"*"))</f>
        <v>0</v>
      </c>
    </row>
    <row r="256" spans="1:26" ht="22.35" customHeight="1" x14ac:dyDescent="0.25">
      <c r="A256" s="314" t="str">
        <f>+IF(PROVEEDORES[[#This Row],[FECHA DE PAGO]]=PROVEEDORES[[#This Row],[FECHA DE FACTURACIÓN]],"DE CONTADO","CRÉDITO")</f>
        <v>DE CONTADO</v>
      </c>
      <c r="B256" s="38" t="b">
        <f>+IF((PROVEEDORES[[#This Row],[FECHA DE PAGO]]-PROVEEDORES[[#This Row],[FECHA DE FACTURACIÓN]])&gt;PROVEEDORES[[#This Row],[PLAZO Días]],"PAGO VENCIDO")</f>
        <v>0</v>
      </c>
      <c r="C256" s="20">
        <f>+VLOOKUP(PROVEEDORES[[#This Row],[PROVEEDOR]],TERCEROS_INFO[#All],2,FALSE)</f>
        <v>30</v>
      </c>
      <c r="D256" s="25">
        <f>+SUMIFS(PROVEEDORES[Total],PROVEEDORES[PROVEEDOR],PROVEEDORES[[#This Row],[PROVEEDOR]],PROVEEDORES[FECHA DE PAGO],"")</f>
        <v>0</v>
      </c>
      <c r="E256" s="25"/>
      <c r="F256" s="56" t="str">
        <f>+VLOOKUP(PROVEEDORES[[#This Row],[PROVEEDOR]],
                       Terceros!$A:$F,
                       5,
                       FALSE)</f>
        <v/>
      </c>
      <c r="G256" s="289">
        <v>45315</v>
      </c>
      <c r="H256" s="26" t="s">
        <v>299</v>
      </c>
      <c r="I256" s="289">
        <v>45315</v>
      </c>
      <c r="J256" s="35"/>
      <c r="K256" s="21">
        <v>1032800</v>
      </c>
      <c r="L256" s="21"/>
      <c r="M256" s="22">
        <f>(PROVEEDORES[[#This Row],[SUBTOTAL]]-PROVEEDORES[[#This Row],[descuento sobre subtotal]])*VLOOKUP(PROVEEDORES[[#This Row],[PROVEEDOR]],TERCEROS_INFO[#All],3,FALSE)</f>
        <v>0</v>
      </c>
      <c r="N256" s="23"/>
      <c r="O256" s="22">
        <f>+PROVEEDORES[[#This Row],[Descuento sobre subtotal %]]*(PROVEEDORES[[#This Row],[SUBTOTAL]]-PROVEEDORES[[#This Row],[descuento sobre subtotal]])</f>
        <v>0</v>
      </c>
      <c r="P256" s="72">
        <f>+IF(PROVEEDORES[[#This Row],[SUBTOTAL]]&lt;PROVEEDORES[[#This Row],[base retencion]],0,PROVEEDORES[[#This Row],[retención aplicada]])</f>
        <v>0</v>
      </c>
      <c r="Q256" s="22">
        <f>+PROVEEDORES[[#This Row],[Rete Fuente %]]*(PROVEEDORES[[#This Row],[SUBTOTAL]]-PROVEEDORES[[#This Row],[descuento sobre subtotal]])</f>
        <v>0</v>
      </c>
      <c r="R256" s="21">
        <f>+PROVEEDORES[[#This Row],[SUBTOTAL]]+PROVEEDORES[[#This Row],[IVA 19%]]-PROVEEDORES[[#This Row],[descuento sobre subtotal]]-PROVEEDORES[[#This Row],[Descuento sobre subtotal $2]]-PROVEEDORES[[#This Row],[Rete Fuente $]]</f>
        <v>1032800</v>
      </c>
      <c r="S256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1">
        <f ca="1">IF(PROVEEDORES[[#This Row],[FECHA DE PAGO]]=0,TODAY()-PROVEEDORES[[#This Row],[FECHA DE FACTURACIÓN]]-PROVEEDORES[[#This Row],[PLAZO Días]],0)</f>
        <v>0</v>
      </c>
      <c r="U256" s="97">
        <f>+VLOOKUP(PROVEEDORES[[#This Row],[PROVEEDOR]],Terceros!$A:$D,4,FALSE)</f>
        <v>0</v>
      </c>
      <c r="V256" s="98">
        <f>+YEAR(PROVEEDORES[[#This Row],[FECHA DE FACTURACIÓN]])</f>
        <v>2024</v>
      </c>
      <c r="W256" s="98">
        <f>+MATCH(PROVEEDORES[[#This Row],[año facturado]],Retenciones!$1:$1,0)</f>
        <v>7</v>
      </c>
      <c r="X256" s="99">
        <f>+VLOOKUP(PROVEEDORES[[#This Row],[ID RETENCION]],Retenciones!$A$1:$O$25,PROVEEDORES[[#This Row],[indicador de columna]],FALSE)</f>
        <v>0</v>
      </c>
      <c r="Y256" s="100">
        <f>+VLOOKUP(PROVEEDORES[[#This Row],[ID RETENCION]],Retenciones!$A$1:$O$25,2,FALSE)</f>
        <v>0</v>
      </c>
      <c r="Z256" s="103" t="b">
        <f>OR(COUNTIF(PROVEEDORES[[#This Row],[PROVEEDOR]],"*"&amp;'Palabra no opera'!$A$2&amp;"*"))</f>
        <v>0</v>
      </c>
    </row>
    <row r="257" spans="1:26" ht="22.35" customHeight="1" x14ac:dyDescent="0.25">
      <c r="A257" s="65" t="str">
        <f>+IF(PROVEEDORES[[#This Row],[FECHA DE PAGO]]=PROVEEDORES[[#This Row],[FECHA DE FACTURACIÓN]],"DE CONTADO","CRÉDITO")</f>
        <v>DE CONTADO</v>
      </c>
      <c r="B257" s="38" t="b">
        <f>+IF((PROVEEDORES[[#This Row],[FECHA DE PAGO]]-PROVEEDORES[[#This Row],[FECHA DE FACTURACIÓN]])&gt;PROVEEDORES[[#This Row],[PLAZO Días]],"PAGO VENCIDO")</f>
        <v>0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0</v>
      </c>
      <c r="E257" s="25"/>
      <c r="F257" s="56" t="str">
        <f>+VLOOKUP(PROVEEDORES[[#This Row],[PROVEEDOR]],
                       Terceros!$A:$F,
                       5,
                       FALSE)</f>
        <v/>
      </c>
      <c r="G257" s="289">
        <v>44988</v>
      </c>
      <c r="H257" s="26" t="s">
        <v>465</v>
      </c>
      <c r="I257" s="289">
        <v>44988</v>
      </c>
      <c r="J257" s="35" t="s">
        <v>666</v>
      </c>
      <c r="K257" s="21">
        <v>171400</v>
      </c>
      <c r="L257" s="21"/>
      <c r="M257" s="22">
        <f>(PROVEEDORES[[#This Row],[SUBTOTAL]]-PROVEEDORES[[#This Row],[descuento sobre subtotal]])*VLOOKUP(PROVEEDORES[[#This Row],[PROVEEDOR]],TERCEROS_INFO[#All],3,FALSE)</f>
        <v>0</v>
      </c>
      <c r="N257" s="23"/>
      <c r="O257" s="22">
        <f>+PROVEEDORES[[#This Row],[Descuento sobre subtotal %]]*(PROVEEDORES[[#This Row],[SUBTOTAL]]-PROVEEDORES[[#This Row],[descuento sobre subtotal]])</f>
        <v>0</v>
      </c>
      <c r="P257" s="72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2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1">
        <f ca="1">IF(PROVEEDORES[[#This Row],[FECHA DE PAGO]]=0,TODAY()-PROVEEDORES[[#This Row],[FECHA DE FACTURACIÓN]]-PROVEEDORES[[#This Row],[PLAZO Días]],0)</f>
        <v>0</v>
      </c>
      <c r="U257" s="97">
        <f>+VLOOKUP(PROVEEDORES[[#This Row],[PROVEEDOR]],Terceros!$A:$D,4,FALSE)</f>
        <v>0</v>
      </c>
      <c r="V257" s="98">
        <f>+YEAR(PROVEEDORES[[#This Row],[FECHA DE FACTURACIÓN]])</f>
        <v>2023</v>
      </c>
      <c r="W257" s="98">
        <f>+MATCH(PROVEEDORES[[#This Row],[año facturado]],Retenciones!$1:$1,0)</f>
        <v>6</v>
      </c>
      <c r="X257" s="99">
        <f>+VLOOKUP(PROVEEDORES[[#This Row],[ID RETENCION]],Retenciones!$A$1:$O$25,PROVEEDORES[[#This Row],[indicador de columna]],FALSE)</f>
        <v>0</v>
      </c>
      <c r="Y257" s="100">
        <f>+VLOOKUP(PROVEEDORES[[#This Row],[ID RETENCION]],Retenciones!$A$1:$O$25,2,FALSE)</f>
        <v>0</v>
      </c>
      <c r="Z257" s="103" t="b">
        <f>OR(COUNTIF(PROVEEDORES[[#This Row],[PROVEEDOR]],"*"&amp;'Palabra no opera'!$A$2&amp;"*"))</f>
        <v>1</v>
      </c>
    </row>
    <row r="258" spans="1:26" ht="22.35" customHeight="1" x14ac:dyDescent="0.25">
      <c r="A258" s="207" t="str">
        <f>+IF(PROVEEDORES[[#This Row],[FECHA DE PAGO]]=PROVEEDORES[[#This Row],[FECHA DE FACTURACIÓN]],"DE CONTADO","CRÉDITO")</f>
        <v>DE CONTADO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0</v>
      </c>
      <c r="E258" s="25"/>
      <c r="F258" s="56" t="str">
        <f>+VLOOKUP(PROVEEDORES[[#This Row],[PROVEEDOR]],
                       Terceros!$A:$F,
                       5,
                       FALSE)</f>
        <v/>
      </c>
      <c r="G258" s="289">
        <v>45092</v>
      </c>
      <c r="H258" s="26" t="s">
        <v>465</v>
      </c>
      <c r="I258" s="289">
        <v>45092</v>
      </c>
      <c r="J258" s="35" t="s">
        <v>911</v>
      </c>
      <c r="K258" s="21">
        <v>171400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72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f>+PROVEEDORES[[#This Row],[SUBTOTAL]]+PROVEEDORES[[#This Row],[IVA 19%]]-PROVEEDORES[[#This Row],[descuento sobre subtotal]]-PROVEEDORES[[#This Row],[Descuento sobre subtotal $2]]-PROVEEDORES[[#This Row],[Rete Fuente $]]</f>
        <v>171400</v>
      </c>
      <c r="S258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1">
        <f ca="1">IF(PROVEEDORES[[#This Row],[FECHA DE PAGO]]=0,TODAY()-PROVEEDORES[[#This Row],[FECHA DE FACTURACIÓN]]-PROVEEDORES[[#This Row],[PLAZO Días]],0)</f>
        <v>0</v>
      </c>
      <c r="U258" s="97">
        <f>+VLOOKUP(PROVEEDORES[[#This Row],[PROVEEDOR]],Terceros!$A:$D,4,FALSE)</f>
        <v>0</v>
      </c>
      <c r="V258" s="98">
        <f>+YEAR(PROVEEDORES[[#This Row],[FECHA DE FACTURACIÓN]])</f>
        <v>2023</v>
      </c>
      <c r="W258" s="98">
        <f>+MATCH(PROVEEDORES[[#This Row],[año facturado]],Retenciones!$1:$1,0)</f>
        <v>6</v>
      </c>
      <c r="X258" s="99">
        <f>+VLOOKUP(PROVEEDORES[[#This Row],[ID RETENCION]],Retenciones!$A$1:$O$25,PROVEEDORES[[#This Row],[indicador de columna]],FALSE)</f>
        <v>0</v>
      </c>
      <c r="Y258" s="100">
        <f>+VLOOKUP(PROVEEDORES[[#This Row],[ID RETENCION]],Retenciones!$A$1:$O$25,2,FALSE)</f>
        <v>0</v>
      </c>
      <c r="Z258" s="103" t="b">
        <f>OR(COUNTIF(PROVEEDORES[[#This Row],[PROVEEDOR]],"*"&amp;'Palabra no opera'!$A$2&amp;"*"))</f>
        <v>1</v>
      </c>
    </row>
    <row r="259" spans="1:26" ht="22.35" customHeight="1" x14ac:dyDescent="0.25">
      <c r="A259" s="65" t="str">
        <f>+IF(PROVEEDORES[[#This Row],[FECHA DE PAGO]]=PROVEEDORES[[#This Row],[FECHA DE FACTURACIÓN]],"DE CONTADO","CRÉDITO")</f>
        <v>CRÉDITO</v>
      </c>
      <c r="B259" s="38" t="str">
        <f>+IF((PROVEEDORES[[#This Row],[FECHA DE PAGO]]-PROVEEDORES[[#This Row],[FECHA DE FACTURACIÓN]])&gt;PROVEEDORES[[#This Row],[PLAZO Días]],"PAGO VENCIDO")</f>
        <v>PAGO VENCIDO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4202500</v>
      </c>
      <c r="E259" s="25"/>
      <c r="F259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59" s="289">
        <v>44977</v>
      </c>
      <c r="H259" s="26" t="s">
        <v>301</v>
      </c>
      <c r="I259" s="289">
        <v>44932</v>
      </c>
      <c r="J259" s="35" t="s">
        <v>574</v>
      </c>
      <c r="K259" s="21">
        <v>2300000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72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2300000</v>
      </c>
      <c r="S2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1">
        <f ca="1">IF(PROVEEDORES[[#This Row],[FECHA DE PAGO]]=0,TODAY()-PROVEEDORES[[#This Row],[FECHA DE FACTURACIÓN]]-PROVEEDORES[[#This Row],[PLAZO Días]],0)</f>
        <v>0</v>
      </c>
      <c r="U259" s="97">
        <f>+VLOOKUP(PROVEEDORES[[#This Row],[PROVEEDOR]],Terceros!$A:$D,4,FALSE)</f>
        <v>0</v>
      </c>
      <c r="V259" s="98">
        <f>+YEAR(PROVEEDORES[[#This Row],[FECHA DE FACTURACIÓN]])</f>
        <v>2023</v>
      </c>
      <c r="W259" s="98">
        <f>+MATCH(PROVEEDORES[[#This Row],[año facturado]],Retenciones!$1:$1,0)</f>
        <v>6</v>
      </c>
      <c r="X259" s="99">
        <f>+VLOOKUP(PROVEEDORES[[#This Row],[ID RETENCION]],Retenciones!$A$1:$O$25,PROVEEDORES[[#This Row],[indicador de columna]],FALSE)</f>
        <v>0</v>
      </c>
      <c r="Y259" s="100">
        <f>+VLOOKUP(PROVEEDORES[[#This Row],[ID RETENCION]],Retenciones!$A$1:$O$25,2,FALSE)</f>
        <v>0</v>
      </c>
      <c r="Z259" s="103" t="b">
        <f>OR(COUNTIF(PROVEEDORES[[#This Row],[PROVEEDOR]],"*"&amp;'Palabra no opera'!$A$2&amp;"*"))</f>
        <v>0</v>
      </c>
    </row>
    <row r="260" spans="1:26" ht="22.35" customHeight="1" x14ac:dyDescent="0.25">
      <c r="A260" s="155" t="str">
        <f>+IF(PROVEEDORES[[#This Row],[FECHA DE PAGO]]=PROVEEDORES[[#This Row],[FECHA DE FACTURACIÓN]],"DE CONTADO","CRÉDITO")</f>
        <v>CRÉDITO</v>
      </c>
      <c r="B260" s="38" t="str">
        <f>+IF((PROVEEDORES[[#This Row],[FECHA DE PAGO]]-PROVEEDORES[[#This Row],[FECHA DE FACTURACIÓN]])&gt;PROVEEDORES[[#This Row],[PLAZO Días]],"PAGO VENCIDO")</f>
        <v>PAGO VENCIDO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4202500</v>
      </c>
      <c r="E260" s="25"/>
      <c r="F260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0" s="289">
        <v>45028</v>
      </c>
      <c r="H260" s="26" t="s">
        <v>301</v>
      </c>
      <c r="I260" s="289">
        <v>44983</v>
      </c>
      <c r="J260" s="35" t="s">
        <v>635</v>
      </c>
      <c r="K260" s="21">
        <v>2550000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72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260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61">
        <f ca="1">IF(PROVEEDORES[[#This Row],[FECHA DE PAGO]]=0,TODAY()-PROVEEDORES[[#This Row],[FECHA DE FACTURACIÓN]]-PROVEEDORES[[#This Row],[PLAZO Días]],0)</f>
        <v>0</v>
      </c>
      <c r="U260" s="97">
        <f>+VLOOKUP(PROVEEDORES[[#This Row],[PROVEEDOR]],Terceros!$A:$D,4,FALSE)</f>
        <v>0</v>
      </c>
      <c r="V260" s="98">
        <f>+YEAR(PROVEEDORES[[#This Row],[FECHA DE FACTURACIÓN]])</f>
        <v>2023</v>
      </c>
      <c r="W260" s="98">
        <f>+MATCH(PROVEEDORES[[#This Row],[año facturado]],Retenciones!$1:$1,0)</f>
        <v>6</v>
      </c>
      <c r="X260" s="99">
        <f>+VLOOKUP(PROVEEDORES[[#This Row],[ID RETENCION]],Retenciones!$A$1:$O$25,PROVEEDORES[[#This Row],[indicador de columna]],FALSE)</f>
        <v>0</v>
      </c>
      <c r="Y260" s="100">
        <f>+VLOOKUP(PROVEEDORES[[#This Row],[ID RETENCION]],Retenciones!$A$1:$O$25,2,FALSE)</f>
        <v>0</v>
      </c>
      <c r="Z260" s="103" t="b">
        <f>OR(COUNTIF(PROVEEDORES[[#This Row],[PROVEEDOR]],"*"&amp;'Palabra no opera'!$A$2&amp;"*"))</f>
        <v>0</v>
      </c>
    </row>
    <row r="261" spans="1:26" ht="22.35" customHeight="1" x14ac:dyDescent="0.25">
      <c r="A261" s="192" t="str">
        <f>+IF(PROVEEDORES[[#This Row],[FECHA DE PAGO]]=PROVEEDORES[[#This Row],[FECHA DE FACTURACIÓN]],"DE CONTADO","CRÉDITO")</f>
        <v>CRÉDITO</v>
      </c>
      <c r="B261" s="38" t="str">
        <f>+IF((PROVEEDORES[[#This Row],[FECHA DE PAGO]]-PROVEEDORES[[#This Row],[FECHA DE FACTURACIÓN]])&gt;PROVEEDORES[[#This Row],[PLAZO Días]],"PAGO VENCIDO")</f>
        <v>PAGO VENCIDO</v>
      </c>
      <c r="C261" s="20">
        <f>+VLOOKUP(PROVEEDORES[[#This Row],[PROVEEDOR]],TERCEROS_INFO[#All],2,FALSE)</f>
        <v>30</v>
      </c>
      <c r="D261" s="25">
        <f>+SUMIFS(PROVEEDORES[Total],PROVEEDORES[PROVEEDOR],PROVEEDORES[[#This Row],[PROVEEDOR]],PROVEEDORES[FECHA DE PAGO],"")</f>
        <v>4202500</v>
      </c>
      <c r="E261" s="25"/>
      <c r="F261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1" s="289">
        <v>45063</v>
      </c>
      <c r="H261" s="26" t="s">
        <v>301</v>
      </c>
      <c r="I261" s="289">
        <v>45028</v>
      </c>
      <c r="J261" s="35">
        <v>39</v>
      </c>
      <c r="K261" s="21">
        <v>1165000</v>
      </c>
      <c r="L261" s="21"/>
      <c r="M261" s="22">
        <f>(PROVEEDORES[[#This Row],[SUBTOTAL]]-PROVEEDORES[[#This Row],[descuento sobre subtotal]])*VLOOKUP(PROVEEDORES[[#This Row],[PROVEEDOR]],TERCEROS_INFO[#All],3,FALSE)</f>
        <v>0</v>
      </c>
      <c r="N261" s="23"/>
      <c r="O261" s="22">
        <f>+PROVEEDORES[[#This Row],[Descuento sobre subtotal %]]*(PROVEEDORES[[#This Row],[SUBTOTAL]]-PROVEEDORES[[#This Row],[descuento sobre subtotal]])</f>
        <v>0</v>
      </c>
      <c r="P261" s="72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f>+PROVEEDORES[[#This Row],[SUBTOTAL]]+PROVEEDORES[[#This Row],[IVA 19%]]-PROVEEDORES[[#This Row],[descuento sobre subtotal]]-PROVEEDORES[[#This Row],[Descuento sobre subtotal $2]]-PROVEEDORES[[#This Row],[Rete Fuente $]]</f>
        <v>1165000</v>
      </c>
      <c r="S26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1">
        <f ca="1">IF(PROVEEDORES[[#This Row],[FECHA DE PAGO]]=0,TODAY()-PROVEEDORES[[#This Row],[FECHA DE FACTURACIÓN]]-PROVEEDORES[[#This Row],[PLAZO Días]],0)</f>
        <v>0</v>
      </c>
      <c r="U261" s="97">
        <f>+VLOOKUP(PROVEEDORES[[#This Row],[PROVEEDOR]],Terceros!$A:$D,4,FALSE)</f>
        <v>0</v>
      </c>
      <c r="V261" s="98">
        <f>+YEAR(PROVEEDORES[[#This Row],[FECHA DE FACTURACIÓN]])</f>
        <v>2023</v>
      </c>
      <c r="W261" s="98">
        <f>+MATCH(PROVEEDORES[[#This Row],[año facturado]],Retenciones!$1:$1,0)</f>
        <v>6</v>
      </c>
      <c r="X261" s="99">
        <f>+VLOOKUP(PROVEEDORES[[#This Row],[ID RETENCION]],Retenciones!$A$1:$O$25,PROVEEDORES[[#This Row],[indicador de columna]],FALSE)</f>
        <v>0</v>
      </c>
      <c r="Y261" s="100">
        <f>+VLOOKUP(PROVEEDORES[[#This Row],[ID RETENCION]],Retenciones!$A$1:$O$25,2,FALSE)</f>
        <v>0</v>
      </c>
      <c r="Z261" s="103" t="b">
        <f>OR(COUNTIF(PROVEEDORES[[#This Row],[PROVEEDOR]],"*"&amp;'Palabra no opera'!$A$2&amp;"*"))</f>
        <v>0</v>
      </c>
    </row>
    <row r="262" spans="1:26" ht="22.35" customHeight="1" x14ac:dyDescent="0.25">
      <c r="A262" s="65" t="str">
        <f>+IF(PROVEEDORES[[#This Row],[FECHA DE PAGO]]=PROVEEDORES[[#This Row],[FECHA DE FACTURACIÓN]],"DE CONTADO","CRÉDITO")</f>
        <v>CRÉDITO</v>
      </c>
      <c r="B262" s="38" t="str">
        <f>+IF((PROVEEDORES[[#This Row],[FECHA DE PAGO]]-PROVEEDORES[[#This Row],[FECHA DE FACTURACIÓN]])&gt;PROVEEDORES[[#This Row],[PLAZO Días]],"PAGO VENCIDO")</f>
        <v>PAGO VENCIDO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4202500</v>
      </c>
      <c r="E262" s="25"/>
      <c r="F262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2" s="289">
        <v>45118</v>
      </c>
      <c r="H262" s="26" t="s">
        <v>301</v>
      </c>
      <c r="I262" s="289">
        <v>45076</v>
      </c>
      <c r="J262" s="35">
        <v>85</v>
      </c>
      <c r="K262" s="21">
        <v>1980000</v>
      </c>
      <c r="L262" s="21"/>
      <c r="M262" s="22">
        <f>(PROVEEDORES[[#This Row],[SUBTOTAL]]-PROVEEDORES[[#This Row],[descuento sobre subtotal]])*VLOOKUP(PROVEEDORES[[#This Row],[PROVEEDOR]],TERCEROS_INFO[#All],3,FALSE)</f>
        <v>0</v>
      </c>
      <c r="N262" s="23"/>
      <c r="O262" s="22">
        <f>+PROVEEDORES[[#This Row],[Descuento sobre subtotal %]]*(PROVEEDORES[[#This Row],[SUBTOTAL]]-PROVEEDORES[[#This Row],[descuento sobre subtotal]])</f>
        <v>0</v>
      </c>
      <c r="P262" s="72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1980000</v>
      </c>
      <c r="S2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1">
        <f ca="1">IF(PROVEEDORES[[#This Row],[FECHA DE PAGO]]=0,TODAY()-PROVEEDORES[[#This Row],[FECHA DE FACTURACIÓN]]-PROVEEDORES[[#This Row],[PLAZO Días]],0)</f>
        <v>0</v>
      </c>
      <c r="U262" s="97">
        <f>+VLOOKUP(PROVEEDORES[[#This Row],[PROVEEDOR]],Terceros!$A:$D,4,FALSE)</f>
        <v>0</v>
      </c>
      <c r="V262" s="98">
        <f>+YEAR(PROVEEDORES[[#This Row],[FECHA DE FACTURACIÓN]])</f>
        <v>2023</v>
      </c>
      <c r="W262" s="98">
        <f>+MATCH(PROVEEDORES[[#This Row],[año facturado]],Retenciones!$1:$1,0)</f>
        <v>6</v>
      </c>
      <c r="X262" s="99">
        <f>+VLOOKUP(PROVEEDORES[[#This Row],[ID RETENCION]],Retenciones!$A$1:$O$25,PROVEEDORES[[#This Row],[indicador de columna]],FALSE)</f>
        <v>0</v>
      </c>
      <c r="Y262" s="100">
        <f>+VLOOKUP(PROVEEDORES[[#This Row],[ID RETENCION]],Retenciones!$A$1:$O$25,2,FALSE)</f>
        <v>0</v>
      </c>
      <c r="Z262" s="103" t="b">
        <f>OR(COUNTIF(PROVEEDORES[[#This Row],[PROVEEDOR]],"*"&amp;'Palabra no opera'!$A$2&amp;"*"))</f>
        <v>0</v>
      </c>
    </row>
    <row r="263" spans="1:26" ht="22.35" customHeight="1" x14ac:dyDescent="0.25">
      <c r="A263" s="227" t="str">
        <f>+IF(PROVEEDORES[[#This Row],[FECHA DE PAGO]]=PROVEEDORES[[#This Row],[FECHA DE FACTURACIÓN]],"DE CONTADO","CRÉDITO")</f>
        <v>CRÉDITO</v>
      </c>
      <c r="B263" s="38" t="str">
        <f>+IF((PROVEEDORES[[#This Row],[FECHA DE PAGO]]-PROVEEDORES[[#This Row],[FECHA DE FACTURACIÓN]])&gt;PROVEEDORES[[#This Row],[PLAZO Días]],"PAGO VENCIDO")</f>
        <v>PAGO VENCIDO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4202500</v>
      </c>
      <c r="E263" s="25"/>
      <c r="F263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3" s="289">
        <v>45206</v>
      </c>
      <c r="H263" s="26" t="s">
        <v>301</v>
      </c>
      <c r="I263" s="289">
        <v>45149</v>
      </c>
      <c r="J263" s="35">
        <v>1863</v>
      </c>
      <c r="K263" s="21">
        <v>1515000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72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1515000</v>
      </c>
      <c r="S263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1">
        <f ca="1">IF(PROVEEDORES[[#This Row],[FECHA DE PAGO]]=0,TODAY()-PROVEEDORES[[#This Row],[FECHA DE FACTURACIÓN]]-PROVEEDORES[[#This Row],[PLAZO Días]],0)</f>
        <v>0</v>
      </c>
      <c r="U263" s="97">
        <f>+VLOOKUP(PROVEEDORES[[#This Row],[PROVEEDOR]],Terceros!$A:$D,4,FALSE)</f>
        <v>0</v>
      </c>
      <c r="V263" s="98">
        <f>+YEAR(PROVEEDORES[[#This Row],[FECHA DE FACTURACIÓN]])</f>
        <v>2023</v>
      </c>
      <c r="W263" s="98">
        <f>+MATCH(PROVEEDORES[[#This Row],[año facturado]],Retenciones!$1:$1,0)</f>
        <v>6</v>
      </c>
      <c r="X263" s="99">
        <f>+VLOOKUP(PROVEEDORES[[#This Row],[ID RETENCION]],Retenciones!$A$1:$O$25,PROVEEDORES[[#This Row],[indicador de columna]],FALSE)</f>
        <v>0</v>
      </c>
      <c r="Y263" s="100">
        <f>+VLOOKUP(PROVEEDORES[[#This Row],[ID RETENCION]],Retenciones!$A$1:$O$25,2,FALSE)</f>
        <v>0</v>
      </c>
      <c r="Z263" s="103" t="b">
        <f>OR(COUNTIF(PROVEEDORES[[#This Row],[PROVEEDOR]],"*"&amp;'Palabra no opera'!$A$2&amp;"*"))</f>
        <v>0</v>
      </c>
    </row>
    <row r="264" spans="1:26" ht="22.35" customHeight="1" x14ac:dyDescent="0.25">
      <c r="A264" s="65" t="str">
        <f>+IF(PROVEEDORES[[#This Row],[FECHA DE PAGO]]=PROVEEDORES[[#This Row],[FECHA DE FACTURACIÓN]],"DE CONTADO","CRÉDITO")</f>
        <v>CRÉDITO</v>
      </c>
      <c r="B264" s="38" t="str">
        <f>+IF((PROVEEDORES[[#This Row],[FECHA DE PAGO]]-PROVEEDORES[[#This Row],[FECHA DE FACTURACIÓN]])&gt;PROVEEDORES[[#This Row],[PLAZO Días]],"PAGO VENCIDO")</f>
        <v>PAGO VENCIDO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4202500</v>
      </c>
      <c r="E264" s="25"/>
      <c r="F264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4" s="289">
        <v>45244</v>
      </c>
      <c r="H264" s="26" t="s">
        <v>301</v>
      </c>
      <c r="I264" s="289">
        <v>45210</v>
      </c>
      <c r="J264" s="35" t="s">
        <v>1203</v>
      </c>
      <c r="K264" s="21">
        <v>986500</v>
      </c>
      <c r="L264" s="21"/>
      <c r="M264" s="22">
        <f>(PROVEEDORES[[#This Row],[SUBTOTAL]]-PROVEEDORES[[#This Row],[descuento sobre subtotal]])*VLOOKUP(PROVEEDORES[[#This Row],[PROVEEDOR]],TERCEROS_INFO[#All],3,FALSE)</f>
        <v>0</v>
      </c>
      <c r="N264" s="23"/>
      <c r="O264" s="22">
        <f>+PROVEEDORES[[#This Row],[Descuento sobre subtotal %]]*(PROVEEDORES[[#This Row],[SUBTOTAL]]-PROVEEDORES[[#This Row],[descuento sobre subtotal]])</f>
        <v>0</v>
      </c>
      <c r="P264" s="72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2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1">
        <f ca="1">IF(PROVEEDORES[[#This Row],[FECHA DE PAGO]]=0,TODAY()-PROVEEDORES[[#This Row],[FECHA DE FACTURACIÓN]]-PROVEEDORES[[#This Row],[PLAZO Días]],0)</f>
        <v>0</v>
      </c>
      <c r="U264" s="97">
        <f>+VLOOKUP(PROVEEDORES[[#This Row],[PROVEEDOR]],Terceros!$A:$D,4,FALSE)</f>
        <v>0</v>
      </c>
      <c r="V264" s="98">
        <f>+YEAR(PROVEEDORES[[#This Row],[FECHA DE FACTURACIÓN]])</f>
        <v>2023</v>
      </c>
      <c r="W264" s="98">
        <f>+MATCH(PROVEEDORES[[#This Row],[año facturado]],Retenciones!$1:$1,0)</f>
        <v>6</v>
      </c>
      <c r="X264" s="99">
        <f>+VLOOKUP(PROVEEDORES[[#This Row],[ID RETENCION]],Retenciones!$A$1:$O$25,PROVEEDORES[[#This Row],[indicador de columna]],FALSE)</f>
        <v>0</v>
      </c>
      <c r="Y264" s="100">
        <f>+VLOOKUP(PROVEEDORES[[#This Row],[ID RETENCION]],Retenciones!$A$1:$O$25,2,FALSE)</f>
        <v>0</v>
      </c>
      <c r="Z264" s="103" t="b">
        <f>OR(COUNTIF(PROVEEDORES[[#This Row],[PROVEEDOR]],"*"&amp;'Palabra no opera'!$A$2&amp;"*"))</f>
        <v>0</v>
      </c>
    </row>
    <row r="265" spans="1:26" ht="22.35" customHeight="1" x14ac:dyDescent="0.25">
      <c r="A265" s="256" t="str">
        <f>+IF(PROVEEDORES[[#This Row],[FECHA DE PAGO]]=PROVEEDORES[[#This Row],[FECHA DE FACTURACIÓN]],"DE CONTADO","CRÉDITO")</f>
        <v>CRÉDITO</v>
      </c>
      <c r="B265" s="38" t="str">
        <f>+IF((PROVEEDORES[[#This Row],[FECHA DE PAGO]]-PROVEEDORES[[#This Row],[FECHA DE FACTURACIÓN]])&gt;PROVEEDORES[[#This Row],[PLAZO Días]],"PAGO VENCIDO")</f>
        <v>PAGO VENCIDO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4202500</v>
      </c>
      <c r="E265" s="25"/>
      <c r="F265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5" s="289">
        <v>45267</v>
      </c>
      <c r="H265" s="26" t="s">
        <v>301</v>
      </c>
      <c r="I265" s="289">
        <v>45231</v>
      </c>
      <c r="J265" s="35" t="s">
        <v>1261</v>
      </c>
      <c r="K265" s="21">
        <v>2990000</v>
      </c>
      <c r="L265" s="21"/>
      <c r="M265" s="22">
        <f>(PROVEEDORES[[#This Row],[SUBTOTAL]]-PROVEEDORES[[#This Row],[descuento sobre subtotal]])*VLOOKUP(PROVEEDORES[[#This Row],[PROVEEDOR]],TERCEROS_INFO[#All],3,FALSE)</f>
        <v>0</v>
      </c>
      <c r="N265" s="23"/>
      <c r="O265" s="22">
        <f>+PROVEEDORES[[#This Row],[Descuento sobre subtotal %]]*(PROVEEDORES[[#This Row],[SUBTOTAL]]-PROVEEDORES[[#This Row],[descuento sobre subtotal]])</f>
        <v>0</v>
      </c>
      <c r="P265" s="72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f>+PROVEEDORES[[#This Row],[SUBTOTAL]]+PROVEEDORES[[#This Row],[IVA 19%]]-PROVEEDORES[[#This Row],[descuento sobre subtotal]]-PROVEEDORES[[#This Row],[Descuento sobre subtotal $2]]-PROVEEDORES[[#This Row],[Rete Fuente $]]</f>
        <v>2990000</v>
      </c>
      <c r="S265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1">
        <f ca="1">IF(PROVEEDORES[[#This Row],[FECHA DE PAGO]]=0,TODAY()-PROVEEDORES[[#This Row],[FECHA DE FACTURACIÓN]]-PROVEEDORES[[#This Row],[PLAZO Días]],0)</f>
        <v>0</v>
      </c>
      <c r="U265" s="97">
        <f>+VLOOKUP(PROVEEDORES[[#This Row],[PROVEEDOR]],Terceros!$A:$D,4,FALSE)</f>
        <v>0</v>
      </c>
      <c r="V265" s="98">
        <f>+YEAR(PROVEEDORES[[#This Row],[FECHA DE FACTURACIÓN]])</f>
        <v>2023</v>
      </c>
      <c r="W265" s="98">
        <f>+MATCH(PROVEEDORES[[#This Row],[año facturado]],Retenciones!$1:$1,0)</f>
        <v>6</v>
      </c>
      <c r="X265" s="99">
        <f>+VLOOKUP(PROVEEDORES[[#This Row],[ID RETENCION]],Retenciones!$A$1:$O$25,PROVEEDORES[[#This Row],[indicador de columna]],FALSE)</f>
        <v>0</v>
      </c>
      <c r="Y265" s="100">
        <f>+VLOOKUP(PROVEEDORES[[#This Row],[ID RETENCION]],Retenciones!$A$1:$O$25,2,FALSE)</f>
        <v>0</v>
      </c>
      <c r="Z265" s="103" t="b">
        <f>OR(COUNTIF(PROVEEDORES[[#This Row],[PROVEEDOR]],"*"&amp;'Palabra no opera'!$A$2&amp;"*"))</f>
        <v>0</v>
      </c>
    </row>
    <row r="266" spans="1:26" ht="22.35" customHeight="1" x14ac:dyDescent="0.25">
      <c r="A266" s="65" t="str">
        <f>+IF(PROVEEDORES[[#This Row],[FECHA DE PAGO]]=PROVEEDORES[[#This Row],[FECHA DE FACTURACIÓN]],"DE CONTADO","CRÉDITO")</f>
        <v>CRÉDITO</v>
      </c>
      <c r="B266" s="38" t="str">
        <f>+IF((PROVEEDORES[[#This Row],[FECHA DE PAGO]]-PROVEEDORES[[#This Row],[FECHA DE FACTURACIÓN]])&gt;PROVEEDORES[[#This Row],[PLAZO Días]],"PAGO VENCIDO")</f>
        <v>PAGO VENCIDO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4202500</v>
      </c>
      <c r="E266" s="25"/>
      <c r="F266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66" s="289">
        <v>45281</v>
      </c>
      <c r="H266" s="26" t="s">
        <v>301</v>
      </c>
      <c r="I266" s="289">
        <v>45250</v>
      </c>
      <c r="J266" s="35" t="s">
        <v>1324</v>
      </c>
      <c r="K266" s="21">
        <v>2610000</v>
      </c>
      <c r="L266" s="21"/>
      <c r="M266" s="22">
        <f>(PROVEEDORES[[#This Row],[SUBTOTAL]]-PROVEEDORES[[#This Row],[descuento sobre subtotal]])*VLOOKUP(PROVEEDORES[[#This Row],[PROVEEDOR]],TERCEROS_INFO[#All],3,FALSE)</f>
        <v>0</v>
      </c>
      <c r="N266" s="23"/>
      <c r="O266" s="22">
        <f>+PROVEEDORES[[#This Row],[Descuento sobre subtotal %]]*(PROVEEDORES[[#This Row],[SUBTOTAL]]-PROVEEDORES[[#This Row],[descuento sobre subtotal]])</f>
        <v>0</v>
      </c>
      <c r="P266" s="72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f>+PROVEEDORES[[#This Row],[SUBTOTAL]]+PROVEEDORES[[#This Row],[IVA 19%]]-PROVEEDORES[[#This Row],[descuento sobre subtotal]]-PROVEEDORES[[#This Row],[Descuento sobre subtotal $2]]-PROVEEDORES[[#This Row],[Rete Fuente $]]</f>
        <v>2610000</v>
      </c>
      <c r="S26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1">
        <f ca="1">IF(PROVEEDORES[[#This Row],[FECHA DE PAGO]]=0,TODAY()-PROVEEDORES[[#This Row],[FECHA DE FACTURACIÓN]]-PROVEEDORES[[#This Row],[PLAZO Días]],0)</f>
        <v>0</v>
      </c>
      <c r="U266" s="97">
        <f>+VLOOKUP(PROVEEDORES[[#This Row],[PROVEEDOR]],Terceros!$A:$D,4,FALSE)</f>
        <v>0</v>
      </c>
      <c r="V266" s="98">
        <f>+YEAR(PROVEEDORES[[#This Row],[FECHA DE FACTURACIÓN]])</f>
        <v>2023</v>
      </c>
      <c r="W266" s="98">
        <f>+MATCH(PROVEEDORES[[#This Row],[año facturado]],Retenciones!$1:$1,0)</f>
        <v>6</v>
      </c>
      <c r="X266" s="99">
        <f>+VLOOKUP(PROVEEDORES[[#This Row],[ID RETENCION]],Retenciones!$A$1:$O$25,PROVEEDORES[[#This Row],[indicador de columna]],FALSE)</f>
        <v>0</v>
      </c>
      <c r="Y266" s="100">
        <f>+VLOOKUP(PROVEEDORES[[#This Row],[ID RETENCION]],Retenciones!$A$1:$O$25,2,FALSE)</f>
        <v>0</v>
      </c>
      <c r="Z266" s="103" t="b">
        <f>OR(COUNTIF(PROVEEDORES[[#This Row],[PROVEEDOR]],"*"&amp;'Palabra no opera'!$A$2&amp;"*"))</f>
        <v>0</v>
      </c>
    </row>
    <row r="267" spans="1:26" ht="22.35" customHeight="1" x14ac:dyDescent="0.25">
      <c r="A267" s="310" t="str">
        <f>+IF(PROVEEDORES[[#This Row],[FECHA DE PAGO]]=PROVEEDORES[[#This Row],[FECHA DE FACTURACIÓN]],"DE CONTADO","CRÉDITO")</f>
        <v>CRÉDITO</v>
      </c>
      <c r="B267" s="38" t="b">
        <f>+IF((PROVEEDORES[[#This Row],[FECHA DE PAGO]]-PROVEEDORES[[#This Row],[FECHA DE FACTURACIÓN]])&gt;PROVEEDORES[[#This Row],[PLAZO Días]],"PAGO VENCIDO")</f>
        <v>0</v>
      </c>
      <c r="C267" s="20">
        <f>+VLOOKUP(PROVEEDORES[[#This Row],[PROVEEDOR]],TERCEROS_INFO[#All],2,FALSE)</f>
        <v>30</v>
      </c>
      <c r="D267" s="25">
        <f>+SUMIFS(PROVEEDORES[Total],PROVEEDORES[PROVEEDOR],PROVEEDORES[[#This Row],[PROVEEDOR]],PROVEEDORES[FECHA DE PAGO],"")</f>
        <v>4202500</v>
      </c>
      <c r="E267" s="25"/>
      <c r="F267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H267" s="26" t="s">
        <v>301</v>
      </c>
      <c r="I267" s="289">
        <v>45302</v>
      </c>
      <c r="J267" s="35" t="s">
        <v>1493</v>
      </c>
      <c r="K267" s="21">
        <v>4202500</v>
      </c>
      <c r="L267" s="21"/>
      <c r="M267" s="22">
        <f>(PROVEEDORES[[#This Row],[SUBTOTAL]]-PROVEEDORES[[#This Row],[descuento sobre subtotal]])*VLOOKUP(PROVEEDORES[[#This Row],[PROVEEDOR]],TERCEROS_INFO[#All],3,FALSE)</f>
        <v>0</v>
      </c>
      <c r="N267" s="23"/>
      <c r="O267" s="22">
        <f>+PROVEEDORES[[#This Row],[Descuento sobre subtotal %]]*(PROVEEDORES[[#This Row],[SUBTOTAL]]-PROVEEDORES[[#This Row],[descuento sobre subtotal]])</f>
        <v>0</v>
      </c>
      <c r="P267" s="72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f>+PROVEEDORES[[#This Row],[SUBTOTAL]]+PROVEEDORES[[#This Row],[IVA 19%]]-PROVEEDORES[[#This Row],[descuento sobre subtotal]]-PROVEEDORES[[#This Row],[Descuento sobre subtotal $2]]-PROVEEDORES[[#This Row],[Rete Fuente $]]</f>
        <v>4202500</v>
      </c>
      <c r="S267" s="31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7" s="61">
        <f ca="1">IF(PROVEEDORES[[#This Row],[FECHA DE PAGO]]=0,TODAY()-PROVEEDORES[[#This Row],[FECHA DE FACTURACIÓN]]-PROVEEDORES[[#This Row],[PLAZO Días]],0)</f>
        <v>-4</v>
      </c>
      <c r="U267" s="97">
        <f>+VLOOKUP(PROVEEDORES[[#This Row],[PROVEEDOR]],Terceros!$A:$D,4,FALSE)</f>
        <v>0</v>
      </c>
      <c r="V267" s="98">
        <f>+YEAR(PROVEEDORES[[#This Row],[FECHA DE FACTURACIÓN]])</f>
        <v>2024</v>
      </c>
      <c r="W267" s="98">
        <f>+MATCH(PROVEEDORES[[#This Row],[año facturado]],Retenciones!$1:$1,0)</f>
        <v>7</v>
      </c>
      <c r="X267" s="99">
        <f>+VLOOKUP(PROVEEDORES[[#This Row],[ID RETENCION]],Retenciones!$A$1:$O$25,PROVEEDORES[[#This Row],[indicador de columna]],FALSE)</f>
        <v>0</v>
      </c>
      <c r="Y267" s="100">
        <f>+VLOOKUP(PROVEEDORES[[#This Row],[ID RETENCION]],Retenciones!$A$1:$O$25,2,FALSE)</f>
        <v>0</v>
      </c>
      <c r="Z267" s="103" t="b">
        <f>OR(COUNTIF(PROVEEDORES[[#This Row],[PROVEEDOR]],"*"&amp;'Palabra no opera'!$A$2&amp;"*"))</f>
        <v>0</v>
      </c>
    </row>
    <row r="268" spans="1:26" ht="22.35" customHeight="1" x14ac:dyDescent="0.25">
      <c r="A268" s="65" t="str">
        <f>+IF(PROVEEDORES[[#This Row],[FECHA DE PAGO]]=PROVEEDORES[[#This Row],[FECHA DE FACTURACIÓN]],"DE CONTADO","CRÉDITO")</f>
        <v>CRÉDITO</v>
      </c>
      <c r="B268" s="38" t="b">
        <f>+IF((PROVEEDORES[[#This Row],[FECHA DE PAGO]]-PROVEEDORES[[#This Row],[FECHA DE FACTURACIÓN]])&gt;PROVEEDORES[[#This Row],[PLAZO Días]],"PAGO VENCIDO")</f>
        <v>0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0</v>
      </c>
      <c r="E268" s="25"/>
      <c r="F268" s="56">
        <f>+VLOOKUP(PROVEEDORES[[#This Row],[PROVEEDOR]],
                       Terceros!$A:$F,
                       5,
                       FALSE)</f>
        <v>0</v>
      </c>
      <c r="G268" s="289">
        <v>45027</v>
      </c>
      <c r="H268" s="26" t="s">
        <v>515</v>
      </c>
      <c r="I268" s="289">
        <v>45017</v>
      </c>
      <c r="J268" s="35">
        <v>6724</v>
      </c>
      <c r="K268" s="21">
        <v>300000</v>
      </c>
      <c r="L268" s="21"/>
      <c r="M268" s="22">
        <f>(PROVEEDORES[[#This Row],[SUBTOTAL]]-PROVEEDORES[[#This Row],[descuento sobre subtotal]])*VLOOKUP(PROVEEDORES[[#This Row],[PROVEEDOR]],TERCEROS_INFO[#All],3,FALSE)</f>
        <v>0</v>
      </c>
      <c r="N268" s="23"/>
      <c r="O268" s="22">
        <f>+PROVEEDORES[[#This Row],[Descuento sobre subtotal %]]*(PROVEEDORES[[#This Row],[SUBTOTAL]]-PROVEEDORES[[#This Row],[descuento sobre subtotal]])</f>
        <v>0</v>
      </c>
      <c r="P268" s="72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2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1">
        <f ca="1">IF(PROVEEDORES[[#This Row],[FECHA DE PAGO]]=0,TODAY()-PROVEEDORES[[#This Row],[FECHA DE FACTURACIÓN]]-PROVEEDORES[[#This Row],[PLAZO Días]],0)</f>
        <v>0</v>
      </c>
      <c r="U268" s="97">
        <f>+VLOOKUP(PROVEEDORES[[#This Row],[PROVEEDOR]],Terceros!$A:$D,4,FALSE)</f>
        <v>0</v>
      </c>
      <c r="V268" s="98">
        <f>+YEAR(PROVEEDORES[[#This Row],[FECHA DE FACTURACIÓN]])</f>
        <v>2023</v>
      </c>
      <c r="W268" s="98">
        <f>+MATCH(PROVEEDORES[[#This Row],[año facturado]],Retenciones!$1:$1,0)</f>
        <v>6</v>
      </c>
      <c r="X268" s="99">
        <f>+VLOOKUP(PROVEEDORES[[#This Row],[ID RETENCION]],Retenciones!$A$1:$O$25,PROVEEDORES[[#This Row],[indicador de columna]],FALSE)</f>
        <v>0</v>
      </c>
      <c r="Y268" s="100">
        <f>+VLOOKUP(PROVEEDORES[[#This Row],[ID RETENCION]],Retenciones!$A$1:$O$25,2,FALSE)</f>
        <v>0</v>
      </c>
      <c r="Z268" s="103" t="b">
        <f>OR(COUNTIF(PROVEEDORES[[#This Row],[PROVEEDOR]],"*"&amp;'Palabra no opera'!$A$2&amp;"*"))</f>
        <v>0</v>
      </c>
    </row>
    <row r="269" spans="1:26" ht="22.35" customHeight="1" x14ac:dyDescent="0.25">
      <c r="A269" s="65" t="str">
        <f>+IF(PROVEEDORES[[#This Row],[FECHA DE PAGO]]=PROVEEDORES[[#This Row],[FECHA DE FACTURACIÓN]],"DE CONTADO","CRÉDITO")</f>
        <v>CRÉDITO</v>
      </c>
      <c r="B269" s="38" t="str">
        <f>+IF((PROVEEDORES[[#This Row],[FECHA DE PAGO]]-PROVEEDORES[[#This Row],[FECHA DE FACTURACIÓN]])&gt;PROVEEDORES[[#This Row],[PLAZO Días]],"PAGO VENCIDO")</f>
        <v>PAGO VENCIDO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0</v>
      </c>
      <c r="E269" s="25"/>
      <c r="F269" s="56">
        <f>+VLOOKUP(PROVEEDORES[[#This Row],[PROVEEDOR]],
                       Terceros!$A:$F,
                       5,
                       FALSE)</f>
        <v>0</v>
      </c>
      <c r="G269" s="289">
        <v>45134</v>
      </c>
      <c r="H269" s="26" t="s">
        <v>515</v>
      </c>
      <c r="I269" s="289">
        <v>45079</v>
      </c>
      <c r="J269" s="35" t="s">
        <v>915</v>
      </c>
      <c r="K269" s="21">
        <v>2046000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>
        <v>0.1</v>
      </c>
      <c r="O269" s="22">
        <f>+PROVEEDORES[[#This Row],[Descuento sobre subtotal %]]*(PROVEEDORES[[#This Row],[SUBTOTAL]]-PROVEEDORES[[#This Row],[descuento sobre subtotal]])</f>
        <v>204600</v>
      </c>
      <c r="P269" s="72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f>+PROVEEDORES[[#This Row],[SUBTOTAL]]+PROVEEDORES[[#This Row],[IVA 19%]]-PROVEEDORES[[#This Row],[descuento sobre subtotal]]-PROVEEDORES[[#This Row],[Descuento sobre subtotal $2]]-PROVEEDORES[[#This Row],[Rete Fuente $]]</f>
        <v>1841400</v>
      </c>
      <c r="S26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1">
        <f ca="1">IF(PROVEEDORES[[#This Row],[FECHA DE PAGO]]=0,TODAY()-PROVEEDORES[[#This Row],[FECHA DE FACTURACIÓN]]-PROVEEDORES[[#This Row],[PLAZO Días]],0)</f>
        <v>0</v>
      </c>
      <c r="U269" s="97">
        <f>+VLOOKUP(PROVEEDORES[[#This Row],[PROVEEDOR]],Terceros!$A:$D,4,FALSE)</f>
        <v>0</v>
      </c>
      <c r="V269" s="98">
        <f>+YEAR(PROVEEDORES[[#This Row],[FECHA DE FACTURACIÓN]])</f>
        <v>2023</v>
      </c>
      <c r="W269" s="98">
        <f>+MATCH(PROVEEDORES[[#This Row],[año facturado]],Retenciones!$1:$1,0)</f>
        <v>6</v>
      </c>
      <c r="X269" s="99">
        <f>+VLOOKUP(PROVEEDORES[[#This Row],[ID RETENCION]],Retenciones!$A$1:$O$25,PROVEEDORES[[#This Row],[indicador de columna]],FALSE)</f>
        <v>0</v>
      </c>
      <c r="Y269" s="100">
        <f>+VLOOKUP(PROVEEDORES[[#This Row],[ID RETENCION]],Retenciones!$A$1:$O$25,2,FALSE)</f>
        <v>0</v>
      </c>
      <c r="Z269" s="103" t="b">
        <f>OR(COUNTIF(PROVEEDORES[[#This Row],[PROVEEDOR]],"*"&amp;'Palabra no opera'!$A$2&amp;"*"))</f>
        <v>0</v>
      </c>
    </row>
    <row r="270" spans="1:26" ht="22.35" customHeight="1" x14ac:dyDescent="0.25">
      <c r="A270" s="65" t="str">
        <f>+IF(PROVEEDORES[[#This Row],[FECHA DE PAGO]]=PROVEEDORES[[#This Row],[FECHA DE FACTURACIÓN]],"DE CONTADO","CRÉDITO")</f>
        <v>DE CONTADO</v>
      </c>
      <c r="B270" s="38" t="b">
        <f>+IF((PROVEEDORES[[#This Row],[FECHA DE PAGO]]-PROVEEDORES[[#This Row],[FECHA DE FACTURACIÓN]])&gt;PROVEEDORES[[#This Row],[PLAZO Días]],"PAGO VENCIDO")</f>
        <v>0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0</v>
      </c>
      <c r="E270" s="25"/>
      <c r="F270" s="56">
        <f>+VLOOKUP(PROVEEDORES[[#This Row],[PROVEEDOR]],
                       Terceros!$A:$F,
                       5,
                       FALSE)</f>
        <v>0</v>
      </c>
      <c r="G270" s="289">
        <v>45098</v>
      </c>
      <c r="H270" s="26" t="s">
        <v>515</v>
      </c>
      <c r="I270" s="289">
        <v>45098</v>
      </c>
      <c r="J270" s="35" t="s">
        <v>916</v>
      </c>
      <c r="K270" s="21">
        <v>452795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72">
        <f>+IF(PROVEEDORES[[#This Row],[SUBTOTAL]]&lt;PROVEEDORES[[#This Row],[base retencion]],0,PROVEEDORES[[#This Row],[retención aplicada]])</f>
        <v>0</v>
      </c>
      <c r="Q270" s="22">
        <f>+PROVEEDORES[[#This Row],[Rete Fuente %]]*(PROVEEDORES[[#This Row],[SUBTOTAL]]-PROVEEDORES[[#This Row],[descuento sobre subtotal]])</f>
        <v>0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452795</v>
      </c>
      <c r="S2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1">
        <f ca="1">IF(PROVEEDORES[[#This Row],[FECHA DE PAGO]]=0,TODAY()-PROVEEDORES[[#This Row],[FECHA DE FACTURACIÓN]]-PROVEEDORES[[#This Row],[PLAZO Días]],0)</f>
        <v>0</v>
      </c>
      <c r="U270" s="97">
        <f>+VLOOKUP(PROVEEDORES[[#This Row],[PROVEEDOR]],Terceros!$A:$D,4,FALSE)</f>
        <v>0</v>
      </c>
      <c r="V270" s="98">
        <f>+YEAR(PROVEEDORES[[#This Row],[FECHA DE FACTURACIÓN]])</f>
        <v>2023</v>
      </c>
      <c r="W270" s="98">
        <f>+MATCH(PROVEEDORES[[#This Row],[año facturado]],Retenciones!$1:$1,0)</f>
        <v>6</v>
      </c>
      <c r="X270" s="99">
        <f>+VLOOKUP(PROVEEDORES[[#This Row],[ID RETENCION]],Retenciones!$A$1:$O$25,PROVEEDORES[[#This Row],[indicador de columna]],FALSE)</f>
        <v>0</v>
      </c>
      <c r="Y270" s="100">
        <f>+VLOOKUP(PROVEEDORES[[#This Row],[ID RETENCION]],Retenciones!$A$1:$O$25,2,FALSE)</f>
        <v>0</v>
      </c>
      <c r="Z270" s="103" t="b">
        <f>OR(COUNTIF(PROVEEDORES[[#This Row],[PROVEEDOR]],"*"&amp;'Palabra no opera'!$A$2&amp;"*"))</f>
        <v>0</v>
      </c>
    </row>
    <row r="271" spans="1:26" ht="22.35" customHeight="1" x14ac:dyDescent="0.25">
      <c r="A271" s="243" t="str">
        <f>+IF(PROVEEDORES[[#This Row],[FECHA DE PAGO]]=PROVEEDORES[[#This Row],[FECHA DE FACTURACIÓN]],"DE CONTADO","CRÉDITO")</f>
        <v>CRÉDITO</v>
      </c>
      <c r="B271" s="38" t="str">
        <f>+IF((PROVEEDORES[[#This Row],[FECHA DE PAGO]]-PROVEEDORES[[#This Row],[FECHA DE FACTURACIÓN]])&gt;PROVEEDORES[[#This Row],[PLAZO Días]],"PAGO VENCIDO")</f>
        <v>PAGO VENCIDO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0</v>
      </c>
      <c r="E271" s="25"/>
      <c r="F271" s="56">
        <f>+VLOOKUP(PROVEEDORES[[#This Row],[PROVEEDOR]],
                       Terceros!$A:$F,
                       5,
                       FALSE)</f>
        <v>0</v>
      </c>
      <c r="G271" s="289">
        <v>45237</v>
      </c>
      <c r="H271" s="26" t="s">
        <v>515</v>
      </c>
      <c r="I271" s="289">
        <v>45184</v>
      </c>
      <c r="J271" s="35" t="s">
        <v>1148</v>
      </c>
      <c r="K271" s="21">
        <v>1958700</v>
      </c>
      <c r="L271" s="21">
        <v>0</v>
      </c>
      <c r="M271" s="22">
        <f>(PROVEEDORES[[#This Row],[SUBTOTAL]]-PROVEEDORES[[#This Row],[descuento sobre subtotal]])*VLOOKUP(PROVEEDORES[[#This Row],[PROVEEDOR]],TERCEROS_INFO[#All],3,FALSE)</f>
        <v>0</v>
      </c>
      <c r="N271" s="23">
        <v>0.1</v>
      </c>
      <c r="O271" s="22">
        <f>+PROVEEDORES[[#This Row],[Descuento sobre subtotal %]]*(PROVEEDORES[[#This Row],[SUBTOTAL]]-PROVEEDORES[[#This Row],[descuento sobre subtotal]])</f>
        <v>195870</v>
      </c>
      <c r="P271" s="72">
        <f>+IF(PROVEEDORES[[#This Row],[SUBTOTAL]]&lt;PROVEEDORES[[#This Row],[base retencion]],0,PROVEEDORES[[#This Row],[retención aplicada]])</f>
        <v>0</v>
      </c>
      <c r="Q271" s="22">
        <f>+PROVEEDORES[[#This Row],[Rete Fuente %]]*(PROVEEDORES[[#This Row],[SUBTOTAL]]-PROVEEDORES[[#This Row],[descuento sobre subtotal]])</f>
        <v>0</v>
      </c>
      <c r="R271" s="21">
        <f>+PROVEEDORES[[#This Row],[SUBTOTAL]]+PROVEEDORES[[#This Row],[IVA 19%]]-PROVEEDORES[[#This Row],[descuento sobre subtotal]]-PROVEEDORES[[#This Row],[Descuento sobre subtotal $2]]-PROVEEDORES[[#This Row],[Rete Fuente $]]</f>
        <v>1762830</v>
      </c>
      <c r="S271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1">
        <f ca="1">IF(PROVEEDORES[[#This Row],[FECHA DE PAGO]]=0,TODAY()-PROVEEDORES[[#This Row],[FECHA DE FACTURACIÓN]]-PROVEEDORES[[#This Row],[PLAZO Días]],0)</f>
        <v>0</v>
      </c>
      <c r="U271" s="97">
        <f>+VLOOKUP(PROVEEDORES[[#This Row],[PROVEEDOR]],Terceros!$A:$D,4,FALSE)</f>
        <v>0</v>
      </c>
      <c r="V271" s="98">
        <f>+YEAR(PROVEEDORES[[#This Row],[FECHA DE FACTURACIÓN]])</f>
        <v>2023</v>
      </c>
      <c r="W271" s="98">
        <f>+MATCH(PROVEEDORES[[#This Row],[año facturado]],Retenciones!$1:$1,0)</f>
        <v>6</v>
      </c>
      <c r="X271" s="99">
        <f>+VLOOKUP(PROVEEDORES[[#This Row],[ID RETENCION]],Retenciones!$A$1:$O$25,PROVEEDORES[[#This Row],[indicador de columna]],FALSE)</f>
        <v>0</v>
      </c>
      <c r="Y271" s="100">
        <f>+VLOOKUP(PROVEEDORES[[#This Row],[ID RETENCION]],Retenciones!$A$1:$O$25,2,FALSE)</f>
        <v>0</v>
      </c>
      <c r="Z271" s="103" t="b">
        <f>OR(COUNTIF(PROVEEDORES[[#This Row],[PROVEEDOR]],"*"&amp;'Palabra no opera'!$A$2&amp;"*"))</f>
        <v>0</v>
      </c>
    </row>
    <row r="272" spans="1:26" ht="22.35" customHeight="1" x14ac:dyDescent="0.25">
      <c r="A272" s="65" t="str">
        <f>+IF(PROVEEDORES[[#This Row],[FECHA DE PAGO]]=PROVEEDORES[[#This Row],[FECHA DE FACTURACIÓN]],"DE CONTADO","CRÉDITO")</f>
        <v>CRÉDITO</v>
      </c>
      <c r="B272" s="38" t="str">
        <f>+IF((PROVEEDORES[[#This Row],[FECHA DE PAGO]]-PROVEEDORES[[#This Row],[FECHA DE FACTURACIÓN]])&gt;PROVEEDORES[[#This Row],[PLAZO Días]],"PAGO VENCIDO")</f>
        <v>PAGO VENCIDO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0</v>
      </c>
      <c r="E272" s="25"/>
      <c r="F272" s="56" t="str">
        <f>+VLOOKUP(PROVEEDORES[[#This Row],[PROVEEDOR]],
                       Terceros!$A:$F,
                       5,
                       FALSE)</f>
        <v/>
      </c>
      <c r="G272" s="289">
        <v>45104</v>
      </c>
      <c r="H272" s="26" t="s">
        <v>303</v>
      </c>
      <c r="I272" s="289">
        <v>45006</v>
      </c>
      <c r="J272" s="35" t="s">
        <v>699</v>
      </c>
      <c r="K272" s="21">
        <v>230000</v>
      </c>
      <c r="L272" s="21"/>
      <c r="M272" s="22">
        <f>(PROVEEDORES[[#This Row],[SUBTOTAL]]-PROVEEDORES[[#This Row],[descuento sobre subtotal]])*VLOOKUP(PROVEEDORES[[#This Row],[PROVEEDOR]],TERCEROS_INFO[#All],3,FALSE)</f>
        <v>0</v>
      </c>
      <c r="N272" s="23"/>
      <c r="O272" s="22">
        <f>+PROVEEDORES[[#This Row],[Descuento sobre subtotal %]]*(PROVEEDORES[[#This Row],[SUBTOTAL]]-PROVEEDORES[[#This Row],[descuento sobre subtotal]])</f>
        <v>0</v>
      </c>
      <c r="P272" s="72">
        <f>+IF(PROVEEDORES[[#This Row],[SUBTOTAL]]&lt;PROVEEDORES[[#This Row],[base retencion]],0,PROVEEDORES[[#This Row],[retención aplicada]])</f>
        <v>0</v>
      </c>
      <c r="Q272" s="22">
        <f>+PROVEEDORES[[#This Row],[Rete Fuente %]]*(PROVEEDORES[[#This Row],[SUBTOTAL]]-PROVEEDORES[[#This Row],[descuento sobre subtotal]])</f>
        <v>0</v>
      </c>
      <c r="R272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2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1">
        <f ca="1">IF(PROVEEDORES[[#This Row],[FECHA DE PAGO]]=0,TODAY()-PROVEEDORES[[#This Row],[FECHA DE FACTURACIÓN]]-PROVEEDORES[[#This Row],[PLAZO Días]],0)</f>
        <v>0</v>
      </c>
      <c r="U272" s="97">
        <f>+VLOOKUP(PROVEEDORES[[#This Row],[PROVEEDOR]],Terceros!$A:$D,4,FALSE)</f>
        <v>0</v>
      </c>
      <c r="V272" s="98">
        <f>+YEAR(PROVEEDORES[[#This Row],[FECHA DE FACTURACIÓN]])</f>
        <v>2023</v>
      </c>
      <c r="W272" s="98">
        <f>+MATCH(PROVEEDORES[[#This Row],[año facturado]],Retenciones!$1:$1,0)</f>
        <v>6</v>
      </c>
      <c r="X272" s="99">
        <f>+VLOOKUP(PROVEEDORES[[#This Row],[ID RETENCION]],Retenciones!$A$1:$O$25,PROVEEDORES[[#This Row],[indicador de columna]],FALSE)</f>
        <v>0</v>
      </c>
      <c r="Y272" s="100">
        <f>+VLOOKUP(PROVEEDORES[[#This Row],[ID RETENCION]],Retenciones!$A$1:$O$25,2,FALSE)</f>
        <v>0</v>
      </c>
      <c r="Z272" s="103" t="b">
        <f>OR(COUNTIF(PROVEEDORES[[#This Row],[PROVEEDOR]],"*"&amp;'Palabra no opera'!$A$2&amp;"*"))</f>
        <v>0</v>
      </c>
    </row>
    <row r="273" spans="1:26" ht="22.35" customHeight="1" x14ac:dyDescent="0.25">
      <c r="A273" s="247" t="str">
        <f>+IF(PROVEEDORES[[#This Row],[FECHA DE PAGO]]=PROVEEDORES[[#This Row],[FECHA DE FACTURACIÓN]],"DE CONTADO","CRÉDITO")</f>
        <v>DE CONTADO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0</v>
      </c>
      <c r="E273" s="25"/>
      <c r="F273" s="56" t="str">
        <f>+VLOOKUP(PROVEEDORES[[#This Row],[PROVEEDOR]],
                       Terceros!$A:$F,
                       5,
                       FALSE)</f>
        <v/>
      </c>
      <c r="G273" s="289">
        <v>45211</v>
      </c>
      <c r="H273" s="26" t="s">
        <v>303</v>
      </c>
      <c r="I273" s="289">
        <v>45211</v>
      </c>
      <c r="J273" s="35" t="s">
        <v>1187</v>
      </c>
      <c r="K273" s="21">
        <v>550000</v>
      </c>
      <c r="L273" s="21"/>
      <c r="M273" s="22">
        <f>(PROVEEDORES[[#This Row],[SUBTOTAL]]-PROVEEDORES[[#This Row],[descuento sobre subtotal]])*VLOOKUP(PROVEEDORES[[#This Row],[PROVEEDOR]],TERCEROS_INFO[#All],3,FALSE)</f>
        <v>0</v>
      </c>
      <c r="N273" s="23"/>
      <c r="O273" s="22">
        <f>+PROVEEDORES[[#This Row],[Descuento sobre subtotal %]]*(PROVEEDORES[[#This Row],[SUBTOTAL]]-PROVEEDORES[[#This Row],[descuento sobre subtotal]])</f>
        <v>0</v>
      </c>
      <c r="P273" s="72">
        <f>+IF(PROVEEDORES[[#This Row],[SUBTOTAL]]&lt;PROVEEDORES[[#This Row],[base retencion]],0,PROVEEDORES[[#This Row],[retención aplicada]])</f>
        <v>0</v>
      </c>
      <c r="Q273" s="22">
        <f>+PROVEEDORES[[#This Row],[Rete Fuente %]]*(PROVEEDORES[[#This Row],[SUBTOTAL]]-PROVEEDORES[[#This Row],[descuento sobre subtotal]])</f>
        <v>0</v>
      </c>
      <c r="R273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273" s="2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1">
        <f ca="1">IF(PROVEEDORES[[#This Row],[FECHA DE PAGO]]=0,TODAY()-PROVEEDORES[[#This Row],[FECHA DE FACTURACIÓN]]-PROVEEDORES[[#This Row],[PLAZO Días]],0)</f>
        <v>0</v>
      </c>
      <c r="U273" s="97">
        <f>+VLOOKUP(PROVEEDORES[[#This Row],[PROVEEDOR]],Terceros!$A:$D,4,FALSE)</f>
        <v>0</v>
      </c>
      <c r="V273" s="98">
        <f>+YEAR(PROVEEDORES[[#This Row],[FECHA DE FACTURACIÓN]])</f>
        <v>2023</v>
      </c>
      <c r="W273" s="98">
        <f>+MATCH(PROVEEDORES[[#This Row],[año facturado]],Retenciones!$1:$1,0)</f>
        <v>6</v>
      </c>
      <c r="X273" s="99">
        <f>+VLOOKUP(PROVEEDORES[[#This Row],[ID RETENCION]],Retenciones!$A$1:$O$25,PROVEEDORES[[#This Row],[indicador de columna]],FALSE)</f>
        <v>0</v>
      </c>
      <c r="Y273" s="100">
        <f>+VLOOKUP(PROVEEDORES[[#This Row],[ID RETENCION]],Retenciones!$A$1:$O$25,2,FALSE)</f>
        <v>0</v>
      </c>
      <c r="Z273" s="103" t="b">
        <f>OR(COUNTIF(PROVEEDORES[[#This Row],[PROVEEDOR]],"*"&amp;'Palabra no opera'!$A$2&amp;"*"))</f>
        <v>0</v>
      </c>
    </row>
    <row r="274" spans="1:26" ht="22.35" customHeight="1" x14ac:dyDescent="0.25">
      <c r="A274" s="256" t="str">
        <f>+IF(PROVEEDORES[[#This Row],[FECHA DE PAGO]]=PROVEEDORES[[#This Row],[FECHA DE FACTURACIÓN]],"DE CONTADO","CRÉDITO")</f>
        <v>CRÉDITO</v>
      </c>
      <c r="B274" s="38" t="b">
        <f>+IF((PROVEEDORES[[#This Row],[FECHA DE PAGO]]-PROVEEDORES[[#This Row],[FECHA DE FACTURACIÓN]])&gt;PROVEEDORES[[#This Row],[PLAZO Días]],"PAGO VENCIDO")</f>
        <v>0</v>
      </c>
      <c r="C274" s="20">
        <f>+VLOOKUP(PROVEEDORES[[#This Row],[PROVEEDOR]],TERCEROS_INFO[#All],2,FALSE)</f>
        <v>30</v>
      </c>
      <c r="D274" s="25">
        <f>+SUMIFS(PROVEEDORES[Total],PROVEEDORES[PROVEEDOR],PROVEEDORES[[#This Row],[PROVEEDOR]],PROVEEDORES[FECHA DE PAGO],"")</f>
        <v>0</v>
      </c>
      <c r="E274" s="25"/>
      <c r="F274" s="56" t="str">
        <f>+VLOOKUP(PROVEEDORES[[#This Row],[PROVEEDOR]],
                       Terceros!$A:$F,
                       5,
                       FALSE)</f>
        <v/>
      </c>
      <c r="G274" s="289">
        <v>45257</v>
      </c>
      <c r="H274" s="26" t="s">
        <v>303</v>
      </c>
      <c r="I274" s="289">
        <v>45231</v>
      </c>
      <c r="J274" s="35" t="s">
        <v>1258</v>
      </c>
      <c r="K274" s="21">
        <v>440000</v>
      </c>
      <c r="L274" s="21"/>
      <c r="M274" s="22">
        <f>(PROVEEDORES[[#This Row],[SUBTOTAL]]-PROVEEDORES[[#This Row],[descuento sobre subtotal]])*VLOOKUP(PROVEEDORES[[#This Row],[PROVEEDOR]],TERCEROS_INFO[#All],3,FALSE)</f>
        <v>0</v>
      </c>
      <c r="N274" s="23"/>
      <c r="O274" s="22">
        <f>+PROVEEDORES[[#This Row],[Descuento sobre subtotal %]]*(PROVEEDORES[[#This Row],[SUBTOTAL]]-PROVEEDORES[[#This Row],[descuento sobre subtotal]])</f>
        <v>0</v>
      </c>
      <c r="P274" s="72">
        <f>+IF(PROVEEDORES[[#This Row],[SUBTOTAL]]&lt;PROVEEDORES[[#This Row],[base retencion]],0,PROVEEDORES[[#This Row],[retención aplicada]])</f>
        <v>0</v>
      </c>
      <c r="Q274" s="22">
        <f>+PROVEEDORES[[#This Row],[Rete Fuente %]]*(PROVEEDORES[[#This Row],[SUBTOTAL]]-PROVEEDORES[[#This Row],[descuento sobre subtotal]])</f>
        <v>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440000</v>
      </c>
      <c r="S274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1">
        <f ca="1">IF(PROVEEDORES[[#This Row],[FECHA DE PAGO]]=0,TODAY()-PROVEEDORES[[#This Row],[FECHA DE FACTURACIÓN]]-PROVEEDORES[[#This Row],[PLAZO Días]],0)</f>
        <v>0</v>
      </c>
      <c r="U274" s="97">
        <f>+VLOOKUP(PROVEEDORES[[#This Row],[PROVEEDOR]],Terceros!$A:$D,4,FALSE)</f>
        <v>0</v>
      </c>
      <c r="V274" s="98">
        <f>+YEAR(PROVEEDORES[[#This Row],[FECHA DE FACTURACIÓN]])</f>
        <v>2023</v>
      </c>
      <c r="W274" s="98">
        <f>+MATCH(PROVEEDORES[[#This Row],[año facturado]],Retenciones!$1:$1,0)</f>
        <v>6</v>
      </c>
      <c r="X274" s="99">
        <f>+VLOOKUP(PROVEEDORES[[#This Row],[ID RETENCION]],Retenciones!$A$1:$O$25,PROVEEDORES[[#This Row],[indicador de columna]],FALSE)</f>
        <v>0</v>
      </c>
      <c r="Y274" s="100">
        <f>+VLOOKUP(PROVEEDORES[[#This Row],[ID RETENCION]],Retenciones!$A$1:$O$25,2,FALSE)</f>
        <v>0</v>
      </c>
      <c r="Z274" s="103" t="b">
        <f>OR(COUNTIF(PROVEEDORES[[#This Row],[PROVEEDOR]],"*"&amp;'Palabra no opera'!$A$2&amp;"*"))</f>
        <v>0</v>
      </c>
    </row>
    <row r="275" spans="1:26" ht="22.35" customHeight="1" x14ac:dyDescent="0.25">
      <c r="A275" s="151" t="str">
        <f>+IF(PROVEEDORES[[#This Row],[FECHA DE PAGO]]=PROVEEDORES[[#This Row],[FECHA DE FACTURACIÓN]],"DE CONTADO","CRÉDITO")</f>
        <v>CRÉDITO</v>
      </c>
      <c r="B275" s="38" t="b">
        <f>+IF((PROVEEDORES[[#This Row],[FECHA DE PAGO]]-PROVEEDORES[[#This Row],[FECHA DE FACTURACIÓN]])&gt;PROVEEDORES[[#This Row],[PLAZO Días]],"PAGO VENCIDO")</f>
        <v>0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5972000</v>
      </c>
      <c r="E275" s="25"/>
      <c r="F275" s="56">
        <f>+VLOOKUP(PROVEEDORES[[#This Row],[PROVEEDOR]],
                       Terceros!$A:$F,
                       5,
                       FALSE)</f>
        <v>0</v>
      </c>
      <c r="G275" s="289">
        <v>44986</v>
      </c>
      <c r="H275" s="26" t="s">
        <v>512</v>
      </c>
      <c r="I275" s="289">
        <v>44958</v>
      </c>
      <c r="J275" s="35" t="s">
        <v>598</v>
      </c>
      <c r="K275" s="21">
        <v>1075000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72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1075000</v>
      </c>
      <c r="S275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1">
        <f ca="1">IF(PROVEEDORES[[#This Row],[FECHA DE PAGO]]=0,TODAY()-PROVEEDORES[[#This Row],[FECHA DE FACTURACIÓN]]-PROVEEDORES[[#This Row],[PLAZO Días]],0)</f>
        <v>0</v>
      </c>
      <c r="U275" s="97">
        <f>+VLOOKUP(PROVEEDORES[[#This Row],[PROVEEDOR]],Terceros!$A:$D,4,FALSE)</f>
        <v>0</v>
      </c>
      <c r="V275" s="98">
        <f>+YEAR(PROVEEDORES[[#This Row],[FECHA DE FACTURACIÓN]])</f>
        <v>2023</v>
      </c>
      <c r="W275" s="98">
        <f>+MATCH(PROVEEDORES[[#This Row],[año facturado]],Retenciones!$1:$1,0)</f>
        <v>6</v>
      </c>
      <c r="X275" s="99">
        <f>+VLOOKUP(PROVEEDORES[[#This Row],[ID RETENCION]],Retenciones!$A$1:$O$25,PROVEEDORES[[#This Row],[indicador de columna]],FALSE)</f>
        <v>0</v>
      </c>
      <c r="Y275" s="100">
        <f>+VLOOKUP(PROVEEDORES[[#This Row],[ID RETENCION]],Retenciones!$A$1:$O$25,2,FALSE)</f>
        <v>0</v>
      </c>
      <c r="Z275" s="103" t="b">
        <f>OR(COUNTIF(PROVEEDORES[[#This Row],[PROVEEDOR]],"*"&amp;'Palabra no opera'!$A$2&amp;"*"))</f>
        <v>0</v>
      </c>
    </row>
    <row r="276" spans="1:26" ht="22.35" customHeight="1" x14ac:dyDescent="0.25">
      <c r="A276" s="65" t="str">
        <f>+IF(PROVEEDORES[[#This Row],[FECHA DE PAGO]]=PROVEEDORES[[#This Row],[FECHA DE FACTURACIÓN]],"DE CONTADO","CRÉDITO")</f>
        <v>CRÉDITO</v>
      </c>
      <c r="B276" s="38" t="str">
        <f>+IF((PROVEEDORES[[#This Row],[FECHA DE PAGO]]-PROVEEDORES[[#This Row],[FECHA DE FACTURACIÓN]])&gt;PROVEEDORES[[#This Row],[PLAZO Días]],"PAGO VENCIDO")</f>
        <v>PAGO VENCIDO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5972000</v>
      </c>
      <c r="E276" s="25"/>
      <c r="F276" s="56">
        <f>+VLOOKUP(PROVEEDORES[[#This Row],[PROVEEDOR]],
                       Terceros!$A:$F,
                       5,
                       FALSE)</f>
        <v>0</v>
      </c>
      <c r="G276" s="289">
        <v>45027</v>
      </c>
      <c r="H276" s="26" t="s">
        <v>512</v>
      </c>
      <c r="I276" s="289">
        <v>44992</v>
      </c>
      <c r="J276" s="35">
        <v>9740</v>
      </c>
      <c r="K276" s="21">
        <v>1237000</v>
      </c>
      <c r="L276" s="21"/>
      <c r="M276" s="22">
        <f>(PROVEEDORES[[#This Row],[SUBTOTAL]]-PROVEEDORES[[#This Row],[descuento sobre subtotal]])*VLOOKUP(PROVEEDORES[[#This Row],[PROVEEDOR]],TERCEROS_INFO[#All],3,FALSE)</f>
        <v>0</v>
      </c>
      <c r="N276" s="23"/>
      <c r="O276" s="22">
        <f>+PROVEEDORES[[#This Row],[Descuento sobre subtotal %]]*(PROVEEDORES[[#This Row],[SUBTOTAL]]-PROVEEDORES[[#This Row],[descuento sobre subtotal]])</f>
        <v>0</v>
      </c>
      <c r="P276" s="72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1237000</v>
      </c>
      <c r="S2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1">
        <f ca="1">IF(PROVEEDORES[[#This Row],[FECHA DE PAGO]]=0,TODAY()-PROVEEDORES[[#This Row],[FECHA DE FACTURACIÓN]]-PROVEEDORES[[#This Row],[PLAZO Días]],0)</f>
        <v>0</v>
      </c>
      <c r="U276" s="97">
        <f>+VLOOKUP(PROVEEDORES[[#This Row],[PROVEEDOR]],Terceros!$A:$D,4,FALSE)</f>
        <v>0</v>
      </c>
      <c r="V276" s="98">
        <f>+YEAR(PROVEEDORES[[#This Row],[FECHA DE FACTURACIÓN]])</f>
        <v>2023</v>
      </c>
      <c r="W276" s="98">
        <f>+MATCH(PROVEEDORES[[#This Row],[año facturado]],Retenciones!$1:$1,0)</f>
        <v>6</v>
      </c>
      <c r="X276" s="99">
        <f>+VLOOKUP(PROVEEDORES[[#This Row],[ID RETENCION]],Retenciones!$A$1:$O$25,PROVEEDORES[[#This Row],[indicador de columna]],FALSE)</f>
        <v>0</v>
      </c>
      <c r="Y276" s="100">
        <f>+VLOOKUP(PROVEEDORES[[#This Row],[ID RETENCION]],Retenciones!$A$1:$O$25,2,FALSE)</f>
        <v>0</v>
      </c>
      <c r="Z276" s="103" t="b">
        <f>OR(COUNTIF(PROVEEDORES[[#This Row],[PROVEEDOR]],"*"&amp;'Palabra no opera'!$A$2&amp;"*"))</f>
        <v>0</v>
      </c>
    </row>
    <row r="277" spans="1:26" ht="22.35" customHeight="1" x14ac:dyDescent="0.25">
      <c r="A277" s="65" t="str">
        <f>+IF(PROVEEDORES[[#This Row],[FECHA DE PAGO]]=PROVEEDORES[[#This Row],[FECHA DE FACTURACIÓN]],"DE CONTADO","CRÉDITO")</f>
        <v>CRÉDITO</v>
      </c>
      <c r="B277" s="38" t="str">
        <f>+IF((PROVEEDORES[[#This Row],[FECHA DE PAGO]]-PROVEEDORES[[#This Row],[FECHA DE FACTURACIÓN]])&gt;PROVEEDORES[[#This Row],[PLAZO Días]],"PAGO VENCIDO")</f>
        <v>PAGO VENCIDO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5972000</v>
      </c>
      <c r="E277" s="25"/>
      <c r="F277" s="56">
        <f>+VLOOKUP(PROVEEDORES[[#This Row],[PROVEEDOR]],
                       Terceros!$A:$F,
                       5,
                       FALSE)</f>
        <v>0</v>
      </c>
      <c r="G277" s="289">
        <v>45049</v>
      </c>
      <c r="H277" s="26" t="s">
        <v>512</v>
      </c>
      <c r="I277" s="289">
        <v>45013</v>
      </c>
      <c r="J277" s="35">
        <v>10379</v>
      </c>
      <c r="K277" s="21">
        <v>525000</v>
      </c>
      <c r="L277" s="21"/>
      <c r="M277" s="22">
        <f>(PROVEEDORES[[#This Row],[SUBTOTAL]]-PROVEEDORES[[#This Row],[descuento sobre subtotal]])*VLOOKUP(PROVEEDORES[[#This Row],[PROVEEDOR]],TERCEROS_INFO[#All],3,FALSE)</f>
        <v>0</v>
      </c>
      <c r="N277" s="23"/>
      <c r="O277" s="22">
        <f>+PROVEEDORES[[#This Row],[Descuento sobre subtotal %]]*(PROVEEDORES[[#This Row],[SUBTOTAL]]-PROVEEDORES[[#This Row],[descuento sobre subtotal]])</f>
        <v>0</v>
      </c>
      <c r="P277" s="72">
        <f>+IF(PROVEEDORES[[#This Row],[SUBTOTAL]]&lt;PROVEEDORES[[#This Row],[base retencion]],0,PROVEEDORES[[#This Row],[retención aplicada]])</f>
        <v>0</v>
      </c>
      <c r="Q277" s="22">
        <f>+PROVEEDORES[[#This Row],[Rete Fuente %]]*(PROVEEDORES[[#This Row],[SUBTOTAL]]-PROVEEDORES[[#This Row],[descuento sobre subtotal]])</f>
        <v>0</v>
      </c>
      <c r="R277" s="21">
        <f>+PROVEEDORES[[#This Row],[SUBTOTAL]]+PROVEEDORES[[#This Row],[IVA 19%]]-PROVEEDORES[[#This Row],[descuento sobre subtotal]]-PROVEEDORES[[#This Row],[Descuento sobre subtotal $2]]-PROVEEDORES[[#This Row],[Rete Fuente $]]</f>
        <v>525000</v>
      </c>
      <c r="S2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1">
        <f ca="1">IF(PROVEEDORES[[#This Row],[FECHA DE PAGO]]=0,TODAY()-PROVEEDORES[[#This Row],[FECHA DE FACTURACIÓN]]-PROVEEDORES[[#This Row],[PLAZO Días]],0)</f>
        <v>0</v>
      </c>
      <c r="U277" s="97">
        <f>+VLOOKUP(PROVEEDORES[[#This Row],[PROVEEDOR]],Terceros!$A:$D,4,FALSE)</f>
        <v>0</v>
      </c>
      <c r="V277" s="98">
        <f>+YEAR(PROVEEDORES[[#This Row],[FECHA DE FACTURACIÓN]])</f>
        <v>2023</v>
      </c>
      <c r="W277" s="98">
        <f>+MATCH(PROVEEDORES[[#This Row],[año facturado]],Retenciones!$1:$1,0)</f>
        <v>6</v>
      </c>
      <c r="X277" s="99">
        <f>+VLOOKUP(PROVEEDORES[[#This Row],[ID RETENCION]],Retenciones!$A$1:$O$25,PROVEEDORES[[#This Row],[indicador de columna]],FALSE)</f>
        <v>0</v>
      </c>
      <c r="Y277" s="100">
        <f>+VLOOKUP(PROVEEDORES[[#This Row],[ID RETENCION]],Retenciones!$A$1:$O$25,2,FALSE)</f>
        <v>0</v>
      </c>
      <c r="Z277" s="103" t="b">
        <f>OR(COUNTIF(PROVEEDORES[[#This Row],[PROVEEDOR]],"*"&amp;'Palabra no opera'!$A$2&amp;"*"))</f>
        <v>0</v>
      </c>
    </row>
    <row r="278" spans="1:26" ht="22.35" customHeight="1" x14ac:dyDescent="0.25">
      <c r="A278" s="65" t="str">
        <f>+IF(PROVEEDORES[[#This Row],[FECHA DE PAGO]]=PROVEEDORES[[#This Row],[FECHA DE FACTURACIÓN]],"DE CONTADO","CRÉDITO")</f>
        <v>CRÉDITO</v>
      </c>
      <c r="B278" s="38" t="str">
        <f>+IF((PROVEEDORES[[#This Row],[FECHA DE PAGO]]-PROVEEDORES[[#This Row],[FECHA DE FACTURACIÓN]])&gt;PROVEEDORES[[#This Row],[PLAZO Días]],"PAGO VENCIDO")</f>
        <v>PAGO VENCIDO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5972000</v>
      </c>
      <c r="E278" s="25"/>
      <c r="F278" s="56">
        <f>+VLOOKUP(PROVEEDORES[[#This Row],[PROVEEDOR]],
                       Terceros!$A:$F,
                       5,
                       FALSE)</f>
        <v>0</v>
      </c>
      <c r="G278" s="289">
        <v>45061</v>
      </c>
      <c r="H278" s="26" t="s">
        <v>433</v>
      </c>
      <c r="I278" s="289">
        <v>45026</v>
      </c>
      <c r="J278" s="35" t="s">
        <v>761</v>
      </c>
      <c r="K278" s="21">
        <v>815000</v>
      </c>
      <c r="L278" s="21"/>
      <c r="M278" s="22">
        <f>(PROVEEDORES[[#This Row],[SUBTOTAL]]-PROVEEDORES[[#This Row],[descuento sobre subtotal]])*VLOOKUP(PROVEEDORES[[#This Row],[PROVEEDOR]],TERCEROS_INFO[#All],3,FALSE)</f>
        <v>0</v>
      </c>
      <c r="N278" s="23"/>
      <c r="O278" s="22">
        <f>+PROVEEDORES[[#This Row],[Descuento sobre subtotal %]]*(PROVEEDORES[[#This Row],[SUBTOTAL]]-PROVEEDORES[[#This Row],[descuento sobre subtotal]])</f>
        <v>0</v>
      </c>
      <c r="P278" s="72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2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1">
        <f ca="1">IF(PROVEEDORES[[#This Row],[FECHA DE PAGO]]=0,TODAY()-PROVEEDORES[[#This Row],[FECHA DE FACTURACIÓN]]-PROVEEDORES[[#This Row],[PLAZO Días]],0)</f>
        <v>0</v>
      </c>
      <c r="U278" s="97">
        <f>+VLOOKUP(PROVEEDORES[[#This Row],[PROVEEDOR]],Terceros!$A:$D,4,FALSE)</f>
        <v>0</v>
      </c>
      <c r="V278" s="98">
        <f>+YEAR(PROVEEDORES[[#This Row],[FECHA DE FACTURACIÓN]])</f>
        <v>2023</v>
      </c>
      <c r="W278" s="98">
        <f>+MATCH(PROVEEDORES[[#This Row],[año facturado]],Retenciones!$1:$1,0)</f>
        <v>6</v>
      </c>
      <c r="X278" s="99">
        <f>+VLOOKUP(PROVEEDORES[[#This Row],[ID RETENCION]],Retenciones!$A$1:$O$25,PROVEEDORES[[#This Row],[indicador de columna]],FALSE)</f>
        <v>0</v>
      </c>
      <c r="Y278" s="100">
        <f>+VLOOKUP(PROVEEDORES[[#This Row],[ID RETENCION]],Retenciones!$A$1:$O$25,2,FALSE)</f>
        <v>0</v>
      </c>
      <c r="Z278" s="103" t="b">
        <f>OR(COUNTIF(PROVEEDORES[[#This Row],[PROVEEDOR]],"*"&amp;'Palabra no opera'!$A$2&amp;"*"))</f>
        <v>0</v>
      </c>
    </row>
    <row r="279" spans="1:26" ht="22.35" customHeight="1" x14ac:dyDescent="0.25">
      <c r="A279" s="65" t="str">
        <f>+IF(PROVEEDORES[[#This Row],[FECHA DE PAGO]]=PROVEEDORES[[#This Row],[FECHA DE FACTURACIÓN]],"DE CONTADO","CRÉDITO")</f>
        <v>CRÉDITO</v>
      </c>
      <c r="B279" s="38" t="str">
        <f>+IF((PROVEEDORES[[#This Row],[FECHA DE PAGO]]-PROVEEDORES[[#This Row],[FECHA DE FACTURACIÓN]])&gt;PROVEEDORES[[#This Row],[PLAZO Días]],"PAGO VENCIDO")</f>
        <v>PAGO VENCIDO</v>
      </c>
      <c r="C279" s="20">
        <f>+VLOOKUP(PROVEEDORES[[#This Row],[PROVEEDOR]],TERCEROS_INFO[#All],2,FALSE)</f>
        <v>30</v>
      </c>
      <c r="D279" s="25">
        <f>+SUMIFS(PROVEEDORES[Total],PROVEEDORES[PROVEEDOR],PROVEEDORES[[#This Row],[PROVEEDOR]],PROVEEDORES[FECHA DE PAGO],"")</f>
        <v>5972000</v>
      </c>
      <c r="E279" s="25"/>
      <c r="F279" s="56">
        <f>+VLOOKUP(PROVEEDORES[[#This Row],[PROVEEDOR]],
                       Terceros!$A:$F,
                       5,
                       FALSE)</f>
        <v>0</v>
      </c>
      <c r="G279" s="289">
        <v>45117</v>
      </c>
      <c r="H279" s="26" t="s">
        <v>512</v>
      </c>
      <c r="I279" s="289">
        <v>45056</v>
      </c>
      <c r="J279" s="35">
        <v>843</v>
      </c>
      <c r="K279" s="21">
        <v>1294500</v>
      </c>
      <c r="L279" s="21"/>
      <c r="M279" s="22">
        <f>(PROVEEDORES[[#This Row],[SUBTOTAL]]-PROVEEDORES[[#This Row],[descuento sobre subtotal]])*VLOOKUP(PROVEEDORES[[#This Row],[PROVEEDOR]],TERCEROS_INFO[#All],3,FALSE)</f>
        <v>0</v>
      </c>
      <c r="N279" s="23"/>
      <c r="O279" s="22">
        <f>+PROVEEDORES[[#This Row],[Descuento sobre subtotal %]]*(PROVEEDORES[[#This Row],[SUBTOTAL]]-PROVEEDORES[[#This Row],[descuento sobre subtotal]])</f>
        <v>0</v>
      </c>
      <c r="P279" s="72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1294500</v>
      </c>
      <c r="S2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1">
        <f ca="1">IF(PROVEEDORES[[#This Row],[FECHA DE PAGO]]=0,TODAY()-PROVEEDORES[[#This Row],[FECHA DE FACTURACIÓN]]-PROVEEDORES[[#This Row],[PLAZO Días]],0)</f>
        <v>0</v>
      </c>
      <c r="U279" s="97">
        <f>+VLOOKUP(PROVEEDORES[[#This Row],[PROVEEDOR]],Terceros!$A:$D,4,FALSE)</f>
        <v>0</v>
      </c>
      <c r="V279" s="98">
        <f>+YEAR(PROVEEDORES[[#This Row],[FECHA DE FACTURACIÓN]])</f>
        <v>2023</v>
      </c>
      <c r="W279" s="98">
        <f>+MATCH(PROVEEDORES[[#This Row],[año facturado]],Retenciones!$1:$1,0)</f>
        <v>6</v>
      </c>
      <c r="X279" s="99">
        <f>+VLOOKUP(PROVEEDORES[[#This Row],[ID RETENCION]],Retenciones!$A$1:$O$25,PROVEEDORES[[#This Row],[indicador de columna]],FALSE)</f>
        <v>0</v>
      </c>
      <c r="Y279" s="100">
        <f>+VLOOKUP(PROVEEDORES[[#This Row],[ID RETENCION]],Retenciones!$A$1:$O$25,2,FALSE)</f>
        <v>0</v>
      </c>
      <c r="Z279" s="103" t="b">
        <f>OR(COUNTIF(PROVEEDORES[[#This Row],[PROVEEDOR]],"*"&amp;'Palabra no opera'!$A$2&amp;"*"))</f>
        <v>0</v>
      </c>
    </row>
    <row r="280" spans="1:26" ht="22.35" customHeight="1" x14ac:dyDescent="0.25">
      <c r="A280" s="207" t="str">
        <f>+IF(PROVEEDORES[[#This Row],[FECHA DE PAGO]]=PROVEEDORES[[#This Row],[FECHA DE FACTURACIÓN]],"DE CONTADO","CRÉDITO")</f>
        <v>CRÉDITO</v>
      </c>
      <c r="B280" s="38" t="str">
        <f>+IF((PROVEEDORES[[#This Row],[FECHA DE PAGO]]-PROVEEDORES[[#This Row],[FECHA DE FACTURACIÓN]])&gt;PROVEEDORES[[#This Row],[PLAZO Días]],"PAGO VENCIDO")</f>
        <v>PAGO VENCIDO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5972000</v>
      </c>
      <c r="E280" s="25"/>
      <c r="F280" s="56">
        <f>+VLOOKUP(PROVEEDORES[[#This Row],[PROVEEDOR]],
                       Terceros!$A:$F,
                       5,
                       FALSE)</f>
        <v>0</v>
      </c>
      <c r="G280" s="289">
        <v>45175</v>
      </c>
      <c r="H280" s="26" t="s">
        <v>512</v>
      </c>
      <c r="I280" s="289">
        <v>45083</v>
      </c>
      <c r="J280" s="35">
        <v>1795</v>
      </c>
      <c r="K280" s="21">
        <v>337500</v>
      </c>
      <c r="L280" s="21"/>
      <c r="M280" s="22">
        <f>(PROVEEDORES[[#This Row],[SUBTOTAL]]-PROVEEDORES[[#This Row],[descuento sobre subtotal]])*VLOOKUP(PROVEEDORES[[#This Row],[PROVEEDOR]],TERCEROS_INFO[#All],3,FALSE)</f>
        <v>0</v>
      </c>
      <c r="N280" s="23"/>
      <c r="O280" s="22">
        <f>+PROVEEDORES[[#This Row],[Descuento sobre subtotal %]]*(PROVEEDORES[[#This Row],[SUBTOTAL]]-PROVEEDORES[[#This Row],[descuento sobre subtotal]])</f>
        <v>0</v>
      </c>
      <c r="P280" s="72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337500</v>
      </c>
      <c r="S280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1">
        <f ca="1">IF(PROVEEDORES[[#This Row],[FECHA DE PAGO]]=0,TODAY()-PROVEEDORES[[#This Row],[FECHA DE FACTURACIÓN]]-PROVEEDORES[[#This Row],[PLAZO Días]],0)</f>
        <v>0</v>
      </c>
      <c r="U280" s="97">
        <f>+VLOOKUP(PROVEEDORES[[#This Row],[PROVEEDOR]],Terceros!$A:$D,4,FALSE)</f>
        <v>0</v>
      </c>
      <c r="V280" s="98">
        <f>+YEAR(PROVEEDORES[[#This Row],[FECHA DE FACTURACIÓN]])</f>
        <v>2023</v>
      </c>
      <c r="W280" s="98">
        <f>+MATCH(PROVEEDORES[[#This Row],[año facturado]],Retenciones!$1:$1,0)</f>
        <v>6</v>
      </c>
      <c r="X280" s="99">
        <f>+VLOOKUP(PROVEEDORES[[#This Row],[ID RETENCION]],Retenciones!$A$1:$O$25,PROVEEDORES[[#This Row],[indicador de columna]],FALSE)</f>
        <v>0</v>
      </c>
      <c r="Y280" s="100">
        <f>+VLOOKUP(PROVEEDORES[[#This Row],[ID RETENCION]],Retenciones!$A$1:$O$25,2,FALSE)</f>
        <v>0</v>
      </c>
      <c r="Z280" s="103" t="b">
        <f>OR(COUNTIF(PROVEEDORES[[#This Row],[PROVEEDOR]],"*"&amp;'Palabra no opera'!$A$2&amp;"*"))</f>
        <v>0</v>
      </c>
    </row>
    <row r="281" spans="1:26" ht="22.35" customHeight="1" x14ac:dyDescent="0.25">
      <c r="A281" s="207" t="str">
        <f>+IF(PROVEEDORES[[#This Row],[FECHA DE PAGO]]=PROVEEDORES[[#This Row],[FECHA DE FACTURACIÓN]],"DE CONTADO","CRÉDITO")</f>
        <v>CRÉDITO</v>
      </c>
      <c r="B281" s="38" t="str">
        <f>+IF((PROVEEDORES[[#This Row],[FECHA DE PAGO]]-PROVEEDORES[[#This Row],[FECHA DE FACTURACIÓN]])&gt;PROVEEDORES[[#This Row],[PLAZO Días]],"PAGO VENCIDO")</f>
        <v>PAGO VENCIDO</v>
      </c>
      <c r="C281" s="20">
        <f>+VLOOKUP(PROVEEDORES[[#This Row],[PROVEEDOR]],TERCEROS_INFO[#All],2,FALSE)</f>
        <v>30</v>
      </c>
      <c r="D281" s="25">
        <f>+SUMIFS(PROVEEDORES[Total],PROVEEDORES[PROVEEDOR],PROVEEDORES[[#This Row],[PROVEEDOR]],PROVEEDORES[FECHA DE PAGO],"")</f>
        <v>5972000</v>
      </c>
      <c r="E281" s="25"/>
      <c r="F281" s="56">
        <f>+VLOOKUP(PROVEEDORES[[#This Row],[PROVEEDOR]],
                       Terceros!$A:$F,
                       5,
                       FALSE)</f>
        <v>0</v>
      </c>
      <c r="G281" s="289">
        <v>45175</v>
      </c>
      <c r="H281" s="26" t="s">
        <v>512</v>
      </c>
      <c r="I281" s="289">
        <v>45083</v>
      </c>
      <c r="J281" s="35">
        <v>1794</v>
      </c>
      <c r="K281" s="21">
        <v>3346000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72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f>+PROVEEDORES[[#This Row],[SUBTOTAL]]+PROVEEDORES[[#This Row],[IVA 19%]]-PROVEEDORES[[#This Row],[descuento sobre subtotal]]-PROVEEDORES[[#This Row],[Descuento sobre subtotal $2]]-PROVEEDORES[[#This Row],[Rete Fuente $]]</f>
        <v>3346000</v>
      </c>
      <c r="S28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1">
        <f ca="1">IF(PROVEEDORES[[#This Row],[FECHA DE PAGO]]=0,TODAY()-PROVEEDORES[[#This Row],[FECHA DE FACTURACIÓN]]-PROVEEDORES[[#This Row],[PLAZO Días]],0)</f>
        <v>0</v>
      </c>
      <c r="U281" s="97">
        <f>+VLOOKUP(PROVEEDORES[[#This Row],[PROVEEDOR]],Terceros!$A:$D,4,FALSE)</f>
        <v>0</v>
      </c>
      <c r="V281" s="98">
        <f>+YEAR(PROVEEDORES[[#This Row],[FECHA DE FACTURACIÓN]])</f>
        <v>2023</v>
      </c>
      <c r="W281" s="98">
        <f>+MATCH(PROVEEDORES[[#This Row],[año facturado]],Retenciones!$1:$1,0)</f>
        <v>6</v>
      </c>
      <c r="X281" s="99">
        <f>+VLOOKUP(PROVEEDORES[[#This Row],[ID RETENCION]],Retenciones!$A$1:$O$25,PROVEEDORES[[#This Row],[indicador de columna]],FALSE)</f>
        <v>0</v>
      </c>
      <c r="Y281" s="100">
        <f>+VLOOKUP(PROVEEDORES[[#This Row],[ID RETENCION]],Retenciones!$A$1:$O$25,2,FALSE)</f>
        <v>0</v>
      </c>
      <c r="Z281" s="103" t="b">
        <f>OR(COUNTIF(PROVEEDORES[[#This Row],[PROVEEDOR]],"*"&amp;'Palabra no opera'!$A$2&amp;"*"))</f>
        <v>0</v>
      </c>
    </row>
    <row r="282" spans="1:26" ht="22.35" customHeight="1" x14ac:dyDescent="0.25">
      <c r="A282" s="207" t="str">
        <f>+IF(PROVEEDORES[[#This Row],[FECHA DE PAGO]]=PROVEEDORES[[#This Row],[FECHA DE FACTURACIÓN]],"DE CONTADO","CRÉDITO")</f>
        <v>CRÉDITO</v>
      </c>
      <c r="B282" s="38" t="str">
        <f>+IF((PROVEEDORES[[#This Row],[FECHA DE PAGO]]-PROVEEDORES[[#This Row],[FECHA DE FACTURACIÓN]])&gt;PROVEEDORES[[#This Row],[PLAZO Días]],"PAGO VENCIDO")</f>
        <v>PAGO VENCIDO</v>
      </c>
      <c r="C282" s="20">
        <f>+VLOOKUP(PROVEEDORES[[#This Row],[PROVEEDOR]],TERCEROS_INFO[#All],2,FALSE)</f>
        <v>30</v>
      </c>
      <c r="D282" s="25">
        <f>+SUMIFS(PROVEEDORES[Total],PROVEEDORES[PROVEEDOR],PROVEEDORES[[#This Row],[PROVEEDOR]],PROVEEDORES[FECHA DE PAGO],"")</f>
        <v>5972000</v>
      </c>
      <c r="E282" s="25"/>
      <c r="F282" s="56">
        <f>+VLOOKUP(PROVEEDORES[[#This Row],[PROVEEDOR]],
                       Terceros!$A:$F,
                       5,
                       FALSE)</f>
        <v>0</v>
      </c>
      <c r="G282" s="289">
        <v>45139</v>
      </c>
      <c r="H282" s="26" t="s">
        <v>512</v>
      </c>
      <c r="I282" s="289">
        <v>45091</v>
      </c>
      <c r="J282" s="35">
        <v>2011</v>
      </c>
      <c r="K282" s="21">
        <v>205000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72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205000</v>
      </c>
      <c r="S282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1">
        <f ca="1">IF(PROVEEDORES[[#This Row],[FECHA DE PAGO]]=0,TODAY()-PROVEEDORES[[#This Row],[FECHA DE FACTURACIÓN]]-PROVEEDORES[[#This Row],[PLAZO Días]],0)</f>
        <v>0</v>
      </c>
      <c r="U282" s="97">
        <f>+VLOOKUP(PROVEEDORES[[#This Row],[PROVEEDOR]],Terceros!$A:$D,4,FALSE)</f>
        <v>0</v>
      </c>
      <c r="V282" s="98">
        <f>+YEAR(PROVEEDORES[[#This Row],[FECHA DE FACTURACIÓN]])</f>
        <v>2023</v>
      </c>
      <c r="W282" s="98">
        <f>+MATCH(PROVEEDORES[[#This Row],[año facturado]],Retenciones!$1:$1,0)</f>
        <v>6</v>
      </c>
      <c r="X282" s="99">
        <f>+VLOOKUP(PROVEEDORES[[#This Row],[ID RETENCION]],Retenciones!$A$1:$O$25,PROVEEDORES[[#This Row],[indicador de columna]],FALSE)</f>
        <v>0</v>
      </c>
      <c r="Y282" s="100">
        <f>+VLOOKUP(PROVEEDORES[[#This Row],[ID RETENCION]],Retenciones!$A$1:$O$25,2,FALSE)</f>
        <v>0</v>
      </c>
      <c r="Z282" s="103" t="b">
        <f>OR(COUNTIF(PROVEEDORES[[#This Row],[PROVEEDOR]],"*"&amp;'Palabra no opera'!$A$2&amp;"*"))</f>
        <v>0</v>
      </c>
    </row>
    <row r="283" spans="1:26" ht="22.35" customHeight="1" x14ac:dyDescent="0.25">
      <c r="A283" s="65" t="str">
        <f>+IF(PROVEEDORES[[#This Row],[FECHA DE PAGO]]=PROVEEDORES[[#This Row],[FECHA DE FACTURACIÓN]],"DE CONTADO","CRÉDITO")</f>
        <v>CRÉDITO</v>
      </c>
      <c r="B283" s="38" t="str">
        <f>+IF((PROVEEDORES[[#This Row],[FECHA DE PAGO]]-PROVEEDORES[[#This Row],[FECHA DE FACTURACIÓN]])&gt;PROVEEDORES[[#This Row],[PLAZO Días]],"PAGO VENCIDO")</f>
        <v>PAGO VENCIDO</v>
      </c>
      <c r="C283" s="20">
        <f>+VLOOKUP(PROVEEDORES[[#This Row],[PROVEEDOR]],TERCEROS_INFO[#All],2,FALSE)</f>
        <v>30</v>
      </c>
      <c r="D283" s="25">
        <f>+SUMIFS(PROVEEDORES[Total],PROVEEDORES[PROVEEDOR],PROVEEDORES[[#This Row],[PROVEEDOR]],PROVEEDORES[FECHA DE PAGO],"")</f>
        <v>5972000</v>
      </c>
      <c r="E283" s="25"/>
      <c r="F283" s="56">
        <f>+VLOOKUP(PROVEEDORES[[#This Row],[PROVEEDOR]],
                       Terceros!$A:$F,
                       5,
                       FALSE)</f>
        <v>0</v>
      </c>
      <c r="G283" s="289">
        <v>45198</v>
      </c>
      <c r="H283" s="26" t="s">
        <v>512</v>
      </c>
      <c r="I283" s="289">
        <v>45147</v>
      </c>
      <c r="J283" s="35">
        <v>3979</v>
      </c>
      <c r="K283" s="21">
        <v>2142000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72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2142000</v>
      </c>
      <c r="S2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1">
        <f ca="1">IF(PROVEEDORES[[#This Row],[FECHA DE PAGO]]=0,TODAY()-PROVEEDORES[[#This Row],[FECHA DE FACTURACIÓN]]-PROVEEDORES[[#This Row],[PLAZO Días]],0)</f>
        <v>0</v>
      </c>
      <c r="U283" s="97">
        <f>+VLOOKUP(PROVEEDORES[[#This Row],[PROVEEDOR]],Terceros!$A:$D,4,FALSE)</f>
        <v>0</v>
      </c>
      <c r="V283" s="98">
        <f>+YEAR(PROVEEDORES[[#This Row],[FECHA DE FACTURACIÓN]])</f>
        <v>2023</v>
      </c>
      <c r="W283" s="98">
        <f>+MATCH(PROVEEDORES[[#This Row],[año facturado]],Retenciones!$1:$1,0)</f>
        <v>6</v>
      </c>
      <c r="X283" s="99">
        <f>+VLOOKUP(PROVEEDORES[[#This Row],[ID RETENCION]],Retenciones!$A$1:$O$25,PROVEEDORES[[#This Row],[indicador de columna]],FALSE)</f>
        <v>0</v>
      </c>
      <c r="Y283" s="100">
        <f>+VLOOKUP(PROVEEDORES[[#This Row],[ID RETENCION]],Retenciones!$A$1:$O$25,2,FALSE)</f>
        <v>0</v>
      </c>
      <c r="Z283" s="103" t="b">
        <f>OR(COUNTIF(PROVEEDORES[[#This Row],[PROVEEDOR]],"*"&amp;'Palabra no opera'!$A$2&amp;"*"))</f>
        <v>0</v>
      </c>
    </row>
    <row r="284" spans="1:26" ht="22.35" customHeight="1" x14ac:dyDescent="0.25">
      <c r="A284" s="229" t="str">
        <f>+IF(PROVEEDORES[[#This Row],[FECHA DE PAGO]]=PROVEEDORES[[#This Row],[FECHA DE FACTURACIÓN]],"DE CONTADO","CRÉDITO")</f>
        <v>CRÉDITO</v>
      </c>
      <c r="B284" s="38" t="str">
        <f>+IF((PROVEEDORES[[#This Row],[FECHA DE PAGO]]-PROVEEDORES[[#This Row],[FECHA DE FACTURACIÓN]])&gt;PROVEEDORES[[#This Row],[PLAZO Días]],"PAGO VENCIDO")</f>
        <v>PAGO VENCIDO</v>
      </c>
      <c r="C284" s="20">
        <f>+VLOOKUP(PROVEEDORES[[#This Row],[PROVEEDOR]],TERCEROS_INFO[#All],2,FALSE)</f>
        <v>30</v>
      </c>
      <c r="D284" s="25">
        <f>+SUMIFS(PROVEEDORES[Total],PROVEEDORES[PROVEEDOR],PROVEEDORES[[#This Row],[PROVEEDOR]],PROVEEDORES[FECHA DE PAGO],"")</f>
        <v>5972000</v>
      </c>
      <c r="E284" s="25"/>
      <c r="F284" s="56">
        <f>+VLOOKUP(PROVEEDORES[[#This Row],[PROVEEDOR]],
                       Terceros!$A:$F,
                       5,
                       FALSE)</f>
        <v>0</v>
      </c>
      <c r="G284" s="289">
        <v>45237</v>
      </c>
      <c r="H284" s="26" t="s">
        <v>512</v>
      </c>
      <c r="I284" s="289">
        <v>45170</v>
      </c>
      <c r="J284" s="35">
        <v>4847</v>
      </c>
      <c r="K284" s="21">
        <v>450000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72">
        <f>+IF(PROVEEDORES[[#This Row],[SUBTOTAL]]&lt;PROVEEDORES[[#This Row],[base retencion]],0,PROVEEDORES[[#This Row],[retención aplicada]])</f>
        <v>0</v>
      </c>
      <c r="Q284" s="22">
        <f>+PROVEEDORES[[#This Row],[Rete Fuente %]]*(PROVEEDORES[[#This Row],[SUBTOTAL]]-PROVEEDORES[[#This Row],[descuento sobre subtotal]])</f>
        <v>0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284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1">
        <f ca="1">IF(PROVEEDORES[[#This Row],[FECHA DE PAGO]]=0,TODAY()-PROVEEDORES[[#This Row],[FECHA DE FACTURACIÓN]]-PROVEEDORES[[#This Row],[PLAZO Días]],0)</f>
        <v>0</v>
      </c>
      <c r="U284" s="97">
        <f>+VLOOKUP(PROVEEDORES[[#This Row],[PROVEEDOR]],Terceros!$A:$D,4,FALSE)</f>
        <v>0</v>
      </c>
      <c r="V284" s="98">
        <f>+YEAR(PROVEEDORES[[#This Row],[FECHA DE FACTURACIÓN]])</f>
        <v>2023</v>
      </c>
      <c r="W284" s="98">
        <f>+MATCH(PROVEEDORES[[#This Row],[año facturado]],Retenciones!$1:$1,0)</f>
        <v>6</v>
      </c>
      <c r="X284" s="99">
        <f>+VLOOKUP(PROVEEDORES[[#This Row],[ID RETENCION]],Retenciones!$A$1:$O$25,PROVEEDORES[[#This Row],[indicador de columna]],FALSE)</f>
        <v>0</v>
      </c>
      <c r="Y284" s="100">
        <f>+VLOOKUP(PROVEEDORES[[#This Row],[ID RETENCION]],Retenciones!$A$1:$O$25,2,FALSE)</f>
        <v>0</v>
      </c>
      <c r="Z284" s="103" t="b">
        <f>OR(COUNTIF(PROVEEDORES[[#This Row],[PROVEEDOR]],"*"&amp;'Palabra no opera'!$A$2&amp;"*"))</f>
        <v>0</v>
      </c>
    </row>
    <row r="285" spans="1:26" ht="22.35" customHeight="1" x14ac:dyDescent="0.25">
      <c r="A285" s="243" t="str">
        <f>+IF(PROVEEDORES[[#This Row],[FECHA DE PAGO]]=PROVEEDORES[[#This Row],[FECHA DE FACTURACIÓN]],"DE CONTADO","CRÉDITO")</f>
        <v>CRÉDITO</v>
      </c>
      <c r="B285" s="38" t="str">
        <f>+IF((PROVEEDORES[[#This Row],[FECHA DE PAGO]]-PROVEEDORES[[#This Row],[FECHA DE FACTURACIÓN]])&gt;PROVEEDORES[[#This Row],[PLAZO Días]],"PAGO VENCIDO")</f>
        <v>PAGO VENCIDO</v>
      </c>
      <c r="C285" s="20">
        <f>+VLOOKUP(PROVEEDORES[[#This Row],[PROVEEDOR]],TERCEROS_INFO[#All],2,FALSE)</f>
        <v>30</v>
      </c>
      <c r="D285" s="25">
        <f>+SUMIFS(PROVEEDORES[Total],PROVEEDORES[PROVEEDOR],PROVEEDORES[[#This Row],[PROVEEDOR]],PROVEEDORES[FECHA DE PAGO],"")</f>
        <v>5972000</v>
      </c>
      <c r="E285" s="25"/>
      <c r="F285" s="56">
        <f>+VLOOKUP(PROVEEDORES[[#This Row],[PROVEEDOR]],
                       Terceros!$A:$F,
                       5,
                       FALSE)</f>
        <v>0</v>
      </c>
      <c r="G285" s="289">
        <v>45237</v>
      </c>
      <c r="H285" s="26" t="s">
        <v>512</v>
      </c>
      <c r="I285" s="289">
        <v>45190</v>
      </c>
      <c r="J285" s="35">
        <v>5470</v>
      </c>
      <c r="K285" s="21">
        <v>375000</v>
      </c>
      <c r="L285" s="21"/>
      <c r="M285" s="22">
        <f>(PROVEEDORES[[#This Row],[SUBTOTAL]]-PROVEEDORES[[#This Row],[descuento sobre subtotal]])*VLOOKUP(PROVEEDORES[[#This Row],[PROVEEDOR]],TERCEROS_INFO[#All],3,FALSE)</f>
        <v>0</v>
      </c>
      <c r="N285" s="23"/>
      <c r="O285" s="22">
        <f>+PROVEEDORES[[#This Row],[Descuento sobre subtotal %]]*(PROVEEDORES[[#This Row],[SUBTOTAL]]-PROVEEDORES[[#This Row],[descuento sobre subtotal]])</f>
        <v>0</v>
      </c>
      <c r="P285" s="72">
        <f>+IF(PROVEEDORES[[#This Row],[SUBTOTAL]]&lt;PROVEEDORES[[#This Row],[base retencion]],0,PROVEEDORES[[#This Row],[retención aplicada]])</f>
        <v>0</v>
      </c>
      <c r="Q285" s="22">
        <f>+PROVEEDORES[[#This Row],[Rete Fuente %]]*(PROVEEDORES[[#This Row],[SUBTOTAL]]-PROVEEDORES[[#This Row],[descuento sobre subtotal]])</f>
        <v>0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375000</v>
      </c>
      <c r="S28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1">
        <f ca="1">IF(PROVEEDORES[[#This Row],[FECHA DE PAGO]]=0,TODAY()-PROVEEDORES[[#This Row],[FECHA DE FACTURACIÓN]]-PROVEEDORES[[#This Row],[PLAZO Días]],0)</f>
        <v>0</v>
      </c>
      <c r="U285" s="97">
        <f>+VLOOKUP(PROVEEDORES[[#This Row],[PROVEEDOR]],Terceros!$A:$D,4,FALSE)</f>
        <v>0</v>
      </c>
      <c r="V285" s="98">
        <f>+YEAR(PROVEEDORES[[#This Row],[FECHA DE FACTURACIÓN]])</f>
        <v>2023</v>
      </c>
      <c r="W285" s="98">
        <f>+MATCH(PROVEEDORES[[#This Row],[año facturado]],Retenciones!$1:$1,0)</f>
        <v>6</v>
      </c>
      <c r="X285" s="99">
        <f>+VLOOKUP(PROVEEDORES[[#This Row],[ID RETENCION]],Retenciones!$A$1:$O$25,PROVEEDORES[[#This Row],[indicador de columna]],FALSE)</f>
        <v>0</v>
      </c>
      <c r="Y285" s="100">
        <f>+VLOOKUP(PROVEEDORES[[#This Row],[ID RETENCION]],Retenciones!$A$1:$O$25,2,FALSE)</f>
        <v>0</v>
      </c>
      <c r="Z285" s="103" t="b">
        <f>OR(COUNTIF(PROVEEDORES[[#This Row],[PROVEEDOR]],"*"&amp;'Palabra no opera'!$A$2&amp;"*"))</f>
        <v>0</v>
      </c>
    </row>
    <row r="286" spans="1:26" ht="22.35" customHeight="1" x14ac:dyDescent="0.25">
      <c r="A286" s="243" t="str">
        <f>+IF(PROVEEDORES[[#This Row],[FECHA DE PAGO]]=PROVEEDORES[[#This Row],[FECHA DE FACTURACIÓN]],"DE CONTADO","CRÉDITO")</f>
        <v>CRÉDITO</v>
      </c>
      <c r="B286" s="38" t="str">
        <f>+IF((PROVEEDORES[[#This Row],[FECHA DE PAGO]]-PROVEEDORES[[#This Row],[FECHA DE FACTURACIÓN]])&gt;PROVEEDORES[[#This Row],[PLAZO Días]],"PAGO VENCIDO")</f>
        <v>PAGO VENCIDO</v>
      </c>
      <c r="C286" s="20">
        <f>+VLOOKUP(PROVEEDORES[[#This Row],[PROVEEDOR]],TERCEROS_INFO[#All],2,FALSE)</f>
        <v>30</v>
      </c>
      <c r="D286" s="25">
        <f>+SUMIFS(PROVEEDORES[Total],PROVEEDORES[PROVEEDOR],PROVEEDORES[[#This Row],[PROVEEDOR]],PROVEEDORES[FECHA DE PAGO],"")</f>
        <v>5972000</v>
      </c>
      <c r="E286" s="25"/>
      <c r="F286" s="56">
        <f>+VLOOKUP(PROVEEDORES[[#This Row],[PROVEEDOR]],
                       Terceros!$A:$F,
                       5,
                       FALSE)</f>
        <v>0</v>
      </c>
      <c r="G286" s="289">
        <v>45237</v>
      </c>
      <c r="H286" s="26" t="s">
        <v>512</v>
      </c>
      <c r="I286" s="289">
        <v>45198</v>
      </c>
      <c r="J286" s="35">
        <v>5729</v>
      </c>
      <c r="K286" s="21">
        <v>1740000</v>
      </c>
      <c r="L286" s="21"/>
      <c r="M286" s="22">
        <f>(PROVEEDORES[[#This Row],[SUBTOTAL]]-PROVEEDORES[[#This Row],[descuento sobre subtotal]])*VLOOKUP(PROVEEDORES[[#This Row],[PROVEEDOR]],TERCEROS_INFO[#All],3,FALSE)</f>
        <v>0</v>
      </c>
      <c r="N286" s="23"/>
      <c r="O286" s="22">
        <f>+PROVEEDORES[[#This Row],[Descuento sobre subtotal %]]*(PROVEEDORES[[#This Row],[SUBTOTAL]]-PROVEEDORES[[#This Row],[descuento sobre subtotal]])</f>
        <v>0</v>
      </c>
      <c r="P286" s="72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1740000</v>
      </c>
      <c r="S286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1">
        <f ca="1">IF(PROVEEDORES[[#This Row],[FECHA DE PAGO]]=0,TODAY()-PROVEEDORES[[#This Row],[FECHA DE FACTURACIÓN]]-PROVEEDORES[[#This Row],[PLAZO Días]],0)</f>
        <v>0</v>
      </c>
      <c r="U286" s="97">
        <f>+VLOOKUP(PROVEEDORES[[#This Row],[PROVEEDOR]],Terceros!$A:$D,4,FALSE)</f>
        <v>0</v>
      </c>
      <c r="V286" s="98">
        <f>+YEAR(PROVEEDORES[[#This Row],[FECHA DE FACTURACIÓN]])</f>
        <v>2023</v>
      </c>
      <c r="W286" s="98">
        <f>+MATCH(PROVEEDORES[[#This Row],[año facturado]],Retenciones!$1:$1,0)</f>
        <v>6</v>
      </c>
      <c r="X286" s="99">
        <f>+VLOOKUP(PROVEEDORES[[#This Row],[ID RETENCION]],Retenciones!$A$1:$O$25,PROVEEDORES[[#This Row],[indicador de columna]],FALSE)</f>
        <v>0</v>
      </c>
      <c r="Y286" s="100">
        <f>+VLOOKUP(PROVEEDORES[[#This Row],[ID RETENCION]],Retenciones!$A$1:$O$25,2,FALSE)</f>
        <v>0</v>
      </c>
      <c r="Z286" s="103" t="b">
        <f>OR(COUNTIF(PROVEEDORES[[#This Row],[PROVEEDOR]],"*"&amp;'Palabra no opera'!$A$2&amp;"*"))</f>
        <v>0</v>
      </c>
    </row>
    <row r="287" spans="1:26" ht="22.35" customHeight="1" x14ac:dyDescent="0.25">
      <c r="A287" s="65" t="str">
        <f>+IF(PROVEEDORES[[#This Row],[FECHA DE PAGO]]=PROVEEDORES[[#This Row],[FECHA DE FACTURACIÓN]],"DE CONTADO","CRÉDITO")</f>
        <v>DE CONTADO</v>
      </c>
      <c r="B287" s="38" t="b">
        <f>+IF((PROVEEDORES[[#This Row],[FECHA DE PAGO]]-PROVEEDORES[[#This Row],[FECHA DE FACTURACIÓN]])&gt;PROVEEDORES[[#This Row],[PLAZO Días]],"PAGO VENCIDO")</f>
        <v>0</v>
      </c>
      <c r="C287" s="20">
        <f>+VLOOKUP(PROVEEDORES[[#This Row],[PROVEEDOR]],TERCEROS_INFO[#All],2,FALSE)</f>
        <v>30</v>
      </c>
      <c r="D287" s="25">
        <f>+SUMIFS(PROVEEDORES[Total],PROVEEDORES[PROVEEDOR],PROVEEDORES[[#This Row],[PROVEEDOR]],PROVEEDORES[FECHA DE PAGO],"")</f>
        <v>5972000</v>
      </c>
      <c r="E287" s="25"/>
      <c r="F287" s="56">
        <f>+VLOOKUP(PROVEEDORES[[#This Row],[PROVEEDOR]],
                       Terceros!$A:$F,
                       5,
                       FALSE)</f>
        <v>0</v>
      </c>
      <c r="G287" s="289">
        <v>45237</v>
      </c>
      <c r="H287" s="26" t="s">
        <v>512</v>
      </c>
      <c r="I287" s="289">
        <v>45237</v>
      </c>
      <c r="J287" s="35" t="s">
        <v>1291</v>
      </c>
      <c r="K287" s="21">
        <v>400000</v>
      </c>
      <c r="L287" s="21"/>
      <c r="M287" s="22">
        <f>(PROVEEDORES[[#This Row],[SUBTOTAL]]-PROVEEDORES[[#This Row],[descuento sobre subtotal]])*VLOOKUP(PROVEEDORES[[#This Row],[PROVEEDOR]],TERCEROS_INFO[#All],3,FALSE)</f>
        <v>0</v>
      </c>
      <c r="N287" s="23"/>
      <c r="O287" s="22">
        <f>+PROVEEDORES[[#This Row],[Descuento sobre subtotal %]]*(PROVEEDORES[[#This Row],[SUBTOTAL]]-PROVEEDORES[[#This Row],[descuento sobre subtotal]])</f>
        <v>0</v>
      </c>
      <c r="P287" s="72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2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1">
        <f ca="1">IF(PROVEEDORES[[#This Row],[FECHA DE PAGO]]=0,TODAY()-PROVEEDORES[[#This Row],[FECHA DE FACTURACIÓN]]-PROVEEDORES[[#This Row],[PLAZO Días]],0)</f>
        <v>0</v>
      </c>
      <c r="U287" s="97">
        <f>+VLOOKUP(PROVEEDORES[[#This Row],[PROVEEDOR]],Terceros!$A:$D,4,FALSE)</f>
        <v>0</v>
      </c>
      <c r="V287" s="98">
        <f>+YEAR(PROVEEDORES[[#This Row],[FECHA DE FACTURACIÓN]])</f>
        <v>2023</v>
      </c>
      <c r="W287" s="98">
        <f>+MATCH(PROVEEDORES[[#This Row],[año facturado]],Retenciones!$1:$1,0)</f>
        <v>6</v>
      </c>
      <c r="X287" s="99">
        <f>+VLOOKUP(PROVEEDORES[[#This Row],[ID RETENCION]],Retenciones!$A$1:$O$25,PROVEEDORES[[#This Row],[indicador de columna]],FALSE)</f>
        <v>0</v>
      </c>
      <c r="Y287" s="100">
        <f>+VLOOKUP(PROVEEDORES[[#This Row],[ID RETENCION]],Retenciones!$A$1:$O$25,2,FALSE)</f>
        <v>0</v>
      </c>
      <c r="Z287" s="103" t="b">
        <f>OR(COUNTIF(PROVEEDORES[[#This Row],[PROVEEDOR]],"*"&amp;'Palabra no opera'!$A$2&amp;"*"))</f>
        <v>0</v>
      </c>
    </row>
    <row r="288" spans="1:26" ht="22.35" customHeight="1" x14ac:dyDescent="0.25">
      <c r="A288" s="256" t="str">
        <f>+IF(PROVEEDORES[[#This Row],[FECHA DE PAGO]]=PROVEEDORES[[#This Row],[FECHA DE FACTURACIÓN]],"DE CONTADO","CRÉDITO")</f>
        <v>CRÉDITO</v>
      </c>
      <c r="B288" s="38" t="str">
        <f>+IF((PROVEEDORES[[#This Row],[FECHA DE PAGO]]-PROVEEDORES[[#This Row],[FECHA DE FACTURACIÓN]])&gt;PROVEEDORES[[#This Row],[PLAZO Días]],"PAGO VENCIDO")</f>
        <v>PAGO VENCIDO</v>
      </c>
      <c r="C288" s="20">
        <f>+VLOOKUP(PROVEEDORES[[#This Row],[PROVEEDOR]],TERCEROS_INFO[#All],2,FALSE)</f>
        <v>30</v>
      </c>
      <c r="D288" s="25">
        <f>+SUMIFS(PROVEEDORES[Total],PROVEEDORES[PROVEEDOR],PROVEEDORES[[#This Row],[PROVEEDOR]],PROVEEDORES[FECHA DE PAGO],"")</f>
        <v>5972000</v>
      </c>
      <c r="E288" s="25"/>
      <c r="F288" s="56">
        <f>+VLOOKUP(PROVEEDORES[[#This Row],[PROVEEDOR]],
                       Terceros!$A:$F,
                       5,
                       FALSE)</f>
        <v>0</v>
      </c>
      <c r="G288" s="289">
        <v>45273</v>
      </c>
      <c r="H288" s="26" t="s">
        <v>512</v>
      </c>
      <c r="I288" s="289">
        <v>45240</v>
      </c>
      <c r="J288" s="35" t="s">
        <v>1259</v>
      </c>
      <c r="K288" s="21">
        <v>1991500</v>
      </c>
      <c r="L288" s="21"/>
      <c r="M288" s="22">
        <f>(PROVEEDORES[[#This Row],[SUBTOTAL]]-PROVEEDORES[[#This Row],[descuento sobre subtotal]])*VLOOKUP(PROVEEDORES[[#This Row],[PROVEEDOR]],TERCEROS_INFO[#All],3,FALSE)</f>
        <v>0</v>
      </c>
      <c r="N288" s="23"/>
      <c r="O288" s="22">
        <f>+PROVEEDORES[[#This Row],[Descuento sobre subtotal %]]*(PROVEEDORES[[#This Row],[SUBTOTAL]]-PROVEEDORES[[#This Row],[descuento sobre subtotal]])</f>
        <v>0</v>
      </c>
      <c r="P288" s="72">
        <f>+IF(PROVEEDORES[[#This Row],[SUBTOTAL]]&lt;PROVEEDORES[[#This Row],[base retencion]],0,PROVEEDORES[[#This Row],[retención aplicada]])</f>
        <v>0</v>
      </c>
      <c r="Q288" s="22">
        <f>+PROVEEDORES[[#This Row],[Rete Fuente %]]*(PROVEEDORES[[#This Row],[SUBTOTAL]]-PROVEEDORES[[#This Row],[descuento sobre subtotal]])</f>
        <v>0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1991500</v>
      </c>
      <c r="S288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1">
        <f ca="1">IF(PROVEEDORES[[#This Row],[FECHA DE PAGO]]=0,TODAY()-PROVEEDORES[[#This Row],[FECHA DE FACTURACIÓN]]-PROVEEDORES[[#This Row],[PLAZO Días]],0)</f>
        <v>0</v>
      </c>
      <c r="U288" s="97">
        <f>+VLOOKUP(PROVEEDORES[[#This Row],[PROVEEDOR]],Terceros!$A:$D,4,FALSE)</f>
        <v>0</v>
      </c>
      <c r="V288" s="98">
        <f>+YEAR(PROVEEDORES[[#This Row],[FECHA DE FACTURACIÓN]])</f>
        <v>2023</v>
      </c>
      <c r="W288" s="98">
        <f>+MATCH(PROVEEDORES[[#This Row],[año facturado]],Retenciones!$1:$1,0)</f>
        <v>6</v>
      </c>
      <c r="X288" s="99">
        <f>+VLOOKUP(PROVEEDORES[[#This Row],[ID RETENCION]],Retenciones!$A$1:$O$25,PROVEEDORES[[#This Row],[indicador de columna]],FALSE)</f>
        <v>0</v>
      </c>
      <c r="Y288" s="100">
        <f>+VLOOKUP(PROVEEDORES[[#This Row],[ID RETENCION]],Retenciones!$A$1:$O$25,2,FALSE)</f>
        <v>0</v>
      </c>
      <c r="Z288" s="103" t="b">
        <f>OR(COUNTIF(PROVEEDORES[[#This Row],[PROVEEDOR]],"*"&amp;'Palabra no opera'!$A$2&amp;"*"))</f>
        <v>0</v>
      </c>
    </row>
    <row r="289" spans="1:26" ht="22.35" customHeight="1" x14ac:dyDescent="0.25">
      <c r="A289" s="65" t="str">
        <f>+IF(PROVEEDORES[[#This Row],[FECHA DE PAGO]]=PROVEEDORES[[#This Row],[FECHA DE FACTURACIÓN]],"DE CONTADO","CRÉDITO")</f>
        <v>CRÉDITO</v>
      </c>
      <c r="B289" s="38" t="b">
        <f>+IF((PROVEEDORES[[#This Row],[FECHA DE PAGO]]-PROVEEDORES[[#This Row],[FECHA DE FACTURACIÓN]])&gt;PROVEEDORES[[#This Row],[PLAZO Días]],"PAGO VENCIDO")</f>
        <v>0</v>
      </c>
      <c r="C289" s="20">
        <f>+VLOOKUP(PROVEEDORES[[#This Row],[PROVEEDOR]],TERCEROS_INFO[#All],2,FALSE)</f>
        <v>30</v>
      </c>
      <c r="D289" s="25">
        <f>+SUMIFS(PROVEEDORES[Total],PROVEEDORES[PROVEEDOR],PROVEEDORES[[#This Row],[PROVEEDOR]],PROVEEDORES[FECHA DE PAGO],"")</f>
        <v>5972000</v>
      </c>
      <c r="E289" s="25"/>
      <c r="F289" s="56">
        <f>+VLOOKUP(PROVEEDORES[[#This Row],[PROVEEDOR]],
                       Terceros!$A:$F,
                       5,
                       FALSE)</f>
        <v>0</v>
      </c>
      <c r="G289" s="289">
        <v>45273</v>
      </c>
      <c r="H289" s="26" t="s">
        <v>512</v>
      </c>
      <c r="I289" s="289">
        <v>45252</v>
      </c>
      <c r="J289" s="35" t="s">
        <v>1323</v>
      </c>
      <c r="K289" s="21">
        <v>2250000</v>
      </c>
      <c r="L289" s="21"/>
      <c r="M289" s="22">
        <f>(PROVEEDORES[[#This Row],[SUBTOTAL]]-PROVEEDORES[[#This Row],[descuento sobre subtotal]])*VLOOKUP(PROVEEDORES[[#This Row],[PROVEEDOR]],TERCEROS_INFO[#All],3,FALSE)</f>
        <v>0</v>
      </c>
      <c r="N289" s="23"/>
      <c r="O289" s="22">
        <f>+PROVEEDORES[[#This Row],[Descuento sobre subtotal %]]*(PROVEEDORES[[#This Row],[SUBTOTAL]]-PROVEEDORES[[#This Row],[descuento sobre subtotal]])</f>
        <v>0</v>
      </c>
      <c r="P289" s="72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f>+PROVEEDORES[[#This Row],[SUBTOTAL]]+PROVEEDORES[[#This Row],[IVA 19%]]-PROVEEDORES[[#This Row],[descuento sobre subtotal]]-PROVEEDORES[[#This Row],[Descuento sobre subtotal $2]]-PROVEEDORES[[#This Row],[Rete Fuente $]]</f>
        <v>2250000</v>
      </c>
      <c r="S2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1">
        <f ca="1">IF(PROVEEDORES[[#This Row],[FECHA DE PAGO]]=0,TODAY()-PROVEEDORES[[#This Row],[FECHA DE FACTURACIÓN]]-PROVEEDORES[[#This Row],[PLAZO Días]],0)</f>
        <v>0</v>
      </c>
      <c r="U289" s="97">
        <f>+VLOOKUP(PROVEEDORES[[#This Row],[PROVEEDOR]],Terceros!$A:$D,4,FALSE)</f>
        <v>0</v>
      </c>
      <c r="V289" s="98">
        <f>+YEAR(PROVEEDORES[[#This Row],[FECHA DE FACTURACIÓN]])</f>
        <v>2023</v>
      </c>
      <c r="W289" s="98">
        <f>+MATCH(PROVEEDORES[[#This Row],[año facturado]],Retenciones!$1:$1,0)</f>
        <v>6</v>
      </c>
      <c r="X289" s="99">
        <f>+VLOOKUP(PROVEEDORES[[#This Row],[ID RETENCION]],Retenciones!$A$1:$O$25,PROVEEDORES[[#This Row],[indicador de columna]],FALSE)</f>
        <v>0</v>
      </c>
      <c r="Y289" s="100">
        <f>+VLOOKUP(PROVEEDORES[[#This Row],[ID RETENCION]],Retenciones!$A$1:$O$25,2,FALSE)</f>
        <v>0</v>
      </c>
      <c r="Z289" s="103" t="b">
        <f>OR(COUNTIF(PROVEEDORES[[#This Row],[PROVEEDOR]],"*"&amp;'Palabra no opera'!$A$2&amp;"*"))</f>
        <v>0</v>
      </c>
    </row>
    <row r="290" spans="1:26" ht="22.35" customHeight="1" x14ac:dyDescent="0.25">
      <c r="A290" s="270" t="str">
        <f>+IF(PROVEEDORES[[#This Row],[FECHA DE PAGO]]=PROVEEDORES[[#This Row],[FECHA DE FACTURACIÓN]],"DE CONTADO","CRÉDITO")</f>
        <v>CRÉDITO</v>
      </c>
      <c r="B290" s="38" t="str">
        <f>+IF((PROVEEDORES[[#This Row],[FECHA DE PAGO]]-PROVEEDORES[[#This Row],[FECHA DE FACTURACIÓN]])&gt;PROVEEDORES[[#This Row],[PLAZO Días]],"PAGO VENCIDO")</f>
        <v>PAGO VENCIDO</v>
      </c>
      <c r="C290" s="20">
        <f>+VLOOKUP(PROVEEDORES[[#This Row],[PROVEEDOR]],TERCEROS_INFO[#All],2,FALSE)</f>
        <v>30</v>
      </c>
      <c r="D290" s="25">
        <f>+SUMIFS(PROVEEDORES[Total],PROVEEDORES[PROVEEDOR],PROVEEDORES[[#This Row],[PROVEEDOR]],PROVEEDORES[FECHA DE PAGO],"")</f>
        <v>5972000</v>
      </c>
      <c r="E290" s="25"/>
      <c r="F290" s="56">
        <f>+VLOOKUP(PROVEEDORES[[#This Row],[PROVEEDOR]],
                       Terceros!$A:$F,
                       5,
                       FALSE)</f>
        <v>0</v>
      </c>
      <c r="G290" s="289">
        <v>45324</v>
      </c>
      <c r="H290" s="26" t="s">
        <v>512</v>
      </c>
      <c r="I290" s="289">
        <v>45265</v>
      </c>
      <c r="J290" s="35" t="s">
        <v>1444</v>
      </c>
      <c r="K290" s="21">
        <v>250000</v>
      </c>
      <c r="L290" s="21"/>
      <c r="M290" s="22">
        <f>(PROVEEDORES[[#This Row],[SUBTOTAL]]-PROVEEDORES[[#This Row],[descuento sobre subtotal]])*VLOOKUP(PROVEEDORES[[#This Row],[PROVEEDOR]],TERCEROS_INFO[#All],3,FALSE)</f>
        <v>0</v>
      </c>
      <c r="N290" s="23"/>
      <c r="O290" s="22">
        <f>+PROVEEDORES[[#This Row],[Descuento sobre subtotal %]]*(PROVEEDORES[[#This Row],[SUBTOTAL]]-PROVEEDORES[[#This Row],[descuento sobre subtotal]])</f>
        <v>0</v>
      </c>
      <c r="P290" s="72">
        <f>+IF(PROVEEDORES[[#This Row],[SUBTOTAL]]&lt;PROVEEDORES[[#This Row],[base retencion]],0,PROVEEDORES[[#This Row],[retención aplicada]])</f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29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1">
        <f ca="1">IF(PROVEEDORES[[#This Row],[FECHA DE PAGO]]=0,TODAY()-PROVEEDORES[[#This Row],[FECHA DE FACTURACIÓN]]-PROVEEDORES[[#This Row],[PLAZO Días]],0)</f>
        <v>0</v>
      </c>
      <c r="U290" s="97">
        <f>+VLOOKUP(PROVEEDORES[[#This Row],[PROVEEDOR]],Terceros!$A:$D,4,FALSE)</f>
        <v>0</v>
      </c>
      <c r="V290" s="98">
        <f>+YEAR(PROVEEDORES[[#This Row],[FECHA DE FACTURACIÓN]])</f>
        <v>2023</v>
      </c>
      <c r="W290" s="98">
        <f>+MATCH(PROVEEDORES[[#This Row],[año facturado]],Retenciones!$1:$1,0)</f>
        <v>6</v>
      </c>
      <c r="X290" s="99">
        <f>+VLOOKUP(PROVEEDORES[[#This Row],[ID RETENCION]],Retenciones!$A$1:$O$25,PROVEEDORES[[#This Row],[indicador de columna]],FALSE)</f>
        <v>0</v>
      </c>
      <c r="Y290" s="100">
        <f>+VLOOKUP(PROVEEDORES[[#This Row],[ID RETENCION]],Retenciones!$A$1:$O$25,2,FALSE)</f>
        <v>0</v>
      </c>
      <c r="Z290" s="103" t="b">
        <f>OR(COUNTIF(PROVEEDORES[[#This Row],[PROVEEDOR]],"*"&amp;'Palabra no opera'!$A$2&amp;"*"))</f>
        <v>0</v>
      </c>
    </row>
    <row r="291" spans="1:26" ht="22.35" customHeight="1" x14ac:dyDescent="0.25">
      <c r="A291" s="65" t="str">
        <f>+IF(PROVEEDORES[[#This Row],[FECHA DE PAGO]]=PROVEEDORES[[#This Row],[FECHA DE FACTURACIÓN]],"DE CONTADO","CRÉDITO")</f>
        <v>CRÉDITO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5972000</v>
      </c>
      <c r="E291" s="25"/>
      <c r="F291" s="56">
        <f>+VLOOKUP(PROVEEDORES[[#This Row],[PROVEEDOR]],
                       Terceros!$A:$F,
                       5,
                       FALSE)</f>
        <v>0</v>
      </c>
      <c r="H291" s="26" t="s">
        <v>512</v>
      </c>
      <c r="I291" s="289">
        <v>45274</v>
      </c>
      <c r="J291" s="35" t="s">
        <v>1375</v>
      </c>
      <c r="K291" s="21">
        <v>2700000</v>
      </c>
      <c r="L291" s="21"/>
      <c r="M291" s="22">
        <f>(PROVEEDORES[[#This Row],[SUBTOTAL]]-PROVEEDORES[[#This Row],[descuento sobre subtotal]])*VLOOKUP(PROVEEDORES[[#This Row],[PROVEEDOR]],TERCEROS_INFO[#All],3,FALSE)</f>
        <v>0</v>
      </c>
      <c r="N291" s="23"/>
      <c r="O291" s="22">
        <f>+PROVEEDORES[[#This Row],[Descuento sobre subtotal %]]*(PROVEEDORES[[#This Row],[SUBTOTAL]]-PROVEEDORES[[#This Row],[descuento sobre subtotal]])</f>
        <v>0</v>
      </c>
      <c r="P291" s="72">
        <f>+IF(PROVEEDORES[[#This Row],[SUBTOTAL]]&lt;PROVEEDORES[[#This Row],[base retencion]],0,PROVEEDORES[[#This Row],[retención aplicada]])</f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2700000</v>
      </c>
      <c r="S291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91" s="61">
        <f ca="1">IF(PROVEEDORES[[#This Row],[FECHA DE PAGO]]=0,TODAY()-PROVEEDORES[[#This Row],[FECHA DE FACTURACIÓN]]-PROVEEDORES[[#This Row],[PLAZO Días]],0)</f>
        <v>24</v>
      </c>
      <c r="U291" s="97">
        <f>+VLOOKUP(PROVEEDORES[[#This Row],[PROVEEDOR]],Terceros!$A:$D,4,FALSE)</f>
        <v>0</v>
      </c>
      <c r="V291" s="98">
        <f>+YEAR(PROVEEDORES[[#This Row],[FECHA DE FACTURACIÓN]])</f>
        <v>2023</v>
      </c>
      <c r="W291" s="98">
        <f>+MATCH(PROVEEDORES[[#This Row],[año facturado]],Retenciones!$1:$1,0)</f>
        <v>6</v>
      </c>
      <c r="X291" s="99">
        <f>+VLOOKUP(PROVEEDORES[[#This Row],[ID RETENCION]],Retenciones!$A$1:$O$25,PROVEEDORES[[#This Row],[indicador de columna]],FALSE)</f>
        <v>0</v>
      </c>
      <c r="Y291" s="100">
        <f>+VLOOKUP(PROVEEDORES[[#This Row],[ID RETENCION]],Retenciones!$A$1:$O$25,2,FALSE)</f>
        <v>0</v>
      </c>
      <c r="Z291" s="103" t="b">
        <f>OR(COUNTIF(PROVEEDORES[[#This Row],[PROVEEDOR]],"*"&amp;'Palabra no opera'!$A$2&amp;"*"))</f>
        <v>0</v>
      </c>
    </row>
    <row r="292" spans="1:26" ht="22.35" customHeight="1" x14ac:dyDescent="0.25">
      <c r="A292" s="310" t="str">
        <f>+IF(PROVEEDORES[[#This Row],[FECHA DE PAGO]]=PROVEEDORES[[#This Row],[FECHA DE FACTURACIÓN]],"DE CONTADO","CRÉDITO")</f>
        <v>CRÉDITO</v>
      </c>
      <c r="B292" s="38" t="b">
        <f>+IF((PROVEEDORES[[#This Row],[FECHA DE PAGO]]-PROVEEDORES[[#This Row],[FECHA DE FACTURACIÓN]])&gt;PROVEEDORES[[#This Row],[PLAZO Días]],"PAGO VENCIDO")</f>
        <v>0</v>
      </c>
      <c r="C292" s="20">
        <f>+VLOOKUP(PROVEEDORES[[#This Row],[PROVEEDOR]],TERCEROS_INFO[#All],2,FALSE)</f>
        <v>30</v>
      </c>
      <c r="D292" s="25">
        <f>+SUMIFS(PROVEEDORES[Total],PROVEEDORES[PROVEEDOR],PROVEEDORES[[#This Row],[PROVEEDOR]],PROVEEDORES[FECHA DE PAGO],"")</f>
        <v>5972000</v>
      </c>
      <c r="E292" s="25"/>
      <c r="F292" s="56">
        <f>+VLOOKUP(PROVEEDORES[[#This Row],[PROVEEDOR]],
                       Terceros!$A:$F,
                       5,
                       FALSE)</f>
        <v>0</v>
      </c>
      <c r="H292" s="26" t="s">
        <v>512</v>
      </c>
      <c r="I292" s="289">
        <v>45302</v>
      </c>
      <c r="J292" s="35" t="s">
        <v>1507</v>
      </c>
      <c r="K292" s="21">
        <v>1417500</v>
      </c>
      <c r="L292" s="21"/>
      <c r="M292" s="22">
        <f>(PROVEEDORES[[#This Row],[SUBTOTAL]]-PROVEEDORES[[#This Row],[descuento sobre subtotal]])*VLOOKUP(PROVEEDORES[[#This Row],[PROVEEDOR]],TERCEROS_INFO[#All],3,FALSE)</f>
        <v>0</v>
      </c>
      <c r="N292" s="23"/>
      <c r="O292" s="22">
        <f>+PROVEEDORES[[#This Row],[Descuento sobre subtotal %]]*(PROVEEDORES[[#This Row],[SUBTOTAL]]-PROVEEDORES[[#This Row],[descuento sobre subtotal]])</f>
        <v>0</v>
      </c>
      <c r="P292" s="72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1417500</v>
      </c>
      <c r="S292" s="31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92" s="61">
        <f ca="1">IF(PROVEEDORES[[#This Row],[FECHA DE PAGO]]=0,TODAY()-PROVEEDORES[[#This Row],[FECHA DE FACTURACIÓN]]-PROVEEDORES[[#This Row],[PLAZO Días]],0)</f>
        <v>-4</v>
      </c>
      <c r="U292" s="97">
        <f>+VLOOKUP(PROVEEDORES[[#This Row],[PROVEEDOR]],Terceros!$A:$D,4,FALSE)</f>
        <v>0</v>
      </c>
      <c r="V292" s="98">
        <f>+YEAR(PROVEEDORES[[#This Row],[FECHA DE FACTURACIÓN]])</f>
        <v>2024</v>
      </c>
      <c r="W292" s="98">
        <f>+MATCH(PROVEEDORES[[#This Row],[año facturado]],Retenciones!$1:$1,0)</f>
        <v>7</v>
      </c>
      <c r="X292" s="99">
        <f>+VLOOKUP(PROVEEDORES[[#This Row],[ID RETENCION]],Retenciones!$A$1:$O$25,PROVEEDORES[[#This Row],[indicador de columna]],FALSE)</f>
        <v>0</v>
      </c>
      <c r="Y292" s="100">
        <f>+VLOOKUP(PROVEEDORES[[#This Row],[ID RETENCION]],Retenciones!$A$1:$O$25,2,FALSE)</f>
        <v>0</v>
      </c>
      <c r="Z292" s="103" t="b">
        <f>OR(COUNTIF(PROVEEDORES[[#This Row],[PROVEEDOR]],"*"&amp;'Palabra no opera'!$A$2&amp;"*"))</f>
        <v>0</v>
      </c>
    </row>
    <row r="293" spans="1:26" ht="22.35" customHeight="1" x14ac:dyDescent="0.25">
      <c r="A293" s="65" t="str">
        <f>+IF(PROVEEDORES[[#This Row],[FECHA DE PAGO]]=PROVEEDORES[[#This Row],[FECHA DE FACTURACIÓN]],"DE CONTADO","CRÉDITO")</f>
        <v>DE CONTADO</v>
      </c>
      <c r="B293" s="38" t="b">
        <f>+IF((PROVEEDORES[[#This Row],[FECHA DE PAGO]]-PROVEEDORES[[#This Row],[FECHA DE FACTURACIÓN]])&gt;PROVEEDORES[[#This Row],[PLAZO Días]],"PAGO VENCIDO")</f>
        <v>0</v>
      </c>
      <c r="C293" s="20">
        <f>+VLOOKUP(PROVEEDORES[[#This Row],[PROVEEDOR]],TERCEROS_INFO[#All],2,FALSE)</f>
        <v>30</v>
      </c>
      <c r="D293" s="25">
        <f>+SUMIFS(PROVEEDORES[Total],PROVEEDORES[PROVEEDOR],PROVEEDORES[[#This Row],[PROVEEDOR]],PROVEEDORES[FECHA DE PAGO],"")</f>
        <v>0</v>
      </c>
      <c r="E293" s="25"/>
      <c r="F293" s="56" t="str">
        <f>+VLOOKUP(PROVEEDORES[[#This Row],[PROVEEDOR]],
                       Terceros!$A:$F,
                       5,
                       FALSE)</f>
        <v/>
      </c>
      <c r="G293" s="289">
        <v>45143</v>
      </c>
      <c r="H293" s="26" t="s">
        <v>304</v>
      </c>
      <c r="I293" s="289">
        <v>45143</v>
      </c>
      <c r="J293" s="35">
        <v>50823</v>
      </c>
      <c r="K293" s="21">
        <v>1263500</v>
      </c>
      <c r="L293" s="21"/>
      <c r="M293" s="22">
        <f>(PROVEEDORES[[#This Row],[SUBTOTAL]]-PROVEEDORES[[#This Row],[descuento sobre subtotal]])*VLOOKUP(PROVEEDORES[[#This Row],[PROVEEDOR]],TERCEROS_INFO[#All],3,FALSE)</f>
        <v>0</v>
      </c>
      <c r="N293" s="23"/>
      <c r="O293" s="22">
        <f>+PROVEEDORES[[#This Row],[Descuento sobre subtotal %]]*(PROVEEDORES[[#This Row],[SUBTOTAL]]-PROVEEDORES[[#This Row],[descuento sobre subtotal]])</f>
        <v>0</v>
      </c>
      <c r="P293" s="72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1263500</v>
      </c>
      <c r="S2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1">
        <f ca="1">IF(PROVEEDORES[[#This Row],[FECHA DE PAGO]]=0,TODAY()-PROVEEDORES[[#This Row],[FECHA DE FACTURACIÓN]]-PROVEEDORES[[#This Row],[PLAZO Días]],0)</f>
        <v>0</v>
      </c>
      <c r="U293" s="97">
        <f>+VLOOKUP(PROVEEDORES[[#This Row],[PROVEEDOR]],Terceros!$A:$D,4,FALSE)</f>
        <v>0</v>
      </c>
      <c r="V293" s="98">
        <f>+YEAR(PROVEEDORES[[#This Row],[FECHA DE FACTURACIÓN]])</f>
        <v>2023</v>
      </c>
      <c r="W293" s="98">
        <f>+MATCH(PROVEEDORES[[#This Row],[año facturado]],Retenciones!$1:$1,0)</f>
        <v>6</v>
      </c>
      <c r="X293" s="99">
        <f>+VLOOKUP(PROVEEDORES[[#This Row],[ID RETENCION]],Retenciones!$A$1:$O$25,PROVEEDORES[[#This Row],[indicador de columna]],FALSE)</f>
        <v>0</v>
      </c>
      <c r="Y293" s="100">
        <f>+VLOOKUP(PROVEEDORES[[#This Row],[ID RETENCION]],Retenciones!$A$1:$O$25,2,FALSE)</f>
        <v>0</v>
      </c>
      <c r="Z293" s="103" t="b">
        <f>OR(COUNTIF(PROVEEDORES[[#This Row],[PROVEEDOR]],"*"&amp;'Palabra no opera'!$A$2&amp;"*"))</f>
        <v>0</v>
      </c>
    </row>
    <row r="294" spans="1:26" ht="22.35" customHeight="1" x14ac:dyDescent="0.25">
      <c r="A294" s="65" t="str">
        <f>+IF(PROVEEDORES[[#This Row],[FECHA DE PAGO]]=PROVEEDORES[[#This Row],[FECHA DE FACTURACIÓN]],"DE CONTADO","CRÉDITO")</f>
        <v>DE CONTADO</v>
      </c>
      <c r="B294" s="38" t="b">
        <f>+IF((PROVEEDORES[[#This Row],[FECHA DE PAGO]]-PROVEEDORES[[#This Row],[FECHA DE FACTURACIÓN]])&gt;PROVEEDORES[[#This Row],[PLAZO Días]],"PAGO VENCIDO")</f>
        <v>0</v>
      </c>
      <c r="C294" s="20">
        <f>+VLOOKUP(PROVEEDORES[[#This Row],[PROVEEDOR]],TERCEROS_INFO[#All],2,FALSE)</f>
        <v>30</v>
      </c>
      <c r="D294" s="25">
        <f>+SUMIFS(PROVEEDORES[Total],PROVEEDORES[PROVEEDOR],PROVEEDORES[[#This Row],[PROVEEDOR]],PROVEEDORES[FECHA DE PAGO],"")</f>
        <v>0</v>
      </c>
      <c r="E294" s="25"/>
      <c r="F294" s="56" t="str">
        <f>+VLOOKUP(PROVEEDORES[[#This Row],[PROVEEDOR]],
                       Terceros!$A:$F,
                       5,
                       FALSE)</f>
        <v/>
      </c>
      <c r="G294" s="289">
        <v>45273</v>
      </c>
      <c r="H294" s="26" t="s">
        <v>304</v>
      </c>
      <c r="I294" s="289">
        <v>45273</v>
      </c>
      <c r="J294" s="35">
        <v>1312</v>
      </c>
      <c r="K294" s="21">
        <v>1172300</v>
      </c>
      <c r="L294" s="21"/>
      <c r="M294" s="22">
        <f>(PROVEEDORES[[#This Row],[SUBTOTAL]]-PROVEEDORES[[#This Row],[descuento sobre subtotal]])*VLOOKUP(PROVEEDORES[[#This Row],[PROVEEDOR]],TERCEROS_INFO[#All],3,FALSE)</f>
        <v>0</v>
      </c>
      <c r="N294" s="23"/>
      <c r="O294" s="22">
        <f>+PROVEEDORES[[#This Row],[Descuento sobre subtotal %]]*(PROVEEDORES[[#This Row],[SUBTOTAL]]-PROVEEDORES[[#This Row],[descuento sobre subtotal]])</f>
        <v>0</v>
      </c>
      <c r="P294" s="72">
        <f>+IF(PROVEEDORES[[#This Row],[SUBTOTAL]]&lt;PROVEEDORES[[#This Row],[base retencion]],0,PROVEEDORES[[#This Row],[retención aplicada]])</f>
        <v>0</v>
      </c>
      <c r="Q294" s="22">
        <f>+PROVEEDORES[[#This Row],[Rete Fuente %]]*(PROVEEDORES[[#This Row],[SUBTOTAL]]-PROVEEDORES[[#This Row],[descuento sobre subtotal]])</f>
        <v>0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1172300</v>
      </c>
      <c r="S29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1">
        <f ca="1">IF(PROVEEDORES[[#This Row],[FECHA DE PAGO]]=0,TODAY()-PROVEEDORES[[#This Row],[FECHA DE FACTURACIÓN]]-PROVEEDORES[[#This Row],[PLAZO Días]],0)</f>
        <v>0</v>
      </c>
      <c r="U294" s="97">
        <f>+VLOOKUP(PROVEEDORES[[#This Row],[PROVEEDOR]],Terceros!$A:$D,4,FALSE)</f>
        <v>0</v>
      </c>
      <c r="V294" s="98">
        <f>+YEAR(PROVEEDORES[[#This Row],[FECHA DE FACTURACIÓN]])</f>
        <v>2023</v>
      </c>
      <c r="W294" s="98">
        <f>+MATCH(PROVEEDORES[[#This Row],[año facturado]],Retenciones!$1:$1,0)</f>
        <v>6</v>
      </c>
      <c r="X294" s="99">
        <f>+VLOOKUP(PROVEEDORES[[#This Row],[ID RETENCION]],Retenciones!$A$1:$O$25,PROVEEDORES[[#This Row],[indicador de columna]],FALSE)</f>
        <v>0</v>
      </c>
      <c r="Y294" s="100">
        <f>+VLOOKUP(PROVEEDORES[[#This Row],[ID RETENCION]],Retenciones!$A$1:$O$25,2,FALSE)</f>
        <v>0</v>
      </c>
      <c r="Z294" s="103" t="b">
        <f>OR(COUNTIF(PROVEEDORES[[#This Row],[PROVEEDOR]],"*"&amp;'Palabra no opera'!$A$2&amp;"*"))</f>
        <v>0</v>
      </c>
    </row>
    <row r="295" spans="1:26" ht="22.35" customHeight="1" x14ac:dyDescent="0.25">
      <c r="A295" s="314" t="str">
        <f>+IF(PROVEEDORES[[#This Row],[FECHA DE PAGO]]=PROVEEDORES[[#This Row],[FECHA DE FACTURACIÓN]],"DE CONTADO","CRÉDITO")</f>
        <v>DE CONTADO</v>
      </c>
      <c r="B295" s="38" t="b">
        <f>+IF((PROVEEDORES[[#This Row],[FECHA DE PAGO]]-PROVEEDORES[[#This Row],[FECHA DE FACTURACIÓN]])&gt;PROVEEDORES[[#This Row],[PLAZO Días]],"PAGO VENCIDO")</f>
        <v>0</v>
      </c>
      <c r="C295" s="20">
        <f>+VLOOKUP(PROVEEDORES[[#This Row],[PROVEEDOR]],TERCEROS_INFO[#All],2,FALSE)</f>
        <v>10</v>
      </c>
      <c r="D295" s="25">
        <f>+SUMIFS(PROVEEDORES[Total],PROVEEDORES[PROVEEDOR],PROVEEDORES[[#This Row],[PROVEEDOR]],PROVEEDORES[FECHA DE PAGO],"")</f>
        <v>0</v>
      </c>
      <c r="E295" s="25"/>
      <c r="F295" s="56">
        <f>+VLOOKUP(PROVEEDORES[[#This Row],[PROVEEDOR]],
                       Terceros!$A:$F,
                       5,
                       FALSE)</f>
        <v>0</v>
      </c>
      <c r="G295" s="289">
        <v>45310</v>
      </c>
      <c r="H295" s="26" t="s">
        <v>1519</v>
      </c>
      <c r="I295" s="289">
        <v>45310</v>
      </c>
      <c r="J295" s="35" t="s">
        <v>1520</v>
      </c>
      <c r="K295" s="21">
        <v>392000</v>
      </c>
      <c r="L295" s="21"/>
      <c r="M295" s="22">
        <f>(PROVEEDORES[[#This Row],[SUBTOTAL]]-PROVEEDORES[[#This Row],[descuento sobre subtotal]])*VLOOKUP(PROVEEDORES[[#This Row],[PROVEEDOR]],TERCEROS_INFO[#All],3,FALSE)</f>
        <v>0</v>
      </c>
      <c r="N295" s="23"/>
      <c r="O295" s="22">
        <f>+PROVEEDORES[[#This Row],[Descuento sobre subtotal %]]*(PROVEEDORES[[#This Row],[SUBTOTAL]]-PROVEEDORES[[#This Row],[descuento sobre subtotal]])</f>
        <v>0</v>
      </c>
      <c r="P295" s="72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392000</v>
      </c>
      <c r="S295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1">
        <f ca="1">IF(PROVEEDORES[[#This Row],[FECHA DE PAGO]]=0,TODAY()-PROVEEDORES[[#This Row],[FECHA DE FACTURACIÓN]]-PROVEEDORES[[#This Row],[PLAZO Días]],0)</f>
        <v>0</v>
      </c>
      <c r="U295" s="97">
        <f>+VLOOKUP(PROVEEDORES[[#This Row],[PROVEEDOR]],Terceros!$A:$D,4,FALSE)</f>
        <v>0</v>
      </c>
      <c r="V295" s="98">
        <f>+YEAR(PROVEEDORES[[#This Row],[FECHA DE FACTURACIÓN]])</f>
        <v>2024</v>
      </c>
      <c r="W295" s="98">
        <f>+MATCH(PROVEEDORES[[#This Row],[año facturado]],Retenciones!$1:$1,0)</f>
        <v>7</v>
      </c>
      <c r="X295" s="99">
        <f>+VLOOKUP(PROVEEDORES[[#This Row],[ID RETENCION]],Retenciones!$A$1:$O$25,PROVEEDORES[[#This Row],[indicador de columna]],FALSE)</f>
        <v>0</v>
      </c>
      <c r="Y295" s="100">
        <f>+VLOOKUP(PROVEEDORES[[#This Row],[ID RETENCION]],Retenciones!$A$1:$O$25,2,FALSE)</f>
        <v>0</v>
      </c>
      <c r="Z295" s="103" t="b">
        <f>OR(COUNTIF(PROVEEDORES[[#This Row],[PROVEEDOR]],"*"&amp;'Palabra no opera'!$A$2&amp;"*"))</f>
        <v>0</v>
      </c>
    </row>
    <row r="296" spans="1:26" ht="22.35" customHeight="1" x14ac:dyDescent="0.25">
      <c r="A296" s="65" t="str">
        <f>+IF(PROVEEDORES[[#This Row],[FECHA DE PAGO]]=PROVEEDORES[[#This Row],[FECHA DE FACTURACIÓN]],"DE CONTADO","CRÉDITO")</f>
        <v>DE CONTADO</v>
      </c>
      <c r="B296" s="38" t="b">
        <f>+IF((PROVEEDORES[[#This Row],[FECHA DE PAGO]]-PROVEEDORES[[#This Row],[FECHA DE FACTURACIÓN]])&gt;PROVEEDORES[[#This Row],[PLAZO Días]],"PAGO VENCIDO")</f>
        <v>0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0</v>
      </c>
      <c r="E296" s="25"/>
      <c r="F296" s="56" t="str">
        <f>+VLOOKUP(PROVEEDORES[[#This Row],[PROVEEDOR]],
                       Terceros!$A:$F,
                       5,
                       FALSE)</f>
        <v/>
      </c>
      <c r="G296" s="289">
        <v>44993</v>
      </c>
      <c r="H296" s="26" t="s">
        <v>703</v>
      </c>
      <c r="I296" s="289">
        <v>44993</v>
      </c>
      <c r="J296" s="35" t="s">
        <v>704</v>
      </c>
      <c r="K296" s="21">
        <v>330000</v>
      </c>
      <c r="L296" s="21"/>
      <c r="M296" s="22">
        <f>(PROVEEDORES[[#This Row],[SUBTOTAL]]-PROVEEDORES[[#This Row],[descuento sobre subtotal]])*VLOOKUP(PROVEEDORES[[#This Row],[PROVEEDOR]],TERCEROS_INFO[#All],3,FALSE)</f>
        <v>0</v>
      </c>
      <c r="N296" s="23"/>
      <c r="O296" s="22">
        <f>+PROVEEDORES[[#This Row],[Descuento sobre subtotal %]]*(PROVEEDORES[[#This Row],[SUBTOTAL]]-PROVEEDORES[[#This Row],[descuento sobre subtotal]])</f>
        <v>0</v>
      </c>
      <c r="P296" s="72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2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1">
        <f ca="1">IF(PROVEEDORES[[#This Row],[FECHA DE PAGO]]=0,TODAY()-PROVEEDORES[[#This Row],[FECHA DE FACTURACIÓN]]-PROVEEDORES[[#This Row],[PLAZO Días]],0)</f>
        <v>0</v>
      </c>
      <c r="U296" s="97">
        <f>+VLOOKUP(PROVEEDORES[[#This Row],[PROVEEDOR]],Terceros!$A:$D,4,FALSE)</f>
        <v>0</v>
      </c>
      <c r="V296" s="98">
        <f>+YEAR(PROVEEDORES[[#This Row],[FECHA DE FACTURACIÓN]])</f>
        <v>2023</v>
      </c>
      <c r="W296" s="98">
        <f>+MATCH(PROVEEDORES[[#This Row],[año facturado]],Retenciones!$1:$1,0)</f>
        <v>6</v>
      </c>
      <c r="X296" s="99">
        <f>+VLOOKUP(PROVEEDORES[[#This Row],[ID RETENCION]],Retenciones!$A$1:$O$25,PROVEEDORES[[#This Row],[indicador de columna]],FALSE)</f>
        <v>0</v>
      </c>
      <c r="Y296" s="100">
        <f>+VLOOKUP(PROVEEDORES[[#This Row],[ID RETENCION]],Retenciones!$A$1:$O$25,2,FALSE)</f>
        <v>0</v>
      </c>
      <c r="Z296" s="103" t="b">
        <f>OR(COUNTIF(PROVEEDORES[[#This Row],[PROVEEDOR]],"*"&amp;'Palabra no opera'!$A$2&amp;"*"))</f>
        <v>0</v>
      </c>
    </row>
    <row r="297" spans="1:26" ht="22.35" customHeight="1" x14ac:dyDescent="0.25">
      <c r="A297" s="270" t="str">
        <f>+IF(PROVEEDORES[[#This Row],[FECHA DE PAGO]]=PROVEEDORES[[#This Row],[FECHA DE FACTURACIÓN]],"DE CONTADO","CRÉDITO")</f>
        <v>CRÉDITO</v>
      </c>
      <c r="B297" s="38" t="b">
        <f>+IF((PROVEEDORES[[#This Row],[FECHA DE PAGO]]-PROVEEDORES[[#This Row],[FECHA DE FACTURACIÓN]])&gt;PROVEEDORES[[#This Row],[PLAZO Días]],"PAGO VENCIDO")</f>
        <v>0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6" t="str">
        <f>+VLOOKUP(PROVEEDORES[[#This Row],[PROVEEDOR]],
                       Terceros!$A:$F,
                       5,
                       FALSE)</f>
        <v/>
      </c>
      <c r="G297" s="289">
        <v>45304</v>
      </c>
      <c r="H297" s="26" t="s">
        <v>506</v>
      </c>
      <c r="I297" s="289">
        <v>45289</v>
      </c>
      <c r="J297" s="35" t="s">
        <v>1443</v>
      </c>
      <c r="K297" s="21">
        <v>759000</v>
      </c>
      <c r="L297" s="21">
        <v>200000</v>
      </c>
      <c r="M297" s="22">
        <f>(PROVEEDORES[[#This Row],[SUBTOTAL]]-PROVEEDORES[[#This Row],[descuento sobre subtotal]])*VLOOKUP(PROVEEDORES[[#This Row],[PROVEEDOR]],TERCEROS_INFO[#All],3,FALSE)</f>
        <v>0</v>
      </c>
      <c r="N297" s="23"/>
      <c r="O297" s="22">
        <f>+PROVEEDORES[[#This Row],[Descuento sobre subtotal %]]*(PROVEEDORES[[#This Row],[SUBTOTAL]]-PROVEEDORES[[#This Row],[descuento sobre subtotal]])</f>
        <v>0</v>
      </c>
      <c r="P297" s="72">
        <f>+IF(PROVEEDORES[[#This Row],[SUBTOTAL]]&lt;PROVEEDORES[[#This Row],[base retencion]],0,PROVEEDORES[[#This Row],[retención aplicada]])</f>
        <v>0</v>
      </c>
      <c r="Q297" s="22">
        <f>+PROVEEDORES[[#This Row],[Rete Fuente %]]*(PROVEEDORES[[#This Row],[SUBTOTAL]]-PROVEEDORES[[#This Row],[descuento sobre subtotal]])</f>
        <v>0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559000</v>
      </c>
      <c r="S297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1">
        <f ca="1">IF(PROVEEDORES[[#This Row],[FECHA DE PAGO]]=0,TODAY()-PROVEEDORES[[#This Row],[FECHA DE FACTURACIÓN]]-PROVEEDORES[[#This Row],[PLAZO Días]],0)</f>
        <v>0</v>
      </c>
      <c r="U297" s="97">
        <f>+VLOOKUP(PROVEEDORES[[#This Row],[PROVEEDOR]],Terceros!$A:$D,4,FALSE)</f>
        <v>0</v>
      </c>
      <c r="V297" s="98">
        <f>+YEAR(PROVEEDORES[[#This Row],[FECHA DE FACTURACIÓN]])</f>
        <v>2023</v>
      </c>
      <c r="W297" s="98">
        <f>+MATCH(PROVEEDORES[[#This Row],[año facturado]],Retenciones!$1:$1,0)</f>
        <v>6</v>
      </c>
      <c r="X297" s="99">
        <f>+VLOOKUP(PROVEEDORES[[#This Row],[ID RETENCION]],Retenciones!$A$1:$O$25,PROVEEDORES[[#This Row],[indicador de columna]],FALSE)</f>
        <v>0</v>
      </c>
      <c r="Y297" s="100">
        <f>+VLOOKUP(PROVEEDORES[[#This Row],[ID RETENCION]],Retenciones!$A$1:$O$25,2,FALSE)</f>
        <v>0</v>
      </c>
      <c r="Z297" s="103" t="b">
        <f>OR(COUNTIF(PROVEEDORES[[#This Row],[PROVEEDOR]],"*"&amp;'Palabra no opera'!$A$2&amp;"*"))</f>
        <v>0</v>
      </c>
    </row>
    <row r="298" spans="1:26" ht="22.35" customHeight="1" x14ac:dyDescent="0.25">
      <c r="A298" s="65" t="str">
        <f>+IF(PROVEEDORES[[#This Row],[FECHA DE PAGO]]=PROVEEDORES[[#This Row],[FECHA DE FACTURACIÓN]],"DE CONTADO","CRÉDITO")</f>
        <v>CRÉDITO</v>
      </c>
      <c r="B298" s="38" t="str">
        <f>+IF((PROVEEDORES[[#This Row],[FECHA DE PAGO]]-PROVEEDORES[[#This Row],[FECHA DE FACTURACIÓN]])&gt;PROVEEDORES[[#This Row],[PLAZO Días]],"PAGO VENCIDO")</f>
        <v>PAGO VENCIDO</v>
      </c>
      <c r="C298" s="20">
        <f>+VLOOKUP(PROVEEDORES[[#This Row],[PROVEEDOR]],TERCEROS_INFO[#All],2,FALSE)</f>
        <v>30</v>
      </c>
      <c r="D298" s="25">
        <f>+SUMIFS(PROVEEDORES[Total],PROVEEDORES[PROVEEDOR],PROVEEDORES[[#This Row],[PROVEEDOR]],PROVEEDORES[FECHA DE PAGO],"")</f>
        <v>0</v>
      </c>
      <c r="E298" s="25"/>
      <c r="F298" s="56" t="str">
        <f>+VLOOKUP(PROVEEDORES[[#This Row],[PROVEEDOR]],
                       Terceros!$A:$F,
                       5,
                       FALSE)</f>
        <v/>
      </c>
      <c r="G298" s="289">
        <v>45075</v>
      </c>
      <c r="H298" s="26" t="s">
        <v>350</v>
      </c>
      <c r="I298" s="289">
        <v>45021</v>
      </c>
      <c r="J298" s="35" t="s">
        <v>767</v>
      </c>
      <c r="K298" s="21">
        <v>306000</v>
      </c>
      <c r="L298" s="21"/>
      <c r="M298" s="22">
        <f>(PROVEEDORES[[#This Row],[SUBTOTAL]]-PROVEEDORES[[#This Row],[descuento sobre subtotal]])*VLOOKUP(PROVEEDORES[[#This Row],[PROVEEDOR]],TERCEROS_INFO[#All],3,FALSE)</f>
        <v>0</v>
      </c>
      <c r="N298" s="23"/>
      <c r="O298" s="22">
        <f>+PROVEEDORES[[#This Row],[Descuento sobre subtotal %]]*(PROVEEDORES[[#This Row],[SUBTOTAL]]-PROVEEDORES[[#This Row],[descuento sobre subtotal]])</f>
        <v>0</v>
      </c>
      <c r="P298" s="72">
        <f>+IF(PROVEEDORES[[#This Row],[SUBTOTAL]]&lt;PROVEEDORES[[#This Row],[base retencion]],0,PROVEEDORES[[#This Row],[retención aplicada]])</f>
        <v>0</v>
      </c>
      <c r="Q298" s="22">
        <f>+PROVEEDORES[[#This Row],[Rete Fuente %]]*(PROVEEDORES[[#This Row],[SUBTOTAL]]-PROVEEDORES[[#This Row],[descuento sobre subtotal]])</f>
        <v>0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2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1">
        <f ca="1">IF(PROVEEDORES[[#This Row],[FECHA DE PAGO]]=0,TODAY()-PROVEEDORES[[#This Row],[FECHA DE FACTURACIÓN]]-PROVEEDORES[[#This Row],[PLAZO Días]],0)</f>
        <v>0</v>
      </c>
      <c r="U298" s="97">
        <f>+VLOOKUP(PROVEEDORES[[#This Row],[PROVEEDOR]],Terceros!$A:$D,4,FALSE)</f>
        <v>0</v>
      </c>
      <c r="V298" s="98">
        <f>+YEAR(PROVEEDORES[[#This Row],[FECHA DE FACTURACIÓN]])</f>
        <v>2023</v>
      </c>
      <c r="W298" s="98">
        <f>+MATCH(PROVEEDORES[[#This Row],[año facturado]],Retenciones!$1:$1,0)</f>
        <v>6</v>
      </c>
      <c r="X298" s="99">
        <f>+VLOOKUP(PROVEEDORES[[#This Row],[ID RETENCION]],Retenciones!$A$1:$O$25,PROVEEDORES[[#This Row],[indicador de columna]],FALSE)</f>
        <v>0</v>
      </c>
      <c r="Y298" s="100">
        <f>+VLOOKUP(PROVEEDORES[[#This Row],[ID RETENCION]],Retenciones!$A$1:$O$25,2,FALSE)</f>
        <v>0</v>
      </c>
      <c r="Z298" s="103" t="b">
        <f>OR(COUNTIF(PROVEEDORES[[#This Row],[PROVEEDOR]],"*"&amp;'Palabra no opera'!$A$2&amp;"*"))</f>
        <v>0</v>
      </c>
    </row>
    <row r="299" spans="1:26" ht="22.35" customHeight="1" x14ac:dyDescent="0.25">
      <c r="A299" s="65" t="str">
        <f>+IF(PROVEEDORES[[#This Row],[FECHA DE PAGO]]=PROVEEDORES[[#This Row],[FECHA DE FACTURACIÓN]],"DE CONTADO","CRÉDITO")</f>
        <v>CRÉDITO</v>
      </c>
      <c r="B299" s="38" t="str">
        <f>+IF((PROVEEDORES[[#This Row],[FECHA DE PAGO]]-PROVEEDORES[[#This Row],[FECHA DE FACTURACIÓN]])&gt;PROVEEDORES[[#This Row],[PLAZO Días]],"PAGO VENCIDO")</f>
        <v>PAGO VENCIDO</v>
      </c>
      <c r="C299" s="20">
        <f>+VLOOKUP(PROVEEDORES[[#This Row],[PROVEEDOR]],TERCEROS_INFO[#All],2,FALSE)</f>
        <v>30</v>
      </c>
      <c r="D299" s="25">
        <f>+SUMIFS(PROVEEDORES[Total],PROVEEDORES[PROVEEDOR],PROVEEDORES[[#This Row],[PROVEEDOR]],PROVEEDORES[FECHA DE PAGO],"")</f>
        <v>0</v>
      </c>
      <c r="E299" s="25"/>
      <c r="F299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99" s="289">
        <v>45029</v>
      </c>
      <c r="H299" s="26" t="s">
        <v>307</v>
      </c>
      <c r="I299" s="289">
        <v>44929</v>
      </c>
      <c r="J299" s="35">
        <v>2740</v>
      </c>
      <c r="K299" s="21">
        <v>2348000</v>
      </c>
      <c r="L299" s="21"/>
      <c r="M299" s="22">
        <f>(PROVEEDORES[[#This Row],[SUBTOTAL]]-PROVEEDORES[[#This Row],[descuento sobre subtotal]])*VLOOKUP(PROVEEDORES[[#This Row],[PROVEEDOR]],TERCEROS_INFO[#All],3,FALSE)</f>
        <v>0</v>
      </c>
      <c r="N299" s="23"/>
      <c r="O299" s="22">
        <f>+PROVEEDORES[[#This Row],[Descuento sobre subtotal %]]*(PROVEEDORES[[#This Row],[SUBTOTAL]]-PROVEEDORES[[#This Row],[descuento sobre subtotal]])</f>
        <v>0</v>
      </c>
      <c r="P299" s="72">
        <f>+IF(PROVEEDORES[[#This Row],[SUBTOTAL]]&lt;PROVEEDORES[[#This Row],[base retencion]],0,PROVEEDORES[[#This Row],[retención aplicada]])</f>
        <v>0</v>
      </c>
      <c r="Q299" s="22">
        <f>+PROVEEDORES[[#This Row],[Rete Fuente %]]*(PROVEEDORES[[#This Row],[SUBTOTAL]]-PROVEEDORES[[#This Row],[descuento sobre subtotal]])</f>
        <v>0</v>
      </c>
      <c r="R299" s="21">
        <f>+PROVEEDORES[[#This Row],[SUBTOTAL]]+PROVEEDORES[[#This Row],[IVA 19%]]-PROVEEDORES[[#This Row],[descuento sobre subtotal]]-PROVEEDORES[[#This Row],[Descuento sobre subtotal $2]]-PROVEEDORES[[#This Row],[Rete Fuente $]]</f>
        <v>2348000</v>
      </c>
      <c r="S2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1">
        <f ca="1">IF(PROVEEDORES[[#This Row],[FECHA DE PAGO]]=0,TODAY()-PROVEEDORES[[#This Row],[FECHA DE FACTURACIÓN]]-PROVEEDORES[[#This Row],[PLAZO Días]],0)</f>
        <v>0</v>
      </c>
      <c r="U299" s="97">
        <f>+VLOOKUP(PROVEEDORES[[#This Row],[PROVEEDOR]],Terceros!$A:$D,4,FALSE)</f>
        <v>0</v>
      </c>
      <c r="V299" s="98">
        <f>+YEAR(PROVEEDORES[[#This Row],[FECHA DE FACTURACIÓN]])</f>
        <v>2023</v>
      </c>
      <c r="W299" s="98">
        <f>+MATCH(PROVEEDORES[[#This Row],[año facturado]],Retenciones!$1:$1,0)</f>
        <v>6</v>
      </c>
      <c r="X299" s="99">
        <f>+VLOOKUP(PROVEEDORES[[#This Row],[ID RETENCION]],Retenciones!$A$1:$O$25,PROVEEDORES[[#This Row],[indicador de columna]],FALSE)</f>
        <v>0</v>
      </c>
      <c r="Y299" s="100">
        <f>+VLOOKUP(PROVEEDORES[[#This Row],[ID RETENCION]],Retenciones!$A$1:$O$25,2,FALSE)</f>
        <v>0</v>
      </c>
      <c r="Z299" s="103" t="b">
        <f>OR(COUNTIF(PROVEEDORES[[#This Row],[PROVEEDOR]],"*"&amp;'Palabra no opera'!$A$2&amp;"*"))</f>
        <v>0</v>
      </c>
    </row>
    <row r="300" spans="1:26" ht="22.35" customHeight="1" x14ac:dyDescent="0.25">
      <c r="A300" s="198" t="str">
        <f>+IF(PROVEEDORES[[#This Row],[FECHA DE PAGO]]=PROVEEDORES[[#This Row],[FECHA DE FACTURACIÓN]],"DE CONTADO","CRÉDITO")</f>
        <v>CRÉDITO</v>
      </c>
      <c r="B300" s="38" t="str">
        <f>+IF((PROVEEDORES[[#This Row],[FECHA DE PAGO]]-PROVEEDORES[[#This Row],[FECHA DE FACTURACIÓN]])&gt;PROVEEDORES[[#This Row],[PLAZO Días]],"PAGO VENCIDO")</f>
        <v>PAGO VENCIDO</v>
      </c>
      <c r="C300" s="20">
        <f>+VLOOKUP(PROVEEDORES[[#This Row],[PROVEEDOR]],TERCEROS_INFO[#All],2,FALSE)</f>
        <v>30</v>
      </c>
      <c r="D300" s="25">
        <f>+SUMIFS(PROVEEDORES[Total],PROVEEDORES[PROVEEDOR],PROVEEDORES[[#This Row],[PROVEEDOR]],PROVEEDORES[FECHA DE PAGO],"")</f>
        <v>0</v>
      </c>
      <c r="E300" s="25"/>
      <c r="F300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00" s="289">
        <v>45118</v>
      </c>
      <c r="H300" s="26" t="s">
        <v>540</v>
      </c>
      <c r="I300" s="289">
        <v>45076</v>
      </c>
      <c r="J300" s="35">
        <v>2127</v>
      </c>
      <c r="K300" s="21">
        <v>84000</v>
      </c>
      <c r="L300" s="21"/>
      <c r="M300" s="22">
        <f>(PROVEEDORES[[#This Row],[SUBTOTAL]]-PROVEEDORES[[#This Row],[descuento sobre subtotal]])*VLOOKUP(PROVEEDORES[[#This Row],[PROVEEDOR]],TERCEROS_INFO[#All],3,FALSE)</f>
        <v>0</v>
      </c>
      <c r="N300" s="23"/>
      <c r="O300" s="22">
        <f>+PROVEEDORES[[#This Row],[Descuento sobre subtotal %]]*(PROVEEDORES[[#This Row],[SUBTOTAL]]-PROVEEDORES[[#This Row],[descuento sobre subtotal]])</f>
        <v>0</v>
      </c>
      <c r="P300" s="72">
        <f>+IF(PROVEEDORES[[#This Row],[SUBTOTAL]]&lt;PROVEEDORES[[#This Row],[base retencion]],0,PROVEEDORES[[#This Row],[retención aplicada]])</f>
        <v>0</v>
      </c>
      <c r="Q300" s="22">
        <f>+PROVEEDORES[[#This Row],[Rete Fuente %]]*(PROVEEDORES[[#This Row],[SUBTOTAL]]-PROVEEDORES[[#This Row],[descuento sobre subtotal]])</f>
        <v>0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84000</v>
      </c>
      <c r="S300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1">
        <f ca="1">IF(PROVEEDORES[[#This Row],[FECHA DE PAGO]]=0,TODAY()-PROVEEDORES[[#This Row],[FECHA DE FACTURACIÓN]]-PROVEEDORES[[#This Row],[PLAZO Días]],0)</f>
        <v>0</v>
      </c>
      <c r="U300" s="97">
        <f>+VLOOKUP(PROVEEDORES[[#This Row],[PROVEEDOR]],Terceros!$A:$D,4,FALSE)</f>
        <v>0</v>
      </c>
      <c r="V300" s="98">
        <f>+YEAR(PROVEEDORES[[#This Row],[FECHA DE FACTURACIÓN]])</f>
        <v>2023</v>
      </c>
      <c r="W300" s="98">
        <f>+MATCH(PROVEEDORES[[#This Row],[año facturado]],Retenciones!$1:$1,0)</f>
        <v>6</v>
      </c>
      <c r="X300" s="99">
        <f>+VLOOKUP(PROVEEDORES[[#This Row],[ID RETENCION]],Retenciones!$A$1:$O$25,PROVEEDORES[[#This Row],[indicador de columna]],FALSE)</f>
        <v>0</v>
      </c>
      <c r="Y300" s="100">
        <f>+VLOOKUP(PROVEEDORES[[#This Row],[ID RETENCION]],Retenciones!$A$1:$O$25,2,FALSE)</f>
        <v>0</v>
      </c>
      <c r="Z300" s="103" t="b">
        <f>OR(COUNTIF(PROVEEDORES[[#This Row],[PROVEEDOR]],"*"&amp;'Palabra no opera'!$A$2&amp;"*"))</f>
        <v>0</v>
      </c>
    </row>
    <row r="301" spans="1:26" ht="22.35" customHeight="1" x14ac:dyDescent="0.25">
      <c r="A301" s="65" t="str">
        <f>+IF(PROVEEDORES[[#This Row],[FECHA DE PAGO]]=PROVEEDORES[[#This Row],[FECHA DE FACTURACIÓN]],"DE CONTADO","CRÉDITO")</f>
        <v>CRÉDITO</v>
      </c>
      <c r="B301" s="38" t="str">
        <f>+IF((PROVEEDORES[[#This Row],[FECHA DE PAGO]]-PROVEEDORES[[#This Row],[FECHA DE FACTURACIÓN]])&gt;PROVEEDORES[[#This Row],[PLAZO Días]],"PAGO VENCIDO")</f>
        <v>PAGO VENCIDO</v>
      </c>
      <c r="C301" s="20">
        <f>+VLOOKUP(PROVEEDORES[[#This Row],[PROVEEDOR]],TERCEROS_INFO[#All],2,FALSE)</f>
        <v>30</v>
      </c>
      <c r="D301" s="25">
        <f>+SUMIFS(PROVEEDORES[Total],PROVEEDORES[PROVEEDOR],PROVEEDORES[[#This Row],[PROVEEDOR]],PROVEEDORES[FECHA DE PAGO],"")</f>
        <v>0</v>
      </c>
      <c r="E301" s="25"/>
      <c r="F301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01" s="289">
        <v>45148</v>
      </c>
      <c r="H301" s="26" t="s">
        <v>540</v>
      </c>
      <c r="I301" s="289">
        <v>45113</v>
      </c>
      <c r="J301" s="35" t="s">
        <v>975</v>
      </c>
      <c r="K301" s="21">
        <v>275000</v>
      </c>
      <c r="L301" s="21"/>
      <c r="M301" s="22">
        <f>(PROVEEDORES[[#This Row],[SUBTOTAL]]-PROVEEDORES[[#This Row],[descuento sobre subtotal]])*VLOOKUP(PROVEEDORES[[#This Row],[PROVEEDOR]],TERCEROS_INFO[#All],3,FALSE)</f>
        <v>0</v>
      </c>
      <c r="N301" s="23"/>
      <c r="O301" s="22">
        <f>+PROVEEDORES[[#This Row],[Descuento sobre subtotal %]]*(PROVEEDORES[[#This Row],[SUBTOTAL]]-PROVEEDORES[[#This Row],[descuento sobre subtotal]])</f>
        <v>0</v>
      </c>
      <c r="P301" s="72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f>+PROVEEDORES[[#This Row],[SUBTOTAL]]+PROVEEDORES[[#This Row],[IVA 19%]]-PROVEEDORES[[#This Row],[descuento sobre subtotal]]-PROVEEDORES[[#This Row],[Descuento sobre subtotal $2]]-PROVEEDORES[[#This Row],[Rete Fuente $]]</f>
        <v>275000</v>
      </c>
      <c r="S3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1">
        <f ca="1">IF(PROVEEDORES[[#This Row],[FECHA DE PAGO]]=0,TODAY()-PROVEEDORES[[#This Row],[FECHA DE FACTURACIÓN]]-PROVEEDORES[[#This Row],[PLAZO Días]],0)</f>
        <v>0</v>
      </c>
      <c r="U301" s="97">
        <f>+VLOOKUP(PROVEEDORES[[#This Row],[PROVEEDOR]],Terceros!$A:$D,4,FALSE)</f>
        <v>0</v>
      </c>
      <c r="V301" s="98">
        <f>+YEAR(PROVEEDORES[[#This Row],[FECHA DE FACTURACIÓN]])</f>
        <v>2023</v>
      </c>
      <c r="W301" s="98">
        <f>+MATCH(PROVEEDORES[[#This Row],[año facturado]],Retenciones!$1:$1,0)</f>
        <v>6</v>
      </c>
      <c r="X301" s="99">
        <f>+VLOOKUP(PROVEEDORES[[#This Row],[ID RETENCION]],Retenciones!$A$1:$O$25,PROVEEDORES[[#This Row],[indicador de columna]],FALSE)</f>
        <v>0</v>
      </c>
      <c r="Y301" s="100">
        <f>+VLOOKUP(PROVEEDORES[[#This Row],[ID RETENCION]],Retenciones!$A$1:$O$25,2,FALSE)</f>
        <v>0</v>
      </c>
      <c r="Z301" s="103" t="b">
        <f>OR(COUNTIF(PROVEEDORES[[#This Row],[PROVEEDOR]],"*"&amp;'Palabra no opera'!$A$2&amp;"*"))</f>
        <v>0</v>
      </c>
    </row>
    <row r="302" spans="1:26" ht="22.35" customHeight="1" x14ac:dyDescent="0.25">
      <c r="A302" s="65" t="str">
        <f>+IF(PROVEEDORES[[#This Row],[FECHA DE PAGO]]=PROVEEDORES[[#This Row],[FECHA DE FACTURACIÓN]],"DE CONTADO","CRÉDITO")</f>
        <v>CRÉDITO</v>
      </c>
      <c r="B302" s="38" t="str">
        <f>+IF((PROVEEDORES[[#This Row],[FECHA DE PAGO]]-PROVEEDORES[[#This Row],[FECHA DE FACTURACIÓN]])&gt;PROVEEDORES[[#This Row],[PLAZO Días]],"PAGO VENCIDO")</f>
        <v>PAGO VENCIDO</v>
      </c>
      <c r="C302" s="20">
        <f>+VLOOKUP(PROVEEDORES[[#This Row],[PROVEEDOR]],TERCEROS_INFO[#All],2,FALSE)</f>
        <v>30</v>
      </c>
      <c r="D302" s="25">
        <f>+SUMIFS(PROVEEDORES[Total],PROVEEDORES[PROVEEDOR],PROVEEDORES[[#This Row],[PROVEEDOR]],PROVEEDORES[FECHA DE PAGO],"")</f>
        <v>0</v>
      </c>
      <c r="E302" s="25"/>
      <c r="F302" s="56" t="str">
        <f>+VLOOKUP(PROVEEDORES[[#This Row],[PROVEEDOR]],
                       Terceros!$A:$F,
                       5,
                       FALSE)</f>
        <v/>
      </c>
      <c r="G302" s="289">
        <v>45029</v>
      </c>
      <c r="H302" s="26" t="s">
        <v>308</v>
      </c>
      <c r="I302" s="289">
        <v>44986</v>
      </c>
      <c r="J302" s="35" t="s">
        <v>698</v>
      </c>
      <c r="K302" s="21">
        <v>764000</v>
      </c>
      <c r="L302" s="21"/>
      <c r="M302" s="22">
        <f>(PROVEEDORES[[#This Row],[SUBTOTAL]]-PROVEEDORES[[#This Row],[descuento sobre subtotal]])*VLOOKUP(PROVEEDORES[[#This Row],[PROVEEDOR]],TERCEROS_INFO[#All],3,FALSE)</f>
        <v>0</v>
      </c>
      <c r="N302" s="23"/>
      <c r="O302" s="22">
        <f>+PROVEEDORES[[#This Row],[Descuento sobre subtotal %]]*(PROVEEDORES[[#This Row],[SUBTOTAL]]-PROVEEDORES[[#This Row],[descuento sobre subtotal]])</f>
        <v>0</v>
      </c>
      <c r="P302" s="72">
        <f>+IF(PROVEEDORES[[#This Row],[SUBTOTAL]]&lt;PROVEEDORES[[#This Row],[base retencion]],0,PROVEEDORES[[#This Row],[retención aplicada]])</f>
        <v>0</v>
      </c>
      <c r="Q302" s="22">
        <f>+PROVEEDORES[[#This Row],[Rete Fuente %]]*(PROVEEDORES[[#This Row],[SUBTOTAL]]-PROVEEDORES[[#This Row],[descuento sobre subtotal]])</f>
        <v>0</v>
      </c>
      <c r="R302" s="21">
        <f>+PROVEEDORES[[#This Row],[SUBTOTAL]]+PROVEEDORES[[#This Row],[IVA 19%]]-PROVEEDORES[[#This Row],[descuento sobre subtotal]]-PROVEEDORES[[#This Row],[Descuento sobre subtotal $2]]-PROVEEDORES[[#This Row],[Rete Fuente $]]</f>
        <v>764000</v>
      </c>
      <c r="S30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1">
        <f ca="1">IF(PROVEEDORES[[#This Row],[FECHA DE PAGO]]=0,TODAY()-PROVEEDORES[[#This Row],[FECHA DE FACTURACIÓN]]-PROVEEDORES[[#This Row],[PLAZO Días]],0)</f>
        <v>0</v>
      </c>
      <c r="U302" s="97">
        <f>+VLOOKUP(PROVEEDORES[[#This Row],[PROVEEDOR]],Terceros!$A:$D,4,FALSE)</f>
        <v>0</v>
      </c>
      <c r="V302" s="98">
        <f>+YEAR(PROVEEDORES[[#This Row],[FECHA DE FACTURACIÓN]])</f>
        <v>2023</v>
      </c>
      <c r="W302" s="98">
        <f>+MATCH(PROVEEDORES[[#This Row],[año facturado]],Retenciones!$1:$1,0)</f>
        <v>6</v>
      </c>
      <c r="X302" s="99">
        <f>+VLOOKUP(PROVEEDORES[[#This Row],[ID RETENCION]],Retenciones!$A$1:$O$25,PROVEEDORES[[#This Row],[indicador de columna]],FALSE)</f>
        <v>0</v>
      </c>
      <c r="Y302" s="100">
        <f>+VLOOKUP(PROVEEDORES[[#This Row],[ID RETENCION]],Retenciones!$A$1:$O$25,2,FALSE)</f>
        <v>0</v>
      </c>
      <c r="Z302" s="103" t="b">
        <f>OR(COUNTIF(PROVEEDORES[[#This Row],[PROVEEDOR]],"*"&amp;'Palabra no opera'!$A$2&amp;"*"))</f>
        <v>0</v>
      </c>
    </row>
    <row r="303" spans="1:26" ht="22.35" customHeight="1" x14ac:dyDescent="0.25">
      <c r="A303" s="198" t="str">
        <f>+IF(PROVEEDORES[[#This Row],[FECHA DE PAGO]]=PROVEEDORES[[#This Row],[FECHA DE FACTURACIÓN]],"DE CONTADO","CRÉDITO")</f>
        <v>CRÉDITO</v>
      </c>
      <c r="B303" s="38" t="str">
        <f>+IF((PROVEEDORES[[#This Row],[FECHA DE PAGO]]-PROVEEDORES[[#This Row],[FECHA DE FACTURACIÓN]])&gt;PROVEEDORES[[#This Row],[PLAZO Días]],"PAGO VENCIDO")</f>
        <v>PAGO VENCIDO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0</v>
      </c>
      <c r="E303" s="25"/>
      <c r="F303" s="56" t="str">
        <f>+VLOOKUP(PROVEEDORES[[#This Row],[PROVEEDOR]],
                       Terceros!$A:$F,
                       5,
                       FALSE)</f>
        <v/>
      </c>
      <c r="G303" s="289">
        <v>45108</v>
      </c>
      <c r="H303" s="26" t="s">
        <v>308</v>
      </c>
      <c r="I303" s="289">
        <v>45072</v>
      </c>
      <c r="J303" s="35" t="s">
        <v>853</v>
      </c>
      <c r="K303" s="21">
        <v>978000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72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978000</v>
      </c>
      <c r="S303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1">
        <f ca="1">IF(PROVEEDORES[[#This Row],[FECHA DE PAGO]]=0,TODAY()-PROVEEDORES[[#This Row],[FECHA DE FACTURACIÓN]]-PROVEEDORES[[#This Row],[PLAZO Días]],0)</f>
        <v>0</v>
      </c>
      <c r="U303" s="97">
        <f>+VLOOKUP(PROVEEDORES[[#This Row],[PROVEEDOR]],Terceros!$A:$D,4,FALSE)</f>
        <v>0</v>
      </c>
      <c r="V303" s="98">
        <f>+YEAR(PROVEEDORES[[#This Row],[FECHA DE FACTURACIÓN]])</f>
        <v>2023</v>
      </c>
      <c r="W303" s="98">
        <f>+MATCH(PROVEEDORES[[#This Row],[año facturado]],Retenciones!$1:$1,0)</f>
        <v>6</v>
      </c>
      <c r="X303" s="99">
        <f>+VLOOKUP(PROVEEDORES[[#This Row],[ID RETENCION]],Retenciones!$A$1:$O$25,PROVEEDORES[[#This Row],[indicador de columna]],FALSE)</f>
        <v>0</v>
      </c>
      <c r="Y303" s="100">
        <f>+VLOOKUP(PROVEEDORES[[#This Row],[ID RETENCION]],Retenciones!$A$1:$O$25,2,FALSE)</f>
        <v>0</v>
      </c>
      <c r="Z303" s="103" t="b">
        <f>OR(COUNTIF(PROVEEDORES[[#This Row],[PROVEEDOR]],"*"&amp;'Palabra no opera'!$A$2&amp;"*"))</f>
        <v>0</v>
      </c>
    </row>
    <row r="304" spans="1:26" ht="22.35" customHeight="1" x14ac:dyDescent="0.25">
      <c r="A304" s="65" t="str">
        <f>+IF(PROVEEDORES[[#This Row],[FECHA DE PAGO]]=PROVEEDORES[[#This Row],[FECHA DE FACTURACIÓN]],"DE CONTADO","CRÉDITO")</f>
        <v>CRÉDITO</v>
      </c>
      <c r="B304" s="38" t="str">
        <f>+IF((PROVEEDORES[[#This Row],[FECHA DE PAGO]]-PROVEEDORES[[#This Row],[FECHA DE FACTURACIÓN]])&gt;PROVEEDORES[[#This Row],[PLAZO Días]],"PAGO VENCIDO")</f>
        <v>PAGO VENCIDO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6" t="str">
        <f>+VLOOKUP(PROVEEDORES[[#This Row],[PROVEEDOR]],
                       Terceros!$A:$F,
                       5,
                       FALSE)</f>
        <v/>
      </c>
      <c r="G304" s="289">
        <v>45148</v>
      </c>
      <c r="H304" s="26" t="s">
        <v>308</v>
      </c>
      <c r="I304" s="289">
        <v>45113</v>
      </c>
      <c r="J304" s="35" t="s">
        <v>976</v>
      </c>
      <c r="K304" s="21">
        <v>1708000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72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3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1">
        <f ca="1">IF(PROVEEDORES[[#This Row],[FECHA DE PAGO]]=0,TODAY()-PROVEEDORES[[#This Row],[FECHA DE FACTURACIÓN]]-PROVEEDORES[[#This Row],[PLAZO Días]],0)</f>
        <v>0</v>
      </c>
      <c r="U304" s="97">
        <f>+VLOOKUP(PROVEEDORES[[#This Row],[PROVEEDOR]],Terceros!$A:$D,4,FALSE)</f>
        <v>0</v>
      </c>
      <c r="V304" s="98">
        <f>+YEAR(PROVEEDORES[[#This Row],[FECHA DE FACTURACIÓN]])</f>
        <v>2023</v>
      </c>
      <c r="W304" s="98">
        <f>+MATCH(PROVEEDORES[[#This Row],[año facturado]],Retenciones!$1:$1,0)</f>
        <v>6</v>
      </c>
      <c r="X304" s="99">
        <f>+VLOOKUP(PROVEEDORES[[#This Row],[ID RETENCION]],Retenciones!$A$1:$O$25,PROVEEDORES[[#This Row],[indicador de columna]],FALSE)</f>
        <v>0</v>
      </c>
      <c r="Y304" s="100">
        <f>+VLOOKUP(PROVEEDORES[[#This Row],[ID RETENCION]],Retenciones!$A$1:$O$25,2,FALSE)</f>
        <v>0</v>
      </c>
      <c r="Z304" s="103" t="b">
        <f>OR(COUNTIF(PROVEEDORES[[#This Row],[PROVEEDOR]],"*"&amp;'Palabra no opera'!$A$2&amp;"*"))</f>
        <v>0</v>
      </c>
    </row>
    <row r="305" spans="1:26" ht="22.35" customHeight="1" x14ac:dyDescent="0.25">
      <c r="A305" s="219" t="str">
        <f>+IF(PROVEEDORES[[#This Row],[FECHA DE PAGO]]=PROVEEDORES[[#This Row],[FECHA DE FACTURACIÓN]],"DE CONTADO","CRÉDITO")</f>
        <v>DE CONTADO</v>
      </c>
      <c r="B305" s="38" t="b">
        <f>+IF((PROVEEDORES[[#This Row],[FECHA DE PAGO]]-PROVEEDORES[[#This Row],[FECHA DE FACTURACIÓN]])&gt;PROVEEDORES[[#This Row],[PLAZO Días]],"PAGO VENCIDO")</f>
        <v>0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6" t="str">
        <f>+VLOOKUP(PROVEEDORES[[#This Row],[PROVEEDOR]],
                       Terceros!$A:$F,
                       5,
                       FALSE)</f>
        <v/>
      </c>
      <c r="G305" s="289">
        <v>45128</v>
      </c>
      <c r="H305" s="26" t="s">
        <v>308</v>
      </c>
      <c r="I305" s="289">
        <v>45128</v>
      </c>
      <c r="J305" s="35" t="s">
        <v>989</v>
      </c>
      <c r="K305" s="21">
        <v>263800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72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263800</v>
      </c>
      <c r="S305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1">
        <f ca="1">IF(PROVEEDORES[[#This Row],[FECHA DE PAGO]]=0,TODAY()-PROVEEDORES[[#This Row],[FECHA DE FACTURACIÓN]]-PROVEEDORES[[#This Row],[PLAZO Días]],0)</f>
        <v>0</v>
      </c>
      <c r="U305" s="97">
        <f>+VLOOKUP(PROVEEDORES[[#This Row],[PROVEEDOR]],Terceros!$A:$D,4,FALSE)</f>
        <v>0</v>
      </c>
      <c r="V305" s="98">
        <f>+YEAR(PROVEEDORES[[#This Row],[FECHA DE FACTURACIÓN]])</f>
        <v>2023</v>
      </c>
      <c r="W305" s="98">
        <f>+MATCH(PROVEEDORES[[#This Row],[año facturado]],Retenciones!$1:$1,0)</f>
        <v>6</v>
      </c>
      <c r="X305" s="99">
        <f>+VLOOKUP(PROVEEDORES[[#This Row],[ID RETENCION]],Retenciones!$A$1:$O$25,PROVEEDORES[[#This Row],[indicador de columna]],FALSE)</f>
        <v>0</v>
      </c>
      <c r="Y305" s="100">
        <f>+VLOOKUP(PROVEEDORES[[#This Row],[ID RETENCION]],Retenciones!$A$1:$O$25,2,FALSE)</f>
        <v>0</v>
      </c>
      <c r="Z305" s="103" t="b">
        <f>OR(COUNTIF(PROVEEDORES[[#This Row],[PROVEEDOR]],"*"&amp;'Palabra no opera'!$A$2&amp;"*"))</f>
        <v>0</v>
      </c>
    </row>
    <row r="306" spans="1:26" ht="22.35" customHeight="1" x14ac:dyDescent="0.25">
      <c r="A306" s="229" t="str">
        <f>+IF(PROVEEDORES[[#This Row],[FECHA DE PAGO]]=PROVEEDORES[[#This Row],[FECHA DE FACTURACIÓN]],"DE CONTADO","CRÉDITO")</f>
        <v>CRÉDITO</v>
      </c>
      <c r="B306" s="38" t="str">
        <f>+IF((PROVEEDORES[[#This Row],[FECHA DE PAGO]]-PROVEEDORES[[#This Row],[FECHA DE FACTURACIÓN]])&gt;PROVEEDORES[[#This Row],[PLAZO Días]],"PAGO VENCIDO")</f>
        <v>PAGO VENCIDO</v>
      </c>
      <c r="C306" s="20">
        <f>+VLOOKUP(PROVEEDORES[[#This Row],[PROVEEDOR]],TERCEROS_INFO[#All],2,FALSE)</f>
        <v>30</v>
      </c>
      <c r="D306" s="25">
        <f>+SUMIFS(PROVEEDORES[Total],PROVEEDORES[PROVEEDOR],PROVEEDORES[[#This Row],[PROVEEDOR]],PROVEEDORES[FECHA DE PAGO],"")</f>
        <v>0</v>
      </c>
      <c r="E306" s="25"/>
      <c r="F306" s="56" t="str">
        <f>+VLOOKUP(PROVEEDORES[[#This Row],[PROVEEDOR]],
                       Terceros!$A:$F,
                       5,
                       FALSE)</f>
        <v/>
      </c>
      <c r="G306" s="289">
        <v>45205</v>
      </c>
      <c r="H306" s="26" t="s">
        <v>308</v>
      </c>
      <c r="I306" s="289">
        <v>45169</v>
      </c>
      <c r="J306" s="35" t="s">
        <v>1077</v>
      </c>
      <c r="K306" s="21">
        <v>447500</v>
      </c>
      <c r="L306" s="21"/>
      <c r="M306" s="22">
        <f>(PROVEEDORES[[#This Row],[SUBTOTAL]]-PROVEEDORES[[#This Row],[descuento sobre subtotal]])*VLOOKUP(PROVEEDORES[[#This Row],[PROVEEDOR]],TERCEROS_INFO[#All],3,FALSE)</f>
        <v>0</v>
      </c>
      <c r="N306" s="23"/>
      <c r="O306" s="22">
        <f>+PROVEEDORES[[#This Row],[Descuento sobre subtotal %]]*(PROVEEDORES[[#This Row],[SUBTOTAL]]-PROVEEDORES[[#This Row],[descuento sobre subtotal]])</f>
        <v>0</v>
      </c>
      <c r="P306" s="72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447500</v>
      </c>
      <c r="S30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1">
        <f ca="1">IF(PROVEEDORES[[#This Row],[FECHA DE PAGO]]=0,TODAY()-PROVEEDORES[[#This Row],[FECHA DE FACTURACIÓN]]-PROVEEDORES[[#This Row],[PLAZO Días]],0)</f>
        <v>0</v>
      </c>
      <c r="U306" s="97">
        <f>+VLOOKUP(PROVEEDORES[[#This Row],[PROVEEDOR]],Terceros!$A:$D,4,FALSE)</f>
        <v>0</v>
      </c>
      <c r="V306" s="98">
        <f>+YEAR(PROVEEDORES[[#This Row],[FECHA DE FACTURACIÓN]])</f>
        <v>2023</v>
      </c>
      <c r="W306" s="98">
        <f>+MATCH(PROVEEDORES[[#This Row],[año facturado]],Retenciones!$1:$1,0)</f>
        <v>6</v>
      </c>
      <c r="X306" s="99">
        <f>+VLOOKUP(PROVEEDORES[[#This Row],[ID RETENCION]],Retenciones!$A$1:$O$25,PROVEEDORES[[#This Row],[indicador de columna]],FALSE)</f>
        <v>0</v>
      </c>
      <c r="Y306" s="100">
        <f>+VLOOKUP(PROVEEDORES[[#This Row],[ID RETENCION]],Retenciones!$A$1:$O$25,2,FALSE)</f>
        <v>0</v>
      </c>
      <c r="Z306" s="103" t="b">
        <f>OR(COUNTIF(PROVEEDORES[[#This Row],[PROVEEDOR]],"*"&amp;'Palabra no opera'!$A$2&amp;"*"))</f>
        <v>0</v>
      </c>
    </row>
    <row r="307" spans="1:26" ht="22.35" customHeight="1" x14ac:dyDescent="0.25">
      <c r="A307" s="229" t="str">
        <f>+IF(PROVEEDORES[[#This Row],[FECHA DE PAGO]]=PROVEEDORES[[#This Row],[FECHA DE FACTURACIÓN]],"DE CONTADO","CRÉDITO")</f>
        <v>CRÉDITO</v>
      </c>
      <c r="B307" s="38" t="str">
        <f>+IF((PROVEEDORES[[#This Row],[FECHA DE PAGO]]-PROVEEDORES[[#This Row],[FECHA DE FACTURACIÓN]])&gt;PROVEEDORES[[#This Row],[PLAZO Días]],"PAGO VENCIDO")</f>
        <v>PAGO VENCIDO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6" t="str">
        <f>+VLOOKUP(PROVEEDORES[[#This Row],[PROVEEDOR]],
                       Terceros!$A:$F,
                       5,
                       FALSE)</f>
        <v/>
      </c>
      <c r="G307" s="289">
        <v>45205</v>
      </c>
      <c r="H307" s="26" t="s">
        <v>308</v>
      </c>
      <c r="I307" s="289">
        <v>45174</v>
      </c>
      <c r="J307" s="35" t="s">
        <v>1076</v>
      </c>
      <c r="K307" s="21">
        <v>452000</v>
      </c>
      <c r="L307" s="21"/>
      <c r="M307" s="22">
        <f>(PROVEEDORES[[#This Row],[SUBTOTAL]]-PROVEEDORES[[#This Row],[descuento sobre subtotal]])*VLOOKUP(PROVEEDORES[[#This Row],[PROVEEDOR]],TERCEROS_INFO[#All],3,FALSE)</f>
        <v>0</v>
      </c>
      <c r="N307" s="23"/>
      <c r="O307" s="22">
        <f>+PROVEEDORES[[#This Row],[Descuento sobre subtotal %]]*(PROVEEDORES[[#This Row],[SUBTOTAL]]-PROVEEDORES[[#This Row],[descuento sobre subtotal]])</f>
        <v>0</v>
      </c>
      <c r="P307" s="72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452000</v>
      </c>
      <c r="S307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1">
        <f ca="1">IF(PROVEEDORES[[#This Row],[FECHA DE PAGO]]=0,TODAY()-PROVEEDORES[[#This Row],[FECHA DE FACTURACIÓN]]-PROVEEDORES[[#This Row],[PLAZO Días]],0)</f>
        <v>0</v>
      </c>
      <c r="U307" s="97">
        <f>+VLOOKUP(PROVEEDORES[[#This Row],[PROVEEDOR]],Terceros!$A:$D,4,FALSE)</f>
        <v>0</v>
      </c>
      <c r="V307" s="98">
        <f>+YEAR(PROVEEDORES[[#This Row],[FECHA DE FACTURACIÓN]])</f>
        <v>2023</v>
      </c>
      <c r="W307" s="98">
        <f>+MATCH(PROVEEDORES[[#This Row],[año facturado]],Retenciones!$1:$1,0)</f>
        <v>6</v>
      </c>
      <c r="X307" s="99">
        <f>+VLOOKUP(PROVEEDORES[[#This Row],[ID RETENCION]],Retenciones!$A$1:$O$25,PROVEEDORES[[#This Row],[indicador de columna]],FALSE)</f>
        <v>0</v>
      </c>
      <c r="Y307" s="100">
        <f>+VLOOKUP(PROVEEDORES[[#This Row],[ID RETENCION]],Retenciones!$A$1:$O$25,2,FALSE)</f>
        <v>0</v>
      </c>
      <c r="Z307" s="103" t="b">
        <f>OR(COUNTIF(PROVEEDORES[[#This Row],[PROVEEDOR]],"*"&amp;'Palabra no opera'!$A$2&amp;"*"))</f>
        <v>0</v>
      </c>
    </row>
    <row r="308" spans="1:26" ht="22.35" customHeight="1" x14ac:dyDescent="0.25">
      <c r="A308" s="243" t="str">
        <f>+IF(PROVEEDORES[[#This Row],[FECHA DE PAGO]]=PROVEEDORES[[#This Row],[FECHA DE FACTURACIÓN]],"DE CONTADO","CRÉDITO")</f>
        <v>CRÉDITO</v>
      </c>
      <c r="B308" s="38" t="b">
        <f>+IF((PROVEEDORES[[#This Row],[FECHA DE PAGO]]-PROVEEDORES[[#This Row],[FECHA DE FACTURACIÓN]])&gt;PROVEEDORES[[#This Row],[PLAZO Días]],"PAGO VENCIDO")</f>
        <v>0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6" t="str">
        <f>+VLOOKUP(PROVEEDORES[[#This Row],[PROVEEDOR]],
                       Terceros!$A:$F,
                       5,
                       FALSE)</f>
        <v/>
      </c>
      <c r="G308" s="289">
        <v>45209</v>
      </c>
      <c r="H308" s="26" t="s">
        <v>308</v>
      </c>
      <c r="I308" s="289">
        <v>45181</v>
      </c>
      <c r="J308" s="35" t="s">
        <v>1154</v>
      </c>
      <c r="K308" s="21">
        <v>1068000</v>
      </c>
      <c r="L308" s="21"/>
      <c r="M308" s="22">
        <f>(PROVEEDORES[[#This Row],[SUBTOTAL]]-PROVEEDORES[[#This Row],[descuento sobre subtotal]])*VLOOKUP(PROVEEDORES[[#This Row],[PROVEEDOR]],TERCEROS_INFO[#All],3,FALSE)</f>
        <v>0</v>
      </c>
      <c r="N308" s="23"/>
      <c r="O308" s="22">
        <f>+PROVEEDORES[[#This Row],[Descuento sobre subtotal %]]*(PROVEEDORES[[#This Row],[SUBTOTAL]]-PROVEEDORES[[#This Row],[descuento sobre subtotal]])</f>
        <v>0</v>
      </c>
      <c r="P308" s="72">
        <f>+IF(PROVEEDORES[[#This Row],[SUBTOTAL]]&lt;PROVEEDORES[[#This Row],[base retencion]],0,PROVEEDORES[[#This Row],[retención aplicada]])</f>
        <v>0</v>
      </c>
      <c r="Q308" s="22">
        <f>+PROVEEDORES[[#This Row],[Rete Fuente %]]*(PROVEEDORES[[#This Row],[SUBTOTAL]]-PROVEEDORES[[#This Row],[descuento sobre subtotal]])</f>
        <v>0</v>
      </c>
      <c r="R308" s="21">
        <f>+PROVEEDORES[[#This Row],[SUBTOTAL]]+PROVEEDORES[[#This Row],[IVA 19%]]-PROVEEDORES[[#This Row],[descuento sobre subtotal]]-PROVEEDORES[[#This Row],[Descuento sobre subtotal $2]]-PROVEEDORES[[#This Row],[Rete Fuente $]]</f>
        <v>1068000</v>
      </c>
      <c r="S308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1">
        <f ca="1">IF(PROVEEDORES[[#This Row],[FECHA DE PAGO]]=0,TODAY()-PROVEEDORES[[#This Row],[FECHA DE FACTURACIÓN]]-PROVEEDORES[[#This Row],[PLAZO Días]],0)</f>
        <v>0</v>
      </c>
      <c r="U308" s="97">
        <f>+VLOOKUP(PROVEEDORES[[#This Row],[PROVEEDOR]],Terceros!$A:$D,4,FALSE)</f>
        <v>0</v>
      </c>
      <c r="V308" s="98">
        <f>+YEAR(PROVEEDORES[[#This Row],[FECHA DE FACTURACIÓN]])</f>
        <v>2023</v>
      </c>
      <c r="W308" s="98">
        <f>+MATCH(PROVEEDORES[[#This Row],[año facturado]],Retenciones!$1:$1,0)</f>
        <v>6</v>
      </c>
      <c r="X308" s="99">
        <f>+VLOOKUP(PROVEEDORES[[#This Row],[ID RETENCION]],Retenciones!$A$1:$O$25,PROVEEDORES[[#This Row],[indicador de columna]],FALSE)</f>
        <v>0</v>
      </c>
      <c r="Y308" s="100">
        <f>+VLOOKUP(PROVEEDORES[[#This Row],[ID RETENCION]],Retenciones!$A$1:$O$25,2,FALSE)</f>
        <v>0</v>
      </c>
      <c r="Z308" s="103" t="b">
        <f>OR(COUNTIF(PROVEEDORES[[#This Row],[PROVEEDOR]],"*"&amp;'Palabra no opera'!$A$2&amp;"*"))</f>
        <v>0</v>
      </c>
    </row>
    <row r="309" spans="1:26" ht="22.35" customHeight="1" x14ac:dyDescent="0.25">
      <c r="A309" s="65" t="str">
        <f>+IF(PROVEEDORES[[#This Row],[FECHA DE PAGO]]=PROVEEDORES[[#This Row],[FECHA DE FACTURACIÓN]],"DE CONTADO","CRÉDITO")</f>
        <v>CRÉDITO</v>
      </c>
      <c r="B309" s="38" t="str">
        <f>+IF((PROVEEDORES[[#This Row],[FECHA DE PAGO]]-PROVEEDORES[[#This Row],[FECHA DE FACTURACIÓN]])&gt;PROVEEDORES[[#This Row],[PLAZO Días]],"PAGO VENCIDO")</f>
        <v>PAGO VENCIDO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0</v>
      </c>
      <c r="E309" s="25"/>
      <c r="F309" s="56" t="str">
        <f>+VLOOKUP(PROVEEDORES[[#This Row],[PROVEEDOR]],
                       Terceros!$A:$F,
                       5,
                       FALSE)</f>
        <v/>
      </c>
      <c r="G309" s="289">
        <v>45247</v>
      </c>
      <c r="H309" s="26" t="s">
        <v>308</v>
      </c>
      <c r="I309" s="289">
        <v>45211</v>
      </c>
      <c r="J309" s="35" t="s">
        <v>1204</v>
      </c>
      <c r="K309" s="21">
        <v>534000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72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30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1">
        <f ca="1">IF(PROVEEDORES[[#This Row],[FECHA DE PAGO]]=0,TODAY()-PROVEEDORES[[#This Row],[FECHA DE FACTURACIÓN]]-PROVEEDORES[[#This Row],[PLAZO Días]],0)</f>
        <v>0</v>
      </c>
      <c r="U309" s="97">
        <f>+VLOOKUP(PROVEEDORES[[#This Row],[PROVEEDOR]],Terceros!$A:$D,4,FALSE)</f>
        <v>0</v>
      </c>
      <c r="V309" s="98">
        <f>+YEAR(PROVEEDORES[[#This Row],[FECHA DE FACTURACIÓN]])</f>
        <v>2023</v>
      </c>
      <c r="W309" s="98">
        <f>+MATCH(PROVEEDORES[[#This Row],[año facturado]],Retenciones!$1:$1,0)</f>
        <v>6</v>
      </c>
      <c r="X309" s="99">
        <f>+VLOOKUP(PROVEEDORES[[#This Row],[ID RETENCION]],Retenciones!$A$1:$O$25,PROVEEDORES[[#This Row],[indicador de columna]],FALSE)</f>
        <v>0</v>
      </c>
      <c r="Y309" s="100">
        <f>+VLOOKUP(PROVEEDORES[[#This Row],[ID RETENCION]],Retenciones!$A$1:$O$25,2,FALSE)</f>
        <v>0</v>
      </c>
      <c r="Z309" s="103" t="b">
        <f>OR(COUNTIF(PROVEEDORES[[#This Row],[PROVEEDOR]],"*"&amp;'Palabra no opera'!$A$2&amp;"*"))</f>
        <v>0</v>
      </c>
    </row>
    <row r="310" spans="1:26" ht="22.35" customHeight="1" x14ac:dyDescent="0.25">
      <c r="A310" s="256" t="str">
        <f>+IF(PROVEEDORES[[#This Row],[FECHA DE PAGO]]=PROVEEDORES[[#This Row],[FECHA DE FACTURACIÓN]],"DE CONTADO","CRÉDITO")</f>
        <v>CRÉDITO</v>
      </c>
      <c r="B310" s="38" t="str">
        <f>+IF((PROVEEDORES[[#This Row],[FECHA DE PAGO]]-PROVEEDORES[[#This Row],[FECHA DE FACTURACIÓN]])&gt;PROVEEDORES[[#This Row],[PLAZO Días]],"PAGO VENCIDO")</f>
        <v>PAGO VENCIDO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0</v>
      </c>
      <c r="E310" s="25"/>
      <c r="F310" s="56" t="str">
        <f>+VLOOKUP(PROVEEDORES[[#This Row],[PROVEEDOR]],
                       Terceros!$A:$F,
                       5,
                       FALSE)</f>
        <v/>
      </c>
      <c r="G310" s="289">
        <v>45267</v>
      </c>
      <c r="H310" s="26" t="s">
        <v>308</v>
      </c>
      <c r="I310" s="289">
        <v>45232</v>
      </c>
      <c r="J310" s="35" t="s">
        <v>1257</v>
      </c>
      <c r="K310" s="21">
        <v>1256500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72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1256500</v>
      </c>
      <c r="S310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1">
        <f ca="1">IF(PROVEEDORES[[#This Row],[FECHA DE PAGO]]=0,TODAY()-PROVEEDORES[[#This Row],[FECHA DE FACTURACIÓN]]-PROVEEDORES[[#This Row],[PLAZO Días]],0)</f>
        <v>0</v>
      </c>
      <c r="U310" s="97">
        <f>+VLOOKUP(PROVEEDORES[[#This Row],[PROVEEDOR]],Terceros!$A:$D,4,FALSE)</f>
        <v>0</v>
      </c>
      <c r="V310" s="98">
        <f>+YEAR(PROVEEDORES[[#This Row],[FECHA DE FACTURACIÓN]])</f>
        <v>2023</v>
      </c>
      <c r="W310" s="98">
        <f>+MATCH(PROVEEDORES[[#This Row],[año facturado]],Retenciones!$1:$1,0)</f>
        <v>6</v>
      </c>
      <c r="X310" s="99">
        <f>+VLOOKUP(PROVEEDORES[[#This Row],[ID RETENCION]],Retenciones!$A$1:$O$25,PROVEEDORES[[#This Row],[indicador de columna]],FALSE)</f>
        <v>0</v>
      </c>
      <c r="Y310" s="100">
        <f>+VLOOKUP(PROVEEDORES[[#This Row],[ID RETENCION]],Retenciones!$A$1:$O$25,2,FALSE)</f>
        <v>0</v>
      </c>
      <c r="Z310" s="103" t="b">
        <f>OR(COUNTIF(PROVEEDORES[[#This Row],[PROVEEDOR]],"*"&amp;'Palabra no opera'!$A$2&amp;"*"))</f>
        <v>0</v>
      </c>
    </row>
    <row r="311" spans="1:26" ht="22.35" customHeight="1" x14ac:dyDescent="0.25">
      <c r="A311" s="65" t="str">
        <f>+IF(PROVEEDORES[[#This Row],[FECHA DE PAGO]]=PROVEEDORES[[#This Row],[FECHA DE FACTURACIÓN]],"DE CONTADO","CRÉDITO")</f>
        <v>CRÉDITO</v>
      </c>
      <c r="B311" s="38" t="b">
        <f>+IF((PROVEEDORES[[#This Row],[FECHA DE PAGO]]-PROVEEDORES[[#This Row],[FECHA DE FACTURACIÓN]])&gt;PROVEEDORES[[#This Row],[PLAZO Días]],"PAGO VENCIDO")</f>
        <v>0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0</v>
      </c>
      <c r="E311" s="25"/>
      <c r="F311" s="56" t="str">
        <f>+VLOOKUP(PROVEEDORES[[#This Row],[PROVEEDOR]],
                       Terceros!$A:$F,
                       5,
                       FALSE)</f>
        <v/>
      </c>
      <c r="G311" s="289">
        <v>45281</v>
      </c>
      <c r="H311" s="26" t="s">
        <v>308</v>
      </c>
      <c r="I311" s="289">
        <v>45251</v>
      </c>
      <c r="J311" s="35" t="s">
        <v>1322</v>
      </c>
      <c r="K311" s="21">
        <v>1479000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72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1479000</v>
      </c>
      <c r="S3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1">
        <f ca="1">IF(PROVEEDORES[[#This Row],[FECHA DE PAGO]]=0,TODAY()-PROVEEDORES[[#This Row],[FECHA DE FACTURACIÓN]]-PROVEEDORES[[#This Row],[PLAZO Días]],0)</f>
        <v>0</v>
      </c>
      <c r="U311" s="97">
        <f>+VLOOKUP(PROVEEDORES[[#This Row],[PROVEEDOR]],Terceros!$A:$D,4,FALSE)</f>
        <v>0</v>
      </c>
      <c r="V311" s="98">
        <f>+YEAR(PROVEEDORES[[#This Row],[FECHA DE FACTURACIÓN]])</f>
        <v>2023</v>
      </c>
      <c r="W311" s="98">
        <f>+MATCH(PROVEEDORES[[#This Row],[año facturado]],Retenciones!$1:$1,0)</f>
        <v>6</v>
      </c>
      <c r="X311" s="99">
        <f>+VLOOKUP(PROVEEDORES[[#This Row],[ID RETENCION]],Retenciones!$A$1:$O$25,PROVEEDORES[[#This Row],[indicador de columna]],FALSE)</f>
        <v>0</v>
      </c>
      <c r="Y311" s="100">
        <f>+VLOOKUP(PROVEEDORES[[#This Row],[ID RETENCION]],Retenciones!$A$1:$O$25,2,FALSE)</f>
        <v>0</v>
      </c>
      <c r="Z311" s="103" t="b">
        <f>OR(COUNTIF(PROVEEDORES[[#This Row],[PROVEEDOR]],"*"&amp;'Palabra no opera'!$A$2&amp;"*"))</f>
        <v>0</v>
      </c>
    </row>
    <row r="312" spans="1:26" ht="22.35" customHeight="1" x14ac:dyDescent="0.25">
      <c r="A312" s="270" t="str">
        <f>+IF(PROVEEDORES[[#This Row],[FECHA DE PAGO]]=PROVEEDORES[[#This Row],[FECHA DE FACTURACIÓN]],"DE CONTADO","CRÉDITO")</f>
        <v>CRÉDITO</v>
      </c>
      <c r="B312" s="38" t="str">
        <f>+IF((PROVEEDORES[[#This Row],[FECHA DE PAGO]]-PROVEEDORES[[#This Row],[FECHA DE FACTURACIÓN]])&gt;PROVEEDORES[[#This Row],[PLAZO Días]],"PAGO VENCIDO")</f>
        <v>PAGO VENCIDO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0</v>
      </c>
      <c r="E312" s="25"/>
      <c r="F312" s="56" t="str">
        <f>+VLOOKUP(PROVEEDORES[[#This Row],[PROVEEDOR]],
                       Terceros!$A:$F,
                       5,
                       FALSE)</f>
        <v/>
      </c>
      <c r="G312" s="289">
        <v>45300</v>
      </c>
      <c r="H312" s="26" t="s">
        <v>308</v>
      </c>
      <c r="I312" s="289">
        <v>45261</v>
      </c>
      <c r="J312" s="35" t="s">
        <v>1446</v>
      </c>
      <c r="K312" s="21">
        <v>866000</v>
      </c>
      <c r="L312" s="21"/>
      <c r="M312" s="22">
        <f>(PROVEEDORES[[#This Row],[SUBTOTAL]]-PROVEEDORES[[#This Row],[descuento sobre subtotal]])*VLOOKUP(PROVEEDORES[[#This Row],[PROVEEDOR]],TERCEROS_INFO[#All],3,FALSE)</f>
        <v>0</v>
      </c>
      <c r="N312" s="23"/>
      <c r="O312" s="22">
        <f>+PROVEEDORES[[#This Row],[Descuento sobre subtotal %]]*(PROVEEDORES[[#This Row],[SUBTOTAL]]-PROVEEDORES[[#This Row],[descuento sobre subtotal]])</f>
        <v>0</v>
      </c>
      <c r="P312" s="72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866000</v>
      </c>
      <c r="S312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1">
        <f ca="1">IF(PROVEEDORES[[#This Row],[FECHA DE PAGO]]=0,TODAY()-PROVEEDORES[[#This Row],[FECHA DE FACTURACIÓN]]-PROVEEDORES[[#This Row],[PLAZO Días]],0)</f>
        <v>0</v>
      </c>
      <c r="U312" s="97">
        <f>+VLOOKUP(PROVEEDORES[[#This Row],[PROVEEDOR]],Terceros!$A:$D,4,FALSE)</f>
        <v>0</v>
      </c>
      <c r="V312" s="98">
        <f>+YEAR(PROVEEDORES[[#This Row],[FECHA DE FACTURACIÓN]])</f>
        <v>2023</v>
      </c>
      <c r="W312" s="98">
        <f>+MATCH(PROVEEDORES[[#This Row],[año facturado]],Retenciones!$1:$1,0)</f>
        <v>6</v>
      </c>
      <c r="X312" s="99">
        <f>+VLOOKUP(PROVEEDORES[[#This Row],[ID RETENCION]],Retenciones!$A$1:$O$25,PROVEEDORES[[#This Row],[indicador de columna]],FALSE)</f>
        <v>0</v>
      </c>
      <c r="Y312" s="100">
        <f>+VLOOKUP(PROVEEDORES[[#This Row],[ID RETENCION]],Retenciones!$A$1:$O$25,2,FALSE)</f>
        <v>0</v>
      </c>
      <c r="Z312" s="103" t="b">
        <f>OR(COUNTIF(PROVEEDORES[[#This Row],[PROVEEDOR]],"*"&amp;'Palabra no opera'!$A$2&amp;"*"))</f>
        <v>0</v>
      </c>
    </row>
    <row r="313" spans="1:26" ht="22.35" customHeight="1" x14ac:dyDescent="0.25">
      <c r="A313" s="192" t="str">
        <f>+IF(PROVEEDORES[[#This Row],[FECHA DE PAGO]]=PROVEEDORES[[#This Row],[FECHA DE FACTURACIÓN]],"DE CONTADO","CRÉDITO")</f>
        <v>CRÉDITO</v>
      </c>
      <c r="B313" s="38" t="str">
        <f>+IF((PROVEEDORES[[#This Row],[FECHA DE PAGO]]-PROVEEDORES[[#This Row],[FECHA DE FACTURACIÓN]])&gt;PROVEEDORES[[#This Row],[PLAZO Días]],"PAGO VENCIDO")</f>
        <v>PAGO VENCIDO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0</v>
      </c>
      <c r="E313" s="25"/>
      <c r="F313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313" s="289">
        <v>45082</v>
      </c>
      <c r="H313" s="26" t="s">
        <v>770</v>
      </c>
      <c r="I313" s="289">
        <v>45028</v>
      </c>
      <c r="J313" s="35">
        <v>31073</v>
      </c>
      <c r="K313" s="21">
        <v>900000</v>
      </c>
      <c r="L313" s="21"/>
      <c r="M313" s="22">
        <f>(PROVEEDORES[[#This Row],[SUBTOTAL]]-PROVEEDORES[[#This Row],[descuento sobre subtotal]])*VLOOKUP(PROVEEDORES[[#This Row],[PROVEEDOR]],TERCEROS_INFO[#All],3,FALSE)</f>
        <v>0</v>
      </c>
      <c r="N313" s="23"/>
      <c r="O313" s="22">
        <f>+PROVEEDORES[[#This Row],[Descuento sobre subtotal %]]*(PROVEEDORES[[#This Row],[SUBTOTAL]]-PROVEEDORES[[#This Row],[descuento sobre subtotal]])</f>
        <v>0</v>
      </c>
      <c r="P313" s="72">
        <f>+IF(PROVEEDORES[[#This Row],[SUBTOTAL]]&lt;PROVEEDORES[[#This Row],[base retencion]],0,PROVEEDORES[[#This Row],[retención aplicada]])</f>
        <v>0</v>
      </c>
      <c r="Q313" s="22">
        <f>+PROVEEDORES[[#This Row],[Rete Fuente %]]*(PROVEEDORES[[#This Row],[SUBTOTAL]]-PROVEEDORES[[#This Row],[descuento sobre subtotal]])</f>
        <v>0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31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1">
        <f ca="1">IF(PROVEEDORES[[#This Row],[FECHA DE PAGO]]=0,TODAY()-PROVEEDORES[[#This Row],[FECHA DE FACTURACIÓN]]-PROVEEDORES[[#This Row],[PLAZO Días]],0)</f>
        <v>0</v>
      </c>
      <c r="U313" s="97">
        <f>+VLOOKUP(PROVEEDORES[[#This Row],[PROVEEDOR]],Terceros!$A:$D,4,FALSE)</f>
        <v>0</v>
      </c>
      <c r="V313" s="98">
        <f>+YEAR(PROVEEDORES[[#This Row],[FECHA DE FACTURACIÓN]])</f>
        <v>2023</v>
      </c>
      <c r="W313" s="98">
        <f>+MATCH(PROVEEDORES[[#This Row],[año facturado]],Retenciones!$1:$1,0)</f>
        <v>6</v>
      </c>
      <c r="X313" s="99">
        <f>+VLOOKUP(PROVEEDORES[[#This Row],[ID RETENCION]],Retenciones!$A$1:$O$25,PROVEEDORES[[#This Row],[indicador de columna]],FALSE)</f>
        <v>0</v>
      </c>
      <c r="Y313" s="100">
        <f>+VLOOKUP(PROVEEDORES[[#This Row],[ID RETENCION]],Retenciones!$A$1:$O$25,2,FALSE)</f>
        <v>0</v>
      </c>
      <c r="Z313" s="103" t="b">
        <f>OR(COUNTIF(PROVEEDORES[[#This Row],[PROVEEDOR]],"*"&amp;'Palabra no opera'!$A$2&amp;"*"))</f>
        <v>0</v>
      </c>
    </row>
    <row r="314" spans="1:26" ht="22.35" customHeight="1" x14ac:dyDescent="0.25">
      <c r="A314" s="227" t="str">
        <f>+IF(PROVEEDORES[[#This Row],[FECHA DE PAGO]]=PROVEEDORES[[#This Row],[FECHA DE FACTURACIÓN]],"DE CONTADO","CRÉDITO")</f>
        <v>CRÉDITO</v>
      </c>
      <c r="B314" s="38" t="str">
        <f>+IF((PROVEEDORES[[#This Row],[FECHA DE PAGO]]-PROVEEDORES[[#This Row],[FECHA DE FACTURACIÓN]])&gt;PROVEEDORES[[#This Row],[PLAZO Días]],"PAGO VENCIDO")</f>
        <v>PAGO VENCIDO</v>
      </c>
      <c r="C314" s="20">
        <f>+VLOOKUP(PROVEEDORES[[#This Row],[PROVEEDOR]],TERCEROS_INFO[#All],2,FALSE)</f>
        <v>30</v>
      </c>
      <c r="D314" s="25">
        <f>+SUMIFS(PROVEEDORES[Total],PROVEEDORES[PROVEEDOR],PROVEEDORES[[#This Row],[PROVEEDOR]],PROVEEDORES[FECHA DE PAGO],"")</f>
        <v>0</v>
      </c>
      <c r="E314" s="25"/>
      <c r="F314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314" s="289">
        <v>45218</v>
      </c>
      <c r="H314" s="26" t="s">
        <v>770</v>
      </c>
      <c r="I314" s="289">
        <v>45153</v>
      </c>
      <c r="J314" s="35">
        <v>31505</v>
      </c>
      <c r="K314" s="21">
        <v>116000</v>
      </c>
      <c r="L314" s="21"/>
      <c r="M314" s="22">
        <f>(PROVEEDORES[[#This Row],[SUBTOTAL]]-PROVEEDORES[[#This Row],[descuento sobre subtotal]])*VLOOKUP(PROVEEDORES[[#This Row],[PROVEEDOR]],TERCEROS_INFO[#All],3,FALSE)</f>
        <v>0</v>
      </c>
      <c r="N314" s="23"/>
      <c r="O314" s="22">
        <f>+PROVEEDORES[[#This Row],[Descuento sobre subtotal %]]*(PROVEEDORES[[#This Row],[SUBTOTAL]]-PROVEEDORES[[#This Row],[descuento sobre subtotal]])</f>
        <v>0</v>
      </c>
      <c r="P314" s="72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116000</v>
      </c>
      <c r="S314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1">
        <f ca="1">IF(PROVEEDORES[[#This Row],[FECHA DE PAGO]]=0,TODAY()-PROVEEDORES[[#This Row],[FECHA DE FACTURACIÓN]]-PROVEEDORES[[#This Row],[PLAZO Días]],0)</f>
        <v>0</v>
      </c>
      <c r="U314" s="97">
        <f>+VLOOKUP(PROVEEDORES[[#This Row],[PROVEEDOR]],Terceros!$A:$D,4,FALSE)</f>
        <v>0</v>
      </c>
      <c r="V314" s="98">
        <f>+YEAR(PROVEEDORES[[#This Row],[FECHA DE FACTURACIÓN]])</f>
        <v>2023</v>
      </c>
      <c r="W314" s="98">
        <f>+MATCH(PROVEEDORES[[#This Row],[año facturado]],Retenciones!$1:$1,0)</f>
        <v>6</v>
      </c>
      <c r="X314" s="99">
        <f>+VLOOKUP(PROVEEDORES[[#This Row],[ID RETENCION]],Retenciones!$A$1:$O$25,PROVEEDORES[[#This Row],[indicador de columna]],FALSE)</f>
        <v>0</v>
      </c>
      <c r="Y314" s="100">
        <f>+VLOOKUP(PROVEEDORES[[#This Row],[ID RETENCION]],Retenciones!$A$1:$O$25,2,FALSE)</f>
        <v>0</v>
      </c>
      <c r="Z314" s="103" t="b">
        <f>OR(COUNTIF(PROVEEDORES[[#This Row],[PROVEEDOR]],"*"&amp;'Palabra no opera'!$A$2&amp;"*"))</f>
        <v>0</v>
      </c>
    </row>
    <row r="315" spans="1:26" ht="22.35" customHeight="1" x14ac:dyDescent="0.25">
      <c r="A315" s="203" t="str">
        <f>+IF(PROVEEDORES[[#This Row],[FECHA DE PAGO]]=PROVEEDORES[[#This Row],[FECHA DE FACTURACIÓN]],"DE CONTADO","CRÉDITO")</f>
        <v>CRÉDITO</v>
      </c>
      <c r="B315" s="38" t="b">
        <f>+IF((PROVEEDORES[[#This Row],[FECHA DE PAGO]]-PROVEEDORES[[#This Row],[FECHA DE FACTURACIÓN]])&gt;PROVEEDORES[[#This Row],[PLAZO Días]],"PAGO VENCIDO")</f>
        <v>0</v>
      </c>
      <c r="C315" s="20">
        <f>+VLOOKUP(PROVEEDORES[[#This Row],[PROVEEDOR]],TERCEROS_INFO[#All],2,FALSE)</f>
        <v>30</v>
      </c>
      <c r="D315" s="25">
        <f>+SUMIFS(PROVEEDORES[Total],PROVEEDORES[PROVEEDOR],PROVEEDORES[[#This Row],[PROVEEDOR]],PROVEEDORES[FECHA DE PAGO],"")</f>
        <v>-2000</v>
      </c>
      <c r="E315" s="25"/>
      <c r="F315" s="56">
        <f>+VLOOKUP(PROVEEDORES[[#This Row],[PROVEEDOR]],
                       Terceros!$A:$F,
                       5,
                       FALSE)</f>
        <v>0</v>
      </c>
      <c r="G315" s="289">
        <v>45094</v>
      </c>
      <c r="H315" s="26" t="s">
        <v>881</v>
      </c>
      <c r="I315" s="289">
        <v>45088</v>
      </c>
      <c r="J315" s="35">
        <v>2</v>
      </c>
      <c r="K315" s="21">
        <v>424000</v>
      </c>
      <c r="L315" s="21"/>
      <c r="M315" s="22">
        <f>(PROVEEDORES[[#This Row],[SUBTOTAL]]-PROVEEDORES[[#This Row],[descuento sobre subtotal]])*VLOOKUP(PROVEEDORES[[#This Row],[PROVEEDOR]],TERCEROS_INFO[#All],3,FALSE)</f>
        <v>0</v>
      </c>
      <c r="N315" s="23"/>
      <c r="O315" s="22">
        <f>+PROVEEDORES[[#This Row],[Descuento sobre subtotal %]]*(PROVEEDORES[[#This Row],[SUBTOTAL]]-PROVEEDORES[[#This Row],[descuento sobre subtotal]])</f>
        <v>0</v>
      </c>
      <c r="P315" s="72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315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1">
        <f ca="1">IF(PROVEEDORES[[#This Row],[FECHA DE PAGO]]=0,TODAY()-PROVEEDORES[[#This Row],[FECHA DE FACTURACIÓN]]-PROVEEDORES[[#This Row],[PLAZO Días]],0)</f>
        <v>0</v>
      </c>
      <c r="U315" s="97">
        <f>+VLOOKUP(PROVEEDORES[[#This Row],[PROVEEDOR]],Terceros!$A:$D,4,FALSE)</f>
        <v>0</v>
      </c>
      <c r="V315" s="98">
        <f>+YEAR(PROVEEDORES[[#This Row],[FECHA DE FACTURACIÓN]])</f>
        <v>2023</v>
      </c>
      <c r="W315" s="98">
        <f>+MATCH(PROVEEDORES[[#This Row],[año facturado]],Retenciones!$1:$1,0)</f>
        <v>6</v>
      </c>
      <c r="X315" s="99">
        <f>+VLOOKUP(PROVEEDORES[[#This Row],[ID RETENCION]],Retenciones!$A$1:$O$25,PROVEEDORES[[#This Row],[indicador de columna]],FALSE)</f>
        <v>0</v>
      </c>
      <c r="Y315" s="100">
        <f>+VLOOKUP(PROVEEDORES[[#This Row],[ID RETENCION]],Retenciones!$A$1:$O$25,2,FALSE)</f>
        <v>0</v>
      </c>
      <c r="Z315" s="103" t="b">
        <f>OR(COUNTIF(PROVEEDORES[[#This Row],[PROVEEDOR]],"*"&amp;'Palabra no opera'!$A$2&amp;"*"))</f>
        <v>0</v>
      </c>
    </row>
    <row r="316" spans="1:26" ht="22.35" customHeight="1" x14ac:dyDescent="0.25">
      <c r="A316" s="209" t="str">
        <f>+IF(PROVEEDORES[[#This Row],[FECHA DE PAGO]]=PROVEEDORES[[#This Row],[FECHA DE FACTURACIÓN]],"DE CONTADO","CRÉDITO")</f>
        <v>CRÉDITO</v>
      </c>
      <c r="B316" s="38" t="b">
        <f>+IF((PROVEEDORES[[#This Row],[FECHA DE PAGO]]-PROVEEDORES[[#This Row],[FECHA DE FACTURACIÓN]])&gt;PROVEEDORES[[#This Row],[PLAZO Días]],"PAGO VENCIDO")</f>
        <v>0</v>
      </c>
      <c r="C316" s="20">
        <f>+VLOOKUP(PROVEEDORES[[#This Row],[PROVEEDOR]],TERCEROS_INFO[#All],2,FALSE)</f>
        <v>30</v>
      </c>
      <c r="D316" s="25">
        <f>+SUMIFS(PROVEEDORES[Total],PROVEEDORES[PROVEEDOR],PROVEEDORES[[#This Row],[PROVEEDOR]],PROVEEDORES[FECHA DE PAGO],"")</f>
        <v>-2000</v>
      </c>
      <c r="E316" s="25"/>
      <c r="F316" s="56">
        <f>+VLOOKUP(PROVEEDORES[[#This Row],[PROVEEDOR]],
                       Terceros!$A:$F,
                       5,
                       FALSE)</f>
        <v>0</v>
      </c>
      <c r="G316" s="289">
        <v>45115</v>
      </c>
      <c r="H316" s="26" t="s">
        <v>881</v>
      </c>
      <c r="I316" s="289">
        <v>45111</v>
      </c>
      <c r="J316" s="35">
        <v>3</v>
      </c>
      <c r="K316" s="21">
        <v>430000</v>
      </c>
      <c r="L316" s="21"/>
      <c r="M316" s="22">
        <f>(PROVEEDORES[[#This Row],[SUBTOTAL]]-PROVEEDORES[[#This Row],[descuento sobre subtotal]])*VLOOKUP(PROVEEDORES[[#This Row],[PROVEEDOR]],TERCEROS_INFO[#All],3,FALSE)</f>
        <v>0</v>
      </c>
      <c r="N316" s="23"/>
      <c r="O316" s="22">
        <f>+PROVEEDORES[[#This Row],[Descuento sobre subtotal %]]*(PROVEEDORES[[#This Row],[SUBTOTAL]]-PROVEEDORES[[#This Row],[descuento sobre subtotal]])</f>
        <v>0</v>
      </c>
      <c r="P316" s="72">
        <f>+IF(PROVEEDORES[[#This Row],[SUBTOTAL]]&lt;PROVEEDORES[[#This Row],[base retencion]],0,PROVEEDORES[[#This Row],[retención aplicada]])</f>
        <v>0</v>
      </c>
      <c r="Q316" s="22">
        <f>+PROVEEDORES[[#This Row],[Rete Fuente %]]*(PROVEEDORES[[#This Row],[SUBTOTAL]]-PROVEEDORES[[#This Row],[descuento sobre subtotal]])</f>
        <v>0</v>
      </c>
      <c r="R316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316" s="2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1">
        <f ca="1">IF(PROVEEDORES[[#This Row],[FECHA DE PAGO]]=0,TODAY()-PROVEEDORES[[#This Row],[FECHA DE FACTURACIÓN]]-PROVEEDORES[[#This Row],[PLAZO Días]],0)</f>
        <v>0</v>
      </c>
      <c r="U316" s="97">
        <f>+VLOOKUP(PROVEEDORES[[#This Row],[PROVEEDOR]],Terceros!$A:$D,4,FALSE)</f>
        <v>0</v>
      </c>
      <c r="V316" s="98">
        <f>+YEAR(PROVEEDORES[[#This Row],[FECHA DE FACTURACIÓN]])</f>
        <v>2023</v>
      </c>
      <c r="W316" s="98">
        <f>+MATCH(PROVEEDORES[[#This Row],[año facturado]],Retenciones!$1:$1,0)</f>
        <v>6</v>
      </c>
      <c r="X316" s="99">
        <f>+VLOOKUP(PROVEEDORES[[#This Row],[ID RETENCION]],Retenciones!$A$1:$O$25,PROVEEDORES[[#This Row],[indicador de columna]],FALSE)</f>
        <v>0</v>
      </c>
      <c r="Y316" s="100">
        <f>+VLOOKUP(PROVEEDORES[[#This Row],[ID RETENCION]],Retenciones!$A$1:$O$25,2,FALSE)</f>
        <v>0</v>
      </c>
      <c r="Z316" s="103" t="b">
        <f>OR(COUNTIF(PROVEEDORES[[#This Row],[PROVEEDOR]],"*"&amp;'Palabra no opera'!$A$2&amp;"*"))</f>
        <v>0</v>
      </c>
    </row>
    <row r="317" spans="1:26" ht="22.35" customHeight="1" x14ac:dyDescent="0.25">
      <c r="A317" s="223" t="str">
        <f>+IF(PROVEEDORES[[#This Row],[FECHA DE PAGO]]=PROVEEDORES[[#This Row],[FECHA DE FACTURACIÓN]],"DE CONTADO","CRÉDITO")</f>
        <v>CRÉDITO</v>
      </c>
      <c r="B317" s="38" t="b">
        <f>+IF((PROVEEDORES[[#This Row],[FECHA DE PAGO]]-PROVEEDORES[[#This Row],[FECHA DE FACTURACIÓN]])&gt;PROVEEDORES[[#This Row],[PLAZO Días]],"PAGO VENCIDO")</f>
        <v>0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-2000</v>
      </c>
      <c r="E317" s="25"/>
      <c r="F317" s="56">
        <f>+VLOOKUP(PROVEEDORES[[#This Row],[PROVEEDOR]],
                       Terceros!$A:$F,
                       5,
                       FALSE)</f>
        <v>0</v>
      </c>
      <c r="G317" s="289">
        <v>45124</v>
      </c>
      <c r="H317" s="26" t="s">
        <v>881</v>
      </c>
      <c r="I317" s="289">
        <v>45122</v>
      </c>
      <c r="J317" s="35">
        <v>4</v>
      </c>
      <c r="K317" s="21">
        <v>369000</v>
      </c>
      <c r="L317" s="21"/>
      <c r="M317" s="22">
        <f>(PROVEEDORES[[#This Row],[SUBTOTAL]]-PROVEEDORES[[#This Row],[descuento sobre subtotal]])*VLOOKUP(PROVEEDORES[[#This Row],[PROVEEDOR]],TERCEROS_INFO[#All],3,FALSE)</f>
        <v>0</v>
      </c>
      <c r="N317" s="23"/>
      <c r="O317" s="22">
        <f>+PROVEEDORES[[#This Row],[Descuento sobre subtotal %]]*(PROVEEDORES[[#This Row],[SUBTOTAL]]-PROVEEDORES[[#This Row],[descuento sobre subtotal]])</f>
        <v>0</v>
      </c>
      <c r="P317" s="72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369000</v>
      </c>
      <c r="S317" s="2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1">
        <f ca="1">IF(PROVEEDORES[[#This Row],[FECHA DE PAGO]]=0,TODAY()-PROVEEDORES[[#This Row],[FECHA DE FACTURACIÓN]]-PROVEEDORES[[#This Row],[PLAZO Días]],0)</f>
        <v>0</v>
      </c>
      <c r="U317" s="97">
        <f>+VLOOKUP(PROVEEDORES[[#This Row],[PROVEEDOR]],Terceros!$A:$D,4,FALSE)</f>
        <v>0</v>
      </c>
      <c r="V317" s="98">
        <f>+YEAR(PROVEEDORES[[#This Row],[FECHA DE FACTURACIÓN]])</f>
        <v>2023</v>
      </c>
      <c r="W317" s="98">
        <f>+MATCH(PROVEEDORES[[#This Row],[año facturado]],Retenciones!$1:$1,0)</f>
        <v>6</v>
      </c>
      <c r="X317" s="99">
        <f>+VLOOKUP(PROVEEDORES[[#This Row],[ID RETENCION]],Retenciones!$A$1:$O$25,PROVEEDORES[[#This Row],[indicador de columna]],FALSE)</f>
        <v>0</v>
      </c>
      <c r="Y317" s="100">
        <f>+VLOOKUP(PROVEEDORES[[#This Row],[ID RETENCION]],Retenciones!$A$1:$O$25,2,FALSE)</f>
        <v>0</v>
      </c>
      <c r="Z317" s="103" t="b">
        <f>OR(COUNTIF(PROVEEDORES[[#This Row],[PROVEEDOR]],"*"&amp;'Palabra no opera'!$A$2&amp;"*"))</f>
        <v>0</v>
      </c>
    </row>
    <row r="318" spans="1:26" ht="22.35" customHeight="1" x14ac:dyDescent="0.25">
      <c r="A318" s="223" t="str">
        <f>+IF(PROVEEDORES[[#This Row],[FECHA DE PAGO]]=PROVEEDORES[[#This Row],[FECHA DE FACTURACIÓN]],"DE CONTADO","CRÉDITO")</f>
        <v>CRÉDITO</v>
      </c>
      <c r="B318" s="38" t="b">
        <f>+IF((PROVEEDORES[[#This Row],[FECHA DE PAGO]]-PROVEEDORES[[#This Row],[FECHA DE FACTURACIÓN]])&gt;PROVEEDORES[[#This Row],[PLAZO Días]],"PAGO VENCIDO")</f>
        <v>0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-2000</v>
      </c>
      <c r="E318" s="25"/>
      <c r="F318" s="56">
        <f>+VLOOKUP(PROVEEDORES[[#This Row],[PROVEEDOR]],
                       Terceros!$A:$F,
                       5,
                       FALSE)</f>
        <v>0</v>
      </c>
      <c r="G318" s="289">
        <v>45140</v>
      </c>
      <c r="H318" s="26" t="s">
        <v>881</v>
      </c>
      <c r="I318" s="289">
        <v>45138</v>
      </c>
      <c r="J318" s="35">
        <v>5</v>
      </c>
      <c r="K318" s="21">
        <v>444000</v>
      </c>
      <c r="L318" s="21"/>
      <c r="M318" s="22">
        <f>(PROVEEDORES[[#This Row],[SUBTOTAL]]-PROVEEDORES[[#This Row],[descuento sobre subtotal]])*VLOOKUP(PROVEEDORES[[#This Row],[PROVEEDOR]],TERCEROS_INFO[#All],3,FALSE)</f>
        <v>0</v>
      </c>
      <c r="N318" s="23"/>
      <c r="O318" s="22">
        <f>+PROVEEDORES[[#This Row],[Descuento sobre subtotal %]]*(PROVEEDORES[[#This Row],[SUBTOTAL]]-PROVEEDORES[[#This Row],[descuento sobre subtotal]])</f>
        <v>0</v>
      </c>
      <c r="P318" s="72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f>+PROVEEDORES[[#This Row],[SUBTOTAL]]+PROVEEDORES[[#This Row],[IVA 19%]]-PROVEEDORES[[#This Row],[descuento sobre subtotal]]-PROVEEDORES[[#This Row],[Descuento sobre subtotal $2]]-PROVEEDORES[[#This Row],[Rete Fuente $]]</f>
        <v>444000</v>
      </c>
      <c r="S318" s="2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1">
        <f ca="1">IF(PROVEEDORES[[#This Row],[FECHA DE PAGO]]=0,TODAY()-PROVEEDORES[[#This Row],[FECHA DE FACTURACIÓN]]-PROVEEDORES[[#This Row],[PLAZO Días]],0)</f>
        <v>0</v>
      </c>
      <c r="U318" s="97">
        <f>+VLOOKUP(PROVEEDORES[[#This Row],[PROVEEDOR]],Terceros!$A:$D,4,FALSE)</f>
        <v>0</v>
      </c>
      <c r="V318" s="98">
        <f>+YEAR(PROVEEDORES[[#This Row],[FECHA DE FACTURACIÓN]])</f>
        <v>2023</v>
      </c>
      <c r="W318" s="98">
        <f>+MATCH(PROVEEDORES[[#This Row],[año facturado]],Retenciones!$1:$1,0)</f>
        <v>6</v>
      </c>
      <c r="X318" s="99">
        <f>+VLOOKUP(PROVEEDORES[[#This Row],[ID RETENCION]],Retenciones!$A$1:$O$25,PROVEEDORES[[#This Row],[indicador de columna]],FALSE)</f>
        <v>0</v>
      </c>
      <c r="Y318" s="100">
        <f>+VLOOKUP(PROVEEDORES[[#This Row],[ID RETENCION]],Retenciones!$A$1:$O$25,2,FALSE)</f>
        <v>0</v>
      </c>
      <c r="Z318" s="103" t="b">
        <f>OR(COUNTIF(PROVEEDORES[[#This Row],[PROVEEDOR]],"*"&amp;'Palabra no opera'!$A$2&amp;"*"))</f>
        <v>0</v>
      </c>
    </row>
    <row r="319" spans="1:26" ht="22.35" customHeight="1" x14ac:dyDescent="0.25">
      <c r="A319" s="65" t="str">
        <f>+IF(PROVEEDORES[[#This Row],[FECHA DE PAGO]]=PROVEEDORES[[#This Row],[FECHA DE FACTURACIÓN]],"DE CONTADO","CRÉDITO")</f>
        <v>DE CONTADO</v>
      </c>
      <c r="B319" s="38" t="b">
        <f>+IF((PROVEEDORES[[#This Row],[FECHA DE PAGO]]-PROVEEDORES[[#This Row],[FECHA DE FACTURACIÓN]])&gt;PROVEEDORES[[#This Row],[PLAZO Días]],"PAGO VENCIDO")</f>
        <v>0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-2000</v>
      </c>
      <c r="E319" s="25"/>
      <c r="F319" s="56">
        <f>+VLOOKUP(PROVEEDORES[[#This Row],[PROVEEDOR]],
                       Terceros!$A:$F,
                       5,
                       FALSE)</f>
        <v>0</v>
      </c>
      <c r="G319" s="289">
        <v>45171</v>
      </c>
      <c r="H319" s="26" t="s">
        <v>881</v>
      </c>
      <c r="I319" s="289">
        <v>45171</v>
      </c>
      <c r="J319" s="35"/>
      <c r="K319" s="21">
        <v>508000</v>
      </c>
      <c r="L319" s="21"/>
      <c r="M319" s="22">
        <f>(PROVEEDORES[[#This Row],[SUBTOTAL]]-PROVEEDORES[[#This Row],[descuento sobre subtotal]])*VLOOKUP(PROVEEDORES[[#This Row],[PROVEEDOR]],TERCEROS_INFO[#All],3,FALSE)</f>
        <v>0</v>
      </c>
      <c r="N319" s="23"/>
      <c r="O319" s="22">
        <f>+PROVEEDORES[[#This Row],[Descuento sobre subtotal %]]*(PROVEEDORES[[#This Row],[SUBTOTAL]]-PROVEEDORES[[#This Row],[descuento sobre subtotal]])</f>
        <v>0</v>
      </c>
      <c r="P319" s="72">
        <f>+IF(PROVEEDORES[[#This Row],[SUBTOTAL]]&lt;PROVEEDORES[[#This Row],[base retencion]],0,PROVEEDORES[[#This Row],[retención aplicada]])</f>
        <v>0</v>
      </c>
      <c r="Q319" s="22">
        <f>+PROVEEDORES[[#This Row],[Rete Fuente %]]*(PROVEEDORES[[#This Row],[SUBTOTAL]]-PROVEEDORES[[#This Row],[descuento sobre subtotal]])</f>
        <v>0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508000</v>
      </c>
      <c r="S3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1">
        <f ca="1">IF(PROVEEDORES[[#This Row],[FECHA DE PAGO]]=0,TODAY()-PROVEEDORES[[#This Row],[FECHA DE FACTURACIÓN]]-PROVEEDORES[[#This Row],[PLAZO Días]],0)</f>
        <v>0</v>
      </c>
      <c r="U319" s="97">
        <f>+VLOOKUP(PROVEEDORES[[#This Row],[PROVEEDOR]],Terceros!$A:$D,4,FALSE)</f>
        <v>0</v>
      </c>
      <c r="V319" s="98">
        <f>+YEAR(PROVEEDORES[[#This Row],[FECHA DE FACTURACIÓN]])</f>
        <v>2023</v>
      </c>
      <c r="W319" s="98">
        <f>+MATCH(PROVEEDORES[[#This Row],[año facturado]],Retenciones!$1:$1,0)</f>
        <v>6</v>
      </c>
      <c r="X319" s="99">
        <f>+VLOOKUP(PROVEEDORES[[#This Row],[ID RETENCION]],Retenciones!$A$1:$O$25,PROVEEDORES[[#This Row],[indicador de columna]],FALSE)</f>
        <v>0</v>
      </c>
      <c r="Y319" s="100">
        <f>+VLOOKUP(PROVEEDORES[[#This Row],[ID RETENCION]],Retenciones!$A$1:$O$25,2,FALSE)</f>
        <v>0</v>
      </c>
      <c r="Z319" s="103" t="b">
        <f>OR(COUNTIF(PROVEEDORES[[#This Row],[PROVEEDOR]],"*"&amp;'Palabra no opera'!$A$2&amp;"*"))</f>
        <v>0</v>
      </c>
    </row>
    <row r="320" spans="1:26" ht="22.35" customHeight="1" x14ac:dyDescent="0.25">
      <c r="A320" s="65" t="str">
        <f>+IF(PROVEEDORES[[#This Row],[FECHA DE PAGO]]=PROVEEDORES[[#This Row],[FECHA DE FACTURACIÓN]],"DE CONTADO","CRÉDITO")</f>
        <v>DE CONTADO</v>
      </c>
      <c r="B320" s="38" t="b">
        <f>+IF((PROVEEDORES[[#This Row],[FECHA DE PAGO]]-PROVEEDORES[[#This Row],[FECHA DE FACTURACIÓN]])&gt;PROVEEDORES[[#This Row],[PLAZO Días]],"PAGO VENCIDO")</f>
        <v>0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-2000</v>
      </c>
      <c r="E320" s="25"/>
      <c r="F320" s="56">
        <f>+VLOOKUP(PROVEEDORES[[#This Row],[PROVEEDOR]],
                       Terceros!$A:$F,
                       5,
                       FALSE)</f>
        <v>0</v>
      </c>
      <c r="G320" s="289">
        <v>45186</v>
      </c>
      <c r="H320" s="26" t="s">
        <v>881</v>
      </c>
      <c r="I320" s="289">
        <v>45186</v>
      </c>
      <c r="J320" s="35"/>
      <c r="K320" s="21">
        <v>396000</v>
      </c>
      <c r="L320" s="21"/>
      <c r="M320" s="22">
        <f>(PROVEEDORES[[#This Row],[SUBTOTAL]]-PROVEEDORES[[#This Row],[descuento sobre subtotal]])*VLOOKUP(PROVEEDORES[[#This Row],[PROVEEDOR]],TERCEROS_INFO[#All],3,FALSE)</f>
        <v>0</v>
      </c>
      <c r="N320" s="23"/>
      <c r="O320" s="22">
        <f>+PROVEEDORES[[#This Row],[Descuento sobre subtotal %]]*(PROVEEDORES[[#This Row],[SUBTOTAL]]-PROVEEDORES[[#This Row],[descuento sobre subtotal]])</f>
        <v>0</v>
      </c>
      <c r="P320" s="72">
        <f>+IF(PROVEEDORES[[#This Row],[SUBTOTAL]]&lt;PROVEEDORES[[#This Row],[base retencion]],0,PROVEEDORES[[#This Row],[retención aplicada]])</f>
        <v>0</v>
      </c>
      <c r="Q320" s="22">
        <f>+PROVEEDORES[[#This Row],[Rete Fuente %]]*(PROVEEDORES[[#This Row],[SUBTOTAL]]-PROVEEDORES[[#This Row],[descuento sobre subtotal]])</f>
        <v>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396000</v>
      </c>
      <c r="S32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1">
        <f ca="1">IF(PROVEEDORES[[#This Row],[FECHA DE PAGO]]=0,TODAY()-PROVEEDORES[[#This Row],[FECHA DE FACTURACIÓN]]-PROVEEDORES[[#This Row],[PLAZO Días]],0)</f>
        <v>0</v>
      </c>
      <c r="U320" s="97">
        <f>+VLOOKUP(PROVEEDORES[[#This Row],[PROVEEDOR]],Terceros!$A:$D,4,FALSE)</f>
        <v>0</v>
      </c>
      <c r="V320" s="98">
        <f>+YEAR(PROVEEDORES[[#This Row],[FECHA DE FACTURACIÓN]])</f>
        <v>2023</v>
      </c>
      <c r="W320" s="98">
        <f>+MATCH(PROVEEDORES[[#This Row],[año facturado]],Retenciones!$1:$1,0)</f>
        <v>6</v>
      </c>
      <c r="X320" s="99">
        <f>+VLOOKUP(PROVEEDORES[[#This Row],[ID RETENCION]],Retenciones!$A$1:$O$25,PROVEEDORES[[#This Row],[indicador de columna]],FALSE)</f>
        <v>0</v>
      </c>
      <c r="Y320" s="100">
        <f>+VLOOKUP(PROVEEDORES[[#This Row],[ID RETENCION]],Retenciones!$A$1:$O$25,2,FALSE)</f>
        <v>0</v>
      </c>
      <c r="Z320" s="103" t="b">
        <f>OR(COUNTIF(PROVEEDORES[[#This Row],[PROVEEDOR]],"*"&amp;'Palabra no opera'!$A$2&amp;"*"))</f>
        <v>0</v>
      </c>
    </row>
    <row r="321" spans="1:26" ht="22.35" customHeight="1" x14ac:dyDescent="0.25">
      <c r="A321" s="65" t="str">
        <f>+IF(PROVEEDORES[[#This Row],[FECHA DE PAGO]]=PROVEEDORES[[#This Row],[FECHA DE FACTURACIÓN]],"DE CONTADO","CRÉDITO")</f>
        <v>DE CONTADO</v>
      </c>
      <c r="B321" s="38" t="b">
        <f>+IF((PROVEEDORES[[#This Row],[FECHA DE PAGO]]-PROVEEDORES[[#This Row],[FECHA DE FACTURACIÓN]])&gt;PROVEEDORES[[#This Row],[PLAZO Días]],"PAGO VENCIDO")</f>
        <v>0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-2000</v>
      </c>
      <c r="E321" s="25"/>
      <c r="F321" s="56">
        <f>+VLOOKUP(PROVEEDORES[[#This Row],[PROVEEDOR]],
                       Terceros!$A:$F,
                       5,
                       FALSE)</f>
        <v>0</v>
      </c>
      <c r="G321" s="289">
        <v>45202</v>
      </c>
      <c r="H321" s="26" t="s">
        <v>881</v>
      </c>
      <c r="I321" s="289">
        <v>45202</v>
      </c>
      <c r="J321" s="35"/>
      <c r="K321" s="21">
        <v>392000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72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f>+PROVEEDORES[[#This Row],[SUBTOTAL]]+PROVEEDORES[[#This Row],[IVA 19%]]-PROVEEDORES[[#This Row],[descuento sobre subtotal]]-PROVEEDORES[[#This Row],[Descuento sobre subtotal $2]]-PROVEEDORES[[#This Row],[Rete Fuente $]]</f>
        <v>392000</v>
      </c>
      <c r="S3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1">
        <f ca="1">IF(PROVEEDORES[[#This Row],[FECHA DE PAGO]]=0,TODAY()-PROVEEDORES[[#This Row],[FECHA DE FACTURACIÓN]]-PROVEEDORES[[#This Row],[PLAZO Días]],0)</f>
        <v>0</v>
      </c>
      <c r="U321" s="97">
        <f>+VLOOKUP(PROVEEDORES[[#This Row],[PROVEEDOR]],Terceros!$A:$D,4,FALSE)</f>
        <v>0</v>
      </c>
      <c r="V321" s="98">
        <f>+YEAR(PROVEEDORES[[#This Row],[FECHA DE FACTURACIÓN]])</f>
        <v>2023</v>
      </c>
      <c r="W321" s="98">
        <f>+MATCH(PROVEEDORES[[#This Row],[año facturado]],Retenciones!$1:$1,0)</f>
        <v>6</v>
      </c>
      <c r="X321" s="99">
        <f>+VLOOKUP(PROVEEDORES[[#This Row],[ID RETENCION]],Retenciones!$A$1:$O$25,PROVEEDORES[[#This Row],[indicador de columna]],FALSE)</f>
        <v>0</v>
      </c>
      <c r="Y321" s="100">
        <f>+VLOOKUP(PROVEEDORES[[#This Row],[ID RETENCION]],Retenciones!$A$1:$O$25,2,FALSE)</f>
        <v>0</v>
      </c>
      <c r="Z321" s="103" t="b">
        <f>OR(COUNTIF(PROVEEDORES[[#This Row],[PROVEEDOR]],"*"&amp;'Palabra no opera'!$A$2&amp;"*"))</f>
        <v>0</v>
      </c>
    </row>
    <row r="322" spans="1:26" ht="22.35" customHeight="1" x14ac:dyDescent="0.25">
      <c r="A322" s="65" t="str">
        <f>+IF(PROVEEDORES[[#This Row],[FECHA DE PAGO]]=PROVEEDORES[[#This Row],[FECHA DE FACTURACIÓN]],"DE CONTADO","CRÉDITO")</f>
        <v>CRÉDITO</v>
      </c>
      <c r="B322" s="38" t="b">
        <f>+IF((PROVEEDORES[[#This Row],[FECHA DE PAGO]]-PROVEEDORES[[#This Row],[FECHA DE FACTURACIÓN]])&gt;PROVEEDORES[[#This Row],[PLAZO Días]],"PAGO VENCIDO")</f>
        <v>0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-2000</v>
      </c>
      <c r="E322" s="25"/>
      <c r="F322" s="56">
        <f>+VLOOKUP(PROVEEDORES[[#This Row],[PROVEEDOR]],
                       Terceros!$A:$F,
                       5,
                       FALSE)</f>
        <v>0</v>
      </c>
      <c r="G322" s="289">
        <v>45219</v>
      </c>
      <c r="H322" s="26" t="s">
        <v>881</v>
      </c>
      <c r="I322" s="289">
        <v>45217</v>
      </c>
      <c r="J322" s="35"/>
      <c r="K322" s="21">
        <v>478000</v>
      </c>
      <c r="L322" s="21"/>
      <c r="M322" s="22">
        <f>(PROVEEDORES[[#This Row],[SUBTOTAL]]-PROVEEDORES[[#This Row],[descuento sobre subtotal]])*VLOOKUP(PROVEEDORES[[#This Row],[PROVEEDOR]],TERCEROS_INFO[#All],3,FALSE)</f>
        <v>0</v>
      </c>
      <c r="N322" s="23"/>
      <c r="O322" s="22">
        <f>+PROVEEDORES[[#This Row],[Descuento sobre subtotal %]]*(PROVEEDORES[[#This Row],[SUBTOTAL]]-PROVEEDORES[[#This Row],[descuento sobre subtotal]])</f>
        <v>0</v>
      </c>
      <c r="P322" s="72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478000</v>
      </c>
      <c r="S3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1">
        <f ca="1">IF(PROVEEDORES[[#This Row],[FECHA DE PAGO]]=0,TODAY()-PROVEEDORES[[#This Row],[FECHA DE FACTURACIÓN]]-PROVEEDORES[[#This Row],[PLAZO Días]],0)</f>
        <v>0</v>
      </c>
      <c r="U322" s="97">
        <f>+VLOOKUP(PROVEEDORES[[#This Row],[PROVEEDOR]],Terceros!$A:$D,4,FALSE)</f>
        <v>0</v>
      </c>
      <c r="V322" s="98">
        <f>+YEAR(PROVEEDORES[[#This Row],[FECHA DE FACTURACIÓN]])</f>
        <v>2023</v>
      </c>
      <c r="W322" s="98">
        <f>+MATCH(PROVEEDORES[[#This Row],[año facturado]],Retenciones!$1:$1,0)</f>
        <v>6</v>
      </c>
      <c r="X322" s="99">
        <f>+VLOOKUP(PROVEEDORES[[#This Row],[ID RETENCION]],Retenciones!$A$1:$O$25,PROVEEDORES[[#This Row],[indicador de columna]],FALSE)</f>
        <v>0</v>
      </c>
      <c r="Y322" s="100">
        <f>+VLOOKUP(PROVEEDORES[[#This Row],[ID RETENCION]],Retenciones!$A$1:$O$25,2,FALSE)</f>
        <v>0</v>
      </c>
      <c r="Z322" s="103" t="b">
        <f>OR(COUNTIF(PROVEEDORES[[#This Row],[PROVEEDOR]],"*"&amp;'Palabra no opera'!$A$2&amp;"*"))</f>
        <v>0</v>
      </c>
    </row>
    <row r="323" spans="1:26" ht="22.35" customHeight="1" x14ac:dyDescent="0.25">
      <c r="A323" s="65" t="str">
        <f>+IF(PROVEEDORES[[#This Row],[FECHA DE PAGO]]=PROVEEDORES[[#This Row],[FECHA DE FACTURACIÓN]],"DE CONTADO","CRÉDITO")</f>
        <v>DE CONTADO</v>
      </c>
      <c r="B323" s="38" t="b">
        <f>+IF((PROVEEDORES[[#This Row],[FECHA DE PAGO]]-PROVEEDORES[[#This Row],[FECHA DE FACTURACIÓN]])&gt;PROVEEDORES[[#This Row],[PLAZO Días]],"PAGO VENCIDO")</f>
        <v>0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-2000</v>
      </c>
      <c r="E323" s="25"/>
      <c r="F323" s="56">
        <f>+VLOOKUP(PROVEEDORES[[#This Row],[PROVEEDOR]],
                       Terceros!$A:$F,
                       5,
                       FALSE)</f>
        <v>0</v>
      </c>
      <c r="G323" s="289">
        <v>45233</v>
      </c>
      <c r="H323" s="26" t="s">
        <v>881</v>
      </c>
      <c r="I323" s="289">
        <v>45233</v>
      </c>
      <c r="J323" s="35"/>
      <c r="K323" s="21">
        <v>389000</v>
      </c>
      <c r="L323" s="21"/>
      <c r="M323" s="22">
        <f>(PROVEEDORES[[#This Row],[SUBTOTAL]]-PROVEEDORES[[#This Row],[descuento sobre subtotal]])*VLOOKUP(PROVEEDORES[[#This Row],[PROVEEDOR]],TERCEROS_INFO[#All],3,FALSE)</f>
        <v>0</v>
      </c>
      <c r="N323" s="23"/>
      <c r="O323" s="22">
        <f>+PROVEEDORES[[#This Row],[Descuento sobre subtotal %]]*(PROVEEDORES[[#This Row],[SUBTOTAL]]-PROVEEDORES[[#This Row],[descuento sobre subtotal]])</f>
        <v>0</v>
      </c>
      <c r="P323" s="72">
        <f>+IF(PROVEEDORES[[#This Row],[SUBTOTAL]]&lt;PROVEEDORES[[#This Row],[base retencion]],0,PROVEEDORES[[#This Row],[retención aplicada]])</f>
        <v>0</v>
      </c>
      <c r="Q323" s="22">
        <f>+PROVEEDORES[[#This Row],[Rete Fuente %]]*(PROVEEDORES[[#This Row],[SUBTOTAL]]-PROVEEDORES[[#This Row],[descuento sobre subtotal]])</f>
        <v>0</v>
      </c>
      <c r="R323" s="21">
        <f>+PROVEEDORES[[#This Row],[SUBTOTAL]]+PROVEEDORES[[#This Row],[IVA 19%]]-PROVEEDORES[[#This Row],[descuento sobre subtotal]]-PROVEEDORES[[#This Row],[Descuento sobre subtotal $2]]-PROVEEDORES[[#This Row],[Rete Fuente $]]</f>
        <v>389000</v>
      </c>
      <c r="S3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1">
        <f ca="1">IF(PROVEEDORES[[#This Row],[FECHA DE PAGO]]=0,TODAY()-PROVEEDORES[[#This Row],[FECHA DE FACTURACIÓN]]-PROVEEDORES[[#This Row],[PLAZO Días]],0)</f>
        <v>0</v>
      </c>
      <c r="U323" s="97">
        <f>+VLOOKUP(PROVEEDORES[[#This Row],[PROVEEDOR]],Terceros!$A:$D,4,FALSE)</f>
        <v>0</v>
      </c>
      <c r="V323" s="98">
        <f>+YEAR(PROVEEDORES[[#This Row],[FECHA DE FACTURACIÓN]])</f>
        <v>2023</v>
      </c>
      <c r="W323" s="98">
        <f>+MATCH(PROVEEDORES[[#This Row],[año facturado]],Retenciones!$1:$1,0)</f>
        <v>6</v>
      </c>
      <c r="X323" s="99">
        <f>+VLOOKUP(PROVEEDORES[[#This Row],[ID RETENCION]],Retenciones!$A$1:$O$25,PROVEEDORES[[#This Row],[indicador de columna]],FALSE)</f>
        <v>0</v>
      </c>
      <c r="Y323" s="100">
        <f>+VLOOKUP(PROVEEDORES[[#This Row],[ID RETENCION]],Retenciones!$A$1:$O$25,2,FALSE)</f>
        <v>0</v>
      </c>
      <c r="Z323" s="103" t="b">
        <f>OR(COUNTIF(PROVEEDORES[[#This Row],[PROVEEDOR]],"*"&amp;'Palabra no opera'!$A$2&amp;"*"))</f>
        <v>0</v>
      </c>
    </row>
    <row r="324" spans="1:26" ht="22.35" customHeight="1" x14ac:dyDescent="0.25">
      <c r="A324" s="65" t="str">
        <f>+IF(PROVEEDORES[[#This Row],[FECHA DE PAGO]]=PROVEEDORES[[#This Row],[FECHA DE FACTURACIÓN]],"DE CONTADO","CRÉDITO")</f>
        <v>DE CONTADO</v>
      </c>
      <c r="B324" s="38" t="b">
        <f>+IF((PROVEEDORES[[#This Row],[FECHA DE PAGO]]-PROVEEDORES[[#This Row],[FECHA DE FACTURACIÓN]])&gt;PROVEEDORES[[#This Row],[PLAZO Días]],"PAGO VENCIDO")</f>
        <v>0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-2000</v>
      </c>
      <c r="E324" s="25"/>
      <c r="F324" s="56">
        <f>+VLOOKUP(PROVEEDORES[[#This Row],[PROVEEDOR]],
                       Terceros!$A:$F,
                       5,
                       FALSE)</f>
        <v>0</v>
      </c>
      <c r="G324" s="289">
        <v>45247</v>
      </c>
      <c r="H324" s="26" t="s">
        <v>881</v>
      </c>
      <c r="I324" s="289">
        <v>45247</v>
      </c>
      <c r="J324" s="35"/>
      <c r="K324" s="21">
        <v>417000</v>
      </c>
      <c r="L324" s="21"/>
      <c r="M324" s="22">
        <f>(PROVEEDORES[[#This Row],[SUBTOTAL]]-PROVEEDORES[[#This Row],[descuento sobre subtotal]])*VLOOKUP(PROVEEDORES[[#This Row],[PROVEEDOR]],TERCEROS_INFO[#All],3,FALSE)</f>
        <v>0</v>
      </c>
      <c r="N324" s="23"/>
      <c r="O324" s="22">
        <f>+PROVEEDORES[[#This Row],[Descuento sobre subtotal %]]*(PROVEEDORES[[#This Row],[SUBTOTAL]]-PROVEEDORES[[#This Row],[descuento sobre subtotal]])</f>
        <v>0</v>
      </c>
      <c r="P324" s="72">
        <f>+IF(PROVEEDORES[[#This Row],[SUBTOTAL]]&lt;PROVEEDORES[[#This Row],[base retencion]],0,PROVEEDORES[[#This Row],[retención aplicada]])</f>
        <v>0</v>
      </c>
      <c r="Q324" s="22">
        <f>+PROVEEDORES[[#This Row],[Rete Fuente %]]*(PROVEEDORES[[#This Row],[SUBTOTAL]]-PROVEEDORES[[#This Row],[descuento sobre subtotal]])</f>
        <v>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417000</v>
      </c>
      <c r="S3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1">
        <f ca="1">IF(PROVEEDORES[[#This Row],[FECHA DE PAGO]]=0,TODAY()-PROVEEDORES[[#This Row],[FECHA DE FACTURACIÓN]]-PROVEEDORES[[#This Row],[PLAZO Días]],0)</f>
        <v>0</v>
      </c>
      <c r="U324" s="97">
        <f>+VLOOKUP(PROVEEDORES[[#This Row],[PROVEEDOR]],Terceros!$A:$D,4,FALSE)</f>
        <v>0</v>
      </c>
      <c r="V324" s="98">
        <f>+YEAR(PROVEEDORES[[#This Row],[FECHA DE FACTURACIÓN]])</f>
        <v>2023</v>
      </c>
      <c r="W324" s="98">
        <f>+MATCH(PROVEEDORES[[#This Row],[año facturado]],Retenciones!$1:$1,0)</f>
        <v>6</v>
      </c>
      <c r="X324" s="99">
        <f>+VLOOKUP(PROVEEDORES[[#This Row],[ID RETENCION]],Retenciones!$A$1:$O$25,PROVEEDORES[[#This Row],[indicador de columna]],FALSE)</f>
        <v>0</v>
      </c>
      <c r="Y324" s="100">
        <f>+VLOOKUP(PROVEEDORES[[#This Row],[ID RETENCION]],Retenciones!$A$1:$O$25,2,FALSE)</f>
        <v>0</v>
      </c>
      <c r="Z324" s="103" t="b">
        <f>OR(COUNTIF(PROVEEDORES[[#This Row],[PROVEEDOR]],"*"&amp;'Palabra no opera'!$A$2&amp;"*"))</f>
        <v>0</v>
      </c>
    </row>
    <row r="325" spans="1:26" ht="22.35" customHeight="1" x14ac:dyDescent="0.25">
      <c r="A325" s="265" t="str">
        <f>+IF(PROVEEDORES[[#This Row],[FECHA DE PAGO]]=PROVEEDORES[[#This Row],[FECHA DE FACTURACIÓN]],"DE CONTADO","CRÉDITO")</f>
        <v>CRÉDITO</v>
      </c>
      <c r="B325" s="38" t="b">
        <f>+IF((PROVEEDORES[[#This Row],[FECHA DE PAGO]]-PROVEEDORES[[#This Row],[FECHA DE FACTURACIÓN]])&gt;PROVEEDORES[[#This Row],[PLAZO Días]],"PAGO VENCIDO")</f>
        <v>0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-2000</v>
      </c>
      <c r="E325" s="25"/>
      <c r="F325" s="56">
        <f>+VLOOKUP(PROVEEDORES[[#This Row],[PROVEEDOR]],
                       Terceros!$A:$F,
                       5,
                       FALSE)</f>
        <v>0</v>
      </c>
      <c r="G325" s="289">
        <v>45264</v>
      </c>
      <c r="H325" s="26" t="s">
        <v>881</v>
      </c>
      <c r="I325" s="289">
        <v>45261</v>
      </c>
      <c r="J325" s="35" t="s">
        <v>1345</v>
      </c>
      <c r="K325" s="21">
        <v>534000</v>
      </c>
      <c r="L325" s="21"/>
      <c r="M325" s="22">
        <f>(PROVEEDORES[[#This Row],[SUBTOTAL]]-PROVEEDORES[[#This Row],[descuento sobre subtotal]])*VLOOKUP(PROVEEDORES[[#This Row],[PROVEEDOR]],TERCEROS_INFO[#All],3,FALSE)</f>
        <v>0</v>
      </c>
      <c r="N325" s="23"/>
      <c r="O325" s="22">
        <f>+PROVEEDORES[[#This Row],[Descuento sobre subtotal %]]*(PROVEEDORES[[#This Row],[SUBTOTAL]]-PROVEEDORES[[#This Row],[descuento sobre subtotal]])</f>
        <v>0</v>
      </c>
      <c r="P325" s="72">
        <f>+IF(PROVEEDORES[[#This Row],[SUBTOTAL]]&lt;PROVEEDORES[[#This Row],[base retencion]],0,PROVEEDORES[[#This Row],[retención aplicada]])</f>
        <v>0</v>
      </c>
      <c r="Q325" s="22">
        <f>+PROVEEDORES[[#This Row],[Rete Fuente %]]*(PROVEEDORES[[#This Row],[SUBTOTAL]]-PROVEEDORES[[#This Row],[descuento sobre subtotal]])</f>
        <v>0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325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1">
        <f ca="1">IF(PROVEEDORES[[#This Row],[FECHA DE PAGO]]=0,TODAY()-PROVEEDORES[[#This Row],[FECHA DE FACTURACIÓN]]-PROVEEDORES[[#This Row],[PLAZO Días]],0)</f>
        <v>0</v>
      </c>
      <c r="U325" s="97">
        <f>+VLOOKUP(PROVEEDORES[[#This Row],[PROVEEDOR]],Terceros!$A:$D,4,FALSE)</f>
        <v>0</v>
      </c>
      <c r="V325" s="98">
        <f>+YEAR(PROVEEDORES[[#This Row],[FECHA DE FACTURACIÓN]])</f>
        <v>2023</v>
      </c>
      <c r="W325" s="98">
        <f>+MATCH(PROVEEDORES[[#This Row],[año facturado]],Retenciones!$1:$1,0)</f>
        <v>6</v>
      </c>
      <c r="X325" s="99">
        <f>+VLOOKUP(PROVEEDORES[[#This Row],[ID RETENCION]],Retenciones!$A$1:$O$25,PROVEEDORES[[#This Row],[indicador de columna]],FALSE)</f>
        <v>0</v>
      </c>
      <c r="Y325" s="100">
        <f>+VLOOKUP(PROVEEDORES[[#This Row],[ID RETENCION]],Retenciones!$A$1:$O$25,2,FALSE)</f>
        <v>0</v>
      </c>
      <c r="Z325" s="103" t="b">
        <f>OR(COUNTIF(PROVEEDORES[[#This Row],[PROVEEDOR]],"*"&amp;'Palabra no opera'!$A$2&amp;"*"))</f>
        <v>0</v>
      </c>
    </row>
    <row r="326" spans="1:26" ht="22.35" customHeight="1" x14ac:dyDescent="0.25">
      <c r="A326" s="65" t="str">
        <f>+IF(PROVEEDORES[[#This Row],[FECHA DE PAGO]]=PROVEEDORES[[#This Row],[FECHA DE FACTURACIÓN]],"DE CONTADO","CRÉDITO")</f>
        <v>CRÉDITO</v>
      </c>
      <c r="B326" s="38" t="b">
        <f>+IF((PROVEEDORES[[#This Row],[FECHA DE PAGO]]-PROVEEDORES[[#This Row],[FECHA DE FACTURACIÓN]])&gt;PROVEEDORES[[#This Row],[PLAZO Días]],"PAGO VENCIDO")</f>
        <v>0</v>
      </c>
      <c r="C326" s="20">
        <f>+VLOOKUP(PROVEEDORES[[#This Row],[PROVEEDOR]],TERCEROS_INFO[#All],2,FALSE)</f>
        <v>30</v>
      </c>
      <c r="D326" s="25">
        <f>+SUMIFS(PROVEEDORES[Total],PROVEEDORES[PROVEEDOR],PROVEEDORES[[#This Row],[PROVEEDOR]],PROVEEDORES[FECHA DE PAGO],"")</f>
        <v>-2000</v>
      </c>
      <c r="E326" s="25"/>
      <c r="F326" s="56">
        <f>+VLOOKUP(PROVEEDORES[[#This Row],[PROVEEDOR]],
                       Terceros!$A:$F,
                       5,
                       FALSE)</f>
        <v>0</v>
      </c>
      <c r="G326" s="289">
        <v>45280</v>
      </c>
      <c r="H326" s="26" t="s">
        <v>881</v>
      </c>
      <c r="I326" s="289">
        <v>45278</v>
      </c>
      <c r="J326" s="35" t="s">
        <v>1393</v>
      </c>
      <c r="K326" s="21">
        <v>500000</v>
      </c>
      <c r="L326" s="21"/>
      <c r="M326" s="22">
        <f>(PROVEEDORES[[#This Row],[SUBTOTAL]]-PROVEEDORES[[#This Row],[descuento sobre subtotal]])*VLOOKUP(PROVEEDORES[[#This Row],[PROVEEDOR]],TERCEROS_INFO[#All],3,FALSE)</f>
        <v>0</v>
      </c>
      <c r="N326" s="23"/>
      <c r="O326" s="22">
        <f>+PROVEEDORES[[#This Row],[Descuento sobre subtotal %]]*(PROVEEDORES[[#This Row],[SUBTOTAL]]-PROVEEDORES[[#This Row],[descuento sobre subtotal]])</f>
        <v>0</v>
      </c>
      <c r="P326" s="72">
        <f>+IF(PROVEEDORES[[#This Row],[SUBTOTAL]]&lt;PROVEEDORES[[#This Row],[base retencion]],0,PROVEEDORES[[#This Row],[retención aplicada]])</f>
        <v>0</v>
      </c>
      <c r="Q326" s="22">
        <f>+PROVEEDORES[[#This Row],[Rete Fuente %]]*(PROVEEDORES[[#This Row],[SUBTOTAL]]-PROVEEDORES[[#This Row],[descuento sobre subtotal]])</f>
        <v>0</v>
      </c>
      <c r="R326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3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1">
        <f ca="1">IF(PROVEEDORES[[#This Row],[FECHA DE PAGO]]=0,TODAY()-PROVEEDORES[[#This Row],[FECHA DE FACTURACIÓN]]-PROVEEDORES[[#This Row],[PLAZO Días]],0)</f>
        <v>0</v>
      </c>
      <c r="U326" s="97">
        <f>+VLOOKUP(PROVEEDORES[[#This Row],[PROVEEDOR]],Terceros!$A:$D,4,FALSE)</f>
        <v>0</v>
      </c>
      <c r="V326" s="98">
        <f>+YEAR(PROVEEDORES[[#This Row],[FECHA DE FACTURACIÓN]])</f>
        <v>2023</v>
      </c>
      <c r="W326" s="98">
        <f>+MATCH(PROVEEDORES[[#This Row],[año facturado]],Retenciones!$1:$1,0)</f>
        <v>6</v>
      </c>
      <c r="X326" s="99">
        <f>+VLOOKUP(PROVEEDORES[[#This Row],[ID RETENCION]],Retenciones!$A$1:$O$25,PROVEEDORES[[#This Row],[indicador de columna]],FALSE)</f>
        <v>0</v>
      </c>
      <c r="Y326" s="100">
        <f>+VLOOKUP(PROVEEDORES[[#This Row],[ID RETENCION]],Retenciones!$A$1:$O$25,2,FALSE)</f>
        <v>0</v>
      </c>
      <c r="Z326" s="103" t="b">
        <f>OR(COUNTIF(PROVEEDORES[[#This Row],[PROVEEDOR]],"*"&amp;'Palabra no opera'!$A$2&amp;"*"))</f>
        <v>0</v>
      </c>
    </row>
    <row r="327" spans="1:26" ht="22.35" customHeight="1" x14ac:dyDescent="0.25">
      <c r="A327" s="65" t="str">
        <f>+IF(PROVEEDORES[[#This Row],[FECHA DE PAGO]]=PROVEEDORES[[#This Row],[FECHA DE FACTURACIÓN]],"DE CONTADO","CRÉDITO")</f>
        <v>DE CONTADO</v>
      </c>
      <c r="B327" s="38" t="b">
        <f>+IF((PROVEEDORES[[#This Row],[FECHA DE PAGO]]-PROVEEDORES[[#This Row],[FECHA DE FACTURACIÓN]])&gt;PROVEEDORES[[#This Row],[PLAZO Días]],"PAGO VENCIDO")</f>
        <v>0</v>
      </c>
      <c r="C327" s="20">
        <f>+VLOOKUP(PROVEEDORES[[#This Row],[PROVEEDOR]],TERCEROS_INFO[#All],2,FALSE)</f>
        <v>30</v>
      </c>
      <c r="D327" s="25">
        <f>+SUMIFS(PROVEEDORES[Total],PROVEEDORES[PROVEEDOR],PROVEEDORES[[#This Row],[PROVEEDOR]],PROVEEDORES[FECHA DE PAGO],"")</f>
        <v>-2000</v>
      </c>
      <c r="E327" s="25"/>
      <c r="F327" s="56">
        <f>+VLOOKUP(PROVEEDORES[[#This Row],[PROVEEDOR]],
                       Terceros!$A:$F,
                       5,
                       FALSE)</f>
        <v>0</v>
      </c>
      <c r="G327" s="289">
        <v>45288</v>
      </c>
      <c r="H327" s="26" t="s">
        <v>881</v>
      </c>
      <c r="I327" s="289">
        <v>45288</v>
      </c>
      <c r="J327" s="35" t="s">
        <v>1442</v>
      </c>
      <c r="K327" s="21">
        <v>248000</v>
      </c>
      <c r="L327" s="21"/>
      <c r="M327" s="22">
        <f>(PROVEEDORES[[#This Row],[SUBTOTAL]]-PROVEEDORES[[#This Row],[descuento sobre subtotal]])*VLOOKUP(PROVEEDORES[[#This Row],[PROVEEDOR]],TERCEROS_INFO[#All],3,FALSE)</f>
        <v>0</v>
      </c>
      <c r="N327" s="23"/>
      <c r="O327" s="22">
        <f>+PROVEEDORES[[#This Row],[Descuento sobre subtotal %]]*(PROVEEDORES[[#This Row],[SUBTOTAL]]-PROVEEDORES[[#This Row],[descuento sobre subtotal]])</f>
        <v>0</v>
      </c>
      <c r="P327" s="72">
        <f>+IF(PROVEEDORES[[#This Row],[SUBTOTAL]]&lt;PROVEEDORES[[#This Row],[base retencion]],0,PROVEEDORES[[#This Row],[retención aplicada]])</f>
        <v>0</v>
      </c>
      <c r="Q327" s="22">
        <f>+PROVEEDORES[[#This Row],[Rete Fuente %]]*(PROVEEDORES[[#This Row],[SUBTOTAL]]-PROVEEDORES[[#This Row],[descuento sobre subtotal]])</f>
        <v>0</v>
      </c>
      <c r="R327" s="21">
        <f>+PROVEEDORES[[#This Row],[SUBTOTAL]]+PROVEEDORES[[#This Row],[IVA 19%]]-PROVEEDORES[[#This Row],[descuento sobre subtotal]]-PROVEEDORES[[#This Row],[Descuento sobre subtotal $2]]-PROVEEDORES[[#This Row],[Rete Fuente $]]</f>
        <v>248000</v>
      </c>
      <c r="S3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1">
        <f ca="1">IF(PROVEEDORES[[#This Row],[FECHA DE PAGO]]=0,TODAY()-PROVEEDORES[[#This Row],[FECHA DE FACTURACIÓN]]-PROVEEDORES[[#This Row],[PLAZO Días]],0)</f>
        <v>0</v>
      </c>
      <c r="U327" s="97">
        <f>+VLOOKUP(PROVEEDORES[[#This Row],[PROVEEDOR]],Terceros!$A:$D,4,FALSE)</f>
        <v>0</v>
      </c>
      <c r="V327" s="98">
        <f>+YEAR(PROVEEDORES[[#This Row],[FECHA DE FACTURACIÓN]])</f>
        <v>2023</v>
      </c>
      <c r="W327" s="98">
        <f>+MATCH(PROVEEDORES[[#This Row],[año facturado]],Retenciones!$1:$1,0)</f>
        <v>6</v>
      </c>
      <c r="X327" s="99">
        <f>+VLOOKUP(PROVEEDORES[[#This Row],[ID RETENCION]],Retenciones!$A$1:$O$25,PROVEEDORES[[#This Row],[indicador de columna]],FALSE)</f>
        <v>0</v>
      </c>
      <c r="Y327" s="100">
        <f>+VLOOKUP(PROVEEDORES[[#This Row],[ID RETENCION]],Retenciones!$A$1:$O$25,2,FALSE)</f>
        <v>0</v>
      </c>
      <c r="Z327" s="103" t="b">
        <f>OR(COUNTIF(PROVEEDORES[[#This Row],[PROVEEDOR]],"*"&amp;'Palabra no opera'!$A$2&amp;"*"))</f>
        <v>0</v>
      </c>
    </row>
    <row r="328" spans="1:26" ht="22.35" customHeight="1" x14ac:dyDescent="0.25">
      <c r="A328" s="310" t="str">
        <f>+IF(PROVEEDORES[[#This Row],[FECHA DE PAGO]]=PROVEEDORES[[#This Row],[FECHA DE FACTURACIÓN]],"DE CONTADO","CRÉDITO")</f>
        <v>CRÉDITO</v>
      </c>
      <c r="B328" s="38" t="b">
        <f>+IF((PROVEEDORES[[#This Row],[FECHA DE PAGO]]-PROVEEDORES[[#This Row],[FECHA DE FACTURACIÓN]])&gt;PROVEEDORES[[#This Row],[PLAZO Días]],"PAGO VENCIDO")</f>
        <v>0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-2000</v>
      </c>
      <c r="E328" s="25"/>
      <c r="F328" s="56">
        <f>+VLOOKUP(PROVEEDORES[[#This Row],[PROVEEDOR]],
                       Terceros!$A:$F,
                       5,
                       FALSE)</f>
        <v>0</v>
      </c>
      <c r="G328" s="289">
        <v>45309</v>
      </c>
      <c r="H328" s="26" t="s">
        <v>881</v>
      </c>
      <c r="I328" s="289">
        <v>45307</v>
      </c>
      <c r="J328" s="35" t="s">
        <v>1503</v>
      </c>
      <c r="K328" s="21">
        <v>281000</v>
      </c>
      <c r="L328" s="21"/>
      <c r="M328" s="22">
        <f>(PROVEEDORES[[#This Row],[SUBTOTAL]]-PROVEEDORES[[#This Row],[descuento sobre subtotal]])*VLOOKUP(PROVEEDORES[[#This Row],[PROVEEDOR]],TERCEROS_INFO[#All],3,FALSE)</f>
        <v>0</v>
      </c>
      <c r="N328" s="23"/>
      <c r="O328" s="22">
        <f>+PROVEEDORES[[#This Row],[Descuento sobre subtotal %]]*(PROVEEDORES[[#This Row],[SUBTOTAL]]-PROVEEDORES[[#This Row],[descuento sobre subtotal]])</f>
        <v>0</v>
      </c>
      <c r="P328" s="72">
        <f>+IF(PROVEEDORES[[#This Row],[SUBTOTAL]]&lt;PROVEEDORES[[#This Row],[base retencion]],0,PROVEEDORES[[#This Row],[retención aplicada]])</f>
        <v>0</v>
      </c>
      <c r="Q328" s="22">
        <f>+PROVEEDORES[[#This Row],[Rete Fuente %]]*(PROVEEDORES[[#This Row],[SUBTOTAL]]-PROVEEDORES[[#This Row],[descuento sobre subtotal]])</f>
        <v>0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281000</v>
      </c>
      <c r="S32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1">
        <f ca="1">IF(PROVEEDORES[[#This Row],[FECHA DE PAGO]]=0,TODAY()-PROVEEDORES[[#This Row],[FECHA DE FACTURACIÓN]]-PROVEEDORES[[#This Row],[PLAZO Días]],0)</f>
        <v>0</v>
      </c>
      <c r="U328" s="97">
        <f>+VLOOKUP(PROVEEDORES[[#This Row],[PROVEEDOR]],Terceros!$A:$D,4,FALSE)</f>
        <v>0</v>
      </c>
      <c r="V328" s="98">
        <f>+YEAR(PROVEEDORES[[#This Row],[FECHA DE FACTURACIÓN]])</f>
        <v>2024</v>
      </c>
      <c r="W328" s="98">
        <f>+MATCH(PROVEEDORES[[#This Row],[año facturado]],Retenciones!$1:$1,0)</f>
        <v>7</v>
      </c>
      <c r="X328" s="99">
        <f>+VLOOKUP(PROVEEDORES[[#This Row],[ID RETENCION]],Retenciones!$A$1:$O$25,PROVEEDORES[[#This Row],[indicador de columna]],FALSE)</f>
        <v>0</v>
      </c>
      <c r="Y328" s="100">
        <f>+VLOOKUP(PROVEEDORES[[#This Row],[ID RETENCION]],Retenciones!$A$1:$O$25,2,FALSE)</f>
        <v>0</v>
      </c>
      <c r="Z328" s="103" t="b">
        <f>OR(COUNTIF(PROVEEDORES[[#This Row],[PROVEEDOR]],"*"&amp;'Palabra no opera'!$A$2&amp;"*"))</f>
        <v>0</v>
      </c>
    </row>
    <row r="329" spans="1:26" ht="22.35" customHeight="1" x14ac:dyDescent="0.25">
      <c r="A329" s="65" t="str">
        <f>+IF(PROVEEDORES[[#This Row],[FECHA DE PAGO]]=PROVEEDORES[[#This Row],[FECHA DE FACTURACIÓN]],"DE CONTADO","CRÉDITO")</f>
        <v>DE CONTADO</v>
      </c>
      <c r="B329" s="38" t="b">
        <f>+IF((PROVEEDORES[[#This Row],[FECHA DE PAGO]]-PROVEEDORES[[#This Row],[FECHA DE FACTURACIÓN]])&gt;PROVEEDORES[[#This Row],[PLAZO Días]],"PAGO VENCIDO")</f>
        <v>0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6" t="str">
        <f>+VLOOKUP(PROVEEDORES[[#This Row],[PROVEEDOR]],
                       Terceros!$A:$F,
                       5,
                       FALSE)</f>
        <v/>
      </c>
      <c r="G329" s="289">
        <v>44931</v>
      </c>
      <c r="H329" s="26" t="s">
        <v>311</v>
      </c>
      <c r="I329" s="289">
        <v>44931</v>
      </c>
      <c r="J329" s="35" t="s">
        <v>569</v>
      </c>
      <c r="K329" s="21">
        <v>3875760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72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3875760</v>
      </c>
      <c r="S3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1">
        <f ca="1">IF(PROVEEDORES[[#This Row],[FECHA DE PAGO]]=0,TODAY()-PROVEEDORES[[#This Row],[FECHA DE FACTURACIÓN]]-PROVEEDORES[[#This Row],[PLAZO Días]],0)</f>
        <v>0</v>
      </c>
      <c r="U329" s="97">
        <f>+VLOOKUP(PROVEEDORES[[#This Row],[PROVEEDOR]],Terceros!$A:$D,4,FALSE)</f>
        <v>0</v>
      </c>
      <c r="V329" s="98">
        <f>+YEAR(PROVEEDORES[[#This Row],[FECHA DE FACTURACIÓN]])</f>
        <v>2023</v>
      </c>
      <c r="W329" s="98">
        <f>+MATCH(PROVEEDORES[[#This Row],[año facturado]],Retenciones!$1:$1,0)</f>
        <v>6</v>
      </c>
      <c r="X329" s="99">
        <f>+VLOOKUP(PROVEEDORES[[#This Row],[ID RETENCION]],Retenciones!$A$1:$O$25,PROVEEDORES[[#This Row],[indicador de columna]],FALSE)</f>
        <v>0</v>
      </c>
      <c r="Y329" s="100">
        <f>+VLOOKUP(PROVEEDORES[[#This Row],[ID RETENCION]],Retenciones!$A$1:$O$25,2,FALSE)</f>
        <v>0</v>
      </c>
      <c r="Z329" s="103" t="b">
        <f>OR(COUNTIF(PROVEEDORES[[#This Row],[PROVEEDOR]],"*"&amp;'Palabra no opera'!$A$2&amp;"*"))</f>
        <v>0</v>
      </c>
    </row>
    <row r="330" spans="1:26" ht="22.35" customHeight="1" x14ac:dyDescent="0.25">
      <c r="A330" s="192" t="str">
        <f>+IF(PROVEEDORES[[#This Row],[FECHA DE PAGO]]=PROVEEDORES[[#This Row],[FECHA DE FACTURACIÓN]],"DE CONTADO","CRÉDITO")</f>
        <v>CRÉDITO</v>
      </c>
      <c r="B330" s="38" t="b">
        <f>+IF((PROVEEDORES[[#This Row],[FECHA DE PAGO]]-PROVEEDORES[[#This Row],[FECHA DE FACTURACIÓN]])&gt;PROVEEDORES[[#This Row],[PLAZO Días]],"PAGO VENCIDO")</f>
        <v>0</v>
      </c>
      <c r="C330" s="20">
        <f>+VLOOKUP(PROVEEDORES[[#This Row],[PROVEEDOR]],TERCEROS_INFO[#All],2,FALSE)</f>
        <v>30</v>
      </c>
      <c r="D330" s="25">
        <f>+SUMIFS(PROVEEDORES[Total],PROVEEDORES[PROVEEDOR],PROVEEDORES[[#This Row],[PROVEEDOR]],PROVEEDORES[FECHA DE PAGO],"")</f>
        <v>0</v>
      </c>
      <c r="E330" s="25"/>
      <c r="F330" s="56" t="str">
        <f>+VLOOKUP(PROVEEDORES[[#This Row],[PROVEEDOR]],
                       Terceros!$A:$F,
                       5,
                       FALSE)</f>
        <v/>
      </c>
      <c r="G330" s="289">
        <v>45031</v>
      </c>
      <c r="H330" s="26" t="s">
        <v>311</v>
      </c>
      <c r="I330" s="289">
        <v>45030</v>
      </c>
      <c r="J330" s="35">
        <v>681860</v>
      </c>
      <c r="K330" s="21">
        <v>3556280</v>
      </c>
      <c r="L330" s="21"/>
      <c r="M330" s="22">
        <f>(PROVEEDORES[[#This Row],[SUBTOTAL]]-PROVEEDORES[[#This Row],[descuento sobre subtotal]])*VLOOKUP(PROVEEDORES[[#This Row],[PROVEEDOR]],TERCEROS_INFO[#All],3,FALSE)</f>
        <v>0</v>
      </c>
      <c r="N330" s="23"/>
      <c r="O330" s="22">
        <f>+PROVEEDORES[[#This Row],[Descuento sobre subtotal %]]*(PROVEEDORES[[#This Row],[SUBTOTAL]]-PROVEEDORES[[#This Row],[descuento sobre subtotal]])</f>
        <v>0</v>
      </c>
      <c r="P330" s="72">
        <f>+IF(PROVEEDORES[[#This Row],[SUBTOTAL]]&lt;PROVEEDORES[[#This Row],[base retencion]],0,PROVEEDORES[[#This Row],[retención aplicada]])</f>
        <v>0</v>
      </c>
      <c r="Q330" s="22">
        <f>+PROVEEDORES[[#This Row],[Rete Fuente %]]*(PROVEEDORES[[#This Row],[SUBTOTAL]]-PROVEEDORES[[#This Row],[descuento sobre subtotal]])</f>
        <v>0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3556280</v>
      </c>
      <c r="S33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1">
        <f ca="1">IF(PROVEEDORES[[#This Row],[FECHA DE PAGO]]=0,TODAY()-PROVEEDORES[[#This Row],[FECHA DE FACTURACIÓN]]-PROVEEDORES[[#This Row],[PLAZO Días]],0)</f>
        <v>0</v>
      </c>
      <c r="U330" s="97">
        <f>+VLOOKUP(PROVEEDORES[[#This Row],[PROVEEDOR]],Terceros!$A:$D,4,FALSE)</f>
        <v>0</v>
      </c>
      <c r="V330" s="98">
        <f>+YEAR(PROVEEDORES[[#This Row],[FECHA DE FACTURACIÓN]])</f>
        <v>2023</v>
      </c>
      <c r="W330" s="98">
        <f>+MATCH(PROVEEDORES[[#This Row],[año facturado]],Retenciones!$1:$1,0)</f>
        <v>6</v>
      </c>
      <c r="X330" s="99">
        <f>+VLOOKUP(PROVEEDORES[[#This Row],[ID RETENCION]],Retenciones!$A$1:$O$25,PROVEEDORES[[#This Row],[indicador de columna]],FALSE)</f>
        <v>0</v>
      </c>
      <c r="Y330" s="100">
        <f>+VLOOKUP(PROVEEDORES[[#This Row],[ID RETENCION]],Retenciones!$A$1:$O$25,2,FALSE)</f>
        <v>0</v>
      </c>
      <c r="Z330" s="103" t="b">
        <f>OR(COUNTIF(PROVEEDORES[[#This Row],[PROVEEDOR]],"*"&amp;'Palabra no opera'!$A$2&amp;"*"))</f>
        <v>0</v>
      </c>
    </row>
    <row r="331" spans="1:26" ht="22.35" customHeight="1" x14ac:dyDescent="0.25">
      <c r="A331" s="65" t="str">
        <f>+IF(PROVEEDORES[[#This Row],[FECHA DE PAGO]]=PROVEEDORES[[#This Row],[FECHA DE FACTURACIÓN]],"DE CONTADO","CRÉDITO")</f>
        <v>CRÉDITO</v>
      </c>
      <c r="B331" s="38" t="b">
        <f>+IF((PROVEEDORES[[#This Row],[FECHA DE PAGO]]-PROVEEDORES[[#This Row],[FECHA DE FACTURACIÓN]])&gt;PROVEEDORES[[#This Row],[PLAZO Días]],"PAGO VENCIDO")</f>
        <v>0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0</v>
      </c>
      <c r="E331" s="25"/>
      <c r="F331" s="56" t="str">
        <f>+VLOOKUP(PROVEEDORES[[#This Row],[PROVEEDOR]],
                       Terceros!$A:$F,
                       5,
                       FALSE)</f>
        <v/>
      </c>
      <c r="G331" s="289">
        <v>45142</v>
      </c>
      <c r="H331" s="26" t="s">
        <v>311</v>
      </c>
      <c r="I331" s="289">
        <v>45141</v>
      </c>
      <c r="J331" s="35" t="s">
        <v>1010</v>
      </c>
      <c r="K331" s="21">
        <v>2713360</v>
      </c>
      <c r="L331" s="21"/>
      <c r="M331" s="22">
        <f>(PROVEEDORES[[#This Row],[SUBTOTAL]]-PROVEEDORES[[#This Row],[descuento sobre subtotal]])*VLOOKUP(PROVEEDORES[[#This Row],[PROVEEDOR]],TERCEROS_INFO[#All],3,FALSE)</f>
        <v>0</v>
      </c>
      <c r="N331" s="23"/>
      <c r="O331" s="22">
        <f>+PROVEEDORES[[#This Row],[Descuento sobre subtotal %]]*(PROVEEDORES[[#This Row],[SUBTOTAL]]-PROVEEDORES[[#This Row],[descuento sobre subtotal]])</f>
        <v>0</v>
      </c>
      <c r="P331" s="72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2713360</v>
      </c>
      <c r="S3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1">
        <f ca="1">IF(PROVEEDORES[[#This Row],[FECHA DE PAGO]]=0,TODAY()-PROVEEDORES[[#This Row],[FECHA DE FACTURACIÓN]]-PROVEEDORES[[#This Row],[PLAZO Días]],0)</f>
        <v>0</v>
      </c>
      <c r="U331" s="97">
        <f>+VLOOKUP(PROVEEDORES[[#This Row],[PROVEEDOR]],Terceros!$A:$D,4,FALSE)</f>
        <v>0</v>
      </c>
      <c r="V331" s="98">
        <f>+YEAR(PROVEEDORES[[#This Row],[FECHA DE FACTURACIÓN]])</f>
        <v>2023</v>
      </c>
      <c r="W331" s="98">
        <f>+MATCH(PROVEEDORES[[#This Row],[año facturado]],Retenciones!$1:$1,0)</f>
        <v>6</v>
      </c>
      <c r="X331" s="99">
        <f>+VLOOKUP(PROVEEDORES[[#This Row],[ID RETENCION]],Retenciones!$A$1:$O$25,PROVEEDORES[[#This Row],[indicador de columna]],FALSE)</f>
        <v>0</v>
      </c>
      <c r="Y331" s="100">
        <f>+VLOOKUP(PROVEEDORES[[#This Row],[ID RETENCION]],Retenciones!$A$1:$O$25,2,FALSE)</f>
        <v>0</v>
      </c>
      <c r="Z331" s="103" t="b">
        <f>OR(COUNTIF(PROVEEDORES[[#This Row],[PROVEEDOR]],"*"&amp;'Palabra no opera'!$A$2&amp;"*"))</f>
        <v>0</v>
      </c>
    </row>
    <row r="332" spans="1:26" ht="22.35" customHeight="1" x14ac:dyDescent="0.25">
      <c r="A332" s="243" t="str">
        <f>+IF(PROVEEDORES[[#This Row],[FECHA DE PAGO]]=PROVEEDORES[[#This Row],[FECHA DE FACTURACIÓN]],"DE CONTADO","CRÉDITO")</f>
        <v>DE CONTADO</v>
      </c>
      <c r="B332" s="38" t="b">
        <f>+IF((PROVEEDORES[[#This Row],[FECHA DE PAGO]]-PROVEEDORES[[#This Row],[FECHA DE FACTURACIÓN]])&gt;PROVEEDORES[[#This Row],[PLAZO Días]],"PAGO VENCIDO")</f>
        <v>0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0</v>
      </c>
      <c r="E332" s="25"/>
      <c r="F332" s="56" t="str">
        <f>+VLOOKUP(PROVEEDORES[[#This Row],[PROVEEDOR]],
                       Terceros!$A:$F,
                       5,
                       FALSE)</f>
        <v/>
      </c>
      <c r="G332" s="289">
        <v>45175</v>
      </c>
      <c r="H332" s="26" t="s">
        <v>311</v>
      </c>
      <c r="I332" s="289">
        <v>45175</v>
      </c>
      <c r="J332" s="35" t="s">
        <v>1158</v>
      </c>
      <c r="K332" s="21">
        <v>1676636</v>
      </c>
      <c r="L332" s="21"/>
      <c r="M332" s="22">
        <f>(PROVEEDORES[[#This Row],[SUBTOTAL]]-PROVEEDORES[[#This Row],[descuento sobre subtotal]])*VLOOKUP(PROVEEDORES[[#This Row],[PROVEEDOR]],TERCEROS_INFO[#All],3,FALSE)</f>
        <v>0</v>
      </c>
      <c r="N332" s="23"/>
      <c r="O332" s="22">
        <f>+PROVEEDORES[[#This Row],[Descuento sobre subtotal %]]*(PROVEEDORES[[#This Row],[SUBTOTAL]]-PROVEEDORES[[#This Row],[descuento sobre subtotal]])</f>
        <v>0</v>
      </c>
      <c r="P332" s="72">
        <f>+IF(PROVEEDORES[[#This Row],[SUBTOTAL]]&lt;PROVEEDORES[[#This Row],[base retencion]],0,PROVEEDORES[[#This Row],[retención aplicada]])</f>
        <v>0</v>
      </c>
      <c r="Q332" s="22">
        <f>+PROVEEDORES[[#This Row],[Rete Fuente %]]*(PROVEEDORES[[#This Row],[SUBTOTAL]]-PROVEEDORES[[#This Row],[descuento sobre subtotal]])</f>
        <v>0</v>
      </c>
      <c r="R332" s="21">
        <f>+PROVEEDORES[[#This Row],[SUBTOTAL]]+PROVEEDORES[[#This Row],[IVA 19%]]-PROVEEDORES[[#This Row],[descuento sobre subtotal]]-PROVEEDORES[[#This Row],[Descuento sobre subtotal $2]]-PROVEEDORES[[#This Row],[Rete Fuente $]]</f>
        <v>1676636</v>
      </c>
      <c r="S332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1">
        <f ca="1">IF(PROVEEDORES[[#This Row],[FECHA DE PAGO]]=0,TODAY()-PROVEEDORES[[#This Row],[FECHA DE FACTURACIÓN]]-PROVEEDORES[[#This Row],[PLAZO Días]],0)</f>
        <v>0</v>
      </c>
      <c r="U332" s="97">
        <f>+VLOOKUP(PROVEEDORES[[#This Row],[PROVEEDOR]],Terceros!$A:$D,4,FALSE)</f>
        <v>0</v>
      </c>
      <c r="V332" s="98">
        <f>+YEAR(PROVEEDORES[[#This Row],[FECHA DE FACTURACIÓN]])</f>
        <v>2023</v>
      </c>
      <c r="W332" s="98">
        <f>+MATCH(PROVEEDORES[[#This Row],[año facturado]],Retenciones!$1:$1,0)</f>
        <v>6</v>
      </c>
      <c r="X332" s="99">
        <f>+VLOOKUP(PROVEEDORES[[#This Row],[ID RETENCION]],Retenciones!$A$1:$O$25,PROVEEDORES[[#This Row],[indicador de columna]],FALSE)</f>
        <v>0</v>
      </c>
      <c r="Y332" s="100">
        <f>+VLOOKUP(PROVEEDORES[[#This Row],[ID RETENCION]],Retenciones!$A$1:$O$25,2,FALSE)</f>
        <v>0</v>
      </c>
      <c r="Z332" s="103" t="b">
        <f>OR(COUNTIF(PROVEEDORES[[#This Row],[PROVEEDOR]],"*"&amp;'Palabra no opera'!$A$2&amp;"*"))</f>
        <v>0</v>
      </c>
    </row>
    <row r="333" spans="1:26" ht="22.35" customHeight="1" x14ac:dyDescent="0.25">
      <c r="A333" s="65" t="str">
        <f>+IF(PROVEEDORES[[#This Row],[FECHA DE PAGO]]=PROVEEDORES[[#This Row],[FECHA DE FACTURACIÓN]],"DE CONTADO","CRÉDITO")</f>
        <v>CRÉDITO</v>
      </c>
      <c r="B333" s="38" t="b">
        <f>+IF((PROVEEDORES[[#This Row],[FECHA DE PAGO]]-PROVEEDORES[[#This Row],[FECHA DE FACTURACIÓN]])&gt;PROVEEDORES[[#This Row],[PLAZO Días]],"PAGO VENCIDO")</f>
        <v>0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6" t="str">
        <f>+VLOOKUP(PROVEEDORES[[#This Row],[PROVEEDOR]],
                       Terceros!$A:$F,
                       5,
                       FALSE)</f>
        <v/>
      </c>
      <c r="G333" s="289">
        <v>45202</v>
      </c>
      <c r="H333" s="26" t="s">
        <v>311</v>
      </c>
      <c r="I333" s="289">
        <v>45201</v>
      </c>
      <c r="J333" s="35" t="s">
        <v>1205</v>
      </c>
      <c r="K333" s="21">
        <v>1921000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72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f>+PROVEEDORES[[#This Row],[SUBTOTAL]]+PROVEEDORES[[#This Row],[IVA 19%]]-PROVEEDORES[[#This Row],[descuento sobre subtotal]]-PROVEEDORES[[#This Row],[Descuento sobre subtotal $2]]-PROVEEDORES[[#This Row],[Rete Fuente $]]</f>
        <v>1921000</v>
      </c>
      <c r="S3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1">
        <f ca="1">IF(PROVEEDORES[[#This Row],[FECHA DE PAGO]]=0,TODAY()-PROVEEDORES[[#This Row],[FECHA DE FACTURACIÓN]]-PROVEEDORES[[#This Row],[PLAZO Días]],0)</f>
        <v>0</v>
      </c>
      <c r="U333" s="97">
        <f>+VLOOKUP(PROVEEDORES[[#This Row],[PROVEEDOR]],Terceros!$A:$D,4,FALSE)</f>
        <v>0</v>
      </c>
      <c r="V333" s="98">
        <f>+YEAR(PROVEEDORES[[#This Row],[FECHA DE FACTURACIÓN]])</f>
        <v>2023</v>
      </c>
      <c r="W333" s="98">
        <f>+MATCH(PROVEEDORES[[#This Row],[año facturado]],Retenciones!$1:$1,0)</f>
        <v>6</v>
      </c>
      <c r="X333" s="99">
        <f>+VLOOKUP(PROVEEDORES[[#This Row],[ID RETENCION]],Retenciones!$A$1:$O$25,PROVEEDORES[[#This Row],[indicador de columna]],FALSE)</f>
        <v>0</v>
      </c>
      <c r="Y333" s="100">
        <f>+VLOOKUP(PROVEEDORES[[#This Row],[ID RETENCION]],Retenciones!$A$1:$O$25,2,FALSE)</f>
        <v>0</v>
      </c>
      <c r="Z333" s="103" t="b">
        <f>OR(COUNTIF(PROVEEDORES[[#This Row],[PROVEEDOR]],"*"&amp;'Palabra no opera'!$A$2&amp;"*"))</f>
        <v>0</v>
      </c>
    </row>
    <row r="334" spans="1:26" ht="22.35" customHeight="1" x14ac:dyDescent="0.25">
      <c r="A334" s="65" t="str">
        <f>+IF(PROVEEDORES[[#This Row],[FECHA DE PAGO]]=PROVEEDORES[[#This Row],[FECHA DE FACTURACIÓN]],"DE CONTADO","CRÉDITO")</f>
        <v>DE CONTADO</v>
      </c>
      <c r="B334" s="38" t="b">
        <f>+IF((PROVEEDORES[[#This Row],[FECHA DE PAGO]]-PROVEEDORES[[#This Row],[FECHA DE FACTURACIÓN]])&gt;PROVEEDORES[[#This Row],[PLAZO Días]],"PAGO VENCIDO")</f>
        <v>0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6" t="str">
        <f>+VLOOKUP(PROVEEDORES[[#This Row],[PROVEEDOR]],
                       Terceros!$A:$F,
                       5,
                       FALSE)</f>
        <v/>
      </c>
      <c r="G334" s="289">
        <v>45231</v>
      </c>
      <c r="H334" s="26" t="s">
        <v>311</v>
      </c>
      <c r="I334" s="289">
        <v>45231</v>
      </c>
      <c r="J334" s="35" t="s">
        <v>1328</v>
      </c>
      <c r="K334" s="21">
        <v>1234000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72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f>+PROVEEDORES[[#This Row],[SUBTOTAL]]+PROVEEDORES[[#This Row],[IVA 19%]]-PROVEEDORES[[#This Row],[descuento sobre subtotal]]-PROVEEDORES[[#This Row],[Descuento sobre subtotal $2]]-PROVEEDORES[[#This Row],[Rete Fuente $]]</f>
        <v>1234000</v>
      </c>
      <c r="S3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1">
        <f ca="1">IF(PROVEEDORES[[#This Row],[FECHA DE PAGO]]=0,TODAY()-PROVEEDORES[[#This Row],[FECHA DE FACTURACIÓN]]-PROVEEDORES[[#This Row],[PLAZO Días]],0)</f>
        <v>0</v>
      </c>
      <c r="U334" s="97">
        <f>+VLOOKUP(PROVEEDORES[[#This Row],[PROVEEDOR]],Terceros!$A:$D,4,FALSE)</f>
        <v>0</v>
      </c>
      <c r="V334" s="98">
        <f>+YEAR(PROVEEDORES[[#This Row],[FECHA DE FACTURACIÓN]])</f>
        <v>2023</v>
      </c>
      <c r="W334" s="98">
        <f>+MATCH(PROVEEDORES[[#This Row],[año facturado]],Retenciones!$1:$1,0)</f>
        <v>6</v>
      </c>
      <c r="X334" s="99">
        <f>+VLOOKUP(PROVEEDORES[[#This Row],[ID RETENCION]],Retenciones!$A$1:$O$25,PROVEEDORES[[#This Row],[indicador de columna]],FALSE)</f>
        <v>0</v>
      </c>
      <c r="Y334" s="100">
        <f>+VLOOKUP(PROVEEDORES[[#This Row],[ID RETENCION]],Retenciones!$A$1:$O$25,2,FALSE)</f>
        <v>0</v>
      </c>
      <c r="Z334" s="103" t="b">
        <f>OR(COUNTIF(PROVEEDORES[[#This Row],[PROVEEDOR]],"*"&amp;'Palabra no opera'!$A$2&amp;"*"))</f>
        <v>0</v>
      </c>
    </row>
    <row r="335" spans="1:26" ht="22.35" customHeight="1" x14ac:dyDescent="0.25">
      <c r="A335" s="65" t="str">
        <f>+IF(PROVEEDORES[[#This Row],[FECHA DE PAGO]]=PROVEEDORES[[#This Row],[FECHA DE FACTURACIÓN]],"DE CONTADO","CRÉDITO")</f>
        <v>CRÉDITO</v>
      </c>
      <c r="B335" s="38" t="b">
        <f>+IF((PROVEEDORES[[#This Row],[FECHA DE PAGO]]-PROVEEDORES[[#This Row],[FECHA DE FACTURACIÓN]])&gt;PROVEEDORES[[#This Row],[PLAZO Días]],"PAGO VENCIDO")</f>
        <v>0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0</v>
      </c>
      <c r="E335" s="25"/>
      <c r="F335" s="56" t="str">
        <f>+VLOOKUP(PROVEEDORES[[#This Row],[PROVEEDOR]],
                       Terceros!$A:$F,
                       5,
                       FALSE)</f>
        <v/>
      </c>
      <c r="G335" s="289">
        <v>45261</v>
      </c>
      <c r="H335" s="26" t="s">
        <v>311</v>
      </c>
      <c r="I335" s="289">
        <v>45257</v>
      </c>
      <c r="J335" s="35" t="s">
        <v>1374</v>
      </c>
      <c r="K335" s="21">
        <v>1865344</v>
      </c>
      <c r="L335" s="21"/>
      <c r="M335" s="22">
        <f>(PROVEEDORES[[#This Row],[SUBTOTAL]]-PROVEEDORES[[#This Row],[descuento sobre subtotal]])*VLOOKUP(PROVEEDORES[[#This Row],[PROVEEDOR]],TERCEROS_INFO[#All],3,FALSE)</f>
        <v>0</v>
      </c>
      <c r="N335" s="23"/>
      <c r="O335" s="22">
        <f>+PROVEEDORES[[#This Row],[Descuento sobre subtotal %]]*(PROVEEDORES[[#This Row],[SUBTOTAL]]-PROVEEDORES[[#This Row],[descuento sobre subtotal]])</f>
        <v>0</v>
      </c>
      <c r="P335" s="72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f>+PROVEEDORES[[#This Row],[SUBTOTAL]]+PROVEEDORES[[#This Row],[IVA 19%]]-PROVEEDORES[[#This Row],[descuento sobre subtotal]]-PROVEEDORES[[#This Row],[Descuento sobre subtotal $2]]-PROVEEDORES[[#This Row],[Rete Fuente $]]</f>
        <v>1865344</v>
      </c>
      <c r="S3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1">
        <f ca="1">IF(PROVEEDORES[[#This Row],[FECHA DE PAGO]]=0,TODAY()-PROVEEDORES[[#This Row],[FECHA DE FACTURACIÓN]]-PROVEEDORES[[#This Row],[PLAZO Días]],0)</f>
        <v>0</v>
      </c>
      <c r="U335" s="97">
        <f>+VLOOKUP(PROVEEDORES[[#This Row],[PROVEEDOR]],Terceros!$A:$D,4,FALSE)</f>
        <v>0</v>
      </c>
      <c r="V335" s="98">
        <f>+YEAR(PROVEEDORES[[#This Row],[FECHA DE FACTURACIÓN]])</f>
        <v>2023</v>
      </c>
      <c r="W335" s="98">
        <f>+MATCH(PROVEEDORES[[#This Row],[año facturado]],Retenciones!$1:$1,0)</f>
        <v>6</v>
      </c>
      <c r="X335" s="99">
        <f>+VLOOKUP(PROVEEDORES[[#This Row],[ID RETENCION]],Retenciones!$A$1:$O$25,PROVEEDORES[[#This Row],[indicador de columna]],FALSE)</f>
        <v>0</v>
      </c>
      <c r="Y335" s="100">
        <f>+VLOOKUP(PROVEEDORES[[#This Row],[ID RETENCION]],Retenciones!$A$1:$O$25,2,FALSE)</f>
        <v>0</v>
      </c>
      <c r="Z335" s="103" t="b">
        <f>OR(COUNTIF(PROVEEDORES[[#This Row],[PROVEEDOR]],"*"&amp;'Palabra no opera'!$A$2&amp;"*"))</f>
        <v>0</v>
      </c>
    </row>
    <row r="336" spans="1:26" ht="22.35" customHeight="1" x14ac:dyDescent="0.25">
      <c r="A336" s="65" t="str">
        <f>+IF(PROVEEDORES[[#This Row],[FECHA DE PAGO]]=PROVEEDORES[[#This Row],[FECHA DE FACTURACIÓN]],"DE CONTADO","CRÉDITO")</f>
        <v>CRÉDITO</v>
      </c>
      <c r="B336" s="38" t="str">
        <f>+IF((PROVEEDORES[[#This Row],[FECHA DE PAGO]]-PROVEEDORES[[#This Row],[FECHA DE FACTURACIÓN]])&gt;PROVEEDORES[[#This Row],[PLAZO Días]],"PAGO VENCIDO")</f>
        <v>PAGO VENCIDO</v>
      </c>
      <c r="C336" s="20">
        <f>+VLOOKUP(PROVEEDORES[[#This Row],[PROVEEDOR]],TERCEROS_INFO[#All],2,FALSE)</f>
        <v>30</v>
      </c>
      <c r="D336" s="25">
        <f>+SUMIFS(PROVEEDORES[Total],PROVEEDORES[PROVEEDOR],PROVEEDORES[[#This Row],[PROVEEDOR]],PROVEEDORES[FECHA DE PAGO],"")</f>
        <v>4282200</v>
      </c>
      <c r="E336" s="25"/>
      <c r="F336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36" s="289">
        <v>45029</v>
      </c>
      <c r="H336" s="26" t="s">
        <v>312</v>
      </c>
      <c r="I336" s="289">
        <v>44953</v>
      </c>
      <c r="J336" s="35" t="s">
        <v>573</v>
      </c>
      <c r="K336" s="21">
        <v>1808800</v>
      </c>
      <c r="L336" s="21"/>
      <c r="M336" s="22">
        <f>(PROVEEDORES[[#This Row],[SUBTOTAL]]-PROVEEDORES[[#This Row],[descuento sobre subtotal]])*VLOOKUP(PROVEEDORES[[#This Row],[PROVEEDOR]],TERCEROS_INFO[#All],3,FALSE)</f>
        <v>0</v>
      </c>
      <c r="N336" s="23"/>
      <c r="O336" s="22">
        <f>+PROVEEDORES[[#This Row],[Descuento sobre subtotal %]]*(PROVEEDORES[[#This Row],[SUBTOTAL]]-PROVEEDORES[[#This Row],[descuento sobre subtotal]])</f>
        <v>0</v>
      </c>
      <c r="P336" s="72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1808800</v>
      </c>
      <c r="S3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1">
        <f ca="1">IF(PROVEEDORES[[#This Row],[FECHA DE PAGO]]=0,TODAY()-PROVEEDORES[[#This Row],[FECHA DE FACTURACIÓN]]-PROVEEDORES[[#This Row],[PLAZO Días]],0)</f>
        <v>0</v>
      </c>
      <c r="U336" s="97">
        <f>+VLOOKUP(PROVEEDORES[[#This Row],[PROVEEDOR]],Terceros!$A:$D,4,FALSE)</f>
        <v>0</v>
      </c>
      <c r="V336" s="98">
        <f>+YEAR(PROVEEDORES[[#This Row],[FECHA DE FACTURACIÓN]])</f>
        <v>2023</v>
      </c>
      <c r="W336" s="98">
        <f>+MATCH(PROVEEDORES[[#This Row],[año facturado]],Retenciones!$1:$1,0)</f>
        <v>6</v>
      </c>
      <c r="X336" s="99">
        <f>+VLOOKUP(PROVEEDORES[[#This Row],[ID RETENCION]],Retenciones!$A$1:$O$25,PROVEEDORES[[#This Row],[indicador de columna]],FALSE)</f>
        <v>0</v>
      </c>
      <c r="Y336" s="100">
        <f>+VLOOKUP(PROVEEDORES[[#This Row],[ID RETENCION]],Retenciones!$A$1:$O$25,2,FALSE)</f>
        <v>0</v>
      </c>
      <c r="Z336" s="103" t="b">
        <f>OR(COUNTIF(PROVEEDORES[[#This Row],[PROVEEDOR]],"*"&amp;'Palabra no opera'!$A$2&amp;"*"))</f>
        <v>0</v>
      </c>
    </row>
    <row r="337" spans="1:26" ht="22.35" customHeight="1" x14ac:dyDescent="0.25">
      <c r="A337" s="155" t="str">
        <f>+IF(PROVEEDORES[[#This Row],[FECHA DE PAGO]]=PROVEEDORES[[#This Row],[FECHA DE FACTURACIÓN]],"DE CONTADO","CRÉDITO")</f>
        <v>CRÉDITO</v>
      </c>
      <c r="B337" s="38" t="b">
        <f>+IF((PROVEEDORES[[#This Row],[FECHA DE PAGO]]-PROVEEDORES[[#This Row],[FECHA DE FACTURACIÓN]])&gt;PROVEEDORES[[#This Row],[PLAZO Días]],"PAGO VENCIDO")</f>
        <v>0</v>
      </c>
      <c r="C337" s="20">
        <f>+VLOOKUP(PROVEEDORES[[#This Row],[PROVEEDOR]],TERCEROS_INFO[#All],2,FALSE)</f>
        <v>30</v>
      </c>
      <c r="D337" s="25">
        <f>+SUMIFS(PROVEEDORES[Total],PROVEEDORES[PROVEEDOR],PROVEEDORES[[#This Row],[PROVEEDOR]],PROVEEDORES[FECHA DE PAGO],"")</f>
        <v>4282200</v>
      </c>
      <c r="E337" s="25"/>
      <c r="F33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37" s="289">
        <v>44986</v>
      </c>
      <c r="H337" s="26" t="s">
        <v>312</v>
      </c>
      <c r="I337" s="289">
        <v>44972</v>
      </c>
      <c r="J337" s="35" t="s">
        <v>634</v>
      </c>
      <c r="K337" s="21">
        <v>101500</v>
      </c>
      <c r="L337" s="21"/>
      <c r="M337" s="22">
        <f>(PROVEEDORES[[#This Row],[SUBTOTAL]]-PROVEEDORES[[#This Row],[descuento sobre subtotal]])*VLOOKUP(PROVEEDORES[[#This Row],[PROVEEDOR]],TERCEROS_INFO[#All],3,FALSE)</f>
        <v>0</v>
      </c>
      <c r="N337" s="23"/>
      <c r="O337" s="22">
        <f>+PROVEEDORES[[#This Row],[Descuento sobre subtotal %]]*(PROVEEDORES[[#This Row],[SUBTOTAL]]-PROVEEDORES[[#This Row],[descuento sobre subtotal]])</f>
        <v>0</v>
      </c>
      <c r="P337" s="72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337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1">
        <f ca="1">IF(PROVEEDORES[[#This Row],[FECHA DE PAGO]]=0,TODAY()-PROVEEDORES[[#This Row],[FECHA DE FACTURACIÓN]]-PROVEEDORES[[#This Row],[PLAZO Días]],0)</f>
        <v>0</v>
      </c>
      <c r="U337" s="97">
        <f>+VLOOKUP(PROVEEDORES[[#This Row],[PROVEEDOR]],Terceros!$A:$D,4,FALSE)</f>
        <v>0</v>
      </c>
      <c r="V337" s="98">
        <f>+YEAR(PROVEEDORES[[#This Row],[FECHA DE FACTURACIÓN]])</f>
        <v>2023</v>
      </c>
      <c r="W337" s="98">
        <f>+MATCH(PROVEEDORES[[#This Row],[año facturado]],Retenciones!$1:$1,0)</f>
        <v>6</v>
      </c>
      <c r="X337" s="99">
        <f>+VLOOKUP(PROVEEDORES[[#This Row],[ID RETENCION]],Retenciones!$A$1:$O$25,PROVEEDORES[[#This Row],[indicador de columna]],FALSE)</f>
        <v>0</v>
      </c>
      <c r="Y337" s="100">
        <f>+VLOOKUP(PROVEEDORES[[#This Row],[ID RETENCION]],Retenciones!$A$1:$O$25,2,FALSE)</f>
        <v>0</v>
      </c>
      <c r="Z337" s="103" t="b">
        <f>OR(COUNTIF(PROVEEDORES[[#This Row],[PROVEEDOR]],"*"&amp;'Palabra no opera'!$A$2&amp;"*"))</f>
        <v>0</v>
      </c>
    </row>
    <row r="338" spans="1:26" ht="22.35" customHeight="1" x14ac:dyDescent="0.25">
      <c r="A338" s="192" t="str">
        <f>+IF(PROVEEDORES[[#This Row],[FECHA DE PAGO]]=PROVEEDORES[[#This Row],[FECHA DE FACTURACIÓN]],"DE CONTADO","CRÉDITO")</f>
        <v>DE CONTADO</v>
      </c>
      <c r="B338" s="38" t="b">
        <f>+IF((PROVEEDORES[[#This Row],[FECHA DE PAGO]]-PROVEEDORES[[#This Row],[FECHA DE FACTURACIÓN]])&gt;PROVEEDORES[[#This Row],[PLAZO Días]],"PAGO VENCIDO")</f>
        <v>0</v>
      </c>
      <c r="C338" s="20">
        <f>+VLOOKUP(PROVEEDORES[[#This Row],[PROVEEDOR]],TERCEROS_INFO[#All],2,FALSE)</f>
        <v>30</v>
      </c>
      <c r="D338" s="25">
        <f>+SUMIFS(PROVEEDORES[Total],PROVEEDORES[PROVEEDOR],PROVEEDORES[[#This Row],[PROVEEDOR]],PROVEEDORES[FECHA DE PAGO],"")</f>
        <v>4282200</v>
      </c>
      <c r="E338" s="25"/>
      <c r="F338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38" s="291">
        <v>45030</v>
      </c>
      <c r="H338" s="26" t="s">
        <v>312</v>
      </c>
      <c r="I338" s="291">
        <v>45030</v>
      </c>
      <c r="J338" s="235" t="s">
        <v>1094</v>
      </c>
      <c r="K338" s="236">
        <v>89000</v>
      </c>
      <c r="L338" s="236"/>
      <c r="M338" s="237">
        <f>(PROVEEDORES[[#This Row],[SUBTOTAL]]-PROVEEDORES[[#This Row],[descuento sobre subtotal]])*VLOOKUP(PROVEEDORES[[#This Row],[PROVEEDOR]],TERCEROS_INFO[#All],3,FALSE)</f>
        <v>0</v>
      </c>
      <c r="N338" s="238"/>
      <c r="O338" s="237">
        <f>+PROVEEDORES[[#This Row],[Descuento sobre subtotal %]]*(PROVEEDORES[[#This Row],[SUBTOTAL]]-PROVEEDORES[[#This Row],[descuento sobre subtotal]])</f>
        <v>0</v>
      </c>
      <c r="P338" s="239">
        <f>+IF(PROVEEDORES[[#This Row],[SUBTOTAL]]&lt;PROVEEDORES[[#This Row],[base retencion]],0,PROVEEDORES[[#This Row],[retención aplicada]])</f>
        <v>0</v>
      </c>
      <c r="Q338" s="237">
        <f>+PROVEEDORES[[#This Row],[Rete Fuente %]]*(PROVEEDORES[[#This Row],[SUBTOTAL]]-PROVEEDORES[[#This Row],[descuento sobre subtotal]])</f>
        <v>0</v>
      </c>
      <c r="R338" s="236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33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1">
        <f ca="1">IF(PROVEEDORES[[#This Row],[FECHA DE PAGO]]=0,TODAY()-PROVEEDORES[[#This Row],[FECHA DE FACTURACIÓN]]-PROVEEDORES[[#This Row],[PLAZO Días]],0)</f>
        <v>0</v>
      </c>
      <c r="U338" s="97">
        <f>+VLOOKUP(PROVEEDORES[[#This Row],[PROVEEDOR]],Terceros!$A:$D,4,FALSE)</f>
        <v>0</v>
      </c>
      <c r="V338" s="98">
        <f>+YEAR(PROVEEDORES[[#This Row],[FECHA DE FACTURACIÓN]])</f>
        <v>2023</v>
      </c>
      <c r="W338" s="98">
        <f>+MATCH(PROVEEDORES[[#This Row],[año facturado]],Retenciones!$1:$1,0)</f>
        <v>6</v>
      </c>
      <c r="X338" s="99">
        <f>+VLOOKUP(PROVEEDORES[[#This Row],[ID RETENCION]],Retenciones!$A$1:$O$25,PROVEEDORES[[#This Row],[indicador de columna]],FALSE)</f>
        <v>0</v>
      </c>
      <c r="Y338" s="100">
        <f>+VLOOKUP(PROVEEDORES[[#This Row],[ID RETENCION]],Retenciones!$A$1:$O$25,2,FALSE)</f>
        <v>0</v>
      </c>
      <c r="Z338" s="103" t="b">
        <f>OR(COUNTIF(PROVEEDORES[[#This Row],[PROVEEDOR]],"*"&amp;'Palabra no opera'!$A$2&amp;"*"))</f>
        <v>0</v>
      </c>
    </row>
    <row r="339" spans="1:26" ht="22.35" customHeight="1" x14ac:dyDescent="0.25">
      <c r="A339" s="192" t="str">
        <f>+IF(PROVEEDORES[[#This Row],[FECHA DE PAGO]]=PROVEEDORES[[#This Row],[FECHA DE FACTURACIÓN]],"DE CONTADO","CRÉDITO")</f>
        <v>CRÉDITO</v>
      </c>
      <c r="B339" s="38" t="str">
        <f>+IF((PROVEEDORES[[#This Row],[FECHA DE PAGO]]-PROVEEDORES[[#This Row],[FECHA DE FACTURACIÓN]])&gt;PROVEEDORES[[#This Row],[PLAZO Días]],"PAGO VENCIDO")</f>
        <v>PAGO VENCIDO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4282200</v>
      </c>
      <c r="E339" s="25"/>
      <c r="F339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39" s="289">
        <v>45097</v>
      </c>
      <c r="H339" s="26" t="s">
        <v>312</v>
      </c>
      <c r="I339" s="289">
        <v>45030</v>
      </c>
      <c r="J339" s="35">
        <v>4056</v>
      </c>
      <c r="K339" s="21">
        <v>3121200</v>
      </c>
      <c r="L339" s="21"/>
      <c r="M339" s="22">
        <f>(PROVEEDORES[[#This Row],[SUBTOTAL]]-PROVEEDORES[[#This Row],[descuento sobre subtotal]])*VLOOKUP(PROVEEDORES[[#This Row],[PROVEEDOR]],TERCEROS_INFO[#All],3,FALSE)</f>
        <v>0</v>
      </c>
      <c r="N339" s="23"/>
      <c r="O339" s="22">
        <f>+PROVEEDORES[[#This Row],[Descuento sobre subtotal %]]*(PROVEEDORES[[#This Row],[SUBTOTAL]]-PROVEEDORES[[#This Row],[descuento sobre subtotal]])</f>
        <v>0</v>
      </c>
      <c r="P339" s="72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3121200</v>
      </c>
      <c r="S33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1">
        <f ca="1">IF(PROVEEDORES[[#This Row],[FECHA DE PAGO]]=0,TODAY()-PROVEEDORES[[#This Row],[FECHA DE FACTURACIÓN]]-PROVEEDORES[[#This Row],[PLAZO Días]],0)</f>
        <v>0</v>
      </c>
      <c r="U339" s="97">
        <f>+VLOOKUP(PROVEEDORES[[#This Row],[PROVEEDOR]],Terceros!$A:$D,4,FALSE)</f>
        <v>0</v>
      </c>
      <c r="V339" s="98">
        <f>+YEAR(PROVEEDORES[[#This Row],[FECHA DE FACTURACIÓN]])</f>
        <v>2023</v>
      </c>
      <c r="W339" s="98">
        <f>+MATCH(PROVEEDORES[[#This Row],[año facturado]],Retenciones!$1:$1,0)</f>
        <v>6</v>
      </c>
      <c r="X339" s="99">
        <f>+VLOOKUP(PROVEEDORES[[#This Row],[ID RETENCION]],Retenciones!$A$1:$O$25,PROVEEDORES[[#This Row],[indicador de columna]],FALSE)</f>
        <v>0</v>
      </c>
      <c r="Y339" s="100">
        <f>+VLOOKUP(PROVEEDORES[[#This Row],[ID RETENCION]],Retenciones!$A$1:$O$25,2,FALSE)</f>
        <v>0</v>
      </c>
      <c r="Z339" s="103" t="b">
        <f>OR(COUNTIF(PROVEEDORES[[#This Row],[PROVEEDOR]],"*"&amp;'Palabra no opera'!$A$2&amp;"*"))</f>
        <v>0</v>
      </c>
    </row>
    <row r="340" spans="1:26" ht="22.35" customHeight="1" x14ac:dyDescent="0.25">
      <c r="A340" s="65" t="str">
        <f>+IF(PROVEEDORES[[#This Row],[FECHA DE PAGO]]=PROVEEDORES[[#This Row],[FECHA DE FACTURACIÓN]],"DE CONTADO","CRÉDITO")</f>
        <v>CRÉDITO</v>
      </c>
      <c r="B340" s="38" t="str">
        <f>+IF((PROVEEDORES[[#This Row],[FECHA DE PAGO]]-PROVEEDORES[[#This Row],[FECHA DE FACTURACIÓN]])&gt;PROVEEDORES[[#This Row],[PLAZO Días]],"PAGO VENCIDO")</f>
        <v>PAGO VENCIDO</v>
      </c>
      <c r="C340" s="20">
        <f>+VLOOKUP(PROVEEDORES[[#This Row],[PROVEEDOR]],TERCEROS_INFO[#All],2,FALSE)</f>
        <v>30</v>
      </c>
      <c r="D340" s="25">
        <f>+SUMIFS(PROVEEDORES[Total],PROVEEDORES[PROVEEDOR],PROVEEDORES[[#This Row],[PROVEEDOR]],PROVEEDORES[FECHA DE PAGO],"")</f>
        <v>4282200</v>
      </c>
      <c r="E340" s="25"/>
      <c r="F34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0" s="289">
        <v>45194</v>
      </c>
      <c r="H340" s="26" t="s">
        <v>312</v>
      </c>
      <c r="I340" s="289">
        <v>45055</v>
      </c>
      <c r="J340" s="35">
        <v>4136</v>
      </c>
      <c r="K340" s="21">
        <v>44000</v>
      </c>
      <c r="L340" s="21"/>
      <c r="M340" s="22">
        <f>(PROVEEDORES[[#This Row],[SUBTOTAL]]-PROVEEDORES[[#This Row],[descuento sobre subtotal]])*VLOOKUP(PROVEEDORES[[#This Row],[PROVEEDOR]],TERCEROS_INFO[#All],3,FALSE)</f>
        <v>0</v>
      </c>
      <c r="N340" s="23"/>
      <c r="O340" s="22">
        <f>+PROVEEDORES[[#This Row],[Descuento sobre subtotal %]]*(PROVEEDORES[[#This Row],[SUBTOTAL]]-PROVEEDORES[[#This Row],[descuento sobre subtotal]])</f>
        <v>0</v>
      </c>
      <c r="P340" s="72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44000</v>
      </c>
      <c r="S34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1">
        <f ca="1">IF(PROVEEDORES[[#This Row],[FECHA DE PAGO]]=0,TODAY()-PROVEEDORES[[#This Row],[FECHA DE FACTURACIÓN]]-PROVEEDORES[[#This Row],[PLAZO Días]],0)</f>
        <v>0</v>
      </c>
      <c r="U340" s="97">
        <f>+VLOOKUP(PROVEEDORES[[#This Row],[PROVEEDOR]],Terceros!$A:$D,4,FALSE)</f>
        <v>0</v>
      </c>
      <c r="V340" s="98">
        <f>+YEAR(PROVEEDORES[[#This Row],[FECHA DE FACTURACIÓN]])</f>
        <v>2023</v>
      </c>
      <c r="W340" s="98">
        <f>+MATCH(PROVEEDORES[[#This Row],[año facturado]],Retenciones!$1:$1,0)</f>
        <v>6</v>
      </c>
      <c r="X340" s="99">
        <f>+VLOOKUP(PROVEEDORES[[#This Row],[ID RETENCION]],Retenciones!$A$1:$O$25,PROVEEDORES[[#This Row],[indicador de columna]],FALSE)</f>
        <v>0</v>
      </c>
      <c r="Y340" s="100">
        <f>+VLOOKUP(PROVEEDORES[[#This Row],[ID RETENCION]],Retenciones!$A$1:$O$25,2,FALSE)</f>
        <v>0</v>
      </c>
      <c r="Z340" s="103" t="b">
        <f>OR(COUNTIF(PROVEEDORES[[#This Row],[PROVEEDOR]],"*"&amp;'Palabra no opera'!$A$2&amp;"*"))</f>
        <v>0</v>
      </c>
    </row>
    <row r="341" spans="1:26" ht="22.35" customHeight="1" x14ac:dyDescent="0.25">
      <c r="A341" s="65" t="str">
        <f>+IF(PROVEEDORES[[#This Row],[FECHA DE PAGO]]=PROVEEDORES[[#This Row],[FECHA DE FACTURACIÓN]],"DE CONTADO","CRÉDITO")</f>
        <v>CRÉDITO</v>
      </c>
      <c r="B341" s="38" t="str">
        <f>+IF((PROVEEDORES[[#This Row],[FECHA DE PAGO]]-PROVEEDORES[[#This Row],[FECHA DE FACTURACIÓN]])&gt;PROVEEDORES[[#This Row],[PLAZO Días]],"PAGO VENCIDO")</f>
        <v>PAGO VENCIDO</v>
      </c>
      <c r="C341" s="20">
        <f>+VLOOKUP(PROVEEDORES[[#This Row],[PROVEEDOR]],TERCEROS_INFO[#All],2,FALSE)</f>
        <v>30</v>
      </c>
      <c r="D341" s="25">
        <f>+SUMIFS(PROVEEDORES[Total],PROVEEDORES[PROVEEDOR],PROVEEDORES[[#This Row],[PROVEEDOR]],PROVEEDORES[FECHA DE PAGO],"")</f>
        <v>4282200</v>
      </c>
      <c r="E341" s="25"/>
      <c r="F34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1" s="289">
        <v>45194</v>
      </c>
      <c r="H341" s="26" t="s">
        <v>312</v>
      </c>
      <c r="I341" s="289">
        <v>45078</v>
      </c>
      <c r="J341" s="35">
        <v>4186</v>
      </c>
      <c r="K341" s="21">
        <v>99000</v>
      </c>
      <c r="L341" s="21"/>
      <c r="M341" s="22">
        <f>(PROVEEDORES[[#This Row],[SUBTOTAL]]-PROVEEDORES[[#This Row],[descuento sobre subtotal]])*VLOOKUP(PROVEEDORES[[#This Row],[PROVEEDOR]],TERCEROS_INFO[#All],3,FALSE)</f>
        <v>0</v>
      </c>
      <c r="N341" s="23"/>
      <c r="O341" s="22">
        <f>+PROVEEDORES[[#This Row],[Descuento sobre subtotal %]]*(PROVEEDORES[[#This Row],[SUBTOTAL]]-PROVEEDORES[[#This Row],[descuento sobre subtotal]])</f>
        <v>0</v>
      </c>
      <c r="P341" s="72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99000</v>
      </c>
      <c r="S34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1">
        <f ca="1">IF(PROVEEDORES[[#This Row],[FECHA DE PAGO]]=0,TODAY()-PROVEEDORES[[#This Row],[FECHA DE FACTURACIÓN]]-PROVEEDORES[[#This Row],[PLAZO Días]],0)</f>
        <v>0</v>
      </c>
      <c r="U341" s="97">
        <f>+VLOOKUP(PROVEEDORES[[#This Row],[PROVEEDOR]],Terceros!$A:$D,4,FALSE)</f>
        <v>0</v>
      </c>
      <c r="V341" s="98">
        <f>+YEAR(PROVEEDORES[[#This Row],[FECHA DE FACTURACIÓN]])</f>
        <v>2023</v>
      </c>
      <c r="W341" s="98">
        <f>+MATCH(PROVEEDORES[[#This Row],[año facturado]],Retenciones!$1:$1,0)</f>
        <v>6</v>
      </c>
      <c r="X341" s="99">
        <f>+VLOOKUP(PROVEEDORES[[#This Row],[ID RETENCION]],Retenciones!$A$1:$O$25,PROVEEDORES[[#This Row],[indicador de columna]],FALSE)</f>
        <v>0</v>
      </c>
      <c r="Y341" s="100">
        <f>+VLOOKUP(PROVEEDORES[[#This Row],[ID RETENCION]],Retenciones!$A$1:$O$25,2,FALSE)</f>
        <v>0</v>
      </c>
      <c r="Z341" s="103" t="b">
        <f>OR(COUNTIF(PROVEEDORES[[#This Row],[PROVEEDOR]],"*"&amp;'Palabra no opera'!$A$2&amp;"*"))</f>
        <v>0</v>
      </c>
    </row>
    <row r="342" spans="1:26" ht="22.35" customHeight="1" x14ac:dyDescent="0.25">
      <c r="A342" s="65" t="str">
        <f>+IF(PROVEEDORES[[#This Row],[FECHA DE PAGO]]=PROVEEDORES[[#This Row],[FECHA DE FACTURACIÓN]],"DE CONTADO","CRÉDITO")</f>
        <v>CRÉDITO</v>
      </c>
      <c r="B342" s="38" t="str">
        <f>+IF((PROVEEDORES[[#This Row],[FECHA DE PAGO]]-PROVEEDORES[[#This Row],[FECHA DE FACTURACIÓN]])&gt;PROVEEDORES[[#This Row],[PLAZO Días]],"PAGO VENCIDO")</f>
        <v>PAGO VENCIDO</v>
      </c>
      <c r="C342" s="20">
        <f>+VLOOKUP(PROVEEDORES[[#This Row],[PROVEEDOR]],TERCEROS_INFO[#All],2,FALSE)</f>
        <v>30</v>
      </c>
      <c r="D342" s="25">
        <f>+SUMIFS(PROVEEDORES[Total],PROVEEDORES[PROVEEDOR],PROVEEDORES[[#This Row],[PROVEEDOR]],PROVEEDORES[FECHA DE PAGO],"")</f>
        <v>4282200</v>
      </c>
      <c r="E342" s="25"/>
      <c r="F34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2" s="289">
        <v>45194</v>
      </c>
      <c r="H342" s="26" t="s">
        <v>312</v>
      </c>
      <c r="I342" s="289">
        <v>45111</v>
      </c>
      <c r="J342" s="35">
        <v>4236</v>
      </c>
      <c r="K342" s="21">
        <v>233000</v>
      </c>
      <c r="L342" s="21">
        <v>34950</v>
      </c>
      <c r="M342" s="22">
        <f>(PROVEEDORES[[#This Row],[SUBTOTAL]]-PROVEEDORES[[#This Row],[descuento sobre subtotal]])*VLOOKUP(PROVEEDORES[[#This Row],[PROVEEDOR]],TERCEROS_INFO[#All],3,FALSE)</f>
        <v>0</v>
      </c>
      <c r="N342" s="23"/>
      <c r="O342" s="22">
        <f>+PROVEEDORES[[#This Row],[Descuento sobre subtotal %]]*(PROVEEDORES[[#This Row],[SUBTOTAL]]-PROVEEDORES[[#This Row],[descuento sobre subtotal]])</f>
        <v>0</v>
      </c>
      <c r="P342" s="72">
        <f>+IF(PROVEEDORES[[#This Row],[SUBTOTAL]]&lt;PROVEEDORES[[#This Row],[base retencion]],0,PROVEEDORES[[#This Row],[retención aplicada]])</f>
        <v>0</v>
      </c>
      <c r="Q342" s="22">
        <f>+PROVEEDORES[[#This Row],[Rete Fuente %]]*(PROVEEDORES[[#This Row],[SUBTOTAL]]-PROVEEDORES[[#This Row],[descuento sobre subtotal]])</f>
        <v>0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198050</v>
      </c>
      <c r="S3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1">
        <f ca="1">IF(PROVEEDORES[[#This Row],[FECHA DE PAGO]]=0,TODAY()-PROVEEDORES[[#This Row],[FECHA DE FACTURACIÓN]]-PROVEEDORES[[#This Row],[PLAZO Días]],0)</f>
        <v>0</v>
      </c>
      <c r="U342" s="97">
        <f>+VLOOKUP(PROVEEDORES[[#This Row],[PROVEEDOR]],Terceros!$A:$D,4,FALSE)</f>
        <v>0</v>
      </c>
      <c r="V342" s="98">
        <f>+YEAR(PROVEEDORES[[#This Row],[FECHA DE FACTURACIÓN]])</f>
        <v>2023</v>
      </c>
      <c r="W342" s="98">
        <f>+MATCH(PROVEEDORES[[#This Row],[año facturado]],Retenciones!$1:$1,0)</f>
        <v>6</v>
      </c>
      <c r="X342" s="99">
        <f>+VLOOKUP(PROVEEDORES[[#This Row],[ID RETENCION]],Retenciones!$A$1:$O$25,PROVEEDORES[[#This Row],[indicador de columna]],FALSE)</f>
        <v>0</v>
      </c>
      <c r="Y342" s="100">
        <f>+VLOOKUP(PROVEEDORES[[#This Row],[ID RETENCION]],Retenciones!$A$1:$O$25,2,FALSE)</f>
        <v>0</v>
      </c>
      <c r="Z342" s="103" t="b">
        <f>OR(COUNTIF(PROVEEDORES[[#This Row],[PROVEEDOR]],"*"&amp;'Palabra no opera'!$A$2&amp;"*"))</f>
        <v>0</v>
      </c>
    </row>
    <row r="343" spans="1:26" ht="22.35" customHeight="1" x14ac:dyDescent="0.25">
      <c r="A343" s="65" t="str">
        <f>+IF(PROVEEDORES[[#This Row],[FECHA DE PAGO]]=PROVEEDORES[[#This Row],[FECHA DE FACTURACIÓN]],"DE CONTADO","CRÉDITO")</f>
        <v>CRÉDITO</v>
      </c>
      <c r="B343" s="38" t="str">
        <f>+IF((PROVEEDORES[[#This Row],[FECHA DE PAGO]]-PROVEEDORES[[#This Row],[FECHA DE FACTURACIÓN]])&gt;PROVEEDORES[[#This Row],[PLAZO Días]],"PAGO VENCIDO")</f>
        <v>PAGO VENCIDO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4282200</v>
      </c>
      <c r="E343" s="25"/>
      <c r="F343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3" s="289">
        <v>45194</v>
      </c>
      <c r="H343" s="26" t="s">
        <v>312</v>
      </c>
      <c r="I343" s="289">
        <v>45124</v>
      </c>
      <c r="J343" s="35">
        <v>4272</v>
      </c>
      <c r="K343" s="21">
        <v>703000</v>
      </c>
      <c r="L343" s="21">
        <v>105450</v>
      </c>
      <c r="M343" s="22">
        <f>(PROVEEDORES[[#This Row],[SUBTOTAL]]-PROVEEDORES[[#This Row],[descuento sobre subtotal]])*VLOOKUP(PROVEEDORES[[#This Row],[PROVEEDOR]],TERCEROS_INFO[#All],3,FALSE)</f>
        <v>0</v>
      </c>
      <c r="N343" s="23"/>
      <c r="O343" s="22">
        <f>+PROVEEDORES[[#This Row],[Descuento sobre subtotal %]]*(PROVEEDORES[[#This Row],[SUBTOTAL]]-PROVEEDORES[[#This Row],[descuento sobre subtotal]])</f>
        <v>0</v>
      </c>
      <c r="P343" s="72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597550</v>
      </c>
      <c r="S34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1">
        <f ca="1">IF(PROVEEDORES[[#This Row],[FECHA DE PAGO]]=0,TODAY()-PROVEEDORES[[#This Row],[FECHA DE FACTURACIÓN]]-PROVEEDORES[[#This Row],[PLAZO Días]],0)</f>
        <v>0</v>
      </c>
      <c r="U343" s="97">
        <f>+VLOOKUP(PROVEEDORES[[#This Row],[PROVEEDOR]],Terceros!$A:$D,4,FALSE)</f>
        <v>0</v>
      </c>
      <c r="V343" s="98">
        <f>+YEAR(PROVEEDORES[[#This Row],[FECHA DE FACTURACIÓN]])</f>
        <v>2023</v>
      </c>
      <c r="W343" s="98">
        <f>+MATCH(PROVEEDORES[[#This Row],[año facturado]],Retenciones!$1:$1,0)</f>
        <v>6</v>
      </c>
      <c r="X343" s="99">
        <f>+VLOOKUP(PROVEEDORES[[#This Row],[ID RETENCION]],Retenciones!$A$1:$O$25,PROVEEDORES[[#This Row],[indicador de columna]],FALSE)</f>
        <v>0</v>
      </c>
      <c r="Y343" s="100">
        <f>+VLOOKUP(PROVEEDORES[[#This Row],[ID RETENCION]],Retenciones!$A$1:$O$25,2,FALSE)</f>
        <v>0</v>
      </c>
      <c r="Z343" s="103" t="b">
        <f>OR(COUNTIF(PROVEEDORES[[#This Row],[PROVEEDOR]],"*"&amp;'Palabra no opera'!$A$2&amp;"*"))</f>
        <v>0</v>
      </c>
    </row>
    <row r="344" spans="1:26" ht="22.35" customHeight="1" x14ac:dyDescent="0.25">
      <c r="A344" s="65" t="str">
        <f>+IF(PROVEEDORES[[#This Row],[FECHA DE PAGO]]=PROVEEDORES[[#This Row],[FECHA DE FACTURACIÓN]],"DE CONTADO","CRÉDITO")</f>
        <v>CRÉDITO</v>
      </c>
      <c r="B344" s="38" t="str">
        <f>+IF((PROVEEDORES[[#This Row],[FECHA DE PAGO]]-PROVEEDORES[[#This Row],[FECHA DE FACTURACIÓN]])&gt;PROVEEDORES[[#This Row],[PLAZO Días]],"PAGO VENCIDO")</f>
        <v>PAGO VENCIDO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4282200</v>
      </c>
      <c r="E344" s="25"/>
      <c r="F344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4" s="289">
        <v>45170</v>
      </c>
      <c r="H344" s="26" t="s">
        <v>312</v>
      </c>
      <c r="I344" s="289">
        <v>45139</v>
      </c>
      <c r="J344" s="35">
        <v>4297</v>
      </c>
      <c r="K344" s="21">
        <v>138000</v>
      </c>
      <c r="L344" s="21"/>
      <c r="M344" s="22">
        <f>(PROVEEDORES[[#This Row],[SUBTOTAL]]-PROVEEDORES[[#This Row],[descuento sobre subtotal]])*VLOOKUP(PROVEEDORES[[#This Row],[PROVEEDOR]],TERCEROS_INFO[#All],3,FALSE)</f>
        <v>0</v>
      </c>
      <c r="N344" s="23"/>
      <c r="O344" s="22">
        <f>+PROVEEDORES[[#This Row],[Descuento sobre subtotal %]]*(PROVEEDORES[[#This Row],[SUBTOTAL]]-PROVEEDORES[[#This Row],[descuento sobre subtotal]])</f>
        <v>0</v>
      </c>
      <c r="P344" s="72">
        <f>+IF(PROVEEDORES[[#This Row],[SUBTOTAL]]&lt;PROVEEDORES[[#This Row],[base retencion]],0,PROVEEDORES[[#This Row],[retención aplicada]])</f>
        <v>0</v>
      </c>
      <c r="Q344" s="22">
        <f>+PROVEEDORES[[#This Row],[Rete Fuente %]]*(PROVEEDORES[[#This Row],[SUBTOTAL]]-PROVEEDORES[[#This Row],[descuento sobre subtotal]])</f>
        <v>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138000</v>
      </c>
      <c r="S34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1">
        <f ca="1">IF(PROVEEDORES[[#This Row],[FECHA DE PAGO]]=0,TODAY()-PROVEEDORES[[#This Row],[FECHA DE FACTURACIÓN]]-PROVEEDORES[[#This Row],[PLAZO Días]],0)</f>
        <v>0</v>
      </c>
      <c r="U344" s="97">
        <f>+VLOOKUP(PROVEEDORES[[#This Row],[PROVEEDOR]],Terceros!$A:$D,4,FALSE)</f>
        <v>0</v>
      </c>
      <c r="V344" s="98">
        <f>+YEAR(PROVEEDORES[[#This Row],[FECHA DE FACTURACIÓN]])</f>
        <v>2023</v>
      </c>
      <c r="W344" s="98">
        <f>+MATCH(PROVEEDORES[[#This Row],[año facturado]],Retenciones!$1:$1,0)</f>
        <v>6</v>
      </c>
      <c r="X344" s="99">
        <f>+VLOOKUP(PROVEEDORES[[#This Row],[ID RETENCION]],Retenciones!$A$1:$O$25,PROVEEDORES[[#This Row],[indicador de columna]],FALSE)</f>
        <v>0</v>
      </c>
      <c r="Y344" s="100">
        <f>+VLOOKUP(PROVEEDORES[[#This Row],[ID RETENCION]],Retenciones!$A$1:$O$25,2,FALSE)</f>
        <v>0</v>
      </c>
      <c r="Z344" s="103" t="b">
        <f>OR(COUNTIF(PROVEEDORES[[#This Row],[PROVEEDOR]],"*"&amp;'Palabra no opera'!$A$2&amp;"*"))</f>
        <v>0</v>
      </c>
    </row>
    <row r="345" spans="1:26" ht="22.35" customHeight="1" x14ac:dyDescent="0.25">
      <c r="A345" s="65" t="str">
        <f>+IF(PROVEEDORES[[#This Row],[FECHA DE PAGO]]=PROVEEDORES[[#This Row],[FECHA DE FACTURACIÓN]],"DE CONTADO","CRÉDITO")</f>
        <v>CRÉDITO</v>
      </c>
      <c r="B345" s="38" t="str">
        <f>+IF((PROVEEDORES[[#This Row],[FECHA DE PAGO]]-PROVEEDORES[[#This Row],[FECHA DE FACTURACIÓN]])&gt;PROVEEDORES[[#This Row],[PLAZO Días]],"PAGO VENCIDO")</f>
        <v>PAGO VENCIDO</v>
      </c>
      <c r="C345" s="20">
        <f>+VLOOKUP(PROVEEDORES[[#This Row],[PROVEEDOR]],TERCEROS_INFO[#All],2,FALSE)</f>
        <v>30</v>
      </c>
      <c r="D345" s="25">
        <f>+SUMIFS(PROVEEDORES[Total],PROVEEDORES[PROVEEDOR],PROVEEDORES[[#This Row],[PROVEEDOR]],PROVEEDORES[FECHA DE PAGO],"")</f>
        <v>4282200</v>
      </c>
      <c r="E345" s="25"/>
      <c r="F345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5" s="289">
        <v>45194</v>
      </c>
      <c r="H345" s="26" t="s">
        <v>312</v>
      </c>
      <c r="I345" s="289">
        <v>45142</v>
      </c>
      <c r="J345" s="35">
        <v>4307</v>
      </c>
      <c r="K345" s="21">
        <v>413100</v>
      </c>
      <c r="L345" s="21"/>
      <c r="M345" s="22">
        <f>(PROVEEDORES[[#This Row],[SUBTOTAL]]-PROVEEDORES[[#This Row],[descuento sobre subtotal]])*VLOOKUP(PROVEEDORES[[#This Row],[PROVEEDOR]],TERCEROS_INFO[#All],3,FALSE)</f>
        <v>0</v>
      </c>
      <c r="N345" s="23"/>
      <c r="O345" s="22">
        <f>+PROVEEDORES[[#This Row],[Descuento sobre subtotal %]]*(PROVEEDORES[[#This Row],[SUBTOTAL]]-PROVEEDORES[[#This Row],[descuento sobre subtotal]])</f>
        <v>0</v>
      </c>
      <c r="P345" s="72">
        <f>+IF(PROVEEDORES[[#This Row],[SUBTOTAL]]&lt;PROVEEDORES[[#This Row],[base retencion]],0,PROVEEDORES[[#This Row],[retención aplicada]])</f>
        <v>0</v>
      </c>
      <c r="Q345" s="22">
        <f>+PROVEEDORES[[#This Row],[Rete Fuente %]]*(PROVEEDORES[[#This Row],[SUBTOTAL]]-PROVEEDORES[[#This Row],[descuento sobre subtotal]])</f>
        <v>0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413100</v>
      </c>
      <c r="S3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1">
        <f ca="1">IF(PROVEEDORES[[#This Row],[FECHA DE PAGO]]=0,TODAY()-PROVEEDORES[[#This Row],[FECHA DE FACTURACIÓN]]-PROVEEDORES[[#This Row],[PLAZO Días]],0)</f>
        <v>0</v>
      </c>
      <c r="U345" s="97">
        <f>+VLOOKUP(PROVEEDORES[[#This Row],[PROVEEDOR]],Terceros!$A:$D,4,FALSE)</f>
        <v>0</v>
      </c>
      <c r="V345" s="98">
        <f>+YEAR(PROVEEDORES[[#This Row],[FECHA DE FACTURACIÓN]])</f>
        <v>2023</v>
      </c>
      <c r="W345" s="98">
        <f>+MATCH(PROVEEDORES[[#This Row],[año facturado]],Retenciones!$1:$1,0)</f>
        <v>6</v>
      </c>
      <c r="X345" s="99">
        <f>+VLOOKUP(PROVEEDORES[[#This Row],[ID RETENCION]],Retenciones!$A$1:$O$25,PROVEEDORES[[#This Row],[indicador de columna]],FALSE)</f>
        <v>0</v>
      </c>
      <c r="Y345" s="100">
        <f>+VLOOKUP(PROVEEDORES[[#This Row],[ID RETENCION]],Retenciones!$A$1:$O$25,2,FALSE)</f>
        <v>0</v>
      </c>
      <c r="Z345" s="103" t="b">
        <f>OR(COUNTIF(PROVEEDORES[[#This Row],[PROVEEDOR]],"*"&amp;'Palabra no opera'!$A$2&amp;"*"))</f>
        <v>0</v>
      </c>
    </row>
    <row r="346" spans="1:26" ht="22.35" customHeight="1" x14ac:dyDescent="0.25">
      <c r="A346" s="227" t="str">
        <f>+IF(PROVEEDORES[[#This Row],[FECHA DE PAGO]]=PROVEEDORES[[#This Row],[FECHA DE FACTURACIÓN]],"DE CONTADO","CRÉDITO")</f>
        <v>CRÉDITO</v>
      </c>
      <c r="B346" s="38" t="str">
        <f>+IF((PROVEEDORES[[#This Row],[FECHA DE PAGO]]-PROVEEDORES[[#This Row],[FECHA DE FACTURACIÓN]])&gt;PROVEEDORES[[#This Row],[PLAZO Días]],"PAGO VENCIDO")</f>
        <v>PAGO VENCIDO</v>
      </c>
      <c r="C346" s="20">
        <f>+VLOOKUP(PROVEEDORES[[#This Row],[PROVEEDOR]],TERCEROS_INFO[#All],2,FALSE)</f>
        <v>30</v>
      </c>
      <c r="D346" s="25">
        <f>+SUMIFS(PROVEEDORES[Total],PROVEEDORES[PROVEEDOR],PROVEEDORES[[#This Row],[PROVEEDOR]],PROVEEDORES[FECHA DE PAGO],"")</f>
        <v>4282200</v>
      </c>
      <c r="E346" s="25"/>
      <c r="F346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6" s="289">
        <v>45194</v>
      </c>
      <c r="H346" s="26" t="s">
        <v>312</v>
      </c>
      <c r="I346" s="289">
        <v>45154</v>
      </c>
      <c r="J346" s="35">
        <v>4327</v>
      </c>
      <c r="K346" s="21">
        <v>200000</v>
      </c>
      <c r="L346" s="21">
        <v>30000</v>
      </c>
      <c r="M346" s="22">
        <f>(PROVEEDORES[[#This Row],[SUBTOTAL]]-PROVEEDORES[[#This Row],[descuento sobre subtotal]])*VLOOKUP(PROVEEDORES[[#This Row],[PROVEEDOR]],TERCEROS_INFO[#All],3,FALSE)</f>
        <v>0</v>
      </c>
      <c r="N346" s="23"/>
      <c r="O346" s="22">
        <f>+PROVEEDORES[[#This Row],[Descuento sobre subtotal %]]*(PROVEEDORES[[#This Row],[SUBTOTAL]]-PROVEEDORES[[#This Row],[descuento sobre subtotal]])</f>
        <v>0</v>
      </c>
      <c r="P346" s="72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346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1">
        <f ca="1">IF(PROVEEDORES[[#This Row],[FECHA DE PAGO]]=0,TODAY()-PROVEEDORES[[#This Row],[FECHA DE FACTURACIÓN]]-PROVEEDORES[[#This Row],[PLAZO Días]],0)</f>
        <v>0</v>
      </c>
      <c r="U346" s="97">
        <f>+VLOOKUP(PROVEEDORES[[#This Row],[PROVEEDOR]],Terceros!$A:$D,4,FALSE)</f>
        <v>0</v>
      </c>
      <c r="V346" s="98">
        <f>+YEAR(PROVEEDORES[[#This Row],[FECHA DE FACTURACIÓN]])</f>
        <v>2023</v>
      </c>
      <c r="W346" s="98">
        <f>+MATCH(PROVEEDORES[[#This Row],[año facturado]],Retenciones!$1:$1,0)</f>
        <v>6</v>
      </c>
      <c r="X346" s="99">
        <f>+VLOOKUP(PROVEEDORES[[#This Row],[ID RETENCION]],Retenciones!$A$1:$O$25,PROVEEDORES[[#This Row],[indicador de columna]],FALSE)</f>
        <v>0</v>
      </c>
      <c r="Y346" s="100">
        <f>+VLOOKUP(PROVEEDORES[[#This Row],[ID RETENCION]],Retenciones!$A$1:$O$25,2,FALSE)</f>
        <v>0</v>
      </c>
      <c r="Z346" s="103" t="b">
        <f>OR(COUNTIF(PROVEEDORES[[#This Row],[PROVEEDOR]],"*"&amp;'Palabra no opera'!$A$2&amp;"*"))</f>
        <v>0</v>
      </c>
    </row>
    <row r="347" spans="1:26" ht="22.35" customHeight="1" x14ac:dyDescent="0.25">
      <c r="A347" s="65" t="str">
        <f>+IF(PROVEEDORES[[#This Row],[FECHA DE PAGO]]=PROVEEDORES[[#This Row],[FECHA DE FACTURACIÓN]],"DE CONTADO","CRÉDITO")</f>
        <v>DE CONTADO</v>
      </c>
      <c r="B347" s="38" t="b">
        <f>+IF((PROVEEDORES[[#This Row],[FECHA DE PAGO]]-PROVEEDORES[[#This Row],[FECHA DE FACTURACIÓN]])&gt;PROVEEDORES[[#This Row],[PLAZO Días]],"PAGO VENCIDO")</f>
        <v>0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4282200</v>
      </c>
      <c r="E347" s="25"/>
      <c r="F347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7" s="289">
        <v>45231</v>
      </c>
      <c r="H347" s="26" t="s">
        <v>312</v>
      </c>
      <c r="I347" s="289">
        <v>45231</v>
      </c>
      <c r="J347" s="35" t="s">
        <v>1326</v>
      </c>
      <c r="K347" s="21">
        <v>45000</v>
      </c>
      <c r="L347" s="21"/>
      <c r="M347" s="22">
        <f>(PROVEEDORES[[#This Row],[SUBTOTAL]]-PROVEEDORES[[#This Row],[descuento sobre subtotal]])*VLOOKUP(PROVEEDORES[[#This Row],[PROVEEDOR]],TERCEROS_INFO[#All],3,FALSE)</f>
        <v>0</v>
      </c>
      <c r="N347" s="23"/>
      <c r="O347" s="22">
        <f>+PROVEEDORES[[#This Row],[Descuento sobre subtotal %]]*(PROVEEDORES[[#This Row],[SUBTOTAL]]-PROVEEDORES[[#This Row],[descuento sobre subtotal]])</f>
        <v>0</v>
      </c>
      <c r="P347" s="72">
        <f>+IF(PROVEEDORES[[#This Row],[SUBTOTAL]]&lt;PROVEEDORES[[#This Row],[base retencion]],0,PROVEEDORES[[#This Row],[retención aplicada]])</f>
        <v>0</v>
      </c>
      <c r="Q347" s="22">
        <f>+PROVEEDORES[[#This Row],[Rete Fuente %]]*(PROVEEDORES[[#This Row],[SUBTOTAL]]-PROVEEDORES[[#This Row],[descuento sobre subtotal]])</f>
        <v>0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3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1">
        <f ca="1">IF(PROVEEDORES[[#This Row],[FECHA DE PAGO]]=0,TODAY()-PROVEEDORES[[#This Row],[FECHA DE FACTURACIÓN]]-PROVEEDORES[[#This Row],[PLAZO Días]],0)</f>
        <v>0</v>
      </c>
      <c r="U347" s="97">
        <f>+VLOOKUP(PROVEEDORES[[#This Row],[PROVEEDOR]],Terceros!$A:$D,4,FALSE)</f>
        <v>0</v>
      </c>
      <c r="V347" s="98">
        <f>+YEAR(PROVEEDORES[[#This Row],[FECHA DE FACTURACIÓN]])</f>
        <v>2023</v>
      </c>
      <c r="W347" s="98">
        <f>+MATCH(PROVEEDORES[[#This Row],[año facturado]],Retenciones!$1:$1,0)</f>
        <v>6</v>
      </c>
      <c r="X347" s="99">
        <f>+VLOOKUP(PROVEEDORES[[#This Row],[ID RETENCION]],Retenciones!$A$1:$O$25,PROVEEDORES[[#This Row],[indicador de columna]],FALSE)</f>
        <v>0</v>
      </c>
      <c r="Y347" s="100">
        <f>+VLOOKUP(PROVEEDORES[[#This Row],[ID RETENCION]],Retenciones!$A$1:$O$25,2,FALSE)</f>
        <v>0</v>
      </c>
      <c r="Z347" s="103" t="b">
        <f>OR(COUNTIF(PROVEEDORES[[#This Row],[PROVEEDOR]],"*"&amp;'Palabra no opera'!$A$2&amp;"*"))</f>
        <v>0</v>
      </c>
    </row>
    <row r="348" spans="1:26" ht="22.35" customHeight="1" x14ac:dyDescent="0.25">
      <c r="A348" s="65" t="str">
        <f>+IF(PROVEEDORES[[#This Row],[FECHA DE PAGO]]=PROVEEDORES[[#This Row],[FECHA DE FACTURACIÓN]],"DE CONTADO","CRÉDITO")</f>
        <v>DE CONTADO</v>
      </c>
      <c r="B348" s="38" t="b">
        <f>+IF((PROVEEDORES[[#This Row],[FECHA DE PAGO]]-PROVEEDORES[[#This Row],[FECHA DE FACTURACIÓN]])&gt;PROVEEDORES[[#This Row],[PLAZO Días]],"PAGO VENCIDO")</f>
        <v>0</v>
      </c>
      <c r="C348" s="20">
        <f>+VLOOKUP(PROVEEDORES[[#This Row],[PROVEEDOR]],TERCEROS_INFO[#All],2,FALSE)</f>
        <v>30</v>
      </c>
      <c r="D348" s="25">
        <f>+SUMIFS(PROVEEDORES[Total],PROVEEDORES[PROVEEDOR],PROVEEDORES[[#This Row],[PROVEEDOR]],PROVEEDORES[FECHA DE PAGO],"")</f>
        <v>4282200</v>
      </c>
      <c r="E348" s="25"/>
      <c r="F348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8" s="289">
        <v>45231</v>
      </c>
      <c r="H348" s="26" t="s">
        <v>312</v>
      </c>
      <c r="I348" s="289">
        <v>45231</v>
      </c>
      <c r="J348" s="35" t="s">
        <v>1327</v>
      </c>
      <c r="K348" s="21">
        <v>39000</v>
      </c>
      <c r="L348" s="21"/>
      <c r="M348" s="22">
        <f>(PROVEEDORES[[#This Row],[SUBTOTAL]]-PROVEEDORES[[#This Row],[descuento sobre subtotal]])*VLOOKUP(PROVEEDORES[[#This Row],[PROVEEDOR]],TERCEROS_INFO[#All],3,FALSE)</f>
        <v>0</v>
      </c>
      <c r="N348" s="23"/>
      <c r="O348" s="22">
        <f>+PROVEEDORES[[#This Row],[Descuento sobre subtotal %]]*(PROVEEDORES[[#This Row],[SUBTOTAL]]-PROVEEDORES[[#This Row],[descuento sobre subtotal]])</f>
        <v>0</v>
      </c>
      <c r="P348" s="72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34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1">
        <f ca="1">IF(PROVEEDORES[[#This Row],[FECHA DE PAGO]]=0,TODAY()-PROVEEDORES[[#This Row],[FECHA DE FACTURACIÓN]]-PROVEEDORES[[#This Row],[PLAZO Días]],0)</f>
        <v>0</v>
      </c>
      <c r="U348" s="97">
        <f>+VLOOKUP(PROVEEDORES[[#This Row],[PROVEEDOR]],Terceros!$A:$D,4,FALSE)</f>
        <v>0</v>
      </c>
      <c r="V348" s="98">
        <f>+YEAR(PROVEEDORES[[#This Row],[FECHA DE FACTURACIÓN]])</f>
        <v>2023</v>
      </c>
      <c r="W348" s="98">
        <f>+MATCH(PROVEEDORES[[#This Row],[año facturado]],Retenciones!$1:$1,0)</f>
        <v>6</v>
      </c>
      <c r="X348" s="99">
        <f>+VLOOKUP(PROVEEDORES[[#This Row],[ID RETENCION]],Retenciones!$A$1:$O$25,PROVEEDORES[[#This Row],[indicador de columna]],FALSE)</f>
        <v>0</v>
      </c>
      <c r="Y348" s="100">
        <f>+VLOOKUP(PROVEEDORES[[#This Row],[ID RETENCION]],Retenciones!$A$1:$O$25,2,FALSE)</f>
        <v>0</v>
      </c>
      <c r="Z348" s="103" t="b">
        <f>OR(COUNTIF(PROVEEDORES[[#This Row],[PROVEEDOR]],"*"&amp;'Palabra no opera'!$A$2&amp;"*"))</f>
        <v>0</v>
      </c>
    </row>
    <row r="349" spans="1:26" ht="22.35" customHeight="1" x14ac:dyDescent="0.25">
      <c r="A349" s="65" t="str">
        <f>+IF(PROVEEDORES[[#This Row],[FECHA DE PAGO]]=PROVEEDORES[[#This Row],[FECHA DE FACTURACIÓN]],"DE CONTADO","CRÉDITO")</f>
        <v>CRÉDITO</v>
      </c>
      <c r="B349" s="38" t="str">
        <f>+IF((PROVEEDORES[[#This Row],[FECHA DE PAGO]]-PROVEEDORES[[#This Row],[FECHA DE FACTURACIÓN]])&gt;PROVEEDORES[[#This Row],[PLAZO Días]],"PAGO VENCIDO")</f>
        <v>PAGO VENCIDO</v>
      </c>
      <c r="C349" s="20">
        <f>+VLOOKUP(PROVEEDORES[[#This Row],[PROVEEDOR]],TERCEROS_INFO[#All],2,FALSE)</f>
        <v>30</v>
      </c>
      <c r="D349" s="25">
        <f>+SUMIFS(PROVEEDORES[Total],PROVEEDORES[PROVEEDOR],PROVEEDORES[[#This Row],[PROVEEDOR]],PROVEEDORES[FECHA DE PAGO],"")</f>
        <v>4282200</v>
      </c>
      <c r="E349" s="25"/>
      <c r="F349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49" s="289">
        <v>45278</v>
      </c>
      <c r="H349" s="26" t="s">
        <v>312</v>
      </c>
      <c r="I349" s="289">
        <v>45239</v>
      </c>
      <c r="J349" s="35" t="s">
        <v>1321</v>
      </c>
      <c r="K349" s="21">
        <v>606900</v>
      </c>
      <c r="L349" s="21"/>
      <c r="M349" s="22">
        <f>(PROVEEDORES[[#This Row],[SUBTOTAL]]-PROVEEDORES[[#This Row],[descuento sobre subtotal]])*VLOOKUP(PROVEEDORES[[#This Row],[PROVEEDOR]],TERCEROS_INFO[#All],3,FALSE)</f>
        <v>0</v>
      </c>
      <c r="N349" s="23"/>
      <c r="O349" s="22">
        <f>+PROVEEDORES[[#This Row],[Descuento sobre subtotal %]]*(PROVEEDORES[[#This Row],[SUBTOTAL]]-PROVEEDORES[[#This Row],[descuento sobre subtotal]])</f>
        <v>0</v>
      </c>
      <c r="P349" s="72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606900</v>
      </c>
      <c r="S34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1">
        <f ca="1">IF(PROVEEDORES[[#This Row],[FECHA DE PAGO]]=0,TODAY()-PROVEEDORES[[#This Row],[FECHA DE FACTURACIÓN]]-PROVEEDORES[[#This Row],[PLAZO Días]],0)</f>
        <v>0</v>
      </c>
      <c r="U349" s="97">
        <f>+VLOOKUP(PROVEEDORES[[#This Row],[PROVEEDOR]],Terceros!$A:$D,4,FALSE)</f>
        <v>0</v>
      </c>
      <c r="V349" s="98">
        <f>+YEAR(PROVEEDORES[[#This Row],[FECHA DE FACTURACIÓN]])</f>
        <v>2023</v>
      </c>
      <c r="W349" s="98">
        <f>+MATCH(PROVEEDORES[[#This Row],[año facturado]],Retenciones!$1:$1,0)</f>
        <v>6</v>
      </c>
      <c r="X349" s="99">
        <f>+VLOOKUP(PROVEEDORES[[#This Row],[ID RETENCION]],Retenciones!$A$1:$O$25,PROVEEDORES[[#This Row],[indicador de columna]],FALSE)</f>
        <v>0</v>
      </c>
      <c r="Y349" s="100">
        <f>+VLOOKUP(PROVEEDORES[[#This Row],[ID RETENCION]],Retenciones!$A$1:$O$25,2,FALSE)</f>
        <v>0</v>
      </c>
      <c r="Z349" s="103" t="b">
        <f>OR(COUNTIF(PROVEEDORES[[#This Row],[PROVEEDOR]],"*"&amp;'Palabra no opera'!$A$2&amp;"*"))</f>
        <v>0</v>
      </c>
    </row>
    <row r="350" spans="1:26" ht="22.35" customHeight="1" x14ac:dyDescent="0.25">
      <c r="A350" s="65" t="str">
        <f>+IF(PROVEEDORES[[#This Row],[FECHA DE PAGO]]=PROVEEDORES[[#This Row],[FECHA DE FACTURACIÓN]],"DE CONTADO","CRÉDITO")</f>
        <v>CRÉDITO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4282200</v>
      </c>
      <c r="E350" s="25"/>
      <c r="F350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350" s="26" t="s">
        <v>312</v>
      </c>
      <c r="I350" s="289">
        <v>45271</v>
      </c>
      <c r="J350" s="35" t="s">
        <v>1418</v>
      </c>
      <c r="K350" s="21">
        <v>4925000</v>
      </c>
      <c r="L350" s="21">
        <v>738750</v>
      </c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72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f>+PROVEEDORES[[#This Row],[SUBTOTAL]]+PROVEEDORES[[#This Row],[IVA 19%]]-PROVEEDORES[[#This Row],[descuento sobre subtotal]]-PROVEEDORES[[#This Row],[Descuento sobre subtotal $2]]-PROVEEDORES[[#This Row],[Rete Fuente $]]</f>
        <v>4186250</v>
      </c>
      <c r="S350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350" s="61">
        <f ca="1">IF(PROVEEDORES[[#This Row],[FECHA DE PAGO]]=0,TODAY()-PROVEEDORES[[#This Row],[FECHA DE FACTURACIÓN]]-PROVEEDORES[[#This Row],[PLAZO Días]],0)</f>
        <v>27</v>
      </c>
      <c r="U350" s="97">
        <f>+VLOOKUP(PROVEEDORES[[#This Row],[PROVEEDOR]],Terceros!$A:$D,4,FALSE)</f>
        <v>0</v>
      </c>
      <c r="V350" s="98">
        <f>+YEAR(PROVEEDORES[[#This Row],[FECHA DE FACTURACIÓN]])</f>
        <v>2023</v>
      </c>
      <c r="W350" s="98">
        <f>+MATCH(PROVEEDORES[[#This Row],[año facturado]],Retenciones!$1:$1,0)</f>
        <v>6</v>
      </c>
      <c r="X350" s="99">
        <f>+VLOOKUP(PROVEEDORES[[#This Row],[ID RETENCION]],Retenciones!$A$1:$O$25,PROVEEDORES[[#This Row],[indicador de columna]],FALSE)</f>
        <v>0</v>
      </c>
      <c r="Y350" s="100">
        <f>+VLOOKUP(PROVEEDORES[[#This Row],[ID RETENCION]],Retenciones!$A$1:$O$25,2,FALSE)</f>
        <v>0</v>
      </c>
      <c r="Z350" s="103" t="b">
        <f>OR(COUNTIF(PROVEEDORES[[#This Row],[PROVEEDOR]],"*"&amp;'Palabra no opera'!$A$2&amp;"*"))</f>
        <v>0</v>
      </c>
    </row>
    <row r="351" spans="1:26" ht="22.35" customHeight="1" x14ac:dyDescent="0.25">
      <c r="A351" s="65" t="str">
        <f>+IF(PROVEEDORES[[#This Row],[FECHA DE PAGO]]=PROVEEDORES[[#This Row],[FECHA DE FACTURACIÓN]],"DE CONTADO","CRÉDITO")</f>
        <v>CRÉDITO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4282200</v>
      </c>
      <c r="E351" s="25"/>
      <c r="F351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H351" s="26" t="s">
        <v>312</v>
      </c>
      <c r="I351" s="289">
        <v>45271</v>
      </c>
      <c r="J351" s="35" t="s">
        <v>1419</v>
      </c>
      <c r="K351" s="21">
        <v>101000</v>
      </c>
      <c r="L351" s="21">
        <v>5050</v>
      </c>
      <c r="M351" s="22">
        <f>(PROVEEDORES[[#This Row],[SUBTOTAL]]-PROVEEDORES[[#This Row],[descuento sobre subtotal]])*VLOOKUP(PROVEEDORES[[#This Row],[PROVEEDOR]],TERCEROS_INFO[#All],3,FALSE)</f>
        <v>0</v>
      </c>
      <c r="N351" s="23"/>
      <c r="O351" s="22">
        <f>+PROVEEDORES[[#This Row],[Descuento sobre subtotal %]]*(PROVEEDORES[[#This Row],[SUBTOTAL]]-PROVEEDORES[[#This Row],[descuento sobre subtotal]])</f>
        <v>0</v>
      </c>
      <c r="P351" s="72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95950</v>
      </c>
      <c r="S351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351" s="61">
        <f ca="1">IF(PROVEEDORES[[#This Row],[FECHA DE PAGO]]=0,TODAY()-PROVEEDORES[[#This Row],[FECHA DE FACTURACIÓN]]-PROVEEDORES[[#This Row],[PLAZO Días]],0)</f>
        <v>27</v>
      </c>
      <c r="U351" s="97">
        <f>+VLOOKUP(PROVEEDORES[[#This Row],[PROVEEDOR]],Terceros!$A:$D,4,FALSE)</f>
        <v>0</v>
      </c>
      <c r="V351" s="98">
        <f>+YEAR(PROVEEDORES[[#This Row],[FECHA DE FACTURACIÓN]])</f>
        <v>2023</v>
      </c>
      <c r="W351" s="98">
        <f>+MATCH(PROVEEDORES[[#This Row],[año facturado]],Retenciones!$1:$1,0)</f>
        <v>6</v>
      </c>
      <c r="X351" s="99">
        <f>+VLOOKUP(PROVEEDORES[[#This Row],[ID RETENCION]],Retenciones!$A$1:$O$25,PROVEEDORES[[#This Row],[indicador de columna]],FALSE)</f>
        <v>0</v>
      </c>
      <c r="Y351" s="100">
        <f>+VLOOKUP(PROVEEDORES[[#This Row],[ID RETENCION]],Retenciones!$A$1:$O$25,2,FALSE)</f>
        <v>0</v>
      </c>
      <c r="Z351" s="103" t="b">
        <f>OR(COUNTIF(PROVEEDORES[[#This Row],[PROVEEDOR]],"*"&amp;'Palabra no opera'!$A$2&amp;"*"))</f>
        <v>0</v>
      </c>
    </row>
    <row r="352" spans="1:26" ht="22.35" customHeight="1" x14ac:dyDescent="0.25">
      <c r="A352" s="310" t="str">
        <f>+IF(PROVEEDORES[[#This Row],[FECHA DE PAGO]]=PROVEEDORES[[#This Row],[FECHA DE FACTURACIÓN]],"DE CONTADO","CRÉDITO")</f>
        <v>DE CONTADO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4282200</v>
      </c>
      <c r="E352" s="25"/>
      <c r="F352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52" s="289">
        <v>45294</v>
      </c>
      <c r="H352" s="26" t="s">
        <v>312</v>
      </c>
      <c r="I352" s="289">
        <v>45294</v>
      </c>
      <c r="J352" s="35" t="s">
        <v>1497</v>
      </c>
      <c r="K352" s="21">
        <v>45000</v>
      </c>
      <c r="L352" s="21"/>
      <c r="M352" s="22">
        <f>(PROVEEDORES[[#This Row],[SUBTOTAL]]-PROVEEDORES[[#This Row],[descuento sobre subtotal]])*VLOOKUP(PROVEEDORES[[#This Row],[PROVEEDOR]],TERCEROS_INFO[#All],3,FALSE)</f>
        <v>0</v>
      </c>
      <c r="N352" s="23"/>
      <c r="O352" s="22">
        <f>+PROVEEDORES[[#This Row],[Descuento sobre subtotal %]]*(PROVEEDORES[[#This Row],[SUBTOTAL]]-PROVEEDORES[[#This Row],[descuento sobre subtotal]])</f>
        <v>0</v>
      </c>
      <c r="P352" s="72">
        <f>+IF(PROVEEDORES[[#This Row],[SUBTOTAL]]&lt;PROVEEDORES[[#This Row],[base retencion]],0,PROVEEDORES[[#This Row],[retención aplicada]])</f>
        <v>0</v>
      </c>
      <c r="Q352" s="22">
        <f>+PROVEEDORES[[#This Row],[Rete Fuente %]]*(PROVEEDORES[[#This Row],[SUBTOTAL]]-PROVEEDORES[[#This Row],[descuento sobre subtotal]])</f>
        <v>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35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1">
        <f ca="1">IF(PROVEEDORES[[#This Row],[FECHA DE PAGO]]=0,TODAY()-PROVEEDORES[[#This Row],[FECHA DE FACTURACIÓN]]-PROVEEDORES[[#This Row],[PLAZO Días]],0)</f>
        <v>0</v>
      </c>
      <c r="U352" s="97">
        <f>+VLOOKUP(PROVEEDORES[[#This Row],[PROVEEDOR]],Terceros!$A:$D,4,FALSE)</f>
        <v>0</v>
      </c>
      <c r="V352" s="98">
        <f>+YEAR(PROVEEDORES[[#This Row],[FECHA DE FACTURACIÓN]])</f>
        <v>2024</v>
      </c>
      <c r="W352" s="98">
        <f>+MATCH(PROVEEDORES[[#This Row],[año facturado]],Retenciones!$1:$1,0)</f>
        <v>7</v>
      </c>
      <c r="X352" s="99">
        <f>+VLOOKUP(PROVEEDORES[[#This Row],[ID RETENCION]],Retenciones!$A$1:$O$25,PROVEEDORES[[#This Row],[indicador de columna]],FALSE)</f>
        <v>0</v>
      </c>
      <c r="Y352" s="100">
        <f>+VLOOKUP(PROVEEDORES[[#This Row],[ID RETENCION]],Retenciones!$A$1:$O$25,2,FALSE)</f>
        <v>0</v>
      </c>
      <c r="Z352" s="103" t="b">
        <f>OR(COUNTIF(PROVEEDORES[[#This Row],[PROVEEDOR]],"*"&amp;'Palabra no opera'!$A$2&amp;"*"))</f>
        <v>0</v>
      </c>
    </row>
    <row r="353" spans="1:26" ht="22.35" customHeight="1" x14ac:dyDescent="0.25">
      <c r="A353" s="310" t="str">
        <f>+IF(PROVEEDORES[[#This Row],[FECHA DE PAGO]]=PROVEEDORES[[#This Row],[FECHA DE FACTURACIÓN]],"DE CONTADO","CRÉDITO")</f>
        <v>DE CONTADO</v>
      </c>
      <c r="B353" s="38" t="b">
        <f>+IF((PROVEEDORES[[#This Row],[FECHA DE PAGO]]-PROVEEDORES[[#This Row],[FECHA DE FACTURACIÓN]])&gt;PROVEEDORES[[#This Row],[PLAZO Días]],"PAGO VENCIDO")</f>
        <v>0</v>
      </c>
      <c r="C353" s="20">
        <f>+VLOOKUP(PROVEEDORES[[#This Row],[PROVEEDOR]],TERCEROS_INFO[#All],2,FALSE)</f>
        <v>30</v>
      </c>
      <c r="D353" s="25">
        <f>+SUMIFS(PROVEEDORES[Total],PROVEEDORES[PROVEEDOR],PROVEEDORES[[#This Row],[PROVEEDOR]],PROVEEDORES[FECHA DE PAGO],"")</f>
        <v>4282200</v>
      </c>
      <c r="E353" s="25"/>
      <c r="F353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53" s="289">
        <v>45307</v>
      </c>
      <c r="H353" s="26" t="s">
        <v>312</v>
      </c>
      <c r="I353" s="289">
        <v>45307</v>
      </c>
      <c r="J353" s="35" t="s">
        <v>1498</v>
      </c>
      <c r="K353" s="21">
        <v>215000</v>
      </c>
      <c r="L353" s="21"/>
      <c r="M353" s="22">
        <f>(PROVEEDORES[[#This Row],[SUBTOTAL]]-PROVEEDORES[[#This Row],[descuento sobre subtotal]])*VLOOKUP(PROVEEDORES[[#This Row],[PROVEEDOR]],TERCEROS_INFO[#All],3,FALSE)</f>
        <v>0</v>
      </c>
      <c r="N353" s="23"/>
      <c r="O353" s="22">
        <f>+PROVEEDORES[[#This Row],[Descuento sobre subtotal %]]*(PROVEEDORES[[#This Row],[SUBTOTAL]]-PROVEEDORES[[#This Row],[descuento sobre subtotal]])</f>
        <v>0</v>
      </c>
      <c r="P353" s="72">
        <f>+IF(PROVEEDORES[[#This Row],[SUBTOTAL]]&lt;PROVEEDORES[[#This Row],[base retencion]],0,PROVEEDORES[[#This Row],[retención aplicada]])</f>
        <v>0</v>
      </c>
      <c r="Q353" s="22">
        <f>+PROVEEDORES[[#This Row],[Rete Fuente %]]*(PROVEEDORES[[#This Row],[SUBTOTAL]]-PROVEEDORES[[#This Row],[descuento sobre subtotal]])</f>
        <v>0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215000</v>
      </c>
      <c r="S35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1">
        <f ca="1">IF(PROVEEDORES[[#This Row],[FECHA DE PAGO]]=0,TODAY()-PROVEEDORES[[#This Row],[FECHA DE FACTURACIÓN]]-PROVEEDORES[[#This Row],[PLAZO Días]],0)</f>
        <v>0</v>
      </c>
      <c r="U353" s="97">
        <f>+VLOOKUP(PROVEEDORES[[#This Row],[PROVEEDOR]],Terceros!$A:$D,4,FALSE)</f>
        <v>0</v>
      </c>
      <c r="V353" s="98">
        <f>+YEAR(PROVEEDORES[[#This Row],[FECHA DE FACTURACIÓN]])</f>
        <v>2024</v>
      </c>
      <c r="W353" s="98">
        <f>+MATCH(PROVEEDORES[[#This Row],[año facturado]],Retenciones!$1:$1,0)</f>
        <v>7</v>
      </c>
      <c r="X353" s="99">
        <f>+VLOOKUP(PROVEEDORES[[#This Row],[ID RETENCION]],Retenciones!$A$1:$O$25,PROVEEDORES[[#This Row],[indicador de columna]],FALSE)</f>
        <v>0</v>
      </c>
      <c r="Y353" s="100">
        <f>+VLOOKUP(PROVEEDORES[[#This Row],[ID RETENCION]],Retenciones!$A$1:$O$25,2,FALSE)</f>
        <v>0</v>
      </c>
      <c r="Z353" s="103" t="b">
        <f>OR(COUNTIF(PROVEEDORES[[#This Row],[PROVEEDOR]],"*"&amp;'Palabra no opera'!$A$2&amp;"*"))</f>
        <v>0</v>
      </c>
    </row>
    <row r="354" spans="1:26" ht="22.35" customHeight="1" x14ac:dyDescent="0.25">
      <c r="A354" s="310" t="str">
        <f>+IF(PROVEEDORES[[#This Row],[FECHA DE PAGO]]=PROVEEDORES[[#This Row],[FECHA DE FACTURACIÓN]],"DE CONTADO","CRÉDITO")</f>
        <v>DE CONTADO</v>
      </c>
      <c r="B354" s="38" t="b">
        <f>+IF((PROVEEDORES[[#This Row],[FECHA DE PAGO]]-PROVEEDORES[[#This Row],[FECHA DE FACTURACIÓN]])&gt;PROVEEDORES[[#This Row],[PLAZO Días]],"PAGO VENCIDO")</f>
        <v>0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4282200</v>
      </c>
      <c r="E354" s="25"/>
      <c r="F354" s="56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54" s="289">
        <v>45300</v>
      </c>
      <c r="H354" s="26" t="s">
        <v>312</v>
      </c>
      <c r="I354" s="289">
        <v>45300</v>
      </c>
      <c r="J354" s="35" t="s">
        <v>1499</v>
      </c>
      <c r="K354" s="21">
        <v>68000</v>
      </c>
      <c r="L354" s="21"/>
      <c r="M354" s="22">
        <f>(PROVEEDORES[[#This Row],[SUBTOTAL]]-PROVEEDORES[[#This Row],[descuento sobre subtotal]])*VLOOKUP(PROVEEDORES[[#This Row],[PROVEEDOR]],TERCEROS_INFO[#All],3,FALSE)</f>
        <v>0</v>
      </c>
      <c r="N354" s="23"/>
      <c r="O354" s="22">
        <f>+PROVEEDORES[[#This Row],[Descuento sobre subtotal %]]*(PROVEEDORES[[#This Row],[SUBTOTAL]]-PROVEEDORES[[#This Row],[descuento sobre subtotal]])</f>
        <v>0</v>
      </c>
      <c r="P354" s="72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f>+PROVEEDORES[[#This Row],[SUBTOTAL]]+PROVEEDORES[[#This Row],[IVA 19%]]-PROVEEDORES[[#This Row],[descuento sobre subtotal]]-PROVEEDORES[[#This Row],[Descuento sobre subtotal $2]]-PROVEEDORES[[#This Row],[Rete Fuente $]]</f>
        <v>68000</v>
      </c>
      <c r="S35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1">
        <f ca="1">IF(PROVEEDORES[[#This Row],[FECHA DE PAGO]]=0,TODAY()-PROVEEDORES[[#This Row],[FECHA DE FACTURACIÓN]]-PROVEEDORES[[#This Row],[PLAZO Días]],0)</f>
        <v>0</v>
      </c>
      <c r="U354" s="97">
        <f>+VLOOKUP(PROVEEDORES[[#This Row],[PROVEEDOR]],Terceros!$A:$D,4,FALSE)</f>
        <v>0</v>
      </c>
      <c r="V354" s="98">
        <f>+YEAR(PROVEEDORES[[#This Row],[FECHA DE FACTURACIÓN]])</f>
        <v>2024</v>
      </c>
      <c r="W354" s="98">
        <f>+MATCH(PROVEEDORES[[#This Row],[año facturado]],Retenciones!$1:$1,0)</f>
        <v>7</v>
      </c>
      <c r="X354" s="99">
        <f>+VLOOKUP(PROVEEDORES[[#This Row],[ID RETENCION]],Retenciones!$A$1:$O$25,PROVEEDORES[[#This Row],[indicador de columna]],FALSE)</f>
        <v>0</v>
      </c>
      <c r="Y354" s="100">
        <f>+VLOOKUP(PROVEEDORES[[#This Row],[ID RETENCION]],Retenciones!$A$1:$O$25,2,FALSE)</f>
        <v>0</v>
      </c>
      <c r="Z354" s="103" t="b">
        <f>OR(COUNTIF(PROVEEDORES[[#This Row],[PROVEEDOR]],"*"&amp;'Palabra no opera'!$A$2&amp;"*"))</f>
        <v>0</v>
      </c>
    </row>
    <row r="355" spans="1:26" ht="22.35" customHeight="1" x14ac:dyDescent="0.25">
      <c r="A355" s="192" t="str">
        <f>+IF(PROVEEDORES[[#This Row],[FECHA DE PAGO]]=PROVEEDORES[[#This Row],[FECHA DE FACTURACIÓN]],"DE CONTADO","CRÉDITO")</f>
        <v>CRÉDITO</v>
      </c>
      <c r="B355" s="38" t="b">
        <f>+IF((PROVEEDORES[[#This Row],[FECHA DE PAGO]]-PROVEEDORES[[#This Row],[FECHA DE FACTURACIÓN]])&gt;PROVEEDORES[[#This Row],[PLAZO Días]],"PAGO VENCIDO")</f>
        <v>0</v>
      </c>
      <c r="C355" s="20">
        <f>+VLOOKUP(PROVEEDORES[[#This Row],[PROVEEDOR]],TERCEROS_INFO[#All],2,FALSE)</f>
        <v>30</v>
      </c>
      <c r="D355" s="25">
        <f>+SUMIFS(PROVEEDORES[Total],PROVEEDORES[PROVEEDOR],PROVEEDORES[[#This Row],[PROVEEDOR]],PROVEEDORES[FECHA DE PAGO],"")</f>
        <v>0</v>
      </c>
      <c r="E355" s="25"/>
      <c r="F355" s="56">
        <f>+VLOOKUP(PROVEEDORES[[#This Row],[PROVEEDOR]],
                       Terceros!$A:$F,
                       5,
                       FALSE)</f>
        <v>0</v>
      </c>
      <c r="G355" s="289">
        <v>45057</v>
      </c>
      <c r="H355" s="26" t="s">
        <v>773</v>
      </c>
      <c r="I355" s="289">
        <v>45030</v>
      </c>
      <c r="J355" s="35" t="s">
        <v>774</v>
      </c>
      <c r="K355" s="21">
        <v>164000</v>
      </c>
      <c r="L355" s="21"/>
      <c r="M355" s="22">
        <f>(PROVEEDORES[[#This Row],[SUBTOTAL]]-PROVEEDORES[[#This Row],[descuento sobre subtotal]])*VLOOKUP(PROVEEDORES[[#This Row],[PROVEEDOR]],TERCEROS_INFO[#All],3,FALSE)</f>
        <v>0</v>
      </c>
      <c r="N355" s="23"/>
      <c r="O355" s="22">
        <f>+PROVEEDORES[[#This Row],[Descuento sobre subtotal %]]*(PROVEEDORES[[#This Row],[SUBTOTAL]]-PROVEEDORES[[#This Row],[descuento sobre subtotal]])</f>
        <v>0</v>
      </c>
      <c r="P355" s="72">
        <f>+IF(PROVEEDORES[[#This Row],[SUBTOTAL]]&lt;PROVEEDORES[[#This Row],[base retencion]],0,PROVEEDORES[[#This Row],[retención aplicada]])</f>
        <v>0</v>
      </c>
      <c r="Q355" s="22">
        <f>+PROVEEDORES[[#This Row],[Rete Fuente %]]*(PROVEEDORES[[#This Row],[SUBTOTAL]]-PROVEEDORES[[#This Row],[descuento sobre subtotal]])</f>
        <v>0</v>
      </c>
      <c r="R355" s="21">
        <f>+PROVEEDORES[[#This Row],[SUBTOTAL]]+PROVEEDORES[[#This Row],[IVA 19%]]-PROVEEDORES[[#This Row],[descuento sobre subtotal]]-PROVEEDORES[[#This Row],[Descuento sobre subtotal $2]]-PROVEEDORES[[#This Row],[Rete Fuente $]]</f>
        <v>164000</v>
      </c>
      <c r="S35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1">
        <f ca="1">IF(PROVEEDORES[[#This Row],[FECHA DE PAGO]]=0,TODAY()-PROVEEDORES[[#This Row],[FECHA DE FACTURACIÓN]]-PROVEEDORES[[#This Row],[PLAZO Días]],0)</f>
        <v>0</v>
      </c>
      <c r="U355" s="97">
        <f>+VLOOKUP(PROVEEDORES[[#This Row],[PROVEEDOR]],Terceros!$A:$D,4,FALSE)</f>
        <v>0</v>
      </c>
      <c r="V355" s="98">
        <f>+YEAR(PROVEEDORES[[#This Row],[FECHA DE FACTURACIÓN]])</f>
        <v>2023</v>
      </c>
      <c r="W355" s="98">
        <f>+MATCH(PROVEEDORES[[#This Row],[año facturado]],Retenciones!$1:$1,0)</f>
        <v>6</v>
      </c>
      <c r="X355" s="99">
        <f>+VLOOKUP(PROVEEDORES[[#This Row],[ID RETENCION]],Retenciones!$A$1:$O$25,PROVEEDORES[[#This Row],[indicador de columna]],FALSE)</f>
        <v>0</v>
      </c>
      <c r="Y355" s="100">
        <f>+VLOOKUP(PROVEEDORES[[#This Row],[ID RETENCION]],Retenciones!$A$1:$O$25,2,FALSE)</f>
        <v>0</v>
      </c>
      <c r="Z355" s="103" t="b">
        <f>OR(COUNTIF(PROVEEDORES[[#This Row],[PROVEEDOR]],"*"&amp;'Palabra no opera'!$A$2&amp;"*"))</f>
        <v>0</v>
      </c>
    </row>
    <row r="356" spans="1:26" ht="22.35" customHeight="1" x14ac:dyDescent="0.25">
      <c r="A356" s="65" t="str">
        <f>+IF(PROVEEDORES[[#This Row],[FECHA DE PAGO]]=PROVEEDORES[[#This Row],[FECHA DE FACTURACIÓN]],"DE CONTADO","CRÉDITO")</f>
        <v>CRÉDITO</v>
      </c>
      <c r="B356" s="38" t="b">
        <f>+IF((PROVEEDORES[[#This Row],[FECHA DE PAGO]]-PROVEEDORES[[#This Row],[FECHA DE FACTURACIÓN]])&gt;PROVEEDORES[[#This Row],[PLAZO Días]],"PAGO VENCIDO")</f>
        <v>0</v>
      </c>
      <c r="C356" s="20">
        <f>+VLOOKUP(PROVEEDORES[[#This Row],[PROVEEDOR]],TERCEROS_INFO[#All],2,FALSE)</f>
        <v>30</v>
      </c>
      <c r="D356" s="25">
        <f>+SUMIFS(PROVEEDORES[Total],PROVEEDORES[PROVEEDOR],PROVEEDORES[[#This Row],[PROVEEDOR]],PROVEEDORES[FECHA DE PAGO],"")</f>
        <v>0</v>
      </c>
      <c r="E356" s="25"/>
      <c r="F356" s="56">
        <f>+VLOOKUP(PROVEEDORES[[#This Row],[PROVEEDOR]],
                       Terceros!$A:$F,
                       5,
                       FALSE)</f>
        <v>0</v>
      </c>
      <c r="G356" s="289">
        <v>45152</v>
      </c>
      <c r="H356" s="26" t="s">
        <v>527</v>
      </c>
      <c r="I356" s="289">
        <v>45146</v>
      </c>
      <c r="J356" s="35" t="s">
        <v>640</v>
      </c>
      <c r="K356" s="21">
        <v>-1149500</v>
      </c>
      <c r="L356" s="21"/>
      <c r="M356" s="22">
        <f>(PROVEEDORES[[#This Row],[SUBTOTAL]]-PROVEEDORES[[#This Row],[descuento sobre subtotal]])*VLOOKUP(PROVEEDORES[[#This Row],[PROVEEDOR]],TERCEROS_INFO[#All],3,FALSE)</f>
        <v>0</v>
      </c>
      <c r="N356" s="23"/>
      <c r="O356" s="22">
        <f>+PROVEEDORES[[#This Row],[Descuento sobre subtotal %]]*(PROVEEDORES[[#This Row],[SUBTOTAL]]-PROVEEDORES[[#This Row],[descuento sobre subtotal]])</f>
        <v>0</v>
      </c>
      <c r="P356" s="72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f>+PROVEEDORES[[#This Row],[SUBTOTAL]]+PROVEEDORES[[#This Row],[IVA 19%]]-PROVEEDORES[[#This Row],[descuento sobre subtotal]]-PROVEEDORES[[#This Row],[Descuento sobre subtotal $2]]-PROVEEDORES[[#This Row],[Rete Fuente $]]</f>
        <v>-1149500</v>
      </c>
      <c r="S3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1">
        <f ca="1">IF(PROVEEDORES[[#This Row],[FECHA DE PAGO]]=0,TODAY()-PROVEEDORES[[#This Row],[FECHA DE FACTURACIÓN]]-PROVEEDORES[[#This Row],[PLAZO Días]],0)</f>
        <v>0</v>
      </c>
      <c r="U356" s="97">
        <f>+VLOOKUP(PROVEEDORES[[#This Row],[PROVEEDOR]],Terceros!$A:$D,4,FALSE)</f>
        <v>0</v>
      </c>
      <c r="V356" s="98">
        <f>+YEAR(PROVEEDORES[[#This Row],[FECHA DE FACTURACIÓN]])</f>
        <v>2023</v>
      </c>
      <c r="W356" s="98">
        <f>+MATCH(PROVEEDORES[[#This Row],[año facturado]],Retenciones!$1:$1,0)</f>
        <v>6</v>
      </c>
      <c r="X356" s="99">
        <f>+VLOOKUP(PROVEEDORES[[#This Row],[ID RETENCION]],Retenciones!$A$1:$O$25,PROVEEDORES[[#This Row],[indicador de columna]],FALSE)</f>
        <v>0</v>
      </c>
      <c r="Y356" s="100">
        <f>+VLOOKUP(PROVEEDORES[[#This Row],[ID RETENCION]],Retenciones!$A$1:$O$25,2,FALSE)</f>
        <v>0</v>
      </c>
      <c r="Z356" s="103" t="b">
        <f>OR(COUNTIF(PROVEEDORES[[#This Row],[PROVEEDOR]],"*"&amp;'Palabra no opera'!$A$2&amp;"*"))</f>
        <v>0</v>
      </c>
    </row>
    <row r="357" spans="1:26" ht="22.35" customHeight="1" x14ac:dyDescent="0.25">
      <c r="A357" s="65" t="str">
        <f>+IF(PROVEEDORES[[#This Row],[FECHA DE PAGO]]=PROVEEDORES[[#This Row],[FECHA DE FACTURACIÓN]],"DE CONTADO","CRÉDITO")</f>
        <v>CRÉDITO</v>
      </c>
      <c r="B357" s="38" t="b">
        <f>+IF((PROVEEDORES[[#This Row],[FECHA DE PAGO]]-PROVEEDORES[[#This Row],[FECHA DE FACTURACIÓN]])&gt;PROVEEDORES[[#This Row],[PLAZO Días]],"PAGO VENCIDO")</f>
        <v>0</v>
      </c>
      <c r="C357" s="20">
        <f>+VLOOKUP(PROVEEDORES[[#This Row],[PROVEEDOR]],TERCEROS_INFO[#All],2,FALSE)</f>
        <v>30</v>
      </c>
      <c r="D357" s="25">
        <f>+SUMIFS(PROVEEDORES[Total],PROVEEDORES[PROVEEDOR],PROVEEDORES[[#This Row],[PROVEEDOR]],PROVEEDORES[FECHA DE PAGO],"")</f>
        <v>0</v>
      </c>
      <c r="E357" s="25"/>
      <c r="F357" s="56">
        <f>+VLOOKUP(PROVEEDORES[[#This Row],[PROVEEDOR]],
                       Terceros!$A:$F,
                       5,
                       FALSE)</f>
        <v>0</v>
      </c>
      <c r="G357" s="289">
        <v>45182</v>
      </c>
      <c r="H357" s="26" t="s">
        <v>527</v>
      </c>
      <c r="I357" s="289">
        <v>45176</v>
      </c>
      <c r="J357" s="35" t="s">
        <v>1112</v>
      </c>
      <c r="K357" s="21">
        <v>2299500</v>
      </c>
      <c r="L357" s="21"/>
      <c r="M357" s="22">
        <f>(PROVEEDORES[[#This Row],[SUBTOTAL]]-PROVEEDORES[[#This Row],[descuento sobre subtotal]])*VLOOKUP(PROVEEDORES[[#This Row],[PROVEEDOR]],TERCEROS_INFO[#All],3,FALSE)</f>
        <v>0</v>
      </c>
      <c r="N357" s="23"/>
      <c r="O357" s="22">
        <f>+PROVEEDORES[[#This Row],[Descuento sobre subtotal %]]*(PROVEEDORES[[#This Row],[SUBTOTAL]]-PROVEEDORES[[#This Row],[descuento sobre subtotal]])</f>
        <v>0</v>
      </c>
      <c r="P357" s="72">
        <f>+IF(PROVEEDORES[[#This Row],[SUBTOTAL]]&lt;PROVEEDORES[[#This Row],[base retencion]],0,PROVEEDORES[[#This Row],[retención aplicada]])</f>
        <v>0</v>
      </c>
      <c r="Q357" s="22">
        <f>+PROVEEDORES[[#This Row],[Rete Fuente %]]*(PROVEEDORES[[#This Row],[SUBTOTAL]]-PROVEEDORES[[#This Row],[descuento sobre subtotal]])</f>
        <v>0</v>
      </c>
      <c r="R357" s="21">
        <f>+PROVEEDORES[[#This Row],[SUBTOTAL]]+PROVEEDORES[[#This Row],[IVA 19%]]-PROVEEDORES[[#This Row],[descuento sobre subtotal]]-PROVEEDORES[[#This Row],[Descuento sobre subtotal $2]]-PROVEEDORES[[#This Row],[Rete Fuente $]]</f>
        <v>2299500</v>
      </c>
      <c r="S3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1">
        <f ca="1">IF(PROVEEDORES[[#This Row],[FECHA DE PAGO]]=0,TODAY()-PROVEEDORES[[#This Row],[FECHA DE FACTURACIÓN]]-PROVEEDORES[[#This Row],[PLAZO Días]],0)</f>
        <v>0</v>
      </c>
      <c r="U357" s="97">
        <f>+VLOOKUP(PROVEEDORES[[#This Row],[PROVEEDOR]],Terceros!$A:$D,4,FALSE)</f>
        <v>0</v>
      </c>
      <c r="V357" s="98">
        <f>+YEAR(PROVEEDORES[[#This Row],[FECHA DE FACTURACIÓN]])</f>
        <v>2023</v>
      </c>
      <c r="W357" s="98">
        <f>+MATCH(PROVEEDORES[[#This Row],[año facturado]],Retenciones!$1:$1,0)</f>
        <v>6</v>
      </c>
      <c r="X357" s="99">
        <f>+VLOOKUP(PROVEEDORES[[#This Row],[ID RETENCION]],Retenciones!$A$1:$O$25,PROVEEDORES[[#This Row],[indicador de columna]],FALSE)</f>
        <v>0</v>
      </c>
      <c r="Y357" s="100">
        <f>+VLOOKUP(PROVEEDORES[[#This Row],[ID RETENCION]],Retenciones!$A$1:$O$25,2,FALSE)</f>
        <v>0</v>
      </c>
      <c r="Z357" s="103" t="b">
        <f>OR(COUNTIF(PROVEEDORES[[#This Row],[PROVEEDOR]],"*"&amp;'Palabra no opera'!$A$2&amp;"*"))</f>
        <v>0</v>
      </c>
    </row>
    <row r="358" spans="1:26" ht="22.35" customHeight="1" x14ac:dyDescent="0.25">
      <c r="A358" s="65" t="str">
        <f>+IF(PROVEEDORES[[#This Row],[FECHA DE PAGO]]=PROVEEDORES[[#This Row],[FECHA DE FACTURACIÓN]],"DE CONTADO","CRÉDITO")</f>
        <v>CRÉDITO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406756</v>
      </c>
      <c r="E358" s="25"/>
      <c r="F358" s="56" t="str">
        <f>+VLOOKUP(PROVEEDORES[[#This Row],[PROVEEDOR]],
                       Terceros!$A:$F,
                       5,
                       FALSE)</f>
        <v/>
      </c>
      <c r="G358" s="289">
        <v>44977</v>
      </c>
      <c r="H358" s="26" t="s">
        <v>568</v>
      </c>
      <c r="I358" s="289">
        <v>44958</v>
      </c>
      <c r="J358" s="35">
        <v>31</v>
      </c>
      <c r="K358" s="21">
        <v>251000</v>
      </c>
      <c r="L358" s="21"/>
      <c r="M358" s="22">
        <f>(PROVEEDORES[[#This Row],[SUBTOTAL]]-PROVEEDORES[[#This Row],[descuento sobre subtotal]])*VLOOKUP(PROVEEDORES[[#This Row],[PROVEEDOR]],TERCEROS_INFO[#All],3,FALSE)</f>
        <v>0</v>
      </c>
      <c r="N358" s="23"/>
      <c r="O358" s="22">
        <f>+PROVEEDORES[[#This Row],[Descuento sobre subtotal %]]*(PROVEEDORES[[#This Row],[SUBTOTAL]]-PROVEEDORES[[#This Row],[descuento sobre subtotal]])</f>
        <v>0</v>
      </c>
      <c r="P358" s="72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3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1">
        <f ca="1">IF(PROVEEDORES[[#This Row],[FECHA DE PAGO]]=0,TODAY()-PROVEEDORES[[#This Row],[FECHA DE FACTURACIÓN]]-PROVEEDORES[[#This Row],[PLAZO Días]],0)</f>
        <v>0</v>
      </c>
      <c r="U358" s="97">
        <f>+VLOOKUP(PROVEEDORES[[#This Row],[PROVEEDOR]],Terceros!$A:$D,4,FALSE)</f>
        <v>0</v>
      </c>
      <c r="V358" s="98">
        <f>+YEAR(PROVEEDORES[[#This Row],[FECHA DE FACTURACIÓN]])</f>
        <v>2023</v>
      </c>
      <c r="W358" s="98">
        <f>+MATCH(PROVEEDORES[[#This Row],[año facturado]],Retenciones!$1:$1,0)</f>
        <v>6</v>
      </c>
      <c r="X358" s="99">
        <f>+VLOOKUP(PROVEEDORES[[#This Row],[ID RETENCION]],Retenciones!$A$1:$O$25,PROVEEDORES[[#This Row],[indicador de columna]],FALSE)</f>
        <v>0</v>
      </c>
      <c r="Y358" s="100">
        <f>+VLOOKUP(PROVEEDORES[[#This Row],[ID RETENCION]],Retenciones!$A$1:$O$25,2,FALSE)</f>
        <v>0</v>
      </c>
      <c r="Z358" s="103" t="b">
        <f>OR(COUNTIF(PROVEEDORES[[#This Row],[PROVEEDOR]],"*"&amp;'Palabra no opera'!$A$2&amp;"*"))</f>
        <v>0</v>
      </c>
    </row>
    <row r="359" spans="1:26" ht="22.35" customHeight="1" x14ac:dyDescent="0.25">
      <c r="A359" s="65" t="str">
        <f>+IF(PROVEEDORES[[#This Row],[FECHA DE PAGO]]=PROVEEDORES[[#This Row],[FECHA DE FACTURACIÓN]],"DE CONTADO","CRÉDITO")</f>
        <v>CRÉDITO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30</v>
      </c>
      <c r="D359" s="25">
        <f>+SUMIFS(PROVEEDORES[Total],PROVEEDORES[PROVEEDOR],PROVEEDORES[[#This Row],[PROVEEDOR]],PROVEEDORES[FECHA DE PAGO],"")</f>
        <v>406756</v>
      </c>
      <c r="E359" s="25"/>
      <c r="F359" s="56" t="str">
        <f>+VLOOKUP(PROVEEDORES[[#This Row],[PROVEEDOR]],
                       Terceros!$A:$F,
                       5,
                       FALSE)</f>
        <v/>
      </c>
      <c r="G359" s="289">
        <v>44977</v>
      </c>
      <c r="H359" s="26" t="s">
        <v>568</v>
      </c>
      <c r="I359" s="289">
        <v>44958</v>
      </c>
      <c r="J359" s="35">
        <v>32</v>
      </c>
      <c r="K359" s="21">
        <v>70000</v>
      </c>
      <c r="L359" s="21"/>
      <c r="M359" s="22">
        <f>(PROVEEDORES[[#This Row],[SUBTOTAL]]-PROVEEDORES[[#This Row],[descuento sobre subtotal]])*VLOOKUP(PROVEEDORES[[#This Row],[PROVEEDOR]],TERCEROS_INFO[#All],3,FALSE)</f>
        <v>0</v>
      </c>
      <c r="N359" s="23"/>
      <c r="O359" s="22">
        <f>+PROVEEDORES[[#This Row],[Descuento sobre subtotal %]]*(PROVEEDORES[[#This Row],[SUBTOTAL]]-PROVEEDORES[[#This Row],[descuento sobre subtotal]])</f>
        <v>0</v>
      </c>
      <c r="P359" s="72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70000</v>
      </c>
      <c r="S3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1">
        <f ca="1">IF(PROVEEDORES[[#This Row],[FECHA DE PAGO]]=0,TODAY()-PROVEEDORES[[#This Row],[FECHA DE FACTURACIÓN]]-PROVEEDORES[[#This Row],[PLAZO Días]],0)</f>
        <v>0</v>
      </c>
      <c r="U359" s="97">
        <f>+VLOOKUP(PROVEEDORES[[#This Row],[PROVEEDOR]],Terceros!$A:$D,4,FALSE)</f>
        <v>0</v>
      </c>
      <c r="V359" s="98">
        <f>+YEAR(PROVEEDORES[[#This Row],[FECHA DE FACTURACIÓN]])</f>
        <v>2023</v>
      </c>
      <c r="W359" s="98">
        <f>+MATCH(PROVEEDORES[[#This Row],[año facturado]],Retenciones!$1:$1,0)</f>
        <v>6</v>
      </c>
      <c r="X359" s="99">
        <f>+VLOOKUP(PROVEEDORES[[#This Row],[ID RETENCION]],Retenciones!$A$1:$O$25,PROVEEDORES[[#This Row],[indicador de columna]],FALSE)</f>
        <v>0</v>
      </c>
      <c r="Y359" s="100">
        <f>+VLOOKUP(PROVEEDORES[[#This Row],[ID RETENCION]],Retenciones!$A$1:$O$25,2,FALSE)</f>
        <v>0</v>
      </c>
      <c r="Z359" s="103" t="b">
        <f>OR(COUNTIF(PROVEEDORES[[#This Row],[PROVEEDOR]],"*"&amp;'Palabra no opera'!$A$2&amp;"*"))</f>
        <v>0</v>
      </c>
    </row>
    <row r="360" spans="1:26" ht="22.35" customHeight="1" x14ac:dyDescent="0.25">
      <c r="A360" s="65" t="str">
        <f>+IF(PROVEEDORES[[#This Row],[FECHA DE PAGO]]=PROVEEDORES[[#This Row],[FECHA DE FACTURACIÓN]],"DE CONTADO","CRÉDITO")</f>
        <v>CRÉDITO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406756</v>
      </c>
      <c r="E360" s="25"/>
      <c r="F360" s="56" t="str">
        <f>+VLOOKUP(PROVEEDORES[[#This Row],[PROVEEDOR]],
                       Terceros!$A:$F,
                       5,
                       FALSE)</f>
        <v/>
      </c>
      <c r="G360" s="289">
        <v>44977</v>
      </c>
      <c r="H360" s="26" t="s">
        <v>568</v>
      </c>
      <c r="I360" s="289">
        <v>44958</v>
      </c>
      <c r="J360" s="35">
        <v>33</v>
      </c>
      <c r="K360" s="21">
        <v>339400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72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339400</v>
      </c>
      <c r="S3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1">
        <f ca="1">IF(PROVEEDORES[[#This Row],[FECHA DE PAGO]]=0,TODAY()-PROVEEDORES[[#This Row],[FECHA DE FACTURACIÓN]]-PROVEEDORES[[#This Row],[PLAZO Días]],0)</f>
        <v>0</v>
      </c>
      <c r="U360" s="97">
        <f>+VLOOKUP(PROVEEDORES[[#This Row],[PROVEEDOR]],Terceros!$A:$D,4,FALSE)</f>
        <v>0</v>
      </c>
      <c r="V360" s="98">
        <f>+YEAR(PROVEEDORES[[#This Row],[FECHA DE FACTURACIÓN]])</f>
        <v>2023</v>
      </c>
      <c r="W360" s="98">
        <f>+MATCH(PROVEEDORES[[#This Row],[año facturado]],Retenciones!$1:$1,0)</f>
        <v>6</v>
      </c>
      <c r="X360" s="99">
        <f>+VLOOKUP(PROVEEDORES[[#This Row],[ID RETENCION]],Retenciones!$A$1:$O$25,PROVEEDORES[[#This Row],[indicador de columna]],FALSE)</f>
        <v>0</v>
      </c>
      <c r="Y360" s="100">
        <f>+VLOOKUP(PROVEEDORES[[#This Row],[ID RETENCION]],Retenciones!$A$1:$O$25,2,FALSE)</f>
        <v>0</v>
      </c>
      <c r="Z360" s="103" t="b">
        <f>OR(COUNTIF(PROVEEDORES[[#This Row],[PROVEEDOR]],"*"&amp;'Palabra no opera'!$A$2&amp;"*"))</f>
        <v>0</v>
      </c>
    </row>
    <row r="361" spans="1:26" ht="22.35" customHeight="1" x14ac:dyDescent="0.25">
      <c r="A361" s="153" t="str">
        <f>+IF(PROVEEDORES[[#This Row],[FECHA DE PAGO]]=PROVEEDORES[[#This Row],[FECHA DE FACTURACIÓN]],"DE CONTADO","CRÉDITO")</f>
        <v>CRÉDITO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30</v>
      </c>
      <c r="D361" s="25">
        <f>+SUMIFS(PROVEEDORES[Total],PROVEEDORES[PROVEEDOR],PROVEEDORES[[#This Row],[PROVEEDOR]],PROVEEDORES[FECHA DE PAGO],"")</f>
        <v>406756</v>
      </c>
      <c r="E361" s="25"/>
      <c r="F361" s="56" t="str">
        <f>+VLOOKUP(PROVEEDORES[[#This Row],[PROVEEDOR]],
                       Terceros!$A:$F,
                       5,
                       FALSE)</f>
        <v/>
      </c>
      <c r="G361" s="289">
        <v>44977</v>
      </c>
      <c r="H361" s="26" t="s">
        <v>315</v>
      </c>
      <c r="I361" s="289">
        <v>44959</v>
      </c>
      <c r="J361" s="35">
        <v>25</v>
      </c>
      <c r="K361" s="21">
        <v>87000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72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87000</v>
      </c>
      <c r="S361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1">
        <f ca="1">IF(PROVEEDORES[[#This Row],[FECHA DE PAGO]]=0,TODAY()-PROVEEDORES[[#This Row],[FECHA DE FACTURACIÓN]]-PROVEEDORES[[#This Row],[PLAZO Días]],0)</f>
        <v>0</v>
      </c>
      <c r="U361" s="97">
        <f>+VLOOKUP(PROVEEDORES[[#This Row],[PROVEEDOR]],Terceros!$A:$D,4,FALSE)</f>
        <v>0</v>
      </c>
      <c r="V361" s="98">
        <f>+YEAR(PROVEEDORES[[#This Row],[FECHA DE FACTURACIÓN]])</f>
        <v>2023</v>
      </c>
      <c r="W361" s="98">
        <f>+MATCH(PROVEEDORES[[#This Row],[año facturado]],Retenciones!$1:$1,0)</f>
        <v>6</v>
      </c>
      <c r="X361" s="99">
        <f>+VLOOKUP(PROVEEDORES[[#This Row],[ID RETENCION]],Retenciones!$A$1:$O$25,PROVEEDORES[[#This Row],[indicador de columna]],FALSE)</f>
        <v>0</v>
      </c>
      <c r="Y361" s="100">
        <f>+VLOOKUP(PROVEEDORES[[#This Row],[ID RETENCION]],Retenciones!$A$1:$O$25,2,FALSE)</f>
        <v>0</v>
      </c>
      <c r="Z361" s="103" t="b">
        <f>OR(COUNTIF(PROVEEDORES[[#This Row],[PROVEEDOR]],"*"&amp;'Palabra no opera'!$A$2&amp;"*"))</f>
        <v>0</v>
      </c>
    </row>
    <row r="362" spans="1:26" ht="22.35" customHeight="1" x14ac:dyDescent="0.25">
      <c r="A362" s="153" t="str">
        <f>+IF(PROVEEDORES[[#This Row],[FECHA DE PAGO]]=PROVEEDORES[[#This Row],[FECHA DE FACTURACIÓN]],"DE CONTADO","CRÉDITO")</f>
        <v>CRÉDITO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30</v>
      </c>
      <c r="D362" s="25">
        <f>+SUMIFS(PROVEEDORES[Total],PROVEEDORES[PROVEEDOR],PROVEEDORES[[#This Row],[PROVEEDOR]],PROVEEDORES[FECHA DE PAGO],"")</f>
        <v>406756</v>
      </c>
      <c r="E362" s="25"/>
      <c r="F362" s="56" t="str">
        <f>+VLOOKUP(PROVEEDORES[[#This Row],[PROVEEDOR]],
                       Terceros!$A:$F,
                       5,
                       FALSE)</f>
        <v/>
      </c>
      <c r="G362" s="289">
        <v>44977</v>
      </c>
      <c r="H362" s="26" t="s">
        <v>315</v>
      </c>
      <c r="I362" s="289">
        <v>44959</v>
      </c>
      <c r="J362" s="35">
        <v>28</v>
      </c>
      <c r="K362" s="21">
        <v>196500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72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196500</v>
      </c>
      <c r="S362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1">
        <f ca="1">IF(PROVEEDORES[[#This Row],[FECHA DE PAGO]]=0,TODAY()-PROVEEDORES[[#This Row],[FECHA DE FACTURACIÓN]]-PROVEEDORES[[#This Row],[PLAZO Días]],0)</f>
        <v>0</v>
      </c>
      <c r="U362" s="97">
        <f>+VLOOKUP(PROVEEDORES[[#This Row],[PROVEEDOR]],Terceros!$A:$D,4,FALSE)</f>
        <v>0</v>
      </c>
      <c r="V362" s="98">
        <f>+YEAR(PROVEEDORES[[#This Row],[FECHA DE FACTURACIÓN]])</f>
        <v>2023</v>
      </c>
      <c r="W362" s="98">
        <f>+MATCH(PROVEEDORES[[#This Row],[año facturado]],Retenciones!$1:$1,0)</f>
        <v>6</v>
      </c>
      <c r="X362" s="99">
        <f>+VLOOKUP(PROVEEDORES[[#This Row],[ID RETENCION]],Retenciones!$A$1:$O$25,PROVEEDORES[[#This Row],[indicador de columna]],FALSE)</f>
        <v>0</v>
      </c>
      <c r="Y362" s="100">
        <f>+VLOOKUP(PROVEEDORES[[#This Row],[ID RETENCION]],Retenciones!$A$1:$O$25,2,FALSE)</f>
        <v>0</v>
      </c>
      <c r="Z362" s="103" t="b">
        <f>OR(COUNTIF(PROVEEDORES[[#This Row],[PROVEEDOR]],"*"&amp;'Palabra no opera'!$A$2&amp;"*"))</f>
        <v>0</v>
      </c>
    </row>
    <row r="363" spans="1:26" ht="22.35" customHeight="1" x14ac:dyDescent="0.25">
      <c r="A363" s="153" t="str">
        <f>+IF(PROVEEDORES[[#This Row],[FECHA DE PAGO]]=PROVEEDORES[[#This Row],[FECHA DE FACTURACIÓN]],"DE CONTADO","CRÉDITO")</f>
        <v>CRÉDITO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30</v>
      </c>
      <c r="D363" s="25">
        <f>+SUMIFS(PROVEEDORES[Total],PROVEEDORES[PROVEEDOR],PROVEEDORES[[#This Row],[PROVEEDOR]],PROVEEDORES[FECHA DE PAGO],"")</f>
        <v>406756</v>
      </c>
      <c r="E363" s="25"/>
      <c r="F363" s="56" t="str">
        <f>+VLOOKUP(PROVEEDORES[[#This Row],[PROVEEDOR]],
                       Terceros!$A:$F,
                       5,
                       FALSE)</f>
        <v/>
      </c>
      <c r="G363" s="289">
        <v>44977</v>
      </c>
      <c r="H363" s="26" t="s">
        <v>315</v>
      </c>
      <c r="I363" s="289">
        <v>44959</v>
      </c>
      <c r="J363" s="35">
        <v>29</v>
      </c>
      <c r="K363" s="21">
        <v>33000</v>
      </c>
      <c r="L363" s="21"/>
      <c r="M363" s="22">
        <f>(PROVEEDORES[[#This Row],[SUBTOTAL]]-PROVEEDORES[[#This Row],[descuento sobre subtotal]])*VLOOKUP(PROVEEDORES[[#This Row],[PROVEEDOR]],TERCEROS_INFO[#All],3,FALSE)</f>
        <v>0</v>
      </c>
      <c r="N363" s="23"/>
      <c r="O363" s="22">
        <f>+PROVEEDORES[[#This Row],[Descuento sobre subtotal %]]*(PROVEEDORES[[#This Row],[SUBTOTAL]]-PROVEEDORES[[#This Row],[descuento sobre subtotal]])</f>
        <v>0</v>
      </c>
      <c r="P363" s="72">
        <f>+IF(PROVEEDORES[[#This Row],[SUBTOTAL]]&lt;PROVEEDORES[[#This Row],[base retencion]],0,PROVEEDORES[[#This Row],[retención aplicada]])</f>
        <v>0</v>
      </c>
      <c r="Q363" s="22">
        <f>+PROVEEDORES[[#This Row],[Rete Fuente %]]*(PROVEEDORES[[#This Row],[SUBTOTAL]]-PROVEEDORES[[#This Row],[descuento sobre subtotal]])</f>
        <v>0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33000</v>
      </c>
      <c r="S363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1">
        <f ca="1">IF(PROVEEDORES[[#This Row],[FECHA DE PAGO]]=0,TODAY()-PROVEEDORES[[#This Row],[FECHA DE FACTURACIÓN]]-PROVEEDORES[[#This Row],[PLAZO Días]],0)</f>
        <v>0</v>
      </c>
      <c r="U363" s="97">
        <f>+VLOOKUP(PROVEEDORES[[#This Row],[PROVEEDOR]],Terceros!$A:$D,4,FALSE)</f>
        <v>0</v>
      </c>
      <c r="V363" s="98">
        <f>+YEAR(PROVEEDORES[[#This Row],[FECHA DE FACTURACIÓN]])</f>
        <v>2023</v>
      </c>
      <c r="W363" s="98">
        <f>+MATCH(PROVEEDORES[[#This Row],[año facturado]],Retenciones!$1:$1,0)</f>
        <v>6</v>
      </c>
      <c r="X363" s="99">
        <f>+VLOOKUP(PROVEEDORES[[#This Row],[ID RETENCION]],Retenciones!$A$1:$O$25,PROVEEDORES[[#This Row],[indicador de columna]],FALSE)</f>
        <v>0</v>
      </c>
      <c r="Y363" s="100">
        <f>+VLOOKUP(PROVEEDORES[[#This Row],[ID RETENCION]],Retenciones!$A$1:$O$25,2,FALSE)</f>
        <v>0</v>
      </c>
      <c r="Z363" s="103" t="b">
        <f>OR(COUNTIF(PROVEEDORES[[#This Row],[PROVEEDOR]],"*"&amp;'Palabra no opera'!$A$2&amp;"*"))</f>
        <v>0</v>
      </c>
    </row>
    <row r="364" spans="1:26" ht="22.35" customHeight="1" x14ac:dyDescent="0.25">
      <c r="A364" s="153" t="str">
        <f>+IF(PROVEEDORES[[#This Row],[FECHA DE PAGO]]=PROVEEDORES[[#This Row],[FECHA DE FACTURACIÓN]],"DE CONTADO","CRÉDITO")</f>
        <v>CRÉDITO</v>
      </c>
      <c r="B364" s="38" t="b">
        <f>+IF((PROVEEDORES[[#This Row],[FECHA DE PAGO]]-PROVEEDORES[[#This Row],[FECHA DE FACTURACIÓN]])&gt;PROVEEDORES[[#This Row],[PLAZO Días]],"PAGO VENCIDO")</f>
        <v>0</v>
      </c>
      <c r="C364" s="20">
        <f>+VLOOKUP(PROVEEDORES[[#This Row],[PROVEEDOR]],TERCEROS_INFO[#All],2,FALSE)</f>
        <v>30</v>
      </c>
      <c r="D364" s="25">
        <f>+SUMIFS(PROVEEDORES[Total],PROVEEDORES[PROVEEDOR],PROVEEDORES[[#This Row],[PROVEEDOR]],PROVEEDORES[FECHA DE PAGO],"")</f>
        <v>406756</v>
      </c>
      <c r="E364" s="25"/>
      <c r="F364" s="56" t="str">
        <f>+VLOOKUP(PROVEEDORES[[#This Row],[PROVEEDOR]],
                       Terceros!$A:$F,
                       5,
                       FALSE)</f>
        <v/>
      </c>
      <c r="G364" s="289">
        <v>44977</v>
      </c>
      <c r="H364" s="26" t="s">
        <v>315</v>
      </c>
      <c r="I364" s="289">
        <v>44959</v>
      </c>
      <c r="J364" s="35">
        <v>30</v>
      </c>
      <c r="K364" s="21">
        <v>64500</v>
      </c>
      <c r="L364" s="21"/>
      <c r="M364" s="22">
        <f>(PROVEEDORES[[#This Row],[SUBTOTAL]]-PROVEEDORES[[#This Row],[descuento sobre subtotal]])*VLOOKUP(PROVEEDORES[[#This Row],[PROVEEDOR]],TERCEROS_INFO[#All],3,FALSE)</f>
        <v>0</v>
      </c>
      <c r="N364" s="23"/>
      <c r="O364" s="22">
        <f>+PROVEEDORES[[#This Row],[Descuento sobre subtotal %]]*(PROVEEDORES[[#This Row],[SUBTOTAL]]-PROVEEDORES[[#This Row],[descuento sobre subtotal]])</f>
        <v>0</v>
      </c>
      <c r="P364" s="72">
        <f>+IF(PROVEEDORES[[#This Row],[SUBTOTAL]]&lt;PROVEEDORES[[#This Row],[base retencion]],0,PROVEEDORES[[#This Row],[retención aplicada]])</f>
        <v>0</v>
      </c>
      <c r="Q364" s="22">
        <f>+PROVEEDORES[[#This Row],[Rete Fuente %]]*(PROVEEDORES[[#This Row],[SUBTOTAL]]-PROVEEDORES[[#This Row],[descuento sobre subtotal]])</f>
        <v>0</v>
      </c>
      <c r="R364" s="21">
        <f>+PROVEEDORES[[#This Row],[SUBTOTAL]]+PROVEEDORES[[#This Row],[IVA 19%]]-PROVEEDORES[[#This Row],[descuento sobre subtotal]]-PROVEEDORES[[#This Row],[Descuento sobre subtotal $2]]-PROVEEDORES[[#This Row],[Rete Fuente $]]</f>
        <v>64500</v>
      </c>
      <c r="S364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1">
        <f ca="1">IF(PROVEEDORES[[#This Row],[FECHA DE PAGO]]=0,TODAY()-PROVEEDORES[[#This Row],[FECHA DE FACTURACIÓN]]-PROVEEDORES[[#This Row],[PLAZO Días]],0)</f>
        <v>0</v>
      </c>
      <c r="U364" s="97">
        <f>+VLOOKUP(PROVEEDORES[[#This Row],[PROVEEDOR]],Terceros!$A:$D,4,FALSE)</f>
        <v>0</v>
      </c>
      <c r="V364" s="98">
        <f>+YEAR(PROVEEDORES[[#This Row],[FECHA DE FACTURACIÓN]])</f>
        <v>2023</v>
      </c>
      <c r="W364" s="98">
        <f>+MATCH(PROVEEDORES[[#This Row],[año facturado]],Retenciones!$1:$1,0)</f>
        <v>6</v>
      </c>
      <c r="X364" s="99">
        <f>+VLOOKUP(PROVEEDORES[[#This Row],[ID RETENCION]],Retenciones!$A$1:$O$25,PROVEEDORES[[#This Row],[indicador de columna]],FALSE)</f>
        <v>0</v>
      </c>
      <c r="Y364" s="100">
        <f>+VLOOKUP(PROVEEDORES[[#This Row],[ID RETENCION]],Retenciones!$A$1:$O$25,2,FALSE)</f>
        <v>0</v>
      </c>
      <c r="Z364" s="103" t="b">
        <f>OR(COUNTIF(PROVEEDORES[[#This Row],[PROVEEDOR]],"*"&amp;'Palabra no opera'!$A$2&amp;"*"))</f>
        <v>0</v>
      </c>
    </row>
    <row r="365" spans="1:26" ht="22.35" customHeight="1" x14ac:dyDescent="0.25">
      <c r="A365" s="153" t="str">
        <f>+IF(PROVEEDORES[[#This Row],[FECHA DE PAGO]]=PROVEEDORES[[#This Row],[FECHA DE FACTURACIÓN]],"DE CONTADO","CRÉDITO")</f>
        <v>CRÉDITO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30</v>
      </c>
      <c r="D365" s="25">
        <f>+SUMIFS(PROVEEDORES[Total],PROVEEDORES[PROVEEDOR],PROVEEDORES[[#This Row],[PROVEEDOR]],PROVEEDORES[FECHA DE PAGO],"")</f>
        <v>406756</v>
      </c>
      <c r="E365" s="25"/>
      <c r="F365" s="56" t="str">
        <f>+VLOOKUP(PROVEEDORES[[#This Row],[PROVEEDOR]],
                       Terceros!$A:$F,
                       5,
                       FALSE)</f>
        <v/>
      </c>
      <c r="G365" s="289">
        <v>44977</v>
      </c>
      <c r="H365" s="26" t="s">
        <v>315</v>
      </c>
      <c r="I365" s="289">
        <v>44959</v>
      </c>
      <c r="J365" s="35">
        <v>34</v>
      </c>
      <c r="K365" s="21">
        <v>411500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72">
        <f>+IF(PROVEEDORES[[#This Row],[SUBTOTAL]]&lt;PROVEEDORES[[#This Row],[base retencion]],0,PROVEEDORES[[#This Row],[retención aplicada]])</f>
        <v>0</v>
      </c>
      <c r="Q365" s="22">
        <f>+PROVEEDORES[[#This Row],[Rete Fuente %]]*(PROVEEDORES[[#This Row],[SUBTOTAL]]-PROVEEDORES[[#This Row],[descuento sobre subtotal]])</f>
        <v>0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411500</v>
      </c>
      <c r="S365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1">
        <f ca="1">IF(PROVEEDORES[[#This Row],[FECHA DE PAGO]]=0,TODAY()-PROVEEDORES[[#This Row],[FECHA DE FACTURACIÓN]]-PROVEEDORES[[#This Row],[PLAZO Días]],0)</f>
        <v>0</v>
      </c>
      <c r="U365" s="97">
        <f>+VLOOKUP(PROVEEDORES[[#This Row],[PROVEEDOR]],Terceros!$A:$D,4,FALSE)</f>
        <v>0</v>
      </c>
      <c r="V365" s="98">
        <f>+YEAR(PROVEEDORES[[#This Row],[FECHA DE FACTURACIÓN]])</f>
        <v>2023</v>
      </c>
      <c r="W365" s="98">
        <f>+MATCH(PROVEEDORES[[#This Row],[año facturado]],Retenciones!$1:$1,0)</f>
        <v>6</v>
      </c>
      <c r="X365" s="99">
        <f>+VLOOKUP(PROVEEDORES[[#This Row],[ID RETENCION]],Retenciones!$A$1:$O$25,PROVEEDORES[[#This Row],[indicador de columna]],FALSE)</f>
        <v>0</v>
      </c>
      <c r="Y365" s="100">
        <f>+VLOOKUP(PROVEEDORES[[#This Row],[ID RETENCION]],Retenciones!$A$1:$O$25,2,FALSE)</f>
        <v>0</v>
      </c>
      <c r="Z365" s="103" t="b">
        <f>OR(COUNTIF(PROVEEDORES[[#This Row],[PROVEEDOR]],"*"&amp;'Palabra no opera'!$A$2&amp;"*"))</f>
        <v>0</v>
      </c>
    </row>
    <row r="366" spans="1:26" ht="22.35" customHeight="1" x14ac:dyDescent="0.25">
      <c r="A366" s="153" t="str">
        <f>+IF(PROVEEDORES[[#This Row],[FECHA DE PAGO]]=PROVEEDORES[[#This Row],[FECHA DE FACTURACIÓN]],"DE CONTADO","CRÉDITO")</f>
        <v>CRÉDITO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406756</v>
      </c>
      <c r="E366" s="25"/>
      <c r="F366" s="56" t="str">
        <f>+VLOOKUP(PROVEEDORES[[#This Row],[PROVEEDOR]],
                       Terceros!$A:$F,
                       5,
                       FALSE)</f>
        <v/>
      </c>
      <c r="G366" s="289">
        <v>44977</v>
      </c>
      <c r="H366" s="26" t="s">
        <v>315</v>
      </c>
      <c r="I366" s="289">
        <v>44959</v>
      </c>
      <c r="J366" s="35">
        <v>35</v>
      </c>
      <c r="K366" s="21">
        <v>207000</v>
      </c>
      <c r="L366" s="21"/>
      <c r="M366" s="22">
        <f>(PROVEEDORES[[#This Row],[SUBTOTAL]]-PROVEEDORES[[#This Row],[descuento sobre subtotal]])*VLOOKUP(PROVEEDORES[[#This Row],[PROVEEDOR]],TERCEROS_INFO[#All],3,FALSE)</f>
        <v>0</v>
      </c>
      <c r="N366" s="23"/>
      <c r="O366" s="22">
        <f>+PROVEEDORES[[#This Row],[Descuento sobre subtotal %]]*(PROVEEDORES[[#This Row],[SUBTOTAL]]-PROVEEDORES[[#This Row],[descuento sobre subtotal]])</f>
        <v>0</v>
      </c>
      <c r="P366" s="72">
        <f>+IF(PROVEEDORES[[#This Row],[SUBTOTAL]]&lt;PROVEEDORES[[#This Row],[base retencion]],0,PROVEEDORES[[#This Row],[retención aplicada]])</f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207000</v>
      </c>
      <c r="S366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1">
        <f ca="1">IF(PROVEEDORES[[#This Row],[FECHA DE PAGO]]=0,TODAY()-PROVEEDORES[[#This Row],[FECHA DE FACTURACIÓN]]-PROVEEDORES[[#This Row],[PLAZO Días]],0)</f>
        <v>0</v>
      </c>
      <c r="U366" s="97">
        <f>+VLOOKUP(PROVEEDORES[[#This Row],[PROVEEDOR]],Terceros!$A:$D,4,FALSE)</f>
        <v>0</v>
      </c>
      <c r="V366" s="98">
        <f>+YEAR(PROVEEDORES[[#This Row],[FECHA DE FACTURACIÓN]])</f>
        <v>2023</v>
      </c>
      <c r="W366" s="98">
        <f>+MATCH(PROVEEDORES[[#This Row],[año facturado]],Retenciones!$1:$1,0)</f>
        <v>6</v>
      </c>
      <c r="X366" s="99">
        <f>+VLOOKUP(PROVEEDORES[[#This Row],[ID RETENCION]],Retenciones!$A$1:$O$25,PROVEEDORES[[#This Row],[indicador de columna]],FALSE)</f>
        <v>0</v>
      </c>
      <c r="Y366" s="100">
        <f>+VLOOKUP(PROVEEDORES[[#This Row],[ID RETENCION]],Retenciones!$A$1:$O$25,2,FALSE)</f>
        <v>0</v>
      </c>
      <c r="Z366" s="103" t="b">
        <f>OR(COUNTIF(PROVEEDORES[[#This Row],[PROVEEDOR]],"*"&amp;'Palabra no opera'!$A$2&amp;"*"))</f>
        <v>0</v>
      </c>
    </row>
    <row r="367" spans="1:26" ht="22.35" customHeight="1" x14ac:dyDescent="0.25">
      <c r="A367" s="65" t="str">
        <f>+IF(PROVEEDORES[[#This Row],[FECHA DE PAGO]]=PROVEEDORES[[#This Row],[FECHA DE FACTURACIÓN]],"DE CONTADO","CRÉDITO")</f>
        <v>CRÉDITO</v>
      </c>
      <c r="B367" s="38" t="str">
        <f>+IF((PROVEEDORES[[#This Row],[FECHA DE PAGO]]-PROVEEDORES[[#This Row],[FECHA DE FACTURACIÓN]])&gt;PROVEEDORES[[#This Row],[PLAZO Días]],"PAGO VENCIDO")</f>
        <v>PAGO VENCIDO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406756</v>
      </c>
      <c r="E367" s="25"/>
      <c r="F367" s="56" t="str">
        <f>+VLOOKUP(PROVEEDORES[[#This Row],[PROVEEDOR]],
                       Terceros!$A:$F,
                       5,
                       FALSE)</f>
        <v/>
      </c>
      <c r="G367" s="289">
        <v>45049</v>
      </c>
      <c r="H367" s="26" t="s">
        <v>315</v>
      </c>
      <c r="I367" s="289">
        <v>44968</v>
      </c>
      <c r="J367" s="35">
        <v>36</v>
      </c>
      <c r="K367" s="21">
        <v>89000</v>
      </c>
      <c r="L367" s="21"/>
      <c r="M367" s="22">
        <f>(PROVEEDORES[[#This Row],[SUBTOTAL]]-PROVEEDORES[[#This Row],[descuento sobre subtotal]])*VLOOKUP(PROVEEDORES[[#This Row],[PROVEEDOR]],TERCEROS_INFO[#All],3,FALSE)</f>
        <v>0</v>
      </c>
      <c r="N367" s="23"/>
      <c r="O367" s="22">
        <f>+PROVEEDORES[[#This Row],[Descuento sobre subtotal %]]*(PROVEEDORES[[#This Row],[SUBTOTAL]]-PROVEEDORES[[#This Row],[descuento sobre subtotal]])</f>
        <v>0</v>
      </c>
      <c r="P367" s="72">
        <f>+IF(PROVEEDORES[[#This Row],[SUBTOTAL]]&lt;PROVEEDORES[[#This Row],[base retencion]],0,PROVEEDORES[[#This Row],[retención aplicada]])</f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89000</v>
      </c>
      <c r="S3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1">
        <f ca="1">IF(PROVEEDORES[[#This Row],[FECHA DE PAGO]]=0,TODAY()-PROVEEDORES[[#This Row],[FECHA DE FACTURACIÓN]]-PROVEEDORES[[#This Row],[PLAZO Días]],0)</f>
        <v>0</v>
      </c>
      <c r="U367" s="97">
        <f>+VLOOKUP(PROVEEDORES[[#This Row],[PROVEEDOR]],Terceros!$A:$D,4,FALSE)</f>
        <v>0</v>
      </c>
      <c r="V367" s="98">
        <f>+YEAR(PROVEEDORES[[#This Row],[FECHA DE FACTURACIÓN]])</f>
        <v>2023</v>
      </c>
      <c r="W367" s="98">
        <f>+MATCH(PROVEEDORES[[#This Row],[año facturado]],Retenciones!$1:$1,0)</f>
        <v>6</v>
      </c>
      <c r="X367" s="99">
        <f>+VLOOKUP(PROVEEDORES[[#This Row],[ID RETENCION]],Retenciones!$A$1:$O$25,PROVEEDORES[[#This Row],[indicador de columna]],FALSE)</f>
        <v>0</v>
      </c>
      <c r="Y367" s="100">
        <f>+VLOOKUP(PROVEEDORES[[#This Row],[ID RETENCION]],Retenciones!$A$1:$O$25,2,FALSE)</f>
        <v>0</v>
      </c>
      <c r="Z367" s="103" t="b">
        <f>OR(COUNTIF(PROVEEDORES[[#This Row],[PROVEEDOR]],"*"&amp;'Palabra no opera'!$A$2&amp;"*"))</f>
        <v>0</v>
      </c>
    </row>
    <row r="368" spans="1:26" ht="22.35" customHeight="1" x14ac:dyDescent="0.25">
      <c r="A368" s="65" t="str">
        <f>+IF(PROVEEDORES[[#This Row],[FECHA DE PAGO]]=PROVEEDORES[[#This Row],[FECHA DE FACTURACIÓN]],"DE CONTADO","CRÉDITO")</f>
        <v>CRÉDITO</v>
      </c>
      <c r="B368" s="38" t="str">
        <f>+IF((PROVEEDORES[[#This Row],[FECHA DE PAGO]]-PROVEEDORES[[#This Row],[FECHA DE FACTURACIÓN]])&gt;PROVEEDORES[[#This Row],[PLAZO Días]],"PAGO VENCIDO")</f>
        <v>PAGO VENCIDO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406756</v>
      </c>
      <c r="E368" s="25"/>
      <c r="F368" s="56" t="str">
        <f>+VLOOKUP(PROVEEDORES[[#This Row],[PROVEEDOR]],
                       Terceros!$A:$F,
                       5,
                       FALSE)</f>
        <v/>
      </c>
      <c r="G368" s="289">
        <v>45049</v>
      </c>
      <c r="H368" s="26" t="s">
        <v>315</v>
      </c>
      <c r="I368" s="289">
        <v>44975</v>
      </c>
      <c r="J368" s="35">
        <v>37</v>
      </c>
      <c r="K368" s="21">
        <v>78000</v>
      </c>
      <c r="L368" s="21"/>
      <c r="M368" s="22">
        <f>(PROVEEDORES[[#This Row],[SUBTOTAL]]-PROVEEDORES[[#This Row],[descuento sobre subtotal]])*VLOOKUP(PROVEEDORES[[#This Row],[PROVEEDOR]],TERCEROS_INFO[#All],3,FALSE)</f>
        <v>0</v>
      </c>
      <c r="N368" s="23"/>
      <c r="O368" s="22">
        <f>+PROVEEDORES[[#This Row],[Descuento sobre subtotal %]]*(PROVEEDORES[[#This Row],[SUBTOTAL]]-PROVEEDORES[[#This Row],[descuento sobre subtotal]])</f>
        <v>0</v>
      </c>
      <c r="P368" s="72">
        <f>+IF(PROVEEDORES[[#This Row],[SUBTOTAL]]&lt;PROVEEDORES[[#This Row],[base retencion]],0,PROVEEDORES[[#This Row],[retención aplicada]])</f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3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1">
        <f ca="1">IF(PROVEEDORES[[#This Row],[FECHA DE PAGO]]=0,TODAY()-PROVEEDORES[[#This Row],[FECHA DE FACTURACIÓN]]-PROVEEDORES[[#This Row],[PLAZO Días]],0)</f>
        <v>0</v>
      </c>
      <c r="U368" s="97">
        <f>+VLOOKUP(PROVEEDORES[[#This Row],[PROVEEDOR]],Terceros!$A:$D,4,FALSE)</f>
        <v>0</v>
      </c>
      <c r="V368" s="98">
        <f>+YEAR(PROVEEDORES[[#This Row],[FECHA DE FACTURACIÓN]])</f>
        <v>2023</v>
      </c>
      <c r="W368" s="98">
        <f>+MATCH(PROVEEDORES[[#This Row],[año facturado]],Retenciones!$1:$1,0)</f>
        <v>6</v>
      </c>
      <c r="X368" s="99">
        <f>+VLOOKUP(PROVEEDORES[[#This Row],[ID RETENCION]],Retenciones!$A$1:$O$25,PROVEEDORES[[#This Row],[indicador de columna]],FALSE)</f>
        <v>0</v>
      </c>
      <c r="Y368" s="100">
        <f>+VLOOKUP(PROVEEDORES[[#This Row],[ID RETENCION]],Retenciones!$A$1:$O$25,2,FALSE)</f>
        <v>0</v>
      </c>
      <c r="Z368" s="103" t="b">
        <f>OR(COUNTIF(PROVEEDORES[[#This Row],[PROVEEDOR]],"*"&amp;'Palabra no opera'!$A$2&amp;"*"))</f>
        <v>0</v>
      </c>
    </row>
    <row r="369" spans="1:26" ht="22.35" customHeight="1" x14ac:dyDescent="0.25">
      <c r="A369" s="65" t="str">
        <f>+IF(PROVEEDORES[[#This Row],[FECHA DE PAGO]]=PROVEEDORES[[#This Row],[FECHA DE FACTURACIÓN]],"DE CONTADO","CRÉDITO")</f>
        <v>CRÉDITO</v>
      </c>
      <c r="B369" s="38" t="str">
        <f>+IF((PROVEEDORES[[#This Row],[FECHA DE PAGO]]-PROVEEDORES[[#This Row],[FECHA DE FACTURACIÓN]])&gt;PROVEEDORES[[#This Row],[PLAZO Días]],"PAGO VENCIDO")</f>
        <v>PAGO VENCIDO</v>
      </c>
      <c r="C369" s="20">
        <f>+VLOOKUP(PROVEEDORES[[#This Row],[PROVEEDOR]],TERCEROS_INFO[#All],2,FALSE)</f>
        <v>30</v>
      </c>
      <c r="D369" s="25">
        <f>+SUMIFS(PROVEEDORES[Total],PROVEEDORES[PROVEEDOR],PROVEEDORES[[#This Row],[PROVEEDOR]],PROVEEDORES[FECHA DE PAGO],"")</f>
        <v>406756</v>
      </c>
      <c r="E369" s="25"/>
      <c r="F369" s="56" t="str">
        <f>+VLOOKUP(PROVEEDORES[[#This Row],[PROVEEDOR]],
                       Terceros!$A:$F,
                       5,
                       FALSE)</f>
        <v/>
      </c>
      <c r="G369" s="289">
        <v>45049</v>
      </c>
      <c r="H369" s="26" t="s">
        <v>315</v>
      </c>
      <c r="I369" s="289">
        <v>44978</v>
      </c>
      <c r="J369" s="35">
        <v>38</v>
      </c>
      <c r="K369" s="21">
        <v>102000</v>
      </c>
      <c r="L369" s="21"/>
      <c r="M369" s="22">
        <f>(PROVEEDORES[[#This Row],[SUBTOTAL]]-PROVEEDORES[[#This Row],[descuento sobre subtotal]])*VLOOKUP(PROVEEDORES[[#This Row],[PROVEEDOR]],TERCEROS_INFO[#All],3,FALSE)</f>
        <v>0</v>
      </c>
      <c r="N369" s="23"/>
      <c r="O369" s="22">
        <f>+PROVEEDORES[[#This Row],[Descuento sobre subtotal %]]*(PROVEEDORES[[#This Row],[SUBTOTAL]]-PROVEEDORES[[#This Row],[descuento sobre subtotal]])</f>
        <v>0</v>
      </c>
      <c r="P369" s="72">
        <f>+IF(PROVEEDORES[[#This Row],[SUBTOTAL]]&lt;PROVEEDORES[[#This Row],[base retencion]],0,PROVEEDORES[[#This Row],[retención aplicada]])</f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102000</v>
      </c>
      <c r="S36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1">
        <f ca="1">IF(PROVEEDORES[[#This Row],[FECHA DE PAGO]]=0,TODAY()-PROVEEDORES[[#This Row],[FECHA DE FACTURACIÓN]]-PROVEEDORES[[#This Row],[PLAZO Días]],0)</f>
        <v>0</v>
      </c>
      <c r="U369" s="97">
        <f>+VLOOKUP(PROVEEDORES[[#This Row],[PROVEEDOR]],Terceros!$A:$D,4,FALSE)</f>
        <v>0</v>
      </c>
      <c r="V369" s="98">
        <f>+YEAR(PROVEEDORES[[#This Row],[FECHA DE FACTURACIÓN]])</f>
        <v>2023</v>
      </c>
      <c r="W369" s="98">
        <f>+MATCH(PROVEEDORES[[#This Row],[año facturado]],Retenciones!$1:$1,0)</f>
        <v>6</v>
      </c>
      <c r="X369" s="99">
        <f>+VLOOKUP(PROVEEDORES[[#This Row],[ID RETENCION]],Retenciones!$A$1:$O$25,PROVEEDORES[[#This Row],[indicador de columna]],FALSE)</f>
        <v>0</v>
      </c>
      <c r="Y369" s="100">
        <f>+VLOOKUP(PROVEEDORES[[#This Row],[ID RETENCION]],Retenciones!$A$1:$O$25,2,FALSE)</f>
        <v>0</v>
      </c>
      <c r="Z369" s="103" t="b">
        <f>OR(COUNTIF(PROVEEDORES[[#This Row],[PROVEEDOR]],"*"&amp;'Palabra no opera'!$A$2&amp;"*"))</f>
        <v>0</v>
      </c>
    </row>
    <row r="370" spans="1:26" ht="22.35" customHeight="1" x14ac:dyDescent="0.25">
      <c r="A370" s="65" t="str">
        <f>+IF(PROVEEDORES[[#This Row],[FECHA DE PAGO]]=PROVEEDORES[[#This Row],[FECHA DE FACTURACIÓN]],"DE CONTADO","CRÉDITO")</f>
        <v>CRÉDITO</v>
      </c>
      <c r="B370" s="38" t="str">
        <f>+IF((PROVEEDORES[[#This Row],[FECHA DE PAGO]]-PROVEEDORES[[#This Row],[FECHA DE FACTURACIÓN]])&gt;PROVEEDORES[[#This Row],[PLAZO Días]],"PAGO VENCIDO")</f>
        <v>PAGO VENCIDO</v>
      </c>
      <c r="C370" s="20">
        <f>+VLOOKUP(PROVEEDORES[[#This Row],[PROVEEDOR]],TERCEROS_INFO[#All],2,FALSE)</f>
        <v>30</v>
      </c>
      <c r="D370" s="25">
        <f>+SUMIFS(PROVEEDORES[Total],PROVEEDORES[PROVEEDOR],PROVEEDORES[[#This Row],[PROVEEDOR]],PROVEEDORES[FECHA DE PAGO],"")</f>
        <v>406756</v>
      </c>
      <c r="E370" s="25"/>
      <c r="F370" s="56" t="str">
        <f>+VLOOKUP(PROVEEDORES[[#This Row],[PROVEEDOR]],
                       Terceros!$A:$F,
                       5,
                       FALSE)</f>
        <v/>
      </c>
      <c r="G370" s="289">
        <v>45049</v>
      </c>
      <c r="H370" s="26" t="s">
        <v>315</v>
      </c>
      <c r="I370" s="289">
        <v>44982</v>
      </c>
      <c r="J370" s="35">
        <v>39</v>
      </c>
      <c r="K370" s="21">
        <v>26600</v>
      </c>
      <c r="L370" s="21"/>
      <c r="M370" s="22">
        <f>(PROVEEDORES[[#This Row],[SUBTOTAL]]-PROVEEDORES[[#This Row],[descuento sobre subtotal]])*VLOOKUP(PROVEEDORES[[#This Row],[PROVEEDOR]],TERCEROS_INFO[#All],3,FALSE)</f>
        <v>0</v>
      </c>
      <c r="N370" s="23"/>
      <c r="O370" s="22">
        <f>+PROVEEDORES[[#This Row],[Descuento sobre subtotal %]]*(PROVEEDORES[[#This Row],[SUBTOTAL]]-PROVEEDORES[[#This Row],[descuento sobre subtotal]])</f>
        <v>0</v>
      </c>
      <c r="P370" s="72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f>+PROVEEDORES[[#This Row],[SUBTOTAL]]+PROVEEDORES[[#This Row],[IVA 19%]]-PROVEEDORES[[#This Row],[descuento sobre subtotal]]-PROVEEDORES[[#This Row],[Descuento sobre subtotal $2]]-PROVEEDORES[[#This Row],[Rete Fuente $]]</f>
        <v>26600</v>
      </c>
      <c r="S3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1">
        <f ca="1">IF(PROVEEDORES[[#This Row],[FECHA DE PAGO]]=0,TODAY()-PROVEEDORES[[#This Row],[FECHA DE FACTURACIÓN]]-PROVEEDORES[[#This Row],[PLAZO Días]],0)</f>
        <v>0</v>
      </c>
      <c r="U370" s="97">
        <f>+VLOOKUP(PROVEEDORES[[#This Row],[PROVEEDOR]],Terceros!$A:$D,4,FALSE)</f>
        <v>0</v>
      </c>
      <c r="V370" s="98">
        <f>+YEAR(PROVEEDORES[[#This Row],[FECHA DE FACTURACIÓN]])</f>
        <v>2023</v>
      </c>
      <c r="W370" s="98">
        <f>+MATCH(PROVEEDORES[[#This Row],[año facturado]],Retenciones!$1:$1,0)</f>
        <v>6</v>
      </c>
      <c r="X370" s="99">
        <f>+VLOOKUP(PROVEEDORES[[#This Row],[ID RETENCION]],Retenciones!$A$1:$O$25,PROVEEDORES[[#This Row],[indicador de columna]],FALSE)</f>
        <v>0</v>
      </c>
      <c r="Y370" s="100">
        <f>+VLOOKUP(PROVEEDORES[[#This Row],[ID RETENCION]],Retenciones!$A$1:$O$25,2,FALSE)</f>
        <v>0</v>
      </c>
      <c r="Z370" s="103" t="b">
        <f>OR(COUNTIF(PROVEEDORES[[#This Row],[PROVEEDOR]],"*"&amp;'Palabra no opera'!$A$2&amp;"*"))</f>
        <v>0</v>
      </c>
    </row>
    <row r="371" spans="1:26" ht="22.35" customHeight="1" x14ac:dyDescent="0.25">
      <c r="A371" s="65" t="str">
        <f>+IF(PROVEEDORES[[#This Row],[FECHA DE PAGO]]=PROVEEDORES[[#This Row],[FECHA DE FACTURACIÓN]],"DE CONTADO","CRÉDITO")</f>
        <v>CRÉDITO</v>
      </c>
      <c r="B371" s="38" t="str">
        <f>+IF((PROVEEDORES[[#This Row],[FECHA DE PAGO]]-PROVEEDORES[[#This Row],[FECHA DE FACTURACIÓN]])&gt;PROVEEDORES[[#This Row],[PLAZO Días]],"PAGO VENCIDO")</f>
        <v>PAGO VENCIDO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406756</v>
      </c>
      <c r="E371" s="25"/>
      <c r="F371" s="56" t="str">
        <f>+VLOOKUP(PROVEEDORES[[#This Row],[PROVEEDOR]],
                       Terceros!$A:$F,
                       5,
                       FALSE)</f>
        <v/>
      </c>
      <c r="G371" s="289">
        <v>45049</v>
      </c>
      <c r="H371" s="26" t="s">
        <v>315</v>
      </c>
      <c r="I371" s="289">
        <v>44985</v>
      </c>
      <c r="J371" s="35">
        <v>40</v>
      </c>
      <c r="K371" s="21">
        <v>113000</v>
      </c>
      <c r="L371" s="21"/>
      <c r="M371" s="22">
        <f>(PROVEEDORES[[#This Row],[SUBTOTAL]]-PROVEEDORES[[#This Row],[descuento sobre subtotal]])*VLOOKUP(PROVEEDORES[[#This Row],[PROVEEDOR]],TERCEROS_INFO[#All],3,FALSE)</f>
        <v>0</v>
      </c>
      <c r="N371" s="23"/>
      <c r="O371" s="22">
        <f>+PROVEEDORES[[#This Row],[Descuento sobre subtotal %]]*(PROVEEDORES[[#This Row],[SUBTOTAL]]-PROVEEDORES[[#This Row],[descuento sobre subtotal]])</f>
        <v>0</v>
      </c>
      <c r="P371" s="72">
        <f>+IF(PROVEEDORES[[#This Row],[SUBTOTAL]]&lt;PROVEEDORES[[#This Row],[base retencion]],0,PROVEEDORES[[#This Row],[retención aplicada]])</f>
        <v>0</v>
      </c>
      <c r="Q371" s="22">
        <f>+PROVEEDORES[[#This Row],[Rete Fuente %]]*(PROVEEDORES[[#This Row],[SUBTOTAL]]-PROVEEDORES[[#This Row],[descuento sobre subtotal]])</f>
        <v>0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113000</v>
      </c>
      <c r="S3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1">
        <f ca="1">IF(PROVEEDORES[[#This Row],[FECHA DE PAGO]]=0,TODAY()-PROVEEDORES[[#This Row],[FECHA DE FACTURACIÓN]]-PROVEEDORES[[#This Row],[PLAZO Días]],0)</f>
        <v>0</v>
      </c>
      <c r="U371" s="97">
        <f>+VLOOKUP(PROVEEDORES[[#This Row],[PROVEEDOR]],Terceros!$A:$D,4,FALSE)</f>
        <v>0</v>
      </c>
      <c r="V371" s="98">
        <f>+YEAR(PROVEEDORES[[#This Row],[FECHA DE FACTURACIÓN]])</f>
        <v>2023</v>
      </c>
      <c r="W371" s="98">
        <f>+MATCH(PROVEEDORES[[#This Row],[año facturado]],Retenciones!$1:$1,0)</f>
        <v>6</v>
      </c>
      <c r="X371" s="99">
        <f>+VLOOKUP(PROVEEDORES[[#This Row],[ID RETENCION]],Retenciones!$A$1:$O$25,PROVEEDORES[[#This Row],[indicador de columna]],FALSE)</f>
        <v>0</v>
      </c>
      <c r="Y371" s="100">
        <f>+VLOOKUP(PROVEEDORES[[#This Row],[ID RETENCION]],Retenciones!$A$1:$O$25,2,FALSE)</f>
        <v>0</v>
      </c>
      <c r="Z371" s="103" t="b">
        <f>OR(COUNTIF(PROVEEDORES[[#This Row],[PROVEEDOR]],"*"&amp;'Palabra no opera'!$A$2&amp;"*"))</f>
        <v>0</v>
      </c>
    </row>
    <row r="372" spans="1:26" ht="22.35" customHeight="1" x14ac:dyDescent="0.25">
      <c r="A372" s="65" t="str">
        <f>+IF(PROVEEDORES[[#This Row],[FECHA DE PAGO]]=PROVEEDORES[[#This Row],[FECHA DE FACTURACIÓN]],"DE CONTADO","CRÉDITO")</f>
        <v>CRÉDITO</v>
      </c>
      <c r="B372" s="38" t="str">
        <f>+IF((PROVEEDORES[[#This Row],[FECHA DE PAGO]]-PROVEEDORES[[#This Row],[FECHA DE FACTURACIÓN]])&gt;PROVEEDORES[[#This Row],[PLAZO Días]],"PAGO VENCIDO")</f>
        <v>PAGO VENCIDO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406756</v>
      </c>
      <c r="E372" s="25"/>
      <c r="F372" s="56" t="str">
        <f>+VLOOKUP(PROVEEDORES[[#This Row],[PROVEEDOR]],
                       Terceros!$A:$F,
                       5,
                       FALSE)</f>
        <v/>
      </c>
      <c r="G372" s="289">
        <v>45049</v>
      </c>
      <c r="H372" s="26" t="s">
        <v>315</v>
      </c>
      <c r="I372" s="289">
        <v>44993</v>
      </c>
      <c r="J372" s="35">
        <v>41</v>
      </c>
      <c r="K372" s="21">
        <v>468000</v>
      </c>
      <c r="L372" s="21"/>
      <c r="M372" s="22">
        <f>(PROVEEDORES[[#This Row],[SUBTOTAL]]-PROVEEDORES[[#This Row],[descuento sobre subtotal]])*VLOOKUP(PROVEEDORES[[#This Row],[PROVEEDOR]],TERCEROS_INFO[#All],3,FALSE)</f>
        <v>0</v>
      </c>
      <c r="N372" s="23"/>
      <c r="O372" s="22">
        <f>+PROVEEDORES[[#This Row],[Descuento sobre subtotal %]]*(PROVEEDORES[[#This Row],[SUBTOTAL]]-PROVEEDORES[[#This Row],[descuento sobre subtotal]])</f>
        <v>0</v>
      </c>
      <c r="P372" s="72">
        <f>+IF(PROVEEDORES[[#This Row],[SUBTOTAL]]&lt;PROVEEDORES[[#This Row],[base retencion]],0,PROVEEDORES[[#This Row],[retención aplicada]])</f>
        <v>0</v>
      </c>
      <c r="Q372" s="22">
        <f>+PROVEEDORES[[#This Row],[Rete Fuente %]]*(PROVEEDORES[[#This Row],[SUBTOTAL]]-PROVEEDORES[[#This Row],[descuento sobre subtotal]])</f>
        <v>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3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1">
        <f ca="1">IF(PROVEEDORES[[#This Row],[FECHA DE PAGO]]=0,TODAY()-PROVEEDORES[[#This Row],[FECHA DE FACTURACIÓN]]-PROVEEDORES[[#This Row],[PLAZO Días]],0)</f>
        <v>0</v>
      </c>
      <c r="U372" s="97">
        <f>+VLOOKUP(PROVEEDORES[[#This Row],[PROVEEDOR]],Terceros!$A:$D,4,FALSE)</f>
        <v>0</v>
      </c>
      <c r="V372" s="98">
        <f>+YEAR(PROVEEDORES[[#This Row],[FECHA DE FACTURACIÓN]])</f>
        <v>2023</v>
      </c>
      <c r="W372" s="98">
        <f>+MATCH(PROVEEDORES[[#This Row],[año facturado]],Retenciones!$1:$1,0)</f>
        <v>6</v>
      </c>
      <c r="X372" s="99">
        <f>+VLOOKUP(PROVEEDORES[[#This Row],[ID RETENCION]],Retenciones!$A$1:$O$25,PROVEEDORES[[#This Row],[indicador de columna]],FALSE)</f>
        <v>0</v>
      </c>
      <c r="Y372" s="100">
        <f>+VLOOKUP(PROVEEDORES[[#This Row],[ID RETENCION]],Retenciones!$A$1:$O$25,2,FALSE)</f>
        <v>0</v>
      </c>
      <c r="Z372" s="103" t="b">
        <f>OR(COUNTIF(PROVEEDORES[[#This Row],[PROVEEDOR]],"*"&amp;'Palabra no opera'!$A$2&amp;"*"))</f>
        <v>0</v>
      </c>
    </row>
    <row r="373" spans="1:26" ht="22.35" customHeight="1" x14ac:dyDescent="0.25">
      <c r="A373" s="65" t="str">
        <f>+IF(PROVEEDORES[[#This Row],[FECHA DE PAGO]]=PROVEEDORES[[#This Row],[FECHA DE FACTURACIÓN]],"DE CONTADO","CRÉDITO")</f>
        <v>CRÉDITO</v>
      </c>
      <c r="B373" s="38" t="str">
        <f>+IF((PROVEEDORES[[#This Row],[FECHA DE PAGO]]-PROVEEDORES[[#This Row],[FECHA DE FACTURACIÓN]])&gt;PROVEEDORES[[#This Row],[PLAZO Días]],"PAGO VENCIDO")</f>
        <v>PAGO VENCIDO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406756</v>
      </c>
      <c r="E373" s="25"/>
      <c r="F373" s="56" t="str">
        <f>+VLOOKUP(PROVEEDORES[[#This Row],[PROVEEDOR]],
                       Terceros!$A:$F,
                       5,
                       FALSE)</f>
        <v/>
      </c>
      <c r="G373" s="289">
        <v>45049</v>
      </c>
      <c r="H373" s="26" t="s">
        <v>315</v>
      </c>
      <c r="I373" s="289">
        <v>44999</v>
      </c>
      <c r="J373" s="35">
        <v>42</v>
      </c>
      <c r="K373" s="21">
        <v>86000</v>
      </c>
      <c r="L373" s="21"/>
      <c r="M373" s="22">
        <f>(PROVEEDORES[[#This Row],[SUBTOTAL]]-PROVEEDORES[[#This Row],[descuento sobre subtotal]])*VLOOKUP(PROVEEDORES[[#This Row],[PROVEEDOR]],TERCEROS_INFO[#All],3,FALSE)</f>
        <v>0</v>
      </c>
      <c r="N373" s="23"/>
      <c r="O373" s="22">
        <f>+PROVEEDORES[[#This Row],[Descuento sobre subtotal %]]*(PROVEEDORES[[#This Row],[SUBTOTAL]]-PROVEEDORES[[#This Row],[descuento sobre subtotal]])</f>
        <v>0</v>
      </c>
      <c r="P373" s="72">
        <f>+IF(PROVEEDORES[[#This Row],[SUBTOTAL]]&lt;PROVEEDORES[[#This Row],[base retencion]],0,PROVEEDORES[[#This Row],[retención aplicada]])</f>
        <v>0</v>
      </c>
      <c r="Q373" s="22">
        <f>+PROVEEDORES[[#This Row],[Rete Fuente %]]*(PROVEEDORES[[#This Row],[SUBTOTAL]]-PROVEEDORES[[#This Row],[descuento sobre subtotal]])</f>
        <v>0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86000</v>
      </c>
      <c r="S3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1">
        <f ca="1">IF(PROVEEDORES[[#This Row],[FECHA DE PAGO]]=0,TODAY()-PROVEEDORES[[#This Row],[FECHA DE FACTURACIÓN]]-PROVEEDORES[[#This Row],[PLAZO Días]],0)</f>
        <v>0</v>
      </c>
      <c r="U373" s="97">
        <f>+VLOOKUP(PROVEEDORES[[#This Row],[PROVEEDOR]],Terceros!$A:$D,4,FALSE)</f>
        <v>0</v>
      </c>
      <c r="V373" s="98">
        <f>+YEAR(PROVEEDORES[[#This Row],[FECHA DE FACTURACIÓN]])</f>
        <v>2023</v>
      </c>
      <c r="W373" s="98">
        <f>+MATCH(PROVEEDORES[[#This Row],[año facturado]],Retenciones!$1:$1,0)</f>
        <v>6</v>
      </c>
      <c r="X373" s="99">
        <f>+VLOOKUP(PROVEEDORES[[#This Row],[ID RETENCION]],Retenciones!$A$1:$O$25,PROVEEDORES[[#This Row],[indicador de columna]],FALSE)</f>
        <v>0</v>
      </c>
      <c r="Y373" s="100">
        <f>+VLOOKUP(PROVEEDORES[[#This Row],[ID RETENCION]],Retenciones!$A$1:$O$25,2,FALSE)</f>
        <v>0</v>
      </c>
      <c r="Z373" s="103" t="b">
        <f>OR(COUNTIF(PROVEEDORES[[#This Row],[PROVEEDOR]],"*"&amp;'Palabra no opera'!$A$2&amp;"*"))</f>
        <v>0</v>
      </c>
    </row>
    <row r="374" spans="1:26" ht="22.35" customHeight="1" x14ac:dyDescent="0.25">
      <c r="A374" s="65" t="str">
        <f>+IF(PROVEEDORES[[#This Row],[FECHA DE PAGO]]=PROVEEDORES[[#This Row],[FECHA DE FACTURACIÓN]],"DE CONTADO","CRÉDITO")</f>
        <v>CRÉDITO</v>
      </c>
      <c r="B374" s="38" t="str">
        <f>+IF((PROVEEDORES[[#This Row],[FECHA DE PAGO]]-PROVEEDORES[[#This Row],[FECHA DE FACTURACIÓN]])&gt;PROVEEDORES[[#This Row],[PLAZO Días]],"PAGO VENCIDO")</f>
        <v>PAGO VENCIDO</v>
      </c>
      <c r="C374" s="20">
        <f>+VLOOKUP(PROVEEDORES[[#This Row],[PROVEEDOR]],TERCEROS_INFO[#All],2,FALSE)</f>
        <v>30</v>
      </c>
      <c r="D374" s="25">
        <f>+SUMIFS(PROVEEDORES[Total],PROVEEDORES[PROVEEDOR],PROVEEDORES[[#This Row],[PROVEEDOR]],PROVEEDORES[FECHA DE PAGO],"")</f>
        <v>406756</v>
      </c>
      <c r="E374" s="25"/>
      <c r="F374" s="56" t="str">
        <f>+VLOOKUP(PROVEEDORES[[#This Row],[PROVEEDOR]],
                       Terceros!$A:$F,
                       5,
                       FALSE)</f>
        <v/>
      </c>
      <c r="G374" s="289">
        <v>45049</v>
      </c>
      <c r="H374" s="26" t="s">
        <v>315</v>
      </c>
      <c r="I374" s="289">
        <v>45013</v>
      </c>
      <c r="J374" s="35">
        <v>43</v>
      </c>
      <c r="K374" s="21">
        <v>226000</v>
      </c>
      <c r="L374" s="21"/>
      <c r="M374" s="22">
        <f>(PROVEEDORES[[#This Row],[SUBTOTAL]]-PROVEEDORES[[#This Row],[descuento sobre subtotal]])*VLOOKUP(PROVEEDORES[[#This Row],[PROVEEDOR]],TERCEROS_INFO[#All],3,FALSE)</f>
        <v>0</v>
      </c>
      <c r="N374" s="23"/>
      <c r="O374" s="22">
        <f>+PROVEEDORES[[#This Row],[Descuento sobre subtotal %]]*(PROVEEDORES[[#This Row],[SUBTOTAL]]-PROVEEDORES[[#This Row],[descuento sobre subtotal]])</f>
        <v>0</v>
      </c>
      <c r="P374" s="72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f>+PROVEEDORES[[#This Row],[SUBTOTAL]]+PROVEEDORES[[#This Row],[IVA 19%]]-PROVEEDORES[[#This Row],[descuento sobre subtotal]]-PROVEEDORES[[#This Row],[Descuento sobre subtotal $2]]-PROVEEDORES[[#This Row],[Rete Fuente $]]</f>
        <v>226000</v>
      </c>
      <c r="S3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1">
        <f ca="1">IF(PROVEEDORES[[#This Row],[FECHA DE PAGO]]=0,TODAY()-PROVEEDORES[[#This Row],[FECHA DE FACTURACIÓN]]-PROVEEDORES[[#This Row],[PLAZO Días]],0)</f>
        <v>0</v>
      </c>
      <c r="U374" s="97">
        <f>+VLOOKUP(PROVEEDORES[[#This Row],[PROVEEDOR]],Terceros!$A:$D,4,FALSE)</f>
        <v>0</v>
      </c>
      <c r="V374" s="98">
        <f>+YEAR(PROVEEDORES[[#This Row],[FECHA DE FACTURACIÓN]])</f>
        <v>2023</v>
      </c>
      <c r="W374" s="98">
        <f>+MATCH(PROVEEDORES[[#This Row],[año facturado]],Retenciones!$1:$1,0)</f>
        <v>6</v>
      </c>
      <c r="X374" s="99">
        <f>+VLOOKUP(PROVEEDORES[[#This Row],[ID RETENCION]],Retenciones!$A$1:$O$25,PROVEEDORES[[#This Row],[indicador de columna]],FALSE)</f>
        <v>0</v>
      </c>
      <c r="Y374" s="100">
        <f>+VLOOKUP(PROVEEDORES[[#This Row],[ID RETENCION]],Retenciones!$A$1:$O$25,2,FALSE)</f>
        <v>0</v>
      </c>
      <c r="Z374" s="103" t="b">
        <f>OR(COUNTIF(PROVEEDORES[[#This Row],[PROVEEDOR]],"*"&amp;'Palabra no opera'!$A$2&amp;"*"))</f>
        <v>0</v>
      </c>
    </row>
    <row r="375" spans="1:26" ht="22.35" customHeight="1" x14ac:dyDescent="0.25">
      <c r="A375" s="65" t="str">
        <f>+IF(PROVEEDORES[[#This Row],[FECHA DE PAGO]]=PROVEEDORES[[#This Row],[FECHA DE FACTURACIÓN]],"DE CONTADO","CRÉDITO")</f>
        <v>CRÉDITO</v>
      </c>
      <c r="B375" s="38" t="str">
        <f>+IF((PROVEEDORES[[#This Row],[FECHA DE PAGO]]-PROVEEDORES[[#This Row],[FECHA DE FACTURACIÓN]])&gt;PROVEEDORES[[#This Row],[PLAZO Días]],"PAGO VENCIDO")</f>
        <v>PAGO VENCIDO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406756</v>
      </c>
      <c r="E375" s="25"/>
      <c r="F375" s="56" t="str">
        <f>+VLOOKUP(PROVEEDORES[[#This Row],[PROVEEDOR]],
                       Terceros!$A:$F,
                       5,
                       FALSE)</f>
        <v/>
      </c>
      <c r="G375" s="289">
        <v>45111</v>
      </c>
      <c r="H375" s="26" t="s">
        <v>315</v>
      </c>
      <c r="I375" s="289">
        <v>45047</v>
      </c>
      <c r="J375" s="35">
        <v>45</v>
      </c>
      <c r="K375" s="21">
        <v>420500</v>
      </c>
      <c r="L375" s="21"/>
      <c r="M375" s="22">
        <f>(PROVEEDORES[[#This Row],[SUBTOTAL]]-PROVEEDORES[[#This Row],[descuento sobre subtotal]])*VLOOKUP(PROVEEDORES[[#This Row],[PROVEEDOR]],TERCEROS_INFO[#All],3,FALSE)</f>
        <v>0</v>
      </c>
      <c r="N375" s="23"/>
      <c r="O375" s="22">
        <f>+PROVEEDORES[[#This Row],[Descuento sobre subtotal %]]*(PROVEEDORES[[#This Row],[SUBTOTAL]]-PROVEEDORES[[#This Row],[descuento sobre subtotal]])</f>
        <v>0</v>
      </c>
      <c r="P375" s="72">
        <f>+IF(PROVEEDORES[[#This Row],[SUBTOTAL]]&lt;PROVEEDORES[[#This Row],[base retencion]],0,PROVEEDORES[[#This Row],[retención aplicada]])</f>
        <v>0</v>
      </c>
      <c r="Q375" s="22">
        <f>+PROVEEDORES[[#This Row],[Rete Fuente %]]*(PROVEEDORES[[#This Row],[SUBTOTAL]]-PROVEEDORES[[#This Row],[descuento sobre subtotal]])</f>
        <v>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420500</v>
      </c>
      <c r="S3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1">
        <f ca="1">IF(PROVEEDORES[[#This Row],[FECHA DE PAGO]]=0,TODAY()-PROVEEDORES[[#This Row],[FECHA DE FACTURACIÓN]]-PROVEEDORES[[#This Row],[PLAZO Días]],0)</f>
        <v>0</v>
      </c>
      <c r="U375" s="97">
        <f>+VLOOKUP(PROVEEDORES[[#This Row],[PROVEEDOR]],Terceros!$A:$D,4,FALSE)</f>
        <v>0</v>
      </c>
      <c r="V375" s="98">
        <f>+YEAR(PROVEEDORES[[#This Row],[FECHA DE FACTURACIÓN]])</f>
        <v>2023</v>
      </c>
      <c r="W375" s="98">
        <f>+MATCH(PROVEEDORES[[#This Row],[año facturado]],Retenciones!$1:$1,0)</f>
        <v>6</v>
      </c>
      <c r="X375" s="99">
        <f>+VLOOKUP(PROVEEDORES[[#This Row],[ID RETENCION]],Retenciones!$A$1:$O$25,PROVEEDORES[[#This Row],[indicador de columna]],FALSE)</f>
        <v>0</v>
      </c>
      <c r="Y375" s="100">
        <f>+VLOOKUP(PROVEEDORES[[#This Row],[ID RETENCION]],Retenciones!$A$1:$O$25,2,FALSE)</f>
        <v>0</v>
      </c>
      <c r="Z375" s="103" t="b">
        <f>OR(COUNTIF(PROVEEDORES[[#This Row],[PROVEEDOR]],"*"&amp;'Palabra no opera'!$A$2&amp;"*"))</f>
        <v>0</v>
      </c>
    </row>
    <row r="376" spans="1:26" ht="22.35" customHeight="1" x14ac:dyDescent="0.25">
      <c r="A376" s="65" t="str">
        <f>+IF(PROVEEDORES[[#This Row],[FECHA DE PAGO]]=PROVEEDORES[[#This Row],[FECHA DE FACTURACIÓN]],"DE CONTADO","CRÉDITO")</f>
        <v>CRÉDITO</v>
      </c>
      <c r="B376" s="38" t="str">
        <f>+IF((PROVEEDORES[[#This Row],[FECHA DE PAGO]]-PROVEEDORES[[#This Row],[FECHA DE FACTURACIÓN]])&gt;PROVEEDORES[[#This Row],[PLAZO Días]],"PAGO VENCIDO")</f>
        <v>PAGO VENCIDO</v>
      </c>
      <c r="C376" s="20">
        <f>+VLOOKUP(PROVEEDORES[[#This Row],[PROVEEDOR]],TERCEROS_INFO[#All],2,FALSE)</f>
        <v>30</v>
      </c>
      <c r="D376" s="25">
        <f>+SUMIFS(PROVEEDORES[Total],PROVEEDORES[PROVEEDOR],PROVEEDORES[[#This Row],[PROVEEDOR]],PROVEEDORES[FECHA DE PAGO],"")</f>
        <v>406756</v>
      </c>
      <c r="E376" s="25"/>
      <c r="F376" s="56" t="str">
        <f>+VLOOKUP(PROVEEDORES[[#This Row],[PROVEEDOR]],
                       Terceros!$A:$F,
                       5,
                       FALSE)</f>
        <v/>
      </c>
      <c r="G376" s="289">
        <v>45111</v>
      </c>
      <c r="H376" s="26" t="s">
        <v>568</v>
      </c>
      <c r="I376" s="289">
        <v>45055</v>
      </c>
      <c r="J376" s="35">
        <v>46</v>
      </c>
      <c r="K376" s="21">
        <v>59000</v>
      </c>
      <c r="L376" s="21"/>
      <c r="M376" s="22">
        <f>(PROVEEDORES[[#This Row],[SUBTOTAL]]-PROVEEDORES[[#This Row],[descuento sobre subtotal]])*VLOOKUP(PROVEEDORES[[#This Row],[PROVEEDOR]],TERCEROS_INFO[#All],3,FALSE)</f>
        <v>0</v>
      </c>
      <c r="N376" s="23"/>
      <c r="O376" s="22">
        <f>+PROVEEDORES[[#This Row],[Descuento sobre subtotal %]]*(PROVEEDORES[[#This Row],[SUBTOTAL]]-PROVEEDORES[[#This Row],[descuento sobre subtotal]])</f>
        <v>0</v>
      </c>
      <c r="P376" s="72">
        <f>+IF(PROVEEDORES[[#This Row],[SUBTOTAL]]&lt;PROVEEDORES[[#This Row],[base retencion]],0,PROVEEDORES[[#This Row],[retención aplicada]])</f>
        <v>0</v>
      </c>
      <c r="Q376" s="22">
        <f>+PROVEEDORES[[#This Row],[Rete Fuente %]]*(PROVEEDORES[[#This Row],[SUBTOTAL]]-PROVEEDORES[[#This Row],[descuento sobre subtotal]])</f>
        <v>0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59000</v>
      </c>
      <c r="S3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1">
        <f ca="1">IF(PROVEEDORES[[#This Row],[FECHA DE PAGO]]=0,TODAY()-PROVEEDORES[[#This Row],[FECHA DE FACTURACIÓN]]-PROVEEDORES[[#This Row],[PLAZO Días]],0)</f>
        <v>0</v>
      </c>
      <c r="U376" s="97">
        <f>+VLOOKUP(PROVEEDORES[[#This Row],[PROVEEDOR]],Terceros!$A:$D,4,FALSE)</f>
        <v>0</v>
      </c>
      <c r="V376" s="98">
        <f>+YEAR(PROVEEDORES[[#This Row],[FECHA DE FACTURACIÓN]])</f>
        <v>2023</v>
      </c>
      <c r="W376" s="98">
        <f>+MATCH(PROVEEDORES[[#This Row],[año facturado]],Retenciones!$1:$1,0)</f>
        <v>6</v>
      </c>
      <c r="X376" s="99">
        <f>+VLOOKUP(PROVEEDORES[[#This Row],[ID RETENCION]],Retenciones!$A$1:$O$25,PROVEEDORES[[#This Row],[indicador de columna]],FALSE)</f>
        <v>0</v>
      </c>
      <c r="Y376" s="100">
        <f>+VLOOKUP(PROVEEDORES[[#This Row],[ID RETENCION]],Retenciones!$A$1:$O$25,2,FALSE)</f>
        <v>0</v>
      </c>
      <c r="Z376" s="103" t="b">
        <f>OR(COUNTIF(PROVEEDORES[[#This Row],[PROVEEDOR]],"*"&amp;'Palabra no opera'!$A$2&amp;"*"))</f>
        <v>0</v>
      </c>
    </row>
    <row r="377" spans="1:26" ht="22.35" customHeight="1" x14ac:dyDescent="0.25">
      <c r="A377" s="65" t="str">
        <f>+IF(PROVEEDORES[[#This Row],[FECHA DE PAGO]]=PROVEEDORES[[#This Row],[FECHA DE FACTURACIÓN]],"DE CONTADO","CRÉDITO")</f>
        <v>CRÉDITO</v>
      </c>
      <c r="B377" s="38" t="str">
        <f>+IF((PROVEEDORES[[#This Row],[FECHA DE PAGO]]-PROVEEDORES[[#This Row],[FECHA DE FACTURACIÓN]])&gt;PROVEEDORES[[#This Row],[PLAZO Días]],"PAGO VENCIDO")</f>
        <v>PAGO VENCIDO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406756</v>
      </c>
      <c r="E377" s="25"/>
      <c r="F377" s="56" t="str">
        <f>+VLOOKUP(PROVEEDORES[[#This Row],[PROVEEDOR]],
                       Terceros!$A:$F,
                       5,
                       FALSE)</f>
        <v/>
      </c>
      <c r="G377" s="289">
        <v>45111</v>
      </c>
      <c r="H377" s="26" t="s">
        <v>568</v>
      </c>
      <c r="I377" s="289">
        <v>45065</v>
      </c>
      <c r="J377" s="35">
        <v>47</v>
      </c>
      <c r="K377" s="21">
        <v>58000</v>
      </c>
      <c r="L377" s="21"/>
      <c r="M377" s="22">
        <f>(PROVEEDORES[[#This Row],[SUBTOTAL]]-PROVEEDORES[[#This Row],[descuento sobre subtotal]])*VLOOKUP(PROVEEDORES[[#This Row],[PROVEEDOR]],TERCEROS_INFO[#All],3,FALSE)</f>
        <v>0</v>
      </c>
      <c r="N377" s="23"/>
      <c r="O377" s="22">
        <f>+PROVEEDORES[[#This Row],[Descuento sobre subtotal %]]*(PROVEEDORES[[#This Row],[SUBTOTAL]]-PROVEEDORES[[#This Row],[descuento sobre subtotal]])</f>
        <v>0</v>
      </c>
      <c r="P377" s="72">
        <f>+IF(PROVEEDORES[[#This Row],[SUBTOTAL]]&lt;PROVEEDORES[[#This Row],[base retencion]],0,PROVEEDORES[[#This Row],[retención aplicada]])</f>
        <v>0</v>
      </c>
      <c r="Q377" s="22">
        <f>+PROVEEDORES[[#This Row],[Rete Fuente %]]*(PROVEEDORES[[#This Row],[SUBTOTAL]]-PROVEEDORES[[#This Row],[descuento sobre subtotal]])</f>
        <v>0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3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1">
        <f ca="1">IF(PROVEEDORES[[#This Row],[FECHA DE PAGO]]=0,TODAY()-PROVEEDORES[[#This Row],[FECHA DE FACTURACIÓN]]-PROVEEDORES[[#This Row],[PLAZO Días]],0)</f>
        <v>0</v>
      </c>
      <c r="U377" s="97">
        <f>+VLOOKUP(PROVEEDORES[[#This Row],[PROVEEDOR]],Terceros!$A:$D,4,FALSE)</f>
        <v>0</v>
      </c>
      <c r="V377" s="98">
        <f>+YEAR(PROVEEDORES[[#This Row],[FECHA DE FACTURACIÓN]])</f>
        <v>2023</v>
      </c>
      <c r="W377" s="98">
        <f>+MATCH(PROVEEDORES[[#This Row],[año facturado]],Retenciones!$1:$1,0)</f>
        <v>6</v>
      </c>
      <c r="X377" s="99">
        <f>+VLOOKUP(PROVEEDORES[[#This Row],[ID RETENCION]],Retenciones!$A$1:$O$25,PROVEEDORES[[#This Row],[indicador de columna]],FALSE)</f>
        <v>0</v>
      </c>
      <c r="Y377" s="100">
        <f>+VLOOKUP(PROVEEDORES[[#This Row],[ID RETENCION]],Retenciones!$A$1:$O$25,2,FALSE)</f>
        <v>0</v>
      </c>
      <c r="Z377" s="103" t="b">
        <f>OR(COUNTIF(PROVEEDORES[[#This Row],[PROVEEDOR]],"*"&amp;'Palabra no opera'!$A$2&amp;"*"))</f>
        <v>0</v>
      </c>
    </row>
    <row r="378" spans="1:26" ht="22.35" customHeight="1" x14ac:dyDescent="0.25">
      <c r="A378" s="65" t="str">
        <f>+IF(PROVEEDORES[[#This Row],[FECHA DE PAGO]]=PROVEEDORES[[#This Row],[FECHA DE FACTURACIÓN]],"DE CONTADO","CRÉDITO")</f>
        <v>CRÉDITO</v>
      </c>
      <c r="B378" s="38" t="str">
        <f>+IF((PROVEEDORES[[#This Row],[FECHA DE PAGO]]-PROVEEDORES[[#This Row],[FECHA DE FACTURACIÓN]])&gt;PROVEEDORES[[#This Row],[PLAZO Días]],"PAGO VENCIDO")</f>
        <v>PAGO VENCIDO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406756</v>
      </c>
      <c r="E378" s="25"/>
      <c r="F378" s="56" t="str">
        <f>+VLOOKUP(PROVEEDORES[[#This Row],[PROVEEDOR]],
                       Terceros!$A:$F,
                       5,
                       FALSE)</f>
        <v/>
      </c>
      <c r="G378" s="289">
        <v>45111</v>
      </c>
      <c r="H378" s="26" t="s">
        <v>568</v>
      </c>
      <c r="I378" s="289">
        <v>45067</v>
      </c>
      <c r="J378" s="35">
        <v>48</v>
      </c>
      <c r="K378" s="21">
        <v>54000</v>
      </c>
      <c r="L378" s="21"/>
      <c r="M378" s="22">
        <f>(PROVEEDORES[[#This Row],[SUBTOTAL]]-PROVEEDORES[[#This Row],[descuento sobre subtotal]])*VLOOKUP(PROVEEDORES[[#This Row],[PROVEEDOR]],TERCEROS_INFO[#All],3,FALSE)</f>
        <v>0</v>
      </c>
      <c r="N378" s="23"/>
      <c r="O378" s="22">
        <f>+PROVEEDORES[[#This Row],[Descuento sobre subtotal %]]*(PROVEEDORES[[#This Row],[SUBTOTAL]]-PROVEEDORES[[#This Row],[descuento sobre subtotal]])</f>
        <v>0</v>
      </c>
      <c r="P378" s="72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54000</v>
      </c>
      <c r="S3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1">
        <f ca="1">IF(PROVEEDORES[[#This Row],[FECHA DE PAGO]]=0,TODAY()-PROVEEDORES[[#This Row],[FECHA DE FACTURACIÓN]]-PROVEEDORES[[#This Row],[PLAZO Días]],0)</f>
        <v>0</v>
      </c>
      <c r="U378" s="97">
        <f>+VLOOKUP(PROVEEDORES[[#This Row],[PROVEEDOR]],Terceros!$A:$D,4,FALSE)</f>
        <v>0</v>
      </c>
      <c r="V378" s="98">
        <f>+YEAR(PROVEEDORES[[#This Row],[FECHA DE FACTURACIÓN]])</f>
        <v>2023</v>
      </c>
      <c r="W378" s="98">
        <f>+MATCH(PROVEEDORES[[#This Row],[año facturado]],Retenciones!$1:$1,0)</f>
        <v>6</v>
      </c>
      <c r="X378" s="99">
        <f>+VLOOKUP(PROVEEDORES[[#This Row],[ID RETENCION]],Retenciones!$A$1:$O$25,PROVEEDORES[[#This Row],[indicador de columna]],FALSE)</f>
        <v>0</v>
      </c>
      <c r="Y378" s="100">
        <f>+VLOOKUP(PROVEEDORES[[#This Row],[ID RETENCION]],Retenciones!$A$1:$O$25,2,FALSE)</f>
        <v>0</v>
      </c>
      <c r="Z378" s="103" t="b">
        <f>OR(COUNTIF(PROVEEDORES[[#This Row],[PROVEEDOR]],"*"&amp;'Palabra no opera'!$A$2&amp;"*"))</f>
        <v>0</v>
      </c>
    </row>
    <row r="379" spans="1:26" ht="22.35" customHeight="1" x14ac:dyDescent="0.25">
      <c r="A379" s="65" t="str">
        <f>+IF(PROVEEDORES[[#This Row],[FECHA DE PAGO]]=PROVEEDORES[[#This Row],[FECHA DE FACTURACIÓN]],"DE CONTADO","CRÉDITO")</f>
        <v>CRÉDITO</v>
      </c>
      <c r="B379" s="38" t="str">
        <f>+IF((PROVEEDORES[[#This Row],[FECHA DE PAGO]]-PROVEEDORES[[#This Row],[FECHA DE FACTURACIÓN]])&gt;PROVEEDORES[[#This Row],[PLAZO Días]],"PAGO VENCIDO")</f>
        <v>PAGO VENCIDO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406756</v>
      </c>
      <c r="E379" s="25"/>
      <c r="F379" s="56" t="str">
        <f>+VLOOKUP(PROVEEDORES[[#This Row],[PROVEEDOR]],
                       Terceros!$A:$F,
                       5,
                       FALSE)</f>
        <v/>
      </c>
      <c r="G379" s="289">
        <v>45111</v>
      </c>
      <c r="H379" s="26" t="s">
        <v>568</v>
      </c>
      <c r="I379" s="289">
        <v>45076</v>
      </c>
      <c r="J379" s="35">
        <v>49</v>
      </c>
      <c r="K379" s="21">
        <v>101500</v>
      </c>
      <c r="L379" s="21"/>
      <c r="M379" s="22">
        <f>(PROVEEDORES[[#This Row],[SUBTOTAL]]-PROVEEDORES[[#This Row],[descuento sobre subtotal]])*VLOOKUP(PROVEEDORES[[#This Row],[PROVEEDOR]],TERCEROS_INFO[#All],3,FALSE)</f>
        <v>0</v>
      </c>
      <c r="N379" s="23"/>
      <c r="O379" s="22">
        <f>+PROVEEDORES[[#This Row],[Descuento sobre subtotal %]]*(PROVEEDORES[[#This Row],[SUBTOTAL]]-PROVEEDORES[[#This Row],[descuento sobre subtotal]])</f>
        <v>0</v>
      </c>
      <c r="P379" s="72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3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1">
        <f ca="1">IF(PROVEEDORES[[#This Row],[FECHA DE PAGO]]=0,TODAY()-PROVEEDORES[[#This Row],[FECHA DE FACTURACIÓN]]-PROVEEDORES[[#This Row],[PLAZO Días]],0)</f>
        <v>0</v>
      </c>
      <c r="U379" s="97">
        <f>+VLOOKUP(PROVEEDORES[[#This Row],[PROVEEDOR]],Terceros!$A:$D,4,FALSE)</f>
        <v>0</v>
      </c>
      <c r="V379" s="98">
        <f>+YEAR(PROVEEDORES[[#This Row],[FECHA DE FACTURACIÓN]])</f>
        <v>2023</v>
      </c>
      <c r="W379" s="98">
        <f>+MATCH(PROVEEDORES[[#This Row],[año facturado]],Retenciones!$1:$1,0)</f>
        <v>6</v>
      </c>
      <c r="X379" s="99">
        <f>+VLOOKUP(PROVEEDORES[[#This Row],[ID RETENCION]],Retenciones!$A$1:$O$25,PROVEEDORES[[#This Row],[indicador de columna]],FALSE)</f>
        <v>0</v>
      </c>
      <c r="Y379" s="100">
        <f>+VLOOKUP(PROVEEDORES[[#This Row],[ID RETENCION]],Retenciones!$A$1:$O$25,2,FALSE)</f>
        <v>0</v>
      </c>
      <c r="Z379" s="103" t="b">
        <f>OR(COUNTIF(PROVEEDORES[[#This Row],[PROVEEDOR]],"*"&amp;'Palabra no opera'!$A$2&amp;"*"))</f>
        <v>0</v>
      </c>
    </row>
    <row r="380" spans="1:26" ht="22.35" customHeight="1" x14ac:dyDescent="0.25">
      <c r="A380" s="65" t="str">
        <f>+IF(PROVEEDORES[[#This Row],[FECHA DE PAGO]]=PROVEEDORES[[#This Row],[FECHA DE FACTURACIÓN]],"DE CONTADO","CRÉDITO")</f>
        <v>CRÉDITO</v>
      </c>
      <c r="B380" s="38" t="str">
        <f>+IF((PROVEEDORES[[#This Row],[FECHA DE PAGO]]-PROVEEDORES[[#This Row],[FECHA DE FACTURACIÓN]])&gt;PROVEEDORES[[#This Row],[PLAZO Días]],"PAGO VENCIDO")</f>
        <v>PAGO VENCIDO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406756</v>
      </c>
      <c r="E380" s="25"/>
      <c r="F380" s="56" t="str">
        <f>+VLOOKUP(PROVEEDORES[[#This Row],[PROVEEDOR]],
                       Terceros!$A:$F,
                       5,
                       FALSE)</f>
        <v/>
      </c>
      <c r="G380" s="289">
        <v>45111</v>
      </c>
      <c r="H380" s="26" t="s">
        <v>568</v>
      </c>
      <c r="I380" s="289">
        <v>45079</v>
      </c>
      <c r="J380" s="35">
        <v>50</v>
      </c>
      <c r="K380" s="21">
        <v>170000</v>
      </c>
      <c r="L380" s="21"/>
      <c r="M380" s="22">
        <f>(PROVEEDORES[[#This Row],[SUBTOTAL]]-PROVEEDORES[[#This Row],[descuento sobre subtotal]])*VLOOKUP(PROVEEDORES[[#This Row],[PROVEEDOR]],TERCEROS_INFO[#All],3,FALSE)</f>
        <v>0</v>
      </c>
      <c r="N380" s="23"/>
      <c r="O380" s="22">
        <f>+PROVEEDORES[[#This Row],[Descuento sobre subtotal %]]*(PROVEEDORES[[#This Row],[SUBTOTAL]]-PROVEEDORES[[#This Row],[descuento sobre subtotal]])</f>
        <v>0</v>
      </c>
      <c r="P380" s="72">
        <f>+IF(PROVEEDORES[[#This Row],[SUBTOTAL]]&lt;PROVEEDORES[[#This Row],[base retencion]],0,PROVEEDORES[[#This Row],[retención aplicada]])</f>
        <v>0</v>
      </c>
      <c r="Q380" s="22">
        <f>+PROVEEDORES[[#This Row],[Rete Fuente %]]*(PROVEEDORES[[#This Row],[SUBTOTAL]]-PROVEEDORES[[#This Row],[descuento sobre subtotal]])</f>
        <v>0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3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1">
        <f ca="1">IF(PROVEEDORES[[#This Row],[FECHA DE PAGO]]=0,TODAY()-PROVEEDORES[[#This Row],[FECHA DE FACTURACIÓN]]-PROVEEDORES[[#This Row],[PLAZO Días]],0)</f>
        <v>0</v>
      </c>
      <c r="U380" s="97">
        <f>+VLOOKUP(PROVEEDORES[[#This Row],[PROVEEDOR]],Terceros!$A:$D,4,FALSE)</f>
        <v>0</v>
      </c>
      <c r="V380" s="98">
        <f>+YEAR(PROVEEDORES[[#This Row],[FECHA DE FACTURACIÓN]])</f>
        <v>2023</v>
      </c>
      <c r="W380" s="98">
        <f>+MATCH(PROVEEDORES[[#This Row],[año facturado]],Retenciones!$1:$1,0)</f>
        <v>6</v>
      </c>
      <c r="X380" s="99">
        <f>+VLOOKUP(PROVEEDORES[[#This Row],[ID RETENCION]],Retenciones!$A$1:$O$25,PROVEEDORES[[#This Row],[indicador de columna]],FALSE)</f>
        <v>0</v>
      </c>
      <c r="Y380" s="100">
        <f>+VLOOKUP(PROVEEDORES[[#This Row],[ID RETENCION]],Retenciones!$A$1:$O$25,2,FALSE)</f>
        <v>0</v>
      </c>
      <c r="Z380" s="103" t="b">
        <f>OR(COUNTIF(PROVEEDORES[[#This Row],[PROVEEDOR]],"*"&amp;'Palabra no opera'!$A$2&amp;"*"))</f>
        <v>0</v>
      </c>
    </row>
    <row r="381" spans="1:26" ht="22.35" customHeight="1" x14ac:dyDescent="0.25">
      <c r="A381" s="207" t="str">
        <f>+IF(PROVEEDORES[[#This Row],[FECHA DE PAGO]]=PROVEEDORES[[#This Row],[FECHA DE FACTURACIÓN]],"DE CONTADO","CRÉDITO")</f>
        <v>CRÉDITO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406756</v>
      </c>
      <c r="E381" s="25"/>
      <c r="F381" s="56" t="str">
        <f>+VLOOKUP(PROVEEDORES[[#This Row],[PROVEEDOR]],
                       Terceros!$A:$F,
                       5,
                       FALSE)</f>
        <v/>
      </c>
      <c r="G381" s="289">
        <v>45111</v>
      </c>
      <c r="H381" s="26" t="s">
        <v>568</v>
      </c>
      <c r="I381" s="289">
        <v>45083</v>
      </c>
      <c r="J381" s="35">
        <v>51</v>
      </c>
      <c r="K381" s="21">
        <v>330000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72">
        <f>+IF(PROVEEDORES[[#This Row],[SUBTOTAL]]&lt;PROVEEDORES[[#This Row],[base retencion]],0,PROVEEDORES[[#This Row],[retención aplicada]])</f>
        <v>0</v>
      </c>
      <c r="Q381" s="22">
        <f>+PROVEEDORES[[#This Row],[Rete Fuente %]]*(PROVEEDORES[[#This Row],[SUBTOTAL]]-PROVEEDORES[[#This Row],[descuento sobre subtotal]])</f>
        <v>0</v>
      </c>
      <c r="R381" s="21">
        <f>+PROVEEDORES[[#This Row],[SUBTOTAL]]+PROVEEDORES[[#This Row],[IVA 19%]]-PROVEEDORES[[#This Row],[descuento sobre subtotal]]-PROVEEDORES[[#This Row],[Descuento sobre subtotal $2]]-PROVEEDORES[[#This Row],[Rete Fuente $]]</f>
        <v>330000</v>
      </c>
      <c r="S381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1">
        <f ca="1">IF(PROVEEDORES[[#This Row],[FECHA DE PAGO]]=0,TODAY()-PROVEEDORES[[#This Row],[FECHA DE FACTURACIÓN]]-PROVEEDORES[[#This Row],[PLAZO Días]],0)</f>
        <v>0</v>
      </c>
      <c r="U381" s="97">
        <f>+VLOOKUP(PROVEEDORES[[#This Row],[PROVEEDOR]],Terceros!$A:$D,4,FALSE)</f>
        <v>0</v>
      </c>
      <c r="V381" s="98">
        <f>+YEAR(PROVEEDORES[[#This Row],[FECHA DE FACTURACIÓN]])</f>
        <v>2023</v>
      </c>
      <c r="W381" s="98">
        <f>+MATCH(PROVEEDORES[[#This Row],[año facturado]],Retenciones!$1:$1,0)</f>
        <v>6</v>
      </c>
      <c r="X381" s="99">
        <f>+VLOOKUP(PROVEEDORES[[#This Row],[ID RETENCION]],Retenciones!$A$1:$O$25,PROVEEDORES[[#This Row],[indicador de columna]],FALSE)</f>
        <v>0</v>
      </c>
      <c r="Y381" s="100">
        <f>+VLOOKUP(PROVEEDORES[[#This Row],[ID RETENCION]],Retenciones!$A$1:$O$25,2,FALSE)</f>
        <v>0</v>
      </c>
      <c r="Z381" s="103" t="b">
        <f>OR(COUNTIF(PROVEEDORES[[#This Row],[PROVEEDOR]],"*"&amp;'Palabra no opera'!$A$2&amp;"*"))</f>
        <v>0</v>
      </c>
    </row>
    <row r="382" spans="1:26" ht="22.35" customHeight="1" x14ac:dyDescent="0.25">
      <c r="A382" s="65" t="str">
        <f>+IF(PROVEEDORES[[#This Row],[FECHA DE PAGO]]=PROVEEDORES[[#This Row],[FECHA DE FACTURACIÓN]],"DE CONTADO","CRÉDITO")</f>
        <v>CRÉDITO</v>
      </c>
      <c r="B382" s="38" t="b">
        <f>+IF((PROVEEDORES[[#This Row],[FECHA DE PAGO]]-PROVEEDORES[[#This Row],[FECHA DE FACTURACIÓN]])&gt;PROVEEDORES[[#This Row],[PLAZO Días]],"PAGO VENCIDO")</f>
        <v>0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406756</v>
      </c>
      <c r="E382" s="25"/>
      <c r="F382" s="56" t="str">
        <f>+VLOOKUP(PROVEEDORES[[#This Row],[PROVEEDOR]],
                       Terceros!$A:$F,
                       5,
                       FALSE)</f>
        <v/>
      </c>
      <c r="G382" s="289">
        <v>45111</v>
      </c>
      <c r="H382" s="26" t="s">
        <v>568</v>
      </c>
      <c r="I382" s="289">
        <v>45084</v>
      </c>
      <c r="J382" s="35">
        <v>52</v>
      </c>
      <c r="K382" s="21">
        <v>110000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72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110000</v>
      </c>
      <c r="S3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1">
        <f ca="1">IF(PROVEEDORES[[#This Row],[FECHA DE PAGO]]=0,TODAY()-PROVEEDORES[[#This Row],[FECHA DE FACTURACIÓN]]-PROVEEDORES[[#This Row],[PLAZO Días]],0)</f>
        <v>0</v>
      </c>
      <c r="U382" s="97">
        <f>+VLOOKUP(PROVEEDORES[[#This Row],[PROVEEDOR]],Terceros!$A:$D,4,FALSE)</f>
        <v>0</v>
      </c>
      <c r="V382" s="98">
        <f>+YEAR(PROVEEDORES[[#This Row],[FECHA DE FACTURACIÓN]])</f>
        <v>2023</v>
      </c>
      <c r="W382" s="98">
        <f>+MATCH(PROVEEDORES[[#This Row],[año facturado]],Retenciones!$1:$1,0)</f>
        <v>6</v>
      </c>
      <c r="X382" s="99">
        <f>+VLOOKUP(PROVEEDORES[[#This Row],[ID RETENCION]],Retenciones!$A$1:$O$25,PROVEEDORES[[#This Row],[indicador de columna]],FALSE)</f>
        <v>0</v>
      </c>
      <c r="Y382" s="100">
        <f>+VLOOKUP(PROVEEDORES[[#This Row],[ID RETENCION]],Retenciones!$A$1:$O$25,2,FALSE)</f>
        <v>0</v>
      </c>
      <c r="Z382" s="103" t="b">
        <f>OR(COUNTIF(PROVEEDORES[[#This Row],[PROVEEDOR]],"*"&amp;'Palabra no opera'!$A$2&amp;"*"))</f>
        <v>0</v>
      </c>
    </row>
    <row r="383" spans="1:26" ht="22.35" customHeight="1" x14ac:dyDescent="0.25">
      <c r="A383" s="207" t="str">
        <f>+IF(PROVEEDORES[[#This Row],[FECHA DE PAGO]]=PROVEEDORES[[#This Row],[FECHA DE FACTURACIÓN]],"DE CONTADO","CRÉDITO")</f>
        <v>CRÉDITO</v>
      </c>
      <c r="B383" s="38" t="b">
        <f>+IF((PROVEEDORES[[#This Row],[FECHA DE PAGO]]-PROVEEDORES[[#This Row],[FECHA DE FACTURACIÓN]])&gt;PROVEEDORES[[#This Row],[PLAZO Días]],"PAGO VENCIDO")</f>
        <v>0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406756</v>
      </c>
      <c r="E383" s="25"/>
      <c r="F383" s="56" t="str">
        <f>+VLOOKUP(PROVEEDORES[[#This Row],[PROVEEDOR]],
                       Terceros!$A:$F,
                       5,
                       FALSE)</f>
        <v/>
      </c>
      <c r="G383" s="289">
        <v>45111</v>
      </c>
      <c r="H383" s="26" t="s">
        <v>568</v>
      </c>
      <c r="I383" s="289">
        <v>45093</v>
      </c>
      <c r="J383" s="35">
        <v>53</v>
      </c>
      <c r="K383" s="21">
        <v>170000</v>
      </c>
      <c r="L383" s="21"/>
      <c r="M383" s="22">
        <f>(PROVEEDORES[[#This Row],[SUBTOTAL]]-PROVEEDORES[[#This Row],[descuento sobre subtotal]])*VLOOKUP(PROVEEDORES[[#This Row],[PROVEEDOR]],TERCEROS_INFO[#All],3,FALSE)</f>
        <v>0</v>
      </c>
      <c r="N383" s="23"/>
      <c r="O383" s="22">
        <f>+PROVEEDORES[[#This Row],[Descuento sobre subtotal %]]*(PROVEEDORES[[#This Row],[SUBTOTAL]]-PROVEEDORES[[#This Row],[descuento sobre subtotal]])</f>
        <v>0</v>
      </c>
      <c r="P383" s="72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f>+PROVEEDORES[[#This Row],[SUBTOTAL]]+PROVEEDORES[[#This Row],[IVA 19%]]-PROVEEDORES[[#This Row],[descuento sobre subtotal]]-PROVEEDORES[[#This Row],[Descuento sobre subtotal $2]]-PROVEEDORES[[#This Row],[Rete Fuente $]]</f>
        <v>170000</v>
      </c>
      <c r="S383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61">
        <f ca="1">IF(PROVEEDORES[[#This Row],[FECHA DE PAGO]]=0,TODAY()-PROVEEDORES[[#This Row],[FECHA DE FACTURACIÓN]]-PROVEEDORES[[#This Row],[PLAZO Días]],0)</f>
        <v>0</v>
      </c>
      <c r="U383" s="97">
        <f>+VLOOKUP(PROVEEDORES[[#This Row],[PROVEEDOR]],Terceros!$A:$D,4,FALSE)</f>
        <v>0</v>
      </c>
      <c r="V383" s="98">
        <f>+YEAR(PROVEEDORES[[#This Row],[FECHA DE FACTURACIÓN]])</f>
        <v>2023</v>
      </c>
      <c r="W383" s="98">
        <f>+MATCH(PROVEEDORES[[#This Row],[año facturado]],Retenciones!$1:$1,0)</f>
        <v>6</v>
      </c>
      <c r="X383" s="99">
        <f>+VLOOKUP(PROVEEDORES[[#This Row],[ID RETENCION]],Retenciones!$A$1:$O$25,PROVEEDORES[[#This Row],[indicador de columna]],FALSE)</f>
        <v>0</v>
      </c>
      <c r="Y383" s="100">
        <f>+VLOOKUP(PROVEEDORES[[#This Row],[ID RETENCION]],Retenciones!$A$1:$O$25,2,FALSE)</f>
        <v>0</v>
      </c>
      <c r="Z383" s="103" t="b">
        <f>OR(COUNTIF(PROVEEDORES[[#This Row],[PROVEEDOR]],"*"&amp;'Palabra no opera'!$A$2&amp;"*"))</f>
        <v>0</v>
      </c>
    </row>
    <row r="384" spans="1:26" ht="22.35" customHeight="1" x14ac:dyDescent="0.25">
      <c r="A384" s="207" t="str">
        <f>+IF(PROVEEDORES[[#This Row],[FECHA DE PAGO]]=PROVEEDORES[[#This Row],[FECHA DE FACTURACIÓN]],"DE CONTADO","CRÉDITO")</f>
        <v>CRÉDITO</v>
      </c>
      <c r="B384" s="38" t="b">
        <f>+IF((PROVEEDORES[[#This Row],[FECHA DE PAGO]]-PROVEEDORES[[#This Row],[FECHA DE FACTURACIÓN]])&gt;PROVEEDORES[[#This Row],[PLAZO Días]],"PAGO VENCIDO")</f>
        <v>0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406756</v>
      </c>
      <c r="E384" s="25"/>
      <c r="F384" s="56" t="str">
        <f>+VLOOKUP(PROVEEDORES[[#This Row],[PROVEEDOR]],
                       Terceros!$A:$F,
                       5,
                       FALSE)</f>
        <v/>
      </c>
      <c r="G384" s="289">
        <v>45111</v>
      </c>
      <c r="H384" s="26" t="s">
        <v>568</v>
      </c>
      <c r="I384" s="289">
        <v>45097</v>
      </c>
      <c r="J384" s="35">
        <v>54</v>
      </c>
      <c r="K384" s="21">
        <v>103000</v>
      </c>
      <c r="L384" s="21"/>
      <c r="M384" s="22">
        <f>(PROVEEDORES[[#This Row],[SUBTOTAL]]-PROVEEDORES[[#This Row],[descuento sobre subtotal]])*VLOOKUP(PROVEEDORES[[#This Row],[PROVEEDOR]],TERCEROS_INFO[#All],3,FALSE)</f>
        <v>0</v>
      </c>
      <c r="N384" s="23"/>
      <c r="O384" s="22">
        <f>+PROVEEDORES[[#This Row],[Descuento sobre subtotal %]]*(PROVEEDORES[[#This Row],[SUBTOTAL]]-PROVEEDORES[[#This Row],[descuento sobre subtotal]])</f>
        <v>0</v>
      </c>
      <c r="P384" s="72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f>+PROVEEDORES[[#This Row],[SUBTOTAL]]+PROVEEDORES[[#This Row],[IVA 19%]]-PROVEEDORES[[#This Row],[descuento sobre subtotal]]-PROVEEDORES[[#This Row],[Descuento sobre subtotal $2]]-PROVEEDORES[[#This Row],[Rete Fuente $]]</f>
        <v>103000</v>
      </c>
      <c r="S384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1">
        <f ca="1">IF(PROVEEDORES[[#This Row],[FECHA DE PAGO]]=0,TODAY()-PROVEEDORES[[#This Row],[FECHA DE FACTURACIÓN]]-PROVEEDORES[[#This Row],[PLAZO Días]],0)</f>
        <v>0</v>
      </c>
      <c r="U384" s="97">
        <f>+VLOOKUP(PROVEEDORES[[#This Row],[PROVEEDOR]],Terceros!$A:$D,4,FALSE)</f>
        <v>0</v>
      </c>
      <c r="V384" s="98">
        <f>+YEAR(PROVEEDORES[[#This Row],[FECHA DE FACTURACIÓN]])</f>
        <v>2023</v>
      </c>
      <c r="W384" s="98">
        <f>+MATCH(PROVEEDORES[[#This Row],[año facturado]],Retenciones!$1:$1,0)</f>
        <v>6</v>
      </c>
      <c r="X384" s="99">
        <f>+VLOOKUP(PROVEEDORES[[#This Row],[ID RETENCION]],Retenciones!$A$1:$O$25,PROVEEDORES[[#This Row],[indicador de columna]],FALSE)</f>
        <v>0</v>
      </c>
      <c r="Y384" s="100">
        <f>+VLOOKUP(PROVEEDORES[[#This Row],[ID RETENCION]],Retenciones!$A$1:$O$25,2,FALSE)</f>
        <v>0</v>
      </c>
      <c r="Z384" s="103" t="b">
        <f>OR(COUNTIF(PROVEEDORES[[#This Row],[PROVEEDOR]],"*"&amp;'Palabra no opera'!$A$2&amp;"*"))</f>
        <v>0</v>
      </c>
    </row>
    <row r="385" spans="1:26" ht="22.35" customHeight="1" x14ac:dyDescent="0.25">
      <c r="A385" s="65" t="str">
        <f>+IF(PROVEEDORES[[#This Row],[FECHA DE PAGO]]=PROVEEDORES[[#This Row],[FECHA DE FACTURACIÓN]],"DE CONTADO","CRÉDITO")</f>
        <v>CRÉDITO</v>
      </c>
      <c r="B385" s="38" t="b">
        <f>+IF((PROVEEDORES[[#This Row],[FECHA DE PAGO]]-PROVEEDORES[[#This Row],[FECHA DE FACTURACIÓN]])&gt;PROVEEDORES[[#This Row],[PLAZO Días]],"PAGO VENCIDO")</f>
        <v>0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406756</v>
      </c>
      <c r="E385" s="25"/>
      <c r="F385" s="56" t="str">
        <f>+VLOOKUP(PROVEEDORES[[#This Row],[PROVEEDOR]],
                       Terceros!$A:$F,
                       5,
                       FALSE)</f>
        <v/>
      </c>
      <c r="G385" s="289">
        <v>45111</v>
      </c>
      <c r="H385" s="26" t="s">
        <v>568</v>
      </c>
      <c r="I385" s="289">
        <v>45098</v>
      </c>
      <c r="J385" s="35">
        <v>55</v>
      </c>
      <c r="K385" s="21">
        <v>687000</v>
      </c>
      <c r="L385" s="21"/>
      <c r="M385" s="22">
        <f>(PROVEEDORES[[#This Row],[SUBTOTAL]]-PROVEEDORES[[#This Row],[descuento sobre subtotal]])*VLOOKUP(PROVEEDORES[[#This Row],[PROVEEDOR]],TERCEROS_INFO[#All],3,FALSE)</f>
        <v>0</v>
      </c>
      <c r="N385" s="23"/>
      <c r="O385" s="22">
        <f>+PROVEEDORES[[#This Row],[Descuento sobre subtotal %]]*(PROVEEDORES[[#This Row],[SUBTOTAL]]-PROVEEDORES[[#This Row],[descuento sobre subtotal]])</f>
        <v>0</v>
      </c>
      <c r="P385" s="72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687000</v>
      </c>
      <c r="S3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1">
        <f ca="1">IF(PROVEEDORES[[#This Row],[FECHA DE PAGO]]=0,TODAY()-PROVEEDORES[[#This Row],[FECHA DE FACTURACIÓN]]-PROVEEDORES[[#This Row],[PLAZO Días]],0)</f>
        <v>0</v>
      </c>
      <c r="U385" s="97">
        <f>+VLOOKUP(PROVEEDORES[[#This Row],[PROVEEDOR]],Terceros!$A:$D,4,FALSE)</f>
        <v>0</v>
      </c>
      <c r="V385" s="98">
        <f>+YEAR(PROVEEDORES[[#This Row],[FECHA DE FACTURACIÓN]])</f>
        <v>2023</v>
      </c>
      <c r="W385" s="98">
        <f>+MATCH(PROVEEDORES[[#This Row],[año facturado]],Retenciones!$1:$1,0)</f>
        <v>6</v>
      </c>
      <c r="X385" s="99">
        <f>+VLOOKUP(PROVEEDORES[[#This Row],[ID RETENCION]],Retenciones!$A$1:$O$25,PROVEEDORES[[#This Row],[indicador de columna]],FALSE)</f>
        <v>0</v>
      </c>
      <c r="Y385" s="100">
        <f>+VLOOKUP(PROVEEDORES[[#This Row],[ID RETENCION]],Retenciones!$A$1:$O$25,2,FALSE)</f>
        <v>0</v>
      </c>
      <c r="Z385" s="103" t="b">
        <f>OR(COUNTIF(PROVEEDORES[[#This Row],[PROVEEDOR]],"*"&amp;'Palabra no opera'!$A$2&amp;"*"))</f>
        <v>0</v>
      </c>
    </row>
    <row r="386" spans="1:26" ht="22.35" customHeight="1" x14ac:dyDescent="0.25">
      <c r="A386" s="65" t="str">
        <f>+IF(PROVEEDORES[[#This Row],[FECHA DE PAGO]]=PROVEEDORES[[#This Row],[FECHA DE FACTURACIÓN]],"DE CONTADO","CRÉDITO")</f>
        <v>CRÉDITO</v>
      </c>
      <c r="B386" s="38" t="b">
        <f>+IF((PROVEEDORES[[#This Row],[FECHA DE PAGO]]-PROVEEDORES[[#This Row],[FECHA DE FACTURACIÓN]])&gt;PROVEEDORES[[#This Row],[PLAZO Días]],"PAGO VENCIDO")</f>
        <v>0</v>
      </c>
      <c r="C386" s="20">
        <f>+VLOOKUP(PROVEEDORES[[#This Row],[PROVEEDOR]],TERCEROS_INFO[#All],2,FALSE)</f>
        <v>30</v>
      </c>
      <c r="D386" s="25">
        <f>+SUMIFS(PROVEEDORES[Total],PROVEEDORES[PROVEEDOR],PROVEEDORES[[#This Row],[PROVEEDOR]],PROVEEDORES[FECHA DE PAGO],"")</f>
        <v>406756</v>
      </c>
      <c r="E386" s="25"/>
      <c r="F386" s="56" t="str">
        <f>+VLOOKUP(PROVEEDORES[[#This Row],[PROVEEDOR]],
                       Terceros!$A:$F,
                       5,
                       FALSE)</f>
        <v/>
      </c>
      <c r="G386" s="289">
        <v>45111</v>
      </c>
      <c r="H386" s="26" t="s">
        <v>568</v>
      </c>
      <c r="I386" s="289">
        <v>45098</v>
      </c>
      <c r="J386" s="35">
        <v>56</v>
      </c>
      <c r="K386" s="21">
        <v>302000</v>
      </c>
      <c r="L386" s="21"/>
      <c r="M386" s="22">
        <f>(PROVEEDORES[[#This Row],[SUBTOTAL]]-PROVEEDORES[[#This Row],[descuento sobre subtotal]])*VLOOKUP(PROVEEDORES[[#This Row],[PROVEEDOR]],TERCEROS_INFO[#All],3,FALSE)</f>
        <v>0</v>
      </c>
      <c r="N386" s="23"/>
      <c r="O386" s="22">
        <f>+PROVEEDORES[[#This Row],[Descuento sobre subtotal %]]*(PROVEEDORES[[#This Row],[SUBTOTAL]]-PROVEEDORES[[#This Row],[descuento sobre subtotal]])</f>
        <v>0</v>
      </c>
      <c r="P386" s="72">
        <f>+IF(PROVEEDORES[[#This Row],[SUBTOTAL]]&lt;PROVEEDORES[[#This Row],[base retencion]],0,PROVEEDORES[[#This Row],[retención aplicada]])</f>
        <v>0</v>
      </c>
      <c r="Q386" s="22">
        <f>+PROVEEDORES[[#This Row],[Rete Fuente %]]*(PROVEEDORES[[#This Row],[SUBTOTAL]]-PROVEEDORES[[#This Row],[descuento sobre subtotal]])</f>
        <v>0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302000</v>
      </c>
      <c r="S38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1">
        <f ca="1">IF(PROVEEDORES[[#This Row],[FECHA DE PAGO]]=0,TODAY()-PROVEEDORES[[#This Row],[FECHA DE FACTURACIÓN]]-PROVEEDORES[[#This Row],[PLAZO Días]],0)</f>
        <v>0</v>
      </c>
      <c r="U386" s="97">
        <f>+VLOOKUP(PROVEEDORES[[#This Row],[PROVEEDOR]],Terceros!$A:$D,4,FALSE)</f>
        <v>0</v>
      </c>
      <c r="V386" s="98">
        <f>+YEAR(PROVEEDORES[[#This Row],[FECHA DE FACTURACIÓN]])</f>
        <v>2023</v>
      </c>
      <c r="W386" s="98">
        <f>+MATCH(PROVEEDORES[[#This Row],[año facturado]],Retenciones!$1:$1,0)</f>
        <v>6</v>
      </c>
      <c r="X386" s="99">
        <f>+VLOOKUP(PROVEEDORES[[#This Row],[ID RETENCION]],Retenciones!$A$1:$O$25,PROVEEDORES[[#This Row],[indicador de columna]],FALSE)</f>
        <v>0</v>
      </c>
      <c r="Y386" s="100">
        <f>+VLOOKUP(PROVEEDORES[[#This Row],[ID RETENCION]],Retenciones!$A$1:$O$25,2,FALSE)</f>
        <v>0</v>
      </c>
      <c r="Z386" s="103" t="b">
        <f>OR(COUNTIF(PROVEEDORES[[#This Row],[PROVEEDOR]],"*"&amp;'Palabra no opera'!$A$2&amp;"*"))</f>
        <v>0</v>
      </c>
    </row>
    <row r="387" spans="1:26" ht="22.35" customHeight="1" x14ac:dyDescent="0.25">
      <c r="A387" s="65" t="str">
        <f>+IF(PROVEEDORES[[#This Row],[FECHA DE PAGO]]=PROVEEDORES[[#This Row],[FECHA DE FACTURACIÓN]],"DE CONTADO","CRÉDITO")</f>
        <v>CRÉDITO</v>
      </c>
      <c r="B387" s="38" t="str">
        <f>+IF((PROVEEDORES[[#This Row],[FECHA DE PAGO]]-PROVEEDORES[[#This Row],[FECHA DE FACTURACIÓN]])&gt;PROVEEDORES[[#This Row],[PLAZO Días]],"PAGO VENCIDO")</f>
        <v>PAGO VENCIDO</v>
      </c>
      <c r="C387" s="20">
        <f>+VLOOKUP(PROVEEDORES[[#This Row],[PROVEEDOR]],TERCEROS_INFO[#All],2,FALSE)</f>
        <v>30</v>
      </c>
      <c r="D387" s="25">
        <f>+SUMIFS(PROVEEDORES[Total],PROVEEDORES[PROVEEDOR],PROVEEDORES[[#This Row],[PROVEEDOR]],PROVEEDORES[FECHA DE PAGO],"")</f>
        <v>406756</v>
      </c>
      <c r="E387" s="25"/>
      <c r="F387" s="56" t="str">
        <f>+VLOOKUP(PROVEEDORES[[#This Row],[PROVEEDOR]],
                       Terceros!$A:$F,
                       5,
                       FALSE)</f>
        <v/>
      </c>
      <c r="G387" s="289">
        <v>45194</v>
      </c>
      <c r="H387" s="26" t="s">
        <v>568</v>
      </c>
      <c r="I387" s="289">
        <v>45111</v>
      </c>
      <c r="J387" s="35">
        <v>57</v>
      </c>
      <c r="K387" s="21">
        <v>171500</v>
      </c>
      <c r="L387" s="21"/>
      <c r="M387" s="22">
        <f>(PROVEEDORES[[#This Row],[SUBTOTAL]]-PROVEEDORES[[#This Row],[descuento sobre subtotal]])*VLOOKUP(PROVEEDORES[[#This Row],[PROVEEDOR]],TERCEROS_INFO[#All],3,FALSE)</f>
        <v>0</v>
      </c>
      <c r="N387" s="23"/>
      <c r="O387" s="22">
        <f>+PROVEEDORES[[#This Row],[Descuento sobre subtotal %]]*(PROVEEDORES[[#This Row],[SUBTOTAL]]-PROVEEDORES[[#This Row],[descuento sobre subtotal]])</f>
        <v>0</v>
      </c>
      <c r="P387" s="72">
        <f>+IF(PROVEEDORES[[#This Row],[SUBTOTAL]]&lt;PROVEEDORES[[#This Row],[base retencion]],0,PROVEEDORES[[#This Row],[retención aplicada]])</f>
        <v>0</v>
      </c>
      <c r="Q387" s="22">
        <f>+PROVEEDORES[[#This Row],[Rete Fuente %]]*(PROVEEDORES[[#This Row],[SUBTOTAL]]-PROVEEDORES[[#This Row],[descuento sobre subtotal]])</f>
        <v>0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171500</v>
      </c>
      <c r="S3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1">
        <f ca="1">IF(PROVEEDORES[[#This Row],[FECHA DE PAGO]]=0,TODAY()-PROVEEDORES[[#This Row],[FECHA DE FACTURACIÓN]]-PROVEEDORES[[#This Row],[PLAZO Días]],0)</f>
        <v>0</v>
      </c>
      <c r="U387" s="97">
        <f>+VLOOKUP(PROVEEDORES[[#This Row],[PROVEEDOR]],Terceros!$A:$D,4,FALSE)</f>
        <v>0</v>
      </c>
      <c r="V387" s="98">
        <f>+YEAR(PROVEEDORES[[#This Row],[FECHA DE FACTURACIÓN]])</f>
        <v>2023</v>
      </c>
      <c r="W387" s="98">
        <f>+MATCH(PROVEEDORES[[#This Row],[año facturado]],Retenciones!$1:$1,0)</f>
        <v>6</v>
      </c>
      <c r="X387" s="99">
        <f>+VLOOKUP(PROVEEDORES[[#This Row],[ID RETENCION]],Retenciones!$A$1:$O$25,PROVEEDORES[[#This Row],[indicador de columna]],FALSE)</f>
        <v>0</v>
      </c>
      <c r="Y387" s="100">
        <f>+VLOOKUP(PROVEEDORES[[#This Row],[ID RETENCION]],Retenciones!$A$1:$O$25,2,FALSE)</f>
        <v>0</v>
      </c>
      <c r="Z387" s="103" t="b">
        <f>OR(COUNTIF(PROVEEDORES[[#This Row],[PROVEEDOR]],"*"&amp;'Palabra no opera'!$A$2&amp;"*"))</f>
        <v>0</v>
      </c>
    </row>
    <row r="388" spans="1:26" ht="22.35" customHeight="1" x14ac:dyDescent="0.25">
      <c r="A388" s="65" t="str">
        <f>+IF(PROVEEDORES[[#This Row],[FECHA DE PAGO]]=PROVEEDORES[[#This Row],[FECHA DE FACTURACIÓN]],"DE CONTADO","CRÉDITO")</f>
        <v>CRÉDITO</v>
      </c>
      <c r="B388" s="38" t="str">
        <f>+IF((PROVEEDORES[[#This Row],[FECHA DE PAGO]]-PROVEEDORES[[#This Row],[FECHA DE FACTURACIÓN]])&gt;PROVEEDORES[[#This Row],[PLAZO Días]],"PAGO VENCIDO")</f>
        <v>PAGO VENCIDO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406756</v>
      </c>
      <c r="E388" s="25"/>
      <c r="F388" s="56" t="str">
        <f>+VLOOKUP(PROVEEDORES[[#This Row],[PROVEEDOR]],
                       Terceros!$A:$F,
                       5,
                       FALSE)</f>
        <v/>
      </c>
      <c r="G388" s="289">
        <v>45194</v>
      </c>
      <c r="H388" s="26" t="s">
        <v>568</v>
      </c>
      <c r="I388" s="289">
        <v>45114</v>
      </c>
      <c r="J388" s="35">
        <v>58</v>
      </c>
      <c r="K388" s="21">
        <v>65000</v>
      </c>
      <c r="L388" s="21"/>
      <c r="M388" s="22">
        <f>(PROVEEDORES[[#This Row],[SUBTOTAL]]-PROVEEDORES[[#This Row],[descuento sobre subtotal]])*VLOOKUP(PROVEEDORES[[#This Row],[PROVEEDOR]],TERCEROS_INFO[#All],3,FALSE)</f>
        <v>0</v>
      </c>
      <c r="N388" s="23"/>
      <c r="O388" s="22">
        <f>+PROVEEDORES[[#This Row],[Descuento sobre subtotal %]]*(PROVEEDORES[[#This Row],[SUBTOTAL]]-PROVEEDORES[[#This Row],[descuento sobre subtotal]])</f>
        <v>0</v>
      </c>
      <c r="P388" s="72">
        <f>+IF(PROVEEDORES[[#This Row],[SUBTOTAL]]&lt;PROVEEDORES[[#This Row],[base retencion]],0,PROVEEDORES[[#This Row],[retención aplicada]])</f>
        <v>0</v>
      </c>
      <c r="Q388" s="22">
        <f>+PROVEEDORES[[#This Row],[Rete Fuente %]]*(PROVEEDORES[[#This Row],[SUBTOTAL]]-PROVEEDORES[[#This Row],[descuento sobre subtotal]])</f>
        <v>0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3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1">
        <f ca="1">IF(PROVEEDORES[[#This Row],[FECHA DE PAGO]]=0,TODAY()-PROVEEDORES[[#This Row],[FECHA DE FACTURACIÓN]]-PROVEEDORES[[#This Row],[PLAZO Días]],0)</f>
        <v>0</v>
      </c>
      <c r="U388" s="97">
        <f>+VLOOKUP(PROVEEDORES[[#This Row],[PROVEEDOR]],Terceros!$A:$D,4,FALSE)</f>
        <v>0</v>
      </c>
      <c r="V388" s="98">
        <f>+YEAR(PROVEEDORES[[#This Row],[FECHA DE FACTURACIÓN]])</f>
        <v>2023</v>
      </c>
      <c r="W388" s="98">
        <f>+MATCH(PROVEEDORES[[#This Row],[año facturado]],Retenciones!$1:$1,0)</f>
        <v>6</v>
      </c>
      <c r="X388" s="99">
        <f>+VLOOKUP(PROVEEDORES[[#This Row],[ID RETENCION]],Retenciones!$A$1:$O$25,PROVEEDORES[[#This Row],[indicador de columna]],FALSE)</f>
        <v>0</v>
      </c>
      <c r="Y388" s="100">
        <f>+VLOOKUP(PROVEEDORES[[#This Row],[ID RETENCION]],Retenciones!$A$1:$O$25,2,FALSE)</f>
        <v>0</v>
      </c>
      <c r="Z388" s="103" t="b">
        <f>OR(COUNTIF(PROVEEDORES[[#This Row],[PROVEEDOR]],"*"&amp;'Palabra no opera'!$A$2&amp;"*"))</f>
        <v>0</v>
      </c>
    </row>
    <row r="389" spans="1:26" ht="22.35" customHeight="1" x14ac:dyDescent="0.25">
      <c r="A389" s="65" t="str">
        <f>+IF(PROVEEDORES[[#This Row],[FECHA DE PAGO]]=PROVEEDORES[[#This Row],[FECHA DE FACTURACIÓN]],"DE CONTADO","CRÉDITO")</f>
        <v>CRÉDITO</v>
      </c>
      <c r="B389" s="38" t="str">
        <f>+IF((PROVEEDORES[[#This Row],[FECHA DE PAGO]]-PROVEEDORES[[#This Row],[FECHA DE FACTURACIÓN]])&gt;PROVEEDORES[[#This Row],[PLAZO Días]],"PAGO VENCIDO")</f>
        <v>PAGO VENCIDO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406756</v>
      </c>
      <c r="E389" s="25"/>
      <c r="F389" s="56" t="str">
        <f>+VLOOKUP(PROVEEDORES[[#This Row],[PROVEEDOR]],
                       Terceros!$A:$F,
                       5,
                       FALSE)</f>
        <v/>
      </c>
      <c r="G389" s="289">
        <v>45194</v>
      </c>
      <c r="H389" s="26" t="s">
        <v>568</v>
      </c>
      <c r="I389" s="289">
        <v>45122</v>
      </c>
      <c r="J389" s="35">
        <v>60</v>
      </c>
      <c r="K389" s="21">
        <v>227000</v>
      </c>
      <c r="L389" s="21"/>
      <c r="M389" s="22">
        <f>(PROVEEDORES[[#This Row],[SUBTOTAL]]-PROVEEDORES[[#This Row],[descuento sobre subtotal]])*VLOOKUP(PROVEEDORES[[#This Row],[PROVEEDOR]],TERCEROS_INFO[#All],3,FALSE)</f>
        <v>0</v>
      </c>
      <c r="N389" s="23"/>
      <c r="O389" s="22">
        <f>+PROVEEDORES[[#This Row],[Descuento sobre subtotal %]]*(PROVEEDORES[[#This Row],[SUBTOTAL]]-PROVEEDORES[[#This Row],[descuento sobre subtotal]])</f>
        <v>0</v>
      </c>
      <c r="P389" s="72">
        <f>+IF(PROVEEDORES[[#This Row],[SUBTOTAL]]&lt;PROVEEDORES[[#This Row],[base retencion]],0,PROVEEDORES[[#This Row],[retención aplicada]])</f>
        <v>0</v>
      </c>
      <c r="Q389" s="22">
        <f>+PROVEEDORES[[#This Row],[Rete Fuente %]]*(PROVEEDORES[[#This Row],[SUBTOTAL]]-PROVEEDORES[[#This Row],[descuento sobre subtotal]])</f>
        <v>0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227000</v>
      </c>
      <c r="S3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1">
        <f ca="1">IF(PROVEEDORES[[#This Row],[FECHA DE PAGO]]=0,TODAY()-PROVEEDORES[[#This Row],[FECHA DE FACTURACIÓN]]-PROVEEDORES[[#This Row],[PLAZO Días]],0)</f>
        <v>0</v>
      </c>
      <c r="U389" s="97">
        <f>+VLOOKUP(PROVEEDORES[[#This Row],[PROVEEDOR]],Terceros!$A:$D,4,FALSE)</f>
        <v>0</v>
      </c>
      <c r="V389" s="98">
        <f>+YEAR(PROVEEDORES[[#This Row],[FECHA DE FACTURACIÓN]])</f>
        <v>2023</v>
      </c>
      <c r="W389" s="98">
        <f>+MATCH(PROVEEDORES[[#This Row],[año facturado]],Retenciones!$1:$1,0)</f>
        <v>6</v>
      </c>
      <c r="X389" s="99">
        <f>+VLOOKUP(PROVEEDORES[[#This Row],[ID RETENCION]],Retenciones!$A$1:$O$25,PROVEEDORES[[#This Row],[indicador de columna]],FALSE)</f>
        <v>0</v>
      </c>
      <c r="Y389" s="100">
        <f>+VLOOKUP(PROVEEDORES[[#This Row],[ID RETENCION]],Retenciones!$A$1:$O$25,2,FALSE)</f>
        <v>0</v>
      </c>
      <c r="Z389" s="103" t="b">
        <f>OR(COUNTIF(PROVEEDORES[[#This Row],[PROVEEDOR]],"*"&amp;'Palabra no opera'!$A$2&amp;"*"))</f>
        <v>0</v>
      </c>
    </row>
    <row r="390" spans="1:26" ht="22.35" customHeight="1" x14ac:dyDescent="0.25">
      <c r="A390" s="65" t="str">
        <f>+IF(PROVEEDORES[[#This Row],[FECHA DE PAGO]]=PROVEEDORES[[#This Row],[FECHA DE FACTURACIÓN]],"DE CONTADO","CRÉDITO")</f>
        <v>CRÉDITO</v>
      </c>
      <c r="B390" s="38" t="str">
        <f>+IF((PROVEEDORES[[#This Row],[FECHA DE PAGO]]-PROVEEDORES[[#This Row],[FECHA DE FACTURACIÓN]])&gt;PROVEEDORES[[#This Row],[PLAZO Días]],"PAGO VENCIDO")</f>
        <v>PAGO VENCIDO</v>
      </c>
      <c r="C390" s="20">
        <f>+VLOOKUP(PROVEEDORES[[#This Row],[PROVEEDOR]],TERCEROS_INFO[#All],2,FALSE)</f>
        <v>30</v>
      </c>
      <c r="D390" s="25">
        <f>+SUMIFS(PROVEEDORES[Total],PROVEEDORES[PROVEEDOR],PROVEEDORES[[#This Row],[PROVEEDOR]],PROVEEDORES[FECHA DE PAGO],"")</f>
        <v>406756</v>
      </c>
      <c r="E390" s="25"/>
      <c r="F390" s="56" t="str">
        <f>+VLOOKUP(PROVEEDORES[[#This Row],[PROVEEDOR]],
                       Terceros!$A:$F,
                       5,
                       FALSE)</f>
        <v/>
      </c>
      <c r="G390" s="289">
        <v>45194</v>
      </c>
      <c r="H390" s="26" t="s">
        <v>568</v>
      </c>
      <c r="I390" s="289">
        <v>45122</v>
      </c>
      <c r="J390" s="35">
        <v>59</v>
      </c>
      <c r="K390" s="21">
        <v>78000</v>
      </c>
      <c r="L390" s="21"/>
      <c r="M390" s="22">
        <f>(PROVEEDORES[[#This Row],[SUBTOTAL]]-PROVEEDORES[[#This Row],[descuento sobre subtotal]])*VLOOKUP(PROVEEDORES[[#This Row],[PROVEEDOR]],TERCEROS_INFO[#All],3,FALSE)</f>
        <v>0</v>
      </c>
      <c r="N390" s="23"/>
      <c r="O390" s="22">
        <f>+PROVEEDORES[[#This Row],[Descuento sobre subtotal %]]*(PROVEEDORES[[#This Row],[SUBTOTAL]]-PROVEEDORES[[#This Row],[descuento sobre subtotal]])</f>
        <v>0</v>
      </c>
      <c r="P390" s="72">
        <f>+IF(PROVEEDORES[[#This Row],[SUBTOTAL]]&lt;PROVEEDORES[[#This Row],[base retencion]],0,PROVEEDORES[[#This Row],[retención aplicada]])</f>
        <v>0</v>
      </c>
      <c r="Q390" s="22">
        <f>+PROVEEDORES[[#This Row],[Rete Fuente %]]*(PROVEEDORES[[#This Row],[SUBTOTAL]]-PROVEEDORES[[#This Row],[descuento sobre subtotal]])</f>
        <v>0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3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1">
        <f ca="1">IF(PROVEEDORES[[#This Row],[FECHA DE PAGO]]=0,TODAY()-PROVEEDORES[[#This Row],[FECHA DE FACTURACIÓN]]-PROVEEDORES[[#This Row],[PLAZO Días]],0)</f>
        <v>0</v>
      </c>
      <c r="U390" s="97">
        <f>+VLOOKUP(PROVEEDORES[[#This Row],[PROVEEDOR]],Terceros!$A:$D,4,FALSE)</f>
        <v>0</v>
      </c>
      <c r="V390" s="98">
        <f>+YEAR(PROVEEDORES[[#This Row],[FECHA DE FACTURACIÓN]])</f>
        <v>2023</v>
      </c>
      <c r="W390" s="98">
        <f>+MATCH(PROVEEDORES[[#This Row],[año facturado]],Retenciones!$1:$1,0)</f>
        <v>6</v>
      </c>
      <c r="X390" s="99">
        <f>+VLOOKUP(PROVEEDORES[[#This Row],[ID RETENCION]],Retenciones!$A$1:$O$25,PROVEEDORES[[#This Row],[indicador de columna]],FALSE)</f>
        <v>0</v>
      </c>
      <c r="Y390" s="100">
        <f>+VLOOKUP(PROVEEDORES[[#This Row],[ID RETENCION]],Retenciones!$A$1:$O$25,2,FALSE)</f>
        <v>0</v>
      </c>
      <c r="Z390" s="103" t="b">
        <f>OR(COUNTIF(PROVEEDORES[[#This Row],[PROVEEDOR]],"*"&amp;'Palabra no opera'!$A$2&amp;"*"))</f>
        <v>0</v>
      </c>
    </row>
    <row r="391" spans="1:26" ht="22.35" customHeight="1" x14ac:dyDescent="0.25">
      <c r="A391" s="65" t="str">
        <f>+IF(PROVEEDORES[[#This Row],[FECHA DE PAGO]]=PROVEEDORES[[#This Row],[FECHA DE FACTURACIÓN]],"DE CONTADO","CRÉDITO")</f>
        <v>CRÉDITO</v>
      </c>
      <c r="B391" s="38" t="str">
        <f>+IF((PROVEEDORES[[#This Row],[FECHA DE PAGO]]-PROVEEDORES[[#This Row],[FECHA DE FACTURACIÓN]])&gt;PROVEEDORES[[#This Row],[PLAZO Días]],"PAGO VENCIDO")</f>
        <v>PAGO VENCIDO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406756</v>
      </c>
      <c r="E391" s="25"/>
      <c r="F391" s="56" t="str">
        <f>+VLOOKUP(PROVEEDORES[[#This Row],[PROVEEDOR]],
                       Terceros!$A:$F,
                       5,
                       FALSE)</f>
        <v/>
      </c>
      <c r="G391" s="289">
        <v>45194</v>
      </c>
      <c r="H391" s="26" t="s">
        <v>568</v>
      </c>
      <c r="I391" s="289">
        <v>45140</v>
      </c>
      <c r="J391" s="35">
        <v>61</v>
      </c>
      <c r="K391" s="21">
        <v>75000</v>
      </c>
      <c r="L391" s="21"/>
      <c r="M391" s="22">
        <f>(PROVEEDORES[[#This Row],[SUBTOTAL]]-PROVEEDORES[[#This Row],[descuento sobre subtotal]])*VLOOKUP(PROVEEDORES[[#This Row],[PROVEEDOR]],TERCEROS_INFO[#All],3,FALSE)</f>
        <v>0</v>
      </c>
      <c r="N391" s="23"/>
      <c r="O391" s="22">
        <f>+PROVEEDORES[[#This Row],[Descuento sobre subtotal %]]*(PROVEEDORES[[#This Row],[SUBTOTAL]]-PROVEEDORES[[#This Row],[descuento sobre subtotal]])</f>
        <v>0</v>
      </c>
      <c r="P391" s="72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3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61">
        <f ca="1">IF(PROVEEDORES[[#This Row],[FECHA DE PAGO]]=0,TODAY()-PROVEEDORES[[#This Row],[FECHA DE FACTURACIÓN]]-PROVEEDORES[[#This Row],[PLAZO Días]],0)</f>
        <v>0</v>
      </c>
      <c r="U391" s="97">
        <f>+VLOOKUP(PROVEEDORES[[#This Row],[PROVEEDOR]],Terceros!$A:$D,4,FALSE)</f>
        <v>0</v>
      </c>
      <c r="V391" s="98">
        <f>+YEAR(PROVEEDORES[[#This Row],[FECHA DE FACTURACIÓN]])</f>
        <v>2023</v>
      </c>
      <c r="W391" s="98">
        <f>+MATCH(PROVEEDORES[[#This Row],[año facturado]],Retenciones!$1:$1,0)</f>
        <v>6</v>
      </c>
      <c r="X391" s="99">
        <f>+VLOOKUP(PROVEEDORES[[#This Row],[ID RETENCION]],Retenciones!$A$1:$O$25,PROVEEDORES[[#This Row],[indicador de columna]],FALSE)</f>
        <v>0</v>
      </c>
      <c r="Y391" s="100">
        <f>+VLOOKUP(PROVEEDORES[[#This Row],[ID RETENCION]],Retenciones!$A$1:$O$25,2,FALSE)</f>
        <v>0</v>
      </c>
      <c r="Z391" s="103" t="b">
        <f>OR(COUNTIF(PROVEEDORES[[#This Row],[PROVEEDOR]],"*"&amp;'Palabra no opera'!$A$2&amp;"*"))</f>
        <v>0</v>
      </c>
    </row>
    <row r="392" spans="1:26" ht="22.35" customHeight="1" x14ac:dyDescent="0.25">
      <c r="A392" s="65" t="str">
        <f>+IF(PROVEEDORES[[#This Row],[FECHA DE PAGO]]=PROVEEDORES[[#This Row],[FECHA DE FACTURACIÓN]],"DE CONTADO","CRÉDITO")</f>
        <v>CRÉDITO</v>
      </c>
      <c r="B392" s="38" t="str">
        <f>+IF((PROVEEDORES[[#This Row],[FECHA DE PAGO]]-PROVEEDORES[[#This Row],[FECHA DE FACTURACIÓN]])&gt;PROVEEDORES[[#This Row],[PLAZO Días]],"PAGO VENCIDO")</f>
        <v>PAGO VENCIDO</v>
      </c>
      <c r="C392" s="20">
        <f>+VLOOKUP(PROVEEDORES[[#This Row],[PROVEEDOR]],TERCEROS_INFO[#All],2,FALSE)</f>
        <v>30</v>
      </c>
      <c r="D392" s="25">
        <f>+SUMIFS(PROVEEDORES[Total],PROVEEDORES[PROVEEDOR],PROVEEDORES[[#This Row],[PROVEEDOR]],PROVEEDORES[FECHA DE PAGO],"")</f>
        <v>406756</v>
      </c>
      <c r="E392" s="25"/>
      <c r="F392" s="56" t="str">
        <f>+VLOOKUP(PROVEEDORES[[#This Row],[PROVEEDOR]],
                       Terceros!$A:$F,
                       5,
                       FALSE)</f>
        <v/>
      </c>
      <c r="G392" s="289">
        <v>45194</v>
      </c>
      <c r="H392" s="26" t="s">
        <v>568</v>
      </c>
      <c r="I392" s="289">
        <v>45142</v>
      </c>
      <c r="J392" s="35">
        <v>62</v>
      </c>
      <c r="K392" s="21">
        <v>50000</v>
      </c>
      <c r="L392" s="21"/>
      <c r="M392" s="22">
        <f>(PROVEEDORES[[#This Row],[SUBTOTAL]]-PROVEEDORES[[#This Row],[descuento sobre subtotal]])*VLOOKUP(PROVEEDORES[[#This Row],[PROVEEDOR]],TERCEROS_INFO[#All],3,FALSE)</f>
        <v>0</v>
      </c>
      <c r="N392" s="23"/>
      <c r="O392" s="22">
        <f>+PROVEEDORES[[#This Row],[Descuento sobre subtotal %]]*(PROVEEDORES[[#This Row],[SUBTOTAL]]-PROVEEDORES[[#This Row],[descuento sobre subtotal]])</f>
        <v>0</v>
      </c>
      <c r="P392" s="72">
        <f>+IF(PROVEEDORES[[#This Row],[SUBTOTAL]]&lt;PROVEEDORES[[#This Row],[base retencion]],0,PROVEEDORES[[#This Row],[retención aplicada]])</f>
        <v>0</v>
      </c>
      <c r="Q392" s="22">
        <f>+PROVEEDORES[[#This Row],[Rete Fuente %]]*(PROVEEDORES[[#This Row],[SUBTOTAL]]-PROVEEDORES[[#This Row],[descuento sobre subtotal]])</f>
        <v>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39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1">
        <f ca="1">IF(PROVEEDORES[[#This Row],[FECHA DE PAGO]]=0,TODAY()-PROVEEDORES[[#This Row],[FECHA DE FACTURACIÓN]]-PROVEEDORES[[#This Row],[PLAZO Días]],0)</f>
        <v>0</v>
      </c>
      <c r="U392" s="97">
        <f>+VLOOKUP(PROVEEDORES[[#This Row],[PROVEEDOR]],Terceros!$A:$D,4,FALSE)</f>
        <v>0</v>
      </c>
      <c r="V392" s="98">
        <f>+YEAR(PROVEEDORES[[#This Row],[FECHA DE FACTURACIÓN]])</f>
        <v>2023</v>
      </c>
      <c r="W392" s="98">
        <f>+MATCH(PROVEEDORES[[#This Row],[año facturado]],Retenciones!$1:$1,0)</f>
        <v>6</v>
      </c>
      <c r="X392" s="99">
        <f>+VLOOKUP(PROVEEDORES[[#This Row],[ID RETENCION]],Retenciones!$A$1:$O$25,PROVEEDORES[[#This Row],[indicador de columna]],FALSE)</f>
        <v>0</v>
      </c>
      <c r="Y392" s="100">
        <f>+VLOOKUP(PROVEEDORES[[#This Row],[ID RETENCION]],Retenciones!$A$1:$O$25,2,FALSE)</f>
        <v>0</v>
      </c>
      <c r="Z392" s="103" t="b">
        <f>OR(COUNTIF(PROVEEDORES[[#This Row],[PROVEEDOR]],"*"&amp;'Palabra no opera'!$A$2&amp;"*"))</f>
        <v>0</v>
      </c>
    </row>
    <row r="393" spans="1:26" ht="22.35" customHeight="1" x14ac:dyDescent="0.25">
      <c r="A393" s="65" t="str">
        <f>+IF(PROVEEDORES[[#This Row],[FECHA DE PAGO]]=PROVEEDORES[[#This Row],[FECHA DE FACTURACIÓN]],"DE CONTADO","CRÉDITO")</f>
        <v>CRÉDITO</v>
      </c>
      <c r="B393" s="38" t="str">
        <f>+IF((PROVEEDORES[[#This Row],[FECHA DE PAGO]]-PROVEEDORES[[#This Row],[FECHA DE FACTURACIÓN]])&gt;PROVEEDORES[[#This Row],[PLAZO Días]],"PAGO VENCIDO")</f>
        <v>PAGO VENCIDO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406756</v>
      </c>
      <c r="E393" s="25"/>
      <c r="F393" s="56" t="str">
        <f>+VLOOKUP(PROVEEDORES[[#This Row],[PROVEEDOR]],
                       Terceros!$A:$F,
                       5,
                       FALSE)</f>
        <v/>
      </c>
      <c r="G393" s="289">
        <v>45194</v>
      </c>
      <c r="H393" s="26" t="s">
        <v>568</v>
      </c>
      <c r="I393" s="289">
        <v>45144</v>
      </c>
      <c r="J393" s="35">
        <v>63</v>
      </c>
      <c r="K393" s="21">
        <v>49000</v>
      </c>
      <c r="L393" s="21"/>
      <c r="M393" s="22">
        <f>(PROVEEDORES[[#This Row],[SUBTOTAL]]-PROVEEDORES[[#This Row],[descuento sobre subtotal]])*VLOOKUP(PROVEEDORES[[#This Row],[PROVEEDOR]],TERCEROS_INFO[#All],3,FALSE)</f>
        <v>0</v>
      </c>
      <c r="N393" s="23"/>
      <c r="O393" s="22">
        <f>+PROVEEDORES[[#This Row],[Descuento sobre subtotal %]]*(PROVEEDORES[[#This Row],[SUBTOTAL]]-PROVEEDORES[[#This Row],[descuento sobre subtotal]])</f>
        <v>0</v>
      </c>
      <c r="P393" s="72">
        <f>+IF(PROVEEDORES[[#This Row],[SUBTOTAL]]&lt;PROVEEDORES[[#This Row],[base retencion]],0,PROVEEDORES[[#This Row],[retención aplicada]])</f>
        <v>0</v>
      </c>
      <c r="Q393" s="22">
        <f>+PROVEEDORES[[#This Row],[Rete Fuente %]]*(PROVEEDORES[[#This Row],[SUBTOTAL]]-PROVEEDORES[[#This Row],[descuento sobre subtotal]])</f>
        <v>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49000</v>
      </c>
      <c r="S3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1">
        <f ca="1">IF(PROVEEDORES[[#This Row],[FECHA DE PAGO]]=0,TODAY()-PROVEEDORES[[#This Row],[FECHA DE FACTURACIÓN]]-PROVEEDORES[[#This Row],[PLAZO Días]],0)</f>
        <v>0</v>
      </c>
      <c r="U393" s="97">
        <f>+VLOOKUP(PROVEEDORES[[#This Row],[PROVEEDOR]],Terceros!$A:$D,4,FALSE)</f>
        <v>0</v>
      </c>
      <c r="V393" s="98">
        <f>+YEAR(PROVEEDORES[[#This Row],[FECHA DE FACTURACIÓN]])</f>
        <v>2023</v>
      </c>
      <c r="W393" s="98">
        <f>+MATCH(PROVEEDORES[[#This Row],[año facturado]],Retenciones!$1:$1,0)</f>
        <v>6</v>
      </c>
      <c r="X393" s="99">
        <f>+VLOOKUP(PROVEEDORES[[#This Row],[ID RETENCION]],Retenciones!$A$1:$O$25,PROVEEDORES[[#This Row],[indicador de columna]],FALSE)</f>
        <v>0</v>
      </c>
      <c r="Y393" s="100">
        <f>+VLOOKUP(PROVEEDORES[[#This Row],[ID RETENCION]],Retenciones!$A$1:$O$25,2,FALSE)</f>
        <v>0</v>
      </c>
      <c r="Z393" s="103" t="b">
        <f>OR(COUNTIF(PROVEEDORES[[#This Row],[PROVEEDOR]],"*"&amp;'Palabra no opera'!$A$2&amp;"*"))</f>
        <v>0</v>
      </c>
    </row>
    <row r="394" spans="1:26" ht="22.35" customHeight="1" x14ac:dyDescent="0.25">
      <c r="A394" s="229" t="str">
        <f>+IF(PROVEEDORES[[#This Row],[FECHA DE PAGO]]=PROVEEDORES[[#This Row],[FECHA DE FACTURACIÓN]],"DE CONTADO","CRÉDITO")</f>
        <v>CRÉDITO</v>
      </c>
      <c r="B394" s="38" t="str">
        <f>+IF((PROVEEDORES[[#This Row],[FECHA DE PAGO]]-PROVEEDORES[[#This Row],[FECHA DE FACTURACIÓN]])&gt;PROVEEDORES[[#This Row],[PLAZO Días]],"PAGO VENCIDO")</f>
        <v>PAGO VENCIDO</v>
      </c>
      <c r="C394" s="20">
        <f>+VLOOKUP(PROVEEDORES[[#This Row],[PROVEEDOR]],TERCEROS_INFO[#All],2,FALSE)</f>
        <v>30</v>
      </c>
      <c r="D394" s="25">
        <f>+SUMIFS(PROVEEDORES[Total],PROVEEDORES[PROVEEDOR],PROVEEDORES[[#This Row],[PROVEEDOR]],PROVEEDORES[FECHA DE PAGO],"")</f>
        <v>406756</v>
      </c>
      <c r="E394" s="25"/>
      <c r="F394" s="56" t="str">
        <f>+VLOOKUP(PROVEEDORES[[#This Row],[PROVEEDOR]],
                       Terceros!$A:$F,
                       5,
                       FALSE)</f>
        <v/>
      </c>
      <c r="G394" s="289">
        <v>45194</v>
      </c>
      <c r="H394" s="26" t="s">
        <v>568</v>
      </c>
      <c r="I394" s="289">
        <v>45149</v>
      </c>
      <c r="J394" s="35">
        <v>64</v>
      </c>
      <c r="K394" s="21">
        <v>34000</v>
      </c>
      <c r="L394" s="21"/>
      <c r="M394" s="22">
        <f>(PROVEEDORES[[#This Row],[SUBTOTAL]]-PROVEEDORES[[#This Row],[descuento sobre subtotal]])*VLOOKUP(PROVEEDORES[[#This Row],[PROVEEDOR]],TERCEROS_INFO[#All],3,FALSE)</f>
        <v>0</v>
      </c>
      <c r="N394" s="23"/>
      <c r="O394" s="22">
        <f>+PROVEEDORES[[#This Row],[Descuento sobre subtotal %]]*(PROVEEDORES[[#This Row],[SUBTOTAL]]-PROVEEDORES[[#This Row],[descuento sobre subtotal]])</f>
        <v>0</v>
      </c>
      <c r="P394" s="72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f>+PROVEEDORES[[#This Row],[SUBTOTAL]]+PROVEEDORES[[#This Row],[IVA 19%]]-PROVEEDORES[[#This Row],[descuento sobre subtotal]]-PROVEEDORES[[#This Row],[Descuento sobre subtotal $2]]-PROVEEDORES[[#This Row],[Rete Fuente $]]</f>
        <v>34000</v>
      </c>
      <c r="S394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1">
        <f ca="1">IF(PROVEEDORES[[#This Row],[FECHA DE PAGO]]=0,TODAY()-PROVEEDORES[[#This Row],[FECHA DE FACTURACIÓN]]-PROVEEDORES[[#This Row],[PLAZO Días]],0)</f>
        <v>0</v>
      </c>
      <c r="U394" s="97">
        <f>+VLOOKUP(PROVEEDORES[[#This Row],[PROVEEDOR]],Terceros!$A:$D,4,FALSE)</f>
        <v>0</v>
      </c>
      <c r="V394" s="98">
        <f>+YEAR(PROVEEDORES[[#This Row],[FECHA DE FACTURACIÓN]])</f>
        <v>2023</v>
      </c>
      <c r="W394" s="98">
        <f>+MATCH(PROVEEDORES[[#This Row],[año facturado]],Retenciones!$1:$1,0)</f>
        <v>6</v>
      </c>
      <c r="X394" s="99">
        <f>+VLOOKUP(PROVEEDORES[[#This Row],[ID RETENCION]],Retenciones!$A$1:$O$25,PROVEEDORES[[#This Row],[indicador de columna]],FALSE)</f>
        <v>0</v>
      </c>
      <c r="Y394" s="100">
        <f>+VLOOKUP(PROVEEDORES[[#This Row],[ID RETENCION]],Retenciones!$A$1:$O$25,2,FALSE)</f>
        <v>0</v>
      </c>
      <c r="Z394" s="103" t="b">
        <f>OR(COUNTIF(PROVEEDORES[[#This Row],[PROVEEDOR]],"*"&amp;'Palabra no opera'!$A$2&amp;"*"))</f>
        <v>0</v>
      </c>
    </row>
    <row r="395" spans="1:26" ht="22.35" customHeight="1" x14ac:dyDescent="0.25">
      <c r="A395" s="65" t="str">
        <f>+IF(PROVEEDORES[[#This Row],[FECHA DE PAGO]]=PROVEEDORES[[#This Row],[FECHA DE FACTURACIÓN]],"DE CONTADO","CRÉDITO")</f>
        <v>CRÉDITO</v>
      </c>
      <c r="B395" s="38" t="str">
        <f>+IF((PROVEEDORES[[#This Row],[FECHA DE PAGO]]-PROVEEDORES[[#This Row],[FECHA DE FACTURACIÓN]])&gt;PROVEEDORES[[#This Row],[PLAZO Días]],"PAGO VENCIDO")</f>
        <v>PAGO VENCIDO</v>
      </c>
      <c r="C395" s="20">
        <f>+VLOOKUP(PROVEEDORES[[#This Row],[PROVEEDOR]],TERCEROS_INFO[#All],2,FALSE)</f>
        <v>30</v>
      </c>
      <c r="D395" s="25">
        <f>+SUMIFS(PROVEEDORES[Total],PROVEEDORES[PROVEEDOR],PROVEEDORES[[#This Row],[PROVEEDOR]],PROVEEDORES[FECHA DE PAGO],"")</f>
        <v>406756</v>
      </c>
      <c r="E395" s="25"/>
      <c r="F395" s="56" t="str">
        <f>+VLOOKUP(PROVEEDORES[[#This Row],[PROVEEDOR]],
                       Terceros!$A:$F,
                       5,
                       FALSE)</f>
        <v/>
      </c>
      <c r="G395" s="289">
        <v>45194</v>
      </c>
      <c r="H395" s="26" t="s">
        <v>568</v>
      </c>
      <c r="I395" s="289">
        <v>45153</v>
      </c>
      <c r="J395" s="35">
        <v>65</v>
      </c>
      <c r="K395" s="21">
        <v>74000</v>
      </c>
      <c r="L395" s="21"/>
      <c r="M395" s="22">
        <f>(PROVEEDORES[[#This Row],[SUBTOTAL]]-PROVEEDORES[[#This Row],[descuento sobre subtotal]])*VLOOKUP(PROVEEDORES[[#This Row],[PROVEEDOR]],TERCEROS_INFO[#All],3,FALSE)</f>
        <v>0</v>
      </c>
      <c r="N395" s="23"/>
      <c r="O395" s="22">
        <f>+PROVEEDORES[[#This Row],[Descuento sobre subtotal %]]*(PROVEEDORES[[#This Row],[SUBTOTAL]]-PROVEEDORES[[#This Row],[descuento sobre subtotal]])</f>
        <v>0</v>
      </c>
      <c r="P395" s="72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f>+PROVEEDORES[[#This Row],[SUBTOTAL]]+PROVEEDORES[[#This Row],[IVA 19%]]-PROVEEDORES[[#This Row],[descuento sobre subtotal]]-PROVEEDORES[[#This Row],[Descuento sobre subtotal $2]]-PROVEEDORES[[#This Row],[Rete Fuente $]]</f>
        <v>74000</v>
      </c>
      <c r="S3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1">
        <f ca="1">IF(PROVEEDORES[[#This Row],[FECHA DE PAGO]]=0,TODAY()-PROVEEDORES[[#This Row],[FECHA DE FACTURACIÓN]]-PROVEEDORES[[#This Row],[PLAZO Días]],0)</f>
        <v>0</v>
      </c>
      <c r="U395" s="97">
        <f>+VLOOKUP(PROVEEDORES[[#This Row],[PROVEEDOR]],Terceros!$A:$D,4,FALSE)</f>
        <v>0</v>
      </c>
      <c r="V395" s="98">
        <f>+YEAR(PROVEEDORES[[#This Row],[FECHA DE FACTURACIÓN]])</f>
        <v>2023</v>
      </c>
      <c r="W395" s="98">
        <f>+MATCH(PROVEEDORES[[#This Row],[año facturado]],Retenciones!$1:$1,0)</f>
        <v>6</v>
      </c>
      <c r="X395" s="99">
        <f>+VLOOKUP(PROVEEDORES[[#This Row],[ID RETENCION]],Retenciones!$A$1:$O$25,PROVEEDORES[[#This Row],[indicador de columna]],FALSE)</f>
        <v>0</v>
      </c>
      <c r="Y395" s="100">
        <f>+VLOOKUP(PROVEEDORES[[#This Row],[ID RETENCION]],Retenciones!$A$1:$O$25,2,FALSE)</f>
        <v>0</v>
      </c>
      <c r="Z395" s="103" t="b">
        <f>OR(COUNTIF(PROVEEDORES[[#This Row],[PROVEEDOR]],"*"&amp;'Palabra no opera'!$A$2&amp;"*"))</f>
        <v>0</v>
      </c>
    </row>
    <row r="396" spans="1:26" ht="22.35" customHeight="1" x14ac:dyDescent="0.25">
      <c r="A396" s="229" t="str">
        <f>+IF(PROVEEDORES[[#This Row],[FECHA DE PAGO]]=PROVEEDORES[[#This Row],[FECHA DE FACTURACIÓN]],"DE CONTADO","CRÉDITO")</f>
        <v>CRÉDITO</v>
      </c>
      <c r="B396" s="38" t="str">
        <f>+IF((PROVEEDORES[[#This Row],[FECHA DE PAGO]]-PROVEEDORES[[#This Row],[FECHA DE FACTURACIÓN]])&gt;PROVEEDORES[[#This Row],[PLAZO Días]],"PAGO VENCIDO")</f>
        <v>PAGO VENCIDO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406756</v>
      </c>
      <c r="E396" s="25"/>
      <c r="F396" s="56" t="str">
        <f>+VLOOKUP(PROVEEDORES[[#This Row],[PROVEEDOR]],
                       Terceros!$A:$F,
                       5,
                       FALSE)</f>
        <v/>
      </c>
      <c r="G396" s="289">
        <v>45194</v>
      </c>
      <c r="H396" s="26" t="s">
        <v>568</v>
      </c>
      <c r="I396" s="289">
        <v>45160</v>
      </c>
      <c r="J396" s="35">
        <v>66</v>
      </c>
      <c r="K396" s="21">
        <v>20000</v>
      </c>
      <c r="L396" s="21"/>
      <c r="M396" s="22">
        <f>(PROVEEDORES[[#This Row],[SUBTOTAL]]-PROVEEDORES[[#This Row],[descuento sobre subtotal]])*VLOOKUP(PROVEEDORES[[#This Row],[PROVEEDOR]],TERCEROS_INFO[#All],3,FALSE)</f>
        <v>0</v>
      </c>
      <c r="N396" s="23"/>
      <c r="O396" s="22">
        <f>+PROVEEDORES[[#This Row],[Descuento sobre subtotal %]]*(PROVEEDORES[[#This Row],[SUBTOTAL]]-PROVEEDORES[[#This Row],[descuento sobre subtotal]])</f>
        <v>0</v>
      </c>
      <c r="P396" s="72">
        <f>+IF(PROVEEDORES[[#This Row],[SUBTOTAL]]&lt;PROVEEDORES[[#This Row],[base retencion]],0,PROVEEDORES[[#This Row],[retención aplicada]])</f>
        <v>0</v>
      </c>
      <c r="Q396" s="22">
        <f>+PROVEEDORES[[#This Row],[Rete Fuente %]]*(PROVEEDORES[[#This Row],[SUBTOTAL]]-PROVEEDORES[[#This Row],[descuento sobre subtotal]])</f>
        <v>0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39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1">
        <f ca="1">IF(PROVEEDORES[[#This Row],[FECHA DE PAGO]]=0,TODAY()-PROVEEDORES[[#This Row],[FECHA DE FACTURACIÓN]]-PROVEEDORES[[#This Row],[PLAZO Días]],0)</f>
        <v>0</v>
      </c>
      <c r="U396" s="97">
        <f>+VLOOKUP(PROVEEDORES[[#This Row],[PROVEEDOR]],Terceros!$A:$D,4,FALSE)</f>
        <v>0</v>
      </c>
      <c r="V396" s="98">
        <f>+YEAR(PROVEEDORES[[#This Row],[FECHA DE FACTURACIÓN]])</f>
        <v>2023</v>
      </c>
      <c r="W396" s="98">
        <f>+MATCH(PROVEEDORES[[#This Row],[año facturado]],Retenciones!$1:$1,0)</f>
        <v>6</v>
      </c>
      <c r="X396" s="99">
        <f>+VLOOKUP(PROVEEDORES[[#This Row],[ID RETENCION]],Retenciones!$A$1:$O$25,PROVEEDORES[[#This Row],[indicador de columna]],FALSE)</f>
        <v>0</v>
      </c>
      <c r="Y396" s="100">
        <f>+VLOOKUP(PROVEEDORES[[#This Row],[ID RETENCION]],Retenciones!$A$1:$O$25,2,FALSE)</f>
        <v>0</v>
      </c>
      <c r="Z396" s="103" t="b">
        <f>OR(COUNTIF(PROVEEDORES[[#This Row],[PROVEEDOR]],"*"&amp;'Palabra no opera'!$A$2&amp;"*"))</f>
        <v>0</v>
      </c>
    </row>
    <row r="397" spans="1:26" ht="22.35" customHeight="1" x14ac:dyDescent="0.25">
      <c r="A397" s="229" t="str">
        <f>+IF(PROVEEDORES[[#This Row],[FECHA DE PAGO]]=PROVEEDORES[[#This Row],[FECHA DE FACTURACIÓN]],"DE CONTADO","CRÉDITO")</f>
        <v>CRÉDITO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406756</v>
      </c>
      <c r="E397" s="25"/>
      <c r="F397" s="56" t="str">
        <f>+VLOOKUP(PROVEEDORES[[#This Row],[PROVEEDOR]],
                       Terceros!$A:$F,
                       5,
                       FALSE)</f>
        <v/>
      </c>
      <c r="G397" s="289">
        <v>45194</v>
      </c>
      <c r="H397" s="26" t="s">
        <v>568</v>
      </c>
      <c r="I397" s="289">
        <v>45166</v>
      </c>
      <c r="J397" s="35">
        <v>67</v>
      </c>
      <c r="K397" s="21">
        <v>22000</v>
      </c>
      <c r="L397" s="21"/>
      <c r="M397" s="22">
        <f>(PROVEEDORES[[#This Row],[SUBTOTAL]]-PROVEEDORES[[#This Row],[descuento sobre subtotal]])*VLOOKUP(PROVEEDORES[[#This Row],[PROVEEDOR]],TERCEROS_INFO[#All],3,FALSE)</f>
        <v>0</v>
      </c>
      <c r="N397" s="23"/>
      <c r="O397" s="22">
        <f>+PROVEEDORES[[#This Row],[Descuento sobre subtotal %]]*(PROVEEDORES[[#This Row],[SUBTOTAL]]-PROVEEDORES[[#This Row],[descuento sobre subtotal]])</f>
        <v>0</v>
      </c>
      <c r="P397" s="72">
        <f>+IF(PROVEEDORES[[#This Row],[SUBTOTAL]]&lt;PROVEEDORES[[#This Row],[base retencion]],0,PROVEEDORES[[#This Row],[retención aplicada]])</f>
        <v>0</v>
      </c>
      <c r="Q397" s="22">
        <f>+PROVEEDORES[[#This Row],[Rete Fuente %]]*(PROVEEDORES[[#This Row],[SUBTOTAL]]-PROVEEDORES[[#This Row],[descuento sobre subtotal]])</f>
        <v>0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22000</v>
      </c>
      <c r="S397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1">
        <f ca="1">IF(PROVEEDORES[[#This Row],[FECHA DE PAGO]]=0,TODAY()-PROVEEDORES[[#This Row],[FECHA DE FACTURACIÓN]]-PROVEEDORES[[#This Row],[PLAZO Días]],0)</f>
        <v>0</v>
      </c>
      <c r="U397" s="97">
        <f>+VLOOKUP(PROVEEDORES[[#This Row],[PROVEEDOR]],Terceros!$A:$D,4,FALSE)</f>
        <v>0</v>
      </c>
      <c r="V397" s="98">
        <f>+YEAR(PROVEEDORES[[#This Row],[FECHA DE FACTURACIÓN]])</f>
        <v>2023</v>
      </c>
      <c r="W397" s="98">
        <f>+MATCH(PROVEEDORES[[#This Row],[año facturado]],Retenciones!$1:$1,0)</f>
        <v>6</v>
      </c>
      <c r="X397" s="99">
        <f>+VLOOKUP(PROVEEDORES[[#This Row],[ID RETENCION]],Retenciones!$A$1:$O$25,PROVEEDORES[[#This Row],[indicador de columna]],FALSE)</f>
        <v>0</v>
      </c>
      <c r="Y397" s="100">
        <f>+VLOOKUP(PROVEEDORES[[#This Row],[ID RETENCION]],Retenciones!$A$1:$O$25,2,FALSE)</f>
        <v>0</v>
      </c>
      <c r="Z397" s="103" t="b">
        <f>OR(COUNTIF(PROVEEDORES[[#This Row],[PROVEEDOR]],"*"&amp;'Palabra no opera'!$A$2&amp;"*"))</f>
        <v>0</v>
      </c>
    </row>
    <row r="398" spans="1:26" ht="22.35" customHeight="1" x14ac:dyDescent="0.25">
      <c r="A398" s="65" t="str">
        <f>+IF(PROVEEDORES[[#This Row],[FECHA DE PAGO]]=PROVEEDORES[[#This Row],[FECHA DE FACTURACIÓN]],"DE CONTADO","CRÉDITO")</f>
        <v>CRÉDITO</v>
      </c>
      <c r="B398" s="38" t="b">
        <f>+IF((PROVEEDORES[[#This Row],[FECHA DE PAGO]]-PROVEEDORES[[#This Row],[FECHA DE FACTURACIÓN]])&gt;PROVEEDORES[[#This Row],[PLAZO Días]],"PAGO VENCIDO")</f>
        <v>0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406756</v>
      </c>
      <c r="E398" s="25"/>
      <c r="F398" s="56" t="str">
        <f>+VLOOKUP(PROVEEDORES[[#This Row],[PROVEEDOR]],
                       Terceros!$A:$F,
                       5,
                       FALSE)</f>
        <v/>
      </c>
      <c r="G398" s="289">
        <v>45194</v>
      </c>
      <c r="H398" s="26" t="s">
        <v>568</v>
      </c>
      <c r="I398" s="289">
        <v>45168</v>
      </c>
      <c r="J398" s="35">
        <v>68</v>
      </c>
      <c r="K398" s="21">
        <v>66000</v>
      </c>
      <c r="L398" s="21"/>
      <c r="M398" s="22">
        <f>(PROVEEDORES[[#This Row],[SUBTOTAL]]-PROVEEDORES[[#This Row],[descuento sobre subtotal]])*VLOOKUP(PROVEEDORES[[#This Row],[PROVEEDOR]],TERCEROS_INFO[#All],3,FALSE)</f>
        <v>0</v>
      </c>
      <c r="N398" s="23"/>
      <c r="O398" s="22">
        <f>+PROVEEDORES[[#This Row],[Descuento sobre subtotal %]]*(PROVEEDORES[[#This Row],[SUBTOTAL]]-PROVEEDORES[[#This Row],[descuento sobre subtotal]])</f>
        <v>0</v>
      </c>
      <c r="P398" s="72">
        <f>+IF(PROVEEDORES[[#This Row],[SUBTOTAL]]&lt;PROVEEDORES[[#This Row],[base retencion]],0,PROVEEDORES[[#This Row],[retención aplicada]])</f>
        <v>0</v>
      </c>
      <c r="Q398" s="22">
        <f>+PROVEEDORES[[#This Row],[Rete Fuente %]]*(PROVEEDORES[[#This Row],[SUBTOTAL]]-PROVEEDORES[[#This Row],[descuento sobre subtotal]])</f>
        <v>0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3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1">
        <f ca="1">IF(PROVEEDORES[[#This Row],[FECHA DE PAGO]]=0,TODAY()-PROVEEDORES[[#This Row],[FECHA DE FACTURACIÓN]]-PROVEEDORES[[#This Row],[PLAZO Días]],0)</f>
        <v>0</v>
      </c>
      <c r="U398" s="97">
        <f>+VLOOKUP(PROVEEDORES[[#This Row],[PROVEEDOR]],Terceros!$A:$D,4,FALSE)</f>
        <v>0</v>
      </c>
      <c r="V398" s="98">
        <f>+YEAR(PROVEEDORES[[#This Row],[FECHA DE FACTURACIÓN]])</f>
        <v>2023</v>
      </c>
      <c r="W398" s="98">
        <f>+MATCH(PROVEEDORES[[#This Row],[año facturado]],Retenciones!$1:$1,0)</f>
        <v>6</v>
      </c>
      <c r="X398" s="99">
        <f>+VLOOKUP(PROVEEDORES[[#This Row],[ID RETENCION]],Retenciones!$A$1:$O$25,PROVEEDORES[[#This Row],[indicador de columna]],FALSE)</f>
        <v>0</v>
      </c>
      <c r="Y398" s="100">
        <f>+VLOOKUP(PROVEEDORES[[#This Row],[ID RETENCION]],Retenciones!$A$1:$O$25,2,FALSE)</f>
        <v>0</v>
      </c>
      <c r="Z398" s="103" t="b">
        <f>OR(COUNTIF(PROVEEDORES[[#This Row],[PROVEEDOR]],"*"&amp;'Palabra no opera'!$A$2&amp;"*"))</f>
        <v>0</v>
      </c>
    </row>
    <row r="399" spans="1:26" ht="22.35" customHeight="1" x14ac:dyDescent="0.25">
      <c r="A399" s="65" t="str">
        <f>+IF(PROVEEDORES[[#This Row],[FECHA DE PAGO]]=PROVEEDORES[[#This Row],[FECHA DE FACTURACIÓN]],"DE CONTADO","CRÉDITO")</f>
        <v>CRÉDITO</v>
      </c>
      <c r="B399" s="38" t="str">
        <f>+IF((PROVEEDORES[[#This Row],[FECHA DE PAGO]]-PROVEEDORES[[#This Row],[FECHA DE FACTURACIÓN]])&gt;PROVEEDORES[[#This Row],[PLAZO Días]],"PAGO VENCIDO")</f>
        <v>PAGO VENCIDO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406756</v>
      </c>
      <c r="E399" s="25"/>
      <c r="F399" s="56" t="str">
        <f>+VLOOKUP(PROVEEDORES[[#This Row],[PROVEEDOR]],
                       Terceros!$A:$F,
                       5,
                       FALSE)</f>
        <v/>
      </c>
      <c r="G399" s="289">
        <v>45273</v>
      </c>
      <c r="H399" s="26" t="s">
        <v>568</v>
      </c>
      <c r="I399" s="289">
        <v>45194</v>
      </c>
      <c r="J399" s="35">
        <v>70</v>
      </c>
      <c r="K399" s="21">
        <v>65000</v>
      </c>
      <c r="L399" s="21"/>
      <c r="M399" s="22">
        <f>(PROVEEDORES[[#This Row],[SUBTOTAL]]-PROVEEDORES[[#This Row],[descuento sobre subtotal]])*VLOOKUP(PROVEEDORES[[#This Row],[PROVEEDOR]],TERCEROS_INFO[#All],3,FALSE)</f>
        <v>0</v>
      </c>
      <c r="N399" s="23"/>
      <c r="O399" s="22">
        <f>+PROVEEDORES[[#This Row],[Descuento sobre subtotal %]]*(PROVEEDORES[[#This Row],[SUBTOTAL]]-PROVEEDORES[[#This Row],[descuento sobre subtotal]])</f>
        <v>0</v>
      </c>
      <c r="P399" s="72">
        <f>+IF(PROVEEDORES[[#This Row],[SUBTOTAL]]&lt;PROVEEDORES[[#This Row],[base retencion]],0,PROVEEDORES[[#This Row],[retención aplicada]])</f>
        <v>0</v>
      </c>
      <c r="Q399" s="22">
        <f>+PROVEEDORES[[#This Row],[Rete Fuente %]]*(PROVEEDORES[[#This Row],[SUBTOTAL]]-PROVEEDORES[[#This Row],[descuento sobre subtotal]])</f>
        <v>0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3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1">
        <f ca="1">IF(PROVEEDORES[[#This Row],[FECHA DE PAGO]]=0,TODAY()-PROVEEDORES[[#This Row],[FECHA DE FACTURACIÓN]]-PROVEEDORES[[#This Row],[PLAZO Días]],0)</f>
        <v>0</v>
      </c>
      <c r="U399" s="97">
        <f>+VLOOKUP(PROVEEDORES[[#This Row],[PROVEEDOR]],Terceros!$A:$D,4,FALSE)</f>
        <v>0</v>
      </c>
      <c r="V399" s="98">
        <f>+YEAR(PROVEEDORES[[#This Row],[FECHA DE FACTURACIÓN]])</f>
        <v>2023</v>
      </c>
      <c r="W399" s="98">
        <f>+MATCH(PROVEEDORES[[#This Row],[año facturado]],Retenciones!$1:$1,0)</f>
        <v>6</v>
      </c>
      <c r="X399" s="99">
        <f>+VLOOKUP(PROVEEDORES[[#This Row],[ID RETENCION]],Retenciones!$A$1:$O$25,PROVEEDORES[[#This Row],[indicador de columna]],FALSE)</f>
        <v>0</v>
      </c>
      <c r="Y399" s="100">
        <f>+VLOOKUP(PROVEEDORES[[#This Row],[ID RETENCION]],Retenciones!$A$1:$O$25,2,FALSE)</f>
        <v>0</v>
      </c>
      <c r="Z399" s="103" t="b">
        <f>OR(COUNTIF(PROVEEDORES[[#This Row],[PROVEEDOR]],"*"&amp;'Palabra no opera'!$A$2&amp;"*"))</f>
        <v>0</v>
      </c>
    </row>
    <row r="400" spans="1:26" ht="22.35" customHeight="1" x14ac:dyDescent="0.25">
      <c r="A400" s="256" t="str">
        <f>+IF(PROVEEDORES[[#This Row],[FECHA DE PAGO]]=PROVEEDORES[[#This Row],[FECHA DE FACTURACIÓN]],"DE CONTADO","CRÉDITO")</f>
        <v>CRÉDITO</v>
      </c>
      <c r="B400" s="38" t="str">
        <f>+IF((PROVEEDORES[[#This Row],[FECHA DE PAGO]]-PROVEEDORES[[#This Row],[FECHA DE FACTURACIÓN]])&gt;PROVEEDORES[[#This Row],[PLAZO Días]],"PAGO VENCIDO")</f>
        <v>PAGO VENCIDO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406756</v>
      </c>
      <c r="E400" s="25"/>
      <c r="F400" s="56" t="str">
        <f>+VLOOKUP(PROVEEDORES[[#This Row],[PROVEEDOR]],
                       Terceros!$A:$F,
                       5,
                       FALSE)</f>
        <v/>
      </c>
      <c r="G400" s="289">
        <v>45273</v>
      </c>
      <c r="H400" s="26" t="s">
        <v>568</v>
      </c>
      <c r="I400" s="289">
        <v>45231</v>
      </c>
      <c r="J400" s="35">
        <v>69</v>
      </c>
      <c r="K400" s="21">
        <v>78000</v>
      </c>
      <c r="L400" s="21"/>
      <c r="M400" s="22">
        <f>(PROVEEDORES[[#This Row],[SUBTOTAL]]-PROVEEDORES[[#This Row],[descuento sobre subtotal]])*VLOOKUP(PROVEEDORES[[#This Row],[PROVEEDOR]],TERCEROS_INFO[#All],3,FALSE)</f>
        <v>0</v>
      </c>
      <c r="N400" s="23"/>
      <c r="O400" s="22">
        <f>+PROVEEDORES[[#This Row],[Descuento sobre subtotal %]]*(PROVEEDORES[[#This Row],[SUBTOTAL]]-PROVEEDORES[[#This Row],[descuento sobre subtotal]])</f>
        <v>0</v>
      </c>
      <c r="P400" s="72">
        <f>+IF(PROVEEDORES[[#This Row],[SUBTOTAL]]&lt;PROVEEDORES[[#This Row],[base retencion]],0,PROVEEDORES[[#This Row],[retención aplicada]])</f>
        <v>0</v>
      </c>
      <c r="Q400" s="22">
        <f>+PROVEEDORES[[#This Row],[Rete Fuente %]]*(PROVEEDORES[[#This Row],[SUBTOTAL]]-PROVEEDORES[[#This Row],[descuento sobre subtotal]])</f>
        <v>0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400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1">
        <f ca="1">IF(PROVEEDORES[[#This Row],[FECHA DE PAGO]]=0,TODAY()-PROVEEDORES[[#This Row],[FECHA DE FACTURACIÓN]]-PROVEEDORES[[#This Row],[PLAZO Días]],0)</f>
        <v>0</v>
      </c>
      <c r="U400" s="97">
        <f>+VLOOKUP(PROVEEDORES[[#This Row],[PROVEEDOR]],Terceros!$A:$D,4,FALSE)</f>
        <v>0</v>
      </c>
      <c r="V400" s="98">
        <f>+YEAR(PROVEEDORES[[#This Row],[FECHA DE FACTURACIÓN]])</f>
        <v>2023</v>
      </c>
      <c r="W400" s="98">
        <f>+MATCH(PROVEEDORES[[#This Row],[año facturado]],Retenciones!$1:$1,0)</f>
        <v>6</v>
      </c>
      <c r="X400" s="99">
        <f>+VLOOKUP(PROVEEDORES[[#This Row],[ID RETENCION]],Retenciones!$A$1:$O$25,PROVEEDORES[[#This Row],[indicador de columna]],FALSE)</f>
        <v>0</v>
      </c>
      <c r="Y400" s="100">
        <f>+VLOOKUP(PROVEEDORES[[#This Row],[ID RETENCION]],Retenciones!$A$1:$O$25,2,FALSE)</f>
        <v>0</v>
      </c>
      <c r="Z400" s="103" t="b">
        <f>OR(COUNTIF(PROVEEDORES[[#This Row],[PROVEEDOR]],"*"&amp;'Palabra no opera'!$A$2&amp;"*"))</f>
        <v>0</v>
      </c>
    </row>
    <row r="401" spans="1:26" ht="22.35" customHeight="1" x14ac:dyDescent="0.25">
      <c r="A401" s="65" t="str">
        <f>+IF(PROVEEDORES[[#This Row],[FECHA DE PAGO]]=PROVEEDORES[[#This Row],[FECHA DE FACTURACIÓN]],"DE CONTADO","CRÉDITO")</f>
        <v>DE CONTADO</v>
      </c>
      <c r="B401" s="38" t="b">
        <f>+IF((PROVEEDORES[[#This Row],[FECHA DE PAGO]]-PROVEEDORES[[#This Row],[FECHA DE FACTURACIÓN]])&gt;PROVEEDORES[[#This Row],[PLAZO Días]],"PAGO VENCIDO")</f>
        <v>0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406756</v>
      </c>
      <c r="E401" s="25"/>
      <c r="F401" s="56" t="str">
        <f>+VLOOKUP(PROVEEDORES[[#This Row],[PROVEEDOR]],
                       Terceros!$A:$F,
                       5,
                       FALSE)</f>
        <v/>
      </c>
      <c r="G401" s="289">
        <v>45272</v>
      </c>
      <c r="H401" s="26" t="s">
        <v>568</v>
      </c>
      <c r="I401" s="289">
        <v>45272</v>
      </c>
      <c r="J401" s="35" t="s">
        <v>1431</v>
      </c>
      <c r="K401" s="21">
        <v>195000</v>
      </c>
      <c r="L401" s="21"/>
      <c r="M401" s="22">
        <f>(PROVEEDORES[[#This Row],[SUBTOTAL]]-PROVEEDORES[[#This Row],[descuento sobre subtotal]])*VLOOKUP(PROVEEDORES[[#This Row],[PROVEEDOR]],TERCEROS_INFO[#All],3,FALSE)</f>
        <v>0</v>
      </c>
      <c r="N401" s="23"/>
      <c r="O401" s="22">
        <f>+PROVEEDORES[[#This Row],[Descuento sobre subtotal %]]*(PROVEEDORES[[#This Row],[SUBTOTAL]]-PROVEEDORES[[#This Row],[descuento sobre subtotal]])</f>
        <v>0</v>
      </c>
      <c r="P401" s="72">
        <f>+IF(PROVEEDORES[[#This Row],[SUBTOTAL]]&lt;PROVEEDORES[[#This Row],[base retencion]],0,PROVEEDORES[[#This Row],[retención aplicada]])</f>
        <v>0</v>
      </c>
      <c r="Q401" s="22">
        <f>+PROVEEDORES[[#This Row],[Rete Fuente %]]*(PROVEEDORES[[#This Row],[SUBTOTAL]]-PROVEEDORES[[#This Row],[descuento sobre subtotal]])</f>
        <v>0</v>
      </c>
      <c r="R401" s="21">
        <f>+PROVEEDORES[[#This Row],[SUBTOTAL]]+PROVEEDORES[[#This Row],[IVA 19%]]-PROVEEDORES[[#This Row],[descuento sobre subtotal]]-PROVEEDORES[[#This Row],[Descuento sobre subtotal $2]]-PROVEEDORES[[#This Row],[Rete Fuente $]]</f>
        <v>195000</v>
      </c>
      <c r="S4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1">
        <f ca="1">IF(PROVEEDORES[[#This Row],[FECHA DE PAGO]]=0,TODAY()-PROVEEDORES[[#This Row],[FECHA DE FACTURACIÓN]]-PROVEEDORES[[#This Row],[PLAZO Días]],0)</f>
        <v>0</v>
      </c>
      <c r="U401" s="97">
        <f>+VLOOKUP(PROVEEDORES[[#This Row],[PROVEEDOR]],Terceros!$A:$D,4,FALSE)</f>
        <v>0</v>
      </c>
      <c r="V401" s="98">
        <f>+YEAR(PROVEEDORES[[#This Row],[FECHA DE FACTURACIÓN]])</f>
        <v>2023</v>
      </c>
      <c r="W401" s="98">
        <f>+MATCH(PROVEEDORES[[#This Row],[año facturado]],Retenciones!$1:$1,0)</f>
        <v>6</v>
      </c>
      <c r="X401" s="99">
        <f>+VLOOKUP(PROVEEDORES[[#This Row],[ID RETENCION]],Retenciones!$A$1:$O$25,PROVEEDORES[[#This Row],[indicador de columna]],FALSE)</f>
        <v>0</v>
      </c>
      <c r="Y401" s="100">
        <f>+VLOOKUP(PROVEEDORES[[#This Row],[ID RETENCION]],Retenciones!$A$1:$O$25,2,FALSE)</f>
        <v>0</v>
      </c>
      <c r="Z401" s="103" t="b">
        <f>OR(COUNTIF(PROVEEDORES[[#This Row],[PROVEEDOR]],"*"&amp;'Palabra no opera'!$A$2&amp;"*"))</f>
        <v>0</v>
      </c>
    </row>
    <row r="402" spans="1:26" ht="22.35" customHeight="1" x14ac:dyDescent="0.25">
      <c r="A402" s="310" t="str">
        <f>+IF(PROVEEDORES[[#This Row],[FECHA DE PAGO]]=PROVEEDORES[[#This Row],[FECHA DE FACTURACIÓN]],"DE CONTADO","CRÉDITO")</f>
        <v>DE CONTADO</v>
      </c>
      <c r="B402" s="38" t="b">
        <f>+IF((PROVEEDORES[[#This Row],[FECHA DE PAGO]]-PROVEEDORES[[#This Row],[FECHA DE FACTURACIÓN]])&gt;PROVEEDORES[[#This Row],[PLAZO Días]],"PAGO VENCIDO")</f>
        <v>0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406756</v>
      </c>
      <c r="E402" s="25"/>
      <c r="F402" s="56" t="str">
        <f>+VLOOKUP(PROVEEDORES[[#This Row],[PROVEEDOR]],
                       Terceros!$A:$F,
                       5,
                       FALSE)</f>
        <v/>
      </c>
      <c r="G402" s="289">
        <v>45278</v>
      </c>
      <c r="H402" s="26" t="s">
        <v>568</v>
      </c>
      <c r="I402" s="289">
        <v>45278</v>
      </c>
      <c r="J402" s="35" t="s">
        <v>1563</v>
      </c>
      <c r="K402" s="21">
        <v>418000</v>
      </c>
      <c r="L402" s="21"/>
      <c r="M402" s="22">
        <f>(PROVEEDORES[[#This Row],[SUBTOTAL]]-PROVEEDORES[[#This Row],[descuento sobre subtotal]])*VLOOKUP(PROVEEDORES[[#This Row],[PROVEEDOR]],TERCEROS_INFO[#All],3,FALSE)</f>
        <v>0</v>
      </c>
      <c r="N402" s="23"/>
      <c r="O402" s="22">
        <f>+PROVEEDORES[[#This Row],[Descuento sobre subtotal %]]*(PROVEEDORES[[#This Row],[SUBTOTAL]]-PROVEEDORES[[#This Row],[descuento sobre subtotal]])</f>
        <v>0</v>
      </c>
      <c r="P402" s="72">
        <f>+IF(PROVEEDORES[[#This Row],[SUBTOTAL]]&lt;PROVEEDORES[[#This Row],[base retencion]],0,PROVEEDORES[[#This Row],[retención aplicada]])</f>
        <v>0</v>
      </c>
      <c r="Q402" s="22">
        <f>+PROVEEDORES[[#This Row],[Rete Fuente %]]*(PROVEEDORES[[#This Row],[SUBTOTAL]]-PROVEEDORES[[#This Row],[descuento sobre subtotal]])</f>
        <v>0</v>
      </c>
      <c r="R402" s="21">
        <f>+PROVEEDORES[[#This Row],[SUBTOTAL]]+PROVEEDORES[[#This Row],[IVA 19%]]-PROVEEDORES[[#This Row],[descuento sobre subtotal]]-PROVEEDORES[[#This Row],[Descuento sobre subtotal $2]]-PROVEEDORES[[#This Row],[Rete Fuente $]]</f>
        <v>418000</v>
      </c>
      <c r="S402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1">
        <f ca="1">IF(PROVEEDORES[[#This Row],[FECHA DE PAGO]]=0,TODAY()-PROVEEDORES[[#This Row],[FECHA DE FACTURACIÓN]]-PROVEEDORES[[#This Row],[PLAZO Días]],0)</f>
        <v>0</v>
      </c>
      <c r="U402" s="97">
        <f>+VLOOKUP(PROVEEDORES[[#This Row],[PROVEEDOR]],Terceros!$A:$D,4,FALSE)</f>
        <v>0</v>
      </c>
      <c r="V402" s="98">
        <f>+YEAR(PROVEEDORES[[#This Row],[FECHA DE FACTURACIÓN]])</f>
        <v>2023</v>
      </c>
      <c r="W402" s="98">
        <f>+MATCH(PROVEEDORES[[#This Row],[año facturado]],Retenciones!$1:$1,0)</f>
        <v>6</v>
      </c>
      <c r="X402" s="99">
        <f>+VLOOKUP(PROVEEDORES[[#This Row],[ID RETENCION]],Retenciones!$A$1:$O$25,PROVEEDORES[[#This Row],[indicador de columna]],FALSE)</f>
        <v>0</v>
      </c>
      <c r="Y402" s="100">
        <f>+VLOOKUP(PROVEEDORES[[#This Row],[ID RETENCION]],Retenciones!$A$1:$O$25,2,FALSE)</f>
        <v>0</v>
      </c>
      <c r="Z402" s="103" t="b">
        <f>OR(COUNTIF(PROVEEDORES[[#This Row],[PROVEEDOR]],"*"&amp;'Palabra no opera'!$A$2&amp;"*"))</f>
        <v>0</v>
      </c>
    </row>
    <row r="403" spans="1:26" ht="22.35" customHeight="1" x14ac:dyDescent="0.25">
      <c r="A403" s="310" t="str">
        <f>+IF(PROVEEDORES[[#This Row],[FECHA DE PAGO]]=PROVEEDORES[[#This Row],[FECHA DE FACTURACIÓN]],"DE CONTADO","CRÉDITO")</f>
        <v>DE CONTADO</v>
      </c>
      <c r="B403" s="38" t="b">
        <f>+IF((PROVEEDORES[[#This Row],[FECHA DE PAGO]]-PROVEEDORES[[#This Row],[FECHA DE FACTURACIÓN]])&gt;PROVEEDORES[[#This Row],[PLAZO Días]],"PAGO VENCIDO")</f>
        <v>0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406756</v>
      </c>
      <c r="E403" s="25"/>
      <c r="F403" s="56" t="str">
        <f>+VLOOKUP(PROVEEDORES[[#This Row],[PROVEEDOR]],
                       Terceros!$A:$F,
                       5,
                       FALSE)</f>
        <v/>
      </c>
      <c r="G403" s="289">
        <v>45278</v>
      </c>
      <c r="H403" s="26" t="s">
        <v>568</v>
      </c>
      <c r="I403" s="289">
        <v>45278</v>
      </c>
      <c r="J403" s="35" t="s">
        <v>1502</v>
      </c>
      <c r="K403" s="21">
        <f>34500</f>
        <v>34500</v>
      </c>
      <c r="L403" s="21"/>
      <c r="M403" s="22">
        <f>(PROVEEDORES[[#This Row],[SUBTOTAL]]-PROVEEDORES[[#This Row],[descuento sobre subtotal]])*VLOOKUP(PROVEEDORES[[#This Row],[PROVEEDOR]],TERCEROS_INFO[#All],3,FALSE)</f>
        <v>0</v>
      </c>
      <c r="N403" s="23"/>
      <c r="O403" s="22">
        <f>+PROVEEDORES[[#This Row],[Descuento sobre subtotal %]]*(PROVEEDORES[[#This Row],[SUBTOTAL]]-PROVEEDORES[[#This Row],[descuento sobre subtotal]])</f>
        <v>0</v>
      </c>
      <c r="P403" s="72">
        <f>+IF(PROVEEDORES[[#This Row],[SUBTOTAL]]&lt;PROVEEDORES[[#This Row],[base retencion]],0,PROVEEDORES[[#This Row],[retención aplicada]])</f>
        <v>0</v>
      </c>
      <c r="Q403" s="22">
        <f>+PROVEEDORES[[#This Row],[Rete Fuente %]]*(PROVEEDORES[[#This Row],[SUBTOTAL]]-PROVEEDORES[[#This Row],[descuento sobre subtotal]])</f>
        <v>0</v>
      </c>
      <c r="R403" s="21">
        <f>+PROVEEDORES[[#This Row],[SUBTOTAL]]+PROVEEDORES[[#This Row],[IVA 19%]]-PROVEEDORES[[#This Row],[descuento sobre subtotal]]-PROVEEDORES[[#This Row],[Descuento sobre subtotal $2]]-PROVEEDORES[[#This Row],[Rete Fuente $]]</f>
        <v>34500</v>
      </c>
      <c r="S40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1">
        <f ca="1">IF(PROVEEDORES[[#This Row],[FECHA DE PAGO]]=0,TODAY()-PROVEEDORES[[#This Row],[FECHA DE FACTURACIÓN]]-PROVEEDORES[[#This Row],[PLAZO Días]],0)</f>
        <v>0</v>
      </c>
      <c r="U403" s="97">
        <f>+VLOOKUP(PROVEEDORES[[#This Row],[PROVEEDOR]],Terceros!$A:$D,4,FALSE)</f>
        <v>0</v>
      </c>
      <c r="V403" s="98">
        <f>+YEAR(PROVEEDORES[[#This Row],[FECHA DE FACTURACIÓN]])</f>
        <v>2023</v>
      </c>
      <c r="W403" s="98">
        <f>+MATCH(PROVEEDORES[[#This Row],[año facturado]],Retenciones!$1:$1,0)</f>
        <v>6</v>
      </c>
      <c r="X403" s="99">
        <f>+VLOOKUP(PROVEEDORES[[#This Row],[ID RETENCION]],Retenciones!$A$1:$O$25,PROVEEDORES[[#This Row],[indicador de columna]],FALSE)</f>
        <v>0</v>
      </c>
      <c r="Y403" s="100">
        <f>+VLOOKUP(PROVEEDORES[[#This Row],[ID RETENCION]],Retenciones!$A$1:$O$25,2,FALSE)</f>
        <v>0</v>
      </c>
      <c r="Z403" s="103" t="b">
        <f>OR(COUNTIF(PROVEEDORES[[#This Row],[PROVEEDOR]],"*"&amp;'Palabra no opera'!$A$2&amp;"*"))</f>
        <v>0</v>
      </c>
    </row>
    <row r="404" spans="1:26" ht="22.35" customHeight="1" x14ac:dyDescent="0.25">
      <c r="A404" s="65" t="str">
        <f>+IF(PROVEEDORES[[#This Row],[FECHA DE PAGO]]=PROVEEDORES[[#This Row],[FECHA DE FACTURACIÓN]],"DE CONTADO","CRÉDITO")</f>
        <v>CRÉDITO</v>
      </c>
      <c r="B404" s="38" t="str">
        <f>+IF((PROVEEDORES[[#This Row],[FECHA DE PAGO]]-PROVEEDORES[[#This Row],[FECHA DE FACTURACIÓN]])&gt;PROVEEDORES[[#This Row],[PLAZO Días]],"PAGO VENCIDO")</f>
        <v>PAGO VENCIDO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680000</v>
      </c>
      <c r="E404" s="25"/>
      <c r="F40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04" s="289">
        <v>45139</v>
      </c>
      <c r="H404" s="26" t="s">
        <v>317</v>
      </c>
      <c r="I404" s="289">
        <v>45057</v>
      </c>
      <c r="J404" s="35">
        <v>327168</v>
      </c>
      <c r="K404" s="21">
        <v>27000</v>
      </c>
      <c r="L404" s="21"/>
      <c r="M404" s="22">
        <f>(PROVEEDORES[[#This Row],[SUBTOTAL]]-PROVEEDORES[[#This Row],[descuento sobre subtotal]])*VLOOKUP(PROVEEDORES[[#This Row],[PROVEEDOR]],TERCEROS_INFO[#All],3,FALSE)</f>
        <v>0</v>
      </c>
      <c r="N404" s="23"/>
      <c r="O404" s="22">
        <f>+PROVEEDORES[[#This Row],[Descuento sobre subtotal %]]*(PROVEEDORES[[#This Row],[SUBTOTAL]]-PROVEEDORES[[#This Row],[descuento sobre subtotal]])</f>
        <v>0</v>
      </c>
      <c r="P404" s="72">
        <f>+IF(PROVEEDORES[[#This Row],[SUBTOTAL]]&lt;PROVEEDORES[[#This Row],[base retencion]],0,PROVEEDORES[[#This Row],[retención aplicada]])</f>
        <v>0</v>
      </c>
      <c r="Q404" s="22">
        <f>+PROVEEDORES[[#This Row],[Rete Fuente %]]*(PROVEEDORES[[#This Row],[SUBTOTAL]]-PROVEEDORES[[#This Row],[descuento sobre subtotal]])</f>
        <v>0</v>
      </c>
      <c r="R404" s="21">
        <f>+PROVEEDORES[[#This Row],[SUBTOTAL]]+PROVEEDORES[[#This Row],[IVA 19%]]-PROVEEDORES[[#This Row],[descuento sobre subtotal]]-PROVEEDORES[[#This Row],[Descuento sobre subtotal $2]]-PROVEEDORES[[#This Row],[Rete Fuente $]]</f>
        <v>27000</v>
      </c>
      <c r="S4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1">
        <f ca="1">IF(PROVEEDORES[[#This Row],[FECHA DE PAGO]]=0,TODAY()-PROVEEDORES[[#This Row],[FECHA DE FACTURACIÓN]]-PROVEEDORES[[#This Row],[PLAZO Días]],0)</f>
        <v>0</v>
      </c>
      <c r="U404" s="97">
        <f>+VLOOKUP(PROVEEDORES[[#This Row],[PROVEEDOR]],Terceros!$A:$D,4,FALSE)</f>
        <v>0</v>
      </c>
      <c r="V404" s="98">
        <f>+YEAR(PROVEEDORES[[#This Row],[FECHA DE FACTURACIÓN]])</f>
        <v>2023</v>
      </c>
      <c r="W404" s="98">
        <f>+MATCH(PROVEEDORES[[#This Row],[año facturado]],Retenciones!$1:$1,0)</f>
        <v>6</v>
      </c>
      <c r="X404" s="99">
        <f>+VLOOKUP(PROVEEDORES[[#This Row],[ID RETENCION]],Retenciones!$A$1:$O$25,PROVEEDORES[[#This Row],[indicador de columna]],FALSE)</f>
        <v>0</v>
      </c>
      <c r="Y404" s="100">
        <f>+VLOOKUP(PROVEEDORES[[#This Row],[ID RETENCION]],Retenciones!$A$1:$O$25,2,FALSE)</f>
        <v>0</v>
      </c>
      <c r="Z404" s="103" t="b">
        <f>OR(COUNTIF(PROVEEDORES[[#This Row],[PROVEEDOR]],"*"&amp;'Palabra no opera'!$A$2&amp;"*"))</f>
        <v>0</v>
      </c>
    </row>
    <row r="405" spans="1:26" ht="22.35" customHeight="1" x14ac:dyDescent="0.25">
      <c r="A405" s="219" t="str">
        <f>+IF(PROVEEDORES[[#This Row],[FECHA DE PAGO]]=PROVEEDORES[[#This Row],[FECHA DE FACTURACIÓN]],"DE CONTADO","CRÉDITO")</f>
        <v>CRÉDITO</v>
      </c>
      <c r="B405" s="38" t="str">
        <f>+IF((PROVEEDORES[[#This Row],[FECHA DE PAGO]]-PROVEEDORES[[#This Row],[FECHA DE FACTURACIÓN]])&gt;PROVEEDORES[[#This Row],[PLAZO Días]],"PAGO VENCIDO")</f>
        <v>PAGO VENCIDO</v>
      </c>
      <c r="C405" s="20">
        <f>+VLOOKUP(PROVEEDORES[[#This Row],[PROVEEDOR]],TERCEROS_INFO[#All],2,FALSE)</f>
        <v>30</v>
      </c>
      <c r="D405" s="25">
        <f>+SUMIFS(PROVEEDORES[Total],PROVEEDORES[PROVEEDOR],PROVEEDORES[[#This Row],[PROVEEDOR]],PROVEEDORES[FECHA DE PAGO],"")</f>
        <v>680000</v>
      </c>
      <c r="E405" s="25"/>
      <c r="F40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05" s="289">
        <v>45239</v>
      </c>
      <c r="H405" s="26" t="s">
        <v>317</v>
      </c>
      <c r="I405" s="289">
        <v>45140</v>
      </c>
      <c r="J405" s="35">
        <v>328151</v>
      </c>
      <c r="K405" s="21">
        <v>780000</v>
      </c>
      <c r="L405" s="21"/>
      <c r="M405" s="22">
        <f>(PROVEEDORES[[#This Row],[SUBTOTAL]]-PROVEEDORES[[#This Row],[descuento sobre subtotal]])*VLOOKUP(PROVEEDORES[[#This Row],[PROVEEDOR]],TERCEROS_INFO[#All],3,FALSE)</f>
        <v>0</v>
      </c>
      <c r="N405" s="23"/>
      <c r="O405" s="22">
        <f>+PROVEEDORES[[#This Row],[Descuento sobre subtotal %]]*(PROVEEDORES[[#This Row],[SUBTOTAL]]-PROVEEDORES[[#This Row],[descuento sobre subtotal]])</f>
        <v>0</v>
      </c>
      <c r="P405" s="72">
        <f>+IF(PROVEEDORES[[#This Row],[SUBTOTAL]]&lt;PROVEEDORES[[#This Row],[base retencion]],0,PROVEEDORES[[#This Row],[retención aplicada]])</f>
        <v>0</v>
      </c>
      <c r="Q405" s="22">
        <f>+PROVEEDORES[[#This Row],[Rete Fuente %]]*(PROVEEDORES[[#This Row],[SUBTOTAL]]-PROVEEDORES[[#This Row],[descuento sobre subtotal]])</f>
        <v>0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405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1">
        <f ca="1">IF(PROVEEDORES[[#This Row],[FECHA DE PAGO]]=0,TODAY()-PROVEEDORES[[#This Row],[FECHA DE FACTURACIÓN]]-PROVEEDORES[[#This Row],[PLAZO Días]],0)</f>
        <v>0</v>
      </c>
      <c r="U405" s="97">
        <f>+VLOOKUP(PROVEEDORES[[#This Row],[PROVEEDOR]],Terceros!$A:$D,4,FALSE)</f>
        <v>0</v>
      </c>
      <c r="V405" s="98">
        <f>+YEAR(PROVEEDORES[[#This Row],[FECHA DE FACTURACIÓN]])</f>
        <v>2023</v>
      </c>
      <c r="W405" s="98">
        <f>+MATCH(PROVEEDORES[[#This Row],[año facturado]],Retenciones!$1:$1,0)</f>
        <v>6</v>
      </c>
      <c r="X405" s="99">
        <f>+VLOOKUP(PROVEEDORES[[#This Row],[ID RETENCION]],Retenciones!$A$1:$O$25,PROVEEDORES[[#This Row],[indicador de columna]],FALSE)</f>
        <v>0</v>
      </c>
      <c r="Y405" s="100">
        <f>+VLOOKUP(PROVEEDORES[[#This Row],[ID RETENCION]],Retenciones!$A$1:$O$25,2,FALSE)</f>
        <v>0</v>
      </c>
      <c r="Z405" s="103" t="b">
        <f>OR(COUNTIF(PROVEEDORES[[#This Row],[PROVEEDOR]],"*"&amp;'Palabra no opera'!$A$2&amp;"*"))</f>
        <v>0</v>
      </c>
    </row>
    <row r="406" spans="1:26" ht="22.35" customHeight="1" x14ac:dyDescent="0.25">
      <c r="A406" s="243" t="str">
        <f>+IF(PROVEEDORES[[#This Row],[FECHA DE PAGO]]=PROVEEDORES[[#This Row],[FECHA DE FACTURACIÓN]],"DE CONTADO","CRÉDITO")</f>
        <v>CRÉDITO</v>
      </c>
      <c r="B406" s="38" t="str">
        <f>+IF((PROVEEDORES[[#This Row],[FECHA DE PAGO]]-PROVEEDORES[[#This Row],[FECHA DE FACTURACIÓN]])&gt;PROVEEDORES[[#This Row],[PLAZO Días]],"PAGO VENCIDO")</f>
        <v>PAGO VENCIDO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680000</v>
      </c>
      <c r="E406" s="25"/>
      <c r="F40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06" s="289">
        <v>45239</v>
      </c>
      <c r="H406" s="26" t="s">
        <v>317</v>
      </c>
      <c r="I406" s="289">
        <v>45177</v>
      </c>
      <c r="J406" s="35">
        <v>550829</v>
      </c>
      <c r="K406" s="21">
        <v>130000</v>
      </c>
      <c r="L406" s="21"/>
      <c r="M406" s="22">
        <f>(PROVEEDORES[[#This Row],[SUBTOTAL]]-PROVEEDORES[[#This Row],[descuento sobre subtotal]])*VLOOKUP(PROVEEDORES[[#This Row],[PROVEEDOR]],TERCEROS_INFO[#All],3,FALSE)</f>
        <v>0</v>
      </c>
      <c r="N406" s="23"/>
      <c r="O406" s="22">
        <f>+PROVEEDORES[[#This Row],[Descuento sobre subtotal %]]*(PROVEEDORES[[#This Row],[SUBTOTAL]]-PROVEEDORES[[#This Row],[descuento sobre subtotal]])</f>
        <v>0</v>
      </c>
      <c r="P406" s="72">
        <f>+IF(PROVEEDORES[[#This Row],[SUBTOTAL]]&lt;PROVEEDORES[[#This Row],[base retencion]],0,PROVEEDORES[[#This Row],[retención aplicada]])</f>
        <v>0</v>
      </c>
      <c r="Q406" s="22">
        <f>+PROVEEDORES[[#This Row],[Rete Fuente %]]*(PROVEEDORES[[#This Row],[SUBTOTAL]]-PROVEEDORES[[#This Row],[descuento sobre subtotal]])</f>
        <v>0</v>
      </c>
      <c r="R406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406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1">
        <f ca="1">IF(PROVEEDORES[[#This Row],[FECHA DE PAGO]]=0,TODAY()-PROVEEDORES[[#This Row],[FECHA DE FACTURACIÓN]]-PROVEEDORES[[#This Row],[PLAZO Días]],0)</f>
        <v>0</v>
      </c>
      <c r="U406" s="97">
        <f>+VLOOKUP(PROVEEDORES[[#This Row],[PROVEEDOR]],Terceros!$A:$D,4,FALSE)</f>
        <v>0</v>
      </c>
      <c r="V406" s="98">
        <f>+YEAR(PROVEEDORES[[#This Row],[FECHA DE FACTURACIÓN]])</f>
        <v>2023</v>
      </c>
      <c r="W406" s="98">
        <f>+MATCH(PROVEEDORES[[#This Row],[año facturado]],Retenciones!$1:$1,0)</f>
        <v>6</v>
      </c>
      <c r="X406" s="99">
        <f>+VLOOKUP(PROVEEDORES[[#This Row],[ID RETENCION]],Retenciones!$A$1:$O$25,PROVEEDORES[[#This Row],[indicador de columna]],FALSE)</f>
        <v>0</v>
      </c>
      <c r="Y406" s="100">
        <f>+VLOOKUP(PROVEEDORES[[#This Row],[ID RETENCION]],Retenciones!$A$1:$O$25,2,FALSE)</f>
        <v>0</v>
      </c>
      <c r="Z406" s="103" t="b">
        <f>OR(COUNTIF(PROVEEDORES[[#This Row],[PROVEEDOR]],"*"&amp;'Palabra no opera'!$A$2&amp;"*"))</f>
        <v>0</v>
      </c>
    </row>
    <row r="407" spans="1:26" ht="22.35" customHeight="1" x14ac:dyDescent="0.25">
      <c r="A407" s="65" t="str">
        <f>+IF(PROVEEDORES[[#This Row],[FECHA DE PAGO]]=PROVEEDORES[[#This Row],[FECHA DE FACTURACIÓN]],"DE CONTADO","CRÉDITO")</f>
        <v>CRÉDITO</v>
      </c>
      <c r="B407" s="38" t="b">
        <f>+IF((PROVEEDORES[[#This Row],[FECHA DE PAGO]]-PROVEEDORES[[#This Row],[FECHA DE FACTURACIÓN]])&gt;PROVEEDORES[[#This Row],[PLAZO Días]],"PAGO VENCIDO")</f>
        <v>0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680000</v>
      </c>
      <c r="E407" s="25"/>
      <c r="F407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407" s="26" t="s">
        <v>317</v>
      </c>
      <c r="I407" s="289">
        <v>45265</v>
      </c>
      <c r="J407" s="35" t="s">
        <v>1433</v>
      </c>
      <c r="K407" s="21">
        <v>680000</v>
      </c>
      <c r="L407" s="21"/>
      <c r="M407" s="22">
        <f>(PROVEEDORES[[#This Row],[SUBTOTAL]]-PROVEEDORES[[#This Row],[descuento sobre subtotal]])*VLOOKUP(PROVEEDORES[[#This Row],[PROVEEDOR]],TERCEROS_INFO[#All],3,FALSE)</f>
        <v>0</v>
      </c>
      <c r="N407" s="23"/>
      <c r="O407" s="22">
        <f>+PROVEEDORES[[#This Row],[Descuento sobre subtotal %]]*(PROVEEDORES[[#This Row],[SUBTOTAL]]-PROVEEDORES[[#This Row],[descuento sobre subtotal]])</f>
        <v>0</v>
      </c>
      <c r="P407" s="72">
        <f>+IF(PROVEEDORES[[#This Row],[SUBTOTAL]]&lt;PROVEEDORES[[#This Row],[base retencion]],0,PROVEEDORES[[#This Row],[retención aplicada]])</f>
        <v>0</v>
      </c>
      <c r="Q407" s="22">
        <f>+PROVEEDORES[[#This Row],[Rete Fuente %]]*(PROVEEDORES[[#This Row],[SUBTOTAL]]-PROVEEDORES[[#This Row],[descuento sobre subtotal]])</f>
        <v>0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680000</v>
      </c>
      <c r="S407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407" s="61">
        <f ca="1">IF(PROVEEDORES[[#This Row],[FECHA DE PAGO]]=0,TODAY()-PROVEEDORES[[#This Row],[FECHA DE FACTURACIÓN]]-PROVEEDORES[[#This Row],[PLAZO Días]],0)</f>
        <v>33</v>
      </c>
      <c r="U407" s="97">
        <f>+VLOOKUP(PROVEEDORES[[#This Row],[PROVEEDOR]],Terceros!$A:$D,4,FALSE)</f>
        <v>0</v>
      </c>
      <c r="V407" s="98">
        <f>+YEAR(PROVEEDORES[[#This Row],[FECHA DE FACTURACIÓN]])</f>
        <v>2023</v>
      </c>
      <c r="W407" s="98">
        <f>+MATCH(PROVEEDORES[[#This Row],[año facturado]],Retenciones!$1:$1,0)</f>
        <v>6</v>
      </c>
      <c r="X407" s="99">
        <f>+VLOOKUP(PROVEEDORES[[#This Row],[ID RETENCION]],Retenciones!$A$1:$O$25,PROVEEDORES[[#This Row],[indicador de columna]],FALSE)</f>
        <v>0</v>
      </c>
      <c r="Y407" s="100">
        <f>+VLOOKUP(PROVEEDORES[[#This Row],[ID RETENCION]],Retenciones!$A$1:$O$25,2,FALSE)</f>
        <v>0</v>
      </c>
      <c r="Z407" s="103" t="b">
        <f>OR(COUNTIF(PROVEEDORES[[#This Row],[PROVEEDOR]],"*"&amp;'Palabra no opera'!$A$2&amp;"*"))</f>
        <v>0</v>
      </c>
    </row>
    <row r="408" spans="1:26" ht="22.35" customHeight="1" x14ac:dyDescent="0.25">
      <c r="A408" s="65" t="str">
        <f>+IF(PROVEEDORES[[#This Row],[FECHA DE PAGO]]=PROVEEDORES[[#This Row],[FECHA DE FACTURACIÓN]],"DE CONTADO","CRÉDITO")</f>
        <v>CRÉDITO</v>
      </c>
      <c r="B408" s="38" t="str">
        <f>+IF((PROVEEDORES[[#This Row],[FECHA DE PAGO]]-PROVEEDORES[[#This Row],[FECHA DE FACTURACIÓN]])&gt;PROVEEDORES[[#This Row],[PLAZO Días]],"PAGO VENCIDO")</f>
        <v>PAGO VENCIDO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840000</v>
      </c>
      <c r="E408" s="25"/>
      <c r="F408" s="56">
        <f>+VLOOKUP(PROVEEDORES[[#This Row],[PROVEEDOR]],
                       Terceros!$A:$F,
                       5,
                       FALSE)</f>
        <v>0</v>
      </c>
      <c r="G408" s="289">
        <v>44969</v>
      </c>
      <c r="H408" s="26" t="s">
        <v>318</v>
      </c>
      <c r="I408" s="289">
        <v>44938</v>
      </c>
      <c r="J408" s="35">
        <v>348</v>
      </c>
      <c r="K408" s="21">
        <v>1044000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72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1044000</v>
      </c>
      <c r="S4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1">
        <f ca="1">IF(PROVEEDORES[[#This Row],[FECHA DE PAGO]]=0,TODAY()-PROVEEDORES[[#This Row],[FECHA DE FACTURACIÓN]]-PROVEEDORES[[#This Row],[PLAZO Días]],0)</f>
        <v>0</v>
      </c>
      <c r="U408" s="97">
        <f>+VLOOKUP(PROVEEDORES[[#This Row],[PROVEEDOR]],Terceros!$A:$D,4,FALSE)</f>
        <v>0</v>
      </c>
      <c r="V408" s="98">
        <f>+YEAR(PROVEEDORES[[#This Row],[FECHA DE FACTURACIÓN]])</f>
        <v>2023</v>
      </c>
      <c r="W408" s="98">
        <f>+MATCH(PROVEEDORES[[#This Row],[año facturado]],Retenciones!$1:$1,0)</f>
        <v>6</v>
      </c>
      <c r="X408" s="99">
        <f>+VLOOKUP(PROVEEDORES[[#This Row],[ID RETENCION]],Retenciones!$A$1:$O$25,PROVEEDORES[[#This Row],[indicador de columna]],FALSE)</f>
        <v>0</v>
      </c>
      <c r="Y408" s="100">
        <f>+VLOOKUP(PROVEEDORES[[#This Row],[ID RETENCION]],Retenciones!$A$1:$O$25,2,FALSE)</f>
        <v>0</v>
      </c>
      <c r="Z408" s="103" t="b">
        <f>OR(COUNTIF(PROVEEDORES[[#This Row],[PROVEEDOR]],"*"&amp;'Palabra no opera'!$A$2&amp;"*"))</f>
        <v>0</v>
      </c>
    </row>
    <row r="409" spans="1:26" ht="22.35" customHeight="1" x14ac:dyDescent="0.25">
      <c r="A409" s="155" t="str">
        <f>+IF(PROVEEDORES[[#This Row],[FECHA DE PAGO]]=PROVEEDORES[[#This Row],[FECHA DE FACTURACIÓN]],"DE CONTADO","CRÉDITO")</f>
        <v>CRÉDITO</v>
      </c>
      <c r="B409" s="38" t="b">
        <f>+IF((PROVEEDORES[[#This Row],[FECHA DE PAGO]]-PROVEEDORES[[#This Row],[FECHA DE FACTURACIÓN]])&gt;PROVEEDORES[[#This Row],[PLAZO Días]],"PAGO VENCIDO")</f>
        <v>0</v>
      </c>
      <c r="C409" s="20">
        <f>+VLOOKUP(PROVEEDORES[[#This Row],[PROVEEDOR]],TERCEROS_INFO[#All],2,FALSE)</f>
        <v>30</v>
      </c>
      <c r="D409" s="25">
        <f>+SUMIFS(PROVEEDORES[Total],PROVEEDORES[PROVEEDOR],PROVEEDORES[[#This Row],[PROVEEDOR]],PROVEEDORES[FECHA DE PAGO],"")</f>
        <v>840000</v>
      </c>
      <c r="E409" s="25"/>
      <c r="F409" s="56">
        <f>+VLOOKUP(PROVEEDORES[[#This Row],[PROVEEDOR]],
                       Terceros!$A:$F,
                       5,
                       FALSE)</f>
        <v>0</v>
      </c>
      <c r="G409" s="289">
        <v>44988</v>
      </c>
      <c r="H409" s="26" t="s">
        <v>318</v>
      </c>
      <c r="I409" s="289">
        <v>44977</v>
      </c>
      <c r="J409" s="35" t="s">
        <v>633</v>
      </c>
      <c r="K409" s="21">
        <v>1008000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72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f>+PROVEEDORES[[#This Row],[SUBTOTAL]]+PROVEEDORES[[#This Row],[IVA 19%]]-PROVEEDORES[[#This Row],[descuento sobre subtotal]]-PROVEEDORES[[#This Row],[Descuento sobre subtotal $2]]-PROVEEDORES[[#This Row],[Rete Fuente $]]</f>
        <v>1008000</v>
      </c>
      <c r="S409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1">
        <f ca="1">IF(PROVEEDORES[[#This Row],[FECHA DE PAGO]]=0,TODAY()-PROVEEDORES[[#This Row],[FECHA DE FACTURACIÓN]]-PROVEEDORES[[#This Row],[PLAZO Días]],0)</f>
        <v>0</v>
      </c>
      <c r="U409" s="97">
        <f>+VLOOKUP(PROVEEDORES[[#This Row],[PROVEEDOR]],Terceros!$A:$D,4,FALSE)</f>
        <v>0</v>
      </c>
      <c r="V409" s="98">
        <f>+YEAR(PROVEEDORES[[#This Row],[FECHA DE FACTURACIÓN]])</f>
        <v>2023</v>
      </c>
      <c r="W409" s="98">
        <f>+MATCH(PROVEEDORES[[#This Row],[año facturado]],Retenciones!$1:$1,0)</f>
        <v>6</v>
      </c>
      <c r="X409" s="99">
        <f>+VLOOKUP(PROVEEDORES[[#This Row],[ID RETENCION]],Retenciones!$A$1:$O$25,PROVEEDORES[[#This Row],[indicador de columna]],FALSE)</f>
        <v>0</v>
      </c>
      <c r="Y409" s="100">
        <f>+VLOOKUP(PROVEEDORES[[#This Row],[ID RETENCION]],Retenciones!$A$1:$O$25,2,FALSE)</f>
        <v>0</v>
      </c>
      <c r="Z409" s="103" t="b">
        <f>OR(COUNTIF(PROVEEDORES[[#This Row],[PROVEEDOR]],"*"&amp;'Palabra no opera'!$A$2&amp;"*"))</f>
        <v>0</v>
      </c>
    </row>
    <row r="410" spans="1:26" ht="22.35" customHeight="1" x14ac:dyDescent="0.25">
      <c r="A410" s="65" t="str">
        <f>+IF(PROVEEDORES[[#This Row],[FECHA DE PAGO]]=PROVEEDORES[[#This Row],[FECHA DE FACTURACIÓN]],"DE CONTADO","CRÉDITO")</f>
        <v>CRÉDITO</v>
      </c>
      <c r="B410" s="38" t="str">
        <f>+IF((PROVEEDORES[[#This Row],[FECHA DE PAGO]]-PROVEEDORES[[#This Row],[FECHA DE FACTURACIÓN]])&gt;PROVEEDORES[[#This Row],[PLAZO Días]],"PAGO VENCIDO")</f>
        <v>PAGO VENCIDO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840000</v>
      </c>
      <c r="E410" s="25"/>
      <c r="F410" s="56">
        <f>+VLOOKUP(PROVEEDORES[[#This Row],[PROVEEDOR]],
                       Terceros!$A:$F,
                       5,
                       FALSE)</f>
        <v>0</v>
      </c>
      <c r="G410" s="289">
        <v>45097</v>
      </c>
      <c r="H410" s="26" t="s">
        <v>318</v>
      </c>
      <c r="I410" s="289">
        <v>45026</v>
      </c>
      <c r="J410" s="35" t="s">
        <v>762</v>
      </c>
      <c r="K410" s="21">
        <v>861000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72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861000</v>
      </c>
      <c r="S4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1">
        <f ca="1">IF(PROVEEDORES[[#This Row],[FECHA DE PAGO]]=0,TODAY()-PROVEEDORES[[#This Row],[FECHA DE FACTURACIÓN]]-PROVEEDORES[[#This Row],[PLAZO Días]],0)</f>
        <v>0</v>
      </c>
      <c r="U410" s="97">
        <f>+VLOOKUP(PROVEEDORES[[#This Row],[PROVEEDOR]],Terceros!$A:$D,4,FALSE)</f>
        <v>0</v>
      </c>
      <c r="V410" s="98">
        <f>+YEAR(PROVEEDORES[[#This Row],[FECHA DE FACTURACIÓN]])</f>
        <v>2023</v>
      </c>
      <c r="W410" s="98">
        <f>+MATCH(PROVEEDORES[[#This Row],[año facturado]],Retenciones!$1:$1,0)</f>
        <v>6</v>
      </c>
      <c r="X410" s="99">
        <f>+VLOOKUP(PROVEEDORES[[#This Row],[ID RETENCION]],Retenciones!$A$1:$O$25,PROVEEDORES[[#This Row],[indicador de columna]],FALSE)</f>
        <v>0</v>
      </c>
      <c r="Y410" s="100">
        <f>+VLOOKUP(PROVEEDORES[[#This Row],[ID RETENCION]],Retenciones!$A$1:$O$25,2,FALSE)</f>
        <v>0</v>
      </c>
      <c r="Z410" s="103" t="b">
        <f>OR(COUNTIF(PROVEEDORES[[#This Row],[PROVEEDOR]],"*"&amp;'Palabra no opera'!$A$2&amp;"*"))</f>
        <v>0</v>
      </c>
    </row>
    <row r="411" spans="1:26" ht="22.35" customHeight="1" x14ac:dyDescent="0.25">
      <c r="A411" s="65" t="str">
        <f>+IF(PROVEEDORES[[#This Row],[FECHA DE PAGO]]=PROVEEDORES[[#This Row],[FECHA DE FACTURACIÓN]],"DE CONTADO","CRÉDITO")</f>
        <v>CRÉDITO</v>
      </c>
      <c r="B411" s="38" t="str">
        <f>+IF((PROVEEDORES[[#This Row],[FECHA DE PAGO]]-PROVEEDORES[[#This Row],[FECHA DE FACTURACIÓN]])&gt;PROVEEDORES[[#This Row],[PLAZO Días]],"PAGO VENCIDO")</f>
        <v>PAGO VENCIDO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840000</v>
      </c>
      <c r="E411" s="25"/>
      <c r="F411" s="56">
        <f>+VLOOKUP(PROVEEDORES[[#This Row],[PROVEEDOR]],
                       Terceros!$A:$F,
                       5,
                       FALSE)</f>
        <v>0</v>
      </c>
      <c r="G411" s="289">
        <v>45098</v>
      </c>
      <c r="H411" s="26" t="s">
        <v>318</v>
      </c>
      <c r="I411" s="289">
        <v>45047</v>
      </c>
      <c r="J411" s="35">
        <v>378</v>
      </c>
      <c r="K411" s="21">
        <v>1512000</v>
      </c>
      <c r="L411" s="21"/>
      <c r="M411" s="22">
        <f>(PROVEEDORES[[#This Row],[SUBTOTAL]]-PROVEEDORES[[#This Row],[descuento sobre subtotal]])*VLOOKUP(PROVEEDORES[[#This Row],[PROVEEDOR]],TERCEROS_INFO[#All],3,FALSE)</f>
        <v>0</v>
      </c>
      <c r="N411" s="23"/>
      <c r="O411" s="22">
        <f>+PROVEEDORES[[#This Row],[Descuento sobre subtotal %]]*(PROVEEDORES[[#This Row],[SUBTOTAL]]-PROVEEDORES[[#This Row],[descuento sobre subtotal]])</f>
        <v>0</v>
      </c>
      <c r="P411" s="72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1512000</v>
      </c>
      <c r="S4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1">
        <f ca="1">IF(PROVEEDORES[[#This Row],[FECHA DE PAGO]]=0,TODAY()-PROVEEDORES[[#This Row],[FECHA DE FACTURACIÓN]]-PROVEEDORES[[#This Row],[PLAZO Días]],0)</f>
        <v>0</v>
      </c>
      <c r="U411" s="97">
        <f>+VLOOKUP(PROVEEDORES[[#This Row],[PROVEEDOR]],Terceros!$A:$D,4,FALSE)</f>
        <v>0</v>
      </c>
      <c r="V411" s="98">
        <f>+YEAR(PROVEEDORES[[#This Row],[FECHA DE FACTURACIÓN]])</f>
        <v>2023</v>
      </c>
      <c r="W411" s="98">
        <f>+MATCH(PROVEEDORES[[#This Row],[año facturado]],Retenciones!$1:$1,0)</f>
        <v>6</v>
      </c>
      <c r="X411" s="99">
        <f>+VLOOKUP(PROVEEDORES[[#This Row],[ID RETENCION]],Retenciones!$A$1:$O$25,PROVEEDORES[[#This Row],[indicador de columna]],FALSE)</f>
        <v>0</v>
      </c>
      <c r="Y411" s="100">
        <f>+VLOOKUP(PROVEEDORES[[#This Row],[ID RETENCION]],Retenciones!$A$1:$O$25,2,FALSE)</f>
        <v>0</v>
      </c>
      <c r="Z411" s="103" t="b">
        <f>OR(COUNTIF(PROVEEDORES[[#This Row],[PROVEEDOR]],"*"&amp;'Palabra no opera'!$A$2&amp;"*"))</f>
        <v>0</v>
      </c>
    </row>
    <row r="412" spans="1:26" ht="22.35" customHeight="1" x14ac:dyDescent="0.25">
      <c r="A412" s="65" t="str">
        <f>+IF(PROVEEDORES[[#This Row],[FECHA DE PAGO]]=PROVEEDORES[[#This Row],[FECHA DE FACTURACIÓN]],"DE CONTADO","CRÉDITO")</f>
        <v>CRÉDITO</v>
      </c>
      <c r="B412" s="38" t="b">
        <f>+IF((PROVEEDORES[[#This Row],[FECHA DE PAGO]]-PROVEEDORES[[#This Row],[FECHA DE FACTURACIÓN]])&gt;PROVEEDORES[[#This Row],[PLAZO Días]],"PAGO VENCIDO")</f>
        <v>0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840000</v>
      </c>
      <c r="E412" s="25"/>
      <c r="F412" s="56">
        <f>+VLOOKUP(PROVEEDORES[[#This Row],[PROVEEDOR]],
                       Terceros!$A:$F,
                       5,
                       FALSE)</f>
        <v>0</v>
      </c>
      <c r="G412" s="289">
        <v>45139</v>
      </c>
      <c r="H412" s="26" t="s">
        <v>318</v>
      </c>
      <c r="I412" s="289">
        <v>45112</v>
      </c>
      <c r="J412" s="35" t="s">
        <v>974</v>
      </c>
      <c r="K412" s="21">
        <v>504000</v>
      </c>
      <c r="L412" s="21"/>
      <c r="M412" s="22">
        <f>(PROVEEDORES[[#This Row],[SUBTOTAL]]-PROVEEDORES[[#This Row],[descuento sobre subtotal]])*VLOOKUP(PROVEEDORES[[#This Row],[PROVEEDOR]],TERCEROS_INFO[#All],3,FALSE)</f>
        <v>0</v>
      </c>
      <c r="N412" s="23"/>
      <c r="O412" s="22">
        <f>+PROVEEDORES[[#This Row],[Descuento sobre subtotal %]]*(PROVEEDORES[[#This Row],[SUBTOTAL]]-PROVEEDORES[[#This Row],[descuento sobre subtotal]])</f>
        <v>0</v>
      </c>
      <c r="P412" s="72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504000</v>
      </c>
      <c r="S4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1">
        <f ca="1">IF(PROVEEDORES[[#This Row],[FECHA DE PAGO]]=0,TODAY()-PROVEEDORES[[#This Row],[FECHA DE FACTURACIÓN]]-PROVEEDORES[[#This Row],[PLAZO Días]],0)</f>
        <v>0</v>
      </c>
      <c r="U412" s="97">
        <f>+VLOOKUP(PROVEEDORES[[#This Row],[PROVEEDOR]],Terceros!$A:$D,4,FALSE)</f>
        <v>0</v>
      </c>
      <c r="V412" s="98">
        <f>+YEAR(PROVEEDORES[[#This Row],[FECHA DE FACTURACIÓN]])</f>
        <v>2023</v>
      </c>
      <c r="W412" s="98">
        <f>+MATCH(PROVEEDORES[[#This Row],[año facturado]],Retenciones!$1:$1,0)</f>
        <v>6</v>
      </c>
      <c r="X412" s="99">
        <f>+VLOOKUP(PROVEEDORES[[#This Row],[ID RETENCION]],Retenciones!$A$1:$O$25,PROVEEDORES[[#This Row],[indicador de columna]],FALSE)</f>
        <v>0</v>
      </c>
      <c r="Y412" s="100">
        <f>+VLOOKUP(PROVEEDORES[[#This Row],[ID RETENCION]],Retenciones!$A$1:$O$25,2,FALSE)</f>
        <v>0</v>
      </c>
      <c r="Z412" s="103" t="b">
        <f>OR(COUNTIF(PROVEEDORES[[#This Row],[PROVEEDOR]],"*"&amp;'Palabra no opera'!$A$2&amp;"*"))</f>
        <v>0</v>
      </c>
    </row>
    <row r="413" spans="1:26" ht="22.35" customHeight="1" x14ac:dyDescent="0.25">
      <c r="A413" s="227" t="str">
        <f>+IF(PROVEEDORES[[#This Row],[FECHA DE PAGO]]=PROVEEDORES[[#This Row],[FECHA DE FACTURACIÓN]],"DE CONTADO","CRÉDITO")</f>
        <v>CRÉDITO</v>
      </c>
      <c r="B413" s="38" t="b">
        <f>+IF((PROVEEDORES[[#This Row],[FECHA DE PAGO]]-PROVEEDORES[[#This Row],[FECHA DE FACTURACIÓN]])&gt;PROVEEDORES[[#This Row],[PLAZO Días]],"PAGO VENCIDO")</f>
        <v>0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840000</v>
      </c>
      <c r="E413" s="25"/>
      <c r="F413" s="56">
        <f>+VLOOKUP(PROVEEDORES[[#This Row],[PROVEEDOR]],
                       Terceros!$A:$F,
                       5,
                       FALSE)</f>
        <v>0</v>
      </c>
      <c r="G413" s="289">
        <v>45177</v>
      </c>
      <c r="H413" s="26" t="s">
        <v>318</v>
      </c>
      <c r="I413" s="289">
        <v>45152</v>
      </c>
      <c r="J413" s="35">
        <v>394</v>
      </c>
      <c r="K413" s="21">
        <v>1176000</v>
      </c>
      <c r="L413" s="21"/>
      <c r="M413" s="22">
        <f>(PROVEEDORES[[#This Row],[SUBTOTAL]]-PROVEEDORES[[#This Row],[descuento sobre subtotal]])*VLOOKUP(PROVEEDORES[[#This Row],[PROVEEDOR]],TERCEROS_INFO[#All],3,FALSE)</f>
        <v>0</v>
      </c>
      <c r="N413" s="23"/>
      <c r="O413" s="22">
        <f>+PROVEEDORES[[#This Row],[Descuento sobre subtotal %]]*(PROVEEDORES[[#This Row],[SUBTOTAL]]-PROVEEDORES[[#This Row],[descuento sobre subtotal]])</f>
        <v>0</v>
      </c>
      <c r="P413" s="72">
        <f>+IF(PROVEEDORES[[#This Row],[SUBTOTAL]]&lt;PROVEEDORES[[#This Row],[base retencion]],0,PROVEEDORES[[#This Row],[retención aplicada]])</f>
        <v>0</v>
      </c>
      <c r="Q413" s="22">
        <f>+PROVEEDORES[[#This Row],[Rete Fuente %]]*(PROVEEDORES[[#This Row],[SUBTOTAL]]-PROVEEDORES[[#This Row],[descuento sobre subtotal]])</f>
        <v>0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1176000</v>
      </c>
      <c r="S413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1">
        <f ca="1">IF(PROVEEDORES[[#This Row],[FECHA DE PAGO]]=0,TODAY()-PROVEEDORES[[#This Row],[FECHA DE FACTURACIÓN]]-PROVEEDORES[[#This Row],[PLAZO Días]],0)</f>
        <v>0</v>
      </c>
      <c r="U413" s="97">
        <f>+VLOOKUP(PROVEEDORES[[#This Row],[PROVEEDOR]],Terceros!$A:$D,4,FALSE)</f>
        <v>0</v>
      </c>
      <c r="V413" s="98">
        <f>+YEAR(PROVEEDORES[[#This Row],[FECHA DE FACTURACIÓN]])</f>
        <v>2023</v>
      </c>
      <c r="W413" s="98">
        <f>+MATCH(PROVEEDORES[[#This Row],[año facturado]],Retenciones!$1:$1,0)</f>
        <v>6</v>
      </c>
      <c r="X413" s="99">
        <f>+VLOOKUP(PROVEEDORES[[#This Row],[ID RETENCION]],Retenciones!$A$1:$O$25,PROVEEDORES[[#This Row],[indicador de columna]],FALSE)</f>
        <v>0</v>
      </c>
      <c r="Y413" s="100">
        <f>+VLOOKUP(PROVEEDORES[[#This Row],[ID RETENCION]],Retenciones!$A$1:$O$25,2,FALSE)</f>
        <v>0</v>
      </c>
      <c r="Z413" s="103" t="b">
        <f>OR(COUNTIF(PROVEEDORES[[#This Row],[PROVEEDOR]],"*"&amp;'Palabra no opera'!$A$2&amp;"*"))</f>
        <v>0</v>
      </c>
    </row>
    <row r="414" spans="1:26" ht="22.35" customHeight="1" x14ac:dyDescent="0.25">
      <c r="A414" s="227" t="str">
        <f>+IF(PROVEEDORES[[#This Row],[FECHA DE PAGO]]=PROVEEDORES[[#This Row],[FECHA DE FACTURACIÓN]],"DE CONTADO","CRÉDITO")</f>
        <v>CRÉDITO</v>
      </c>
      <c r="B414" s="38" t="b">
        <f>+IF((PROVEEDORES[[#This Row],[FECHA DE PAGO]]-PROVEEDORES[[#This Row],[FECHA DE FACTURACIÓN]])&gt;PROVEEDORES[[#This Row],[PLAZO Días]],"PAGO VENCIDO")</f>
        <v>0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840000</v>
      </c>
      <c r="E414" s="25"/>
      <c r="F414" s="56">
        <f>+VLOOKUP(PROVEEDORES[[#This Row],[PROVEEDOR]],
                       Terceros!$A:$F,
                       5,
                       FALSE)</f>
        <v>0</v>
      </c>
      <c r="G414" s="289">
        <v>45170</v>
      </c>
      <c r="H414" s="26" t="s">
        <v>318</v>
      </c>
      <c r="I414" s="289">
        <v>45161</v>
      </c>
      <c r="J414" s="35">
        <v>396</v>
      </c>
      <c r="K414" s="21">
        <v>756000</v>
      </c>
      <c r="L414" s="21"/>
      <c r="M414" s="22">
        <f>(PROVEEDORES[[#This Row],[SUBTOTAL]]-PROVEEDORES[[#This Row],[descuento sobre subtotal]])*VLOOKUP(PROVEEDORES[[#This Row],[PROVEEDOR]],TERCEROS_INFO[#All],3,FALSE)</f>
        <v>0</v>
      </c>
      <c r="N414" s="23"/>
      <c r="O414" s="22">
        <f>+PROVEEDORES[[#This Row],[Descuento sobre subtotal %]]*(PROVEEDORES[[#This Row],[SUBTOTAL]]-PROVEEDORES[[#This Row],[descuento sobre subtotal]])</f>
        <v>0</v>
      </c>
      <c r="P414" s="72">
        <f>+IF(PROVEEDORES[[#This Row],[SUBTOTAL]]&lt;PROVEEDORES[[#This Row],[base retencion]],0,PROVEEDORES[[#This Row],[retención aplicada]])</f>
        <v>0</v>
      </c>
      <c r="Q414" s="22">
        <f>+PROVEEDORES[[#This Row],[Rete Fuente %]]*(PROVEEDORES[[#This Row],[SUBTOTAL]]-PROVEEDORES[[#This Row],[descuento sobre subtotal]])</f>
        <v>0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756000</v>
      </c>
      <c r="S414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1">
        <f ca="1">IF(PROVEEDORES[[#This Row],[FECHA DE PAGO]]=0,TODAY()-PROVEEDORES[[#This Row],[FECHA DE FACTURACIÓN]]-PROVEEDORES[[#This Row],[PLAZO Días]],0)</f>
        <v>0</v>
      </c>
      <c r="U414" s="97">
        <f>+VLOOKUP(PROVEEDORES[[#This Row],[PROVEEDOR]],Terceros!$A:$D,4,FALSE)</f>
        <v>0</v>
      </c>
      <c r="V414" s="98">
        <f>+YEAR(PROVEEDORES[[#This Row],[FECHA DE FACTURACIÓN]])</f>
        <v>2023</v>
      </c>
      <c r="W414" s="98">
        <f>+MATCH(PROVEEDORES[[#This Row],[año facturado]],Retenciones!$1:$1,0)</f>
        <v>6</v>
      </c>
      <c r="X414" s="99">
        <f>+VLOOKUP(PROVEEDORES[[#This Row],[ID RETENCION]],Retenciones!$A$1:$O$25,PROVEEDORES[[#This Row],[indicador de columna]],FALSE)</f>
        <v>0</v>
      </c>
      <c r="Y414" s="100">
        <f>+VLOOKUP(PROVEEDORES[[#This Row],[ID RETENCION]],Retenciones!$A$1:$O$25,2,FALSE)</f>
        <v>0</v>
      </c>
      <c r="Z414" s="103" t="b">
        <f>OR(COUNTIF(PROVEEDORES[[#This Row],[PROVEEDOR]],"*"&amp;'Palabra no opera'!$A$2&amp;"*"))</f>
        <v>0</v>
      </c>
    </row>
    <row r="415" spans="1:26" ht="22.35" customHeight="1" x14ac:dyDescent="0.25">
      <c r="A415" s="243" t="str">
        <f>+IF(PROVEEDORES[[#This Row],[FECHA DE PAGO]]=PROVEEDORES[[#This Row],[FECHA DE FACTURACIÓN]],"DE CONTADO","CRÉDITO")</f>
        <v>CRÉDITO</v>
      </c>
      <c r="B415" s="38" t="b">
        <f>+IF((PROVEEDORES[[#This Row],[FECHA DE PAGO]]-PROVEEDORES[[#This Row],[FECHA DE FACTURACIÓN]])&gt;PROVEEDORES[[#This Row],[PLAZO Días]],"PAGO VENCIDO")</f>
        <v>0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840000</v>
      </c>
      <c r="E415" s="25"/>
      <c r="F415" s="56">
        <f>+VLOOKUP(PROVEEDORES[[#This Row],[PROVEEDOR]],
                       Terceros!$A:$F,
                       5,
                       FALSE)</f>
        <v>0</v>
      </c>
      <c r="G415" s="289">
        <v>45207</v>
      </c>
      <c r="H415" s="26" t="s">
        <v>318</v>
      </c>
      <c r="I415" s="289">
        <v>45191</v>
      </c>
      <c r="J415" s="35" t="s">
        <v>1157</v>
      </c>
      <c r="K415" s="21">
        <v>546000</v>
      </c>
      <c r="L415" s="21"/>
      <c r="M415" s="22">
        <f>(PROVEEDORES[[#This Row],[SUBTOTAL]]-PROVEEDORES[[#This Row],[descuento sobre subtotal]])*VLOOKUP(PROVEEDORES[[#This Row],[PROVEEDOR]],TERCEROS_INFO[#All],3,FALSE)</f>
        <v>0</v>
      </c>
      <c r="N415" s="23"/>
      <c r="O415" s="22">
        <f>+PROVEEDORES[[#This Row],[Descuento sobre subtotal %]]*(PROVEEDORES[[#This Row],[SUBTOTAL]]-PROVEEDORES[[#This Row],[descuento sobre subtotal]])</f>
        <v>0</v>
      </c>
      <c r="P415" s="72">
        <f>+IF(PROVEEDORES[[#This Row],[SUBTOTAL]]&lt;PROVEEDORES[[#This Row],[base retencion]],0,PROVEEDORES[[#This Row],[retención aplicada]])</f>
        <v>0</v>
      </c>
      <c r="Q415" s="22">
        <f>+PROVEEDORES[[#This Row],[Rete Fuente %]]*(PROVEEDORES[[#This Row],[SUBTOTAL]]-PROVEEDORES[[#This Row],[descuento sobre subtotal]])</f>
        <v>0</v>
      </c>
      <c r="R415" s="21">
        <f>+PROVEEDORES[[#This Row],[SUBTOTAL]]+PROVEEDORES[[#This Row],[IVA 19%]]-PROVEEDORES[[#This Row],[descuento sobre subtotal]]-PROVEEDORES[[#This Row],[Descuento sobre subtotal $2]]-PROVEEDORES[[#This Row],[Rete Fuente $]]</f>
        <v>546000</v>
      </c>
      <c r="S41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1">
        <f ca="1">IF(PROVEEDORES[[#This Row],[FECHA DE PAGO]]=0,TODAY()-PROVEEDORES[[#This Row],[FECHA DE FACTURACIÓN]]-PROVEEDORES[[#This Row],[PLAZO Días]],0)</f>
        <v>0</v>
      </c>
      <c r="U415" s="97">
        <f>+VLOOKUP(PROVEEDORES[[#This Row],[PROVEEDOR]],Terceros!$A:$D,4,FALSE)</f>
        <v>0</v>
      </c>
      <c r="V415" s="98">
        <f>+YEAR(PROVEEDORES[[#This Row],[FECHA DE FACTURACIÓN]])</f>
        <v>2023</v>
      </c>
      <c r="W415" s="98">
        <f>+MATCH(PROVEEDORES[[#This Row],[año facturado]],Retenciones!$1:$1,0)</f>
        <v>6</v>
      </c>
      <c r="X415" s="99">
        <f>+VLOOKUP(PROVEEDORES[[#This Row],[ID RETENCION]],Retenciones!$A$1:$O$25,PROVEEDORES[[#This Row],[indicador de columna]],FALSE)</f>
        <v>0</v>
      </c>
      <c r="Y415" s="100">
        <f>+VLOOKUP(PROVEEDORES[[#This Row],[ID RETENCION]],Retenciones!$A$1:$O$25,2,FALSE)</f>
        <v>0</v>
      </c>
      <c r="Z415" s="103" t="b">
        <f>OR(COUNTIF(PROVEEDORES[[#This Row],[PROVEEDOR]],"*"&amp;'Palabra no opera'!$A$2&amp;"*"))</f>
        <v>0</v>
      </c>
    </row>
    <row r="416" spans="1:26" ht="22.35" customHeight="1" x14ac:dyDescent="0.25">
      <c r="A416" s="65" t="str">
        <f>+IF(PROVEEDORES[[#This Row],[FECHA DE PAGO]]=PROVEEDORES[[#This Row],[FECHA DE FACTURACIÓN]],"DE CONTADO","CRÉDITO")</f>
        <v>CRÉDITO</v>
      </c>
      <c r="B416" s="38" t="b">
        <f>+IF((PROVEEDORES[[#This Row],[FECHA DE PAGO]]-PROVEEDORES[[#This Row],[FECHA DE FACTURACIÓN]])&gt;PROVEEDORES[[#This Row],[PLAZO Días]],"PAGO VENCIDO")</f>
        <v>0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840000</v>
      </c>
      <c r="E416" s="25"/>
      <c r="F416" s="56">
        <f>+VLOOKUP(PROVEEDORES[[#This Row],[PROVEEDOR]],
                       Terceros!$A:$F,
                       5,
                       FALSE)</f>
        <v>0</v>
      </c>
      <c r="G416" s="289">
        <v>45240</v>
      </c>
      <c r="H416" s="26" t="s">
        <v>318</v>
      </c>
      <c r="I416" s="289">
        <v>45231</v>
      </c>
      <c r="J416" s="35" t="s">
        <v>1284</v>
      </c>
      <c r="K416" s="21">
        <v>1128000</v>
      </c>
      <c r="L416" s="21"/>
      <c r="M416" s="22">
        <f>(PROVEEDORES[[#This Row],[SUBTOTAL]]-PROVEEDORES[[#This Row],[descuento sobre subtotal]])*VLOOKUP(PROVEEDORES[[#This Row],[PROVEEDOR]],TERCEROS_INFO[#All],3,FALSE)</f>
        <v>0</v>
      </c>
      <c r="N416" s="23"/>
      <c r="O416" s="22">
        <f>+PROVEEDORES[[#This Row],[Descuento sobre subtotal %]]*(PROVEEDORES[[#This Row],[SUBTOTAL]]-PROVEEDORES[[#This Row],[descuento sobre subtotal]])</f>
        <v>0</v>
      </c>
      <c r="P416" s="72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f>+PROVEEDORES[[#This Row],[SUBTOTAL]]+PROVEEDORES[[#This Row],[IVA 19%]]-PROVEEDORES[[#This Row],[descuento sobre subtotal]]-PROVEEDORES[[#This Row],[Descuento sobre subtotal $2]]-PROVEEDORES[[#This Row],[Rete Fuente $]]</f>
        <v>1128000</v>
      </c>
      <c r="S41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1">
        <f ca="1">IF(PROVEEDORES[[#This Row],[FECHA DE PAGO]]=0,TODAY()-PROVEEDORES[[#This Row],[FECHA DE FACTURACIÓN]]-PROVEEDORES[[#This Row],[PLAZO Días]],0)</f>
        <v>0</v>
      </c>
      <c r="U416" s="97">
        <f>+VLOOKUP(PROVEEDORES[[#This Row],[PROVEEDOR]],Terceros!$A:$D,4,FALSE)</f>
        <v>0</v>
      </c>
      <c r="V416" s="98">
        <f>+YEAR(PROVEEDORES[[#This Row],[FECHA DE FACTURACIÓN]])</f>
        <v>2023</v>
      </c>
      <c r="W416" s="98">
        <f>+MATCH(PROVEEDORES[[#This Row],[año facturado]],Retenciones!$1:$1,0)</f>
        <v>6</v>
      </c>
      <c r="X416" s="99">
        <f>+VLOOKUP(PROVEEDORES[[#This Row],[ID RETENCION]],Retenciones!$A$1:$O$25,PROVEEDORES[[#This Row],[indicador de columna]],FALSE)</f>
        <v>0</v>
      </c>
      <c r="Y416" s="100">
        <f>+VLOOKUP(PROVEEDORES[[#This Row],[ID RETENCION]],Retenciones!$A$1:$O$25,2,FALSE)</f>
        <v>0</v>
      </c>
      <c r="Z416" s="103" t="b">
        <f>OR(COUNTIF(PROVEEDORES[[#This Row],[PROVEEDOR]],"*"&amp;'Palabra no opera'!$A$2&amp;"*"))</f>
        <v>0</v>
      </c>
    </row>
    <row r="417" spans="1:26" ht="22.35" customHeight="1" x14ac:dyDescent="0.25">
      <c r="A417" s="65" t="str">
        <f>+IF(PROVEEDORES[[#This Row],[FECHA DE PAGO]]=PROVEEDORES[[#This Row],[FECHA DE FACTURACIÓN]],"DE CONTADO","CRÉDITO")</f>
        <v>CRÉDITO</v>
      </c>
      <c r="B417" s="38" t="str">
        <f>+IF((PROVEEDORES[[#This Row],[FECHA DE PAGO]]-PROVEEDORES[[#This Row],[FECHA DE FACTURACIÓN]])&gt;PROVEEDORES[[#This Row],[PLAZO Días]],"PAGO VENCIDO")</f>
        <v>PAGO VENCIDO</v>
      </c>
      <c r="C417" s="20">
        <f>+VLOOKUP(PROVEEDORES[[#This Row],[PROVEEDOR]],TERCEROS_INFO[#All],2,FALSE)</f>
        <v>30</v>
      </c>
      <c r="D417" s="25">
        <f>+SUMIFS(PROVEEDORES[Total],PROVEEDORES[PROVEEDOR],PROVEEDORES[[#This Row],[PROVEEDOR]],PROVEEDORES[FECHA DE PAGO],"")</f>
        <v>840000</v>
      </c>
      <c r="E417" s="25"/>
      <c r="F417" s="56">
        <f>+VLOOKUP(PROVEEDORES[[#This Row],[PROVEEDOR]],
                       Terceros!$A:$F,
                       5,
                       FALSE)</f>
        <v>0</v>
      </c>
      <c r="G417" s="289">
        <v>45294</v>
      </c>
      <c r="H417" s="26" t="s">
        <v>318</v>
      </c>
      <c r="I417" s="289">
        <v>45261</v>
      </c>
      <c r="J417" s="35" t="s">
        <v>1434</v>
      </c>
      <c r="K417" s="21">
        <v>1386600</v>
      </c>
      <c r="L417" s="21"/>
      <c r="M417" s="22">
        <f>(PROVEEDORES[[#This Row],[SUBTOTAL]]-PROVEEDORES[[#This Row],[descuento sobre subtotal]])*VLOOKUP(PROVEEDORES[[#This Row],[PROVEEDOR]],TERCEROS_INFO[#All],3,FALSE)</f>
        <v>0</v>
      </c>
      <c r="N417" s="23"/>
      <c r="O417" s="22">
        <f>+PROVEEDORES[[#This Row],[Descuento sobre subtotal %]]*(PROVEEDORES[[#This Row],[SUBTOTAL]]-PROVEEDORES[[#This Row],[descuento sobre subtotal]])</f>
        <v>0</v>
      </c>
      <c r="P417" s="72">
        <f>+IF(PROVEEDORES[[#This Row],[SUBTOTAL]]&lt;PROVEEDORES[[#This Row],[base retencion]],0,PROVEEDORES[[#This Row],[retención aplicada]])</f>
        <v>0</v>
      </c>
      <c r="Q417" s="22">
        <f>+PROVEEDORES[[#This Row],[Rete Fuente %]]*(PROVEEDORES[[#This Row],[SUBTOTAL]]-PROVEEDORES[[#This Row],[descuento sobre subtotal]])</f>
        <v>0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1386600</v>
      </c>
      <c r="S41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1">
        <f ca="1">IF(PROVEEDORES[[#This Row],[FECHA DE PAGO]]=0,TODAY()-PROVEEDORES[[#This Row],[FECHA DE FACTURACIÓN]]-PROVEEDORES[[#This Row],[PLAZO Días]],0)</f>
        <v>0</v>
      </c>
      <c r="U417" s="97">
        <f>+VLOOKUP(PROVEEDORES[[#This Row],[PROVEEDOR]],Terceros!$A:$D,4,FALSE)</f>
        <v>0</v>
      </c>
      <c r="V417" s="98">
        <f>+YEAR(PROVEEDORES[[#This Row],[FECHA DE FACTURACIÓN]])</f>
        <v>2023</v>
      </c>
      <c r="W417" s="98">
        <f>+MATCH(PROVEEDORES[[#This Row],[año facturado]],Retenciones!$1:$1,0)</f>
        <v>6</v>
      </c>
      <c r="X417" s="99">
        <f>+VLOOKUP(PROVEEDORES[[#This Row],[ID RETENCION]],Retenciones!$A$1:$O$25,PROVEEDORES[[#This Row],[indicador de columna]],FALSE)</f>
        <v>0</v>
      </c>
      <c r="Y417" s="100">
        <f>+VLOOKUP(PROVEEDORES[[#This Row],[ID RETENCION]],Retenciones!$A$1:$O$25,2,FALSE)</f>
        <v>0</v>
      </c>
      <c r="Z417" s="103" t="b">
        <f>OR(COUNTIF(PROVEEDORES[[#This Row],[PROVEEDOR]],"*"&amp;'Palabra no opera'!$A$2&amp;"*"))</f>
        <v>0</v>
      </c>
    </row>
    <row r="418" spans="1:26" ht="22.35" customHeight="1" x14ac:dyDescent="0.25">
      <c r="A418" s="310" t="str">
        <f>+IF(PROVEEDORES[[#This Row],[FECHA DE PAGO]]=PROVEEDORES[[#This Row],[FECHA DE FACTURACIÓN]],"DE CONTADO","CRÉDITO")</f>
        <v>CRÉDITO</v>
      </c>
      <c r="B418" s="38" t="b">
        <f>+IF((PROVEEDORES[[#This Row],[FECHA DE PAGO]]-PROVEEDORES[[#This Row],[FECHA DE FACTURACIÓN]])&gt;PROVEEDORES[[#This Row],[PLAZO Días]],"PAGO VENCIDO")</f>
        <v>0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840000</v>
      </c>
      <c r="E418" s="25"/>
      <c r="F418" s="56">
        <f>+VLOOKUP(PROVEEDORES[[#This Row],[PROVEEDOR]],
                       Terceros!$A:$F,
                       5,
                       FALSE)</f>
        <v>0</v>
      </c>
      <c r="G418" s="289">
        <v>45324</v>
      </c>
      <c r="H418" s="26" t="s">
        <v>318</v>
      </c>
      <c r="I418" s="289">
        <v>45302</v>
      </c>
      <c r="J418" s="35" t="s">
        <v>1501</v>
      </c>
      <c r="K418" s="21">
        <v>492000</v>
      </c>
      <c r="L418" s="21"/>
      <c r="M418" s="22">
        <f>(PROVEEDORES[[#This Row],[SUBTOTAL]]-PROVEEDORES[[#This Row],[descuento sobre subtotal]])*VLOOKUP(PROVEEDORES[[#This Row],[PROVEEDOR]],TERCEROS_INFO[#All],3,FALSE)</f>
        <v>0</v>
      </c>
      <c r="N418" s="23"/>
      <c r="O418" s="22">
        <f>+PROVEEDORES[[#This Row],[Descuento sobre subtotal %]]*(PROVEEDORES[[#This Row],[SUBTOTAL]]-PROVEEDORES[[#This Row],[descuento sobre subtotal]])</f>
        <v>0</v>
      </c>
      <c r="P418" s="72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418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1">
        <f ca="1">IF(PROVEEDORES[[#This Row],[FECHA DE PAGO]]=0,TODAY()-PROVEEDORES[[#This Row],[FECHA DE FACTURACIÓN]]-PROVEEDORES[[#This Row],[PLAZO Días]],0)</f>
        <v>0</v>
      </c>
      <c r="U418" s="97">
        <f>+VLOOKUP(PROVEEDORES[[#This Row],[PROVEEDOR]],Terceros!$A:$D,4,FALSE)</f>
        <v>0</v>
      </c>
      <c r="V418" s="98">
        <f>+YEAR(PROVEEDORES[[#This Row],[FECHA DE FACTURACIÓN]])</f>
        <v>2024</v>
      </c>
      <c r="W418" s="98">
        <f>+MATCH(PROVEEDORES[[#This Row],[año facturado]],Retenciones!$1:$1,0)</f>
        <v>7</v>
      </c>
      <c r="X418" s="99">
        <f>+VLOOKUP(PROVEEDORES[[#This Row],[ID RETENCION]],Retenciones!$A$1:$O$25,PROVEEDORES[[#This Row],[indicador de columna]],FALSE)</f>
        <v>0</v>
      </c>
      <c r="Y418" s="100">
        <f>+VLOOKUP(PROVEEDORES[[#This Row],[ID RETENCION]],Retenciones!$A$1:$O$25,2,FALSE)</f>
        <v>0</v>
      </c>
      <c r="Z418" s="103" t="b">
        <f>OR(COUNTIF(PROVEEDORES[[#This Row],[PROVEEDOR]],"*"&amp;'Palabra no opera'!$A$2&amp;"*"))</f>
        <v>0</v>
      </c>
    </row>
    <row r="419" spans="1:26" ht="22.35" customHeight="1" x14ac:dyDescent="0.25">
      <c r="A419" s="207" t="str">
        <f>+IF(PROVEEDORES[[#This Row],[FECHA DE PAGO]]=PROVEEDORES[[#This Row],[FECHA DE FACTURACIÓN]],"DE CONTADO","CRÉDITO")</f>
        <v>CRÉDITO</v>
      </c>
      <c r="B419" s="38" t="b">
        <f>+IF((PROVEEDORES[[#This Row],[FECHA DE PAGO]]-PROVEEDORES[[#This Row],[FECHA DE FACTURACIÓN]])&gt;PROVEEDORES[[#This Row],[PLAZO Días]],"PAGO VENCIDO")</f>
        <v>0</v>
      </c>
      <c r="C419" s="20">
        <f>+VLOOKUP(PROVEEDORES[[#This Row],[PROVEEDOR]],TERCEROS_INFO[#All],2,FALSE)</f>
        <v>30</v>
      </c>
      <c r="D419" s="25">
        <f>+SUMIFS(PROVEEDORES[Total],PROVEEDORES[PROVEEDOR],PROVEEDORES[[#This Row],[PROVEEDOR]],PROVEEDORES[FECHA DE PAGO],"")</f>
        <v>1110000</v>
      </c>
      <c r="E419" s="25"/>
      <c r="F419" s="56">
        <f>+VLOOKUP(PROVEEDORES[[#This Row],[PROVEEDOR]],
                       Terceros!$A:$F,
                       5,
                       FALSE)</f>
        <v>0</v>
      </c>
      <c r="G419" s="289">
        <v>45108</v>
      </c>
      <c r="H419" s="26" t="s">
        <v>910</v>
      </c>
      <c r="I419" s="289">
        <v>45083</v>
      </c>
      <c r="J419" s="35">
        <v>1340</v>
      </c>
      <c r="K419" s="21">
        <v>910000</v>
      </c>
      <c r="L419" s="21"/>
      <c r="M419" s="22"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72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910000</v>
      </c>
      <c r="S419" s="2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1">
        <f ca="1">IF(PROVEEDORES[[#This Row],[FECHA DE PAGO]]=0,TODAY()-PROVEEDORES[[#This Row],[FECHA DE FACTURACIÓN]]-PROVEEDORES[[#This Row],[PLAZO Días]],0)</f>
        <v>0</v>
      </c>
      <c r="U419" s="97" t="str">
        <f>+VLOOKUP(PROVEEDORES[[#This Row],[PROVEEDOR]],Terceros!$A:$D,4,FALSE)</f>
        <v>2,5% con base</v>
      </c>
      <c r="V419" s="98">
        <f>+YEAR(PROVEEDORES[[#This Row],[FECHA DE FACTURACIÓN]])</f>
        <v>2023</v>
      </c>
      <c r="W419" s="98">
        <f>+MATCH(PROVEEDORES[[#This Row],[año facturado]],Retenciones!$1:$1,0)</f>
        <v>6</v>
      </c>
      <c r="X419" s="99">
        <f>+VLOOKUP(PROVEEDORES[[#This Row],[ID RETENCION]],Retenciones!$A$1:$O$25,PROVEEDORES[[#This Row],[indicador de columna]],FALSE)</f>
        <v>1145000</v>
      </c>
      <c r="Y419" s="100">
        <f>+VLOOKUP(PROVEEDORES[[#This Row],[ID RETENCION]],Retenciones!$A$1:$O$25,2,FALSE)</f>
        <v>2.5000000000000001E-2</v>
      </c>
      <c r="Z419" s="103" t="b">
        <f>OR(COUNTIF(PROVEEDORES[[#This Row],[PROVEEDOR]],"*"&amp;'Palabra no opera'!$A$2&amp;"*"))</f>
        <v>0</v>
      </c>
    </row>
    <row r="420" spans="1:26" ht="22.35" customHeight="1" x14ac:dyDescent="0.25">
      <c r="A420" s="65" t="str">
        <f>+IF(PROVEEDORES[[#This Row],[FECHA DE PAGO]]=PROVEEDORES[[#This Row],[FECHA DE FACTURACIÓN]],"DE CONTADO","CRÉDITO")</f>
        <v>CRÉDITO</v>
      </c>
      <c r="B420" s="38" t="b">
        <f>+IF((PROVEEDORES[[#This Row],[FECHA DE PAGO]]-PROVEEDORES[[#This Row],[FECHA DE FACTURACIÓN]])&gt;PROVEEDORES[[#This Row],[PLAZO Días]],"PAGO VENCIDO")</f>
        <v>0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1110000</v>
      </c>
      <c r="E420" s="25"/>
      <c r="F420" s="56">
        <f>+VLOOKUP(PROVEEDORES[[#This Row],[PROVEEDOR]],
                       Terceros!$A:$F,
                       5,
                       FALSE)</f>
        <v>0</v>
      </c>
      <c r="H420" s="26" t="s">
        <v>910</v>
      </c>
      <c r="I420" s="289">
        <v>45287</v>
      </c>
      <c r="J420" s="35" t="s">
        <v>1435</v>
      </c>
      <c r="K420" s="21">
        <v>1110000</v>
      </c>
      <c r="L420" s="21"/>
      <c r="M420" s="22"/>
      <c r="N420" s="23"/>
      <c r="O420" s="22">
        <f>+PROVEEDORES[[#This Row],[Descuento sobre subtotal %]]*(PROVEEDORES[[#This Row],[SUBTOTAL]]-PROVEEDORES[[#This Row],[descuento sobre subtotal]])</f>
        <v>0</v>
      </c>
      <c r="P420" s="72">
        <f>+IF(PROVEEDORES[[#This Row],[SUBTOTAL]]&lt;PROVEEDORES[[#This Row],[base retencion]],0,PROVEEDORES[[#This Row],[retención aplicada]])</f>
        <v>0</v>
      </c>
      <c r="Q420" s="22">
        <f>+PROVEEDORES[[#This Row],[Rete Fuente %]]*(PROVEEDORES[[#This Row],[SUBTOTAL]]-PROVEEDORES[[#This Row],[descuento sobre subtotal]])</f>
        <v>0</v>
      </c>
      <c r="R420" s="21">
        <f>+PROVEEDORES[[#This Row],[SUBTOTAL]]+PROVEEDORES[[#This Row],[IVA 19%]]-PROVEEDORES[[#This Row],[descuento sobre subtotal]]-PROVEEDORES[[#This Row],[Descuento sobre subtotal $2]]-PROVEEDORES[[#This Row],[Rete Fuente $]]</f>
        <v>1110000</v>
      </c>
      <c r="S420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420" s="61">
        <f ca="1">IF(PROVEEDORES[[#This Row],[FECHA DE PAGO]]=0,TODAY()-PROVEEDORES[[#This Row],[FECHA DE FACTURACIÓN]]-PROVEEDORES[[#This Row],[PLAZO Días]],0)</f>
        <v>11</v>
      </c>
      <c r="U420" s="97" t="str">
        <f>+VLOOKUP(PROVEEDORES[[#This Row],[PROVEEDOR]],Terceros!$A:$D,4,FALSE)</f>
        <v>2,5% con base</v>
      </c>
      <c r="V420" s="98">
        <f>+YEAR(PROVEEDORES[[#This Row],[FECHA DE FACTURACIÓN]])</f>
        <v>2023</v>
      </c>
      <c r="W420" s="98">
        <f>+MATCH(PROVEEDORES[[#This Row],[año facturado]],Retenciones!$1:$1,0)</f>
        <v>6</v>
      </c>
      <c r="X420" s="99">
        <f>+VLOOKUP(PROVEEDORES[[#This Row],[ID RETENCION]],Retenciones!$A$1:$O$25,PROVEEDORES[[#This Row],[indicador de columna]],FALSE)</f>
        <v>1145000</v>
      </c>
      <c r="Y420" s="100">
        <f>+VLOOKUP(PROVEEDORES[[#This Row],[ID RETENCION]],Retenciones!$A$1:$O$25,2,FALSE)</f>
        <v>2.5000000000000001E-2</v>
      </c>
      <c r="Z420" s="103" t="b">
        <f>OR(COUNTIF(PROVEEDORES[[#This Row],[PROVEEDOR]],"*"&amp;'Palabra no opera'!$A$2&amp;"*"))</f>
        <v>0</v>
      </c>
    </row>
    <row r="421" spans="1:26" ht="22.35" customHeight="1" x14ac:dyDescent="0.25">
      <c r="A421" s="65" t="str">
        <f>+IF(PROVEEDORES[[#This Row],[FECHA DE PAGO]]=PROVEEDORES[[#This Row],[FECHA DE FACTURACIÓN]],"DE CONTADO","CRÉDITO")</f>
        <v>CRÉDITO</v>
      </c>
      <c r="B421" s="38" t="b">
        <f>+IF((PROVEEDORES[[#This Row],[FECHA DE PAGO]]-PROVEEDORES[[#This Row],[FECHA DE FACTURACIÓN]])&gt;PROVEEDORES[[#This Row],[PLAZO Días]],"PAGO VENCIDO")</f>
        <v>0</v>
      </c>
      <c r="C421" s="20">
        <f>+VLOOKUP(PROVEEDORES[[#This Row],[PROVEEDOR]],TERCEROS_INFO[#All],2,FALSE)</f>
        <v>30</v>
      </c>
      <c r="D421" s="25">
        <f>+SUMIFS(PROVEEDORES[Total],PROVEEDORES[PROVEEDOR],PROVEEDORES[[#This Row],[PROVEEDOR]],PROVEEDORES[FECHA DE PAGO],"")</f>
        <v>0</v>
      </c>
      <c r="E421" s="25"/>
      <c r="F421" s="56" t="str">
        <f>+VLOOKUP(PROVEEDORES[[#This Row],[PROVEEDOR]],
                       Terceros!$A:$F,
                       5,
                       FALSE)</f>
        <v>cartera@aerosan.com;girlesa.ruiz@servipilas.com;joriescobar64@gmail.com</v>
      </c>
      <c r="G421" s="289">
        <v>45085</v>
      </c>
      <c r="H421" s="26" t="s">
        <v>56</v>
      </c>
      <c r="I421" s="289">
        <v>45084</v>
      </c>
      <c r="J421" s="35" t="s">
        <v>865</v>
      </c>
      <c r="K421" s="21">
        <v>347585</v>
      </c>
      <c r="L421" s="21"/>
      <c r="M421" s="22">
        <v>19181</v>
      </c>
      <c r="N421" s="23"/>
      <c r="O421" s="22">
        <f>+PROVEEDORES[[#This Row],[Descuento sobre subtotal %]]*(PROVEEDORES[[#This Row],[SUBTOTAL]]-PROVEEDORES[[#This Row],[descuento sobre subtotal]])</f>
        <v>0</v>
      </c>
      <c r="P421" s="72">
        <f>+IF(PROVEEDORES[[#This Row],[SUBTOTAL]]&lt;PROVEEDORES[[#This Row],[base retencion]],0,PROVEEDORES[[#This Row],[retención aplicada]])</f>
        <v>0</v>
      </c>
      <c r="Q421" s="22">
        <f>+PROVEEDORES[[#This Row],[Rete Fuente %]]*(PROVEEDORES[[#This Row],[SUBTOTAL]]-PROVEEDORES[[#This Row],[descuento sobre subtotal]])</f>
        <v>0</v>
      </c>
      <c r="R421" s="21">
        <f>+PROVEEDORES[[#This Row],[SUBTOTAL]]+PROVEEDORES[[#This Row],[IVA 19%]]-PROVEEDORES[[#This Row],[descuento sobre subtotal]]-PROVEEDORES[[#This Row],[Descuento sobre subtotal $2]]-PROVEEDORES[[#This Row],[Rete Fuente $]]</f>
        <v>366766</v>
      </c>
      <c r="S4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1">
        <f ca="1">IF(PROVEEDORES[[#This Row],[FECHA DE PAGO]]=0,TODAY()-PROVEEDORES[[#This Row],[FECHA DE FACTURACIÓN]]-PROVEEDORES[[#This Row],[PLAZO Días]],0)</f>
        <v>0</v>
      </c>
      <c r="U421" s="97">
        <f>+VLOOKUP(PROVEEDORES[[#This Row],[PROVEEDOR]],Terceros!$A:$D,4,FALSE)</f>
        <v>0</v>
      </c>
      <c r="V421" s="98">
        <f>+YEAR(PROVEEDORES[[#This Row],[FECHA DE FACTURACIÓN]])</f>
        <v>2023</v>
      </c>
      <c r="W421" s="98">
        <f>+MATCH(PROVEEDORES[[#This Row],[año facturado]],Retenciones!$1:$1,0)</f>
        <v>6</v>
      </c>
      <c r="X421" s="99">
        <f>+VLOOKUP(PROVEEDORES[[#This Row],[ID RETENCION]],Retenciones!$A$1:$O$25,PROVEEDORES[[#This Row],[indicador de columna]],FALSE)</f>
        <v>0</v>
      </c>
      <c r="Y421" s="100">
        <f>+VLOOKUP(PROVEEDORES[[#This Row],[ID RETENCION]],Retenciones!$A$1:$O$25,2,FALSE)</f>
        <v>0</v>
      </c>
      <c r="Z421" s="103" t="b">
        <f>OR(COUNTIF(PROVEEDORES[[#This Row],[PROVEEDOR]],"*"&amp;'Palabra no opera'!$A$2&amp;"*"))</f>
        <v>0</v>
      </c>
    </row>
    <row r="422" spans="1:26" ht="22.35" customHeight="1" x14ac:dyDescent="0.25">
      <c r="A422" s="192" t="str">
        <f>+IF(PROVEEDORES[[#This Row],[FECHA DE PAGO]]=PROVEEDORES[[#This Row],[FECHA DE FACTURACIÓN]],"DE CONTADO","CRÉDITO")</f>
        <v>DE CONTADO</v>
      </c>
      <c r="B422" s="38" t="b">
        <f>+IF((PROVEEDORES[[#This Row],[FECHA DE PAGO]]-PROVEEDORES[[#This Row],[FECHA DE FACTURACIÓN]])&gt;PROVEEDORES[[#This Row],[PLAZO Días]],"PAGO VENCIDO")</f>
        <v>0</v>
      </c>
      <c r="C422" s="20">
        <f>+VLOOKUP(PROVEEDORES[[#This Row],[PROVEEDOR]],TERCEROS_INFO[#All],2,FALSE)</f>
        <v>30</v>
      </c>
      <c r="D422" s="25">
        <f>+SUMIFS(PROVEEDORES[Total],PROVEEDORES[PROVEEDOR],PROVEEDORES[[#This Row],[PROVEEDOR]],PROVEEDORES[FECHA DE PAGO],"")</f>
        <v>0</v>
      </c>
      <c r="E422" s="25"/>
      <c r="F422" s="56">
        <f>+VLOOKUP(PROVEEDORES[[#This Row],[PROVEEDOR]],
                       Terceros!$A:$F,
                       5,
                       FALSE)</f>
        <v>0</v>
      </c>
      <c r="G422" s="289">
        <v>45029</v>
      </c>
      <c r="H422" s="26" t="s">
        <v>185</v>
      </c>
      <c r="I422" s="289">
        <v>45029</v>
      </c>
      <c r="J422" s="35" t="s">
        <v>777</v>
      </c>
      <c r="K422" s="21">
        <v>175456</v>
      </c>
      <c r="L422" s="21"/>
      <c r="M422" s="22">
        <f>(PROVEEDORES[[#This Row],[SUBTOTAL]]-PROVEEDORES[[#This Row],[descuento sobre subtotal]])*VLOOKUP(PROVEEDORES[[#This Row],[PROVEEDOR]],TERCEROS_INFO[#All],3,FALSE)</f>
        <v>33336.639999999999</v>
      </c>
      <c r="N422" s="23"/>
      <c r="O422" s="22">
        <f>+PROVEEDORES[[#This Row],[Descuento sobre subtotal %]]*(PROVEEDORES[[#This Row],[SUBTOTAL]]-PROVEEDORES[[#This Row],[descuento sobre subtotal]])</f>
        <v>0</v>
      </c>
      <c r="P422" s="72">
        <f>+IF(PROVEEDORES[[#This Row],[SUBTOTAL]]&lt;PROVEEDORES[[#This Row],[base retencion]],0,PROVEEDORES[[#This Row],[retención aplicada]])</f>
        <v>0</v>
      </c>
      <c r="Q422" s="22">
        <f>+PROVEEDORES[[#This Row],[Rete Fuente %]]*(PROVEEDORES[[#This Row],[SUBTOTAL]]-PROVEEDORES[[#This Row],[descuento sobre subtotal]])</f>
        <v>0</v>
      </c>
      <c r="R422" s="21">
        <f>+PROVEEDORES[[#This Row],[SUBTOTAL]]+PROVEEDORES[[#This Row],[IVA 19%]]-PROVEEDORES[[#This Row],[descuento sobre subtotal]]-PROVEEDORES[[#This Row],[Descuento sobre subtotal $2]]-PROVEEDORES[[#This Row],[Rete Fuente $]]</f>
        <v>208792.64</v>
      </c>
      <c r="S42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1">
        <f ca="1">IF(PROVEEDORES[[#This Row],[FECHA DE PAGO]]=0,TODAY()-PROVEEDORES[[#This Row],[FECHA DE FACTURACIÓN]]-PROVEEDORES[[#This Row],[PLAZO Días]],0)</f>
        <v>0</v>
      </c>
      <c r="U422" s="97" t="str">
        <f>+VLOOKUP(PROVEEDORES[[#This Row],[PROVEEDOR]],Terceros!$A:$D,4,FALSE)</f>
        <v>2,5% con base</v>
      </c>
      <c r="V422" s="98">
        <f>+YEAR(PROVEEDORES[[#This Row],[FECHA DE FACTURACIÓN]])</f>
        <v>2023</v>
      </c>
      <c r="W422" s="98">
        <f>+MATCH(PROVEEDORES[[#This Row],[año facturado]],Retenciones!$1:$1,0)</f>
        <v>6</v>
      </c>
      <c r="X422" s="99">
        <f>+VLOOKUP(PROVEEDORES[[#This Row],[ID RETENCION]],Retenciones!$A$1:$O$25,PROVEEDORES[[#This Row],[indicador de columna]],FALSE)</f>
        <v>1145000</v>
      </c>
      <c r="Y422" s="100">
        <f>+VLOOKUP(PROVEEDORES[[#This Row],[ID RETENCION]],Retenciones!$A$1:$O$25,2,FALSE)</f>
        <v>2.5000000000000001E-2</v>
      </c>
      <c r="Z422" s="103" t="b">
        <f>OR(COUNTIF(PROVEEDORES[[#This Row],[PROVEEDOR]],"*"&amp;'Palabra no opera'!$A$2&amp;"*"))</f>
        <v>0</v>
      </c>
    </row>
    <row r="423" spans="1:26" ht="22.35" customHeight="1" x14ac:dyDescent="0.25">
      <c r="A423" s="256" t="str">
        <f>+IF(PROVEEDORES[[#This Row],[FECHA DE PAGO]]=PROVEEDORES[[#This Row],[FECHA DE FACTURACIÓN]],"DE CONTADO","CRÉDITO")</f>
        <v>CRÉDITO</v>
      </c>
      <c r="B423" s="38" t="str">
        <f>+IF((PROVEEDORES[[#This Row],[FECHA DE PAGO]]-PROVEEDORES[[#This Row],[FECHA DE FACTURACIÓN]])&gt;PROVEEDORES[[#This Row],[PLAZO Días]],"PAGO VENCIDO")</f>
        <v>PAGO VENCIDO</v>
      </c>
      <c r="C423" s="20">
        <f>+VLOOKUP(PROVEEDORES[[#This Row],[PROVEEDOR]],TERCEROS_INFO[#All],2,FALSE)</f>
        <v>30</v>
      </c>
      <c r="D423" s="25">
        <f>+SUMIFS(PROVEEDORES[Total],PROVEEDORES[PROVEEDOR],PROVEEDORES[[#This Row],[PROVEEDOR]],PROVEEDORES[FECHA DE PAGO],"")</f>
        <v>0</v>
      </c>
      <c r="E423" s="25"/>
      <c r="F423" s="56" t="str">
        <f>+VLOOKUP(PROVEEDORES[[#This Row],[PROVEEDOR]],
                       Terceros!$A:$F,
                       5,
                       FALSE)</f>
        <v>g_tech_group@outlook.es</v>
      </c>
      <c r="G423" s="289">
        <v>45267</v>
      </c>
      <c r="H423" s="26" t="s">
        <v>1265</v>
      </c>
      <c r="I423" s="289">
        <v>45232</v>
      </c>
      <c r="J423" s="35" t="s">
        <v>1269</v>
      </c>
      <c r="K423" s="21">
        <v>1089076</v>
      </c>
      <c r="L423" s="21"/>
      <c r="M423" s="22">
        <f>(PROVEEDORES[[#This Row],[SUBTOTAL]]-PROVEEDORES[[#This Row],[descuento sobre subtotal]])*VLOOKUP(PROVEEDORES[[#This Row],[PROVEEDOR]],TERCEROS_INFO[#All],3,FALSE)</f>
        <v>206924.44</v>
      </c>
      <c r="N423" s="23"/>
      <c r="O423" s="22">
        <f>+PROVEEDORES[[#This Row],[Descuento sobre subtotal %]]*(PROVEEDORES[[#This Row],[SUBTOTAL]]-PROVEEDORES[[#This Row],[descuento sobre subtotal]])</f>
        <v>0</v>
      </c>
      <c r="P423" s="72">
        <f>+IF(PROVEEDORES[[#This Row],[SUBTOTAL]]&lt;PROVEEDORES[[#This Row],[base retencion]],0,PROVEEDORES[[#This Row],[retención aplicada]])</f>
        <v>0</v>
      </c>
      <c r="Q423" s="22">
        <f>+PROVEEDORES[[#This Row],[Rete Fuente %]]*(PROVEEDORES[[#This Row],[SUBTOTAL]]-PROVEEDORES[[#This Row],[descuento sobre subtotal]])</f>
        <v>0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1296000.44</v>
      </c>
      <c r="S423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1">
        <f ca="1">IF(PROVEEDORES[[#This Row],[FECHA DE PAGO]]=0,TODAY()-PROVEEDORES[[#This Row],[FECHA DE FACTURACIÓN]]-PROVEEDORES[[#This Row],[PLAZO Días]],0)</f>
        <v>0</v>
      </c>
      <c r="U423" s="97" t="str">
        <f>+VLOOKUP(PROVEEDORES[[#This Row],[PROVEEDOR]],Terceros!$A:$D,4,FALSE)</f>
        <v>2,5% con base</v>
      </c>
      <c r="V423" s="98">
        <f>+YEAR(PROVEEDORES[[#This Row],[FECHA DE FACTURACIÓN]])</f>
        <v>2023</v>
      </c>
      <c r="W423" s="98">
        <f>+MATCH(PROVEEDORES[[#This Row],[año facturado]],Retenciones!$1:$1,0)</f>
        <v>6</v>
      </c>
      <c r="X423" s="99">
        <f>+VLOOKUP(PROVEEDORES[[#This Row],[ID RETENCION]],Retenciones!$A$1:$O$25,PROVEEDORES[[#This Row],[indicador de columna]],FALSE)</f>
        <v>1145000</v>
      </c>
      <c r="Y423" s="100">
        <f>+VLOOKUP(PROVEEDORES[[#This Row],[ID RETENCION]],Retenciones!$A$1:$O$25,2,FALSE)</f>
        <v>2.5000000000000001E-2</v>
      </c>
      <c r="Z423" s="103" t="b">
        <f>OR(COUNTIF(PROVEEDORES[[#This Row],[PROVEEDOR]],"*"&amp;'Palabra no opera'!$A$2&amp;"*"))</f>
        <v>0</v>
      </c>
    </row>
    <row r="424" spans="1:26" ht="22.35" customHeight="1" x14ac:dyDescent="0.25">
      <c r="A424" s="151" t="str">
        <f>+IF(PROVEEDORES[[#This Row],[FECHA DE PAGO]]=PROVEEDORES[[#This Row],[FECHA DE FACTURACIÓN]],"DE CONTADO","CRÉDITO")</f>
        <v>CRÉDITO</v>
      </c>
      <c r="B424" s="38" t="str">
        <f>+IF((PROVEEDORES[[#This Row],[FECHA DE PAGO]]-PROVEEDORES[[#This Row],[FECHA DE FACTURACIÓN]])&gt;PROVEEDORES[[#This Row],[PLAZO Días]],"PAGO VENCIDO")</f>
        <v>PAGO VENCIDO</v>
      </c>
      <c r="C424" s="20">
        <f>+VLOOKUP(PROVEEDORES[[#This Row],[PROVEEDOR]],TERCEROS_INFO[#All],2,FALSE)</f>
        <v>30</v>
      </c>
      <c r="D424" s="25">
        <f>+SUMIFS(PROVEEDORES[Total],PROVEEDORES[PROVEEDOR],PROVEEDORES[[#This Row],[PROVEEDOR]],PROVEEDORES[FECHA DE PAGO],"")</f>
        <v>5134830.96</v>
      </c>
      <c r="E424" s="25"/>
      <c r="F424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4" s="289">
        <v>44999</v>
      </c>
      <c r="H424" s="26" t="s">
        <v>20</v>
      </c>
      <c r="I424" s="289">
        <v>44958</v>
      </c>
      <c r="J424" s="35" t="s">
        <v>597</v>
      </c>
      <c r="K424" s="21">
        <v>1955960</v>
      </c>
      <c r="L424" s="21"/>
      <c r="M424" s="22">
        <f>(PROVEEDORES[[#This Row],[SUBTOTAL]]-PROVEEDORES[[#This Row],[descuento sobre subtotal]])*VLOOKUP(PROVEEDORES[[#This Row],[PROVEEDOR]],TERCEROS_INFO[#All],3,FALSE)</f>
        <v>371632.4</v>
      </c>
      <c r="N424" s="23"/>
      <c r="O424" s="22">
        <f>+PROVEEDORES[[#This Row],[Descuento sobre subtotal %]]*(PROVEEDORES[[#This Row],[SUBTOTAL]]-PROVEEDORES[[#This Row],[descuento sobre subtotal]])</f>
        <v>0</v>
      </c>
      <c r="P424" s="72">
        <f>+IF(PROVEEDORES[[#This Row],[SUBTOTAL]]&lt;PROVEEDORES[[#This Row],[base retencion]],0,PROVEEDORES[[#This Row],[retención aplicada]])</f>
        <v>2.5000000000000001E-2</v>
      </c>
      <c r="Q424" s="22">
        <f>+PROVEEDORES[[#This Row],[Rete Fuente %]]*(PROVEEDORES[[#This Row],[SUBTOTAL]]-PROVEEDORES[[#This Row],[descuento sobre subtotal]])</f>
        <v>48899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2278693.4</v>
      </c>
      <c r="S424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1">
        <f ca="1">IF(PROVEEDORES[[#This Row],[FECHA DE PAGO]]=0,TODAY()-PROVEEDORES[[#This Row],[FECHA DE FACTURACIÓN]]-PROVEEDORES[[#This Row],[PLAZO Días]],0)</f>
        <v>0</v>
      </c>
      <c r="U424" s="97" t="str">
        <f>+VLOOKUP(PROVEEDORES[[#This Row],[PROVEEDOR]],Terceros!$A:$D,4,FALSE)</f>
        <v>2,5% con base</v>
      </c>
      <c r="V424" s="98">
        <f>+YEAR(PROVEEDORES[[#This Row],[FECHA DE FACTURACIÓN]])</f>
        <v>2023</v>
      </c>
      <c r="W424" s="98">
        <f>+MATCH(PROVEEDORES[[#This Row],[año facturado]],Retenciones!$1:$1,0)</f>
        <v>6</v>
      </c>
      <c r="X424" s="99">
        <f>+VLOOKUP(PROVEEDORES[[#This Row],[ID RETENCION]],Retenciones!$A$1:$O$25,PROVEEDORES[[#This Row],[indicador de columna]],FALSE)</f>
        <v>1145000</v>
      </c>
      <c r="Y424" s="100">
        <f>+VLOOKUP(PROVEEDORES[[#This Row],[ID RETENCION]],Retenciones!$A$1:$O$25,2,FALSE)</f>
        <v>2.5000000000000001E-2</v>
      </c>
      <c r="Z424" s="103" t="b">
        <f>OR(COUNTIF(PROVEEDORES[[#This Row],[PROVEEDOR]],"*"&amp;'Palabra no opera'!$A$2&amp;"*"))</f>
        <v>0</v>
      </c>
    </row>
    <row r="425" spans="1:26" ht="22.35" customHeight="1" x14ac:dyDescent="0.25">
      <c r="A425" s="65" t="str">
        <f>+IF(PROVEEDORES[[#This Row],[FECHA DE PAGO]]=PROVEEDORES[[#This Row],[FECHA DE FACTURACIÓN]],"DE CONTADO","CRÉDITO")</f>
        <v>CRÉDITO</v>
      </c>
      <c r="B425" s="38" t="str">
        <f>+IF((PROVEEDORES[[#This Row],[FECHA DE PAGO]]-PROVEEDORES[[#This Row],[FECHA DE FACTURACIÓN]])&gt;PROVEEDORES[[#This Row],[PLAZO Días]],"PAGO VENCIDO")</f>
        <v>PAGO VENCIDO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5134830.96</v>
      </c>
      <c r="E425" s="25"/>
      <c r="F42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5" s="289">
        <v>45044</v>
      </c>
      <c r="H425" s="26" t="s">
        <v>20</v>
      </c>
      <c r="I425" s="289">
        <v>44999</v>
      </c>
      <c r="J425" s="35" t="s">
        <v>670</v>
      </c>
      <c r="K425" s="21">
        <v>1312210</v>
      </c>
      <c r="L425" s="21"/>
      <c r="M425" s="22">
        <f>(PROVEEDORES[[#This Row],[SUBTOTAL]]-PROVEEDORES[[#This Row],[descuento sobre subtotal]])*VLOOKUP(PROVEEDORES[[#This Row],[PROVEEDOR]],TERCEROS_INFO[#All],3,FALSE)</f>
        <v>249319.9</v>
      </c>
      <c r="N425" s="23"/>
      <c r="O425" s="22">
        <f>+PROVEEDORES[[#This Row],[Descuento sobre subtotal %]]*(PROVEEDORES[[#This Row],[SUBTOTAL]]-PROVEEDORES[[#This Row],[descuento sobre subtotal]])</f>
        <v>0</v>
      </c>
      <c r="P425" s="72">
        <f>+IF(PROVEEDORES[[#This Row],[SUBTOTAL]]&lt;PROVEEDORES[[#This Row],[base retencion]],0,PROVEEDORES[[#This Row],[retención aplicada]])</f>
        <v>2.5000000000000001E-2</v>
      </c>
      <c r="Q425" s="22">
        <f>+PROVEEDORES[[#This Row],[Rete Fuente %]]*(PROVEEDORES[[#This Row],[SUBTOTAL]]-PROVEEDORES[[#This Row],[descuento sobre subtotal]])</f>
        <v>32805.25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1528724.65</v>
      </c>
      <c r="S4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1">
        <f ca="1">IF(PROVEEDORES[[#This Row],[FECHA DE PAGO]]=0,TODAY()-PROVEEDORES[[#This Row],[FECHA DE FACTURACIÓN]]-PROVEEDORES[[#This Row],[PLAZO Días]],0)</f>
        <v>0</v>
      </c>
      <c r="U425" s="97" t="str">
        <f>+VLOOKUP(PROVEEDORES[[#This Row],[PROVEEDOR]],Terceros!$A:$D,4,FALSE)</f>
        <v>2,5% con base</v>
      </c>
      <c r="V425" s="98">
        <f>+YEAR(PROVEEDORES[[#This Row],[FECHA DE FACTURACIÓN]])</f>
        <v>2023</v>
      </c>
      <c r="W425" s="98">
        <f>+MATCH(PROVEEDORES[[#This Row],[año facturado]],Retenciones!$1:$1,0)</f>
        <v>6</v>
      </c>
      <c r="X425" s="99">
        <f>+VLOOKUP(PROVEEDORES[[#This Row],[ID RETENCION]],Retenciones!$A$1:$O$25,PROVEEDORES[[#This Row],[indicador de columna]],FALSE)</f>
        <v>1145000</v>
      </c>
      <c r="Y425" s="100">
        <f>+VLOOKUP(PROVEEDORES[[#This Row],[ID RETENCION]],Retenciones!$A$1:$O$25,2,FALSE)</f>
        <v>2.5000000000000001E-2</v>
      </c>
      <c r="Z425" s="103" t="b">
        <f>OR(COUNTIF(PROVEEDORES[[#This Row],[PROVEEDOR]],"*"&amp;'Palabra no opera'!$A$2&amp;"*"))</f>
        <v>0</v>
      </c>
    </row>
    <row r="426" spans="1:26" ht="22.35" customHeight="1" x14ac:dyDescent="0.25">
      <c r="A426" s="164" t="str">
        <f>+IF(PROVEEDORES[[#This Row],[FECHA DE PAGO]]=PROVEEDORES[[#This Row],[FECHA DE FACTURACIÓN]],"DE CONTADO","CRÉDITO")</f>
        <v>CRÉDITO</v>
      </c>
      <c r="B426" s="38" t="str">
        <f>+IF((PROVEEDORES[[#This Row],[FECHA DE PAGO]]-PROVEEDORES[[#This Row],[FECHA DE FACTURACIÓN]])&gt;PROVEEDORES[[#This Row],[PLAZO Días]],"PAGO VENCIDO")</f>
        <v>PAGO VENCIDO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5134830.96</v>
      </c>
      <c r="E426" s="25"/>
      <c r="F426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6" s="289">
        <v>45054</v>
      </c>
      <c r="H426" s="26" t="s">
        <v>20</v>
      </c>
      <c r="I426" s="289">
        <v>45006</v>
      </c>
      <c r="J426" s="35" t="s">
        <v>695</v>
      </c>
      <c r="K426" s="21">
        <v>1745300</v>
      </c>
      <c r="L426" s="21"/>
      <c r="M426" s="22">
        <f>(PROVEEDORES[[#This Row],[SUBTOTAL]]-PROVEEDORES[[#This Row],[descuento sobre subtotal]])*VLOOKUP(PROVEEDORES[[#This Row],[PROVEEDOR]],TERCEROS_INFO[#All],3,FALSE)</f>
        <v>331607</v>
      </c>
      <c r="N426" s="23"/>
      <c r="O426" s="22">
        <f>+PROVEEDORES[[#This Row],[Descuento sobre subtotal %]]*(PROVEEDORES[[#This Row],[SUBTOTAL]]-PROVEEDORES[[#This Row],[descuento sobre subtotal]])</f>
        <v>0</v>
      </c>
      <c r="P426" s="72">
        <f>+IF(PROVEEDORES[[#This Row],[SUBTOTAL]]&lt;PROVEEDORES[[#This Row],[base retencion]],0,PROVEEDORES[[#This Row],[retención aplicada]])</f>
        <v>2.5000000000000001E-2</v>
      </c>
      <c r="Q426" s="22">
        <f>+PROVEEDORES[[#This Row],[Rete Fuente %]]*(PROVEEDORES[[#This Row],[SUBTOTAL]]-PROVEEDORES[[#This Row],[descuento sobre subtotal]])</f>
        <v>43632.5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2033274.5</v>
      </c>
      <c r="S426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1">
        <f ca="1">IF(PROVEEDORES[[#This Row],[FECHA DE PAGO]]=0,TODAY()-PROVEEDORES[[#This Row],[FECHA DE FACTURACIÓN]]-PROVEEDORES[[#This Row],[PLAZO Días]],0)</f>
        <v>0</v>
      </c>
      <c r="U426" s="97" t="str">
        <f>+VLOOKUP(PROVEEDORES[[#This Row],[PROVEEDOR]],Terceros!$A:$D,4,FALSE)</f>
        <v>2,5% con base</v>
      </c>
      <c r="V426" s="98">
        <f>+YEAR(PROVEEDORES[[#This Row],[FECHA DE FACTURACIÓN]])</f>
        <v>2023</v>
      </c>
      <c r="W426" s="98">
        <f>+MATCH(PROVEEDORES[[#This Row],[año facturado]],Retenciones!$1:$1,0)</f>
        <v>6</v>
      </c>
      <c r="X426" s="99">
        <f>+VLOOKUP(PROVEEDORES[[#This Row],[ID RETENCION]],Retenciones!$A$1:$O$25,PROVEEDORES[[#This Row],[indicador de columna]],FALSE)</f>
        <v>1145000</v>
      </c>
      <c r="Y426" s="100">
        <f>+VLOOKUP(PROVEEDORES[[#This Row],[ID RETENCION]],Retenciones!$A$1:$O$25,2,FALSE)</f>
        <v>2.5000000000000001E-2</v>
      </c>
      <c r="Z426" s="103" t="b">
        <f>OR(COUNTIF(PROVEEDORES[[#This Row],[PROVEEDOR]],"*"&amp;'Palabra no opera'!$A$2&amp;"*"))</f>
        <v>0</v>
      </c>
    </row>
    <row r="427" spans="1:26" ht="22.35" customHeight="1" x14ac:dyDescent="0.25">
      <c r="A427" s="65" t="str">
        <f>+IF(PROVEEDORES[[#This Row],[FECHA DE PAGO]]=PROVEEDORES[[#This Row],[FECHA DE FACTURACIÓN]],"DE CONTADO","CRÉDITO")</f>
        <v>CRÉDITO</v>
      </c>
      <c r="B427" s="38" t="str">
        <f>+IF((PROVEEDORES[[#This Row],[FECHA DE PAGO]]-PROVEEDORES[[#This Row],[FECHA DE FACTURACIÓN]])&gt;PROVEEDORES[[#This Row],[PLAZO Días]],"PAGO VENCIDO")</f>
        <v>PAGO VENCIDO</v>
      </c>
      <c r="C427" s="20">
        <f>+VLOOKUP(PROVEEDORES[[#This Row],[PROVEEDOR]],TERCEROS_INFO[#All],2,FALSE)</f>
        <v>30</v>
      </c>
      <c r="D427" s="25">
        <f>+SUMIFS(PROVEEDORES[Total],PROVEEDORES[PROVEEDOR],PROVEEDORES[[#This Row],[PROVEEDOR]],PROVEEDORES[FECHA DE PAGO],"")</f>
        <v>5134830.96</v>
      </c>
      <c r="E427" s="25"/>
      <c r="F427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7" s="289">
        <v>45054</v>
      </c>
      <c r="H427" s="26" t="s">
        <v>20</v>
      </c>
      <c r="I427" s="289">
        <v>45016</v>
      </c>
      <c r="J427" s="35" t="s">
        <v>707</v>
      </c>
      <c r="K427" s="21">
        <v>1157730</v>
      </c>
      <c r="L427" s="21"/>
      <c r="M427" s="22">
        <f>(PROVEEDORES[[#This Row],[SUBTOTAL]]-PROVEEDORES[[#This Row],[descuento sobre subtotal]])*VLOOKUP(PROVEEDORES[[#This Row],[PROVEEDOR]],TERCEROS_INFO[#All],3,FALSE)</f>
        <v>219968.7</v>
      </c>
      <c r="N427" s="23"/>
      <c r="O427" s="22">
        <f>+PROVEEDORES[[#This Row],[Descuento sobre subtotal %]]*(PROVEEDORES[[#This Row],[SUBTOTAL]]-PROVEEDORES[[#This Row],[descuento sobre subtotal]])</f>
        <v>0</v>
      </c>
      <c r="P427" s="72">
        <f>+IF(PROVEEDORES[[#This Row],[SUBTOTAL]]&lt;PROVEEDORES[[#This Row],[base retencion]],0,PROVEEDORES[[#This Row],[retención aplicada]])</f>
        <v>2.5000000000000001E-2</v>
      </c>
      <c r="Q427" s="22">
        <f>+PROVEEDORES[[#This Row],[Rete Fuente %]]*(PROVEEDORES[[#This Row],[SUBTOTAL]]-PROVEEDORES[[#This Row],[descuento sobre subtotal]])</f>
        <v>28943.25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1348755.45</v>
      </c>
      <c r="S4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1">
        <f ca="1">IF(PROVEEDORES[[#This Row],[FECHA DE PAGO]]=0,TODAY()-PROVEEDORES[[#This Row],[FECHA DE FACTURACIÓN]]-PROVEEDORES[[#This Row],[PLAZO Días]],0)</f>
        <v>0</v>
      </c>
      <c r="U427" s="97" t="str">
        <f>+VLOOKUP(PROVEEDORES[[#This Row],[PROVEEDOR]],Terceros!$A:$D,4,FALSE)</f>
        <v>2,5% con base</v>
      </c>
      <c r="V427" s="98">
        <f>+YEAR(PROVEEDORES[[#This Row],[FECHA DE FACTURACIÓN]])</f>
        <v>2023</v>
      </c>
      <c r="W427" s="98">
        <f>+MATCH(PROVEEDORES[[#This Row],[año facturado]],Retenciones!$1:$1,0)</f>
        <v>6</v>
      </c>
      <c r="X427" s="99">
        <f>+VLOOKUP(PROVEEDORES[[#This Row],[ID RETENCION]],Retenciones!$A$1:$O$25,PROVEEDORES[[#This Row],[indicador de columna]],FALSE)</f>
        <v>1145000</v>
      </c>
      <c r="Y427" s="100">
        <f>+VLOOKUP(PROVEEDORES[[#This Row],[ID RETENCION]],Retenciones!$A$1:$O$25,2,FALSE)</f>
        <v>2.5000000000000001E-2</v>
      </c>
      <c r="Z427" s="103" t="b">
        <f>OR(COUNTIF(PROVEEDORES[[#This Row],[PROVEEDOR]],"*"&amp;'Palabra no opera'!$A$2&amp;"*"))</f>
        <v>0</v>
      </c>
    </row>
    <row r="428" spans="1:26" ht="22.35" customHeight="1" x14ac:dyDescent="0.25">
      <c r="A428" s="213" t="str">
        <f>+IF(PROVEEDORES[[#This Row],[FECHA DE PAGO]]=PROVEEDORES[[#This Row],[FECHA DE FACTURACIÓN]],"DE CONTADO","CRÉDITO")</f>
        <v>CRÉDITO</v>
      </c>
      <c r="B428" s="38" t="str">
        <f>+IF((PROVEEDORES[[#This Row],[FECHA DE PAGO]]-PROVEEDORES[[#This Row],[FECHA DE FACTURACIÓN]])&gt;PROVEEDORES[[#This Row],[PLAZO Días]],"PAGO VENCIDO")</f>
        <v>PAGO VENCIDO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5134830.96</v>
      </c>
      <c r="E428" s="25"/>
      <c r="F428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8" s="289">
        <v>45189</v>
      </c>
      <c r="H428" s="26" t="s">
        <v>20</v>
      </c>
      <c r="I428" s="289">
        <v>45117</v>
      </c>
      <c r="J428" s="35" t="s">
        <v>957</v>
      </c>
      <c r="K428" s="21">
        <v>721284</v>
      </c>
      <c r="L428" s="21"/>
      <c r="M428" s="22">
        <f>(PROVEEDORES[[#This Row],[SUBTOTAL]]-PROVEEDORES[[#This Row],[descuento sobre subtotal]])*VLOOKUP(PROVEEDORES[[#This Row],[PROVEEDOR]],TERCEROS_INFO[#All],3,FALSE)</f>
        <v>137043.96</v>
      </c>
      <c r="N428" s="23"/>
      <c r="O428" s="22">
        <f>+PROVEEDORES[[#This Row],[Descuento sobre subtotal %]]*(PROVEEDORES[[#This Row],[SUBTOTAL]]-PROVEEDORES[[#This Row],[descuento sobre subtotal]])</f>
        <v>0</v>
      </c>
      <c r="P428" s="72">
        <f>+IF(PROVEEDORES[[#This Row],[SUBTOTAL]]&lt;PROVEEDORES[[#This Row],[base retencion]],0,PROVEEDORES[[#This Row],[retención aplicada]])</f>
        <v>0</v>
      </c>
      <c r="Q428" s="22">
        <f>+PROVEEDORES[[#This Row],[Rete Fuente %]]*(PROVEEDORES[[#This Row],[SUBTOTAL]]-PROVEEDORES[[#This Row],[descuento sobre subtotal]])</f>
        <v>0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858327.96</v>
      </c>
      <c r="S428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1">
        <f ca="1">IF(PROVEEDORES[[#This Row],[FECHA DE PAGO]]=0,TODAY()-PROVEEDORES[[#This Row],[FECHA DE FACTURACIÓN]]-PROVEEDORES[[#This Row],[PLAZO Días]],0)</f>
        <v>0</v>
      </c>
      <c r="U428" s="97" t="str">
        <f>+VLOOKUP(PROVEEDORES[[#This Row],[PROVEEDOR]],Terceros!$A:$D,4,FALSE)</f>
        <v>2,5% con base</v>
      </c>
      <c r="V428" s="98">
        <f>+YEAR(PROVEEDORES[[#This Row],[FECHA DE FACTURACIÓN]])</f>
        <v>2023</v>
      </c>
      <c r="W428" s="98">
        <f>+MATCH(PROVEEDORES[[#This Row],[año facturado]],Retenciones!$1:$1,0)</f>
        <v>6</v>
      </c>
      <c r="X428" s="99">
        <f>+VLOOKUP(PROVEEDORES[[#This Row],[ID RETENCION]],Retenciones!$A$1:$O$25,PROVEEDORES[[#This Row],[indicador de columna]],FALSE)</f>
        <v>1145000</v>
      </c>
      <c r="Y428" s="100">
        <f>+VLOOKUP(PROVEEDORES[[#This Row],[ID RETENCION]],Retenciones!$A$1:$O$25,2,FALSE)</f>
        <v>2.5000000000000001E-2</v>
      </c>
      <c r="Z428" s="103" t="b">
        <f>OR(COUNTIF(PROVEEDORES[[#This Row],[PROVEEDOR]],"*"&amp;'Palabra no opera'!$A$2&amp;"*"))</f>
        <v>0</v>
      </c>
    </row>
    <row r="429" spans="1:26" ht="22.35" customHeight="1" x14ac:dyDescent="0.25">
      <c r="A429" s="229" t="str">
        <f>+IF(PROVEEDORES[[#This Row],[FECHA DE PAGO]]=PROVEEDORES[[#This Row],[FECHA DE FACTURACIÓN]],"DE CONTADO","CRÉDITO")</f>
        <v>CRÉDITO</v>
      </c>
      <c r="B429" s="38" t="str">
        <f>+IF((PROVEEDORES[[#This Row],[FECHA DE PAGO]]-PROVEEDORES[[#This Row],[FECHA DE FACTURACIÓN]])&gt;PROVEEDORES[[#This Row],[PLAZO Días]],"PAGO VENCIDO")</f>
        <v>PAGO VENCIDO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5134830.96</v>
      </c>
      <c r="E429" s="25"/>
      <c r="F429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29" s="289">
        <v>45224</v>
      </c>
      <c r="H429" s="26" t="s">
        <v>20</v>
      </c>
      <c r="I429" s="289">
        <v>45168</v>
      </c>
      <c r="J429" s="35" t="s">
        <v>1071</v>
      </c>
      <c r="K429" s="21">
        <v>876780</v>
      </c>
      <c r="L429" s="21"/>
      <c r="M429" s="22">
        <f>(PROVEEDORES[[#This Row],[SUBTOTAL]]-PROVEEDORES[[#This Row],[descuento sobre subtotal]])*VLOOKUP(PROVEEDORES[[#This Row],[PROVEEDOR]],TERCEROS_INFO[#All],3,FALSE)</f>
        <v>166588.20000000001</v>
      </c>
      <c r="N429" s="23"/>
      <c r="O429" s="22">
        <f>+PROVEEDORES[[#This Row],[Descuento sobre subtotal %]]*(PROVEEDORES[[#This Row],[SUBTOTAL]]-PROVEEDORES[[#This Row],[descuento sobre subtotal]])</f>
        <v>0</v>
      </c>
      <c r="P429" s="72">
        <f>+IF(PROVEEDORES[[#This Row],[SUBTOTAL]]&lt;PROVEEDORES[[#This Row],[base retencion]],0,PROVEEDORES[[#This Row],[retención aplicada]])</f>
        <v>0</v>
      </c>
      <c r="Q429" s="22">
        <f>+PROVEEDORES[[#This Row],[Rete Fuente %]]*(PROVEEDORES[[#This Row],[SUBTOTAL]]-PROVEEDORES[[#This Row],[descuento sobre subtotal]])</f>
        <v>0</v>
      </c>
      <c r="R429" s="21">
        <f>+PROVEEDORES[[#This Row],[SUBTOTAL]]+PROVEEDORES[[#This Row],[IVA 19%]]-PROVEEDORES[[#This Row],[descuento sobre subtotal]]-PROVEEDORES[[#This Row],[Descuento sobre subtotal $2]]-PROVEEDORES[[#This Row],[Rete Fuente $]]</f>
        <v>1043368.2</v>
      </c>
      <c r="S429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1">
        <f ca="1">IF(PROVEEDORES[[#This Row],[FECHA DE PAGO]]=0,TODAY()-PROVEEDORES[[#This Row],[FECHA DE FACTURACIÓN]]-PROVEEDORES[[#This Row],[PLAZO Días]],0)</f>
        <v>0</v>
      </c>
      <c r="U429" s="97" t="str">
        <f>+VLOOKUP(PROVEEDORES[[#This Row],[PROVEEDOR]],Terceros!$A:$D,4,FALSE)</f>
        <v>2,5% con base</v>
      </c>
      <c r="V429" s="98">
        <f>+YEAR(PROVEEDORES[[#This Row],[FECHA DE FACTURACIÓN]])</f>
        <v>2023</v>
      </c>
      <c r="W429" s="98">
        <f>+MATCH(PROVEEDORES[[#This Row],[año facturado]],Retenciones!$1:$1,0)</f>
        <v>6</v>
      </c>
      <c r="X429" s="99">
        <f>+VLOOKUP(PROVEEDORES[[#This Row],[ID RETENCION]],Retenciones!$A$1:$O$25,PROVEEDORES[[#This Row],[indicador de columna]],FALSE)</f>
        <v>1145000</v>
      </c>
      <c r="Y429" s="100">
        <f>+VLOOKUP(PROVEEDORES[[#This Row],[ID RETENCION]],Retenciones!$A$1:$O$25,2,FALSE)</f>
        <v>2.5000000000000001E-2</v>
      </c>
      <c r="Z429" s="103" t="b">
        <f>OR(COUNTIF(PROVEEDORES[[#This Row],[PROVEEDOR]],"*"&amp;'Palabra no opera'!$A$2&amp;"*"))</f>
        <v>0</v>
      </c>
    </row>
    <row r="430" spans="1:26" ht="22.35" customHeight="1" x14ac:dyDescent="0.25">
      <c r="A430" s="65" t="str">
        <f>+IF(PROVEEDORES[[#This Row],[FECHA DE PAGO]]=PROVEEDORES[[#This Row],[FECHA DE FACTURACIÓN]],"DE CONTADO","CRÉDITO")</f>
        <v>CRÉDITO</v>
      </c>
      <c r="B430" s="38" t="str">
        <f>+IF((PROVEEDORES[[#This Row],[FECHA DE PAGO]]-PROVEEDORES[[#This Row],[FECHA DE FACTURACIÓN]])&gt;PROVEEDORES[[#This Row],[PLAZO Días]],"PAGO VENCIDO")</f>
        <v>PAGO VENCIDO</v>
      </c>
      <c r="C430" s="20">
        <f>+VLOOKUP(PROVEEDORES[[#This Row],[PROVEEDOR]],TERCEROS_INFO[#All],2,FALSE)</f>
        <v>30</v>
      </c>
      <c r="D430" s="25">
        <f>+SUMIFS(PROVEEDORES[Total],PROVEEDORES[PROVEEDOR],PROVEEDORES[[#This Row],[PROVEEDOR]],PROVEEDORES[FECHA DE PAGO],"")</f>
        <v>5134830.96</v>
      </c>
      <c r="E430" s="25"/>
      <c r="F430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30" s="289">
        <v>45257</v>
      </c>
      <c r="H430" s="26" t="s">
        <v>20</v>
      </c>
      <c r="I430" s="289">
        <v>45208</v>
      </c>
      <c r="J430" s="35" t="s">
        <v>1219</v>
      </c>
      <c r="K430" s="21">
        <v>647990</v>
      </c>
      <c r="L430" s="21"/>
      <c r="M430" s="22">
        <f>(PROVEEDORES[[#This Row],[SUBTOTAL]]-PROVEEDORES[[#This Row],[descuento sobre subtotal]])*VLOOKUP(PROVEEDORES[[#This Row],[PROVEEDOR]],TERCEROS_INFO[#All],3,FALSE)</f>
        <v>123118.1</v>
      </c>
      <c r="N430" s="23"/>
      <c r="O430" s="22">
        <f>+PROVEEDORES[[#This Row],[Descuento sobre subtotal %]]*(PROVEEDORES[[#This Row],[SUBTOTAL]]-PROVEEDORES[[#This Row],[descuento sobre subtotal]])</f>
        <v>0</v>
      </c>
      <c r="P430" s="72">
        <f>+IF(PROVEEDORES[[#This Row],[SUBTOTAL]]&lt;PROVEEDORES[[#This Row],[base retencion]],0,PROVEEDORES[[#This Row],[retención aplicada]])</f>
        <v>0</v>
      </c>
      <c r="Q430" s="22">
        <f>+PROVEEDORES[[#This Row],[Rete Fuente %]]*(PROVEEDORES[[#This Row],[SUBTOTAL]]-PROVEEDORES[[#This Row],[descuento sobre subtotal]])</f>
        <v>0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771108.1</v>
      </c>
      <c r="S4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1">
        <f ca="1">IF(PROVEEDORES[[#This Row],[FECHA DE PAGO]]=0,TODAY()-PROVEEDORES[[#This Row],[FECHA DE FACTURACIÓN]]-PROVEEDORES[[#This Row],[PLAZO Días]],0)</f>
        <v>0</v>
      </c>
      <c r="U430" s="97" t="str">
        <f>+VLOOKUP(PROVEEDORES[[#This Row],[PROVEEDOR]],Terceros!$A:$D,4,FALSE)</f>
        <v>2,5% con base</v>
      </c>
      <c r="V430" s="98">
        <f>+YEAR(PROVEEDORES[[#This Row],[FECHA DE FACTURACIÓN]])</f>
        <v>2023</v>
      </c>
      <c r="W430" s="98">
        <f>+MATCH(PROVEEDORES[[#This Row],[año facturado]],Retenciones!$1:$1,0)</f>
        <v>6</v>
      </c>
      <c r="X430" s="99">
        <f>+VLOOKUP(PROVEEDORES[[#This Row],[ID RETENCION]],Retenciones!$A$1:$O$25,PROVEEDORES[[#This Row],[indicador de columna]],FALSE)</f>
        <v>1145000</v>
      </c>
      <c r="Y430" s="100">
        <f>+VLOOKUP(PROVEEDORES[[#This Row],[ID RETENCION]],Retenciones!$A$1:$O$25,2,FALSE)</f>
        <v>2.5000000000000001E-2</v>
      </c>
      <c r="Z430" s="103" t="b">
        <f>OR(COUNTIF(PROVEEDORES[[#This Row],[PROVEEDOR]],"*"&amp;'Palabra no opera'!$A$2&amp;"*"))</f>
        <v>0</v>
      </c>
    </row>
    <row r="431" spans="1:26" ht="22.35" customHeight="1" x14ac:dyDescent="0.25">
      <c r="A431" s="65" t="str">
        <f>+IF(PROVEEDORES[[#This Row],[FECHA DE PAGO]]=PROVEEDORES[[#This Row],[FECHA DE FACTURACIÓN]],"DE CONTADO","CRÉDITO")</f>
        <v>CRÉDITO</v>
      </c>
      <c r="B431" s="38" t="str">
        <f>+IF((PROVEEDORES[[#This Row],[FECHA DE PAGO]]-PROVEEDORES[[#This Row],[FECHA DE FACTURACIÓN]])&gt;PROVEEDORES[[#This Row],[PLAZO Días]],"PAGO VENCIDO")</f>
        <v>PAGO VENCIDO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5134830.96</v>
      </c>
      <c r="E431" s="25"/>
      <c r="F431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31" s="289">
        <v>45257</v>
      </c>
      <c r="H431" s="26" t="s">
        <v>20</v>
      </c>
      <c r="I431" s="289">
        <v>45208</v>
      </c>
      <c r="J431" s="35" t="s">
        <v>1220</v>
      </c>
      <c r="K431" s="21">
        <v>944000</v>
      </c>
      <c r="L431" s="21"/>
      <c r="M431" s="22">
        <f>(PROVEEDORES[[#This Row],[SUBTOTAL]]-PROVEEDORES[[#This Row],[descuento sobre subtotal]])*VLOOKUP(PROVEEDORES[[#This Row],[PROVEEDOR]],TERCEROS_INFO[#All],3,FALSE)</f>
        <v>179360</v>
      </c>
      <c r="N431" s="23"/>
      <c r="O431" s="22">
        <f>+PROVEEDORES[[#This Row],[Descuento sobre subtotal %]]*(PROVEEDORES[[#This Row],[SUBTOTAL]]-PROVEEDORES[[#This Row],[descuento sobre subtotal]])</f>
        <v>0</v>
      </c>
      <c r="P431" s="72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f>+PROVEEDORES[[#This Row],[SUBTOTAL]]+PROVEEDORES[[#This Row],[IVA 19%]]-PROVEEDORES[[#This Row],[descuento sobre subtotal]]-PROVEEDORES[[#This Row],[Descuento sobre subtotal $2]]-PROVEEDORES[[#This Row],[Rete Fuente $]]</f>
        <v>1123360</v>
      </c>
      <c r="S4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1">
        <f ca="1">IF(PROVEEDORES[[#This Row],[FECHA DE PAGO]]=0,TODAY()-PROVEEDORES[[#This Row],[FECHA DE FACTURACIÓN]]-PROVEEDORES[[#This Row],[PLAZO Días]],0)</f>
        <v>0</v>
      </c>
      <c r="U431" s="97" t="str">
        <f>+VLOOKUP(PROVEEDORES[[#This Row],[PROVEEDOR]],Terceros!$A:$D,4,FALSE)</f>
        <v>2,5% con base</v>
      </c>
      <c r="V431" s="98">
        <f>+YEAR(PROVEEDORES[[#This Row],[FECHA DE FACTURACIÓN]])</f>
        <v>2023</v>
      </c>
      <c r="W431" s="98">
        <f>+MATCH(PROVEEDORES[[#This Row],[año facturado]],Retenciones!$1:$1,0)</f>
        <v>6</v>
      </c>
      <c r="X431" s="99">
        <f>+VLOOKUP(PROVEEDORES[[#This Row],[ID RETENCION]],Retenciones!$A$1:$O$25,PROVEEDORES[[#This Row],[indicador de columna]],FALSE)</f>
        <v>1145000</v>
      </c>
      <c r="Y431" s="100">
        <f>+VLOOKUP(PROVEEDORES[[#This Row],[ID RETENCION]],Retenciones!$A$1:$O$25,2,FALSE)</f>
        <v>2.5000000000000001E-2</v>
      </c>
      <c r="Z431" s="103" t="b">
        <f>OR(COUNTIF(PROVEEDORES[[#This Row],[PROVEEDOR]],"*"&amp;'Palabra no opera'!$A$2&amp;"*"))</f>
        <v>0</v>
      </c>
    </row>
    <row r="432" spans="1:26" ht="22.35" customHeight="1" x14ac:dyDescent="0.25">
      <c r="A432" s="65" t="str">
        <f>+IF(PROVEEDORES[[#This Row],[FECHA DE PAGO]]=PROVEEDORES[[#This Row],[FECHA DE FACTURACIÓN]],"DE CONTADO","CRÉDITO")</f>
        <v>CRÉDITO</v>
      </c>
      <c r="B432" s="38" t="str">
        <f>+IF((PROVEEDORES[[#This Row],[FECHA DE PAGO]]-PROVEEDORES[[#This Row],[FECHA DE FACTURACIÓN]])&gt;PROVEEDORES[[#This Row],[PLAZO Días]],"PAGO VENCIDO")</f>
        <v>PAGO VENCIDO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5134830.96</v>
      </c>
      <c r="E432" s="25"/>
      <c r="F432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32" s="289">
        <v>45257</v>
      </c>
      <c r="H432" s="26" t="s">
        <v>20</v>
      </c>
      <c r="I432" s="289">
        <v>45219</v>
      </c>
      <c r="J432" s="35" t="s">
        <v>1221</v>
      </c>
      <c r="K432" s="21">
        <v>1442750</v>
      </c>
      <c r="L432" s="21"/>
      <c r="M432" s="22">
        <f>(PROVEEDORES[[#This Row],[SUBTOTAL]]-PROVEEDORES[[#This Row],[descuento sobre subtotal]])*VLOOKUP(PROVEEDORES[[#This Row],[PROVEEDOR]],TERCEROS_INFO[#All],3,FALSE)</f>
        <v>274122.5</v>
      </c>
      <c r="N432" s="23"/>
      <c r="O432" s="22">
        <f>+PROVEEDORES[[#This Row],[Descuento sobre subtotal %]]*(PROVEEDORES[[#This Row],[SUBTOTAL]]-PROVEEDORES[[#This Row],[descuento sobre subtotal]])</f>
        <v>0</v>
      </c>
      <c r="P432" s="72">
        <f>+IF(PROVEEDORES[[#This Row],[SUBTOTAL]]&lt;PROVEEDORES[[#This Row],[base retencion]],0,PROVEEDORES[[#This Row],[retención aplicada]])</f>
        <v>2.5000000000000001E-2</v>
      </c>
      <c r="Q432" s="22">
        <f>+PROVEEDORES[[#This Row],[Rete Fuente %]]*(PROVEEDORES[[#This Row],[SUBTOTAL]]-PROVEEDORES[[#This Row],[descuento sobre subtotal]])</f>
        <v>36068.75</v>
      </c>
      <c r="R432" s="21">
        <f>+PROVEEDORES[[#This Row],[SUBTOTAL]]+PROVEEDORES[[#This Row],[IVA 19%]]-PROVEEDORES[[#This Row],[descuento sobre subtotal]]-PROVEEDORES[[#This Row],[Descuento sobre subtotal $2]]-PROVEEDORES[[#This Row],[Rete Fuente $]]</f>
        <v>1680803.75</v>
      </c>
      <c r="S4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1">
        <f ca="1">IF(PROVEEDORES[[#This Row],[FECHA DE PAGO]]=0,TODAY()-PROVEEDORES[[#This Row],[FECHA DE FACTURACIÓN]]-PROVEEDORES[[#This Row],[PLAZO Días]],0)</f>
        <v>0</v>
      </c>
      <c r="U432" s="97" t="str">
        <f>+VLOOKUP(PROVEEDORES[[#This Row],[PROVEEDOR]],Terceros!$A:$D,4,FALSE)</f>
        <v>2,5% con base</v>
      </c>
      <c r="V432" s="98">
        <f>+YEAR(PROVEEDORES[[#This Row],[FECHA DE FACTURACIÓN]])</f>
        <v>2023</v>
      </c>
      <c r="W432" s="98">
        <f>+MATCH(PROVEEDORES[[#This Row],[año facturado]],Retenciones!$1:$1,0)</f>
        <v>6</v>
      </c>
      <c r="X432" s="99">
        <f>+VLOOKUP(PROVEEDORES[[#This Row],[ID RETENCION]],Retenciones!$A$1:$O$25,PROVEEDORES[[#This Row],[indicador de columna]],FALSE)</f>
        <v>1145000</v>
      </c>
      <c r="Y432" s="100">
        <f>+VLOOKUP(PROVEEDORES[[#This Row],[ID RETENCION]],Retenciones!$A$1:$O$25,2,FALSE)</f>
        <v>2.5000000000000001E-2</v>
      </c>
      <c r="Z432" s="103" t="b">
        <f>OR(COUNTIF(PROVEEDORES[[#This Row],[PROVEEDOR]],"*"&amp;'Palabra no opera'!$A$2&amp;"*"))</f>
        <v>0</v>
      </c>
    </row>
    <row r="433" spans="1:26" ht="22.35" customHeight="1" x14ac:dyDescent="0.25">
      <c r="A433" s="65" t="str">
        <f>+IF(PROVEEDORES[[#This Row],[FECHA DE PAGO]]=PROVEEDORES[[#This Row],[FECHA DE FACTURACIÓN]],"DE CONTADO","CRÉDITO")</f>
        <v>CRÉDITO</v>
      </c>
      <c r="B433" s="38" t="b">
        <f>+IF((PROVEEDORES[[#This Row],[FECHA DE PAGO]]-PROVEEDORES[[#This Row],[FECHA DE FACTURACIÓN]])&gt;PROVEEDORES[[#This Row],[PLAZO Días]],"PAGO VENCIDO")</f>
        <v>0</v>
      </c>
      <c r="C433" s="20">
        <f>+VLOOKUP(PROVEEDORES[[#This Row],[PROVEEDOR]],TERCEROS_INFO[#All],2,FALSE)</f>
        <v>30</v>
      </c>
      <c r="D433" s="25">
        <f>+SUMIFS(PROVEEDORES[Total],PROVEEDORES[PROVEEDOR],PROVEEDORES[[#This Row],[PROVEEDOR]],PROVEEDORES[FECHA DE PAGO],"")</f>
        <v>5134830.96</v>
      </c>
      <c r="E433" s="25"/>
      <c r="F433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433" s="289">
        <v>45281</v>
      </c>
      <c r="H433" s="26" t="s">
        <v>20</v>
      </c>
      <c r="I433" s="289">
        <v>45253</v>
      </c>
      <c r="J433" s="35" t="s">
        <v>1320</v>
      </c>
      <c r="K433" s="21">
        <v>2961970</v>
      </c>
      <c r="L433" s="21"/>
      <c r="M433" s="22">
        <f>(PROVEEDORES[[#This Row],[SUBTOTAL]]-PROVEEDORES[[#This Row],[descuento sobre subtotal]])*VLOOKUP(PROVEEDORES[[#This Row],[PROVEEDOR]],TERCEROS_INFO[#All],3,FALSE)</f>
        <v>562774.30000000005</v>
      </c>
      <c r="N433" s="23"/>
      <c r="O433" s="22">
        <f>+PROVEEDORES[[#This Row],[Descuento sobre subtotal %]]*(PROVEEDORES[[#This Row],[SUBTOTAL]]-PROVEEDORES[[#This Row],[descuento sobre subtotal]])</f>
        <v>0</v>
      </c>
      <c r="P433" s="72">
        <f>+IF(PROVEEDORES[[#This Row],[SUBTOTAL]]&lt;PROVEEDORES[[#This Row],[base retencion]],0,PROVEEDORES[[#This Row],[retención aplicada]])</f>
        <v>2.5000000000000001E-2</v>
      </c>
      <c r="Q433" s="22">
        <f>+PROVEEDORES[[#This Row],[Rete Fuente %]]*(PROVEEDORES[[#This Row],[SUBTOTAL]]-PROVEEDORES[[#This Row],[descuento sobre subtotal]])</f>
        <v>74049.25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3450695.05</v>
      </c>
      <c r="S4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1">
        <f ca="1">IF(PROVEEDORES[[#This Row],[FECHA DE PAGO]]=0,TODAY()-PROVEEDORES[[#This Row],[FECHA DE FACTURACIÓN]]-PROVEEDORES[[#This Row],[PLAZO Días]],0)</f>
        <v>0</v>
      </c>
      <c r="U433" s="97" t="str">
        <f>+VLOOKUP(PROVEEDORES[[#This Row],[PROVEEDOR]],Terceros!$A:$D,4,FALSE)</f>
        <v>2,5% con base</v>
      </c>
      <c r="V433" s="98">
        <f>+YEAR(PROVEEDORES[[#This Row],[FECHA DE FACTURACIÓN]])</f>
        <v>2023</v>
      </c>
      <c r="W433" s="98">
        <f>+MATCH(PROVEEDORES[[#This Row],[año facturado]],Retenciones!$1:$1,0)</f>
        <v>6</v>
      </c>
      <c r="X433" s="99">
        <f>+VLOOKUP(PROVEEDORES[[#This Row],[ID RETENCION]],Retenciones!$A$1:$O$25,PROVEEDORES[[#This Row],[indicador de columna]],FALSE)</f>
        <v>1145000</v>
      </c>
      <c r="Y433" s="100">
        <f>+VLOOKUP(PROVEEDORES[[#This Row],[ID RETENCION]],Retenciones!$A$1:$O$25,2,FALSE)</f>
        <v>2.5000000000000001E-2</v>
      </c>
      <c r="Z433" s="103" t="b">
        <f>OR(COUNTIF(PROVEEDORES[[#This Row],[PROVEEDOR]],"*"&amp;'Palabra no opera'!$A$2&amp;"*"))</f>
        <v>0</v>
      </c>
    </row>
    <row r="434" spans="1:26" ht="22.35" customHeight="1" x14ac:dyDescent="0.25">
      <c r="A434" s="314" t="str">
        <f>+IF(PROVEEDORES[[#This Row],[FECHA DE PAGO]]=PROVEEDORES[[#This Row],[FECHA DE FACTURACIÓN]],"DE CONTADO","CRÉDITO")</f>
        <v>CRÉDITO</v>
      </c>
      <c r="B434" s="38" t="b">
        <f>+IF((PROVEEDORES[[#This Row],[FECHA DE PAGO]]-PROVEEDORES[[#This Row],[FECHA DE FACTURACIÓN]])&gt;PROVEEDORES[[#This Row],[PLAZO Días]],"PAGO VENCIDO")</f>
        <v>0</v>
      </c>
      <c r="C434" s="20">
        <f>+VLOOKUP(PROVEEDORES[[#This Row],[PROVEEDOR]],TERCEROS_INFO[#All],2,FALSE)</f>
        <v>30</v>
      </c>
      <c r="D434" s="25">
        <f>+SUMIFS(PROVEEDORES[Total],PROVEEDORES[PROVEEDOR],PROVEEDORES[[#This Row],[PROVEEDOR]],PROVEEDORES[FECHA DE PAGO],"")</f>
        <v>-66999.998800000001</v>
      </c>
      <c r="E434" s="25"/>
      <c r="F434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434" s="26" t="s">
        <v>322</v>
      </c>
      <c r="I434" s="289">
        <v>44867</v>
      </c>
      <c r="J434" s="35" t="s">
        <v>1529</v>
      </c>
      <c r="K434" s="21">
        <v>-56302.52</v>
      </c>
      <c r="L434" s="21"/>
      <c r="M434" s="22">
        <f>(PROVEEDORES[[#This Row],[SUBTOTAL]]-PROVEEDORES[[#This Row],[descuento sobre subtotal]])*VLOOKUP(PROVEEDORES[[#This Row],[PROVEEDOR]],TERCEROS_INFO[#All],3,FALSE)</f>
        <v>-10697.478799999999</v>
      </c>
      <c r="N434" s="23"/>
      <c r="O434" s="22">
        <f>+PROVEEDORES[[#This Row],[Descuento sobre subtotal %]]*(PROVEEDORES[[#This Row],[SUBTOTAL]]-PROVEEDORES[[#This Row],[descuento sobre subtotal]])</f>
        <v>0</v>
      </c>
      <c r="P434" s="72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-66999.998800000001</v>
      </c>
      <c r="S434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434" s="61">
        <f ca="1">IF(PROVEEDORES[[#This Row],[FECHA DE PAGO]]=0,TODAY()-PROVEEDORES[[#This Row],[FECHA DE FACTURACIÓN]]-PROVEEDORES[[#This Row],[PLAZO Días]],0)</f>
        <v>431</v>
      </c>
      <c r="U434" s="97" t="str">
        <f>+VLOOKUP(PROVEEDORES[[#This Row],[PROVEEDOR]],Terceros!$A:$D,4,FALSE)</f>
        <v>2,5% con base</v>
      </c>
      <c r="V434" s="98">
        <f>+YEAR(PROVEEDORES[[#This Row],[FECHA DE FACTURACIÓN]])</f>
        <v>2022</v>
      </c>
      <c r="W434" s="98">
        <f>+MATCH(PROVEEDORES[[#This Row],[año facturado]],Retenciones!$1:$1,0)</f>
        <v>5</v>
      </c>
      <c r="X434" s="99">
        <f>+VLOOKUP(PROVEEDORES[[#This Row],[ID RETENCION]],Retenciones!$A$1:$O$25,PROVEEDORES[[#This Row],[indicador de columna]],FALSE)</f>
        <v>1026000</v>
      </c>
      <c r="Y434" s="100">
        <f>+VLOOKUP(PROVEEDORES[[#This Row],[ID RETENCION]],Retenciones!$A$1:$O$25,2,FALSE)</f>
        <v>2.5000000000000001E-2</v>
      </c>
      <c r="Z434" s="103" t="b">
        <f>OR(COUNTIF(PROVEEDORES[[#This Row],[PROVEEDOR]],"*"&amp;'Palabra no opera'!$A$2&amp;"*"))</f>
        <v>0</v>
      </c>
    </row>
    <row r="435" spans="1:26" ht="22.35" customHeight="1" x14ac:dyDescent="0.25">
      <c r="A435" s="314" t="str">
        <f>+IF(PROVEEDORES[[#This Row],[FECHA DE PAGO]]=PROVEEDORES[[#This Row],[FECHA DE FACTURACIÓN]],"DE CONTADO","CRÉDITO")</f>
        <v>CRÉDITO</v>
      </c>
      <c r="B435" s="38" t="b">
        <f>+IF((PROVEEDORES[[#This Row],[FECHA DE PAGO]]-PROVEEDORES[[#This Row],[FECHA DE FACTURACIÓN]])&gt;PROVEEDORES[[#This Row],[PLAZO Días]],"PAGO VENCIDO")</f>
        <v>0</v>
      </c>
      <c r="C435" s="20">
        <f>+VLOOKUP(PROVEEDORES[[#This Row],[PROVEEDOR]],TERCEROS_INFO[#All],2,FALSE)</f>
        <v>30</v>
      </c>
      <c r="D435" s="25">
        <f>+SUMIFS(PROVEEDORES[Total],PROVEEDORES[PROVEEDOR],PROVEEDORES[[#This Row],[PROVEEDOR]],PROVEEDORES[FECHA DE PAGO],"")</f>
        <v>5134830.96</v>
      </c>
      <c r="E435" s="25"/>
      <c r="F435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H435" s="26" t="s">
        <v>20</v>
      </c>
      <c r="I435" s="289">
        <v>45310</v>
      </c>
      <c r="J435" s="35" t="s">
        <v>1524</v>
      </c>
      <c r="K435" s="21">
        <v>4314984</v>
      </c>
      <c r="L435" s="21"/>
      <c r="M435" s="22">
        <f>(PROVEEDORES[[#This Row],[SUBTOTAL]]-PROVEEDORES[[#This Row],[descuento sobre subtotal]])*VLOOKUP(PROVEEDORES[[#This Row],[PROVEEDOR]],TERCEROS_INFO[#All],3,FALSE)</f>
        <v>819846.96</v>
      </c>
      <c r="N435" s="23"/>
      <c r="O435" s="22">
        <f>+PROVEEDORES[[#This Row],[Descuento sobre subtotal %]]*(PROVEEDORES[[#This Row],[SUBTOTAL]]-PROVEEDORES[[#This Row],[descuento sobre subtotal]])</f>
        <v>0</v>
      </c>
      <c r="P435" s="72">
        <f>+IF(PROVEEDORES[[#This Row],[SUBTOTAL]]&lt;PROVEEDORES[[#This Row],[base retencion]],0,PROVEEDORES[[#This Row],[retención aplicada]])</f>
        <v>2.5000000000000001E-2</v>
      </c>
      <c r="Q435" s="22"/>
      <c r="R435" s="21">
        <f>+PROVEEDORES[[#This Row],[SUBTOTAL]]+PROVEEDORES[[#This Row],[IVA 19%]]-PROVEEDORES[[#This Row],[descuento sobre subtotal]]-PROVEEDORES[[#This Row],[Descuento sobre subtotal $2]]-PROVEEDORES[[#This Row],[Rete Fuente $]]</f>
        <v>5134830.96</v>
      </c>
      <c r="S435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435" s="61">
        <f ca="1">IF(PROVEEDORES[[#This Row],[FECHA DE PAGO]]=0,TODAY()-PROVEEDORES[[#This Row],[FECHA DE FACTURACIÓN]]-PROVEEDORES[[#This Row],[PLAZO Días]],0)</f>
        <v>-12</v>
      </c>
      <c r="U435" s="97" t="str">
        <f>+VLOOKUP(PROVEEDORES[[#This Row],[PROVEEDOR]],Terceros!$A:$D,4,FALSE)</f>
        <v>2,5% con base</v>
      </c>
      <c r="V435" s="98">
        <f>+YEAR(PROVEEDORES[[#This Row],[FECHA DE FACTURACIÓN]])</f>
        <v>2024</v>
      </c>
      <c r="W435" s="98">
        <f>+MATCH(PROVEEDORES[[#This Row],[año facturado]],Retenciones!$1:$1,0)</f>
        <v>7</v>
      </c>
      <c r="X435" s="99">
        <f>+VLOOKUP(PROVEEDORES[[#This Row],[ID RETENCION]],Retenciones!$A$1:$O$25,PROVEEDORES[[#This Row],[indicador de columna]],FALSE)</f>
        <v>1271000</v>
      </c>
      <c r="Y435" s="100">
        <f>+VLOOKUP(PROVEEDORES[[#This Row],[ID RETENCION]],Retenciones!$A$1:$O$25,2,FALSE)</f>
        <v>2.5000000000000001E-2</v>
      </c>
      <c r="Z435" s="103" t="b">
        <f>OR(COUNTIF(PROVEEDORES[[#This Row],[PROVEEDOR]],"*"&amp;'Palabra no opera'!$A$2&amp;"*"))</f>
        <v>0</v>
      </c>
    </row>
    <row r="436" spans="1:26" ht="22.35" customHeight="1" x14ac:dyDescent="0.25">
      <c r="A436" s="153" t="str">
        <f>+IF(PROVEEDORES[[#This Row],[FECHA DE PAGO]]=PROVEEDORES[[#This Row],[FECHA DE FACTURACIÓN]],"DE CONTADO","CRÉDITO")</f>
        <v>DE CONTADO</v>
      </c>
      <c r="B436" s="38" t="b">
        <f>+IF((PROVEEDORES[[#This Row],[FECHA DE PAGO]]-PROVEEDORES[[#This Row],[FECHA DE FACTURACIÓN]])&gt;PROVEEDORES[[#This Row],[PLAZO Días]],"PAGO VENCIDO")</f>
        <v>0</v>
      </c>
      <c r="C436" s="20">
        <f>+VLOOKUP(PROVEEDORES[[#This Row],[PROVEEDOR]],TERCEROS_INFO[#All],2,FALSE)</f>
        <v>30</v>
      </c>
      <c r="D436" s="25">
        <f>+SUMIFS(PROVEEDORES[Total],PROVEEDORES[PROVEEDOR],PROVEEDORES[[#This Row],[PROVEEDOR]],PROVEEDORES[FECHA DE PAGO],"")</f>
        <v>0</v>
      </c>
      <c r="E436" s="25"/>
      <c r="F436" s="56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436" s="289">
        <v>44972</v>
      </c>
      <c r="H436" s="26" t="s">
        <v>464</v>
      </c>
      <c r="I436" s="289">
        <v>44972</v>
      </c>
      <c r="J436" s="35">
        <v>32185</v>
      </c>
      <c r="K436" s="21">
        <v>1605723</v>
      </c>
      <c r="L436" s="21"/>
      <c r="M436" s="22">
        <v>1277</v>
      </c>
      <c r="N436" s="23"/>
      <c r="O436" s="22">
        <f>+PROVEEDORES[[#This Row],[Descuento sobre subtotal %]]*(PROVEEDORES[[#This Row],[SUBTOTAL]]-PROVEEDORES[[#This Row],[descuento sobre subtotal]])</f>
        <v>0</v>
      </c>
      <c r="P436" s="72">
        <f>+IF(PROVEEDORES[[#This Row],[SUBTOTAL]]&lt;PROVEEDORES[[#This Row],[base retencion]],0,PROVEEDORES[[#This Row],[retención aplicada]])</f>
        <v>2.5000000000000001E-2</v>
      </c>
      <c r="Q436" s="22">
        <f>+PROVEEDORES[[#This Row],[Rete Fuente %]]*(PROVEEDORES[[#This Row],[SUBTOTAL]]-PROVEEDORES[[#This Row],[descuento sobre subtotal]])</f>
        <v>40143.075000000004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1566856.925</v>
      </c>
      <c r="S436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1">
        <f ca="1">IF(PROVEEDORES[[#This Row],[FECHA DE PAGO]]=0,TODAY()-PROVEEDORES[[#This Row],[FECHA DE FACTURACIÓN]]-PROVEEDORES[[#This Row],[PLAZO Días]],0)</f>
        <v>0</v>
      </c>
      <c r="U436" s="97" t="str">
        <f>+VLOOKUP(PROVEEDORES[[#This Row],[PROVEEDOR]],Terceros!$A:$D,4,FALSE)</f>
        <v>2,5% con base</v>
      </c>
      <c r="V436" s="98">
        <f>+YEAR(PROVEEDORES[[#This Row],[FECHA DE FACTURACIÓN]])</f>
        <v>2023</v>
      </c>
      <c r="W436" s="98">
        <f>+MATCH(PROVEEDORES[[#This Row],[año facturado]],Retenciones!$1:$1,0)</f>
        <v>6</v>
      </c>
      <c r="X436" s="99">
        <f>+VLOOKUP(PROVEEDORES[[#This Row],[ID RETENCION]],Retenciones!$A$1:$O$25,PROVEEDORES[[#This Row],[indicador de columna]],FALSE)</f>
        <v>1145000</v>
      </c>
      <c r="Y436" s="100">
        <f>+VLOOKUP(PROVEEDORES[[#This Row],[ID RETENCION]],Retenciones!$A$1:$O$25,2,FALSE)</f>
        <v>2.5000000000000001E-2</v>
      </c>
      <c r="Z436" s="103" t="b">
        <f>OR(COUNTIF(PROVEEDORES[[#This Row],[PROVEEDOR]],"*"&amp;'Palabra no opera'!$A$2&amp;"*"))</f>
        <v>1</v>
      </c>
    </row>
    <row r="437" spans="1:26" ht="22.35" customHeight="1" x14ac:dyDescent="0.25">
      <c r="A437" s="227" t="str">
        <f>+IF(PROVEEDORES[[#This Row],[FECHA DE PAGO]]=PROVEEDORES[[#This Row],[FECHA DE FACTURACIÓN]],"DE CONTADO","CRÉDITO")</f>
        <v>DE CONTADO</v>
      </c>
      <c r="B437" s="38" t="b">
        <f>+IF((PROVEEDORES[[#This Row],[FECHA DE PAGO]]-PROVEEDORES[[#This Row],[FECHA DE FACTURACIÓN]])&gt;PROVEEDORES[[#This Row],[PLAZO Días]],"PAGO VENCIDO")</f>
        <v>0</v>
      </c>
      <c r="C437" s="20">
        <f>+VLOOKUP(PROVEEDORES[[#This Row],[PROVEEDOR]],TERCEROS_INFO[#All],2,FALSE)</f>
        <v>0</v>
      </c>
      <c r="D437" s="25">
        <f>+SUMIFS(PROVEEDORES[Total],PROVEEDORES[PROVEEDOR],PROVEEDORES[[#This Row],[PROVEEDOR]],PROVEEDORES[FECHA DE PAGO],"")</f>
        <v>0</v>
      </c>
      <c r="E437" s="25"/>
      <c r="F437" s="56">
        <f>+VLOOKUP(PROVEEDORES[[#This Row],[PROVEEDOR]],
                       Terceros!$A:$F,
                       5,
                       FALSE)</f>
        <v>0</v>
      </c>
      <c r="G437" s="289">
        <v>45162</v>
      </c>
      <c r="H437" s="26" t="s">
        <v>1041</v>
      </c>
      <c r="I437" s="289">
        <v>45162</v>
      </c>
      <c r="J437" s="35" t="s">
        <v>1042</v>
      </c>
      <c r="K437" s="21">
        <v>487395</v>
      </c>
      <c r="L437" s="21"/>
      <c r="M437" s="22">
        <f>(PROVEEDORES[[#This Row],[SUBTOTAL]]-PROVEEDORES[[#This Row],[descuento sobre subtotal]])*VLOOKUP(PROVEEDORES[[#This Row],[PROVEEDOR]],TERCEROS_INFO[#All],3,FALSE)</f>
        <v>92605.05</v>
      </c>
      <c r="N437" s="23"/>
      <c r="O437" s="22">
        <f>+PROVEEDORES[[#This Row],[Descuento sobre subtotal %]]*(PROVEEDORES[[#This Row],[SUBTOTAL]]-PROVEEDORES[[#This Row],[descuento sobre subtotal]])</f>
        <v>0</v>
      </c>
      <c r="P437" s="72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580000.05000000005</v>
      </c>
      <c r="S437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1">
        <f ca="1">IF(PROVEEDORES[[#This Row],[FECHA DE PAGO]]=0,TODAY()-PROVEEDORES[[#This Row],[FECHA DE FACTURACIÓN]]-PROVEEDORES[[#This Row],[PLAZO Días]],0)</f>
        <v>0</v>
      </c>
      <c r="U437" s="97" t="str">
        <f>+VLOOKUP(PROVEEDORES[[#This Row],[PROVEEDOR]],Terceros!$A:$D,4,FALSE)</f>
        <v>2,5% con base</v>
      </c>
      <c r="V437" s="98">
        <f>+YEAR(PROVEEDORES[[#This Row],[FECHA DE FACTURACIÓN]])</f>
        <v>2023</v>
      </c>
      <c r="W437" s="98">
        <f>+MATCH(PROVEEDORES[[#This Row],[año facturado]],Retenciones!$1:$1,0)</f>
        <v>6</v>
      </c>
      <c r="X437" s="99">
        <f>+VLOOKUP(PROVEEDORES[[#This Row],[ID RETENCION]],Retenciones!$A$1:$O$25,PROVEEDORES[[#This Row],[indicador de columna]],FALSE)</f>
        <v>1145000</v>
      </c>
      <c r="Y437" s="100">
        <f>+VLOOKUP(PROVEEDORES[[#This Row],[ID RETENCION]],Retenciones!$A$1:$O$25,2,FALSE)</f>
        <v>2.5000000000000001E-2</v>
      </c>
      <c r="Z437" s="103" t="b">
        <f>OR(COUNTIF(PROVEEDORES[[#This Row],[PROVEEDOR]],"*"&amp;'Palabra no opera'!$A$2&amp;"*"))</f>
        <v>0</v>
      </c>
    </row>
    <row r="438" spans="1:26" ht="22.35" customHeight="1" x14ac:dyDescent="0.25">
      <c r="A438" s="143" t="str">
        <f>+IF(PROVEEDORES[[#This Row],[FECHA DE PAGO]]=PROVEEDORES[[#This Row],[FECHA DE FACTURACIÓN]],"DE CONTADO","CRÉDITO")</f>
        <v>CRÉDITO</v>
      </c>
      <c r="B438" s="38" t="str">
        <f>+IF((PROVEEDORES[[#This Row],[FECHA DE PAGO]]-PROVEEDORES[[#This Row],[FECHA DE FACTURACIÓN]])&gt;PROVEEDORES[[#This Row],[PLAZO Días]],"PAGO VENCIDO")</f>
        <v>PAGO VENCIDO</v>
      </c>
      <c r="C438" s="20">
        <f>+VLOOKUP(PROVEEDORES[[#This Row],[PROVEEDOR]],TERCEROS_INFO[#All],2,FALSE)</f>
        <v>60</v>
      </c>
      <c r="D438" s="25">
        <f>+SUMIFS(PROVEEDORES[Total],PROVEEDORES[PROVEEDOR],PROVEEDORES[[#This Row],[PROVEEDOR]],PROVEEDORES[FECHA DE PAGO],"")</f>
        <v>3708614</v>
      </c>
      <c r="E438" s="25"/>
      <c r="F43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38" s="289">
        <v>44992</v>
      </c>
      <c r="H438" s="26" t="s">
        <v>250</v>
      </c>
      <c r="I438" s="289">
        <v>44927</v>
      </c>
      <c r="J438" s="35">
        <v>1585</v>
      </c>
      <c r="K438" s="21">
        <v>192000</v>
      </c>
      <c r="L438" s="21"/>
      <c r="M438" s="22">
        <f>(PROVEEDORES[[#This Row],[SUBTOTAL]]-PROVEEDORES[[#This Row],[descuento sobre subtotal]])*VLOOKUP(PROVEEDORES[[#This Row],[PROVEEDOR]],TERCEROS_INFO[#All],3,FALSE)</f>
        <v>0</v>
      </c>
      <c r="N438" s="23"/>
      <c r="O438" s="22">
        <f>+PROVEEDORES[[#This Row],[Descuento sobre subtotal %]]*(PROVEEDORES[[#This Row],[SUBTOTAL]]-PROVEEDORES[[#This Row],[descuento sobre subtotal]])</f>
        <v>0</v>
      </c>
      <c r="P438" s="72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43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1">
        <f ca="1">IF(PROVEEDORES[[#This Row],[FECHA DE PAGO]]=0,TODAY()-PROVEEDORES[[#This Row],[FECHA DE FACTURACIÓN]]-PROVEEDORES[[#This Row],[PLAZO Días]],0)</f>
        <v>0</v>
      </c>
      <c r="U438" s="97">
        <f>+VLOOKUP(PROVEEDORES[[#This Row],[PROVEEDOR]],Terceros!$A:$D,4,FALSE)</f>
        <v>0</v>
      </c>
      <c r="V438" s="98">
        <f>+YEAR(PROVEEDORES[[#This Row],[FECHA DE FACTURACIÓN]])</f>
        <v>2023</v>
      </c>
      <c r="W438" s="98">
        <f>+MATCH(PROVEEDORES[[#This Row],[año facturado]],Retenciones!$1:$1,0)</f>
        <v>6</v>
      </c>
      <c r="X438" s="99">
        <f>+VLOOKUP(PROVEEDORES[[#This Row],[ID RETENCION]],Retenciones!$A$1:$O$25,PROVEEDORES[[#This Row],[indicador de columna]],FALSE)</f>
        <v>0</v>
      </c>
      <c r="Y438" s="100">
        <f>+VLOOKUP(PROVEEDORES[[#This Row],[ID RETENCION]],Retenciones!$A$1:$O$25,2,FALSE)</f>
        <v>0</v>
      </c>
      <c r="Z438" s="103" t="b">
        <f>OR(COUNTIF(PROVEEDORES[[#This Row],[PROVEEDOR]],"*"&amp;'Palabra no opera'!$A$2&amp;"*"))</f>
        <v>0</v>
      </c>
    </row>
    <row r="439" spans="1:26" ht="22.35" customHeight="1" x14ac:dyDescent="0.25">
      <c r="A439" s="143" t="str">
        <f>+IF(PROVEEDORES[[#This Row],[FECHA DE PAGO]]=PROVEEDORES[[#This Row],[FECHA DE FACTURACIÓN]],"DE CONTADO","CRÉDITO")</f>
        <v>CRÉDITO</v>
      </c>
      <c r="B439" s="38" t="str">
        <f>+IF((PROVEEDORES[[#This Row],[FECHA DE PAGO]]-PROVEEDORES[[#This Row],[FECHA DE FACTURACIÓN]])&gt;PROVEEDORES[[#This Row],[PLAZO Días]],"PAGO VENCIDO")</f>
        <v>PAGO VENCIDO</v>
      </c>
      <c r="C439" s="20">
        <f>+VLOOKUP(PROVEEDORES[[#This Row],[PROVEEDOR]],TERCEROS_INFO[#All],2,FALSE)</f>
        <v>60</v>
      </c>
      <c r="D439" s="25">
        <f>+SUMIFS(PROVEEDORES[Total],PROVEEDORES[PROVEEDOR],PROVEEDORES[[#This Row],[PROVEEDOR]],PROVEEDORES[FECHA DE PAGO],"")</f>
        <v>3708614</v>
      </c>
      <c r="E439" s="25"/>
      <c r="F43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39" s="289">
        <v>44992</v>
      </c>
      <c r="H439" s="26" t="s">
        <v>250</v>
      </c>
      <c r="I439" s="289">
        <v>44927</v>
      </c>
      <c r="J439" s="35">
        <v>1586</v>
      </c>
      <c r="K439" s="21">
        <v>192000</v>
      </c>
      <c r="L439" s="21"/>
      <c r="M439" s="22">
        <f>(PROVEEDORES[[#This Row],[SUBTOTAL]]-PROVEEDORES[[#This Row],[descuento sobre subtotal]])*VLOOKUP(PROVEEDORES[[#This Row],[PROVEEDOR]],TERCEROS_INFO[#All],3,FALSE)</f>
        <v>0</v>
      </c>
      <c r="N439" s="23"/>
      <c r="O439" s="22">
        <f>+PROVEEDORES[[#This Row],[Descuento sobre subtotal %]]*(PROVEEDORES[[#This Row],[SUBTOTAL]]-PROVEEDORES[[#This Row],[descuento sobre subtotal]])</f>
        <v>0</v>
      </c>
      <c r="P439" s="72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43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1">
        <f ca="1">IF(PROVEEDORES[[#This Row],[FECHA DE PAGO]]=0,TODAY()-PROVEEDORES[[#This Row],[FECHA DE FACTURACIÓN]]-PROVEEDORES[[#This Row],[PLAZO Días]],0)</f>
        <v>0</v>
      </c>
      <c r="U439" s="97">
        <f>+VLOOKUP(PROVEEDORES[[#This Row],[PROVEEDOR]],Terceros!$A:$D,4,FALSE)</f>
        <v>0</v>
      </c>
      <c r="V439" s="98">
        <f>+YEAR(PROVEEDORES[[#This Row],[FECHA DE FACTURACIÓN]])</f>
        <v>2023</v>
      </c>
      <c r="W439" s="98">
        <f>+MATCH(PROVEEDORES[[#This Row],[año facturado]],Retenciones!$1:$1,0)</f>
        <v>6</v>
      </c>
      <c r="X439" s="99">
        <f>+VLOOKUP(PROVEEDORES[[#This Row],[ID RETENCION]],Retenciones!$A$1:$O$25,PROVEEDORES[[#This Row],[indicador de columna]],FALSE)</f>
        <v>0</v>
      </c>
      <c r="Y439" s="100">
        <f>+VLOOKUP(PROVEEDORES[[#This Row],[ID RETENCION]],Retenciones!$A$1:$O$25,2,FALSE)</f>
        <v>0</v>
      </c>
      <c r="Z439" s="103" t="b">
        <f>OR(COUNTIF(PROVEEDORES[[#This Row],[PROVEEDOR]],"*"&amp;'Palabra no opera'!$A$2&amp;"*"))</f>
        <v>0</v>
      </c>
    </row>
    <row r="440" spans="1:26" ht="22.35" customHeight="1" x14ac:dyDescent="0.25">
      <c r="A440" s="65" t="str">
        <f>+IF(PROVEEDORES[[#This Row],[FECHA DE PAGO]]=PROVEEDORES[[#This Row],[FECHA DE FACTURACIÓN]],"DE CONTADO","CRÉDITO")</f>
        <v>CRÉDITO</v>
      </c>
      <c r="B440" s="38" t="b">
        <f>+IF((PROVEEDORES[[#This Row],[FECHA DE PAGO]]-PROVEEDORES[[#This Row],[FECHA DE FACTURACIÓN]])&gt;PROVEEDORES[[#This Row],[PLAZO Días]],"PAGO VENCIDO")</f>
        <v>0</v>
      </c>
      <c r="C440" s="20">
        <f>+VLOOKUP(PROVEEDORES[[#This Row],[PROVEEDOR]],TERCEROS_INFO[#All],2,FALSE)</f>
        <v>60</v>
      </c>
      <c r="D440" s="25">
        <f>+SUMIFS(PROVEEDORES[Total],PROVEEDORES[PROVEEDOR],PROVEEDORES[[#This Row],[PROVEEDOR]],PROVEEDORES[FECHA DE PAGO],"")</f>
        <v>3708614</v>
      </c>
      <c r="E440" s="25"/>
      <c r="F44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0" s="289">
        <v>44992</v>
      </c>
      <c r="H440" s="26" t="s">
        <v>250</v>
      </c>
      <c r="I440" s="289">
        <v>44949</v>
      </c>
      <c r="J440" s="35">
        <v>1591</v>
      </c>
      <c r="K440" s="21">
        <v>519340</v>
      </c>
      <c r="L440" s="21"/>
      <c r="M440" s="22">
        <f>(PROVEEDORES[[#This Row],[SUBTOTAL]]-PROVEEDORES[[#This Row],[descuento sobre subtotal]])*VLOOKUP(PROVEEDORES[[#This Row],[PROVEEDOR]],TERCEROS_INFO[#All],3,FALSE)</f>
        <v>0</v>
      </c>
      <c r="N440" s="23"/>
      <c r="O440" s="22">
        <f>+PROVEEDORES[[#This Row],[Descuento sobre subtotal %]]*(PROVEEDORES[[#This Row],[SUBTOTAL]]-PROVEEDORES[[#This Row],[descuento sobre subtotal]])</f>
        <v>0</v>
      </c>
      <c r="P440" s="72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f>+PROVEEDORES[[#This Row],[SUBTOTAL]]+PROVEEDORES[[#This Row],[IVA 19%]]-PROVEEDORES[[#This Row],[descuento sobre subtotal]]-PROVEEDORES[[#This Row],[Descuento sobre subtotal $2]]-PROVEEDORES[[#This Row],[Rete Fuente $]]</f>
        <v>519340</v>
      </c>
      <c r="S44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1">
        <f ca="1">IF(PROVEEDORES[[#This Row],[FECHA DE PAGO]]=0,TODAY()-PROVEEDORES[[#This Row],[FECHA DE FACTURACIÓN]]-PROVEEDORES[[#This Row],[PLAZO Días]],0)</f>
        <v>0</v>
      </c>
      <c r="U440" s="97">
        <f>+VLOOKUP(PROVEEDORES[[#This Row],[PROVEEDOR]],Terceros!$A:$D,4,FALSE)</f>
        <v>0</v>
      </c>
      <c r="V440" s="98">
        <f>+YEAR(PROVEEDORES[[#This Row],[FECHA DE FACTURACIÓN]])</f>
        <v>2023</v>
      </c>
      <c r="W440" s="98">
        <f>+MATCH(PROVEEDORES[[#This Row],[año facturado]],Retenciones!$1:$1,0)</f>
        <v>6</v>
      </c>
      <c r="X440" s="99">
        <f>+VLOOKUP(PROVEEDORES[[#This Row],[ID RETENCION]],Retenciones!$A$1:$O$25,PROVEEDORES[[#This Row],[indicador de columna]],FALSE)</f>
        <v>0</v>
      </c>
      <c r="Y440" s="100">
        <f>+VLOOKUP(PROVEEDORES[[#This Row],[ID RETENCION]],Retenciones!$A$1:$O$25,2,FALSE)</f>
        <v>0</v>
      </c>
      <c r="Z440" s="103" t="b">
        <f>OR(COUNTIF(PROVEEDORES[[#This Row],[PROVEEDOR]],"*"&amp;'Palabra no opera'!$A$2&amp;"*"))</f>
        <v>0</v>
      </c>
    </row>
    <row r="441" spans="1:26" ht="22.35" customHeight="1" x14ac:dyDescent="0.25">
      <c r="A441" s="147" t="str">
        <f>+IF(PROVEEDORES[[#This Row],[FECHA DE PAGO]]=PROVEEDORES[[#This Row],[FECHA DE FACTURACIÓN]],"DE CONTADO","CRÉDITO")</f>
        <v>CRÉDITO</v>
      </c>
      <c r="B441" s="38" t="b">
        <f>+IF((PROVEEDORES[[#This Row],[FECHA DE PAGO]]-PROVEEDORES[[#This Row],[FECHA DE FACTURACIÓN]])&gt;PROVEEDORES[[#This Row],[PLAZO Días]],"PAGO VENCIDO")</f>
        <v>0</v>
      </c>
      <c r="C441" s="20">
        <f>+VLOOKUP(PROVEEDORES[[#This Row],[PROVEEDOR]],TERCEROS_INFO[#All],2,FALSE)</f>
        <v>60</v>
      </c>
      <c r="D441" s="25">
        <f>+SUMIFS(PROVEEDORES[Total],PROVEEDORES[PROVEEDOR],PROVEEDORES[[#This Row],[PROVEEDOR]],PROVEEDORES[FECHA DE PAGO],"")</f>
        <v>3708614</v>
      </c>
      <c r="E441" s="25"/>
      <c r="F44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1" s="289">
        <v>44992</v>
      </c>
      <c r="H441" s="26" t="s">
        <v>250</v>
      </c>
      <c r="I441" s="289">
        <v>44949</v>
      </c>
      <c r="J441" s="35">
        <v>1598</v>
      </c>
      <c r="K441" s="21">
        <v>184000</v>
      </c>
      <c r="L441" s="21"/>
      <c r="M441" s="22">
        <f>(PROVEEDORES[[#This Row],[SUBTOTAL]]-PROVEEDORES[[#This Row],[descuento sobre subtotal]])*VLOOKUP(PROVEEDORES[[#This Row],[PROVEEDOR]],TERCEROS_INFO[#All],3,FALSE)</f>
        <v>0</v>
      </c>
      <c r="N441" s="23"/>
      <c r="O441" s="22">
        <f>+PROVEEDORES[[#This Row],[Descuento sobre subtotal %]]*(PROVEEDORES[[#This Row],[SUBTOTAL]]-PROVEEDORES[[#This Row],[descuento sobre subtotal]])</f>
        <v>0</v>
      </c>
      <c r="P441" s="72">
        <f>+IF(PROVEEDORES[[#This Row],[SUBTOTAL]]&lt;PROVEEDORES[[#This Row],[base retencion]],0,PROVEEDORES[[#This Row],[retención aplicada]])</f>
        <v>0</v>
      </c>
      <c r="Q441" s="22">
        <f>+PROVEEDORES[[#This Row],[Rete Fuente %]]*(PROVEEDORES[[#This Row],[SUBTOTAL]]-PROVEEDORES[[#This Row],[descuento sobre subtotal]])</f>
        <v>0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441" s="14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1">
        <f ca="1">IF(PROVEEDORES[[#This Row],[FECHA DE PAGO]]=0,TODAY()-PROVEEDORES[[#This Row],[FECHA DE FACTURACIÓN]]-PROVEEDORES[[#This Row],[PLAZO Días]],0)</f>
        <v>0</v>
      </c>
      <c r="U441" s="97">
        <f>+VLOOKUP(PROVEEDORES[[#This Row],[PROVEEDOR]],Terceros!$A:$D,4,FALSE)</f>
        <v>0</v>
      </c>
      <c r="V441" s="98">
        <f>+YEAR(PROVEEDORES[[#This Row],[FECHA DE FACTURACIÓN]])</f>
        <v>2023</v>
      </c>
      <c r="W441" s="98">
        <f>+MATCH(PROVEEDORES[[#This Row],[año facturado]],Retenciones!$1:$1,0)</f>
        <v>6</v>
      </c>
      <c r="X441" s="99">
        <f>+VLOOKUP(PROVEEDORES[[#This Row],[ID RETENCION]],Retenciones!$A$1:$O$25,PROVEEDORES[[#This Row],[indicador de columna]],FALSE)</f>
        <v>0</v>
      </c>
      <c r="Y441" s="100">
        <f>+VLOOKUP(PROVEEDORES[[#This Row],[ID RETENCION]],Retenciones!$A$1:$O$25,2,FALSE)</f>
        <v>0</v>
      </c>
      <c r="Z441" s="103" t="b">
        <f>OR(COUNTIF(PROVEEDORES[[#This Row],[PROVEEDOR]],"*"&amp;'Palabra no opera'!$A$2&amp;"*"))</f>
        <v>0</v>
      </c>
    </row>
    <row r="442" spans="1:26" ht="22.35" customHeight="1" x14ac:dyDescent="0.25">
      <c r="A442" s="151" t="str">
        <f>+IF(PROVEEDORES[[#This Row],[FECHA DE PAGO]]=PROVEEDORES[[#This Row],[FECHA DE FACTURACIÓN]],"DE CONTADO","CRÉDITO")</f>
        <v>CRÉDITO</v>
      </c>
      <c r="B442" s="38" t="b">
        <f>+IF((PROVEEDORES[[#This Row],[FECHA DE PAGO]]-PROVEEDORES[[#This Row],[FECHA DE FACTURACIÓN]])&gt;PROVEEDORES[[#This Row],[PLAZO Días]],"PAGO VENCIDO")</f>
        <v>0</v>
      </c>
      <c r="C442" s="20">
        <f>+VLOOKUP(PROVEEDORES[[#This Row],[PROVEEDOR]],TERCEROS_INFO[#All],2,FALSE)</f>
        <v>60</v>
      </c>
      <c r="D442" s="25">
        <f>+SUMIFS(PROVEEDORES[Total],PROVEEDORES[PROVEEDOR],PROVEEDORES[[#This Row],[PROVEEDOR]],PROVEEDORES[FECHA DE PAGO],"")</f>
        <v>3708614</v>
      </c>
      <c r="E442" s="25"/>
      <c r="F44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2" s="289">
        <v>44992</v>
      </c>
      <c r="H442" s="26" t="s">
        <v>250</v>
      </c>
      <c r="I442" s="289">
        <v>44963</v>
      </c>
      <c r="J442" s="35">
        <v>1607</v>
      </c>
      <c r="K442" s="21">
        <v>191200</v>
      </c>
      <c r="L442" s="21"/>
      <c r="M442" s="22">
        <f>(PROVEEDORES[[#This Row],[SUBTOTAL]]-PROVEEDORES[[#This Row],[descuento sobre subtotal]])*VLOOKUP(PROVEEDORES[[#This Row],[PROVEEDOR]],TERCEROS_INFO[#All],3,FALSE)</f>
        <v>0</v>
      </c>
      <c r="N442" s="23"/>
      <c r="O442" s="22">
        <f>+PROVEEDORES[[#This Row],[Descuento sobre subtotal %]]*(PROVEEDORES[[#This Row],[SUBTOTAL]]-PROVEEDORES[[#This Row],[descuento sobre subtotal]])</f>
        <v>0</v>
      </c>
      <c r="P442" s="72">
        <f>+IF(PROVEEDORES[[#This Row],[SUBTOTAL]]&lt;PROVEEDORES[[#This Row],[base retencion]],0,PROVEEDORES[[#This Row],[retención aplicada]])</f>
        <v>0</v>
      </c>
      <c r="Q442" s="22">
        <f>+PROVEEDORES[[#This Row],[Rete Fuente %]]*(PROVEEDORES[[#This Row],[SUBTOTAL]]-PROVEEDORES[[#This Row],[descuento sobre subtotal]])</f>
        <v>0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442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1">
        <f ca="1">IF(PROVEEDORES[[#This Row],[FECHA DE PAGO]]=0,TODAY()-PROVEEDORES[[#This Row],[FECHA DE FACTURACIÓN]]-PROVEEDORES[[#This Row],[PLAZO Días]],0)</f>
        <v>0</v>
      </c>
      <c r="U442" s="97">
        <f>+VLOOKUP(PROVEEDORES[[#This Row],[PROVEEDOR]],Terceros!$A:$D,4,FALSE)</f>
        <v>0</v>
      </c>
      <c r="V442" s="98">
        <f>+YEAR(PROVEEDORES[[#This Row],[FECHA DE FACTURACIÓN]])</f>
        <v>2023</v>
      </c>
      <c r="W442" s="98">
        <f>+MATCH(PROVEEDORES[[#This Row],[año facturado]],Retenciones!$1:$1,0)</f>
        <v>6</v>
      </c>
      <c r="X442" s="99">
        <f>+VLOOKUP(PROVEEDORES[[#This Row],[ID RETENCION]],Retenciones!$A$1:$O$25,PROVEEDORES[[#This Row],[indicador de columna]],FALSE)</f>
        <v>0</v>
      </c>
      <c r="Y442" s="100">
        <f>+VLOOKUP(PROVEEDORES[[#This Row],[ID RETENCION]],Retenciones!$A$1:$O$25,2,FALSE)</f>
        <v>0</v>
      </c>
      <c r="Z442" s="103" t="b">
        <f>OR(COUNTIF(PROVEEDORES[[#This Row],[PROVEEDOR]],"*"&amp;'Palabra no opera'!$A$2&amp;"*"))</f>
        <v>0</v>
      </c>
    </row>
    <row r="443" spans="1:26" ht="22.35" customHeight="1" x14ac:dyDescent="0.25">
      <c r="A443" s="151" t="str">
        <f>+IF(PROVEEDORES[[#This Row],[FECHA DE PAGO]]=PROVEEDORES[[#This Row],[FECHA DE FACTURACIÓN]],"DE CONTADO","CRÉDITO")</f>
        <v>CRÉDITO</v>
      </c>
      <c r="B443" s="38" t="b">
        <f>+IF((PROVEEDORES[[#This Row],[FECHA DE PAGO]]-PROVEEDORES[[#This Row],[FECHA DE FACTURACIÓN]])&gt;PROVEEDORES[[#This Row],[PLAZO Días]],"PAGO VENCIDO")</f>
        <v>0</v>
      </c>
      <c r="C443" s="20">
        <f>+VLOOKUP(PROVEEDORES[[#This Row],[PROVEEDOR]],TERCEROS_INFO[#All],2,FALSE)</f>
        <v>60</v>
      </c>
      <c r="D443" s="25">
        <f>+SUMIFS(PROVEEDORES[Total],PROVEEDORES[PROVEEDOR],PROVEEDORES[[#This Row],[PROVEEDOR]],PROVEEDORES[FECHA DE PAGO],"")</f>
        <v>3708614</v>
      </c>
      <c r="E443" s="25"/>
      <c r="F44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3" s="289">
        <v>44992</v>
      </c>
      <c r="H443" s="26" t="s">
        <v>250</v>
      </c>
      <c r="I443" s="289">
        <v>44963</v>
      </c>
      <c r="J443" s="35">
        <v>1608</v>
      </c>
      <c r="K443" s="21">
        <v>191200</v>
      </c>
      <c r="L443" s="21"/>
      <c r="M443" s="22">
        <f>(PROVEEDORES[[#This Row],[SUBTOTAL]]-PROVEEDORES[[#This Row],[descuento sobre subtotal]])*VLOOKUP(PROVEEDORES[[#This Row],[PROVEEDOR]],TERCEROS_INFO[#All],3,FALSE)</f>
        <v>0</v>
      </c>
      <c r="N443" s="23"/>
      <c r="O443" s="22">
        <f>+PROVEEDORES[[#This Row],[Descuento sobre subtotal %]]*(PROVEEDORES[[#This Row],[SUBTOTAL]]-PROVEEDORES[[#This Row],[descuento sobre subtotal]])</f>
        <v>0</v>
      </c>
      <c r="P443" s="72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443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1">
        <f ca="1">IF(PROVEEDORES[[#This Row],[FECHA DE PAGO]]=0,TODAY()-PROVEEDORES[[#This Row],[FECHA DE FACTURACIÓN]]-PROVEEDORES[[#This Row],[PLAZO Días]],0)</f>
        <v>0</v>
      </c>
      <c r="U443" s="97">
        <f>+VLOOKUP(PROVEEDORES[[#This Row],[PROVEEDOR]],Terceros!$A:$D,4,FALSE)</f>
        <v>0</v>
      </c>
      <c r="V443" s="98">
        <f>+YEAR(PROVEEDORES[[#This Row],[FECHA DE FACTURACIÓN]])</f>
        <v>2023</v>
      </c>
      <c r="W443" s="98">
        <f>+MATCH(PROVEEDORES[[#This Row],[año facturado]],Retenciones!$1:$1,0)</f>
        <v>6</v>
      </c>
      <c r="X443" s="99">
        <f>+VLOOKUP(PROVEEDORES[[#This Row],[ID RETENCION]],Retenciones!$A$1:$O$25,PROVEEDORES[[#This Row],[indicador de columna]],FALSE)</f>
        <v>0</v>
      </c>
      <c r="Y443" s="100">
        <f>+VLOOKUP(PROVEEDORES[[#This Row],[ID RETENCION]],Retenciones!$A$1:$O$25,2,FALSE)</f>
        <v>0</v>
      </c>
      <c r="Z443" s="103" t="b">
        <f>OR(COUNTIF(PROVEEDORES[[#This Row],[PROVEEDOR]],"*"&amp;'Palabra no opera'!$A$2&amp;"*"))</f>
        <v>0</v>
      </c>
    </row>
    <row r="444" spans="1:26" ht="22.35" customHeight="1" x14ac:dyDescent="0.25">
      <c r="A444" s="157" t="str">
        <f>+IF(PROVEEDORES[[#This Row],[FECHA DE PAGO]]=PROVEEDORES[[#This Row],[FECHA DE FACTURACIÓN]],"DE CONTADO","CRÉDITO")</f>
        <v>CRÉDITO</v>
      </c>
      <c r="B444" s="38" t="b">
        <f>+IF((PROVEEDORES[[#This Row],[FECHA DE PAGO]]-PROVEEDORES[[#This Row],[FECHA DE FACTURACIÓN]])&gt;PROVEEDORES[[#This Row],[PLAZO Días]],"PAGO VENCIDO")</f>
        <v>0</v>
      </c>
      <c r="C444" s="20">
        <f>+VLOOKUP(PROVEEDORES[[#This Row],[PROVEEDOR]],TERCEROS_INFO[#All],2,FALSE)</f>
        <v>60</v>
      </c>
      <c r="D444" s="25">
        <f>+SUMIFS(PROVEEDORES[Total],PROVEEDORES[PROVEEDOR],PROVEEDORES[[#This Row],[PROVEEDOR]],PROVEEDORES[FECHA DE PAGO],"")</f>
        <v>3708614</v>
      </c>
      <c r="E444" s="25"/>
      <c r="F44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4" s="289">
        <v>44992</v>
      </c>
      <c r="H444" s="26" t="s">
        <v>250</v>
      </c>
      <c r="I444" s="289">
        <v>44963</v>
      </c>
      <c r="J444" s="35">
        <v>1624</v>
      </c>
      <c r="K444" s="21">
        <v>1178064</v>
      </c>
      <c r="L444" s="21"/>
      <c r="M444" s="22">
        <f>(PROVEEDORES[[#This Row],[SUBTOTAL]]-PROVEEDORES[[#This Row],[descuento sobre subtotal]])*VLOOKUP(PROVEEDORES[[#This Row],[PROVEEDOR]],TERCEROS_INFO[#All],3,FALSE)</f>
        <v>0</v>
      </c>
      <c r="N444" s="23"/>
      <c r="O444" s="22">
        <f>+PROVEEDORES[[#This Row],[Descuento sobre subtotal %]]*(PROVEEDORES[[#This Row],[SUBTOTAL]]-PROVEEDORES[[#This Row],[descuento sobre subtotal]])</f>
        <v>0</v>
      </c>
      <c r="P444" s="72">
        <f>+IF(PROVEEDORES[[#This Row],[SUBTOTAL]]&lt;PROVEEDORES[[#This Row],[base retencion]],0,PROVEEDORES[[#This Row],[retención aplicada]])</f>
        <v>0</v>
      </c>
      <c r="Q444" s="22">
        <f>+PROVEEDORES[[#This Row],[Rete Fuente %]]*(PROVEEDORES[[#This Row],[SUBTOTAL]]-PROVEEDORES[[#This Row],[descuento sobre subtotal]])</f>
        <v>0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1178064</v>
      </c>
      <c r="S444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1">
        <f ca="1">IF(PROVEEDORES[[#This Row],[FECHA DE PAGO]]=0,TODAY()-PROVEEDORES[[#This Row],[FECHA DE FACTURACIÓN]]-PROVEEDORES[[#This Row],[PLAZO Días]],0)</f>
        <v>0</v>
      </c>
      <c r="U444" s="97">
        <f>+VLOOKUP(PROVEEDORES[[#This Row],[PROVEEDOR]],Terceros!$A:$D,4,FALSE)</f>
        <v>0</v>
      </c>
      <c r="V444" s="98">
        <f>+YEAR(PROVEEDORES[[#This Row],[FECHA DE FACTURACIÓN]])</f>
        <v>2023</v>
      </c>
      <c r="W444" s="98">
        <f>+MATCH(PROVEEDORES[[#This Row],[año facturado]],Retenciones!$1:$1,0)</f>
        <v>6</v>
      </c>
      <c r="X444" s="99">
        <f>+VLOOKUP(PROVEEDORES[[#This Row],[ID RETENCION]],Retenciones!$A$1:$O$25,PROVEEDORES[[#This Row],[indicador de columna]],FALSE)</f>
        <v>0</v>
      </c>
      <c r="Y444" s="100">
        <f>+VLOOKUP(PROVEEDORES[[#This Row],[ID RETENCION]],Retenciones!$A$1:$O$25,2,FALSE)</f>
        <v>0</v>
      </c>
      <c r="Z444" s="103" t="b">
        <f>OR(COUNTIF(PROVEEDORES[[#This Row],[PROVEEDOR]],"*"&amp;'Palabra no opera'!$A$2&amp;"*"))</f>
        <v>0</v>
      </c>
    </row>
    <row r="445" spans="1:26" ht="22.35" customHeight="1" x14ac:dyDescent="0.25">
      <c r="A445" s="157" t="str">
        <f>+IF(PROVEEDORES[[#This Row],[FECHA DE PAGO]]=PROVEEDORES[[#This Row],[FECHA DE FACTURACIÓN]],"DE CONTADO","CRÉDITO")</f>
        <v>CRÉDITO</v>
      </c>
      <c r="B445" s="38" t="b">
        <f>+IF((PROVEEDORES[[#This Row],[FECHA DE PAGO]]-PROVEEDORES[[#This Row],[FECHA DE FACTURACIÓN]])&gt;PROVEEDORES[[#This Row],[PLAZO Días]],"PAGO VENCIDO")</f>
        <v>0</v>
      </c>
      <c r="C445" s="20">
        <f>+VLOOKUP(PROVEEDORES[[#This Row],[PROVEEDOR]],TERCEROS_INFO[#All],2,FALSE)</f>
        <v>60</v>
      </c>
      <c r="D445" s="25">
        <f>+SUMIFS(PROVEEDORES[Total],PROVEEDORES[PROVEEDOR],PROVEEDORES[[#This Row],[PROVEEDOR]],PROVEEDORES[FECHA DE PAGO],"")</f>
        <v>3708614</v>
      </c>
      <c r="E445" s="25"/>
      <c r="F44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5" s="289">
        <v>44992</v>
      </c>
      <c r="H445" s="26" t="s">
        <v>250</v>
      </c>
      <c r="I445" s="289">
        <v>44963</v>
      </c>
      <c r="J445" s="35">
        <v>1623</v>
      </c>
      <c r="K445" s="21">
        <v>349920</v>
      </c>
      <c r="L445" s="21"/>
      <c r="M445" s="22">
        <f>(PROVEEDORES[[#This Row],[SUBTOTAL]]-PROVEEDORES[[#This Row],[descuento sobre subtotal]])*VLOOKUP(PROVEEDORES[[#This Row],[PROVEEDOR]],TERCEROS_INFO[#All],3,FALSE)</f>
        <v>0</v>
      </c>
      <c r="N445" s="23"/>
      <c r="O445" s="22">
        <f>+PROVEEDORES[[#This Row],[Descuento sobre subtotal %]]*(PROVEEDORES[[#This Row],[SUBTOTAL]]-PROVEEDORES[[#This Row],[descuento sobre subtotal]])</f>
        <v>0</v>
      </c>
      <c r="P445" s="72">
        <f>+IF(PROVEEDORES[[#This Row],[SUBTOTAL]]&lt;PROVEEDORES[[#This Row],[base retencion]],0,PROVEEDORES[[#This Row],[retención aplicada]])</f>
        <v>0</v>
      </c>
      <c r="Q445" s="22">
        <f>+PROVEEDORES[[#This Row],[Rete Fuente %]]*(PROVEEDORES[[#This Row],[SUBTOTAL]]-PROVEEDORES[[#This Row],[descuento sobre subtotal]])</f>
        <v>0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349920</v>
      </c>
      <c r="S445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1">
        <f ca="1">IF(PROVEEDORES[[#This Row],[FECHA DE PAGO]]=0,TODAY()-PROVEEDORES[[#This Row],[FECHA DE FACTURACIÓN]]-PROVEEDORES[[#This Row],[PLAZO Días]],0)</f>
        <v>0</v>
      </c>
      <c r="U445" s="97">
        <f>+VLOOKUP(PROVEEDORES[[#This Row],[PROVEEDOR]],Terceros!$A:$D,4,FALSE)</f>
        <v>0</v>
      </c>
      <c r="V445" s="98">
        <f>+YEAR(PROVEEDORES[[#This Row],[FECHA DE FACTURACIÓN]])</f>
        <v>2023</v>
      </c>
      <c r="W445" s="98">
        <f>+MATCH(PROVEEDORES[[#This Row],[año facturado]],Retenciones!$1:$1,0)</f>
        <v>6</v>
      </c>
      <c r="X445" s="99">
        <f>+VLOOKUP(PROVEEDORES[[#This Row],[ID RETENCION]],Retenciones!$A$1:$O$25,PROVEEDORES[[#This Row],[indicador de columna]],FALSE)</f>
        <v>0</v>
      </c>
      <c r="Y445" s="100">
        <f>+VLOOKUP(PROVEEDORES[[#This Row],[ID RETENCION]],Retenciones!$A$1:$O$25,2,FALSE)</f>
        <v>0</v>
      </c>
      <c r="Z445" s="103" t="b">
        <f>OR(COUNTIF(PROVEEDORES[[#This Row],[PROVEEDOR]],"*"&amp;'Palabra no opera'!$A$2&amp;"*"))</f>
        <v>0</v>
      </c>
    </row>
    <row r="446" spans="1:26" ht="22.35" customHeight="1" x14ac:dyDescent="0.25">
      <c r="A446" s="65" t="str">
        <f>+IF(PROVEEDORES[[#This Row],[FECHA DE PAGO]]=PROVEEDORES[[#This Row],[FECHA DE FACTURACIÓN]],"DE CONTADO","CRÉDITO")</f>
        <v>CRÉDITO</v>
      </c>
      <c r="B446" s="38" t="b">
        <f>+IF((PROVEEDORES[[#This Row],[FECHA DE PAGO]]-PROVEEDORES[[#This Row],[FECHA DE FACTURACIÓN]])&gt;PROVEEDORES[[#This Row],[PLAZO Días]],"PAGO VENCIDO")</f>
        <v>0</v>
      </c>
      <c r="C446" s="20">
        <f>+VLOOKUP(PROVEEDORES[[#This Row],[PROVEEDOR]],TERCEROS_INFO[#All],2,FALSE)</f>
        <v>60</v>
      </c>
      <c r="D446" s="25">
        <f>+SUMIFS(PROVEEDORES[Total],PROVEEDORES[PROVEEDOR],PROVEEDORES[[#This Row],[PROVEEDOR]],PROVEEDORES[FECHA DE PAGO],"")</f>
        <v>3708614</v>
      </c>
      <c r="E446" s="25"/>
      <c r="F44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6" s="289">
        <v>45026</v>
      </c>
      <c r="H446" s="26" t="s">
        <v>250</v>
      </c>
      <c r="I446" s="289">
        <v>44999</v>
      </c>
      <c r="J446" s="35">
        <v>1627</v>
      </c>
      <c r="K446" s="21">
        <v>312320</v>
      </c>
      <c r="L446" s="21"/>
      <c r="M446" s="22">
        <f>(PROVEEDORES[[#This Row],[SUBTOTAL]]-PROVEEDORES[[#This Row],[descuento sobre subtotal]])*VLOOKUP(PROVEEDORES[[#This Row],[PROVEEDOR]],TERCEROS_INFO[#All],3,FALSE)</f>
        <v>0</v>
      </c>
      <c r="N446" s="23"/>
      <c r="O446" s="22">
        <f>+PROVEEDORES[[#This Row],[Descuento sobre subtotal %]]*(PROVEEDORES[[#This Row],[SUBTOTAL]]-PROVEEDORES[[#This Row],[descuento sobre subtotal]])</f>
        <v>0</v>
      </c>
      <c r="P446" s="72">
        <f>+IF(PROVEEDORES[[#This Row],[SUBTOTAL]]&lt;PROVEEDORES[[#This Row],[base retencion]],0,PROVEEDORES[[#This Row],[retención aplicada]])</f>
        <v>0</v>
      </c>
      <c r="Q446" s="22">
        <f>+PROVEEDORES[[#This Row],[Rete Fuente %]]*(PROVEEDORES[[#This Row],[SUBTOTAL]]-PROVEEDORES[[#This Row],[descuento sobre subtotal]])</f>
        <v>0</v>
      </c>
      <c r="R446" s="21">
        <f>+PROVEEDORES[[#This Row],[SUBTOTAL]]+PROVEEDORES[[#This Row],[IVA 19%]]-PROVEEDORES[[#This Row],[descuento sobre subtotal]]-PROVEEDORES[[#This Row],[Descuento sobre subtotal $2]]-PROVEEDORES[[#This Row],[Rete Fuente $]]</f>
        <v>312320</v>
      </c>
      <c r="S44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1">
        <f ca="1">IF(PROVEEDORES[[#This Row],[FECHA DE PAGO]]=0,TODAY()-PROVEEDORES[[#This Row],[FECHA DE FACTURACIÓN]]-PROVEEDORES[[#This Row],[PLAZO Días]],0)</f>
        <v>0</v>
      </c>
      <c r="U446" s="97">
        <f>+VLOOKUP(PROVEEDORES[[#This Row],[PROVEEDOR]],Terceros!$A:$D,4,FALSE)</f>
        <v>0</v>
      </c>
      <c r="V446" s="98">
        <f>+YEAR(PROVEEDORES[[#This Row],[FECHA DE FACTURACIÓN]])</f>
        <v>2023</v>
      </c>
      <c r="W446" s="98">
        <f>+MATCH(PROVEEDORES[[#This Row],[año facturado]],Retenciones!$1:$1,0)</f>
        <v>6</v>
      </c>
      <c r="X446" s="99">
        <f>+VLOOKUP(PROVEEDORES[[#This Row],[ID RETENCION]],Retenciones!$A$1:$O$25,PROVEEDORES[[#This Row],[indicador de columna]],FALSE)</f>
        <v>0</v>
      </c>
      <c r="Y446" s="100">
        <f>+VLOOKUP(PROVEEDORES[[#This Row],[ID RETENCION]],Retenciones!$A$1:$O$25,2,FALSE)</f>
        <v>0</v>
      </c>
      <c r="Z446" s="103" t="b">
        <f>OR(COUNTIF(PROVEEDORES[[#This Row],[PROVEEDOR]],"*"&amp;'Palabra no opera'!$A$2&amp;"*"))</f>
        <v>0</v>
      </c>
    </row>
    <row r="447" spans="1:26" ht="22.35" customHeight="1" x14ac:dyDescent="0.25">
      <c r="A447" s="65" t="str">
        <f>+IF(PROVEEDORES[[#This Row],[FECHA DE PAGO]]=PROVEEDORES[[#This Row],[FECHA DE FACTURACIÓN]],"DE CONTADO","CRÉDITO")</f>
        <v>CRÉDITO</v>
      </c>
      <c r="B447" s="38" t="b">
        <f>+IF((PROVEEDORES[[#This Row],[FECHA DE PAGO]]-PROVEEDORES[[#This Row],[FECHA DE FACTURACIÓN]])&gt;PROVEEDORES[[#This Row],[PLAZO Días]],"PAGO VENCIDO")</f>
        <v>0</v>
      </c>
      <c r="C447" s="20">
        <f>+VLOOKUP(PROVEEDORES[[#This Row],[PROVEEDOR]],TERCEROS_INFO[#All],2,FALSE)</f>
        <v>60</v>
      </c>
      <c r="D447" s="25">
        <f>+SUMIFS(PROVEEDORES[Total],PROVEEDORES[PROVEEDOR],PROVEEDORES[[#This Row],[PROVEEDOR]],PROVEEDORES[FECHA DE PAGO],"")</f>
        <v>3708614</v>
      </c>
      <c r="E447" s="25"/>
      <c r="F44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7" s="289">
        <v>45026</v>
      </c>
      <c r="H447" s="26" t="s">
        <v>250</v>
      </c>
      <c r="I447" s="289">
        <v>44999</v>
      </c>
      <c r="J447" s="35">
        <v>1628</v>
      </c>
      <c r="K447" s="21">
        <v>214720</v>
      </c>
      <c r="L447" s="21"/>
      <c r="M447" s="22">
        <f>(PROVEEDORES[[#This Row],[SUBTOTAL]]-PROVEEDORES[[#This Row],[descuento sobre subtotal]])*VLOOKUP(PROVEEDORES[[#This Row],[PROVEEDOR]],TERCEROS_INFO[#All],3,FALSE)</f>
        <v>0</v>
      </c>
      <c r="N447" s="23"/>
      <c r="O447" s="22">
        <f>+PROVEEDORES[[#This Row],[Descuento sobre subtotal %]]*(PROVEEDORES[[#This Row],[SUBTOTAL]]-PROVEEDORES[[#This Row],[descuento sobre subtotal]])</f>
        <v>0</v>
      </c>
      <c r="P447" s="72">
        <f>+IF(PROVEEDORES[[#This Row],[SUBTOTAL]]&lt;PROVEEDORES[[#This Row],[base retencion]],0,PROVEEDORES[[#This Row],[retención aplicada]])</f>
        <v>0</v>
      </c>
      <c r="Q447" s="22">
        <f>+PROVEEDORES[[#This Row],[Rete Fuente %]]*(PROVEEDORES[[#This Row],[SUBTOTAL]]-PROVEEDORES[[#This Row],[descuento sobre subtotal]])</f>
        <v>0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214720</v>
      </c>
      <c r="S4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1">
        <f ca="1">IF(PROVEEDORES[[#This Row],[FECHA DE PAGO]]=0,TODAY()-PROVEEDORES[[#This Row],[FECHA DE FACTURACIÓN]]-PROVEEDORES[[#This Row],[PLAZO Días]],0)</f>
        <v>0</v>
      </c>
      <c r="U447" s="97">
        <f>+VLOOKUP(PROVEEDORES[[#This Row],[PROVEEDOR]],Terceros!$A:$D,4,FALSE)</f>
        <v>0</v>
      </c>
      <c r="V447" s="98">
        <f>+YEAR(PROVEEDORES[[#This Row],[FECHA DE FACTURACIÓN]])</f>
        <v>2023</v>
      </c>
      <c r="W447" s="98">
        <f>+MATCH(PROVEEDORES[[#This Row],[año facturado]],Retenciones!$1:$1,0)</f>
        <v>6</v>
      </c>
      <c r="X447" s="99">
        <f>+VLOOKUP(PROVEEDORES[[#This Row],[ID RETENCION]],Retenciones!$A$1:$O$25,PROVEEDORES[[#This Row],[indicador de columna]],FALSE)</f>
        <v>0</v>
      </c>
      <c r="Y447" s="100">
        <f>+VLOOKUP(PROVEEDORES[[#This Row],[ID RETENCION]],Retenciones!$A$1:$O$25,2,FALSE)</f>
        <v>0</v>
      </c>
      <c r="Z447" s="103" t="b">
        <f>OR(COUNTIF(PROVEEDORES[[#This Row],[PROVEEDOR]],"*"&amp;'Palabra no opera'!$A$2&amp;"*"))</f>
        <v>0</v>
      </c>
    </row>
    <row r="448" spans="1:26" ht="22.35" customHeight="1" x14ac:dyDescent="0.25">
      <c r="A448" s="164" t="str">
        <f>+IF(PROVEEDORES[[#This Row],[FECHA DE PAGO]]=PROVEEDORES[[#This Row],[FECHA DE FACTURACIÓN]],"DE CONTADO","CRÉDITO")</f>
        <v>CRÉDITO</v>
      </c>
      <c r="B448" s="38" t="b">
        <f>+IF((PROVEEDORES[[#This Row],[FECHA DE PAGO]]-PROVEEDORES[[#This Row],[FECHA DE FACTURACIÓN]])&gt;PROVEEDORES[[#This Row],[PLAZO Días]],"PAGO VENCIDO")</f>
        <v>0</v>
      </c>
      <c r="C448" s="20">
        <f>+VLOOKUP(PROVEEDORES[[#This Row],[PROVEEDOR]],TERCEROS_INFO[#All],2,FALSE)</f>
        <v>60</v>
      </c>
      <c r="D448" s="25">
        <f>+SUMIFS(PROVEEDORES[Total],PROVEEDORES[PROVEEDOR],PROVEEDORES[[#This Row],[PROVEEDOR]],PROVEEDORES[FECHA DE PAGO],"")</f>
        <v>3708614</v>
      </c>
      <c r="E448" s="25"/>
      <c r="F44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8" s="289">
        <v>45026</v>
      </c>
      <c r="H448" s="26" t="s">
        <v>250</v>
      </c>
      <c r="I448" s="289">
        <v>44999</v>
      </c>
      <c r="J448" s="35">
        <v>1635</v>
      </c>
      <c r="K448" s="21">
        <v>191200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72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448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1">
        <f ca="1">IF(PROVEEDORES[[#This Row],[FECHA DE PAGO]]=0,TODAY()-PROVEEDORES[[#This Row],[FECHA DE FACTURACIÓN]]-PROVEEDORES[[#This Row],[PLAZO Días]],0)</f>
        <v>0</v>
      </c>
      <c r="U448" s="97">
        <f>+VLOOKUP(PROVEEDORES[[#This Row],[PROVEEDOR]],Terceros!$A:$D,4,FALSE)</f>
        <v>0</v>
      </c>
      <c r="V448" s="98">
        <f>+YEAR(PROVEEDORES[[#This Row],[FECHA DE FACTURACIÓN]])</f>
        <v>2023</v>
      </c>
      <c r="W448" s="98">
        <f>+MATCH(PROVEEDORES[[#This Row],[año facturado]],Retenciones!$1:$1,0)</f>
        <v>6</v>
      </c>
      <c r="X448" s="99">
        <f>+VLOOKUP(PROVEEDORES[[#This Row],[ID RETENCION]],Retenciones!$A$1:$O$25,PROVEEDORES[[#This Row],[indicador de columna]],FALSE)</f>
        <v>0</v>
      </c>
      <c r="Y448" s="100">
        <f>+VLOOKUP(PROVEEDORES[[#This Row],[ID RETENCION]],Retenciones!$A$1:$O$25,2,FALSE)</f>
        <v>0</v>
      </c>
      <c r="Z448" s="103" t="b">
        <f>OR(COUNTIF(PROVEEDORES[[#This Row],[PROVEEDOR]],"*"&amp;'Palabra no opera'!$A$2&amp;"*"))</f>
        <v>0</v>
      </c>
    </row>
    <row r="449" spans="1:26" ht="22.35" customHeight="1" x14ac:dyDescent="0.25">
      <c r="A449" s="164" t="str">
        <f>+IF(PROVEEDORES[[#This Row],[FECHA DE PAGO]]=PROVEEDORES[[#This Row],[FECHA DE FACTURACIÓN]],"DE CONTADO","CRÉDITO")</f>
        <v>CRÉDITO</v>
      </c>
      <c r="B449" s="38" t="b">
        <f>+IF((PROVEEDORES[[#This Row],[FECHA DE PAGO]]-PROVEEDORES[[#This Row],[FECHA DE FACTURACIÓN]])&gt;PROVEEDORES[[#This Row],[PLAZO Días]],"PAGO VENCIDO")</f>
        <v>0</v>
      </c>
      <c r="C449" s="20">
        <f>+VLOOKUP(PROVEEDORES[[#This Row],[PROVEEDOR]],TERCEROS_INFO[#All],2,FALSE)</f>
        <v>60</v>
      </c>
      <c r="D449" s="25">
        <f>+SUMIFS(PROVEEDORES[Total],PROVEEDORES[PROVEEDOR],PROVEEDORES[[#This Row],[PROVEEDOR]],PROVEEDORES[FECHA DE PAGO],"")</f>
        <v>3708614</v>
      </c>
      <c r="E449" s="25"/>
      <c r="F44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49" s="289">
        <v>45026</v>
      </c>
      <c r="H449" s="26" t="s">
        <v>250</v>
      </c>
      <c r="I449" s="289">
        <v>45002</v>
      </c>
      <c r="J449" s="35">
        <v>1634</v>
      </c>
      <c r="K449" s="21">
        <v>191200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72">
        <f>+IF(PROVEEDORES[[#This Row],[SUBTOTAL]]&lt;PROVEEDORES[[#This Row],[base retencion]],0,PROVEEDORES[[#This Row],[retención aplicada]])</f>
        <v>0</v>
      </c>
      <c r="Q449" s="22">
        <f>+PROVEEDORES[[#This Row],[Rete Fuente %]]*(PROVEEDORES[[#This Row],[SUBTOTAL]]-PROVEEDORES[[#This Row],[descuento sobre subtotal]])</f>
        <v>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191200</v>
      </c>
      <c r="S449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1">
        <f ca="1">IF(PROVEEDORES[[#This Row],[FECHA DE PAGO]]=0,TODAY()-PROVEEDORES[[#This Row],[FECHA DE FACTURACIÓN]]-PROVEEDORES[[#This Row],[PLAZO Días]],0)</f>
        <v>0</v>
      </c>
      <c r="U449" s="97">
        <f>+VLOOKUP(PROVEEDORES[[#This Row],[PROVEEDOR]],Terceros!$A:$D,4,FALSE)</f>
        <v>0</v>
      </c>
      <c r="V449" s="98">
        <f>+YEAR(PROVEEDORES[[#This Row],[FECHA DE FACTURACIÓN]])</f>
        <v>2023</v>
      </c>
      <c r="W449" s="98">
        <f>+MATCH(PROVEEDORES[[#This Row],[año facturado]],Retenciones!$1:$1,0)</f>
        <v>6</v>
      </c>
      <c r="X449" s="99">
        <f>+VLOOKUP(PROVEEDORES[[#This Row],[ID RETENCION]],Retenciones!$A$1:$O$25,PROVEEDORES[[#This Row],[indicador de columna]],FALSE)</f>
        <v>0</v>
      </c>
      <c r="Y449" s="100">
        <f>+VLOOKUP(PROVEEDORES[[#This Row],[ID RETENCION]],Retenciones!$A$1:$O$25,2,FALSE)</f>
        <v>0</v>
      </c>
      <c r="Z449" s="103" t="b">
        <f>OR(COUNTIF(PROVEEDORES[[#This Row],[PROVEEDOR]],"*"&amp;'Palabra no opera'!$A$2&amp;"*"))</f>
        <v>0</v>
      </c>
    </row>
    <row r="450" spans="1:26" ht="22.35" customHeight="1" x14ac:dyDescent="0.25">
      <c r="A450" s="164" t="str">
        <f>+IF(PROVEEDORES[[#This Row],[FECHA DE PAGO]]=PROVEEDORES[[#This Row],[FECHA DE FACTURACIÓN]],"DE CONTADO","CRÉDITO")</f>
        <v>CRÉDITO</v>
      </c>
      <c r="B450" s="38" t="b">
        <f>+IF((PROVEEDORES[[#This Row],[FECHA DE PAGO]]-PROVEEDORES[[#This Row],[FECHA DE FACTURACIÓN]])&gt;PROVEEDORES[[#This Row],[PLAZO Días]],"PAGO VENCIDO")</f>
        <v>0</v>
      </c>
      <c r="C450" s="20">
        <f>+VLOOKUP(PROVEEDORES[[#This Row],[PROVEEDOR]],TERCEROS_INFO[#All],2,FALSE)</f>
        <v>60</v>
      </c>
      <c r="D450" s="25">
        <f>+SUMIFS(PROVEEDORES[Total],PROVEEDORES[PROVEEDOR],PROVEEDORES[[#This Row],[PROVEEDOR]],PROVEEDORES[FECHA DE PAGO],"")</f>
        <v>3708614</v>
      </c>
      <c r="E450" s="25"/>
      <c r="F45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0" s="289">
        <v>45026</v>
      </c>
      <c r="H450" s="26" t="s">
        <v>250</v>
      </c>
      <c r="I450" s="289">
        <v>45009</v>
      </c>
      <c r="J450" s="35">
        <v>1640</v>
      </c>
      <c r="K450" s="21">
        <v>206800</v>
      </c>
      <c r="L450" s="21"/>
      <c r="M450" s="22">
        <f>(PROVEEDORES[[#This Row],[SUBTOTAL]]-PROVEEDORES[[#This Row],[descuento sobre subtotal]])*VLOOKUP(PROVEEDORES[[#This Row],[PROVEEDOR]],TERCEROS_INFO[#All],3,FALSE)</f>
        <v>0</v>
      </c>
      <c r="N450" s="23"/>
      <c r="O450" s="22">
        <f>+PROVEEDORES[[#This Row],[Descuento sobre subtotal %]]*(PROVEEDORES[[#This Row],[SUBTOTAL]]-PROVEEDORES[[#This Row],[descuento sobre subtotal]])</f>
        <v>0</v>
      </c>
      <c r="P450" s="72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206800</v>
      </c>
      <c r="S450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1">
        <f ca="1">IF(PROVEEDORES[[#This Row],[FECHA DE PAGO]]=0,TODAY()-PROVEEDORES[[#This Row],[FECHA DE FACTURACIÓN]]-PROVEEDORES[[#This Row],[PLAZO Días]],0)</f>
        <v>0</v>
      </c>
      <c r="U450" s="97">
        <f>+VLOOKUP(PROVEEDORES[[#This Row],[PROVEEDOR]],Terceros!$A:$D,4,FALSE)</f>
        <v>0</v>
      </c>
      <c r="V450" s="98">
        <f>+YEAR(PROVEEDORES[[#This Row],[FECHA DE FACTURACIÓN]])</f>
        <v>2023</v>
      </c>
      <c r="W450" s="98">
        <f>+MATCH(PROVEEDORES[[#This Row],[año facturado]],Retenciones!$1:$1,0)</f>
        <v>6</v>
      </c>
      <c r="X450" s="99">
        <f>+VLOOKUP(PROVEEDORES[[#This Row],[ID RETENCION]],Retenciones!$A$1:$O$25,PROVEEDORES[[#This Row],[indicador de columna]],FALSE)</f>
        <v>0</v>
      </c>
      <c r="Y450" s="100">
        <f>+VLOOKUP(PROVEEDORES[[#This Row],[ID RETENCION]],Retenciones!$A$1:$O$25,2,FALSE)</f>
        <v>0</v>
      </c>
      <c r="Z450" s="103" t="b">
        <f>OR(COUNTIF(PROVEEDORES[[#This Row],[PROVEEDOR]],"*"&amp;'Palabra no opera'!$A$2&amp;"*"))</f>
        <v>0</v>
      </c>
    </row>
    <row r="451" spans="1:26" ht="22.35" customHeight="1" x14ac:dyDescent="0.25">
      <c r="A451" s="190" t="str">
        <f>+IF(PROVEEDORES[[#This Row],[FECHA DE PAGO]]=PROVEEDORES[[#This Row],[FECHA DE FACTURACIÓN]],"DE CONTADO","CRÉDITO")</f>
        <v>CRÉDITO</v>
      </c>
      <c r="B451" s="38" t="b">
        <f>+IF((PROVEEDORES[[#This Row],[FECHA DE PAGO]]-PROVEEDORES[[#This Row],[FECHA DE FACTURACIÓN]])&gt;PROVEEDORES[[#This Row],[PLAZO Días]],"PAGO VENCIDO")</f>
        <v>0</v>
      </c>
      <c r="C451" s="20">
        <f>+VLOOKUP(PROVEEDORES[[#This Row],[PROVEEDOR]],TERCEROS_INFO[#All],2,FALSE)</f>
        <v>60</v>
      </c>
      <c r="D451" s="25">
        <f>+SUMIFS(PROVEEDORES[Total],PROVEEDORES[PROVEEDOR],PROVEEDORES[[#This Row],[PROVEEDOR]],PROVEEDORES[FECHA DE PAGO],"")</f>
        <v>3708614</v>
      </c>
      <c r="E451" s="25"/>
      <c r="F45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1" s="289">
        <v>45051</v>
      </c>
      <c r="H451" s="26" t="s">
        <v>250</v>
      </c>
      <c r="I451" s="289">
        <v>45017</v>
      </c>
      <c r="J451" s="35" t="s">
        <v>722</v>
      </c>
      <c r="K451" s="21">
        <v>169670</v>
      </c>
      <c r="L451" s="21"/>
      <c r="M451" s="22">
        <f>(PROVEEDORES[[#This Row],[SUBTOTAL]]-PROVEEDORES[[#This Row],[descuento sobre subtotal]])*VLOOKUP(PROVEEDORES[[#This Row],[PROVEEDOR]],TERCEROS_INFO[#All],3,FALSE)</f>
        <v>0</v>
      </c>
      <c r="N451" s="23"/>
      <c r="O451" s="22">
        <f>+PROVEEDORES[[#This Row],[Descuento sobre subtotal %]]*(PROVEEDORES[[#This Row],[SUBTOTAL]]-PROVEEDORES[[#This Row],[descuento sobre subtotal]])</f>
        <v>0</v>
      </c>
      <c r="P451" s="72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169670</v>
      </c>
      <c r="S451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1">
        <f ca="1">IF(PROVEEDORES[[#This Row],[FECHA DE PAGO]]=0,TODAY()-PROVEEDORES[[#This Row],[FECHA DE FACTURACIÓN]]-PROVEEDORES[[#This Row],[PLAZO Días]],0)</f>
        <v>0</v>
      </c>
      <c r="U451" s="97">
        <f>+VLOOKUP(PROVEEDORES[[#This Row],[PROVEEDOR]],Terceros!$A:$D,4,FALSE)</f>
        <v>0</v>
      </c>
      <c r="V451" s="98">
        <f>+YEAR(PROVEEDORES[[#This Row],[FECHA DE FACTURACIÓN]])</f>
        <v>2023</v>
      </c>
      <c r="W451" s="98">
        <f>+MATCH(PROVEEDORES[[#This Row],[año facturado]],Retenciones!$1:$1,0)</f>
        <v>6</v>
      </c>
      <c r="X451" s="99">
        <f>+VLOOKUP(PROVEEDORES[[#This Row],[ID RETENCION]],Retenciones!$A$1:$O$25,PROVEEDORES[[#This Row],[indicador de columna]],FALSE)</f>
        <v>0</v>
      </c>
      <c r="Y451" s="100">
        <f>+VLOOKUP(PROVEEDORES[[#This Row],[ID RETENCION]],Retenciones!$A$1:$O$25,2,FALSE)</f>
        <v>0</v>
      </c>
      <c r="Z451" s="103" t="b">
        <f>OR(COUNTIF(PROVEEDORES[[#This Row],[PROVEEDOR]],"*"&amp;'Palabra no opera'!$A$2&amp;"*"))</f>
        <v>0</v>
      </c>
    </row>
    <row r="452" spans="1:26" ht="22.35" customHeight="1" x14ac:dyDescent="0.25">
      <c r="A452" s="192" t="str">
        <f>+IF(PROVEEDORES[[#This Row],[FECHA DE PAGO]]=PROVEEDORES[[#This Row],[FECHA DE FACTURACIÓN]],"DE CONTADO","CRÉDITO")</f>
        <v>CRÉDITO</v>
      </c>
      <c r="B452" s="38" t="b">
        <f>+IF((PROVEEDORES[[#This Row],[FECHA DE PAGO]]-PROVEEDORES[[#This Row],[FECHA DE FACTURACIÓN]])&gt;PROVEEDORES[[#This Row],[PLAZO Días]],"PAGO VENCIDO")</f>
        <v>0</v>
      </c>
      <c r="C452" s="20">
        <f>+VLOOKUP(PROVEEDORES[[#This Row],[PROVEEDOR]],TERCEROS_INFO[#All],2,FALSE)</f>
        <v>60</v>
      </c>
      <c r="D452" s="25">
        <f>+SUMIFS(PROVEEDORES[Total],PROVEEDORES[PROVEEDOR],PROVEEDORES[[#This Row],[PROVEEDOR]],PROVEEDORES[FECHA DE PAGO],"")</f>
        <v>3708614</v>
      </c>
      <c r="E452" s="25"/>
      <c r="F45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2" s="289">
        <v>45051</v>
      </c>
      <c r="H452" s="26" t="s">
        <v>250</v>
      </c>
      <c r="I452" s="289">
        <v>45022</v>
      </c>
      <c r="J452" s="35">
        <v>1649</v>
      </c>
      <c r="K452" s="21">
        <v>319600</v>
      </c>
      <c r="L452" s="21"/>
      <c r="M452" s="22">
        <f>(PROVEEDORES[[#This Row],[SUBTOTAL]]-PROVEEDORES[[#This Row],[descuento sobre subtotal]])*VLOOKUP(PROVEEDORES[[#This Row],[PROVEEDOR]],TERCEROS_INFO[#All],3,FALSE)</f>
        <v>0</v>
      </c>
      <c r="N452" s="23"/>
      <c r="O452" s="22">
        <f>+PROVEEDORES[[#This Row],[Descuento sobre subtotal %]]*(PROVEEDORES[[#This Row],[SUBTOTAL]]-PROVEEDORES[[#This Row],[descuento sobre subtotal]])</f>
        <v>0</v>
      </c>
      <c r="P452" s="72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319600</v>
      </c>
      <c r="S45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1">
        <f ca="1">IF(PROVEEDORES[[#This Row],[FECHA DE PAGO]]=0,TODAY()-PROVEEDORES[[#This Row],[FECHA DE FACTURACIÓN]]-PROVEEDORES[[#This Row],[PLAZO Días]],0)</f>
        <v>0</v>
      </c>
      <c r="U452" s="97">
        <f>+VLOOKUP(PROVEEDORES[[#This Row],[PROVEEDOR]],Terceros!$A:$D,4,FALSE)</f>
        <v>0</v>
      </c>
      <c r="V452" s="98">
        <f>+YEAR(PROVEEDORES[[#This Row],[FECHA DE FACTURACIÓN]])</f>
        <v>2023</v>
      </c>
      <c r="W452" s="98">
        <f>+MATCH(PROVEEDORES[[#This Row],[año facturado]],Retenciones!$1:$1,0)</f>
        <v>6</v>
      </c>
      <c r="X452" s="99">
        <f>+VLOOKUP(PROVEEDORES[[#This Row],[ID RETENCION]],Retenciones!$A$1:$O$25,PROVEEDORES[[#This Row],[indicador de columna]],FALSE)</f>
        <v>0</v>
      </c>
      <c r="Y452" s="100">
        <f>+VLOOKUP(PROVEEDORES[[#This Row],[ID RETENCION]],Retenciones!$A$1:$O$25,2,FALSE)</f>
        <v>0</v>
      </c>
      <c r="Z452" s="103" t="b">
        <f>OR(COUNTIF(PROVEEDORES[[#This Row],[PROVEEDOR]],"*"&amp;'Palabra no opera'!$A$2&amp;"*"))</f>
        <v>0</v>
      </c>
    </row>
    <row r="453" spans="1:26" ht="22.35" customHeight="1" x14ac:dyDescent="0.25">
      <c r="A453" s="192" t="str">
        <f>+IF(PROVEEDORES[[#This Row],[FECHA DE PAGO]]=PROVEEDORES[[#This Row],[FECHA DE FACTURACIÓN]],"DE CONTADO","CRÉDITO")</f>
        <v>CRÉDITO</v>
      </c>
      <c r="B453" s="38" t="b">
        <f>+IF((PROVEEDORES[[#This Row],[FECHA DE PAGO]]-PROVEEDORES[[#This Row],[FECHA DE FACTURACIÓN]])&gt;PROVEEDORES[[#This Row],[PLAZO Días]],"PAGO VENCIDO")</f>
        <v>0</v>
      </c>
      <c r="C453" s="20">
        <f>+VLOOKUP(PROVEEDORES[[#This Row],[PROVEEDOR]],TERCEROS_INFO[#All],2,FALSE)</f>
        <v>60</v>
      </c>
      <c r="D453" s="25">
        <f>+SUMIFS(PROVEEDORES[Total],PROVEEDORES[PROVEEDOR],PROVEEDORES[[#This Row],[PROVEEDOR]],PROVEEDORES[FECHA DE PAGO],"")</f>
        <v>3708614</v>
      </c>
      <c r="E453" s="25"/>
      <c r="F45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3" s="289">
        <v>45051</v>
      </c>
      <c r="H453" s="26" t="s">
        <v>250</v>
      </c>
      <c r="I453" s="289">
        <v>45022</v>
      </c>
      <c r="J453" s="35">
        <v>1650</v>
      </c>
      <c r="K453" s="21">
        <v>338400</v>
      </c>
      <c r="L453" s="21"/>
      <c r="M453" s="22">
        <f>(PROVEEDORES[[#This Row],[SUBTOTAL]]-PROVEEDORES[[#This Row],[descuento sobre subtotal]])*VLOOKUP(PROVEEDORES[[#This Row],[PROVEEDOR]],TERCEROS_INFO[#All],3,FALSE)</f>
        <v>0</v>
      </c>
      <c r="N453" s="23"/>
      <c r="O453" s="22">
        <f>+PROVEEDORES[[#This Row],[Descuento sobre subtotal %]]*(PROVEEDORES[[#This Row],[SUBTOTAL]]-PROVEEDORES[[#This Row],[descuento sobre subtotal]])</f>
        <v>0</v>
      </c>
      <c r="P453" s="72">
        <f>+IF(PROVEEDORES[[#This Row],[SUBTOTAL]]&lt;PROVEEDORES[[#This Row],[base retencion]],0,PROVEEDORES[[#This Row],[retención aplicada]])</f>
        <v>0</v>
      </c>
      <c r="Q453" s="22">
        <f>+PROVEEDORES[[#This Row],[Rete Fuente %]]*(PROVEEDORES[[#This Row],[SUBTOTAL]]-PROVEEDORES[[#This Row],[descuento sobre subtotal]])</f>
        <v>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338400</v>
      </c>
      <c r="S45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1">
        <f ca="1">IF(PROVEEDORES[[#This Row],[FECHA DE PAGO]]=0,TODAY()-PROVEEDORES[[#This Row],[FECHA DE FACTURACIÓN]]-PROVEEDORES[[#This Row],[PLAZO Días]],0)</f>
        <v>0</v>
      </c>
      <c r="U453" s="97">
        <f>+VLOOKUP(PROVEEDORES[[#This Row],[PROVEEDOR]],Terceros!$A:$D,4,FALSE)</f>
        <v>0</v>
      </c>
      <c r="V453" s="98">
        <f>+YEAR(PROVEEDORES[[#This Row],[FECHA DE FACTURACIÓN]])</f>
        <v>2023</v>
      </c>
      <c r="W453" s="98">
        <f>+MATCH(PROVEEDORES[[#This Row],[año facturado]],Retenciones!$1:$1,0)</f>
        <v>6</v>
      </c>
      <c r="X453" s="99">
        <f>+VLOOKUP(PROVEEDORES[[#This Row],[ID RETENCION]],Retenciones!$A$1:$O$25,PROVEEDORES[[#This Row],[indicador de columna]],FALSE)</f>
        <v>0</v>
      </c>
      <c r="Y453" s="100">
        <f>+VLOOKUP(PROVEEDORES[[#This Row],[ID RETENCION]],Retenciones!$A$1:$O$25,2,FALSE)</f>
        <v>0</v>
      </c>
      <c r="Z453" s="103" t="b">
        <f>OR(COUNTIF(PROVEEDORES[[#This Row],[PROVEEDOR]],"*"&amp;'Palabra no opera'!$A$2&amp;"*"))</f>
        <v>0</v>
      </c>
    </row>
    <row r="454" spans="1:26" ht="22.35" customHeight="1" x14ac:dyDescent="0.25">
      <c r="A454" s="192" t="str">
        <f>+IF(PROVEEDORES[[#This Row],[FECHA DE PAGO]]=PROVEEDORES[[#This Row],[FECHA DE FACTURACIÓN]],"DE CONTADO","CRÉDITO")</f>
        <v>CRÉDITO</v>
      </c>
      <c r="B454" s="38" t="b">
        <f>+IF((PROVEEDORES[[#This Row],[FECHA DE PAGO]]-PROVEEDORES[[#This Row],[FECHA DE FACTURACIÓN]])&gt;PROVEEDORES[[#This Row],[PLAZO Días]],"PAGO VENCIDO")</f>
        <v>0</v>
      </c>
      <c r="C454" s="20">
        <f>+VLOOKUP(PROVEEDORES[[#This Row],[PROVEEDOR]],TERCEROS_INFO[#All],2,FALSE)</f>
        <v>60</v>
      </c>
      <c r="D454" s="25">
        <f>+SUMIFS(PROVEEDORES[Total],PROVEEDORES[PROVEEDOR],PROVEEDORES[[#This Row],[PROVEEDOR]],PROVEEDORES[FECHA DE PAGO],"")</f>
        <v>3708614</v>
      </c>
      <c r="E454" s="25"/>
      <c r="F45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4" s="289">
        <v>45051</v>
      </c>
      <c r="H454" s="26" t="s">
        <v>250</v>
      </c>
      <c r="I454" s="289">
        <v>45022</v>
      </c>
      <c r="J454" s="35">
        <v>1651</v>
      </c>
      <c r="K454" s="21">
        <v>755290</v>
      </c>
      <c r="L454" s="21"/>
      <c r="M454" s="22">
        <f>(PROVEEDORES[[#This Row],[SUBTOTAL]]-PROVEEDORES[[#This Row],[descuento sobre subtotal]])*VLOOKUP(PROVEEDORES[[#This Row],[PROVEEDOR]],TERCEROS_INFO[#All],3,FALSE)</f>
        <v>0</v>
      </c>
      <c r="N454" s="23"/>
      <c r="O454" s="22">
        <f>+PROVEEDORES[[#This Row],[Descuento sobre subtotal %]]*(PROVEEDORES[[#This Row],[SUBTOTAL]]-PROVEEDORES[[#This Row],[descuento sobre subtotal]])</f>
        <v>0</v>
      </c>
      <c r="P454" s="72">
        <f>+IF(PROVEEDORES[[#This Row],[SUBTOTAL]]&lt;PROVEEDORES[[#This Row],[base retencion]],0,PROVEEDORES[[#This Row],[retención aplicada]])</f>
        <v>0</v>
      </c>
      <c r="Q454" s="22">
        <f>+PROVEEDORES[[#This Row],[Rete Fuente %]]*(PROVEEDORES[[#This Row],[SUBTOTAL]]-PROVEEDORES[[#This Row],[descuento sobre subtotal]])</f>
        <v>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755290</v>
      </c>
      <c r="S45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1">
        <f ca="1">IF(PROVEEDORES[[#This Row],[FECHA DE PAGO]]=0,TODAY()-PROVEEDORES[[#This Row],[FECHA DE FACTURACIÓN]]-PROVEEDORES[[#This Row],[PLAZO Días]],0)</f>
        <v>0</v>
      </c>
      <c r="U454" s="97">
        <f>+VLOOKUP(PROVEEDORES[[#This Row],[PROVEEDOR]],Terceros!$A:$D,4,FALSE)</f>
        <v>0</v>
      </c>
      <c r="V454" s="98">
        <f>+YEAR(PROVEEDORES[[#This Row],[FECHA DE FACTURACIÓN]])</f>
        <v>2023</v>
      </c>
      <c r="W454" s="98">
        <f>+MATCH(PROVEEDORES[[#This Row],[año facturado]],Retenciones!$1:$1,0)</f>
        <v>6</v>
      </c>
      <c r="X454" s="99">
        <f>+VLOOKUP(PROVEEDORES[[#This Row],[ID RETENCION]],Retenciones!$A$1:$O$25,PROVEEDORES[[#This Row],[indicador de columna]],FALSE)</f>
        <v>0</v>
      </c>
      <c r="Y454" s="100">
        <f>+VLOOKUP(PROVEEDORES[[#This Row],[ID RETENCION]],Retenciones!$A$1:$O$25,2,FALSE)</f>
        <v>0</v>
      </c>
      <c r="Z454" s="103" t="b">
        <f>OR(COUNTIF(PROVEEDORES[[#This Row],[PROVEEDOR]],"*"&amp;'Palabra no opera'!$A$2&amp;"*"))</f>
        <v>0</v>
      </c>
    </row>
    <row r="455" spans="1:26" ht="22.35" customHeight="1" x14ac:dyDescent="0.25">
      <c r="A455" s="192" t="str">
        <f>+IF(PROVEEDORES[[#This Row],[FECHA DE PAGO]]=PROVEEDORES[[#This Row],[FECHA DE FACTURACIÓN]],"DE CONTADO","CRÉDITO")</f>
        <v>CRÉDITO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60</v>
      </c>
      <c r="D455" s="25">
        <f>+SUMIFS(PROVEEDORES[Total],PROVEEDORES[PROVEEDOR],PROVEEDORES[[#This Row],[PROVEEDOR]],PROVEEDORES[FECHA DE PAGO],"")</f>
        <v>3708614</v>
      </c>
      <c r="E455" s="25"/>
      <c r="F45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5" s="289">
        <v>45051</v>
      </c>
      <c r="H455" s="26" t="s">
        <v>250</v>
      </c>
      <c r="I455" s="289">
        <v>45037</v>
      </c>
      <c r="J455" s="35">
        <v>1662</v>
      </c>
      <c r="K455" s="21">
        <v>188200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72">
        <f>+IF(PROVEEDORES[[#This Row],[SUBTOTAL]]&lt;PROVEEDORES[[#This Row],[base retencion]],0,PROVEEDORES[[#This Row],[retención aplicada]])</f>
        <v>0</v>
      </c>
      <c r="Q455" s="22">
        <f>+PROVEEDORES[[#This Row],[Rete Fuente %]]*(PROVEEDORES[[#This Row],[SUBTOTAL]]-PROVEEDORES[[#This Row],[descuento sobre subtotal]])</f>
        <v>0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188200</v>
      </c>
      <c r="S45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1">
        <f ca="1">IF(PROVEEDORES[[#This Row],[FECHA DE PAGO]]=0,TODAY()-PROVEEDORES[[#This Row],[FECHA DE FACTURACIÓN]]-PROVEEDORES[[#This Row],[PLAZO Días]],0)</f>
        <v>0</v>
      </c>
      <c r="U455" s="97">
        <f>+VLOOKUP(PROVEEDORES[[#This Row],[PROVEEDOR]],Terceros!$A:$D,4,FALSE)</f>
        <v>0</v>
      </c>
      <c r="V455" s="98">
        <f>+YEAR(PROVEEDORES[[#This Row],[FECHA DE FACTURACIÓN]])</f>
        <v>2023</v>
      </c>
      <c r="W455" s="98">
        <f>+MATCH(PROVEEDORES[[#This Row],[año facturado]],Retenciones!$1:$1,0)</f>
        <v>6</v>
      </c>
      <c r="X455" s="99">
        <f>+VLOOKUP(PROVEEDORES[[#This Row],[ID RETENCION]],Retenciones!$A$1:$O$25,PROVEEDORES[[#This Row],[indicador de columna]],FALSE)</f>
        <v>0</v>
      </c>
      <c r="Y455" s="100">
        <f>+VLOOKUP(PROVEEDORES[[#This Row],[ID RETENCION]],Retenciones!$A$1:$O$25,2,FALSE)</f>
        <v>0</v>
      </c>
      <c r="Z455" s="103" t="b">
        <f>OR(COUNTIF(PROVEEDORES[[#This Row],[PROVEEDOR]],"*"&amp;'Palabra no opera'!$A$2&amp;"*"))</f>
        <v>0</v>
      </c>
    </row>
    <row r="456" spans="1:26" ht="22.35" customHeight="1" x14ac:dyDescent="0.25">
      <c r="A456" s="192" t="str">
        <f>+IF(PROVEEDORES[[#This Row],[FECHA DE PAGO]]=PROVEEDORES[[#This Row],[FECHA DE FACTURACIÓN]],"DE CONTADO","CRÉDITO")</f>
        <v>CRÉDITO</v>
      </c>
      <c r="B456" s="38" t="b">
        <f>+IF((PROVEEDORES[[#This Row],[FECHA DE PAGO]]-PROVEEDORES[[#This Row],[FECHA DE FACTURACIÓN]])&gt;PROVEEDORES[[#This Row],[PLAZO Días]],"PAGO VENCIDO")</f>
        <v>0</v>
      </c>
      <c r="C456" s="20">
        <f>+VLOOKUP(PROVEEDORES[[#This Row],[PROVEEDOR]],TERCEROS_INFO[#All],2,FALSE)</f>
        <v>60</v>
      </c>
      <c r="D456" s="25">
        <f>+SUMIFS(PROVEEDORES[Total],PROVEEDORES[PROVEEDOR],PROVEEDORES[[#This Row],[PROVEEDOR]],PROVEEDORES[FECHA DE PAGO],"")</f>
        <v>3708614</v>
      </c>
      <c r="E456" s="25"/>
      <c r="F45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6" s="289">
        <v>45051</v>
      </c>
      <c r="H456" s="26" t="s">
        <v>250</v>
      </c>
      <c r="I456" s="289">
        <v>45037</v>
      </c>
      <c r="J456" s="35">
        <v>1663</v>
      </c>
      <c r="K456" s="21">
        <v>188200</v>
      </c>
      <c r="L456" s="21"/>
      <c r="M456" s="22">
        <f>(PROVEEDORES[[#This Row],[SUBTOTAL]]-PROVEEDORES[[#This Row],[descuento sobre subtotal]])*VLOOKUP(PROVEEDORES[[#This Row],[PROVEEDOR]],TERCEROS_INFO[#All],3,FALSE)</f>
        <v>0</v>
      </c>
      <c r="N456" s="23"/>
      <c r="O456" s="22">
        <f>+PROVEEDORES[[#This Row],[Descuento sobre subtotal %]]*(PROVEEDORES[[#This Row],[SUBTOTAL]]-PROVEEDORES[[#This Row],[descuento sobre subtotal]])</f>
        <v>0</v>
      </c>
      <c r="P456" s="72">
        <f>+IF(PROVEEDORES[[#This Row],[SUBTOTAL]]&lt;PROVEEDORES[[#This Row],[base retencion]],0,PROVEEDORES[[#This Row],[retención aplicada]])</f>
        <v>0</v>
      </c>
      <c r="Q456" s="22">
        <f>+PROVEEDORES[[#This Row],[Rete Fuente %]]*(PROVEEDORES[[#This Row],[SUBTOTAL]]-PROVEEDORES[[#This Row],[descuento sobre subtotal]])</f>
        <v>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188200</v>
      </c>
      <c r="S45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1">
        <f ca="1">IF(PROVEEDORES[[#This Row],[FECHA DE PAGO]]=0,TODAY()-PROVEEDORES[[#This Row],[FECHA DE FACTURACIÓN]]-PROVEEDORES[[#This Row],[PLAZO Días]],0)</f>
        <v>0</v>
      </c>
      <c r="U456" s="97">
        <f>+VLOOKUP(PROVEEDORES[[#This Row],[PROVEEDOR]],Terceros!$A:$D,4,FALSE)</f>
        <v>0</v>
      </c>
      <c r="V456" s="98">
        <f>+YEAR(PROVEEDORES[[#This Row],[FECHA DE FACTURACIÓN]])</f>
        <v>2023</v>
      </c>
      <c r="W456" s="98">
        <f>+MATCH(PROVEEDORES[[#This Row],[año facturado]],Retenciones!$1:$1,0)</f>
        <v>6</v>
      </c>
      <c r="X456" s="99">
        <f>+VLOOKUP(PROVEEDORES[[#This Row],[ID RETENCION]],Retenciones!$A$1:$O$25,PROVEEDORES[[#This Row],[indicador de columna]],FALSE)</f>
        <v>0</v>
      </c>
      <c r="Y456" s="100">
        <f>+VLOOKUP(PROVEEDORES[[#This Row],[ID RETENCION]],Retenciones!$A$1:$O$25,2,FALSE)</f>
        <v>0</v>
      </c>
      <c r="Z456" s="103" t="b">
        <f>OR(COUNTIF(PROVEEDORES[[#This Row],[PROVEEDOR]],"*"&amp;'Palabra no opera'!$A$2&amp;"*"))</f>
        <v>0</v>
      </c>
    </row>
    <row r="457" spans="1:26" ht="22.35" customHeight="1" x14ac:dyDescent="0.25">
      <c r="A457" s="65" t="str">
        <f>+IF(PROVEEDORES[[#This Row],[FECHA DE PAGO]]=PROVEEDORES[[#This Row],[FECHA DE FACTURACIÓN]],"DE CONTADO","CRÉDITO")</f>
        <v>CRÉDITO</v>
      </c>
      <c r="B457" s="38" t="str">
        <f>+IF((PROVEEDORES[[#This Row],[FECHA DE PAGO]]-PROVEEDORES[[#This Row],[FECHA DE FACTURACIÓN]])&gt;PROVEEDORES[[#This Row],[PLAZO Días]],"PAGO VENCIDO")</f>
        <v>PAGO VENCIDO</v>
      </c>
      <c r="C457" s="20">
        <f>+VLOOKUP(PROVEEDORES[[#This Row],[PROVEEDOR]],TERCEROS_INFO[#All],2,FALSE)</f>
        <v>60</v>
      </c>
      <c r="D457" s="25">
        <f>+SUMIFS(PROVEEDORES[Total],PROVEEDORES[PROVEEDOR],PROVEEDORES[[#This Row],[PROVEEDOR]],PROVEEDORES[FECHA DE PAGO],"")</f>
        <v>3708614</v>
      </c>
      <c r="E457" s="25"/>
      <c r="F45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7" s="289">
        <v>45124</v>
      </c>
      <c r="H457" s="26" t="s">
        <v>250</v>
      </c>
      <c r="I457" s="289">
        <v>45051</v>
      </c>
      <c r="J457" s="35">
        <v>1672</v>
      </c>
      <c r="K457" s="21">
        <v>224640</v>
      </c>
      <c r="L457" s="21"/>
      <c r="M457" s="22">
        <f>(PROVEEDORES[[#This Row],[SUBTOTAL]]-PROVEEDORES[[#This Row],[descuento sobre subtotal]])*VLOOKUP(PROVEEDORES[[#This Row],[PROVEEDOR]],TERCEROS_INFO[#All],3,FALSE)</f>
        <v>0</v>
      </c>
      <c r="N457" s="23"/>
      <c r="O457" s="22">
        <f>+PROVEEDORES[[#This Row],[Descuento sobre subtotal %]]*(PROVEEDORES[[#This Row],[SUBTOTAL]]-PROVEEDORES[[#This Row],[descuento sobre subtotal]])</f>
        <v>0</v>
      </c>
      <c r="P457" s="72">
        <f>+IF(PROVEEDORES[[#This Row],[SUBTOTAL]]&lt;PROVEEDORES[[#This Row],[base retencion]],0,PROVEEDORES[[#This Row],[retención aplicada]])</f>
        <v>0</v>
      </c>
      <c r="Q457" s="22">
        <f>+PROVEEDORES[[#This Row],[Rete Fuente %]]*(PROVEEDORES[[#This Row],[SUBTOTAL]]-PROVEEDORES[[#This Row],[descuento sobre subtotal]])</f>
        <v>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224640</v>
      </c>
      <c r="S4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1">
        <f ca="1">IF(PROVEEDORES[[#This Row],[FECHA DE PAGO]]=0,TODAY()-PROVEEDORES[[#This Row],[FECHA DE FACTURACIÓN]]-PROVEEDORES[[#This Row],[PLAZO Días]],0)</f>
        <v>0</v>
      </c>
      <c r="U457" s="97">
        <f>+VLOOKUP(PROVEEDORES[[#This Row],[PROVEEDOR]],Terceros!$A:$D,4,FALSE)</f>
        <v>0</v>
      </c>
      <c r="V457" s="98">
        <f>+YEAR(PROVEEDORES[[#This Row],[FECHA DE FACTURACIÓN]])</f>
        <v>2023</v>
      </c>
      <c r="W457" s="98">
        <f>+MATCH(PROVEEDORES[[#This Row],[año facturado]],Retenciones!$1:$1,0)</f>
        <v>6</v>
      </c>
      <c r="X457" s="99">
        <f>+VLOOKUP(PROVEEDORES[[#This Row],[ID RETENCION]],Retenciones!$A$1:$O$25,PROVEEDORES[[#This Row],[indicador de columna]],FALSE)</f>
        <v>0</v>
      </c>
      <c r="Y457" s="100">
        <f>+VLOOKUP(PROVEEDORES[[#This Row],[ID RETENCION]],Retenciones!$A$1:$O$25,2,FALSE)</f>
        <v>0</v>
      </c>
      <c r="Z457" s="103" t="b">
        <f>OR(COUNTIF(PROVEEDORES[[#This Row],[PROVEEDOR]],"*"&amp;'Palabra no opera'!$A$2&amp;"*"))</f>
        <v>0</v>
      </c>
    </row>
    <row r="458" spans="1:26" ht="22.35" customHeight="1" x14ac:dyDescent="0.25">
      <c r="A458" s="65" t="str">
        <f>+IF(PROVEEDORES[[#This Row],[FECHA DE PAGO]]=PROVEEDORES[[#This Row],[FECHA DE FACTURACIÓN]],"DE CONTADO","CRÉDITO")</f>
        <v>CRÉDITO</v>
      </c>
      <c r="B458" s="38" t="str">
        <f>+IF((PROVEEDORES[[#This Row],[FECHA DE PAGO]]-PROVEEDORES[[#This Row],[FECHA DE FACTURACIÓN]])&gt;PROVEEDORES[[#This Row],[PLAZO Días]],"PAGO VENCIDO")</f>
        <v>PAGO VENCIDO</v>
      </c>
      <c r="C458" s="20">
        <f>+VLOOKUP(PROVEEDORES[[#This Row],[PROVEEDOR]],TERCEROS_INFO[#All],2,FALSE)</f>
        <v>60</v>
      </c>
      <c r="D458" s="25">
        <f>+SUMIFS(PROVEEDORES[Total],PROVEEDORES[PROVEEDOR],PROVEEDORES[[#This Row],[PROVEEDOR]],PROVEEDORES[FECHA DE PAGO],"")</f>
        <v>3708614</v>
      </c>
      <c r="E458" s="25"/>
      <c r="F45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8" s="289">
        <v>45124</v>
      </c>
      <c r="H458" s="26" t="s">
        <v>250</v>
      </c>
      <c r="I458" s="289">
        <v>45051</v>
      </c>
      <c r="J458" s="35">
        <v>1673</v>
      </c>
      <c r="K458" s="21">
        <v>187200</v>
      </c>
      <c r="L458" s="21"/>
      <c r="M458" s="22">
        <f>(PROVEEDORES[[#This Row],[SUBTOTAL]]-PROVEEDORES[[#This Row],[descuento sobre subtotal]])*VLOOKUP(PROVEEDORES[[#This Row],[PROVEEDOR]],TERCEROS_INFO[#All],3,FALSE)</f>
        <v>0</v>
      </c>
      <c r="N458" s="23"/>
      <c r="O458" s="22">
        <f>+PROVEEDORES[[#This Row],[Descuento sobre subtotal %]]*(PROVEEDORES[[#This Row],[SUBTOTAL]]-PROVEEDORES[[#This Row],[descuento sobre subtotal]])</f>
        <v>0</v>
      </c>
      <c r="P458" s="72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f>+PROVEEDORES[[#This Row],[SUBTOTAL]]+PROVEEDORES[[#This Row],[IVA 19%]]-PROVEEDORES[[#This Row],[descuento sobre subtotal]]-PROVEEDORES[[#This Row],[Descuento sobre subtotal $2]]-PROVEEDORES[[#This Row],[Rete Fuente $]]</f>
        <v>187200</v>
      </c>
      <c r="S4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1">
        <f ca="1">IF(PROVEEDORES[[#This Row],[FECHA DE PAGO]]=0,TODAY()-PROVEEDORES[[#This Row],[FECHA DE FACTURACIÓN]]-PROVEEDORES[[#This Row],[PLAZO Días]],0)</f>
        <v>0</v>
      </c>
      <c r="U458" s="97">
        <f>+VLOOKUP(PROVEEDORES[[#This Row],[PROVEEDOR]],Terceros!$A:$D,4,FALSE)</f>
        <v>0</v>
      </c>
      <c r="V458" s="98">
        <f>+YEAR(PROVEEDORES[[#This Row],[FECHA DE FACTURACIÓN]])</f>
        <v>2023</v>
      </c>
      <c r="W458" s="98">
        <f>+MATCH(PROVEEDORES[[#This Row],[año facturado]],Retenciones!$1:$1,0)</f>
        <v>6</v>
      </c>
      <c r="X458" s="99">
        <f>+VLOOKUP(PROVEEDORES[[#This Row],[ID RETENCION]],Retenciones!$A$1:$O$25,PROVEEDORES[[#This Row],[indicador de columna]],FALSE)</f>
        <v>0</v>
      </c>
      <c r="Y458" s="100">
        <f>+VLOOKUP(PROVEEDORES[[#This Row],[ID RETENCION]],Retenciones!$A$1:$O$25,2,FALSE)</f>
        <v>0</v>
      </c>
      <c r="Z458" s="103" t="b">
        <f>OR(COUNTIF(PROVEEDORES[[#This Row],[PROVEEDOR]],"*"&amp;'Palabra no opera'!$A$2&amp;"*"))</f>
        <v>0</v>
      </c>
    </row>
    <row r="459" spans="1:26" ht="22.35" customHeight="1" x14ac:dyDescent="0.25">
      <c r="A459" s="65" t="str">
        <f>+IF(PROVEEDORES[[#This Row],[FECHA DE PAGO]]=PROVEEDORES[[#This Row],[FECHA DE FACTURACIÓN]],"DE CONTADO","CRÉDITO")</f>
        <v>CRÉDITO</v>
      </c>
      <c r="B459" s="38" t="str">
        <f>+IF((PROVEEDORES[[#This Row],[FECHA DE PAGO]]-PROVEEDORES[[#This Row],[FECHA DE FACTURACIÓN]])&gt;PROVEEDORES[[#This Row],[PLAZO Días]],"PAGO VENCIDO")</f>
        <v>PAGO VENCIDO</v>
      </c>
      <c r="C459" s="20">
        <f>+VLOOKUP(PROVEEDORES[[#This Row],[PROVEEDOR]],TERCEROS_INFO[#All],2,FALSE)</f>
        <v>60</v>
      </c>
      <c r="D459" s="25">
        <f>+SUMIFS(PROVEEDORES[Total],PROVEEDORES[PROVEEDOR],PROVEEDORES[[#This Row],[PROVEEDOR]],PROVEEDORES[FECHA DE PAGO],"")</f>
        <v>3708614</v>
      </c>
      <c r="E459" s="25"/>
      <c r="F45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59" s="289">
        <v>45124</v>
      </c>
      <c r="H459" s="26" t="s">
        <v>250</v>
      </c>
      <c r="I459" s="289">
        <v>45051</v>
      </c>
      <c r="J459" s="35">
        <v>1681</v>
      </c>
      <c r="K459" s="21">
        <v>355680</v>
      </c>
      <c r="L459" s="21"/>
      <c r="M459" s="22">
        <f>(PROVEEDORES[[#This Row],[SUBTOTAL]]-PROVEEDORES[[#This Row],[descuento sobre subtotal]])*VLOOKUP(PROVEEDORES[[#This Row],[PROVEEDOR]],TERCEROS_INFO[#All],3,FALSE)</f>
        <v>0</v>
      </c>
      <c r="N459" s="23"/>
      <c r="O459" s="22">
        <f>+PROVEEDORES[[#This Row],[Descuento sobre subtotal %]]*(PROVEEDORES[[#This Row],[SUBTOTAL]]-PROVEEDORES[[#This Row],[descuento sobre subtotal]])</f>
        <v>0</v>
      </c>
      <c r="P459" s="72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355680</v>
      </c>
      <c r="S4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1">
        <f ca="1">IF(PROVEEDORES[[#This Row],[FECHA DE PAGO]]=0,TODAY()-PROVEEDORES[[#This Row],[FECHA DE FACTURACIÓN]]-PROVEEDORES[[#This Row],[PLAZO Días]],0)</f>
        <v>0</v>
      </c>
      <c r="U459" s="97">
        <f>+VLOOKUP(PROVEEDORES[[#This Row],[PROVEEDOR]],Terceros!$A:$D,4,FALSE)</f>
        <v>0</v>
      </c>
      <c r="V459" s="98">
        <f>+YEAR(PROVEEDORES[[#This Row],[FECHA DE FACTURACIÓN]])</f>
        <v>2023</v>
      </c>
      <c r="W459" s="98">
        <f>+MATCH(PROVEEDORES[[#This Row],[año facturado]],Retenciones!$1:$1,0)</f>
        <v>6</v>
      </c>
      <c r="X459" s="99">
        <f>+VLOOKUP(PROVEEDORES[[#This Row],[ID RETENCION]],Retenciones!$A$1:$O$25,PROVEEDORES[[#This Row],[indicador de columna]],FALSE)</f>
        <v>0</v>
      </c>
      <c r="Y459" s="100">
        <f>+VLOOKUP(PROVEEDORES[[#This Row],[ID RETENCION]],Retenciones!$A$1:$O$25,2,FALSE)</f>
        <v>0</v>
      </c>
      <c r="Z459" s="103" t="b">
        <f>OR(COUNTIF(PROVEEDORES[[#This Row],[PROVEEDOR]],"*"&amp;'Palabra no opera'!$A$2&amp;"*"))</f>
        <v>0</v>
      </c>
    </row>
    <row r="460" spans="1:26" ht="22.35" customHeight="1" x14ac:dyDescent="0.25">
      <c r="A460" s="65" t="str">
        <f>+IF(PROVEEDORES[[#This Row],[FECHA DE PAGO]]=PROVEEDORES[[#This Row],[FECHA DE FACTURACIÓN]],"DE CONTADO","CRÉDITO")</f>
        <v>CRÉDITO</v>
      </c>
      <c r="B460" s="38" t="str">
        <f>+IF((PROVEEDORES[[#This Row],[FECHA DE PAGO]]-PROVEEDORES[[#This Row],[FECHA DE FACTURACIÓN]])&gt;PROVEEDORES[[#This Row],[PLAZO Días]],"PAGO VENCIDO")</f>
        <v>PAGO VENCIDO</v>
      </c>
      <c r="C460" s="20">
        <f>+VLOOKUP(PROVEEDORES[[#This Row],[PROVEEDOR]],TERCEROS_INFO[#All],2,FALSE)</f>
        <v>60</v>
      </c>
      <c r="D460" s="25">
        <f>+SUMIFS(PROVEEDORES[Total],PROVEEDORES[PROVEEDOR],PROVEEDORES[[#This Row],[PROVEEDOR]],PROVEEDORES[FECHA DE PAGO],"")</f>
        <v>3708614</v>
      </c>
      <c r="E460" s="25"/>
      <c r="F46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0" s="289">
        <v>45124</v>
      </c>
      <c r="H460" s="26" t="s">
        <v>250</v>
      </c>
      <c r="I460" s="289">
        <v>45051</v>
      </c>
      <c r="J460" s="35">
        <v>1682</v>
      </c>
      <c r="K460" s="21">
        <v>411840</v>
      </c>
      <c r="L460" s="21"/>
      <c r="M460" s="22">
        <f>(PROVEEDORES[[#This Row],[SUBTOTAL]]-PROVEEDORES[[#This Row],[descuento sobre subtotal]])*VLOOKUP(PROVEEDORES[[#This Row],[PROVEEDOR]],TERCEROS_INFO[#All],3,FALSE)</f>
        <v>0</v>
      </c>
      <c r="N460" s="23"/>
      <c r="O460" s="22">
        <f>+PROVEEDORES[[#This Row],[Descuento sobre subtotal %]]*(PROVEEDORES[[#This Row],[SUBTOTAL]]-PROVEEDORES[[#This Row],[descuento sobre subtotal]])</f>
        <v>0</v>
      </c>
      <c r="P460" s="72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411840</v>
      </c>
      <c r="S4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1">
        <f ca="1">IF(PROVEEDORES[[#This Row],[FECHA DE PAGO]]=0,TODAY()-PROVEEDORES[[#This Row],[FECHA DE FACTURACIÓN]]-PROVEEDORES[[#This Row],[PLAZO Días]],0)</f>
        <v>0</v>
      </c>
      <c r="U460" s="97">
        <f>+VLOOKUP(PROVEEDORES[[#This Row],[PROVEEDOR]],Terceros!$A:$D,4,FALSE)</f>
        <v>0</v>
      </c>
      <c r="V460" s="98">
        <f>+YEAR(PROVEEDORES[[#This Row],[FECHA DE FACTURACIÓN]])</f>
        <v>2023</v>
      </c>
      <c r="W460" s="98">
        <f>+MATCH(PROVEEDORES[[#This Row],[año facturado]],Retenciones!$1:$1,0)</f>
        <v>6</v>
      </c>
      <c r="X460" s="99">
        <f>+VLOOKUP(PROVEEDORES[[#This Row],[ID RETENCION]],Retenciones!$A$1:$O$25,PROVEEDORES[[#This Row],[indicador de columna]],FALSE)</f>
        <v>0</v>
      </c>
      <c r="Y460" s="100">
        <f>+VLOOKUP(PROVEEDORES[[#This Row],[ID RETENCION]],Retenciones!$A$1:$O$25,2,FALSE)</f>
        <v>0</v>
      </c>
      <c r="Z460" s="103" t="b">
        <f>OR(COUNTIF(PROVEEDORES[[#This Row],[PROVEEDOR]],"*"&amp;'Palabra no opera'!$A$2&amp;"*"))</f>
        <v>0</v>
      </c>
    </row>
    <row r="461" spans="1:26" ht="22.35" customHeight="1" x14ac:dyDescent="0.25">
      <c r="A461" s="65" t="str">
        <f>+IF(PROVEEDORES[[#This Row],[FECHA DE PAGO]]=PROVEEDORES[[#This Row],[FECHA DE FACTURACIÓN]],"DE CONTADO","CRÉDITO")</f>
        <v>CRÉDITO</v>
      </c>
      <c r="B461" s="38" t="str">
        <f>+IF((PROVEEDORES[[#This Row],[FECHA DE PAGO]]-PROVEEDORES[[#This Row],[FECHA DE FACTURACIÓN]])&gt;PROVEEDORES[[#This Row],[PLAZO Días]],"PAGO VENCIDO")</f>
        <v>PAGO VENCIDO</v>
      </c>
      <c r="C461" s="20">
        <f>+VLOOKUP(PROVEEDORES[[#This Row],[PROVEEDOR]],TERCEROS_INFO[#All],2,FALSE)</f>
        <v>60</v>
      </c>
      <c r="D461" s="25">
        <f>+SUMIFS(PROVEEDORES[Total],PROVEEDORES[PROVEEDOR],PROVEEDORES[[#This Row],[PROVEEDOR]],PROVEEDORES[FECHA DE PAGO],"")</f>
        <v>3708614</v>
      </c>
      <c r="E461" s="25"/>
      <c r="F46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1" s="289">
        <v>45124</v>
      </c>
      <c r="H461" s="26" t="s">
        <v>250</v>
      </c>
      <c r="I461" s="289">
        <v>45051</v>
      </c>
      <c r="J461" s="35">
        <v>1683</v>
      </c>
      <c r="K461" s="21">
        <v>430560</v>
      </c>
      <c r="L461" s="21"/>
      <c r="M461" s="22">
        <f>(PROVEEDORES[[#This Row],[SUBTOTAL]]-PROVEEDORES[[#This Row],[descuento sobre subtotal]])*VLOOKUP(PROVEEDORES[[#This Row],[PROVEEDOR]],TERCEROS_INFO[#All],3,FALSE)</f>
        <v>0</v>
      </c>
      <c r="N461" s="23"/>
      <c r="O461" s="22">
        <f>+PROVEEDORES[[#This Row],[Descuento sobre subtotal %]]*(PROVEEDORES[[#This Row],[SUBTOTAL]]-PROVEEDORES[[#This Row],[descuento sobre subtotal]])</f>
        <v>0</v>
      </c>
      <c r="P461" s="72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430560</v>
      </c>
      <c r="S46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1">
        <f ca="1">IF(PROVEEDORES[[#This Row],[FECHA DE PAGO]]=0,TODAY()-PROVEEDORES[[#This Row],[FECHA DE FACTURACIÓN]]-PROVEEDORES[[#This Row],[PLAZO Días]],0)</f>
        <v>0</v>
      </c>
      <c r="U461" s="97">
        <f>+VLOOKUP(PROVEEDORES[[#This Row],[PROVEEDOR]],Terceros!$A:$D,4,FALSE)</f>
        <v>0</v>
      </c>
      <c r="V461" s="98">
        <f>+YEAR(PROVEEDORES[[#This Row],[FECHA DE FACTURACIÓN]])</f>
        <v>2023</v>
      </c>
      <c r="W461" s="98">
        <f>+MATCH(PROVEEDORES[[#This Row],[año facturado]],Retenciones!$1:$1,0)</f>
        <v>6</v>
      </c>
      <c r="X461" s="99">
        <f>+VLOOKUP(PROVEEDORES[[#This Row],[ID RETENCION]],Retenciones!$A$1:$O$25,PROVEEDORES[[#This Row],[indicador de columna]],FALSE)</f>
        <v>0</v>
      </c>
      <c r="Y461" s="100">
        <f>+VLOOKUP(PROVEEDORES[[#This Row],[ID RETENCION]],Retenciones!$A$1:$O$25,2,FALSE)</f>
        <v>0</v>
      </c>
      <c r="Z461" s="103" t="b">
        <f>OR(COUNTIF(PROVEEDORES[[#This Row],[PROVEEDOR]],"*"&amp;'Palabra no opera'!$A$2&amp;"*"))</f>
        <v>0</v>
      </c>
    </row>
    <row r="462" spans="1:26" ht="22.35" customHeight="1" x14ac:dyDescent="0.25">
      <c r="A462" s="198" t="str">
        <f>+IF(PROVEEDORES[[#This Row],[FECHA DE PAGO]]=PROVEEDORES[[#This Row],[FECHA DE FACTURACIÓN]],"DE CONTADO","CRÉDITO")</f>
        <v>CRÉDITO</v>
      </c>
      <c r="B462" s="38" t="b">
        <f>+IF((PROVEEDORES[[#This Row],[FECHA DE PAGO]]-PROVEEDORES[[#This Row],[FECHA DE FACTURACIÓN]])&gt;PROVEEDORES[[#This Row],[PLAZO Días]],"PAGO VENCIDO")</f>
        <v>0</v>
      </c>
      <c r="C462" s="20">
        <f>+VLOOKUP(PROVEEDORES[[#This Row],[PROVEEDOR]],TERCEROS_INFO[#All],2,FALSE)</f>
        <v>60</v>
      </c>
      <c r="D462" s="25">
        <f>+SUMIFS(PROVEEDORES[Total],PROVEEDORES[PROVEEDOR],PROVEEDORES[[#This Row],[PROVEEDOR]],PROVEEDORES[FECHA DE PAGO],"")</f>
        <v>3708614</v>
      </c>
      <c r="E462" s="25"/>
      <c r="F46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2" s="289">
        <v>45124</v>
      </c>
      <c r="H462" s="26" t="s">
        <v>250</v>
      </c>
      <c r="I462" s="294">
        <v>45076</v>
      </c>
      <c r="J462" s="35">
        <v>1687</v>
      </c>
      <c r="K462" s="21">
        <v>180000</v>
      </c>
      <c r="L462" s="21"/>
      <c r="M462" s="22">
        <f>(PROVEEDORES[[#This Row],[SUBTOTAL]]-PROVEEDORES[[#This Row],[descuento sobre subtotal]])*VLOOKUP(PROVEEDORES[[#This Row],[PROVEEDOR]],TERCEROS_INFO[#All],3,FALSE)</f>
        <v>0</v>
      </c>
      <c r="N462" s="23"/>
      <c r="O462" s="22">
        <f>+PROVEEDORES[[#This Row],[Descuento sobre subtotal %]]*(PROVEEDORES[[#This Row],[SUBTOTAL]]-PROVEEDORES[[#This Row],[descuento sobre subtotal]])</f>
        <v>0</v>
      </c>
      <c r="P462" s="72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462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1">
        <f ca="1">IF(PROVEEDORES[[#This Row],[FECHA DE PAGO]]=0,TODAY()-PROVEEDORES[[#This Row],[FECHA DE FACTURACIÓN]]-PROVEEDORES[[#This Row],[PLAZO Días]],0)</f>
        <v>0</v>
      </c>
      <c r="U462" s="97">
        <f>+VLOOKUP(PROVEEDORES[[#This Row],[PROVEEDOR]],Terceros!$A:$D,4,FALSE)</f>
        <v>0</v>
      </c>
      <c r="V462" s="98">
        <f>+YEAR(PROVEEDORES[[#This Row],[FECHA DE FACTURACIÓN]])</f>
        <v>2023</v>
      </c>
      <c r="W462" s="98">
        <f>+MATCH(PROVEEDORES[[#This Row],[año facturado]],Retenciones!$1:$1,0)</f>
        <v>6</v>
      </c>
      <c r="X462" s="99">
        <f>+VLOOKUP(PROVEEDORES[[#This Row],[ID RETENCION]],Retenciones!$A$1:$O$25,PROVEEDORES[[#This Row],[indicador de columna]],FALSE)</f>
        <v>0</v>
      </c>
      <c r="Y462" s="100">
        <f>+VLOOKUP(PROVEEDORES[[#This Row],[ID RETENCION]],Retenciones!$A$1:$O$25,2,FALSE)</f>
        <v>0</v>
      </c>
      <c r="Z462" s="103" t="b">
        <f>OR(COUNTIF(PROVEEDORES[[#This Row],[PROVEEDOR]],"*"&amp;'Palabra no opera'!$A$2&amp;"*"))</f>
        <v>0</v>
      </c>
    </row>
    <row r="463" spans="1:26" ht="22.35" customHeight="1" x14ac:dyDescent="0.25">
      <c r="A463" s="198" t="str">
        <f>+IF(PROVEEDORES[[#This Row],[FECHA DE PAGO]]=PROVEEDORES[[#This Row],[FECHA DE FACTURACIÓN]],"DE CONTADO","CRÉDITO")</f>
        <v>CRÉDITO</v>
      </c>
      <c r="B463" s="38" t="b">
        <f>+IF((PROVEEDORES[[#This Row],[FECHA DE PAGO]]-PROVEEDORES[[#This Row],[FECHA DE FACTURACIÓN]])&gt;PROVEEDORES[[#This Row],[PLAZO Días]],"PAGO VENCIDO")</f>
        <v>0</v>
      </c>
      <c r="C463" s="20">
        <f>+VLOOKUP(PROVEEDORES[[#This Row],[PROVEEDOR]],TERCEROS_INFO[#All],2,FALSE)</f>
        <v>60</v>
      </c>
      <c r="D463" s="25">
        <f>+SUMIFS(PROVEEDORES[Total],PROVEEDORES[PROVEEDOR],PROVEEDORES[[#This Row],[PROVEEDOR]],PROVEEDORES[FECHA DE PAGO],"")</f>
        <v>3708614</v>
      </c>
      <c r="E463" s="25"/>
      <c r="F46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3" s="289">
        <v>45124</v>
      </c>
      <c r="H463" s="26" t="s">
        <v>250</v>
      </c>
      <c r="I463" s="294">
        <v>45076</v>
      </c>
      <c r="J463" s="35">
        <v>1688</v>
      </c>
      <c r="K463" s="21">
        <v>180000</v>
      </c>
      <c r="L463" s="21"/>
      <c r="M463" s="22">
        <f>(PROVEEDORES[[#This Row],[SUBTOTAL]]-PROVEEDORES[[#This Row],[descuento sobre subtotal]])*VLOOKUP(PROVEEDORES[[#This Row],[PROVEEDOR]],TERCEROS_INFO[#All],3,FALSE)</f>
        <v>0</v>
      </c>
      <c r="N463" s="23"/>
      <c r="O463" s="22">
        <f>+PROVEEDORES[[#This Row],[Descuento sobre subtotal %]]*(PROVEEDORES[[#This Row],[SUBTOTAL]]-PROVEEDORES[[#This Row],[descuento sobre subtotal]])</f>
        <v>0</v>
      </c>
      <c r="P463" s="72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463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1">
        <f ca="1">IF(PROVEEDORES[[#This Row],[FECHA DE PAGO]]=0,TODAY()-PROVEEDORES[[#This Row],[FECHA DE FACTURACIÓN]]-PROVEEDORES[[#This Row],[PLAZO Días]],0)</f>
        <v>0</v>
      </c>
      <c r="U463" s="97">
        <f>+VLOOKUP(PROVEEDORES[[#This Row],[PROVEEDOR]],Terceros!$A:$D,4,FALSE)</f>
        <v>0</v>
      </c>
      <c r="V463" s="98">
        <f>+YEAR(PROVEEDORES[[#This Row],[FECHA DE FACTURACIÓN]])</f>
        <v>2023</v>
      </c>
      <c r="W463" s="98">
        <f>+MATCH(PROVEEDORES[[#This Row],[año facturado]],Retenciones!$1:$1,0)</f>
        <v>6</v>
      </c>
      <c r="X463" s="99">
        <f>+VLOOKUP(PROVEEDORES[[#This Row],[ID RETENCION]],Retenciones!$A$1:$O$25,PROVEEDORES[[#This Row],[indicador de columna]],FALSE)</f>
        <v>0</v>
      </c>
      <c r="Y463" s="100">
        <f>+VLOOKUP(PROVEEDORES[[#This Row],[ID RETENCION]],Retenciones!$A$1:$O$25,2,FALSE)</f>
        <v>0</v>
      </c>
      <c r="Z463" s="103" t="b">
        <f>OR(COUNTIF(PROVEEDORES[[#This Row],[PROVEEDOR]],"*"&amp;'Palabra no opera'!$A$2&amp;"*"))</f>
        <v>0</v>
      </c>
    </row>
    <row r="464" spans="1:26" ht="22.35" customHeight="1" x14ac:dyDescent="0.25">
      <c r="A464" s="205" t="str">
        <f>+IF(PROVEEDORES[[#This Row],[FECHA DE PAGO]]=PROVEEDORES[[#This Row],[FECHA DE FACTURACIÓN]],"DE CONTADO","CRÉDITO")</f>
        <v>CRÉDITO</v>
      </c>
      <c r="B464" s="38" t="b">
        <f>+IF((PROVEEDORES[[#This Row],[FECHA DE PAGO]]-PROVEEDORES[[#This Row],[FECHA DE FACTURACIÓN]])&gt;PROVEEDORES[[#This Row],[PLAZO Días]],"PAGO VENCIDO")</f>
        <v>0</v>
      </c>
      <c r="C464" s="20">
        <f>+VLOOKUP(PROVEEDORES[[#This Row],[PROVEEDOR]],TERCEROS_INFO[#All],2,FALSE)</f>
        <v>60</v>
      </c>
      <c r="D464" s="25">
        <f>+SUMIFS(PROVEEDORES[Total],PROVEEDORES[PROVEEDOR],PROVEEDORES[[#This Row],[PROVEEDOR]],PROVEEDORES[FECHA DE PAGO],"")</f>
        <v>3708614</v>
      </c>
      <c r="E464" s="25"/>
      <c r="F46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4" s="289">
        <v>45124</v>
      </c>
      <c r="H464" s="26" t="s">
        <v>250</v>
      </c>
      <c r="I464" s="289">
        <v>45096</v>
      </c>
      <c r="J464" s="35">
        <v>1698</v>
      </c>
      <c r="K464" s="21">
        <v>174000</v>
      </c>
      <c r="L464" s="21"/>
      <c r="M464" s="22">
        <f>(PROVEEDORES[[#This Row],[SUBTOTAL]]-PROVEEDORES[[#This Row],[descuento sobre subtotal]])*VLOOKUP(PROVEEDORES[[#This Row],[PROVEEDOR]],TERCEROS_INFO[#All],3,FALSE)</f>
        <v>0</v>
      </c>
      <c r="N464" s="23"/>
      <c r="O464" s="22">
        <f>+PROVEEDORES[[#This Row],[Descuento sobre subtotal %]]*(PROVEEDORES[[#This Row],[SUBTOTAL]]-PROVEEDORES[[#This Row],[descuento sobre subtotal]])</f>
        <v>0</v>
      </c>
      <c r="P464" s="72">
        <f>+IF(PROVEEDORES[[#This Row],[SUBTOTAL]]&lt;PROVEEDORES[[#This Row],[base retencion]],0,PROVEEDORES[[#This Row],[retención aplicada]])</f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174000</v>
      </c>
      <c r="S464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1">
        <f ca="1">IF(PROVEEDORES[[#This Row],[FECHA DE PAGO]]=0,TODAY()-PROVEEDORES[[#This Row],[FECHA DE FACTURACIÓN]]-PROVEEDORES[[#This Row],[PLAZO Días]],0)</f>
        <v>0</v>
      </c>
      <c r="U464" s="97">
        <f>+VLOOKUP(PROVEEDORES[[#This Row],[PROVEEDOR]],Terceros!$A:$D,4,FALSE)</f>
        <v>0</v>
      </c>
      <c r="V464" s="98">
        <f>+YEAR(PROVEEDORES[[#This Row],[FECHA DE FACTURACIÓN]])</f>
        <v>2023</v>
      </c>
      <c r="W464" s="98">
        <f>+MATCH(PROVEEDORES[[#This Row],[año facturado]],Retenciones!$1:$1,0)</f>
        <v>6</v>
      </c>
      <c r="X464" s="99">
        <f>+VLOOKUP(PROVEEDORES[[#This Row],[ID RETENCION]],Retenciones!$A$1:$O$25,PROVEEDORES[[#This Row],[indicador de columna]],FALSE)</f>
        <v>0</v>
      </c>
      <c r="Y464" s="100">
        <f>+VLOOKUP(PROVEEDORES[[#This Row],[ID RETENCION]],Retenciones!$A$1:$O$25,2,FALSE)</f>
        <v>0</v>
      </c>
      <c r="Z464" s="103" t="b">
        <f>OR(COUNTIF(PROVEEDORES[[#This Row],[PROVEEDOR]],"*"&amp;'Palabra no opera'!$A$2&amp;"*"))</f>
        <v>0</v>
      </c>
    </row>
    <row r="465" spans="1:26" ht="22.35" customHeight="1" x14ac:dyDescent="0.25">
      <c r="A465" s="205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60</v>
      </c>
      <c r="D465" s="25">
        <f>+SUMIFS(PROVEEDORES[Total],PROVEEDORES[PROVEEDOR],PROVEEDORES[[#This Row],[PROVEEDOR]],PROVEEDORES[FECHA DE PAGO],"")</f>
        <v>3708614</v>
      </c>
      <c r="E465" s="25"/>
      <c r="F46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5" s="289">
        <v>45124</v>
      </c>
      <c r="H465" s="26" t="s">
        <v>250</v>
      </c>
      <c r="I465" s="289">
        <v>45096</v>
      </c>
      <c r="J465" s="35">
        <v>1699</v>
      </c>
      <c r="K465" s="21">
        <v>174000</v>
      </c>
      <c r="L465" s="21"/>
      <c r="M465" s="22">
        <f>(PROVEEDORES[[#This Row],[SUBTOTAL]]-PROVEEDORES[[#This Row],[descuento sobre subtotal]])*VLOOKUP(PROVEEDORES[[#This Row],[PROVEEDOR]],TERCEROS_INFO[#All],3,FALSE)</f>
        <v>0</v>
      </c>
      <c r="N465" s="23"/>
      <c r="O465" s="22">
        <f>+PROVEEDORES[[#This Row],[Descuento sobre subtotal %]]*(PROVEEDORES[[#This Row],[SUBTOTAL]]-PROVEEDORES[[#This Row],[descuento sobre subtotal]])</f>
        <v>0</v>
      </c>
      <c r="P465" s="72">
        <f>+IF(PROVEEDORES[[#This Row],[SUBTOTAL]]&lt;PROVEEDORES[[#This Row],[base retencion]],0,PROVEEDORES[[#This Row],[retención aplicada]])</f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174000</v>
      </c>
      <c r="S465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1">
        <f ca="1">IF(PROVEEDORES[[#This Row],[FECHA DE PAGO]]=0,TODAY()-PROVEEDORES[[#This Row],[FECHA DE FACTURACIÓN]]-PROVEEDORES[[#This Row],[PLAZO Días]],0)</f>
        <v>0</v>
      </c>
      <c r="U465" s="97">
        <f>+VLOOKUP(PROVEEDORES[[#This Row],[PROVEEDOR]],Terceros!$A:$D,4,FALSE)</f>
        <v>0</v>
      </c>
      <c r="V465" s="98">
        <f>+YEAR(PROVEEDORES[[#This Row],[FECHA DE FACTURACIÓN]])</f>
        <v>2023</v>
      </c>
      <c r="W465" s="98">
        <f>+MATCH(PROVEEDORES[[#This Row],[año facturado]],Retenciones!$1:$1,0)</f>
        <v>6</v>
      </c>
      <c r="X465" s="99">
        <f>+VLOOKUP(PROVEEDORES[[#This Row],[ID RETENCION]],Retenciones!$A$1:$O$25,PROVEEDORES[[#This Row],[indicador de columna]],FALSE)</f>
        <v>0</v>
      </c>
      <c r="Y465" s="100">
        <f>+VLOOKUP(PROVEEDORES[[#This Row],[ID RETENCION]],Retenciones!$A$1:$O$25,2,FALSE)</f>
        <v>0</v>
      </c>
      <c r="Z465" s="103" t="b">
        <f>OR(COUNTIF(PROVEEDORES[[#This Row],[PROVEEDOR]],"*"&amp;'Palabra no opera'!$A$2&amp;"*"))</f>
        <v>0</v>
      </c>
    </row>
    <row r="466" spans="1:26" ht="22.35" customHeight="1" x14ac:dyDescent="0.25">
      <c r="A466" s="205" t="str">
        <f>+IF(PROVEEDORES[[#This Row],[FECHA DE PAGO]]=PROVEEDORES[[#This Row],[FECHA DE FACTURACIÓN]],"DE CONTADO","CRÉDITO")</f>
        <v>CRÉDITO</v>
      </c>
      <c r="B466" s="38" t="b">
        <f>+IF((PROVEEDORES[[#This Row],[FECHA DE PAGO]]-PROVEEDORES[[#This Row],[FECHA DE FACTURACIÓN]])&gt;PROVEEDORES[[#This Row],[PLAZO Días]],"PAGO VENCIDO")</f>
        <v>0</v>
      </c>
      <c r="C466" s="20">
        <f>+VLOOKUP(PROVEEDORES[[#This Row],[PROVEEDOR]],TERCEROS_INFO[#All],2,FALSE)</f>
        <v>60</v>
      </c>
      <c r="D466" s="25">
        <f>+SUMIFS(PROVEEDORES[Total],PROVEEDORES[PROVEEDOR],PROVEEDORES[[#This Row],[PROVEEDOR]],PROVEEDORES[FECHA DE PAGO],"")</f>
        <v>3708614</v>
      </c>
      <c r="E466" s="25"/>
      <c r="F46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6" s="289">
        <v>45124</v>
      </c>
      <c r="H466" s="26" t="s">
        <v>250</v>
      </c>
      <c r="I466" s="289">
        <v>45096</v>
      </c>
      <c r="J466" s="35">
        <v>1700</v>
      </c>
      <c r="K466" s="21">
        <v>191400</v>
      </c>
      <c r="L466" s="21"/>
      <c r="M466" s="22">
        <f>(PROVEEDORES[[#This Row],[SUBTOTAL]]-PROVEEDORES[[#This Row],[descuento sobre subtotal]])*VLOOKUP(PROVEEDORES[[#This Row],[PROVEEDOR]],TERCEROS_INFO[#All],3,FALSE)</f>
        <v>0</v>
      </c>
      <c r="N466" s="23"/>
      <c r="O466" s="22">
        <f>+PROVEEDORES[[#This Row],[Descuento sobre subtotal %]]*(PROVEEDORES[[#This Row],[SUBTOTAL]]-PROVEEDORES[[#This Row],[descuento sobre subtotal]])</f>
        <v>0</v>
      </c>
      <c r="P466" s="72">
        <f>+IF(PROVEEDORES[[#This Row],[SUBTOTAL]]&lt;PROVEEDORES[[#This Row],[base retencion]],0,PROVEEDORES[[#This Row],[retención aplicada]])</f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191400</v>
      </c>
      <c r="S466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1">
        <f ca="1">IF(PROVEEDORES[[#This Row],[FECHA DE PAGO]]=0,TODAY()-PROVEEDORES[[#This Row],[FECHA DE FACTURACIÓN]]-PROVEEDORES[[#This Row],[PLAZO Días]],0)</f>
        <v>0</v>
      </c>
      <c r="U466" s="97">
        <f>+VLOOKUP(PROVEEDORES[[#This Row],[PROVEEDOR]],Terceros!$A:$D,4,FALSE)</f>
        <v>0</v>
      </c>
      <c r="V466" s="98">
        <f>+YEAR(PROVEEDORES[[#This Row],[FECHA DE FACTURACIÓN]])</f>
        <v>2023</v>
      </c>
      <c r="W466" s="98">
        <f>+MATCH(PROVEEDORES[[#This Row],[año facturado]],Retenciones!$1:$1,0)</f>
        <v>6</v>
      </c>
      <c r="X466" s="99">
        <f>+VLOOKUP(PROVEEDORES[[#This Row],[ID RETENCION]],Retenciones!$A$1:$O$25,PROVEEDORES[[#This Row],[indicador de columna]],FALSE)</f>
        <v>0</v>
      </c>
      <c r="Y466" s="100">
        <f>+VLOOKUP(PROVEEDORES[[#This Row],[ID RETENCION]],Retenciones!$A$1:$O$25,2,FALSE)</f>
        <v>0</v>
      </c>
      <c r="Z466" s="103" t="b">
        <f>OR(COUNTIF(PROVEEDORES[[#This Row],[PROVEEDOR]],"*"&amp;'Palabra no opera'!$A$2&amp;"*"))</f>
        <v>0</v>
      </c>
    </row>
    <row r="467" spans="1:26" ht="22.35" customHeight="1" x14ac:dyDescent="0.25">
      <c r="A467" s="205" t="str">
        <f>+IF(PROVEEDORES[[#This Row],[FECHA DE PAGO]]=PROVEEDORES[[#This Row],[FECHA DE FACTURACIÓN]],"DE CONTADO","CRÉDITO")</f>
        <v>CRÉDITO</v>
      </c>
      <c r="B467" s="38" t="b">
        <f>+IF((PROVEEDORES[[#This Row],[FECHA DE PAGO]]-PROVEEDORES[[#This Row],[FECHA DE FACTURACIÓN]])&gt;PROVEEDORES[[#This Row],[PLAZO Días]],"PAGO VENCIDO")</f>
        <v>0</v>
      </c>
      <c r="C467" s="20">
        <f>+VLOOKUP(PROVEEDORES[[#This Row],[PROVEEDOR]],TERCEROS_INFO[#All],2,FALSE)</f>
        <v>60</v>
      </c>
      <c r="D467" s="25">
        <f>+SUMIFS(PROVEEDORES[Total],PROVEEDORES[PROVEEDOR],PROVEEDORES[[#This Row],[PROVEEDOR]],PROVEEDORES[FECHA DE PAGO],"")</f>
        <v>3708614</v>
      </c>
      <c r="E467" s="25"/>
      <c r="F46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7" s="289">
        <v>45124</v>
      </c>
      <c r="H467" s="26" t="s">
        <v>250</v>
      </c>
      <c r="I467" s="289">
        <v>45096</v>
      </c>
      <c r="J467" s="35">
        <v>1701</v>
      </c>
      <c r="K467" s="21">
        <v>191400</v>
      </c>
      <c r="L467" s="21"/>
      <c r="M467" s="22">
        <f>(PROVEEDORES[[#This Row],[SUBTOTAL]]-PROVEEDORES[[#This Row],[descuento sobre subtotal]])*VLOOKUP(PROVEEDORES[[#This Row],[PROVEEDOR]],TERCEROS_INFO[#All],3,FALSE)</f>
        <v>0</v>
      </c>
      <c r="N467" s="23"/>
      <c r="O467" s="22">
        <f>+PROVEEDORES[[#This Row],[Descuento sobre subtotal %]]*(PROVEEDORES[[#This Row],[SUBTOTAL]]-PROVEEDORES[[#This Row],[descuento sobre subtotal]])</f>
        <v>0</v>
      </c>
      <c r="P467" s="72">
        <f>+IF(PROVEEDORES[[#This Row],[SUBTOTAL]]&lt;PROVEEDORES[[#This Row],[base retencion]],0,PROVEEDORES[[#This Row],[retención aplicada]])</f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191400</v>
      </c>
      <c r="S467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1">
        <f ca="1">IF(PROVEEDORES[[#This Row],[FECHA DE PAGO]]=0,TODAY()-PROVEEDORES[[#This Row],[FECHA DE FACTURACIÓN]]-PROVEEDORES[[#This Row],[PLAZO Días]],0)</f>
        <v>0</v>
      </c>
      <c r="U467" s="97">
        <f>+VLOOKUP(PROVEEDORES[[#This Row],[PROVEEDOR]],Terceros!$A:$D,4,FALSE)</f>
        <v>0</v>
      </c>
      <c r="V467" s="98">
        <f>+YEAR(PROVEEDORES[[#This Row],[FECHA DE FACTURACIÓN]])</f>
        <v>2023</v>
      </c>
      <c r="W467" s="98">
        <f>+MATCH(PROVEEDORES[[#This Row],[año facturado]],Retenciones!$1:$1,0)</f>
        <v>6</v>
      </c>
      <c r="X467" s="99">
        <f>+VLOOKUP(PROVEEDORES[[#This Row],[ID RETENCION]],Retenciones!$A$1:$O$25,PROVEEDORES[[#This Row],[indicador de columna]],FALSE)</f>
        <v>0</v>
      </c>
      <c r="Y467" s="100">
        <f>+VLOOKUP(PROVEEDORES[[#This Row],[ID RETENCION]],Retenciones!$A$1:$O$25,2,FALSE)</f>
        <v>0</v>
      </c>
      <c r="Z467" s="103" t="b">
        <f>OR(COUNTIF(PROVEEDORES[[#This Row],[PROVEEDOR]],"*"&amp;'Palabra no opera'!$A$2&amp;"*"))</f>
        <v>0</v>
      </c>
    </row>
    <row r="468" spans="1:26" ht="22.35" customHeight="1" x14ac:dyDescent="0.25">
      <c r="A468" s="205" t="str">
        <f>+IF(PROVEEDORES[[#This Row],[FECHA DE PAGO]]=PROVEEDORES[[#This Row],[FECHA DE FACTURACIÓN]],"DE CONTADO","CRÉDITO")</f>
        <v>CRÉDITO</v>
      </c>
      <c r="B468" s="38" t="b">
        <f>+IF((PROVEEDORES[[#This Row],[FECHA DE PAGO]]-PROVEEDORES[[#This Row],[FECHA DE FACTURACIÓN]])&gt;PROVEEDORES[[#This Row],[PLAZO Días]],"PAGO VENCIDO")</f>
        <v>0</v>
      </c>
      <c r="C468" s="20">
        <f>+VLOOKUP(PROVEEDORES[[#This Row],[PROVEEDOR]],TERCEROS_INFO[#All],2,FALSE)</f>
        <v>60</v>
      </c>
      <c r="D468" s="25">
        <f>+SUMIFS(PROVEEDORES[Total],PROVEEDORES[PROVEEDOR],PROVEEDORES[[#This Row],[PROVEEDOR]],PROVEEDORES[FECHA DE PAGO],"")</f>
        <v>3708614</v>
      </c>
      <c r="E468" s="25"/>
      <c r="F46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8" s="289">
        <v>45124</v>
      </c>
      <c r="H468" s="26" t="s">
        <v>250</v>
      </c>
      <c r="I468" s="289">
        <v>45107</v>
      </c>
      <c r="J468" s="35">
        <v>1715</v>
      </c>
      <c r="K468" s="21">
        <v>226200</v>
      </c>
      <c r="L468" s="21"/>
      <c r="M468" s="22">
        <f>(PROVEEDORES[[#This Row],[SUBTOTAL]]-PROVEEDORES[[#This Row],[descuento sobre subtotal]])*VLOOKUP(PROVEEDORES[[#This Row],[PROVEEDOR]],TERCEROS_INFO[#All],3,FALSE)</f>
        <v>0</v>
      </c>
      <c r="N468" s="23"/>
      <c r="O468" s="22">
        <f>+PROVEEDORES[[#This Row],[Descuento sobre subtotal %]]*(PROVEEDORES[[#This Row],[SUBTOTAL]]-PROVEEDORES[[#This Row],[descuento sobre subtotal]])</f>
        <v>0</v>
      </c>
      <c r="P468" s="72">
        <f>+IF(PROVEEDORES[[#This Row],[SUBTOTAL]]&lt;PROVEEDORES[[#This Row],[base retencion]],0,PROVEEDORES[[#This Row],[retención aplicada]])</f>
        <v>0</v>
      </c>
      <c r="Q468" s="22">
        <f>+PROVEEDORES[[#This Row],[Rete Fuente %]]*(PROVEEDORES[[#This Row],[SUBTOTAL]]-PROVEEDORES[[#This Row],[descuento sobre subtotal]])</f>
        <v>0</v>
      </c>
      <c r="R468" s="21">
        <f>+PROVEEDORES[[#This Row],[SUBTOTAL]]+PROVEEDORES[[#This Row],[IVA 19%]]-PROVEEDORES[[#This Row],[descuento sobre subtotal]]-PROVEEDORES[[#This Row],[Descuento sobre subtotal $2]]-PROVEEDORES[[#This Row],[Rete Fuente $]]</f>
        <v>226200</v>
      </c>
      <c r="S468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1">
        <f ca="1">IF(PROVEEDORES[[#This Row],[FECHA DE PAGO]]=0,TODAY()-PROVEEDORES[[#This Row],[FECHA DE FACTURACIÓN]]-PROVEEDORES[[#This Row],[PLAZO Días]],0)</f>
        <v>0</v>
      </c>
      <c r="U468" s="97">
        <f>+VLOOKUP(PROVEEDORES[[#This Row],[PROVEEDOR]],Terceros!$A:$D,4,FALSE)</f>
        <v>0</v>
      </c>
      <c r="V468" s="98">
        <f>+YEAR(PROVEEDORES[[#This Row],[FECHA DE FACTURACIÓN]])</f>
        <v>2023</v>
      </c>
      <c r="W468" s="98">
        <f>+MATCH(PROVEEDORES[[#This Row],[año facturado]],Retenciones!$1:$1,0)</f>
        <v>6</v>
      </c>
      <c r="X468" s="99">
        <f>+VLOOKUP(PROVEEDORES[[#This Row],[ID RETENCION]],Retenciones!$A$1:$O$25,PROVEEDORES[[#This Row],[indicador de columna]],FALSE)</f>
        <v>0</v>
      </c>
      <c r="Y468" s="100">
        <f>+VLOOKUP(PROVEEDORES[[#This Row],[ID RETENCION]],Retenciones!$A$1:$O$25,2,FALSE)</f>
        <v>0</v>
      </c>
      <c r="Z468" s="103" t="b">
        <f>OR(COUNTIF(PROVEEDORES[[#This Row],[PROVEEDOR]],"*"&amp;'Palabra no opera'!$A$2&amp;"*"))</f>
        <v>0</v>
      </c>
    </row>
    <row r="469" spans="1:26" ht="22.35" customHeight="1" x14ac:dyDescent="0.25">
      <c r="A469" s="205" t="str">
        <f>+IF(PROVEEDORES[[#This Row],[FECHA DE PAGO]]=PROVEEDORES[[#This Row],[FECHA DE FACTURACIÓN]],"DE CONTADO","CRÉDITO")</f>
        <v>CRÉDITO</v>
      </c>
      <c r="B469" s="38" t="b">
        <f>+IF((PROVEEDORES[[#This Row],[FECHA DE PAGO]]-PROVEEDORES[[#This Row],[FECHA DE FACTURACIÓN]])&gt;PROVEEDORES[[#This Row],[PLAZO Días]],"PAGO VENCIDO")</f>
        <v>0</v>
      </c>
      <c r="C469" s="20">
        <f>+VLOOKUP(PROVEEDORES[[#This Row],[PROVEEDOR]],TERCEROS_INFO[#All],2,FALSE)</f>
        <v>60</v>
      </c>
      <c r="D469" s="25">
        <f>+SUMIFS(PROVEEDORES[Total],PROVEEDORES[PROVEEDOR],PROVEEDORES[[#This Row],[PROVEEDOR]],PROVEEDORES[FECHA DE PAGO],"")</f>
        <v>3708614</v>
      </c>
      <c r="E469" s="25"/>
      <c r="F46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9" s="289">
        <v>45124</v>
      </c>
      <c r="H469" s="26" t="s">
        <v>250</v>
      </c>
      <c r="I469" s="289">
        <v>45107</v>
      </c>
      <c r="J469" s="35">
        <v>1716</v>
      </c>
      <c r="K469" s="21">
        <v>226200</v>
      </c>
      <c r="L469" s="21"/>
      <c r="M469" s="22">
        <f>(PROVEEDORES[[#This Row],[SUBTOTAL]]-PROVEEDORES[[#This Row],[descuento sobre subtotal]])*VLOOKUP(PROVEEDORES[[#This Row],[PROVEEDOR]],TERCEROS_INFO[#All],3,FALSE)</f>
        <v>0</v>
      </c>
      <c r="N469" s="23"/>
      <c r="O469" s="22">
        <f>+PROVEEDORES[[#This Row],[Descuento sobre subtotal %]]*(PROVEEDORES[[#This Row],[SUBTOTAL]]-PROVEEDORES[[#This Row],[descuento sobre subtotal]])</f>
        <v>0</v>
      </c>
      <c r="P469" s="72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f>+PROVEEDORES[[#This Row],[SUBTOTAL]]+PROVEEDORES[[#This Row],[IVA 19%]]-PROVEEDORES[[#This Row],[descuento sobre subtotal]]-PROVEEDORES[[#This Row],[Descuento sobre subtotal $2]]-PROVEEDORES[[#This Row],[Rete Fuente $]]</f>
        <v>226200</v>
      </c>
      <c r="S469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1">
        <f ca="1">IF(PROVEEDORES[[#This Row],[FECHA DE PAGO]]=0,TODAY()-PROVEEDORES[[#This Row],[FECHA DE FACTURACIÓN]]-PROVEEDORES[[#This Row],[PLAZO Días]],0)</f>
        <v>0</v>
      </c>
      <c r="U469" s="97">
        <f>+VLOOKUP(PROVEEDORES[[#This Row],[PROVEEDOR]],Terceros!$A:$D,4,FALSE)</f>
        <v>0</v>
      </c>
      <c r="V469" s="98">
        <f>+YEAR(PROVEEDORES[[#This Row],[FECHA DE FACTURACIÓN]])</f>
        <v>2023</v>
      </c>
      <c r="W469" s="98">
        <f>+MATCH(PROVEEDORES[[#This Row],[año facturado]],Retenciones!$1:$1,0)</f>
        <v>6</v>
      </c>
      <c r="X469" s="99">
        <f>+VLOOKUP(PROVEEDORES[[#This Row],[ID RETENCION]],Retenciones!$A$1:$O$25,PROVEEDORES[[#This Row],[indicador de columna]],FALSE)</f>
        <v>0</v>
      </c>
      <c r="Y469" s="100">
        <f>+VLOOKUP(PROVEEDORES[[#This Row],[ID RETENCION]],Retenciones!$A$1:$O$25,2,FALSE)</f>
        <v>0</v>
      </c>
      <c r="Z469" s="103" t="b">
        <f>OR(COUNTIF(PROVEEDORES[[#This Row],[PROVEEDOR]],"*"&amp;'Palabra no opera'!$A$2&amp;"*"))</f>
        <v>0</v>
      </c>
    </row>
    <row r="470" spans="1:26" ht="22.35" customHeight="1" x14ac:dyDescent="0.25">
      <c r="A470" s="213" t="str">
        <f>+IF(PROVEEDORES[[#This Row],[FECHA DE PAGO]]=PROVEEDORES[[#This Row],[FECHA DE FACTURACIÓN]],"DE CONTADO","CRÉDITO")</f>
        <v>CRÉDITO</v>
      </c>
      <c r="B470" s="38" t="b">
        <f>+IF((PROVEEDORES[[#This Row],[FECHA DE PAGO]]-PROVEEDORES[[#This Row],[FECHA DE FACTURACIÓN]])&gt;PROVEEDORES[[#This Row],[PLAZO Días]],"PAGO VENCIDO")</f>
        <v>0</v>
      </c>
      <c r="C470" s="20">
        <f>+VLOOKUP(PROVEEDORES[[#This Row],[PROVEEDOR]],TERCEROS_INFO[#All],2,FALSE)</f>
        <v>60</v>
      </c>
      <c r="D470" s="25">
        <f>+SUMIFS(PROVEEDORES[Total],PROVEEDORES[PROVEEDOR],PROVEEDORES[[#This Row],[PROVEEDOR]],PROVEEDORES[FECHA DE PAGO],"")</f>
        <v>3708614</v>
      </c>
      <c r="E470" s="25"/>
      <c r="F47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0" s="289">
        <v>45152</v>
      </c>
      <c r="H470" s="26" t="s">
        <v>250</v>
      </c>
      <c r="I470" s="289">
        <v>45124</v>
      </c>
      <c r="J470" s="35">
        <v>1729</v>
      </c>
      <c r="K470" s="21">
        <v>381800</v>
      </c>
      <c r="L470" s="21"/>
      <c r="M470" s="22">
        <f>(PROVEEDORES[[#This Row],[SUBTOTAL]]-PROVEEDORES[[#This Row],[descuento sobre subtotal]])*VLOOKUP(PROVEEDORES[[#This Row],[PROVEEDOR]],TERCEROS_INFO[#All],3,FALSE)</f>
        <v>0</v>
      </c>
      <c r="N470" s="23"/>
      <c r="O470" s="22">
        <f>+PROVEEDORES[[#This Row],[Descuento sobre subtotal %]]*(PROVEEDORES[[#This Row],[SUBTOTAL]]-PROVEEDORES[[#This Row],[descuento sobre subtotal]])</f>
        <v>0</v>
      </c>
      <c r="P470" s="72">
        <f>+IF(PROVEEDORES[[#This Row],[SUBTOTAL]]&lt;PROVEEDORES[[#This Row],[base retencion]],0,PROVEEDORES[[#This Row],[retención aplicada]])</f>
        <v>0</v>
      </c>
      <c r="Q470" s="22">
        <f>+PROVEEDORES[[#This Row],[Rete Fuente %]]*(PROVEEDORES[[#This Row],[SUBTOTAL]]-PROVEEDORES[[#This Row],[descuento sobre subtotal]])</f>
        <v>0</v>
      </c>
      <c r="R470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470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1">
        <f ca="1">IF(PROVEEDORES[[#This Row],[FECHA DE PAGO]]=0,TODAY()-PROVEEDORES[[#This Row],[FECHA DE FACTURACIÓN]]-PROVEEDORES[[#This Row],[PLAZO Días]],0)</f>
        <v>0</v>
      </c>
      <c r="U470" s="97">
        <f>+VLOOKUP(PROVEEDORES[[#This Row],[PROVEEDOR]],Terceros!$A:$D,4,FALSE)</f>
        <v>0</v>
      </c>
      <c r="V470" s="98">
        <f>+YEAR(PROVEEDORES[[#This Row],[FECHA DE FACTURACIÓN]])</f>
        <v>2023</v>
      </c>
      <c r="W470" s="98">
        <f>+MATCH(PROVEEDORES[[#This Row],[año facturado]],Retenciones!$1:$1,0)</f>
        <v>6</v>
      </c>
      <c r="X470" s="99">
        <f>+VLOOKUP(PROVEEDORES[[#This Row],[ID RETENCION]],Retenciones!$A$1:$O$25,PROVEEDORES[[#This Row],[indicador de columna]],FALSE)</f>
        <v>0</v>
      </c>
      <c r="Y470" s="100">
        <f>+VLOOKUP(PROVEEDORES[[#This Row],[ID RETENCION]],Retenciones!$A$1:$O$25,2,FALSE)</f>
        <v>0</v>
      </c>
      <c r="Z470" s="103" t="b">
        <f>OR(COUNTIF(PROVEEDORES[[#This Row],[PROVEEDOR]],"*"&amp;'Palabra no opera'!$A$2&amp;"*"))</f>
        <v>0</v>
      </c>
    </row>
    <row r="471" spans="1:26" ht="22.35" customHeight="1" x14ac:dyDescent="0.25">
      <c r="A471" s="213" t="str">
        <f>+IF(PROVEEDORES[[#This Row],[FECHA DE PAGO]]=PROVEEDORES[[#This Row],[FECHA DE FACTURACIÓN]],"DE CONTADO","CRÉDITO")</f>
        <v>CRÉDITO</v>
      </c>
      <c r="B471" s="38" t="b">
        <f>+IF((PROVEEDORES[[#This Row],[FECHA DE PAGO]]-PROVEEDORES[[#This Row],[FECHA DE FACTURACIÓN]])&gt;PROVEEDORES[[#This Row],[PLAZO Días]],"PAGO VENCIDO")</f>
        <v>0</v>
      </c>
      <c r="C471" s="20">
        <f>+VLOOKUP(PROVEEDORES[[#This Row],[PROVEEDOR]],TERCEROS_INFO[#All],2,FALSE)</f>
        <v>60</v>
      </c>
      <c r="D471" s="25">
        <f>+SUMIFS(PROVEEDORES[Total],PROVEEDORES[PROVEEDOR],PROVEEDORES[[#This Row],[PROVEEDOR]],PROVEEDORES[FECHA DE PAGO],"")</f>
        <v>3708614</v>
      </c>
      <c r="E471" s="25"/>
      <c r="F47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1" s="289">
        <v>45152</v>
      </c>
      <c r="H471" s="26" t="s">
        <v>250</v>
      </c>
      <c r="I471" s="289">
        <v>45124</v>
      </c>
      <c r="J471" s="35">
        <v>1730</v>
      </c>
      <c r="K471" s="21">
        <v>215800</v>
      </c>
      <c r="L471" s="21"/>
      <c r="M471" s="22">
        <f>(PROVEEDORES[[#This Row],[SUBTOTAL]]-PROVEEDORES[[#This Row],[descuento sobre subtotal]])*VLOOKUP(PROVEEDORES[[#This Row],[PROVEEDOR]],TERCEROS_INFO[#All],3,FALSE)</f>
        <v>0</v>
      </c>
      <c r="N471" s="23"/>
      <c r="O471" s="22">
        <f>+PROVEEDORES[[#This Row],[Descuento sobre subtotal %]]*(PROVEEDORES[[#This Row],[SUBTOTAL]]-PROVEEDORES[[#This Row],[descuento sobre subtotal]])</f>
        <v>0</v>
      </c>
      <c r="P471" s="72">
        <f>+IF(PROVEEDORES[[#This Row],[SUBTOTAL]]&lt;PROVEEDORES[[#This Row],[base retencion]],0,PROVEEDORES[[#This Row],[retención aplicada]])</f>
        <v>0</v>
      </c>
      <c r="Q471" s="22">
        <f>+PROVEEDORES[[#This Row],[Rete Fuente %]]*(PROVEEDORES[[#This Row],[SUBTOTAL]]-PROVEEDORES[[#This Row],[descuento sobre subtotal]])</f>
        <v>0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215800</v>
      </c>
      <c r="S471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61">
        <f ca="1">IF(PROVEEDORES[[#This Row],[FECHA DE PAGO]]=0,TODAY()-PROVEEDORES[[#This Row],[FECHA DE FACTURACIÓN]]-PROVEEDORES[[#This Row],[PLAZO Días]],0)</f>
        <v>0</v>
      </c>
      <c r="U471" s="97">
        <f>+VLOOKUP(PROVEEDORES[[#This Row],[PROVEEDOR]],Terceros!$A:$D,4,FALSE)</f>
        <v>0</v>
      </c>
      <c r="V471" s="98">
        <f>+YEAR(PROVEEDORES[[#This Row],[FECHA DE FACTURACIÓN]])</f>
        <v>2023</v>
      </c>
      <c r="W471" s="98">
        <f>+MATCH(PROVEEDORES[[#This Row],[año facturado]],Retenciones!$1:$1,0)</f>
        <v>6</v>
      </c>
      <c r="X471" s="99">
        <f>+VLOOKUP(PROVEEDORES[[#This Row],[ID RETENCION]],Retenciones!$A$1:$O$25,PROVEEDORES[[#This Row],[indicador de columna]],FALSE)</f>
        <v>0</v>
      </c>
      <c r="Y471" s="100">
        <f>+VLOOKUP(PROVEEDORES[[#This Row],[ID RETENCION]],Retenciones!$A$1:$O$25,2,FALSE)</f>
        <v>0</v>
      </c>
      <c r="Z471" s="103" t="b">
        <f>OR(COUNTIF(PROVEEDORES[[#This Row],[PROVEEDOR]],"*"&amp;'Palabra no opera'!$A$2&amp;"*"))</f>
        <v>0</v>
      </c>
    </row>
    <row r="472" spans="1:26" ht="22.35" customHeight="1" x14ac:dyDescent="0.25">
      <c r="A472" s="213" t="str">
        <f>+IF(PROVEEDORES[[#This Row],[FECHA DE PAGO]]=PROVEEDORES[[#This Row],[FECHA DE FACTURACIÓN]],"DE CONTADO","CRÉDITO")</f>
        <v>CRÉDITO</v>
      </c>
      <c r="B472" s="38" t="b">
        <f>+IF((PROVEEDORES[[#This Row],[FECHA DE PAGO]]-PROVEEDORES[[#This Row],[FECHA DE FACTURACIÓN]])&gt;PROVEEDORES[[#This Row],[PLAZO Días]],"PAGO VENCIDO")</f>
        <v>0</v>
      </c>
      <c r="C472" s="20">
        <f>+VLOOKUP(PROVEEDORES[[#This Row],[PROVEEDOR]],TERCEROS_INFO[#All],2,FALSE)</f>
        <v>60</v>
      </c>
      <c r="D472" s="25">
        <f>+SUMIFS(PROVEEDORES[Total],PROVEEDORES[PROVEEDOR],PROVEEDORES[[#This Row],[PROVEEDOR]],PROVEEDORES[FECHA DE PAGO],"")</f>
        <v>3708614</v>
      </c>
      <c r="E472" s="25"/>
      <c r="F47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2" s="289">
        <v>45152</v>
      </c>
      <c r="H472" s="26" t="s">
        <v>250</v>
      </c>
      <c r="I472" s="289">
        <v>45124</v>
      </c>
      <c r="J472" s="35">
        <v>1731</v>
      </c>
      <c r="K472" s="21">
        <v>315400</v>
      </c>
      <c r="L472" s="21"/>
      <c r="M472" s="22">
        <f>(PROVEEDORES[[#This Row],[SUBTOTAL]]-PROVEEDORES[[#This Row],[descuento sobre subtotal]])*VLOOKUP(PROVEEDORES[[#This Row],[PROVEEDOR]],TERCEROS_INFO[#All],3,FALSE)</f>
        <v>0</v>
      </c>
      <c r="N472" s="23"/>
      <c r="O472" s="22">
        <f>+PROVEEDORES[[#This Row],[Descuento sobre subtotal %]]*(PROVEEDORES[[#This Row],[SUBTOTAL]]-PROVEEDORES[[#This Row],[descuento sobre subtotal]])</f>
        <v>0</v>
      </c>
      <c r="P472" s="72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315400</v>
      </c>
      <c r="S472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1">
        <f ca="1">IF(PROVEEDORES[[#This Row],[FECHA DE PAGO]]=0,TODAY()-PROVEEDORES[[#This Row],[FECHA DE FACTURACIÓN]]-PROVEEDORES[[#This Row],[PLAZO Días]],0)</f>
        <v>0</v>
      </c>
      <c r="U472" s="97">
        <f>+VLOOKUP(PROVEEDORES[[#This Row],[PROVEEDOR]],Terceros!$A:$D,4,FALSE)</f>
        <v>0</v>
      </c>
      <c r="V472" s="98">
        <f>+YEAR(PROVEEDORES[[#This Row],[FECHA DE FACTURACIÓN]])</f>
        <v>2023</v>
      </c>
      <c r="W472" s="98">
        <f>+MATCH(PROVEEDORES[[#This Row],[año facturado]],Retenciones!$1:$1,0)</f>
        <v>6</v>
      </c>
      <c r="X472" s="99">
        <f>+VLOOKUP(PROVEEDORES[[#This Row],[ID RETENCION]],Retenciones!$A$1:$O$25,PROVEEDORES[[#This Row],[indicador de columna]],FALSE)</f>
        <v>0</v>
      </c>
      <c r="Y472" s="100">
        <f>+VLOOKUP(PROVEEDORES[[#This Row],[ID RETENCION]],Retenciones!$A$1:$O$25,2,FALSE)</f>
        <v>0</v>
      </c>
      <c r="Z472" s="103" t="b">
        <f>OR(COUNTIF(PROVEEDORES[[#This Row],[PROVEEDOR]],"*"&amp;'Palabra no opera'!$A$2&amp;"*"))</f>
        <v>0</v>
      </c>
    </row>
    <row r="473" spans="1:26" ht="22.35" customHeight="1" x14ac:dyDescent="0.25">
      <c r="A473" s="213" t="str">
        <f>+IF(PROVEEDORES[[#This Row],[FECHA DE PAGO]]=PROVEEDORES[[#This Row],[FECHA DE FACTURACIÓN]],"DE CONTADO","CRÉDITO")</f>
        <v>CRÉDITO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60</v>
      </c>
      <c r="D473" s="25">
        <f>+SUMIFS(PROVEEDORES[Total],PROVEEDORES[PROVEEDOR],PROVEEDORES[[#This Row],[PROVEEDOR]],PROVEEDORES[FECHA DE PAGO],"")</f>
        <v>3708614</v>
      </c>
      <c r="E473" s="25"/>
      <c r="F47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3" s="289">
        <v>45152</v>
      </c>
      <c r="H473" s="26" t="s">
        <v>250</v>
      </c>
      <c r="I473" s="289">
        <v>45124</v>
      </c>
      <c r="J473" s="35">
        <v>1732</v>
      </c>
      <c r="K473" s="21">
        <v>232400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72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473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1">
        <f ca="1">IF(PROVEEDORES[[#This Row],[FECHA DE PAGO]]=0,TODAY()-PROVEEDORES[[#This Row],[FECHA DE FACTURACIÓN]]-PROVEEDORES[[#This Row],[PLAZO Días]],0)</f>
        <v>0</v>
      </c>
      <c r="U473" s="97">
        <f>+VLOOKUP(PROVEEDORES[[#This Row],[PROVEEDOR]],Terceros!$A:$D,4,FALSE)</f>
        <v>0</v>
      </c>
      <c r="V473" s="98">
        <f>+YEAR(PROVEEDORES[[#This Row],[FECHA DE FACTURACIÓN]])</f>
        <v>2023</v>
      </c>
      <c r="W473" s="98">
        <f>+MATCH(PROVEEDORES[[#This Row],[año facturado]],Retenciones!$1:$1,0)</f>
        <v>6</v>
      </c>
      <c r="X473" s="99">
        <f>+VLOOKUP(PROVEEDORES[[#This Row],[ID RETENCION]],Retenciones!$A$1:$O$25,PROVEEDORES[[#This Row],[indicador de columna]],FALSE)</f>
        <v>0</v>
      </c>
      <c r="Y473" s="100">
        <f>+VLOOKUP(PROVEEDORES[[#This Row],[ID RETENCION]],Retenciones!$A$1:$O$25,2,FALSE)</f>
        <v>0</v>
      </c>
      <c r="Z473" s="103" t="b">
        <f>OR(COUNTIF(PROVEEDORES[[#This Row],[PROVEEDOR]],"*"&amp;'Palabra no opera'!$A$2&amp;"*"))</f>
        <v>0</v>
      </c>
    </row>
    <row r="474" spans="1:26" ht="22.35" customHeight="1" x14ac:dyDescent="0.25">
      <c r="A474" s="213" t="str">
        <f>+IF(PROVEEDORES[[#This Row],[FECHA DE PAGO]]=PROVEEDORES[[#This Row],[FECHA DE FACTURACIÓN]],"DE CONTADO","CRÉDITO")</f>
        <v>CRÉDITO</v>
      </c>
      <c r="B474" s="38" t="b">
        <f>+IF((PROVEEDORES[[#This Row],[FECHA DE PAGO]]-PROVEEDORES[[#This Row],[FECHA DE FACTURACIÓN]])&gt;PROVEEDORES[[#This Row],[PLAZO Días]],"PAGO VENCIDO")</f>
        <v>0</v>
      </c>
      <c r="C474" s="20">
        <f>+VLOOKUP(PROVEEDORES[[#This Row],[PROVEEDOR]],TERCEROS_INFO[#All],2,FALSE)</f>
        <v>60</v>
      </c>
      <c r="D474" s="25">
        <f>+SUMIFS(PROVEEDORES[Total],PROVEEDORES[PROVEEDOR],PROVEEDORES[[#This Row],[PROVEEDOR]],PROVEEDORES[FECHA DE PAGO],"")</f>
        <v>3708614</v>
      </c>
      <c r="E474" s="25"/>
      <c r="F47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4" s="289">
        <v>45152</v>
      </c>
      <c r="H474" s="26" t="s">
        <v>250</v>
      </c>
      <c r="I474" s="289">
        <v>45126</v>
      </c>
      <c r="J474" s="35">
        <v>1735</v>
      </c>
      <c r="K474" s="21">
        <v>249000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72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f>+PROVEEDORES[[#This Row],[SUBTOTAL]]+PROVEEDORES[[#This Row],[IVA 19%]]-PROVEEDORES[[#This Row],[descuento sobre subtotal]]-PROVEEDORES[[#This Row],[Descuento sobre subtotal $2]]-PROVEEDORES[[#This Row],[Rete Fuente $]]</f>
        <v>249000</v>
      </c>
      <c r="S474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1">
        <f ca="1">IF(PROVEEDORES[[#This Row],[FECHA DE PAGO]]=0,TODAY()-PROVEEDORES[[#This Row],[FECHA DE FACTURACIÓN]]-PROVEEDORES[[#This Row],[PLAZO Días]],0)</f>
        <v>0</v>
      </c>
      <c r="U474" s="97">
        <f>+VLOOKUP(PROVEEDORES[[#This Row],[PROVEEDOR]],Terceros!$A:$D,4,FALSE)</f>
        <v>0</v>
      </c>
      <c r="V474" s="98">
        <f>+YEAR(PROVEEDORES[[#This Row],[FECHA DE FACTURACIÓN]])</f>
        <v>2023</v>
      </c>
      <c r="W474" s="98">
        <f>+MATCH(PROVEEDORES[[#This Row],[año facturado]],Retenciones!$1:$1,0)</f>
        <v>6</v>
      </c>
      <c r="X474" s="99">
        <f>+VLOOKUP(PROVEEDORES[[#This Row],[ID RETENCION]],Retenciones!$A$1:$O$25,PROVEEDORES[[#This Row],[indicador de columna]],FALSE)</f>
        <v>0</v>
      </c>
      <c r="Y474" s="100">
        <f>+VLOOKUP(PROVEEDORES[[#This Row],[ID RETENCION]],Retenciones!$A$1:$O$25,2,FALSE)</f>
        <v>0</v>
      </c>
      <c r="Z474" s="103" t="b">
        <f>OR(COUNTIF(PROVEEDORES[[#This Row],[PROVEEDOR]],"*"&amp;'Palabra no opera'!$A$2&amp;"*"))</f>
        <v>0</v>
      </c>
    </row>
    <row r="475" spans="1:26" ht="22.35" customHeight="1" x14ac:dyDescent="0.25">
      <c r="A475" s="213" t="str">
        <f>+IF(PROVEEDORES[[#This Row],[FECHA DE PAGO]]=PROVEEDORES[[#This Row],[FECHA DE FACTURACIÓN]],"DE CONTADO","CRÉDITO")</f>
        <v>CRÉDITO</v>
      </c>
      <c r="B475" s="38" t="b">
        <f>+IF((PROVEEDORES[[#This Row],[FECHA DE PAGO]]-PROVEEDORES[[#This Row],[FECHA DE FACTURACIÓN]])&gt;PROVEEDORES[[#This Row],[PLAZO Días]],"PAGO VENCIDO")</f>
        <v>0</v>
      </c>
      <c r="C475" s="20">
        <f>+VLOOKUP(PROVEEDORES[[#This Row],[PROVEEDOR]],TERCEROS_INFO[#All],2,FALSE)</f>
        <v>60</v>
      </c>
      <c r="D475" s="25">
        <f>+SUMIFS(PROVEEDORES[Total],PROVEEDORES[PROVEEDOR],PROVEEDORES[[#This Row],[PROVEEDOR]],PROVEEDORES[FECHA DE PAGO],"")</f>
        <v>3708614</v>
      </c>
      <c r="E475" s="25"/>
      <c r="F47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5" s="289">
        <v>45152</v>
      </c>
      <c r="H475" s="26" t="s">
        <v>250</v>
      </c>
      <c r="I475" s="289">
        <v>45126</v>
      </c>
      <c r="J475" s="35">
        <v>1736</v>
      </c>
      <c r="K475" s="21">
        <v>232400</v>
      </c>
      <c r="L475" s="21"/>
      <c r="M475" s="22">
        <f>(PROVEEDORES[[#This Row],[SUBTOTAL]]-PROVEEDORES[[#This Row],[descuento sobre subtotal]])*VLOOKUP(PROVEEDORES[[#This Row],[PROVEEDOR]],TERCEROS_INFO[#All],3,FALSE)</f>
        <v>0</v>
      </c>
      <c r="N475" s="23"/>
      <c r="O475" s="22">
        <f>+PROVEEDORES[[#This Row],[Descuento sobre subtotal %]]*(PROVEEDORES[[#This Row],[SUBTOTAL]]-PROVEEDORES[[#This Row],[descuento sobre subtotal]])</f>
        <v>0</v>
      </c>
      <c r="P475" s="72">
        <f>+IF(PROVEEDORES[[#This Row],[SUBTOTAL]]&lt;PROVEEDORES[[#This Row],[base retencion]],0,PROVEEDORES[[#This Row],[retención aplicada]])</f>
        <v>0</v>
      </c>
      <c r="Q475" s="22">
        <f>+PROVEEDORES[[#This Row],[Rete Fuente %]]*(PROVEEDORES[[#This Row],[SUBTOTAL]]-PROVEEDORES[[#This Row],[descuento sobre subtotal]])</f>
        <v>0</v>
      </c>
      <c r="R475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475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1">
        <f ca="1">IF(PROVEEDORES[[#This Row],[FECHA DE PAGO]]=0,TODAY()-PROVEEDORES[[#This Row],[FECHA DE FACTURACIÓN]]-PROVEEDORES[[#This Row],[PLAZO Días]],0)</f>
        <v>0</v>
      </c>
      <c r="U475" s="97">
        <f>+VLOOKUP(PROVEEDORES[[#This Row],[PROVEEDOR]],Terceros!$A:$D,4,FALSE)</f>
        <v>0</v>
      </c>
      <c r="V475" s="98">
        <f>+YEAR(PROVEEDORES[[#This Row],[FECHA DE FACTURACIÓN]])</f>
        <v>2023</v>
      </c>
      <c r="W475" s="98">
        <f>+MATCH(PROVEEDORES[[#This Row],[año facturado]],Retenciones!$1:$1,0)</f>
        <v>6</v>
      </c>
      <c r="X475" s="99">
        <f>+VLOOKUP(PROVEEDORES[[#This Row],[ID RETENCION]],Retenciones!$A$1:$O$25,PROVEEDORES[[#This Row],[indicador de columna]],FALSE)</f>
        <v>0</v>
      </c>
      <c r="Y475" s="100">
        <f>+VLOOKUP(PROVEEDORES[[#This Row],[ID RETENCION]],Retenciones!$A$1:$O$25,2,FALSE)</f>
        <v>0</v>
      </c>
      <c r="Z475" s="103" t="b">
        <f>OR(COUNTIF(PROVEEDORES[[#This Row],[PROVEEDOR]],"*"&amp;'Palabra no opera'!$A$2&amp;"*"))</f>
        <v>0</v>
      </c>
    </row>
    <row r="476" spans="1:26" ht="22.35" customHeight="1" x14ac:dyDescent="0.25">
      <c r="A476" s="213" t="str">
        <f>+IF(PROVEEDORES[[#This Row],[FECHA DE PAGO]]=PROVEEDORES[[#This Row],[FECHA DE FACTURACIÓN]],"DE CONTADO","CRÉDITO")</f>
        <v>CRÉDITO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60</v>
      </c>
      <c r="D476" s="25">
        <f>+SUMIFS(PROVEEDORES[Total],PROVEEDORES[PROVEEDOR],PROVEEDORES[[#This Row],[PROVEEDOR]],PROVEEDORES[FECHA DE PAGO],"")</f>
        <v>3708614</v>
      </c>
      <c r="E476" s="25"/>
      <c r="F47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6" s="289">
        <v>45152</v>
      </c>
      <c r="H476" s="26" t="s">
        <v>250</v>
      </c>
      <c r="I476" s="289">
        <v>45126</v>
      </c>
      <c r="J476" s="35">
        <v>1737</v>
      </c>
      <c r="K476" s="21">
        <v>232400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f>+PROVEEDORES[[#This Row],[Descuento sobre subtotal %]]*(PROVEEDORES[[#This Row],[SUBTOTAL]]-PROVEEDORES[[#This Row],[descuento sobre subtotal]])</f>
        <v>0</v>
      </c>
      <c r="P476" s="72">
        <f>+IF(PROVEEDORES[[#This Row],[SUBTOTAL]]&lt;PROVEEDORES[[#This Row],[base retencion]],0,PROVEEDORES[[#This Row],[retención aplicada]])</f>
        <v>0</v>
      </c>
      <c r="Q476" s="22">
        <f>+PROVEEDORES[[#This Row],[Rete Fuente %]]*(PROVEEDORES[[#This Row],[SUBTOTAL]]-PROVEEDORES[[#This Row],[descuento sobre subtotal]])</f>
        <v>0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476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1">
        <f ca="1">IF(PROVEEDORES[[#This Row],[FECHA DE PAGO]]=0,TODAY()-PROVEEDORES[[#This Row],[FECHA DE FACTURACIÓN]]-PROVEEDORES[[#This Row],[PLAZO Días]],0)</f>
        <v>0</v>
      </c>
      <c r="U476" s="97">
        <f>+VLOOKUP(PROVEEDORES[[#This Row],[PROVEEDOR]],Terceros!$A:$D,4,FALSE)</f>
        <v>0</v>
      </c>
      <c r="V476" s="98">
        <f>+YEAR(PROVEEDORES[[#This Row],[FECHA DE FACTURACIÓN]])</f>
        <v>2023</v>
      </c>
      <c r="W476" s="98">
        <f>+MATCH(PROVEEDORES[[#This Row],[año facturado]],Retenciones!$1:$1,0)</f>
        <v>6</v>
      </c>
      <c r="X476" s="99">
        <f>+VLOOKUP(PROVEEDORES[[#This Row],[ID RETENCION]],Retenciones!$A$1:$O$25,PROVEEDORES[[#This Row],[indicador de columna]],FALSE)</f>
        <v>0</v>
      </c>
      <c r="Y476" s="100">
        <f>+VLOOKUP(PROVEEDORES[[#This Row],[ID RETENCION]],Retenciones!$A$1:$O$25,2,FALSE)</f>
        <v>0</v>
      </c>
      <c r="Z476" s="103" t="b">
        <f>OR(COUNTIF(PROVEEDORES[[#This Row],[PROVEEDOR]],"*"&amp;'Palabra no opera'!$A$2&amp;"*"))</f>
        <v>0</v>
      </c>
    </row>
    <row r="477" spans="1:26" ht="22.35" customHeight="1" x14ac:dyDescent="0.25">
      <c r="A477" s="213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60</v>
      </c>
      <c r="D477" s="25">
        <f>+SUMIFS(PROVEEDORES[Total],PROVEEDORES[PROVEEDOR],PROVEEDORES[[#This Row],[PROVEEDOR]],PROVEEDORES[FECHA DE PAGO],"")</f>
        <v>3708614</v>
      </c>
      <c r="E477" s="25"/>
      <c r="F47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7" s="289">
        <v>45152</v>
      </c>
      <c r="H477" s="26" t="s">
        <v>250</v>
      </c>
      <c r="I477" s="289">
        <v>45126</v>
      </c>
      <c r="J477" s="35">
        <v>1738</v>
      </c>
      <c r="K477" s="21">
        <v>232400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f>+PROVEEDORES[[#This Row],[Descuento sobre subtotal %]]*(PROVEEDORES[[#This Row],[SUBTOTAL]]-PROVEEDORES[[#This Row],[descuento sobre subtotal]])</f>
        <v>0</v>
      </c>
      <c r="P477" s="72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232400</v>
      </c>
      <c r="S477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1">
        <f ca="1">IF(PROVEEDORES[[#This Row],[FECHA DE PAGO]]=0,TODAY()-PROVEEDORES[[#This Row],[FECHA DE FACTURACIÓN]]-PROVEEDORES[[#This Row],[PLAZO Días]],0)</f>
        <v>0</v>
      </c>
      <c r="U477" s="97">
        <f>+VLOOKUP(PROVEEDORES[[#This Row],[PROVEEDOR]],Terceros!$A:$D,4,FALSE)</f>
        <v>0</v>
      </c>
      <c r="V477" s="98">
        <f>+YEAR(PROVEEDORES[[#This Row],[FECHA DE FACTURACIÓN]])</f>
        <v>2023</v>
      </c>
      <c r="W477" s="98">
        <f>+MATCH(PROVEEDORES[[#This Row],[año facturado]],Retenciones!$1:$1,0)</f>
        <v>6</v>
      </c>
      <c r="X477" s="99">
        <f>+VLOOKUP(PROVEEDORES[[#This Row],[ID RETENCION]],Retenciones!$A$1:$O$25,PROVEEDORES[[#This Row],[indicador de columna]],FALSE)</f>
        <v>0</v>
      </c>
      <c r="Y477" s="100">
        <f>+VLOOKUP(PROVEEDORES[[#This Row],[ID RETENCION]],Retenciones!$A$1:$O$25,2,FALSE)</f>
        <v>0</v>
      </c>
      <c r="Z477" s="103" t="b">
        <f>OR(COUNTIF(PROVEEDORES[[#This Row],[PROVEEDOR]],"*"&amp;'Palabra no opera'!$A$2&amp;"*"))</f>
        <v>0</v>
      </c>
    </row>
    <row r="478" spans="1:26" ht="22.35" customHeight="1" x14ac:dyDescent="0.25">
      <c r="A478" s="65" t="str">
        <f>+IF(PROVEEDORES[[#This Row],[FECHA DE PAGO]]=PROVEEDORES[[#This Row],[FECHA DE FACTURACIÓN]],"DE CONTADO","CRÉDITO")</f>
        <v>CRÉDITO</v>
      </c>
      <c r="B478" s="38" t="b">
        <f>+IF((PROVEEDORES[[#This Row],[FECHA DE PAGO]]-PROVEEDORES[[#This Row],[FECHA DE FACTURACIÓN]])&gt;PROVEEDORES[[#This Row],[PLAZO Días]],"PAGO VENCIDO")</f>
        <v>0</v>
      </c>
      <c r="C478" s="20">
        <f>+VLOOKUP(PROVEEDORES[[#This Row],[PROVEEDOR]],TERCEROS_INFO[#All],2,FALSE)</f>
        <v>60</v>
      </c>
      <c r="D478" s="25">
        <f>+SUMIFS(PROVEEDORES[Total],PROVEEDORES[PROVEEDOR],PROVEEDORES[[#This Row],[PROVEEDOR]],PROVEEDORES[FECHA DE PAGO],"")</f>
        <v>3708614</v>
      </c>
      <c r="E478" s="25"/>
      <c r="F47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8" s="289">
        <v>45152</v>
      </c>
      <c r="H478" s="26" t="s">
        <v>250</v>
      </c>
      <c r="I478" s="289">
        <v>45134</v>
      </c>
      <c r="J478" s="35">
        <v>1741</v>
      </c>
      <c r="K478" s="21">
        <v>381800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/>
      <c r="O478" s="22">
        <f>+PROVEEDORES[[#This Row],[Descuento sobre subtotal %]]*(PROVEEDORES[[#This Row],[SUBTOTAL]]-PROVEEDORES[[#This Row],[descuento sobre subtotal]])</f>
        <v>0</v>
      </c>
      <c r="P478" s="72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4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1">
        <f ca="1">IF(PROVEEDORES[[#This Row],[FECHA DE PAGO]]=0,TODAY()-PROVEEDORES[[#This Row],[FECHA DE FACTURACIÓN]]-PROVEEDORES[[#This Row],[PLAZO Días]],0)</f>
        <v>0</v>
      </c>
      <c r="U478" s="97">
        <f>+VLOOKUP(PROVEEDORES[[#This Row],[PROVEEDOR]],Terceros!$A:$D,4,FALSE)</f>
        <v>0</v>
      </c>
      <c r="V478" s="98">
        <f>+YEAR(PROVEEDORES[[#This Row],[FECHA DE FACTURACIÓN]])</f>
        <v>2023</v>
      </c>
      <c r="W478" s="98">
        <f>+MATCH(PROVEEDORES[[#This Row],[año facturado]],Retenciones!$1:$1,0)</f>
        <v>6</v>
      </c>
      <c r="X478" s="99">
        <f>+VLOOKUP(PROVEEDORES[[#This Row],[ID RETENCION]],Retenciones!$A$1:$O$25,PROVEEDORES[[#This Row],[indicador de columna]],FALSE)</f>
        <v>0</v>
      </c>
      <c r="Y478" s="100">
        <f>+VLOOKUP(PROVEEDORES[[#This Row],[ID RETENCION]],Retenciones!$A$1:$O$25,2,FALSE)</f>
        <v>0</v>
      </c>
      <c r="Z478" s="103" t="b">
        <f>OR(COUNTIF(PROVEEDORES[[#This Row],[PROVEEDOR]],"*"&amp;'Palabra no opera'!$A$2&amp;"*"))</f>
        <v>0</v>
      </c>
    </row>
    <row r="479" spans="1:26" ht="22.35" customHeight="1" x14ac:dyDescent="0.25">
      <c r="A479" s="65" t="str">
        <f>+IF(PROVEEDORES[[#This Row],[FECHA DE PAGO]]=PROVEEDORES[[#This Row],[FECHA DE FACTURACIÓN]],"DE CONTADO","CRÉDITO")</f>
        <v>CRÉDITO</v>
      </c>
      <c r="B479" s="38" t="b">
        <f>+IF((PROVEEDORES[[#This Row],[FECHA DE PAGO]]-PROVEEDORES[[#This Row],[FECHA DE FACTURACIÓN]])&gt;PROVEEDORES[[#This Row],[PLAZO Días]],"PAGO VENCIDO")</f>
        <v>0</v>
      </c>
      <c r="C479" s="20">
        <f>+VLOOKUP(PROVEEDORES[[#This Row],[PROVEEDOR]],TERCEROS_INFO[#All],2,FALSE)</f>
        <v>60</v>
      </c>
      <c r="D479" s="25">
        <f>+SUMIFS(PROVEEDORES[Total],PROVEEDORES[PROVEEDOR],PROVEEDORES[[#This Row],[PROVEEDOR]],PROVEEDORES[FECHA DE PAGO],"")</f>
        <v>3708614</v>
      </c>
      <c r="E479" s="25"/>
      <c r="F47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9" s="289">
        <v>45152</v>
      </c>
      <c r="H479" s="26" t="s">
        <v>250</v>
      </c>
      <c r="I479" s="289">
        <v>45134</v>
      </c>
      <c r="J479" s="35">
        <v>1742</v>
      </c>
      <c r="K479" s="21">
        <v>381800</v>
      </c>
      <c r="L479" s="21"/>
      <c r="M479" s="22">
        <f>(PROVEEDORES[[#This Row],[SUBTOTAL]]-PROVEEDORES[[#This Row],[descuento sobre subtotal]])*VLOOKUP(PROVEEDORES[[#This Row],[PROVEEDOR]],TERCEROS_INFO[#All],3,FALSE)</f>
        <v>0</v>
      </c>
      <c r="N479" s="23"/>
      <c r="O479" s="22">
        <f>+PROVEEDORES[[#This Row],[Descuento sobre subtotal %]]*(PROVEEDORES[[#This Row],[SUBTOTAL]]-PROVEEDORES[[#This Row],[descuento sobre subtotal]])</f>
        <v>0</v>
      </c>
      <c r="P479" s="72">
        <f>+IF(PROVEEDORES[[#This Row],[SUBTOTAL]]&lt;PROVEEDORES[[#This Row],[base retencion]],0,PROVEEDORES[[#This Row],[retención aplicada]])</f>
        <v>0</v>
      </c>
      <c r="Q479" s="22">
        <f>+PROVEEDORES[[#This Row],[Rete Fuente %]]*(PROVEEDORES[[#This Row],[SUBTOTAL]]-PROVEEDORES[[#This Row],[descuento sobre subtotal]])</f>
        <v>0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381800</v>
      </c>
      <c r="S4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1">
        <f ca="1">IF(PROVEEDORES[[#This Row],[FECHA DE PAGO]]=0,TODAY()-PROVEEDORES[[#This Row],[FECHA DE FACTURACIÓN]]-PROVEEDORES[[#This Row],[PLAZO Días]],0)</f>
        <v>0</v>
      </c>
      <c r="U479" s="97">
        <f>+VLOOKUP(PROVEEDORES[[#This Row],[PROVEEDOR]],Terceros!$A:$D,4,FALSE)</f>
        <v>0</v>
      </c>
      <c r="V479" s="98">
        <f>+YEAR(PROVEEDORES[[#This Row],[FECHA DE FACTURACIÓN]])</f>
        <v>2023</v>
      </c>
      <c r="W479" s="98">
        <f>+MATCH(PROVEEDORES[[#This Row],[año facturado]],Retenciones!$1:$1,0)</f>
        <v>6</v>
      </c>
      <c r="X479" s="99">
        <f>+VLOOKUP(PROVEEDORES[[#This Row],[ID RETENCION]],Retenciones!$A$1:$O$25,PROVEEDORES[[#This Row],[indicador de columna]],FALSE)</f>
        <v>0</v>
      </c>
      <c r="Y479" s="100">
        <f>+VLOOKUP(PROVEEDORES[[#This Row],[ID RETENCION]],Retenciones!$A$1:$O$25,2,FALSE)</f>
        <v>0</v>
      </c>
      <c r="Z479" s="103" t="b">
        <f>OR(COUNTIF(PROVEEDORES[[#This Row],[PROVEEDOR]],"*"&amp;'Palabra no opera'!$A$2&amp;"*"))</f>
        <v>0</v>
      </c>
    </row>
    <row r="480" spans="1:26" ht="22.35" customHeight="1" x14ac:dyDescent="0.25">
      <c r="A480" s="65" t="str">
        <f>+IF(PROVEEDORES[[#This Row],[FECHA DE PAGO]]=PROVEEDORES[[#This Row],[FECHA DE FACTURACIÓN]],"DE CONTADO","CRÉDITO")</f>
        <v>CRÉDITO</v>
      </c>
      <c r="B480" s="38" t="b">
        <f>+IF((PROVEEDORES[[#This Row],[FECHA DE PAGO]]-PROVEEDORES[[#This Row],[FECHA DE FACTURACIÓN]])&gt;PROVEEDORES[[#This Row],[PLAZO Días]],"PAGO VENCIDO")</f>
        <v>0</v>
      </c>
      <c r="C480" s="20">
        <f>+VLOOKUP(PROVEEDORES[[#This Row],[PROVEEDOR]],TERCEROS_INFO[#All],2,FALSE)</f>
        <v>60</v>
      </c>
      <c r="D480" s="25">
        <f>+SUMIFS(PROVEEDORES[Total],PROVEEDORES[PROVEEDOR],PROVEEDORES[[#This Row],[PROVEEDOR]],PROVEEDORES[FECHA DE PAGO],"")</f>
        <v>3708614</v>
      </c>
      <c r="E480" s="25"/>
      <c r="F48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0" s="289">
        <v>45152</v>
      </c>
      <c r="H480" s="26" t="s">
        <v>250</v>
      </c>
      <c r="I480" s="289">
        <v>45134</v>
      </c>
      <c r="J480" s="35">
        <v>1743</v>
      </c>
      <c r="K480" s="21">
        <v>166000</v>
      </c>
      <c r="L480" s="21"/>
      <c r="M480" s="22">
        <f>(PROVEEDORES[[#This Row],[SUBTOTAL]]-PROVEEDORES[[#This Row],[descuento sobre subtotal]])*VLOOKUP(PROVEEDORES[[#This Row],[PROVEEDOR]],TERCEROS_INFO[#All],3,FALSE)</f>
        <v>0</v>
      </c>
      <c r="N480" s="23"/>
      <c r="O480" s="22">
        <f>+PROVEEDORES[[#This Row],[Descuento sobre subtotal %]]*(PROVEEDORES[[#This Row],[SUBTOTAL]]-PROVEEDORES[[#This Row],[descuento sobre subtotal]])</f>
        <v>0</v>
      </c>
      <c r="P480" s="72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1">
        <f ca="1">IF(PROVEEDORES[[#This Row],[FECHA DE PAGO]]=0,TODAY()-PROVEEDORES[[#This Row],[FECHA DE FACTURACIÓN]]-PROVEEDORES[[#This Row],[PLAZO Días]],0)</f>
        <v>0</v>
      </c>
      <c r="U480" s="97">
        <f>+VLOOKUP(PROVEEDORES[[#This Row],[PROVEEDOR]],Terceros!$A:$D,4,FALSE)</f>
        <v>0</v>
      </c>
      <c r="V480" s="98">
        <f>+YEAR(PROVEEDORES[[#This Row],[FECHA DE FACTURACIÓN]])</f>
        <v>2023</v>
      </c>
      <c r="W480" s="98">
        <f>+MATCH(PROVEEDORES[[#This Row],[año facturado]],Retenciones!$1:$1,0)</f>
        <v>6</v>
      </c>
      <c r="X480" s="99">
        <f>+VLOOKUP(PROVEEDORES[[#This Row],[ID RETENCION]],Retenciones!$A$1:$O$25,PROVEEDORES[[#This Row],[indicador de columna]],FALSE)</f>
        <v>0</v>
      </c>
      <c r="Y480" s="100">
        <f>+VLOOKUP(PROVEEDORES[[#This Row],[ID RETENCION]],Retenciones!$A$1:$O$25,2,FALSE)</f>
        <v>0</v>
      </c>
      <c r="Z480" s="103" t="b">
        <f>OR(COUNTIF(PROVEEDORES[[#This Row],[PROVEEDOR]],"*"&amp;'Palabra no opera'!$A$2&amp;"*"))</f>
        <v>0</v>
      </c>
    </row>
    <row r="481" spans="1:26" ht="22.35" customHeight="1" x14ac:dyDescent="0.25">
      <c r="A481" s="65" t="str">
        <f>+IF(PROVEEDORES[[#This Row],[FECHA DE PAGO]]=PROVEEDORES[[#This Row],[FECHA DE FACTURACIÓN]],"DE CONTADO","CRÉDITO")</f>
        <v>CRÉDITO</v>
      </c>
      <c r="B481" s="38" t="b">
        <f>+IF((PROVEEDORES[[#This Row],[FECHA DE PAGO]]-PROVEEDORES[[#This Row],[FECHA DE FACTURACIÓN]])&gt;PROVEEDORES[[#This Row],[PLAZO Días]],"PAGO VENCIDO")</f>
        <v>0</v>
      </c>
      <c r="C481" s="20">
        <f>+VLOOKUP(PROVEEDORES[[#This Row],[PROVEEDOR]],TERCEROS_INFO[#All],2,FALSE)</f>
        <v>60</v>
      </c>
      <c r="D481" s="25">
        <f>+SUMIFS(PROVEEDORES[Total],PROVEEDORES[PROVEEDOR],PROVEEDORES[[#This Row],[PROVEEDOR]],PROVEEDORES[FECHA DE PAGO],"")</f>
        <v>3708614</v>
      </c>
      <c r="E481" s="25"/>
      <c r="F48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1" s="289">
        <v>45152</v>
      </c>
      <c r="H481" s="26" t="s">
        <v>250</v>
      </c>
      <c r="I481" s="289">
        <v>45134</v>
      </c>
      <c r="J481" s="35">
        <v>1744</v>
      </c>
      <c r="K481" s="21">
        <v>166000</v>
      </c>
      <c r="L481" s="21"/>
      <c r="M481" s="22">
        <f>(PROVEEDORES[[#This Row],[SUBTOTAL]]-PROVEEDORES[[#This Row],[descuento sobre subtotal]])*VLOOKUP(PROVEEDORES[[#This Row],[PROVEEDOR]],TERCEROS_INFO[#All],3,FALSE)</f>
        <v>0</v>
      </c>
      <c r="N481" s="23"/>
      <c r="O481" s="22">
        <f>+PROVEEDORES[[#This Row],[Descuento sobre subtotal %]]*(PROVEEDORES[[#This Row],[SUBTOTAL]]-PROVEEDORES[[#This Row],[descuento sobre subtotal]])</f>
        <v>0</v>
      </c>
      <c r="P481" s="72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1">
        <f ca="1">IF(PROVEEDORES[[#This Row],[FECHA DE PAGO]]=0,TODAY()-PROVEEDORES[[#This Row],[FECHA DE FACTURACIÓN]]-PROVEEDORES[[#This Row],[PLAZO Días]],0)</f>
        <v>0</v>
      </c>
      <c r="U481" s="97">
        <f>+VLOOKUP(PROVEEDORES[[#This Row],[PROVEEDOR]],Terceros!$A:$D,4,FALSE)</f>
        <v>0</v>
      </c>
      <c r="V481" s="98">
        <f>+YEAR(PROVEEDORES[[#This Row],[FECHA DE FACTURACIÓN]])</f>
        <v>2023</v>
      </c>
      <c r="W481" s="98">
        <f>+MATCH(PROVEEDORES[[#This Row],[año facturado]],Retenciones!$1:$1,0)</f>
        <v>6</v>
      </c>
      <c r="X481" s="99">
        <f>+VLOOKUP(PROVEEDORES[[#This Row],[ID RETENCION]],Retenciones!$A$1:$O$25,PROVEEDORES[[#This Row],[indicador de columna]],FALSE)</f>
        <v>0</v>
      </c>
      <c r="Y481" s="100">
        <f>+VLOOKUP(PROVEEDORES[[#This Row],[ID RETENCION]],Retenciones!$A$1:$O$25,2,FALSE)</f>
        <v>0</v>
      </c>
      <c r="Z481" s="103" t="b">
        <f>OR(COUNTIF(PROVEEDORES[[#This Row],[PROVEEDOR]],"*"&amp;'Palabra no opera'!$A$2&amp;"*"))</f>
        <v>0</v>
      </c>
    </row>
    <row r="482" spans="1:26" ht="22.35" customHeight="1" x14ac:dyDescent="0.25">
      <c r="A482" s="227" t="str">
        <f>+IF(PROVEEDORES[[#This Row],[FECHA DE PAGO]]=PROVEEDORES[[#This Row],[FECHA DE FACTURACIÓN]],"DE CONTADO","CRÉDITO")</f>
        <v>CRÉDITO</v>
      </c>
      <c r="B482" s="38" t="b">
        <f>+IF((PROVEEDORES[[#This Row],[FECHA DE PAGO]]-PROVEEDORES[[#This Row],[FECHA DE FACTURACIÓN]])&gt;PROVEEDORES[[#This Row],[PLAZO Días]],"PAGO VENCIDO")</f>
        <v>0</v>
      </c>
      <c r="C482" s="20">
        <f>+VLOOKUP(PROVEEDORES[[#This Row],[PROVEEDOR]],TERCEROS_INFO[#All],2,FALSE)</f>
        <v>60</v>
      </c>
      <c r="D482" s="25">
        <f>+SUMIFS(PROVEEDORES[Total],PROVEEDORES[PROVEEDOR],PROVEEDORES[[#This Row],[PROVEEDOR]],PROVEEDORES[FECHA DE PAGO],"")</f>
        <v>3708614</v>
      </c>
      <c r="E482" s="25"/>
      <c r="F48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2" s="289">
        <v>45205</v>
      </c>
      <c r="H482" s="26" t="s">
        <v>250</v>
      </c>
      <c r="I482" s="289">
        <v>45169</v>
      </c>
      <c r="J482" s="35">
        <v>1770</v>
      </c>
      <c r="K482" s="21">
        <v>1024800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72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1024800</v>
      </c>
      <c r="S482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1">
        <f ca="1">IF(PROVEEDORES[[#This Row],[FECHA DE PAGO]]=0,TODAY()-PROVEEDORES[[#This Row],[FECHA DE FACTURACIÓN]]-PROVEEDORES[[#This Row],[PLAZO Días]],0)</f>
        <v>0</v>
      </c>
      <c r="U482" s="97">
        <f>+VLOOKUP(PROVEEDORES[[#This Row],[PROVEEDOR]],Terceros!$A:$D,4,FALSE)</f>
        <v>0</v>
      </c>
      <c r="V482" s="98">
        <f>+YEAR(PROVEEDORES[[#This Row],[FECHA DE FACTURACIÓN]])</f>
        <v>2023</v>
      </c>
      <c r="W482" s="98">
        <f>+MATCH(PROVEEDORES[[#This Row],[año facturado]],Retenciones!$1:$1,0)</f>
        <v>6</v>
      </c>
      <c r="X482" s="99">
        <f>+VLOOKUP(PROVEEDORES[[#This Row],[ID RETENCION]],Retenciones!$A$1:$O$25,PROVEEDORES[[#This Row],[indicador de columna]],FALSE)</f>
        <v>0</v>
      </c>
      <c r="Y482" s="100">
        <f>+VLOOKUP(PROVEEDORES[[#This Row],[ID RETENCION]],Retenciones!$A$1:$O$25,2,FALSE)</f>
        <v>0</v>
      </c>
      <c r="Z482" s="103" t="b">
        <f>OR(COUNTIF(PROVEEDORES[[#This Row],[PROVEEDOR]],"*"&amp;'Palabra no opera'!$A$2&amp;"*"))</f>
        <v>0</v>
      </c>
    </row>
    <row r="483" spans="1:26" ht="22.35" customHeight="1" x14ac:dyDescent="0.25">
      <c r="A483" s="65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60</v>
      </c>
      <c r="D483" s="25">
        <f>+SUMIFS(PROVEEDORES[Total],PROVEEDORES[PROVEEDOR],PROVEEDORES[[#This Row],[PROVEEDOR]],PROVEEDORES[FECHA DE PAGO],"")</f>
        <v>3708614</v>
      </c>
      <c r="E483" s="25"/>
      <c r="F48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3" s="289">
        <v>45205</v>
      </c>
      <c r="H483" s="26" t="s">
        <v>250</v>
      </c>
      <c r="I483" s="289">
        <v>45190</v>
      </c>
      <c r="J483" s="35">
        <v>1794</v>
      </c>
      <c r="K483" s="21">
        <v>252000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72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252000</v>
      </c>
      <c r="S4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1">
        <f ca="1">IF(PROVEEDORES[[#This Row],[FECHA DE PAGO]]=0,TODAY()-PROVEEDORES[[#This Row],[FECHA DE FACTURACIÓN]]-PROVEEDORES[[#This Row],[PLAZO Días]],0)</f>
        <v>0</v>
      </c>
      <c r="U483" s="97">
        <f>+VLOOKUP(PROVEEDORES[[#This Row],[PROVEEDOR]],Terceros!$A:$D,4,FALSE)</f>
        <v>0</v>
      </c>
      <c r="V483" s="98">
        <f>+YEAR(PROVEEDORES[[#This Row],[FECHA DE FACTURACIÓN]])</f>
        <v>2023</v>
      </c>
      <c r="W483" s="98">
        <f>+MATCH(PROVEEDORES[[#This Row],[año facturado]],Retenciones!$1:$1,0)</f>
        <v>6</v>
      </c>
      <c r="X483" s="99">
        <f>+VLOOKUP(PROVEEDORES[[#This Row],[ID RETENCION]],Retenciones!$A$1:$O$25,PROVEEDORES[[#This Row],[indicador de columna]],FALSE)</f>
        <v>0</v>
      </c>
      <c r="Y483" s="100">
        <f>+VLOOKUP(PROVEEDORES[[#This Row],[ID RETENCION]],Retenciones!$A$1:$O$25,2,FALSE)</f>
        <v>0</v>
      </c>
      <c r="Z483" s="103" t="b">
        <f>OR(COUNTIF(PROVEEDORES[[#This Row],[PROVEEDOR]],"*"&amp;'Palabra no opera'!$A$2&amp;"*"))</f>
        <v>0</v>
      </c>
    </row>
    <row r="484" spans="1:26" ht="22.35" customHeight="1" x14ac:dyDescent="0.25">
      <c r="A484" s="65" t="str">
        <f>+IF(PROVEEDORES[[#This Row],[FECHA DE PAGO]]=PROVEEDORES[[#This Row],[FECHA DE FACTURACIÓN]],"DE CONTADO","CRÉDITO")</f>
        <v>CRÉDITO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60</v>
      </c>
      <c r="D484" s="25">
        <f>+SUMIFS(PROVEEDORES[Total],PROVEEDORES[PROVEEDOR],PROVEEDORES[[#This Row],[PROVEEDOR]],PROVEEDORES[FECHA DE PAGO],"")</f>
        <v>3708614</v>
      </c>
      <c r="E484" s="25"/>
      <c r="F48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4" s="289">
        <v>45152</v>
      </c>
      <c r="H484" s="26" t="s">
        <v>250</v>
      </c>
      <c r="I484" s="289">
        <v>45207</v>
      </c>
      <c r="J484" s="35">
        <v>1755</v>
      </c>
      <c r="K484" s="21">
        <v>199200</v>
      </c>
      <c r="L484" s="21"/>
      <c r="M484" s="22">
        <f>(PROVEEDORES[[#This Row],[SUBTOTAL]]-PROVEEDORES[[#This Row],[descuento sobre subtotal]])*VLOOKUP(PROVEEDORES[[#This Row],[PROVEEDOR]],TERCEROS_INFO[#All],3,FALSE)</f>
        <v>0</v>
      </c>
      <c r="N484" s="23"/>
      <c r="O484" s="22">
        <f>+PROVEEDORES[[#This Row],[Descuento sobre subtotal %]]*(PROVEEDORES[[#This Row],[SUBTOTAL]]-PROVEEDORES[[#This Row],[descuento sobre subtotal]])</f>
        <v>0</v>
      </c>
      <c r="P484" s="72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199200</v>
      </c>
      <c r="S4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1">
        <f ca="1">IF(PROVEEDORES[[#This Row],[FECHA DE PAGO]]=0,TODAY()-PROVEEDORES[[#This Row],[FECHA DE FACTURACIÓN]]-PROVEEDORES[[#This Row],[PLAZO Días]],0)</f>
        <v>0</v>
      </c>
      <c r="U484" s="97">
        <f>+VLOOKUP(PROVEEDORES[[#This Row],[PROVEEDOR]],Terceros!$A:$D,4,FALSE)</f>
        <v>0</v>
      </c>
      <c r="V484" s="98">
        <f>+YEAR(PROVEEDORES[[#This Row],[FECHA DE FACTURACIÓN]])</f>
        <v>2023</v>
      </c>
      <c r="W484" s="98">
        <f>+MATCH(PROVEEDORES[[#This Row],[año facturado]],Retenciones!$1:$1,0)</f>
        <v>6</v>
      </c>
      <c r="X484" s="99">
        <f>+VLOOKUP(PROVEEDORES[[#This Row],[ID RETENCION]],Retenciones!$A$1:$O$25,PROVEEDORES[[#This Row],[indicador de columna]],FALSE)</f>
        <v>0</v>
      </c>
      <c r="Y484" s="100">
        <f>+VLOOKUP(PROVEEDORES[[#This Row],[ID RETENCION]],Retenciones!$A$1:$O$25,2,FALSE)</f>
        <v>0</v>
      </c>
      <c r="Z484" s="103" t="b">
        <f>OR(COUNTIF(PROVEEDORES[[#This Row],[PROVEEDOR]],"*"&amp;'Palabra no opera'!$A$2&amp;"*"))</f>
        <v>0</v>
      </c>
    </row>
    <row r="485" spans="1:26" ht="22.35" customHeight="1" x14ac:dyDescent="0.25">
      <c r="A485" s="65" t="str">
        <f>+IF(PROVEEDORES[[#This Row],[FECHA DE PAGO]]=PROVEEDORES[[#This Row],[FECHA DE FACTURACIÓN]],"DE CONTADO","CRÉDITO")</f>
        <v>CRÉDITO</v>
      </c>
      <c r="B485" s="38" t="b">
        <f>+IF((PROVEEDORES[[#This Row],[FECHA DE PAGO]]-PROVEEDORES[[#This Row],[FECHA DE FACTURACIÓN]])&gt;PROVEEDORES[[#This Row],[PLAZO Días]],"PAGO VENCIDO")</f>
        <v>0</v>
      </c>
      <c r="C485" s="20">
        <f>+VLOOKUP(PROVEEDORES[[#This Row],[PROVEEDOR]],TERCEROS_INFO[#All],2,FALSE)</f>
        <v>60</v>
      </c>
      <c r="D485" s="25">
        <f>+SUMIFS(PROVEEDORES[Total],PROVEEDORES[PROVEEDOR],PROVEEDORES[[#This Row],[PROVEEDOR]],PROVEEDORES[FECHA DE PAGO],"")</f>
        <v>3708614</v>
      </c>
      <c r="E485" s="25"/>
      <c r="F48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5" s="289">
        <v>45152</v>
      </c>
      <c r="H485" s="26" t="s">
        <v>250</v>
      </c>
      <c r="I485" s="289">
        <v>45207</v>
      </c>
      <c r="J485" s="35">
        <v>1756</v>
      </c>
      <c r="K485" s="21">
        <v>166000</v>
      </c>
      <c r="L485" s="21"/>
      <c r="M485" s="22">
        <f>(PROVEEDORES[[#This Row],[SUBTOTAL]]-PROVEEDORES[[#This Row],[descuento sobre subtotal]])*VLOOKUP(PROVEEDORES[[#This Row],[PROVEEDOR]],TERCEROS_INFO[#All],3,FALSE)</f>
        <v>0</v>
      </c>
      <c r="N485" s="23"/>
      <c r="O485" s="22">
        <f>+PROVEEDORES[[#This Row],[Descuento sobre subtotal %]]*(PROVEEDORES[[#This Row],[SUBTOTAL]]-PROVEEDORES[[#This Row],[descuento sobre subtotal]])</f>
        <v>0</v>
      </c>
      <c r="P485" s="72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1">
        <f ca="1">IF(PROVEEDORES[[#This Row],[FECHA DE PAGO]]=0,TODAY()-PROVEEDORES[[#This Row],[FECHA DE FACTURACIÓN]]-PROVEEDORES[[#This Row],[PLAZO Días]],0)</f>
        <v>0</v>
      </c>
      <c r="U485" s="97">
        <f>+VLOOKUP(PROVEEDORES[[#This Row],[PROVEEDOR]],Terceros!$A:$D,4,FALSE)</f>
        <v>0</v>
      </c>
      <c r="V485" s="98">
        <f>+YEAR(PROVEEDORES[[#This Row],[FECHA DE FACTURACIÓN]])</f>
        <v>2023</v>
      </c>
      <c r="W485" s="98">
        <f>+MATCH(PROVEEDORES[[#This Row],[año facturado]],Retenciones!$1:$1,0)</f>
        <v>6</v>
      </c>
      <c r="X485" s="99">
        <f>+VLOOKUP(PROVEEDORES[[#This Row],[ID RETENCION]],Retenciones!$A$1:$O$25,PROVEEDORES[[#This Row],[indicador de columna]],FALSE)</f>
        <v>0</v>
      </c>
      <c r="Y485" s="100">
        <f>+VLOOKUP(PROVEEDORES[[#This Row],[ID RETENCION]],Retenciones!$A$1:$O$25,2,FALSE)</f>
        <v>0</v>
      </c>
      <c r="Z485" s="103" t="b">
        <f>OR(COUNTIF(PROVEEDORES[[#This Row],[PROVEEDOR]],"*"&amp;'Palabra no opera'!$A$2&amp;"*"))</f>
        <v>0</v>
      </c>
    </row>
    <row r="486" spans="1:26" ht="22.35" customHeight="1" x14ac:dyDescent="0.25">
      <c r="A486" s="65" t="str">
        <f>+IF(PROVEEDORES[[#This Row],[FECHA DE PAGO]]=PROVEEDORES[[#This Row],[FECHA DE FACTURACIÓN]],"DE CONTADO","CRÉDITO")</f>
        <v>CRÉDITO</v>
      </c>
      <c r="B486" s="38" t="b">
        <f>+IF((PROVEEDORES[[#This Row],[FECHA DE PAGO]]-PROVEEDORES[[#This Row],[FECHA DE FACTURACIÓN]])&gt;PROVEEDORES[[#This Row],[PLAZO Días]],"PAGO VENCIDO")</f>
        <v>0</v>
      </c>
      <c r="C486" s="20">
        <f>+VLOOKUP(PROVEEDORES[[#This Row],[PROVEEDOR]],TERCEROS_INFO[#All],2,FALSE)</f>
        <v>60</v>
      </c>
      <c r="D486" s="25">
        <f>+SUMIFS(PROVEEDORES[Total],PROVEEDORES[PROVEEDOR],PROVEEDORES[[#This Row],[PROVEEDOR]],PROVEEDORES[FECHA DE PAGO],"")</f>
        <v>3708614</v>
      </c>
      <c r="E486" s="25"/>
      <c r="F48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6" s="289">
        <v>45152</v>
      </c>
      <c r="H486" s="26" t="s">
        <v>250</v>
      </c>
      <c r="I486" s="289">
        <v>45207</v>
      </c>
      <c r="J486" s="35">
        <v>1757</v>
      </c>
      <c r="K486" s="21">
        <v>166000</v>
      </c>
      <c r="L486" s="21"/>
      <c r="M486" s="22">
        <f>(PROVEEDORES[[#This Row],[SUBTOTAL]]-PROVEEDORES[[#This Row],[descuento sobre subtotal]])*VLOOKUP(PROVEEDORES[[#This Row],[PROVEEDOR]],TERCEROS_INFO[#All],3,FALSE)</f>
        <v>0</v>
      </c>
      <c r="N486" s="23"/>
      <c r="O486" s="22">
        <f>+PROVEEDORES[[#This Row],[Descuento sobre subtotal %]]*(PROVEEDORES[[#This Row],[SUBTOTAL]]-PROVEEDORES[[#This Row],[descuento sobre subtotal]])</f>
        <v>0</v>
      </c>
      <c r="P486" s="72">
        <f>+IF(PROVEEDORES[[#This Row],[SUBTOTAL]]&lt;PROVEEDORES[[#This Row],[base retencion]],0,PROVEEDORES[[#This Row],[retención aplicada]])</f>
        <v>0</v>
      </c>
      <c r="Q486" s="22">
        <f>+PROVEEDORES[[#This Row],[Rete Fuente %]]*(PROVEEDORES[[#This Row],[SUBTOTAL]]-PROVEEDORES[[#This Row],[descuento sobre subtotal]])</f>
        <v>0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1">
        <f ca="1">IF(PROVEEDORES[[#This Row],[FECHA DE PAGO]]=0,TODAY()-PROVEEDORES[[#This Row],[FECHA DE FACTURACIÓN]]-PROVEEDORES[[#This Row],[PLAZO Días]],0)</f>
        <v>0</v>
      </c>
      <c r="U486" s="97">
        <f>+VLOOKUP(PROVEEDORES[[#This Row],[PROVEEDOR]],Terceros!$A:$D,4,FALSE)</f>
        <v>0</v>
      </c>
      <c r="V486" s="98">
        <f>+YEAR(PROVEEDORES[[#This Row],[FECHA DE FACTURACIÓN]])</f>
        <v>2023</v>
      </c>
      <c r="W486" s="98">
        <f>+MATCH(PROVEEDORES[[#This Row],[año facturado]],Retenciones!$1:$1,0)</f>
        <v>6</v>
      </c>
      <c r="X486" s="99">
        <f>+VLOOKUP(PROVEEDORES[[#This Row],[ID RETENCION]],Retenciones!$A$1:$O$25,PROVEEDORES[[#This Row],[indicador de columna]],FALSE)</f>
        <v>0</v>
      </c>
      <c r="Y486" s="100">
        <f>+VLOOKUP(PROVEEDORES[[#This Row],[ID RETENCION]],Retenciones!$A$1:$O$25,2,FALSE)</f>
        <v>0</v>
      </c>
      <c r="Z486" s="103" t="b">
        <f>OR(COUNTIF(PROVEEDORES[[#This Row],[PROVEEDOR]],"*"&amp;'Palabra no opera'!$A$2&amp;"*"))</f>
        <v>0</v>
      </c>
    </row>
    <row r="487" spans="1:26" ht="22.35" customHeight="1" x14ac:dyDescent="0.25">
      <c r="A487" s="65" t="str">
        <f>+IF(PROVEEDORES[[#This Row],[FECHA DE PAGO]]=PROVEEDORES[[#This Row],[FECHA DE FACTURACIÓN]],"DE CONTADO","CRÉDITO")</f>
        <v>CRÉDITO</v>
      </c>
      <c r="B487" s="38" t="b">
        <f>+IF((PROVEEDORES[[#This Row],[FECHA DE PAGO]]-PROVEEDORES[[#This Row],[FECHA DE FACTURACIÓN]])&gt;PROVEEDORES[[#This Row],[PLAZO Días]],"PAGO VENCIDO")</f>
        <v>0</v>
      </c>
      <c r="C487" s="20">
        <f>+VLOOKUP(PROVEEDORES[[#This Row],[PROVEEDOR]],TERCEROS_INFO[#All],2,FALSE)</f>
        <v>60</v>
      </c>
      <c r="D487" s="25">
        <f>+SUMIFS(PROVEEDORES[Total],PROVEEDORES[PROVEEDOR],PROVEEDORES[[#This Row],[PROVEEDOR]],PROVEEDORES[FECHA DE PAGO],"")</f>
        <v>3708614</v>
      </c>
      <c r="E487" s="25"/>
      <c r="F48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7" s="289">
        <v>45152</v>
      </c>
      <c r="H487" s="26" t="s">
        <v>250</v>
      </c>
      <c r="I487" s="289">
        <v>45207</v>
      </c>
      <c r="J487" s="35">
        <v>1758</v>
      </c>
      <c r="K487" s="21">
        <v>166000</v>
      </c>
      <c r="L487" s="21"/>
      <c r="M487" s="22">
        <f>(PROVEEDORES[[#This Row],[SUBTOTAL]]-PROVEEDORES[[#This Row],[descuento sobre subtotal]])*VLOOKUP(PROVEEDORES[[#This Row],[PROVEEDOR]],TERCEROS_INFO[#All],3,FALSE)</f>
        <v>0</v>
      </c>
      <c r="N487" s="23"/>
      <c r="O487" s="22">
        <f>+PROVEEDORES[[#This Row],[Descuento sobre subtotal %]]*(PROVEEDORES[[#This Row],[SUBTOTAL]]-PROVEEDORES[[#This Row],[descuento sobre subtotal]])</f>
        <v>0</v>
      </c>
      <c r="P487" s="72">
        <f>+IF(PROVEEDORES[[#This Row],[SUBTOTAL]]&lt;PROVEEDORES[[#This Row],[base retencion]],0,PROVEEDORES[[#This Row],[retención aplicada]])</f>
        <v>0</v>
      </c>
      <c r="Q487" s="22">
        <f>+PROVEEDORES[[#This Row],[Rete Fuente %]]*(PROVEEDORES[[#This Row],[SUBTOTAL]]-PROVEEDORES[[#This Row],[descuento sobre subtotal]])</f>
        <v>0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1">
        <f ca="1">IF(PROVEEDORES[[#This Row],[FECHA DE PAGO]]=0,TODAY()-PROVEEDORES[[#This Row],[FECHA DE FACTURACIÓN]]-PROVEEDORES[[#This Row],[PLAZO Días]],0)</f>
        <v>0</v>
      </c>
      <c r="U487" s="97">
        <f>+VLOOKUP(PROVEEDORES[[#This Row],[PROVEEDOR]],Terceros!$A:$D,4,FALSE)</f>
        <v>0</v>
      </c>
      <c r="V487" s="98">
        <f>+YEAR(PROVEEDORES[[#This Row],[FECHA DE FACTURACIÓN]])</f>
        <v>2023</v>
      </c>
      <c r="W487" s="98">
        <f>+MATCH(PROVEEDORES[[#This Row],[año facturado]],Retenciones!$1:$1,0)</f>
        <v>6</v>
      </c>
      <c r="X487" s="99">
        <f>+VLOOKUP(PROVEEDORES[[#This Row],[ID RETENCION]],Retenciones!$A$1:$O$25,PROVEEDORES[[#This Row],[indicador de columna]],FALSE)</f>
        <v>0</v>
      </c>
      <c r="Y487" s="100">
        <f>+VLOOKUP(PROVEEDORES[[#This Row],[ID RETENCION]],Retenciones!$A$1:$O$25,2,FALSE)</f>
        <v>0</v>
      </c>
      <c r="Z487" s="103" t="b">
        <f>OR(COUNTIF(PROVEEDORES[[#This Row],[PROVEEDOR]],"*"&amp;'Palabra no opera'!$A$2&amp;"*"))</f>
        <v>0</v>
      </c>
    </row>
    <row r="488" spans="1:26" ht="22.35" customHeight="1" x14ac:dyDescent="0.25">
      <c r="A488" s="65" t="str">
        <f>+IF(PROVEEDORES[[#This Row],[FECHA DE PAGO]]=PROVEEDORES[[#This Row],[FECHA DE FACTURACIÓN]],"DE CONTADO","CRÉDITO")</f>
        <v>CRÉDITO</v>
      </c>
      <c r="B488" s="38" t="b">
        <f>+IF((PROVEEDORES[[#This Row],[FECHA DE PAGO]]-PROVEEDORES[[#This Row],[FECHA DE FACTURACIÓN]])&gt;PROVEEDORES[[#This Row],[PLAZO Días]],"PAGO VENCIDO")</f>
        <v>0</v>
      </c>
      <c r="C488" s="20">
        <f>+VLOOKUP(PROVEEDORES[[#This Row],[PROVEEDOR]],TERCEROS_INFO[#All],2,FALSE)</f>
        <v>60</v>
      </c>
      <c r="D488" s="25">
        <f>+SUMIFS(PROVEEDORES[Total],PROVEEDORES[PROVEEDOR],PROVEEDORES[[#This Row],[PROVEEDOR]],PROVEEDORES[FECHA DE PAGO],"")</f>
        <v>3708614</v>
      </c>
      <c r="E488" s="25"/>
      <c r="F48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8" s="289">
        <v>45152</v>
      </c>
      <c r="H488" s="26" t="s">
        <v>250</v>
      </c>
      <c r="I488" s="289">
        <v>45207</v>
      </c>
      <c r="J488" s="35">
        <v>1759</v>
      </c>
      <c r="K488" s="21">
        <v>166000</v>
      </c>
      <c r="L488" s="21"/>
      <c r="M488" s="22">
        <f>(PROVEEDORES[[#This Row],[SUBTOTAL]]-PROVEEDORES[[#This Row],[descuento sobre subtotal]])*VLOOKUP(PROVEEDORES[[#This Row],[PROVEEDOR]],TERCEROS_INFO[#All],3,FALSE)</f>
        <v>0</v>
      </c>
      <c r="N488" s="23"/>
      <c r="O488" s="22">
        <f>+PROVEEDORES[[#This Row],[Descuento sobre subtotal %]]*(PROVEEDORES[[#This Row],[SUBTOTAL]]-PROVEEDORES[[#This Row],[descuento sobre subtotal]])</f>
        <v>0</v>
      </c>
      <c r="P488" s="72">
        <f>+IF(PROVEEDORES[[#This Row],[SUBTOTAL]]&lt;PROVEEDORES[[#This Row],[base retencion]],0,PROVEEDORES[[#This Row],[retención aplicada]])</f>
        <v>0</v>
      </c>
      <c r="Q488" s="22">
        <f>+PROVEEDORES[[#This Row],[Rete Fuente %]]*(PROVEEDORES[[#This Row],[SUBTOTAL]]-PROVEEDORES[[#This Row],[descuento sobre subtotal]])</f>
        <v>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1">
        <f ca="1">IF(PROVEEDORES[[#This Row],[FECHA DE PAGO]]=0,TODAY()-PROVEEDORES[[#This Row],[FECHA DE FACTURACIÓN]]-PROVEEDORES[[#This Row],[PLAZO Días]],0)</f>
        <v>0</v>
      </c>
      <c r="U488" s="97">
        <f>+VLOOKUP(PROVEEDORES[[#This Row],[PROVEEDOR]],Terceros!$A:$D,4,FALSE)</f>
        <v>0</v>
      </c>
      <c r="V488" s="98">
        <f>+YEAR(PROVEEDORES[[#This Row],[FECHA DE FACTURACIÓN]])</f>
        <v>2023</v>
      </c>
      <c r="W488" s="98">
        <f>+MATCH(PROVEEDORES[[#This Row],[año facturado]],Retenciones!$1:$1,0)</f>
        <v>6</v>
      </c>
      <c r="X488" s="99">
        <f>+VLOOKUP(PROVEEDORES[[#This Row],[ID RETENCION]],Retenciones!$A$1:$O$25,PROVEEDORES[[#This Row],[indicador de columna]],FALSE)</f>
        <v>0</v>
      </c>
      <c r="Y488" s="100">
        <f>+VLOOKUP(PROVEEDORES[[#This Row],[ID RETENCION]],Retenciones!$A$1:$O$25,2,FALSE)</f>
        <v>0</v>
      </c>
      <c r="Z488" s="103" t="b">
        <f>OR(COUNTIF(PROVEEDORES[[#This Row],[PROVEEDOR]],"*"&amp;'Palabra no opera'!$A$2&amp;"*"))</f>
        <v>0</v>
      </c>
    </row>
    <row r="489" spans="1:26" ht="22.35" customHeight="1" x14ac:dyDescent="0.25">
      <c r="A489" s="65" t="str">
        <f>+IF(PROVEEDORES[[#This Row],[FECHA DE PAGO]]=PROVEEDORES[[#This Row],[FECHA DE FACTURACIÓN]],"DE CONTADO","CRÉDITO")</f>
        <v>CRÉDITO</v>
      </c>
      <c r="B489" s="38" t="b">
        <f>+IF((PROVEEDORES[[#This Row],[FECHA DE PAGO]]-PROVEEDORES[[#This Row],[FECHA DE FACTURACIÓN]])&gt;PROVEEDORES[[#This Row],[PLAZO Días]],"PAGO VENCIDO")</f>
        <v>0</v>
      </c>
      <c r="C489" s="20">
        <f>+VLOOKUP(PROVEEDORES[[#This Row],[PROVEEDOR]],TERCEROS_INFO[#All],2,FALSE)</f>
        <v>60</v>
      </c>
      <c r="D489" s="25">
        <f>+SUMIFS(PROVEEDORES[Total],PROVEEDORES[PROVEEDOR],PROVEEDORES[[#This Row],[PROVEEDOR]],PROVEEDORES[FECHA DE PAGO],"")</f>
        <v>3708614</v>
      </c>
      <c r="E489" s="25"/>
      <c r="F48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9" s="289">
        <v>45152</v>
      </c>
      <c r="H489" s="26" t="s">
        <v>250</v>
      </c>
      <c r="I489" s="289">
        <v>45207</v>
      </c>
      <c r="J489" s="35">
        <v>1760</v>
      </c>
      <c r="K489" s="21">
        <v>166000</v>
      </c>
      <c r="L489" s="21"/>
      <c r="M489" s="22">
        <f>(PROVEEDORES[[#This Row],[SUBTOTAL]]-PROVEEDORES[[#This Row],[descuento sobre subtotal]])*VLOOKUP(PROVEEDORES[[#This Row],[PROVEEDOR]],TERCEROS_INFO[#All],3,FALSE)</f>
        <v>0</v>
      </c>
      <c r="N489" s="23"/>
      <c r="O489" s="22">
        <f>+PROVEEDORES[[#This Row],[Descuento sobre subtotal %]]*(PROVEEDORES[[#This Row],[SUBTOTAL]]-PROVEEDORES[[#This Row],[descuento sobre subtotal]])</f>
        <v>0</v>
      </c>
      <c r="P489" s="72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4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1">
        <f ca="1">IF(PROVEEDORES[[#This Row],[FECHA DE PAGO]]=0,TODAY()-PROVEEDORES[[#This Row],[FECHA DE FACTURACIÓN]]-PROVEEDORES[[#This Row],[PLAZO Días]],0)</f>
        <v>0</v>
      </c>
      <c r="U489" s="97">
        <f>+VLOOKUP(PROVEEDORES[[#This Row],[PROVEEDOR]],Terceros!$A:$D,4,FALSE)</f>
        <v>0</v>
      </c>
      <c r="V489" s="98">
        <f>+YEAR(PROVEEDORES[[#This Row],[FECHA DE FACTURACIÓN]])</f>
        <v>2023</v>
      </c>
      <c r="W489" s="98">
        <f>+MATCH(PROVEEDORES[[#This Row],[año facturado]],Retenciones!$1:$1,0)</f>
        <v>6</v>
      </c>
      <c r="X489" s="99">
        <f>+VLOOKUP(PROVEEDORES[[#This Row],[ID RETENCION]],Retenciones!$A$1:$O$25,PROVEEDORES[[#This Row],[indicador de columna]],FALSE)</f>
        <v>0</v>
      </c>
      <c r="Y489" s="100">
        <f>+VLOOKUP(PROVEEDORES[[#This Row],[ID RETENCION]],Retenciones!$A$1:$O$25,2,FALSE)</f>
        <v>0</v>
      </c>
      <c r="Z489" s="103" t="b">
        <f>OR(COUNTIF(PROVEEDORES[[#This Row],[PROVEEDOR]],"*"&amp;'Palabra no opera'!$A$2&amp;"*"))</f>
        <v>0</v>
      </c>
    </row>
    <row r="490" spans="1:26" ht="22.35" customHeight="1" x14ac:dyDescent="0.25">
      <c r="A490" s="65" t="str">
        <f>+IF(PROVEEDORES[[#This Row],[FECHA DE PAGO]]=PROVEEDORES[[#This Row],[FECHA DE FACTURACIÓN]],"DE CONTADO","CRÉDITO")</f>
        <v>CRÉDITO</v>
      </c>
      <c r="B490" s="38" t="b">
        <f>+IF((PROVEEDORES[[#This Row],[FECHA DE PAGO]]-PROVEEDORES[[#This Row],[FECHA DE FACTURACIÓN]])&gt;PROVEEDORES[[#This Row],[PLAZO Días]],"PAGO VENCIDO")</f>
        <v>0</v>
      </c>
      <c r="C490" s="20">
        <f>+VLOOKUP(PROVEEDORES[[#This Row],[PROVEEDOR]],TERCEROS_INFO[#All],2,FALSE)</f>
        <v>60</v>
      </c>
      <c r="D490" s="25">
        <f>+SUMIFS(PROVEEDORES[Total],PROVEEDORES[PROVEEDOR],PROVEEDORES[[#This Row],[PROVEEDOR]],PROVEEDORES[FECHA DE PAGO],"")</f>
        <v>3708614</v>
      </c>
      <c r="E490" s="25"/>
      <c r="F49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0" s="289">
        <v>45251</v>
      </c>
      <c r="H490" s="26" t="s">
        <v>250</v>
      </c>
      <c r="I490" s="289">
        <v>45215</v>
      </c>
      <c r="J490" s="35">
        <v>1805</v>
      </c>
      <c r="K490" s="21">
        <v>619200</v>
      </c>
      <c r="L490" s="21"/>
      <c r="M490" s="22">
        <f>(PROVEEDORES[[#This Row],[SUBTOTAL]]-PROVEEDORES[[#This Row],[descuento sobre subtotal]])*VLOOKUP(PROVEEDORES[[#This Row],[PROVEEDOR]],TERCEROS_INFO[#All],3,FALSE)</f>
        <v>0</v>
      </c>
      <c r="N490" s="23"/>
      <c r="O490" s="22">
        <f>+PROVEEDORES[[#This Row],[Descuento sobre subtotal %]]*(PROVEEDORES[[#This Row],[SUBTOTAL]]-PROVEEDORES[[#This Row],[descuento sobre subtotal]])</f>
        <v>0</v>
      </c>
      <c r="P490" s="72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619200</v>
      </c>
      <c r="S4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1">
        <f ca="1">IF(PROVEEDORES[[#This Row],[FECHA DE PAGO]]=0,TODAY()-PROVEEDORES[[#This Row],[FECHA DE FACTURACIÓN]]-PROVEEDORES[[#This Row],[PLAZO Días]],0)</f>
        <v>0</v>
      </c>
      <c r="U490" s="97">
        <f>+VLOOKUP(PROVEEDORES[[#This Row],[PROVEEDOR]],Terceros!$A:$D,4,FALSE)</f>
        <v>0</v>
      </c>
      <c r="V490" s="98">
        <f>+YEAR(PROVEEDORES[[#This Row],[FECHA DE FACTURACIÓN]])</f>
        <v>2023</v>
      </c>
      <c r="W490" s="98">
        <f>+MATCH(PROVEEDORES[[#This Row],[año facturado]],Retenciones!$1:$1,0)</f>
        <v>6</v>
      </c>
      <c r="X490" s="99">
        <f>+VLOOKUP(PROVEEDORES[[#This Row],[ID RETENCION]],Retenciones!$A$1:$O$25,PROVEEDORES[[#This Row],[indicador de columna]],FALSE)</f>
        <v>0</v>
      </c>
      <c r="Y490" s="100">
        <f>+VLOOKUP(PROVEEDORES[[#This Row],[ID RETENCION]],Retenciones!$A$1:$O$25,2,FALSE)</f>
        <v>0</v>
      </c>
      <c r="Z490" s="103" t="b">
        <f>OR(COUNTIF(PROVEEDORES[[#This Row],[PROVEEDOR]],"*"&amp;'Palabra no opera'!$A$2&amp;"*"))</f>
        <v>0</v>
      </c>
    </row>
    <row r="491" spans="1:26" ht="22.35" customHeight="1" x14ac:dyDescent="0.25">
      <c r="A491" s="65" t="str">
        <f>+IF(PROVEEDORES[[#This Row],[FECHA DE PAGO]]=PROVEEDORES[[#This Row],[FECHA DE FACTURACIÓN]],"DE CONTADO","CRÉDITO")</f>
        <v>CRÉDITO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60</v>
      </c>
      <c r="D491" s="25">
        <f>+SUMIFS(PROVEEDORES[Total],PROVEEDORES[PROVEEDOR],PROVEEDORES[[#This Row],[PROVEEDOR]],PROVEEDORES[FECHA DE PAGO],"")</f>
        <v>3708614</v>
      </c>
      <c r="E491" s="25"/>
      <c r="F49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1" s="289">
        <v>45251</v>
      </c>
      <c r="H491" s="26" t="s">
        <v>250</v>
      </c>
      <c r="I491" s="289">
        <v>45217</v>
      </c>
      <c r="J491" s="35">
        <v>1812</v>
      </c>
      <c r="K491" s="21">
        <v>533200</v>
      </c>
      <c r="L491" s="21"/>
      <c r="M491" s="22">
        <f>(PROVEEDORES[[#This Row],[SUBTOTAL]]-PROVEEDORES[[#This Row],[descuento sobre subtotal]])*VLOOKUP(PROVEEDORES[[#This Row],[PROVEEDOR]],TERCEROS_INFO[#All],3,FALSE)</f>
        <v>0</v>
      </c>
      <c r="N491" s="23"/>
      <c r="O491" s="22">
        <f>+PROVEEDORES[[#This Row],[Descuento sobre subtotal %]]*(PROVEEDORES[[#This Row],[SUBTOTAL]]-PROVEEDORES[[#This Row],[descuento sobre subtotal]])</f>
        <v>0</v>
      </c>
      <c r="P491" s="72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533200</v>
      </c>
      <c r="S4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1">
        <f ca="1">IF(PROVEEDORES[[#This Row],[FECHA DE PAGO]]=0,TODAY()-PROVEEDORES[[#This Row],[FECHA DE FACTURACIÓN]]-PROVEEDORES[[#This Row],[PLAZO Días]],0)</f>
        <v>0</v>
      </c>
      <c r="U491" s="97">
        <f>+VLOOKUP(PROVEEDORES[[#This Row],[PROVEEDOR]],Terceros!$A:$D,4,FALSE)</f>
        <v>0</v>
      </c>
      <c r="V491" s="98">
        <f>+YEAR(PROVEEDORES[[#This Row],[FECHA DE FACTURACIÓN]])</f>
        <v>2023</v>
      </c>
      <c r="W491" s="98">
        <f>+MATCH(PROVEEDORES[[#This Row],[año facturado]],Retenciones!$1:$1,0)</f>
        <v>6</v>
      </c>
      <c r="X491" s="99">
        <f>+VLOOKUP(PROVEEDORES[[#This Row],[ID RETENCION]],Retenciones!$A$1:$O$25,PROVEEDORES[[#This Row],[indicador de columna]],FALSE)</f>
        <v>0</v>
      </c>
      <c r="Y491" s="100">
        <f>+VLOOKUP(PROVEEDORES[[#This Row],[ID RETENCION]],Retenciones!$A$1:$O$25,2,FALSE)</f>
        <v>0</v>
      </c>
      <c r="Z491" s="103" t="b">
        <f>OR(COUNTIF(PROVEEDORES[[#This Row],[PROVEEDOR]],"*"&amp;'Palabra no opera'!$A$2&amp;"*"))</f>
        <v>0</v>
      </c>
    </row>
    <row r="492" spans="1:26" ht="22.35" customHeight="1" x14ac:dyDescent="0.25">
      <c r="A492" s="65" t="str">
        <f>+IF(PROVEEDORES[[#This Row],[FECHA DE PAGO]]=PROVEEDORES[[#This Row],[FECHA DE FACTURACIÓN]],"DE CONTADO","CRÉDITO")</f>
        <v>CRÉDITO</v>
      </c>
      <c r="B492" s="38" t="b">
        <f>+IF((PROVEEDORES[[#This Row],[FECHA DE PAGO]]-PROVEEDORES[[#This Row],[FECHA DE FACTURACIÓN]])&gt;PROVEEDORES[[#This Row],[PLAZO Días]],"PAGO VENCIDO")</f>
        <v>0</v>
      </c>
      <c r="C492" s="20">
        <f>+VLOOKUP(PROVEEDORES[[#This Row],[PROVEEDOR]],TERCEROS_INFO[#All],2,FALSE)</f>
        <v>60</v>
      </c>
      <c r="D492" s="25">
        <f>+SUMIFS(PROVEEDORES[Total],PROVEEDORES[PROVEEDOR],PROVEEDORES[[#This Row],[PROVEEDOR]],PROVEEDORES[FECHA DE PAGO],"")</f>
        <v>3708614</v>
      </c>
      <c r="E492" s="25"/>
      <c r="F49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2" s="289">
        <v>45251</v>
      </c>
      <c r="H492" s="26" t="s">
        <v>250</v>
      </c>
      <c r="I492" s="289">
        <v>45226</v>
      </c>
      <c r="J492" s="35">
        <v>1814</v>
      </c>
      <c r="K492" s="21">
        <v>430000</v>
      </c>
      <c r="L492" s="21"/>
      <c r="M492" s="22">
        <f>(PROVEEDORES[[#This Row],[SUBTOTAL]]-PROVEEDORES[[#This Row],[descuento sobre subtotal]])*VLOOKUP(PROVEEDORES[[#This Row],[PROVEEDOR]],TERCEROS_INFO[#All],3,FALSE)</f>
        <v>0</v>
      </c>
      <c r="N492" s="23"/>
      <c r="O492" s="22">
        <f>+PROVEEDORES[[#This Row],[Descuento sobre subtotal %]]*(PROVEEDORES[[#This Row],[SUBTOTAL]]-PROVEEDORES[[#This Row],[descuento sobre subtotal]])</f>
        <v>0</v>
      </c>
      <c r="P492" s="72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49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1">
        <f ca="1">IF(PROVEEDORES[[#This Row],[FECHA DE PAGO]]=0,TODAY()-PROVEEDORES[[#This Row],[FECHA DE FACTURACIÓN]]-PROVEEDORES[[#This Row],[PLAZO Días]],0)</f>
        <v>0</v>
      </c>
      <c r="U492" s="97">
        <f>+VLOOKUP(PROVEEDORES[[#This Row],[PROVEEDOR]],Terceros!$A:$D,4,FALSE)</f>
        <v>0</v>
      </c>
      <c r="V492" s="98">
        <f>+YEAR(PROVEEDORES[[#This Row],[FECHA DE FACTURACIÓN]])</f>
        <v>2023</v>
      </c>
      <c r="W492" s="98">
        <f>+MATCH(PROVEEDORES[[#This Row],[año facturado]],Retenciones!$1:$1,0)</f>
        <v>6</v>
      </c>
      <c r="X492" s="99">
        <f>+VLOOKUP(PROVEEDORES[[#This Row],[ID RETENCION]],Retenciones!$A$1:$O$25,PROVEEDORES[[#This Row],[indicador de columna]],FALSE)</f>
        <v>0</v>
      </c>
      <c r="Y492" s="100">
        <f>+VLOOKUP(PROVEEDORES[[#This Row],[ID RETENCION]],Retenciones!$A$1:$O$25,2,FALSE)</f>
        <v>0</v>
      </c>
      <c r="Z492" s="103" t="b">
        <f>OR(COUNTIF(PROVEEDORES[[#This Row],[PROVEEDOR]],"*"&amp;'Palabra no opera'!$A$2&amp;"*"))</f>
        <v>0</v>
      </c>
    </row>
    <row r="493" spans="1:26" ht="22.35" customHeight="1" x14ac:dyDescent="0.25">
      <c r="A493" s="65" t="str">
        <f>+IF(PROVEEDORES[[#This Row],[FECHA DE PAGO]]=PROVEEDORES[[#This Row],[FECHA DE FACTURACIÓN]],"DE CONTADO","CRÉDITO")</f>
        <v>CRÉDITO</v>
      </c>
      <c r="B493" s="38" t="b">
        <f>+IF((PROVEEDORES[[#This Row],[FECHA DE PAGO]]-PROVEEDORES[[#This Row],[FECHA DE FACTURACIÓN]])&gt;PROVEEDORES[[#This Row],[PLAZO Días]],"PAGO VENCIDO")</f>
        <v>0</v>
      </c>
      <c r="C493" s="20">
        <f>+VLOOKUP(PROVEEDORES[[#This Row],[PROVEEDOR]],TERCEROS_INFO[#All],2,FALSE)</f>
        <v>60</v>
      </c>
      <c r="D493" s="25">
        <f>+SUMIFS(PROVEEDORES[Total],PROVEEDORES[PROVEEDOR],PROVEEDORES[[#This Row],[PROVEEDOR]],PROVEEDORES[FECHA DE PAGO],"")</f>
        <v>3708614</v>
      </c>
      <c r="E493" s="25"/>
      <c r="F49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3" s="289">
        <v>45251</v>
      </c>
      <c r="H493" s="26" t="s">
        <v>250</v>
      </c>
      <c r="I493" s="289">
        <v>45233</v>
      </c>
      <c r="J493" s="35">
        <v>1822</v>
      </c>
      <c r="K493" s="21">
        <v>344000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72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f>+PROVEEDORES[[#This Row],[SUBTOTAL]]+PROVEEDORES[[#This Row],[IVA 19%]]-PROVEEDORES[[#This Row],[descuento sobre subtotal]]-PROVEEDORES[[#This Row],[Descuento sobre subtotal $2]]-PROVEEDORES[[#This Row],[Rete Fuente $]]</f>
        <v>344000</v>
      </c>
      <c r="S4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1">
        <f ca="1">IF(PROVEEDORES[[#This Row],[FECHA DE PAGO]]=0,TODAY()-PROVEEDORES[[#This Row],[FECHA DE FACTURACIÓN]]-PROVEEDORES[[#This Row],[PLAZO Días]],0)</f>
        <v>0</v>
      </c>
      <c r="U493" s="97">
        <f>+VLOOKUP(PROVEEDORES[[#This Row],[PROVEEDOR]],Terceros!$A:$D,4,FALSE)</f>
        <v>0</v>
      </c>
      <c r="V493" s="98">
        <f>+YEAR(PROVEEDORES[[#This Row],[FECHA DE FACTURACIÓN]])</f>
        <v>2023</v>
      </c>
      <c r="W493" s="98">
        <f>+MATCH(PROVEEDORES[[#This Row],[año facturado]],Retenciones!$1:$1,0)</f>
        <v>6</v>
      </c>
      <c r="X493" s="99">
        <f>+VLOOKUP(PROVEEDORES[[#This Row],[ID RETENCION]],Retenciones!$A$1:$O$25,PROVEEDORES[[#This Row],[indicador de columna]],FALSE)</f>
        <v>0</v>
      </c>
      <c r="Y493" s="100">
        <f>+VLOOKUP(PROVEEDORES[[#This Row],[ID RETENCION]],Retenciones!$A$1:$O$25,2,FALSE)</f>
        <v>0</v>
      </c>
      <c r="Z493" s="103" t="b">
        <f>OR(COUNTIF(PROVEEDORES[[#This Row],[PROVEEDOR]],"*"&amp;'Palabra no opera'!$A$2&amp;"*"))</f>
        <v>0</v>
      </c>
    </row>
    <row r="494" spans="1:26" ht="22.35" customHeight="1" x14ac:dyDescent="0.25">
      <c r="A494" s="256" t="str">
        <f>+IF(PROVEEDORES[[#This Row],[FECHA DE PAGO]]=PROVEEDORES[[#This Row],[FECHA DE FACTURACIÓN]],"DE CONTADO","CRÉDITO")</f>
        <v>CRÉDITO</v>
      </c>
      <c r="B494" s="38" t="b">
        <f>+IF((PROVEEDORES[[#This Row],[FECHA DE PAGO]]-PROVEEDORES[[#This Row],[FECHA DE FACTURACIÓN]])&gt;PROVEEDORES[[#This Row],[PLAZO Días]],"PAGO VENCIDO")</f>
        <v>0</v>
      </c>
      <c r="C494" s="20">
        <f>+VLOOKUP(PROVEEDORES[[#This Row],[PROVEEDOR]],TERCEROS_INFO[#All],2,FALSE)</f>
        <v>60</v>
      </c>
      <c r="D494" s="25">
        <f>+SUMIFS(PROVEEDORES[Total],PROVEEDORES[PROVEEDOR],PROVEEDORES[[#This Row],[PROVEEDOR]],PROVEEDORES[FECHA DE PAGO],"")</f>
        <v>3708614</v>
      </c>
      <c r="E494" s="25"/>
      <c r="F49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4" s="289">
        <v>45251</v>
      </c>
      <c r="H494" s="26" t="s">
        <v>250</v>
      </c>
      <c r="I494" s="289">
        <v>45233</v>
      </c>
      <c r="J494" s="35">
        <v>1826</v>
      </c>
      <c r="K494" s="21">
        <v>395600</v>
      </c>
      <c r="L494" s="21"/>
      <c r="M494" s="22">
        <f>(PROVEEDORES[[#This Row],[SUBTOTAL]]-PROVEEDORES[[#This Row],[descuento sobre subtotal]])*VLOOKUP(PROVEEDORES[[#This Row],[PROVEEDOR]],TERCEROS_INFO[#All],3,FALSE)</f>
        <v>0</v>
      </c>
      <c r="N494" s="23"/>
      <c r="O494" s="22">
        <f>+PROVEEDORES[[#This Row],[Descuento sobre subtotal %]]*(PROVEEDORES[[#This Row],[SUBTOTAL]]-PROVEEDORES[[#This Row],[descuento sobre subtotal]])</f>
        <v>0</v>
      </c>
      <c r="P494" s="72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f>+PROVEEDORES[[#This Row],[SUBTOTAL]]+PROVEEDORES[[#This Row],[IVA 19%]]-PROVEEDORES[[#This Row],[descuento sobre subtotal]]-PROVEEDORES[[#This Row],[Descuento sobre subtotal $2]]-PROVEEDORES[[#This Row],[Rete Fuente $]]</f>
        <v>395600</v>
      </c>
      <c r="S494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1">
        <f ca="1">IF(PROVEEDORES[[#This Row],[FECHA DE PAGO]]=0,TODAY()-PROVEEDORES[[#This Row],[FECHA DE FACTURACIÓN]]-PROVEEDORES[[#This Row],[PLAZO Días]],0)</f>
        <v>0</v>
      </c>
      <c r="U494" s="97">
        <f>+VLOOKUP(PROVEEDORES[[#This Row],[PROVEEDOR]],Terceros!$A:$D,4,FALSE)</f>
        <v>0</v>
      </c>
      <c r="V494" s="98">
        <f>+YEAR(PROVEEDORES[[#This Row],[FECHA DE FACTURACIÓN]])</f>
        <v>2023</v>
      </c>
      <c r="W494" s="98">
        <f>+MATCH(PROVEEDORES[[#This Row],[año facturado]],Retenciones!$1:$1,0)</f>
        <v>6</v>
      </c>
      <c r="X494" s="99">
        <f>+VLOOKUP(PROVEEDORES[[#This Row],[ID RETENCION]],Retenciones!$A$1:$O$25,PROVEEDORES[[#This Row],[indicador de columna]],FALSE)</f>
        <v>0</v>
      </c>
      <c r="Y494" s="100">
        <f>+VLOOKUP(PROVEEDORES[[#This Row],[ID RETENCION]],Retenciones!$A$1:$O$25,2,FALSE)</f>
        <v>0</v>
      </c>
      <c r="Z494" s="103" t="b">
        <f>OR(COUNTIF(PROVEEDORES[[#This Row],[PROVEEDOR]],"*"&amp;'Palabra no opera'!$A$2&amp;"*"))</f>
        <v>0</v>
      </c>
    </row>
    <row r="495" spans="1:26" ht="22.35" customHeight="1" x14ac:dyDescent="0.25">
      <c r="A495" s="65" t="str">
        <f>+IF(PROVEEDORES[[#This Row],[FECHA DE PAGO]]=PROVEEDORES[[#This Row],[FECHA DE FACTURACIÓN]],"DE CONTADO","CRÉDITO")</f>
        <v>CRÉDITO</v>
      </c>
      <c r="B495" s="38" t="b">
        <f>+IF((PROVEEDORES[[#This Row],[FECHA DE PAGO]]-PROVEEDORES[[#This Row],[FECHA DE FACTURACIÓN]])&gt;PROVEEDORES[[#This Row],[PLAZO Días]],"PAGO VENCIDO")</f>
        <v>0</v>
      </c>
      <c r="C495" s="20">
        <f>+VLOOKUP(PROVEEDORES[[#This Row],[PROVEEDOR]],TERCEROS_INFO[#All],2,FALSE)</f>
        <v>60</v>
      </c>
      <c r="D495" s="25">
        <f>+SUMIFS(PROVEEDORES[Total],PROVEEDORES[PROVEEDOR],PROVEEDORES[[#This Row],[PROVEEDOR]],PROVEEDORES[FECHA DE PAGO],"")</f>
        <v>3708614</v>
      </c>
      <c r="E495" s="25"/>
      <c r="F49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5" s="289">
        <v>45278</v>
      </c>
      <c r="H495" s="26" t="s">
        <v>250</v>
      </c>
      <c r="I495" s="289">
        <v>45251</v>
      </c>
      <c r="J495" s="35">
        <v>1831</v>
      </c>
      <c r="K495" s="21">
        <v>602000</v>
      </c>
      <c r="L495" s="21"/>
      <c r="M495" s="22">
        <f>(PROVEEDORES[[#This Row],[SUBTOTAL]]-PROVEEDORES[[#This Row],[descuento sobre subtotal]])*VLOOKUP(PROVEEDORES[[#This Row],[PROVEEDOR]],TERCEROS_INFO[#All],3,FALSE)</f>
        <v>0</v>
      </c>
      <c r="N495" s="23"/>
      <c r="O495" s="22">
        <f>+PROVEEDORES[[#This Row],[Descuento sobre subtotal %]]*(PROVEEDORES[[#This Row],[SUBTOTAL]]-PROVEEDORES[[#This Row],[descuento sobre subtotal]])</f>
        <v>0</v>
      </c>
      <c r="P495" s="72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f>+PROVEEDORES[[#This Row],[SUBTOTAL]]+PROVEEDORES[[#This Row],[IVA 19%]]-PROVEEDORES[[#This Row],[descuento sobre subtotal]]-PROVEEDORES[[#This Row],[Descuento sobre subtotal $2]]-PROVEEDORES[[#This Row],[Rete Fuente $]]</f>
        <v>602000</v>
      </c>
      <c r="S4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1">
        <f ca="1">IF(PROVEEDORES[[#This Row],[FECHA DE PAGO]]=0,TODAY()-PROVEEDORES[[#This Row],[FECHA DE FACTURACIÓN]]-PROVEEDORES[[#This Row],[PLAZO Días]],0)</f>
        <v>0</v>
      </c>
      <c r="U495" s="97">
        <f>+VLOOKUP(PROVEEDORES[[#This Row],[PROVEEDOR]],Terceros!$A:$D,4,FALSE)</f>
        <v>0</v>
      </c>
      <c r="V495" s="98">
        <f>+YEAR(PROVEEDORES[[#This Row],[FECHA DE FACTURACIÓN]])</f>
        <v>2023</v>
      </c>
      <c r="W495" s="98">
        <f>+MATCH(PROVEEDORES[[#This Row],[año facturado]],Retenciones!$1:$1,0)</f>
        <v>6</v>
      </c>
      <c r="X495" s="99">
        <f>+VLOOKUP(PROVEEDORES[[#This Row],[ID RETENCION]],Retenciones!$A$1:$O$25,PROVEEDORES[[#This Row],[indicador de columna]],FALSE)</f>
        <v>0</v>
      </c>
      <c r="Y495" s="100">
        <f>+VLOOKUP(PROVEEDORES[[#This Row],[ID RETENCION]],Retenciones!$A$1:$O$25,2,FALSE)</f>
        <v>0</v>
      </c>
      <c r="Z495" s="103" t="b">
        <f>OR(COUNTIF(PROVEEDORES[[#This Row],[PROVEEDOR]],"*"&amp;'Palabra no opera'!$A$2&amp;"*"))</f>
        <v>0</v>
      </c>
    </row>
    <row r="496" spans="1:26" ht="22.35" customHeight="1" x14ac:dyDescent="0.25">
      <c r="A496" s="65" t="str">
        <f>+IF(PROVEEDORES[[#This Row],[FECHA DE PAGO]]=PROVEEDORES[[#This Row],[FECHA DE FACTURACIÓN]],"DE CONTADO","CRÉDITO")</f>
        <v>CRÉDITO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60</v>
      </c>
      <c r="D496" s="25">
        <f>+SUMIFS(PROVEEDORES[Total],PROVEEDORES[PROVEEDOR],PROVEEDORES[[#This Row],[PROVEEDOR]],PROVEEDORES[FECHA DE PAGO],"")</f>
        <v>3708614</v>
      </c>
      <c r="E496" s="25"/>
      <c r="F49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6" s="289">
        <v>45278</v>
      </c>
      <c r="H496" s="26" t="s">
        <v>250</v>
      </c>
      <c r="I496" s="289">
        <v>45252</v>
      </c>
      <c r="J496" s="35">
        <v>1832</v>
      </c>
      <c r="K496" s="21">
        <v>584800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72">
        <f>+IF(PROVEEDORES[[#This Row],[SUBTOTAL]]&lt;PROVEEDORES[[#This Row],[base retencion]],0,PROVEEDORES[[#This Row],[retención aplicada]])</f>
        <v>0</v>
      </c>
      <c r="Q496" s="22">
        <f>+PROVEEDORES[[#This Row],[Rete Fuente %]]*(PROVEEDORES[[#This Row],[SUBTOTAL]]-PROVEEDORES[[#This Row],[descuento sobre subtotal]])</f>
        <v>0</v>
      </c>
      <c r="R496" s="21">
        <f>+PROVEEDORES[[#This Row],[SUBTOTAL]]+PROVEEDORES[[#This Row],[IVA 19%]]-PROVEEDORES[[#This Row],[descuento sobre subtotal]]-PROVEEDORES[[#This Row],[Descuento sobre subtotal $2]]-PROVEEDORES[[#This Row],[Rete Fuente $]]</f>
        <v>584800</v>
      </c>
      <c r="S4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1">
        <f ca="1">IF(PROVEEDORES[[#This Row],[FECHA DE PAGO]]=0,TODAY()-PROVEEDORES[[#This Row],[FECHA DE FACTURACIÓN]]-PROVEEDORES[[#This Row],[PLAZO Días]],0)</f>
        <v>0</v>
      </c>
      <c r="U496" s="97">
        <f>+VLOOKUP(PROVEEDORES[[#This Row],[PROVEEDOR]],Terceros!$A:$D,4,FALSE)</f>
        <v>0</v>
      </c>
      <c r="V496" s="98">
        <f>+YEAR(PROVEEDORES[[#This Row],[FECHA DE FACTURACIÓN]])</f>
        <v>2023</v>
      </c>
      <c r="W496" s="98">
        <f>+MATCH(PROVEEDORES[[#This Row],[año facturado]],Retenciones!$1:$1,0)</f>
        <v>6</v>
      </c>
      <c r="X496" s="99">
        <f>+VLOOKUP(PROVEEDORES[[#This Row],[ID RETENCION]],Retenciones!$A$1:$O$25,PROVEEDORES[[#This Row],[indicador de columna]],FALSE)</f>
        <v>0</v>
      </c>
      <c r="Y496" s="100">
        <f>+VLOOKUP(PROVEEDORES[[#This Row],[ID RETENCION]],Retenciones!$A$1:$O$25,2,FALSE)</f>
        <v>0</v>
      </c>
      <c r="Z496" s="103" t="b">
        <f>OR(COUNTIF(PROVEEDORES[[#This Row],[PROVEEDOR]],"*"&amp;'Palabra no opera'!$A$2&amp;"*"))</f>
        <v>0</v>
      </c>
    </row>
    <row r="497" spans="1:26" ht="22.35" customHeight="1" x14ac:dyDescent="0.25">
      <c r="A497" s="65" t="str">
        <f>+IF(PROVEEDORES[[#This Row],[FECHA DE PAGO]]=PROVEEDORES[[#This Row],[FECHA DE FACTURACIÓN]],"DE CONTADO","CRÉDITO")</f>
        <v>CRÉDITO</v>
      </c>
      <c r="B497" s="38" t="b">
        <f>+IF((PROVEEDORES[[#This Row],[FECHA DE PAGO]]-PROVEEDORES[[#This Row],[FECHA DE FACTURACIÓN]])&gt;PROVEEDORES[[#This Row],[PLAZO Días]],"PAGO VENCIDO")</f>
        <v>0</v>
      </c>
      <c r="C497" s="20">
        <f>+VLOOKUP(PROVEEDORES[[#This Row],[PROVEEDOR]],TERCEROS_INFO[#All],2,FALSE)</f>
        <v>60</v>
      </c>
      <c r="D497" s="25">
        <f>+SUMIFS(PROVEEDORES[Total],PROVEEDORES[PROVEEDOR],PROVEEDORES[[#This Row],[PROVEEDOR]],PROVEEDORES[FECHA DE PAGO],"")</f>
        <v>3708614</v>
      </c>
      <c r="E497" s="25"/>
      <c r="F49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7" s="289">
        <v>45278</v>
      </c>
      <c r="H497" s="26" t="s">
        <v>250</v>
      </c>
      <c r="I497" s="289">
        <v>45260</v>
      </c>
      <c r="J497" s="35">
        <v>1835</v>
      </c>
      <c r="K497" s="21">
        <v>172000</v>
      </c>
      <c r="L497" s="21"/>
      <c r="M497" s="22">
        <f>(PROVEEDORES[[#This Row],[SUBTOTAL]]-PROVEEDORES[[#This Row],[descuento sobre subtotal]])*VLOOKUP(PROVEEDORES[[#This Row],[PROVEEDOR]],TERCEROS_INFO[#All],3,FALSE)</f>
        <v>0</v>
      </c>
      <c r="N497" s="23"/>
      <c r="O497" s="22">
        <f>+PROVEEDORES[[#This Row],[Descuento sobre subtotal %]]*(PROVEEDORES[[#This Row],[SUBTOTAL]]-PROVEEDORES[[#This Row],[descuento sobre subtotal]])</f>
        <v>0</v>
      </c>
      <c r="P497" s="72">
        <f>+IF(PROVEEDORES[[#This Row],[SUBTOTAL]]&lt;PROVEEDORES[[#This Row],[base retencion]],0,PROVEEDORES[[#This Row],[retención aplicada]])</f>
        <v>0</v>
      </c>
      <c r="Q497" s="22">
        <f>+PROVEEDORES[[#This Row],[Rete Fuente %]]*(PROVEEDORES[[#This Row],[SUBTOTAL]]-PROVEEDORES[[#This Row],[descuento sobre subtotal]])</f>
        <v>0</v>
      </c>
      <c r="R497" s="21">
        <f>+PROVEEDORES[[#This Row],[SUBTOTAL]]+PROVEEDORES[[#This Row],[IVA 19%]]-PROVEEDORES[[#This Row],[descuento sobre subtotal]]-PROVEEDORES[[#This Row],[Descuento sobre subtotal $2]]-PROVEEDORES[[#This Row],[Rete Fuente $]]</f>
        <v>172000</v>
      </c>
      <c r="S4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1">
        <f ca="1">IF(PROVEEDORES[[#This Row],[FECHA DE PAGO]]=0,TODAY()-PROVEEDORES[[#This Row],[FECHA DE FACTURACIÓN]]-PROVEEDORES[[#This Row],[PLAZO Días]],0)</f>
        <v>0</v>
      </c>
      <c r="U497" s="97">
        <f>+VLOOKUP(PROVEEDORES[[#This Row],[PROVEEDOR]],Terceros!$A:$D,4,FALSE)</f>
        <v>0</v>
      </c>
      <c r="V497" s="98">
        <f>+YEAR(PROVEEDORES[[#This Row],[FECHA DE FACTURACIÓN]])</f>
        <v>2023</v>
      </c>
      <c r="W497" s="98">
        <f>+MATCH(PROVEEDORES[[#This Row],[año facturado]],Retenciones!$1:$1,0)</f>
        <v>6</v>
      </c>
      <c r="X497" s="99">
        <f>+VLOOKUP(PROVEEDORES[[#This Row],[ID RETENCION]],Retenciones!$A$1:$O$25,PROVEEDORES[[#This Row],[indicador de columna]],FALSE)</f>
        <v>0</v>
      </c>
      <c r="Y497" s="100">
        <f>+VLOOKUP(PROVEEDORES[[#This Row],[ID RETENCION]],Retenciones!$A$1:$O$25,2,FALSE)</f>
        <v>0</v>
      </c>
      <c r="Z497" s="103" t="b">
        <f>OR(COUNTIF(PROVEEDORES[[#This Row],[PROVEEDOR]],"*"&amp;'Palabra no opera'!$A$2&amp;"*"))</f>
        <v>0</v>
      </c>
    </row>
    <row r="498" spans="1:26" ht="22.35" customHeight="1" x14ac:dyDescent="0.25">
      <c r="A498" s="65" t="str">
        <f>+IF(PROVEEDORES[[#This Row],[FECHA DE PAGO]]=PROVEEDORES[[#This Row],[FECHA DE FACTURACIÓN]],"DE CONTADO","CRÉDITO")</f>
        <v>CRÉDITO</v>
      </c>
      <c r="B498" s="38" t="b">
        <f>+IF((PROVEEDORES[[#This Row],[FECHA DE PAGO]]-PROVEEDORES[[#This Row],[FECHA DE FACTURACIÓN]])&gt;PROVEEDORES[[#This Row],[PLAZO Días]],"PAGO VENCIDO")</f>
        <v>0</v>
      </c>
      <c r="C498" s="20">
        <f>+VLOOKUP(PROVEEDORES[[#This Row],[PROVEEDOR]],TERCEROS_INFO[#All],2,FALSE)</f>
        <v>60</v>
      </c>
      <c r="D498" s="25">
        <f>+SUMIFS(PROVEEDORES[Total],PROVEEDORES[PROVEEDOR],PROVEEDORES[[#This Row],[PROVEEDOR]],PROVEEDORES[FECHA DE PAGO],"")</f>
        <v>3708614</v>
      </c>
      <c r="E498" s="25"/>
      <c r="F49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8" s="289">
        <v>45278</v>
      </c>
      <c r="H498" s="26" t="s">
        <v>250</v>
      </c>
      <c r="I498" s="289">
        <v>45260</v>
      </c>
      <c r="J498" s="35">
        <v>1836</v>
      </c>
      <c r="K498" s="21">
        <v>447200</v>
      </c>
      <c r="L498" s="21"/>
      <c r="M498" s="22">
        <f>(PROVEEDORES[[#This Row],[SUBTOTAL]]-PROVEEDORES[[#This Row],[descuento sobre subtotal]])*VLOOKUP(PROVEEDORES[[#This Row],[PROVEEDOR]],TERCEROS_INFO[#All],3,FALSE)</f>
        <v>0</v>
      </c>
      <c r="N498" s="23"/>
      <c r="O498" s="22">
        <f>+PROVEEDORES[[#This Row],[Descuento sobre subtotal %]]*(PROVEEDORES[[#This Row],[SUBTOTAL]]-PROVEEDORES[[#This Row],[descuento sobre subtotal]])</f>
        <v>0</v>
      </c>
      <c r="P498" s="72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f>+PROVEEDORES[[#This Row],[SUBTOTAL]]+PROVEEDORES[[#This Row],[IVA 19%]]-PROVEEDORES[[#This Row],[descuento sobre subtotal]]-PROVEEDORES[[#This Row],[Descuento sobre subtotal $2]]-PROVEEDORES[[#This Row],[Rete Fuente $]]</f>
        <v>447200</v>
      </c>
      <c r="S4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1">
        <f ca="1">IF(PROVEEDORES[[#This Row],[FECHA DE PAGO]]=0,TODAY()-PROVEEDORES[[#This Row],[FECHA DE FACTURACIÓN]]-PROVEEDORES[[#This Row],[PLAZO Días]],0)</f>
        <v>0</v>
      </c>
      <c r="U498" s="97">
        <f>+VLOOKUP(PROVEEDORES[[#This Row],[PROVEEDOR]],Terceros!$A:$D,4,FALSE)</f>
        <v>0</v>
      </c>
      <c r="V498" s="98">
        <f>+YEAR(PROVEEDORES[[#This Row],[FECHA DE FACTURACIÓN]])</f>
        <v>2023</v>
      </c>
      <c r="W498" s="98">
        <f>+MATCH(PROVEEDORES[[#This Row],[año facturado]],Retenciones!$1:$1,0)</f>
        <v>6</v>
      </c>
      <c r="X498" s="99">
        <f>+VLOOKUP(PROVEEDORES[[#This Row],[ID RETENCION]],Retenciones!$A$1:$O$25,PROVEEDORES[[#This Row],[indicador de columna]],FALSE)</f>
        <v>0</v>
      </c>
      <c r="Y498" s="100">
        <f>+VLOOKUP(PROVEEDORES[[#This Row],[ID RETENCION]],Retenciones!$A$1:$O$25,2,FALSE)</f>
        <v>0</v>
      </c>
      <c r="Z498" s="103" t="b">
        <f>OR(COUNTIF(PROVEEDORES[[#This Row],[PROVEEDOR]],"*"&amp;'Palabra no opera'!$A$2&amp;"*"))</f>
        <v>0</v>
      </c>
    </row>
    <row r="499" spans="1:26" ht="22.35" customHeight="1" x14ac:dyDescent="0.25">
      <c r="A499" s="65" t="str">
        <f>+IF(PROVEEDORES[[#This Row],[FECHA DE PAGO]]=PROVEEDORES[[#This Row],[FECHA DE FACTURACIÓN]],"DE CONTADO","CRÉDITO")</f>
        <v>CRÉDITO</v>
      </c>
      <c r="B499" s="38" t="b">
        <f>+IF((PROVEEDORES[[#This Row],[FECHA DE PAGO]]-PROVEEDORES[[#This Row],[FECHA DE FACTURACIÓN]])&gt;PROVEEDORES[[#This Row],[PLAZO Días]],"PAGO VENCIDO")</f>
        <v>0</v>
      </c>
      <c r="C499" s="20">
        <f>+VLOOKUP(PROVEEDORES[[#This Row],[PROVEEDOR]],TERCEROS_INFO[#All],2,FALSE)</f>
        <v>60</v>
      </c>
      <c r="D499" s="25">
        <f>+SUMIFS(PROVEEDORES[Total],PROVEEDORES[PROVEEDOR],PROVEEDORES[[#This Row],[PROVEEDOR]],PROVEEDORES[FECHA DE PAGO],"")</f>
        <v>3708614</v>
      </c>
      <c r="E499" s="25"/>
      <c r="F49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99" s="289">
        <v>45278</v>
      </c>
      <c r="H499" s="26" t="s">
        <v>250</v>
      </c>
      <c r="I499" s="289">
        <v>45260</v>
      </c>
      <c r="J499" s="35">
        <v>1837</v>
      </c>
      <c r="K499" s="21">
        <v>516000</v>
      </c>
      <c r="L499" s="21"/>
      <c r="M499" s="22">
        <f>(PROVEEDORES[[#This Row],[SUBTOTAL]]-PROVEEDORES[[#This Row],[descuento sobre subtotal]])*VLOOKUP(PROVEEDORES[[#This Row],[PROVEEDOR]],TERCEROS_INFO[#All],3,FALSE)</f>
        <v>0</v>
      </c>
      <c r="N499" s="23"/>
      <c r="O499" s="22">
        <f>+PROVEEDORES[[#This Row],[Descuento sobre subtotal %]]*(PROVEEDORES[[#This Row],[SUBTOTAL]]-PROVEEDORES[[#This Row],[descuento sobre subtotal]])</f>
        <v>0</v>
      </c>
      <c r="P499" s="72">
        <f>+IF(PROVEEDORES[[#This Row],[SUBTOTAL]]&lt;PROVEEDORES[[#This Row],[base retencion]],0,PROVEEDORES[[#This Row],[retención aplicada]])</f>
        <v>0</v>
      </c>
      <c r="Q499" s="22">
        <f>+PROVEEDORES[[#This Row],[Rete Fuente %]]*(PROVEEDORES[[#This Row],[SUBTOTAL]]-PROVEEDORES[[#This Row],[descuento sobre subtotal]])</f>
        <v>0</v>
      </c>
      <c r="R499" s="21">
        <f>+PROVEEDORES[[#This Row],[SUBTOTAL]]+PROVEEDORES[[#This Row],[IVA 19%]]-PROVEEDORES[[#This Row],[descuento sobre subtotal]]-PROVEEDORES[[#This Row],[Descuento sobre subtotal $2]]-PROVEEDORES[[#This Row],[Rete Fuente $]]</f>
        <v>516000</v>
      </c>
      <c r="S4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1">
        <f ca="1">IF(PROVEEDORES[[#This Row],[FECHA DE PAGO]]=0,TODAY()-PROVEEDORES[[#This Row],[FECHA DE FACTURACIÓN]]-PROVEEDORES[[#This Row],[PLAZO Días]],0)</f>
        <v>0</v>
      </c>
      <c r="U499" s="97">
        <f>+VLOOKUP(PROVEEDORES[[#This Row],[PROVEEDOR]],Terceros!$A:$D,4,FALSE)</f>
        <v>0</v>
      </c>
      <c r="V499" s="98">
        <f>+YEAR(PROVEEDORES[[#This Row],[FECHA DE FACTURACIÓN]])</f>
        <v>2023</v>
      </c>
      <c r="W499" s="98">
        <f>+MATCH(PROVEEDORES[[#This Row],[año facturado]],Retenciones!$1:$1,0)</f>
        <v>6</v>
      </c>
      <c r="X499" s="99">
        <f>+VLOOKUP(PROVEEDORES[[#This Row],[ID RETENCION]],Retenciones!$A$1:$O$25,PROVEEDORES[[#This Row],[indicador de columna]],FALSE)</f>
        <v>0</v>
      </c>
      <c r="Y499" s="100">
        <f>+VLOOKUP(PROVEEDORES[[#This Row],[ID RETENCION]],Retenciones!$A$1:$O$25,2,FALSE)</f>
        <v>0</v>
      </c>
      <c r="Z499" s="103" t="b">
        <f>OR(COUNTIF(PROVEEDORES[[#This Row],[PROVEEDOR]],"*"&amp;'Palabra no opera'!$A$2&amp;"*"))</f>
        <v>0</v>
      </c>
    </row>
    <row r="500" spans="1:26" ht="22.35" customHeight="1" x14ac:dyDescent="0.25">
      <c r="A500" s="65" t="str">
        <f>+IF(PROVEEDORES[[#This Row],[FECHA DE PAGO]]=PROVEEDORES[[#This Row],[FECHA DE FACTURACIÓN]],"DE CONTADO","CRÉDITO")</f>
        <v>CRÉDITO</v>
      </c>
      <c r="B500" s="38" t="b">
        <f>+IF((PROVEEDORES[[#This Row],[FECHA DE PAGO]]-PROVEEDORES[[#This Row],[FECHA DE FACTURACIÓN]])&gt;PROVEEDORES[[#This Row],[PLAZO Días]],"PAGO VENCIDO")</f>
        <v>0</v>
      </c>
      <c r="C500" s="20">
        <f>+VLOOKUP(PROVEEDORES[[#This Row],[PROVEEDOR]],TERCEROS_INFO[#All],2,FALSE)</f>
        <v>60</v>
      </c>
      <c r="D500" s="25">
        <f>+SUMIFS(PROVEEDORES[Total],PROVEEDORES[PROVEEDOR],PROVEEDORES[[#This Row],[PROVEEDOR]],PROVEEDORES[FECHA DE PAGO],"")</f>
        <v>3708614</v>
      </c>
      <c r="E500" s="25"/>
      <c r="F50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0" s="289">
        <v>45278</v>
      </c>
      <c r="H500" s="26" t="s">
        <v>250</v>
      </c>
      <c r="I500" s="289">
        <v>45260</v>
      </c>
      <c r="J500" s="35">
        <v>1841</v>
      </c>
      <c r="K500" s="21">
        <v>1097790</v>
      </c>
      <c r="L500" s="21"/>
      <c r="M500" s="22">
        <f>(PROVEEDORES[[#This Row],[SUBTOTAL]]-PROVEEDORES[[#This Row],[descuento sobre subtotal]])*VLOOKUP(PROVEEDORES[[#This Row],[PROVEEDOR]],TERCEROS_INFO[#All],3,FALSE)</f>
        <v>0</v>
      </c>
      <c r="N500" s="23"/>
      <c r="O500" s="22">
        <f>+PROVEEDORES[[#This Row],[Descuento sobre subtotal %]]*(PROVEEDORES[[#This Row],[SUBTOTAL]]-PROVEEDORES[[#This Row],[descuento sobre subtotal]])</f>
        <v>0</v>
      </c>
      <c r="P500" s="72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1097790</v>
      </c>
      <c r="S50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1">
        <f ca="1">IF(PROVEEDORES[[#This Row],[FECHA DE PAGO]]=0,TODAY()-PROVEEDORES[[#This Row],[FECHA DE FACTURACIÓN]]-PROVEEDORES[[#This Row],[PLAZO Días]],0)</f>
        <v>0</v>
      </c>
      <c r="U500" s="97">
        <f>+VLOOKUP(PROVEEDORES[[#This Row],[PROVEEDOR]],Terceros!$A:$D,4,FALSE)</f>
        <v>0</v>
      </c>
      <c r="V500" s="98">
        <f>+YEAR(PROVEEDORES[[#This Row],[FECHA DE FACTURACIÓN]])</f>
        <v>2023</v>
      </c>
      <c r="W500" s="98">
        <f>+MATCH(PROVEEDORES[[#This Row],[año facturado]],Retenciones!$1:$1,0)</f>
        <v>6</v>
      </c>
      <c r="X500" s="99">
        <f>+VLOOKUP(PROVEEDORES[[#This Row],[ID RETENCION]],Retenciones!$A$1:$O$25,PROVEEDORES[[#This Row],[indicador de columna]],FALSE)</f>
        <v>0</v>
      </c>
      <c r="Y500" s="100">
        <f>+VLOOKUP(PROVEEDORES[[#This Row],[ID RETENCION]],Retenciones!$A$1:$O$25,2,FALSE)</f>
        <v>0</v>
      </c>
      <c r="Z500" s="103" t="b">
        <f>OR(COUNTIF(PROVEEDORES[[#This Row],[PROVEEDOR]],"*"&amp;'Palabra no opera'!$A$2&amp;"*"))</f>
        <v>0</v>
      </c>
    </row>
    <row r="501" spans="1:26" ht="22.35" customHeight="1" x14ac:dyDescent="0.25">
      <c r="A501" s="267" t="str">
        <f>+IF(PROVEEDORES[[#This Row],[FECHA DE PAGO]]=PROVEEDORES[[#This Row],[FECHA DE FACTURACIÓN]],"DE CONTADO","CRÉDITO")</f>
        <v>CRÉDITO</v>
      </c>
      <c r="B501" s="38" t="b">
        <f>+IF((PROVEEDORES[[#This Row],[FECHA DE PAGO]]-PROVEEDORES[[#This Row],[FECHA DE FACTURACIÓN]])&gt;PROVEEDORES[[#This Row],[PLAZO Días]],"PAGO VENCIDO")</f>
        <v>0</v>
      </c>
      <c r="C501" s="20">
        <f>+VLOOKUP(PROVEEDORES[[#This Row],[PROVEEDOR]],TERCEROS_INFO[#All],2,FALSE)</f>
        <v>60</v>
      </c>
      <c r="D501" s="25">
        <f>+SUMIFS(PROVEEDORES[Total],PROVEEDORES[PROVEEDOR],PROVEEDORES[[#This Row],[PROVEEDOR]],PROVEEDORES[FECHA DE PAGO],"")</f>
        <v>3708614</v>
      </c>
      <c r="E501" s="25"/>
      <c r="F50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1" s="289">
        <v>45278</v>
      </c>
      <c r="H501" s="26" t="s">
        <v>250</v>
      </c>
      <c r="I501" s="289">
        <v>45260</v>
      </c>
      <c r="J501" s="35">
        <v>1851</v>
      </c>
      <c r="K501" s="21">
        <v>756800</v>
      </c>
      <c r="L501" s="21"/>
      <c r="M501" s="22">
        <f>(PROVEEDORES[[#This Row],[SUBTOTAL]]-PROVEEDORES[[#This Row],[descuento sobre subtotal]])*VLOOKUP(PROVEEDORES[[#This Row],[PROVEEDOR]],TERCEROS_INFO[#All],3,FALSE)</f>
        <v>0</v>
      </c>
      <c r="N501" s="23"/>
      <c r="O501" s="22">
        <f>+PROVEEDORES[[#This Row],[Descuento sobre subtotal %]]*(PROVEEDORES[[#This Row],[SUBTOTAL]]-PROVEEDORES[[#This Row],[descuento sobre subtotal]])</f>
        <v>0</v>
      </c>
      <c r="P501" s="72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756800</v>
      </c>
      <c r="S501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1">
        <f ca="1">IF(PROVEEDORES[[#This Row],[FECHA DE PAGO]]=0,TODAY()-PROVEEDORES[[#This Row],[FECHA DE FACTURACIÓN]]-PROVEEDORES[[#This Row],[PLAZO Días]],0)</f>
        <v>0</v>
      </c>
      <c r="U501" s="97">
        <f>+VLOOKUP(PROVEEDORES[[#This Row],[PROVEEDOR]],Terceros!$A:$D,4,FALSE)</f>
        <v>0</v>
      </c>
      <c r="V501" s="98">
        <f>+YEAR(PROVEEDORES[[#This Row],[FECHA DE FACTURACIÓN]])</f>
        <v>2023</v>
      </c>
      <c r="W501" s="98">
        <f>+MATCH(PROVEEDORES[[#This Row],[año facturado]],Retenciones!$1:$1,0)</f>
        <v>6</v>
      </c>
      <c r="X501" s="99">
        <f>+VLOOKUP(PROVEEDORES[[#This Row],[ID RETENCION]],Retenciones!$A$1:$O$25,PROVEEDORES[[#This Row],[indicador de columna]],FALSE)</f>
        <v>0</v>
      </c>
      <c r="Y501" s="100">
        <f>+VLOOKUP(PROVEEDORES[[#This Row],[ID RETENCION]],Retenciones!$A$1:$O$25,2,FALSE)</f>
        <v>0</v>
      </c>
      <c r="Z501" s="103" t="b">
        <f>OR(COUNTIF(PROVEEDORES[[#This Row],[PROVEEDOR]],"*"&amp;'Palabra no opera'!$A$2&amp;"*"))</f>
        <v>0</v>
      </c>
    </row>
    <row r="502" spans="1:26" ht="22.35" customHeight="1" x14ac:dyDescent="0.25">
      <c r="A502" s="267" t="str">
        <f>+IF(PROVEEDORES[[#This Row],[FECHA DE PAGO]]=PROVEEDORES[[#This Row],[FECHA DE FACTURACIÓN]],"DE CONTADO","CRÉDITO")</f>
        <v>CRÉDITO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60</v>
      </c>
      <c r="D502" s="25">
        <f>+SUMIFS(PROVEEDORES[Total],PROVEEDORES[PROVEEDOR],PROVEEDORES[[#This Row],[PROVEEDOR]],PROVEEDORES[FECHA DE PAGO],"")</f>
        <v>3708614</v>
      </c>
      <c r="E502" s="25"/>
      <c r="F50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2" s="289">
        <v>45278</v>
      </c>
      <c r="H502" s="26" t="s">
        <v>250</v>
      </c>
      <c r="I502" s="289">
        <v>45260</v>
      </c>
      <c r="J502" s="35">
        <v>1850</v>
      </c>
      <c r="K502" s="21">
        <v>1177770</v>
      </c>
      <c r="L502" s="21"/>
      <c r="M502" s="22">
        <f>(PROVEEDORES[[#This Row],[SUBTOTAL]]-PROVEEDORES[[#This Row],[descuento sobre subtotal]])*VLOOKUP(PROVEEDORES[[#This Row],[PROVEEDOR]],TERCEROS_INFO[#All],3,FALSE)</f>
        <v>0</v>
      </c>
      <c r="N502" s="23"/>
      <c r="O502" s="22">
        <f>+PROVEEDORES[[#This Row],[Descuento sobre subtotal %]]*(PROVEEDORES[[#This Row],[SUBTOTAL]]-PROVEEDORES[[#This Row],[descuento sobre subtotal]])</f>
        <v>0</v>
      </c>
      <c r="P502" s="72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1177770</v>
      </c>
      <c r="S502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1">
        <f ca="1">IF(PROVEEDORES[[#This Row],[FECHA DE PAGO]]=0,TODAY()-PROVEEDORES[[#This Row],[FECHA DE FACTURACIÓN]]-PROVEEDORES[[#This Row],[PLAZO Días]],0)</f>
        <v>0</v>
      </c>
      <c r="U502" s="97">
        <f>+VLOOKUP(PROVEEDORES[[#This Row],[PROVEEDOR]],Terceros!$A:$D,4,FALSE)</f>
        <v>0</v>
      </c>
      <c r="V502" s="98">
        <f>+YEAR(PROVEEDORES[[#This Row],[FECHA DE FACTURACIÓN]])</f>
        <v>2023</v>
      </c>
      <c r="W502" s="98">
        <f>+MATCH(PROVEEDORES[[#This Row],[año facturado]],Retenciones!$1:$1,0)</f>
        <v>6</v>
      </c>
      <c r="X502" s="99">
        <f>+VLOOKUP(PROVEEDORES[[#This Row],[ID RETENCION]],Retenciones!$A$1:$O$25,PROVEEDORES[[#This Row],[indicador de columna]],FALSE)</f>
        <v>0</v>
      </c>
      <c r="Y502" s="100">
        <f>+VLOOKUP(PROVEEDORES[[#This Row],[ID RETENCION]],Retenciones!$A$1:$O$25,2,FALSE)</f>
        <v>0</v>
      </c>
      <c r="Z502" s="103" t="b">
        <f>OR(COUNTIF(PROVEEDORES[[#This Row],[PROVEEDOR]],"*"&amp;'Palabra no opera'!$A$2&amp;"*"))</f>
        <v>0</v>
      </c>
    </row>
    <row r="503" spans="1:26" ht="22.35" customHeight="1" x14ac:dyDescent="0.25">
      <c r="A503" s="267" t="str">
        <f>+IF(PROVEEDORES[[#This Row],[FECHA DE PAGO]]=PROVEEDORES[[#This Row],[FECHA DE FACTURACIÓN]],"DE CONTADO","CRÉDITO")</f>
        <v>CRÉDITO</v>
      </c>
      <c r="B503" s="38" t="b">
        <f>+IF((PROVEEDORES[[#This Row],[FECHA DE PAGO]]-PROVEEDORES[[#This Row],[FECHA DE FACTURACIÓN]])&gt;PROVEEDORES[[#This Row],[PLAZO Días]],"PAGO VENCIDO")</f>
        <v>0</v>
      </c>
      <c r="C503" s="20">
        <f>+VLOOKUP(PROVEEDORES[[#This Row],[PROVEEDOR]],TERCEROS_INFO[#All],2,FALSE)</f>
        <v>60</v>
      </c>
      <c r="D503" s="25">
        <f>+SUMIFS(PROVEEDORES[Total],PROVEEDORES[PROVEEDOR],PROVEEDORES[[#This Row],[PROVEEDOR]],PROVEEDORES[FECHA DE PAGO],"")</f>
        <v>3708614</v>
      </c>
      <c r="E503" s="25"/>
      <c r="F50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3" s="289">
        <v>45278</v>
      </c>
      <c r="H503" s="26" t="s">
        <v>250</v>
      </c>
      <c r="I503" s="289">
        <v>45264</v>
      </c>
      <c r="J503" s="35">
        <v>1853</v>
      </c>
      <c r="K503" s="21">
        <v>619200</v>
      </c>
      <c r="L503" s="21"/>
      <c r="M503" s="22">
        <f>(PROVEEDORES[[#This Row],[SUBTOTAL]]-PROVEEDORES[[#This Row],[descuento sobre subtotal]])*VLOOKUP(PROVEEDORES[[#This Row],[PROVEEDOR]],TERCEROS_INFO[#All],3,FALSE)</f>
        <v>0</v>
      </c>
      <c r="N503" s="23"/>
      <c r="O503" s="22">
        <f>+PROVEEDORES[[#This Row],[Descuento sobre subtotal %]]*(PROVEEDORES[[#This Row],[SUBTOTAL]]-PROVEEDORES[[#This Row],[descuento sobre subtotal]])</f>
        <v>0</v>
      </c>
      <c r="P503" s="72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619200</v>
      </c>
      <c r="S503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1">
        <f ca="1">IF(PROVEEDORES[[#This Row],[FECHA DE PAGO]]=0,TODAY()-PROVEEDORES[[#This Row],[FECHA DE FACTURACIÓN]]-PROVEEDORES[[#This Row],[PLAZO Días]],0)</f>
        <v>0</v>
      </c>
      <c r="U503" s="97">
        <f>+VLOOKUP(PROVEEDORES[[#This Row],[PROVEEDOR]],Terceros!$A:$D,4,FALSE)</f>
        <v>0</v>
      </c>
      <c r="V503" s="98">
        <f>+YEAR(PROVEEDORES[[#This Row],[FECHA DE FACTURACIÓN]])</f>
        <v>2023</v>
      </c>
      <c r="W503" s="98">
        <f>+MATCH(PROVEEDORES[[#This Row],[año facturado]],Retenciones!$1:$1,0)</f>
        <v>6</v>
      </c>
      <c r="X503" s="99">
        <f>+VLOOKUP(PROVEEDORES[[#This Row],[ID RETENCION]],Retenciones!$A$1:$O$25,PROVEEDORES[[#This Row],[indicador de columna]],FALSE)</f>
        <v>0</v>
      </c>
      <c r="Y503" s="100">
        <f>+VLOOKUP(PROVEEDORES[[#This Row],[ID RETENCION]],Retenciones!$A$1:$O$25,2,FALSE)</f>
        <v>0</v>
      </c>
      <c r="Z503" s="103" t="b">
        <f>OR(COUNTIF(PROVEEDORES[[#This Row],[PROVEEDOR]],"*"&amp;'Palabra no opera'!$A$2&amp;"*"))</f>
        <v>0</v>
      </c>
    </row>
    <row r="504" spans="1:26" ht="22.35" customHeight="1" x14ac:dyDescent="0.25">
      <c r="A504" s="267" t="str">
        <f>+IF(PROVEEDORES[[#This Row],[FECHA DE PAGO]]=PROVEEDORES[[#This Row],[FECHA DE FACTURACIÓN]],"DE CONTADO","CRÉDITO")</f>
        <v>CRÉDITO</v>
      </c>
      <c r="B504" s="38" t="b">
        <f>+IF((PROVEEDORES[[#This Row],[FECHA DE PAGO]]-PROVEEDORES[[#This Row],[FECHA DE FACTURACIÓN]])&gt;PROVEEDORES[[#This Row],[PLAZO Días]],"PAGO VENCIDO")</f>
        <v>0</v>
      </c>
      <c r="C504" s="20">
        <f>+VLOOKUP(PROVEEDORES[[#This Row],[PROVEEDOR]],TERCEROS_INFO[#All],2,FALSE)</f>
        <v>60</v>
      </c>
      <c r="D504" s="25">
        <f>+SUMIFS(PROVEEDORES[Total],PROVEEDORES[PROVEEDOR],PROVEEDORES[[#This Row],[PROVEEDOR]],PROVEEDORES[FECHA DE PAGO],"")</f>
        <v>3708614</v>
      </c>
      <c r="E504" s="25"/>
      <c r="F50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4" s="289">
        <v>45278</v>
      </c>
      <c r="H504" s="26" t="s">
        <v>250</v>
      </c>
      <c r="I504" s="289">
        <v>45267</v>
      </c>
      <c r="J504" s="35">
        <v>1854</v>
      </c>
      <c r="K504" s="21">
        <v>344000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72">
        <f>+IF(PROVEEDORES[[#This Row],[SUBTOTAL]]&lt;PROVEEDORES[[#This Row],[base retencion]],0,PROVEEDORES[[#This Row],[retención aplicada]])</f>
        <v>0</v>
      </c>
      <c r="Q504" s="22">
        <f>+PROVEEDORES[[#This Row],[Rete Fuente %]]*(PROVEEDORES[[#This Row],[SUBTOTAL]]-PROVEEDORES[[#This Row],[descuento sobre subtotal]])</f>
        <v>0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344000</v>
      </c>
      <c r="S504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1">
        <f ca="1">IF(PROVEEDORES[[#This Row],[FECHA DE PAGO]]=0,TODAY()-PROVEEDORES[[#This Row],[FECHA DE FACTURACIÓN]]-PROVEEDORES[[#This Row],[PLAZO Días]],0)</f>
        <v>0</v>
      </c>
      <c r="U504" s="97">
        <f>+VLOOKUP(PROVEEDORES[[#This Row],[PROVEEDOR]],Terceros!$A:$D,4,FALSE)</f>
        <v>0</v>
      </c>
      <c r="V504" s="98">
        <f>+YEAR(PROVEEDORES[[#This Row],[FECHA DE FACTURACIÓN]])</f>
        <v>2023</v>
      </c>
      <c r="W504" s="98">
        <f>+MATCH(PROVEEDORES[[#This Row],[año facturado]],Retenciones!$1:$1,0)</f>
        <v>6</v>
      </c>
      <c r="X504" s="99">
        <f>+VLOOKUP(PROVEEDORES[[#This Row],[ID RETENCION]],Retenciones!$A$1:$O$25,PROVEEDORES[[#This Row],[indicador de columna]],FALSE)</f>
        <v>0</v>
      </c>
      <c r="Y504" s="100">
        <f>+VLOOKUP(PROVEEDORES[[#This Row],[ID RETENCION]],Retenciones!$A$1:$O$25,2,FALSE)</f>
        <v>0</v>
      </c>
      <c r="Z504" s="103" t="b">
        <f>OR(COUNTIF(PROVEEDORES[[#This Row],[PROVEEDOR]],"*"&amp;'Palabra no opera'!$A$2&amp;"*"))</f>
        <v>0</v>
      </c>
    </row>
    <row r="505" spans="1:26" ht="22.35" customHeight="1" x14ac:dyDescent="0.25">
      <c r="A505" s="65" t="str">
        <f>+IF(PROVEEDORES[[#This Row],[FECHA DE PAGO]]=PROVEEDORES[[#This Row],[FECHA DE FACTURACIÓN]],"DE CONTADO","CRÉDITO")</f>
        <v>CRÉDITO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60</v>
      </c>
      <c r="D505" s="25">
        <f>+SUMIFS(PROVEEDORES[Total],PROVEEDORES[PROVEEDOR],PROVEEDORES[[#This Row],[PROVEEDOR]],PROVEEDORES[FECHA DE PAGO],"")</f>
        <v>3708614</v>
      </c>
      <c r="E505" s="25"/>
      <c r="F50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05" s="289">
        <v>45278</v>
      </c>
      <c r="H505" s="26" t="s">
        <v>250</v>
      </c>
      <c r="I505" s="289">
        <v>45267</v>
      </c>
      <c r="J505" s="35">
        <v>1863</v>
      </c>
      <c r="K505" s="21">
        <v>430000</v>
      </c>
      <c r="L505" s="21"/>
      <c r="M505" s="22">
        <f>(PROVEEDORES[[#This Row],[SUBTOTAL]]-PROVEEDORES[[#This Row],[descuento sobre subtotal]])*VLOOKUP(PROVEEDORES[[#This Row],[PROVEEDOR]],TERCEROS_INFO[#All],3,FALSE)</f>
        <v>0</v>
      </c>
      <c r="N505" s="23"/>
      <c r="O505" s="22">
        <f>+PROVEEDORES[[#This Row],[Descuento sobre subtotal %]]*(PROVEEDORES[[#This Row],[SUBTOTAL]]-PROVEEDORES[[#This Row],[descuento sobre subtotal]])</f>
        <v>0</v>
      </c>
      <c r="P505" s="72">
        <f>+IF(PROVEEDORES[[#This Row],[SUBTOTAL]]&lt;PROVEEDORES[[#This Row],[base retencion]],0,PROVEEDORES[[#This Row],[retención aplicada]])</f>
        <v>0</v>
      </c>
      <c r="Q505" s="22">
        <f>+PROVEEDORES[[#This Row],[Rete Fuente %]]*(PROVEEDORES[[#This Row],[SUBTOTAL]]-PROVEEDORES[[#This Row],[descuento sobre subtotal]])</f>
        <v>0</v>
      </c>
      <c r="R505" s="21">
        <f>+PROVEEDORES[[#This Row],[SUBTOTAL]]+PROVEEDORES[[#This Row],[IVA 19%]]-PROVEEDORES[[#This Row],[descuento sobre subtotal]]-PROVEEDORES[[#This Row],[Descuento sobre subtotal $2]]-PROVEEDORES[[#This Row],[Rete Fuente $]]</f>
        <v>430000</v>
      </c>
      <c r="S50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1">
        <f ca="1">IF(PROVEEDORES[[#This Row],[FECHA DE PAGO]]=0,TODAY()-PROVEEDORES[[#This Row],[FECHA DE FACTURACIÓN]]-PROVEEDORES[[#This Row],[PLAZO Días]],0)</f>
        <v>0</v>
      </c>
      <c r="U505" s="97">
        <f>+VLOOKUP(PROVEEDORES[[#This Row],[PROVEEDOR]],Terceros!$A:$D,4,FALSE)</f>
        <v>0</v>
      </c>
      <c r="V505" s="98">
        <f>+YEAR(PROVEEDORES[[#This Row],[FECHA DE FACTURACIÓN]])</f>
        <v>2023</v>
      </c>
      <c r="W505" s="98">
        <f>+MATCH(PROVEEDORES[[#This Row],[año facturado]],Retenciones!$1:$1,0)</f>
        <v>6</v>
      </c>
      <c r="X505" s="99">
        <f>+VLOOKUP(PROVEEDORES[[#This Row],[ID RETENCION]],Retenciones!$A$1:$O$25,PROVEEDORES[[#This Row],[indicador de columna]],FALSE)</f>
        <v>0</v>
      </c>
      <c r="Y505" s="100">
        <f>+VLOOKUP(PROVEEDORES[[#This Row],[ID RETENCION]],Retenciones!$A$1:$O$25,2,FALSE)</f>
        <v>0</v>
      </c>
      <c r="Z505" s="103" t="b">
        <f>OR(COUNTIF(PROVEEDORES[[#This Row],[PROVEEDOR]],"*"&amp;'Palabra no opera'!$A$2&amp;"*"))</f>
        <v>0</v>
      </c>
    </row>
    <row r="506" spans="1:26" ht="22.35" customHeight="1" x14ac:dyDescent="0.25">
      <c r="A506" s="65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60</v>
      </c>
      <c r="D506" s="25">
        <f>+SUMIFS(PROVEEDORES[Total],PROVEEDORES[PROVEEDOR],PROVEEDORES[[#This Row],[PROVEEDOR]],PROVEEDORES[FECHA DE PAGO],"")</f>
        <v>3708614</v>
      </c>
      <c r="E506" s="25"/>
      <c r="F50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06" s="26" t="s">
        <v>250</v>
      </c>
      <c r="I506" s="289">
        <v>45282</v>
      </c>
      <c r="J506" s="35">
        <v>1873</v>
      </c>
      <c r="K506" s="21">
        <v>395600</v>
      </c>
      <c r="L506" s="21"/>
      <c r="M506" s="22">
        <f>(PROVEEDORES[[#This Row],[SUBTOTAL]]-PROVEEDORES[[#This Row],[descuento sobre subtotal]])*VLOOKUP(PROVEEDORES[[#This Row],[PROVEEDOR]],TERCEROS_INFO[#All],3,FALSE)</f>
        <v>0</v>
      </c>
      <c r="N506" s="23"/>
      <c r="O506" s="22">
        <f>+PROVEEDORES[[#This Row],[Descuento sobre subtotal %]]*(PROVEEDORES[[#This Row],[SUBTOTAL]]-PROVEEDORES[[#This Row],[descuento sobre subtotal]])</f>
        <v>0</v>
      </c>
      <c r="P506" s="72">
        <f>+IF(PROVEEDORES[[#This Row],[SUBTOTAL]]&lt;PROVEEDORES[[#This Row],[base retencion]],0,PROVEEDORES[[#This Row],[retención aplicada]])</f>
        <v>0</v>
      </c>
      <c r="Q506" s="22">
        <f>+PROVEEDORES[[#This Row],[Rete Fuente %]]*(PROVEEDORES[[#This Row],[SUBTOTAL]]-PROVEEDORES[[#This Row],[descuento sobre subtotal]])</f>
        <v>0</v>
      </c>
      <c r="R506" s="21">
        <f>+PROVEEDORES[[#This Row],[SUBTOTAL]]+PROVEEDORES[[#This Row],[IVA 19%]]-PROVEEDORES[[#This Row],[descuento sobre subtotal]]-PROVEEDORES[[#This Row],[Descuento sobre subtotal $2]]-PROVEEDORES[[#This Row],[Rete Fuente $]]</f>
        <v>395600</v>
      </c>
      <c r="S506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06" s="61">
        <f ca="1">IF(PROVEEDORES[[#This Row],[FECHA DE PAGO]]=0,TODAY()-PROVEEDORES[[#This Row],[FECHA DE FACTURACIÓN]]-PROVEEDORES[[#This Row],[PLAZO Días]],0)</f>
        <v>-14</v>
      </c>
      <c r="U506" s="97">
        <f>+VLOOKUP(PROVEEDORES[[#This Row],[PROVEEDOR]],Terceros!$A:$D,4,FALSE)</f>
        <v>0</v>
      </c>
      <c r="V506" s="98">
        <f>+YEAR(PROVEEDORES[[#This Row],[FECHA DE FACTURACIÓN]])</f>
        <v>2023</v>
      </c>
      <c r="W506" s="98">
        <f>+MATCH(PROVEEDORES[[#This Row],[año facturado]],Retenciones!$1:$1,0)</f>
        <v>6</v>
      </c>
      <c r="X506" s="99">
        <f>+VLOOKUP(PROVEEDORES[[#This Row],[ID RETENCION]],Retenciones!$A$1:$O$25,PROVEEDORES[[#This Row],[indicador de columna]],FALSE)</f>
        <v>0</v>
      </c>
      <c r="Y506" s="100">
        <f>+VLOOKUP(PROVEEDORES[[#This Row],[ID RETENCION]],Retenciones!$A$1:$O$25,2,FALSE)</f>
        <v>0</v>
      </c>
      <c r="Z506" s="103" t="b">
        <f>OR(COUNTIF(PROVEEDORES[[#This Row],[PROVEEDOR]],"*"&amp;'Palabra no opera'!$A$2&amp;"*"))</f>
        <v>0</v>
      </c>
    </row>
    <row r="507" spans="1:26" ht="22.35" customHeight="1" x14ac:dyDescent="0.25">
      <c r="A507" s="304" t="str">
        <f>+IF(PROVEEDORES[[#This Row],[FECHA DE PAGO]]=PROVEEDORES[[#This Row],[FECHA DE FACTURACIÓN]],"DE CONTADO","CRÉDITO")</f>
        <v>CRÉDITO</v>
      </c>
      <c r="B507" s="38" t="b">
        <f>+IF((PROVEEDORES[[#This Row],[FECHA DE PAGO]]-PROVEEDORES[[#This Row],[FECHA DE FACTURACIÓN]])&gt;PROVEEDORES[[#This Row],[PLAZO Días]],"PAGO VENCIDO")</f>
        <v>0</v>
      </c>
      <c r="C507" s="20">
        <f>+VLOOKUP(PROVEEDORES[[#This Row],[PROVEEDOR]],TERCEROS_INFO[#All],2,FALSE)</f>
        <v>60</v>
      </c>
      <c r="D507" s="25">
        <f>+SUMIFS(PROVEEDORES[Total],PROVEEDORES[PROVEEDOR],PROVEEDORES[[#This Row],[PROVEEDOR]],PROVEEDORES[FECHA DE PAGO],"")</f>
        <v>3708614</v>
      </c>
      <c r="E507" s="25"/>
      <c r="F50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07" s="26" t="s">
        <v>250</v>
      </c>
      <c r="I507" s="289">
        <v>45292</v>
      </c>
      <c r="J507" s="35">
        <v>1883</v>
      </c>
      <c r="K507" s="21">
        <v>620000</v>
      </c>
      <c r="L507" s="21"/>
      <c r="M507" s="22">
        <f>(PROVEEDORES[[#This Row],[SUBTOTAL]]-PROVEEDORES[[#This Row],[descuento sobre subtotal]])*VLOOKUP(PROVEEDORES[[#This Row],[PROVEEDOR]],TERCEROS_INFO[#All],3,FALSE)</f>
        <v>0</v>
      </c>
      <c r="N507" s="23"/>
      <c r="O507" s="22">
        <f>+PROVEEDORES[[#This Row],[Descuento sobre subtotal %]]*(PROVEEDORES[[#This Row],[SUBTOTAL]]-PROVEEDORES[[#This Row],[descuento sobre subtotal]])</f>
        <v>0</v>
      </c>
      <c r="P507" s="72">
        <f>+IF(PROVEEDORES[[#This Row],[SUBTOTAL]]&lt;PROVEEDORES[[#This Row],[base retencion]],0,PROVEEDORES[[#This Row],[retención aplicada]])</f>
        <v>0</v>
      </c>
      <c r="Q507" s="22">
        <f>+PROVEEDORES[[#This Row],[Rete Fuente %]]*(PROVEEDORES[[#This Row],[SUBTOTAL]]-PROVEEDORES[[#This Row],[descuento sobre subtotal]])</f>
        <v>0</v>
      </c>
      <c r="R507" s="21">
        <f>+PROVEEDORES[[#This Row],[SUBTOTAL]]+PROVEEDORES[[#This Row],[IVA 19%]]-PROVEEDORES[[#This Row],[descuento sobre subtotal]]-PROVEEDORES[[#This Row],[Descuento sobre subtotal $2]]-PROVEEDORES[[#This Row],[Rete Fuente $]]</f>
        <v>620000</v>
      </c>
      <c r="S507" s="30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07" s="61">
        <f ca="1">IF(PROVEEDORES[[#This Row],[FECHA DE PAGO]]=0,TODAY()-PROVEEDORES[[#This Row],[FECHA DE FACTURACIÓN]]-PROVEEDORES[[#This Row],[PLAZO Días]],0)</f>
        <v>-24</v>
      </c>
      <c r="U507" s="97">
        <f>+VLOOKUP(PROVEEDORES[[#This Row],[PROVEEDOR]],Terceros!$A:$D,4,FALSE)</f>
        <v>0</v>
      </c>
      <c r="V507" s="98">
        <f>+YEAR(PROVEEDORES[[#This Row],[FECHA DE FACTURACIÓN]])</f>
        <v>2024</v>
      </c>
      <c r="W507" s="98">
        <f>+MATCH(PROVEEDORES[[#This Row],[año facturado]],Retenciones!$1:$1,0)</f>
        <v>7</v>
      </c>
      <c r="X507" s="99">
        <f>+VLOOKUP(PROVEEDORES[[#This Row],[ID RETENCION]],Retenciones!$A$1:$O$25,PROVEEDORES[[#This Row],[indicador de columna]],FALSE)</f>
        <v>0</v>
      </c>
      <c r="Y507" s="100">
        <f>+VLOOKUP(PROVEEDORES[[#This Row],[ID RETENCION]],Retenciones!$A$1:$O$25,2,FALSE)</f>
        <v>0</v>
      </c>
      <c r="Z507" s="103" t="b">
        <f>OR(COUNTIF(PROVEEDORES[[#This Row],[PROVEEDOR]],"*"&amp;'Palabra no opera'!$A$2&amp;"*"))</f>
        <v>0</v>
      </c>
    </row>
    <row r="508" spans="1:26" ht="22.35" customHeight="1" x14ac:dyDescent="0.25">
      <c r="A508" s="304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60</v>
      </c>
      <c r="D508" s="25">
        <f>+SUMIFS(PROVEEDORES[Total],PROVEEDORES[PROVEEDOR],PROVEEDORES[[#This Row],[PROVEEDOR]],PROVEEDORES[FECHA DE PAGO],"")</f>
        <v>3708614</v>
      </c>
      <c r="E508" s="25"/>
      <c r="F50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08" s="26" t="s">
        <v>250</v>
      </c>
      <c r="I508" s="289">
        <v>45292</v>
      </c>
      <c r="J508" s="35">
        <v>1884</v>
      </c>
      <c r="K508" s="21">
        <v>224000</v>
      </c>
      <c r="L508" s="21"/>
      <c r="M508" s="22">
        <f>(PROVEEDORES[[#This Row],[SUBTOTAL]]-PROVEEDORES[[#This Row],[descuento sobre subtotal]])*VLOOKUP(PROVEEDORES[[#This Row],[PROVEEDOR]],TERCEROS_INFO[#All],3,FALSE)</f>
        <v>0</v>
      </c>
      <c r="N508" s="23"/>
      <c r="O508" s="22">
        <f>+PROVEEDORES[[#This Row],[Descuento sobre subtotal %]]*(PROVEEDORES[[#This Row],[SUBTOTAL]]-PROVEEDORES[[#This Row],[descuento sobre subtotal]])</f>
        <v>0</v>
      </c>
      <c r="P508" s="72">
        <f>+IF(PROVEEDORES[[#This Row],[SUBTOTAL]]&lt;PROVEEDORES[[#This Row],[base retencion]],0,PROVEEDORES[[#This Row],[retención aplicada]])</f>
        <v>0</v>
      </c>
      <c r="Q508" s="22">
        <f>+PROVEEDORES[[#This Row],[Rete Fuente %]]*(PROVEEDORES[[#This Row],[SUBTOTAL]]-PROVEEDORES[[#This Row],[descuento sobre subtotal]])</f>
        <v>0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508" s="30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08" s="61">
        <f ca="1">IF(PROVEEDORES[[#This Row],[FECHA DE PAGO]]=0,TODAY()-PROVEEDORES[[#This Row],[FECHA DE FACTURACIÓN]]-PROVEEDORES[[#This Row],[PLAZO Días]],0)</f>
        <v>-24</v>
      </c>
      <c r="U508" s="97">
        <f>+VLOOKUP(PROVEEDORES[[#This Row],[PROVEEDOR]],Terceros!$A:$D,4,FALSE)</f>
        <v>0</v>
      </c>
      <c r="V508" s="98">
        <f>+YEAR(PROVEEDORES[[#This Row],[FECHA DE FACTURACIÓN]])</f>
        <v>2024</v>
      </c>
      <c r="W508" s="98">
        <f>+MATCH(PROVEEDORES[[#This Row],[año facturado]],Retenciones!$1:$1,0)</f>
        <v>7</v>
      </c>
      <c r="X508" s="99">
        <f>+VLOOKUP(PROVEEDORES[[#This Row],[ID RETENCION]],Retenciones!$A$1:$O$25,PROVEEDORES[[#This Row],[indicador de columna]],FALSE)</f>
        <v>0</v>
      </c>
      <c r="Y508" s="100">
        <f>+VLOOKUP(PROVEEDORES[[#This Row],[ID RETENCION]],Retenciones!$A$1:$O$25,2,FALSE)</f>
        <v>0</v>
      </c>
      <c r="Z508" s="103" t="b">
        <f>OR(COUNTIF(PROVEEDORES[[#This Row],[PROVEEDOR]],"*"&amp;'Palabra no opera'!$A$2&amp;"*"))</f>
        <v>0</v>
      </c>
    </row>
    <row r="509" spans="1:26" ht="22.35" customHeight="1" x14ac:dyDescent="0.25">
      <c r="A509" s="314" t="str">
        <f>+IF(PROVEEDORES[[#This Row],[FECHA DE PAGO]]=PROVEEDORES[[#This Row],[FECHA DE FACTURACIÓN]],"DE CONTADO","CRÉDITO")</f>
        <v>CRÉDITO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60</v>
      </c>
      <c r="D509" s="25">
        <f>+SUMIFS(PROVEEDORES[Total],PROVEEDORES[PROVEEDOR],PROVEEDORES[[#This Row],[PROVEEDOR]],PROVEEDORES[FECHA DE PAGO],"")</f>
        <v>3708614</v>
      </c>
      <c r="E509" s="25"/>
      <c r="F50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09" s="26" t="s">
        <v>250</v>
      </c>
      <c r="I509" s="289">
        <v>45311</v>
      </c>
      <c r="J509" s="35" t="s">
        <v>1523</v>
      </c>
      <c r="K509" s="21">
        <v>499264</v>
      </c>
      <c r="L509" s="21"/>
      <c r="M509" s="22">
        <f>(PROVEEDORES[[#This Row],[SUBTOTAL]]-PROVEEDORES[[#This Row],[descuento sobre subtotal]])*VLOOKUP(PROVEEDORES[[#This Row],[PROVEEDOR]],TERCEROS_INFO[#All],3,FALSE)</f>
        <v>0</v>
      </c>
      <c r="N509" s="23"/>
      <c r="O509" s="22">
        <f>+PROVEEDORES[[#This Row],[Descuento sobre subtotal %]]*(PROVEEDORES[[#This Row],[SUBTOTAL]]-PROVEEDORES[[#This Row],[descuento sobre subtotal]])</f>
        <v>0</v>
      </c>
      <c r="P509" s="72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499264</v>
      </c>
      <c r="S509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09" s="61">
        <f ca="1">IF(PROVEEDORES[[#This Row],[FECHA DE PAGO]]=0,TODAY()-PROVEEDORES[[#This Row],[FECHA DE FACTURACIÓN]]-PROVEEDORES[[#This Row],[PLAZO Días]],0)</f>
        <v>-43</v>
      </c>
      <c r="U509" s="97">
        <f>+VLOOKUP(PROVEEDORES[[#This Row],[PROVEEDOR]],Terceros!$A:$D,4,FALSE)</f>
        <v>0</v>
      </c>
      <c r="V509" s="98">
        <f>+YEAR(PROVEEDORES[[#This Row],[FECHA DE FACTURACIÓN]])</f>
        <v>2024</v>
      </c>
      <c r="W509" s="98">
        <f>+MATCH(PROVEEDORES[[#This Row],[año facturado]],Retenciones!$1:$1,0)</f>
        <v>7</v>
      </c>
      <c r="X509" s="99">
        <f>+VLOOKUP(PROVEEDORES[[#This Row],[ID RETENCION]],Retenciones!$A$1:$O$25,PROVEEDORES[[#This Row],[indicador de columna]],FALSE)</f>
        <v>0</v>
      </c>
      <c r="Y509" s="100">
        <f>+VLOOKUP(PROVEEDORES[[#This Row],[ID RETENCION]],Retenciones!$A$1:$O$25,2,FALSE)</f>
        <v>0</v>
      </c>
      <c r="Z509" s="103" t="b">
        <f>OR(COUNTIF(PROVEEDORES[[#This Row],[PROVEEDOR]],"*"&amp;'Palabra no opera'!$A$2&amp;"*"))</f>
        <v>0</v>
      </c>
    </row>
    <row r="510" spans="1:26" ht="22.35" customHeight="1" x14ac:dyDescent="0.25">
      <c r="A510" s="314" t="str">
        <f>+IF(PROVEEDORES[[#This Row],[FECHA DE PAGO]]=PROVEEDORES[[#This Row],[FECHA DE FACTURACIÓN]],"DE CONTADO","CRÉDITO")</f>
        <v>CRÉDITO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60</v>
      </c>
      <c r="D510" s="25">
        <f>+SUMIFS(PROVEEDORES[Total],PROVEEDORES[PROVEEDOR],PROVEEDORES[[#This Row],[PROVEEDOR]],PROVEEDORES[FECHA DE PAGO],"")</f>
        <v>3708614</v>
      </c>
      <c r="E510" s="25"/>
      <c r="F51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10" s="26" t="s">
        <v>250</v>
      </c>
      <c r="I510" s="289">
        <v>45311</v>
      </c>
      <c r="J510" s="35">
        <v>1892</v>
      </c>
      <c r="K510" s="21">
        <v>1441750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72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1441750</v>
      </c>
      <c r="S510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10" s="61">
        <f ca="1">IF(PROVEEDORES[[#This Row],[FECHA DE PAGO]]=0,TODAY()-PROVEEDORES[[#This Row],[FECHA DE FACTURACIÓN]]-PROVEEDORES[[#This Row],[PLAZO Días]],0)</f>
        <v>-43</v>
      </c>
      <c r="U510" s="97">
        <f>+VLOOKUP(PROVEEDORES[[#This Row],[PROVEEDOR]],Terceros!$A:$D,4,FALSE)</f>
        <v>0</v>
      </c>
      <c r="V510" s="98">
        <f>+YEAR(PROVEEDORES[[#This Row],[FECHA DE FACTURACIÓN]])</f>
        <v>2024</v>
      </c>
      <c r="W510" s="98">
        <f>+MATCH(PROVEEDORES[[#This Row],[año facturado]],Retenciones!$1:$1,0)</f>
        <v>7</v>
      </c>
      <c r="X510" s="99">
        <f>+VLOOKUP(PROVEEDORES[[#This Row],[ID RETENCION]],Retenciones!$A$1:$O$25,PROVEEDORES[[#This Row],[indicador de columna]],FALSE)</f>
        <v>0</v>
      </c>
      <c r="Y510" s="100">
        <f>+VLOOKUP(PROVEEDORES[[#This Row],[ID RETENCION]],Retenciones!$A$1:$O$25,2,FALSE)</f>
        <v>0</v>
      </c>
      <c r="Z510" s="103" t="b">
        <f>OR(COUNTIF(PROVEEDORES[[#This Row],[PROVEEDOR]],"*"&amp;'Palabra no opera'!$A$2&amp;"*"))</f>
        <v>0</v>
      </c>
    </row>
    <row r="511" spans="1:26" ht="22.35" customHeight="1" x14ac:dyDescent="0.25">
      <c r="A511" s="227" t="str">
        <f>+IF(PROVEEDORES[[#This Row],[FECHA DE PAGO]]=PROVEEDORES[[#This Row],[FECHA DE FACTURACIÓN]],"DE CONTADO","CRÉDITO")</f>
        <v>CRÉDITO</v>
      </c>
      <c r="B511" s="38" t="b">
        <f>+IF((PROVEEDORES[[#This Row],[FECHA DE PAGO]]-PROVEEDORES[[#This Row],[FECHA DE FACTURACIÓN]])&gt;PROVEEDORES[[#This Row],[PLAZO Días]],"PAGO VENCIDO")</f>
        <v>0</v>
      </c>
      <c r="C511" s="20">
        <f>+VLOOKUP(PROVEEDORES[[#This Row],[PROVEEDOR]],TERCEROS_INFO[#All],2,FALSE)</f>
        <v>45</v>
      </c>
      <c r="D511" s="25">
        <f>+SUMIFS(PROVEEDORES[Total],PROVEEDORES[PROVEEDOR],PROVEEDORES[[#This Row],[PROVEEDOR]],PROVEEDORES[FECHA DE PAGO],"")</f>
        <v>0</v>
      </c>
      <c r="E511" s="25"/>
      <c r="F51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1" s="289">
        <v>45205</v>
      </c>
      <c r="H511" s="26" t="s">
        <v>257</v>
      </c>
      <c r="I511" s="289">
        <v>45169</v>
      </c>
      <c r="J511" s="35">
        <v>1772</v>
      </c>
      <c r="K511" s="21">
        <v>5107410</v>
      </c>
      <c r="L511" s="21"/>
      <c r="M511" s="22">
        <f>(PROVEEDORES[[#This Row],[SUBTOTAL]]-PROVEEDORES[[#This Row],[descuento sobre subtotal]])*VLOOKUP(PROVEEDORES[[#This Row],[PROVEEDOR]],TERCEROS_INFO[#All],3,FALSE)</f>
        <v>0</v>
      </c>
      <c r="N511" s="23"/>
      <c r="O511" s="22">
        <f>+PROVEEDORES[[#This Row],[Descuento sobre subtotal %]]*(PROVEEDORES[[#This Row],[SUBTOTAL]]-PROVEEDORES[[#This Row],[descuento sobre subtotal]])</f>
        <v>0</v>
      </c>
      <c r="P511" s="72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5107410</v>
      </c>
      <c r="S511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1">
        <f ca="1">IF(PROVEEDORES[[#This Row],[FECHA DE PAGO]]=0,TODAY()-PROVEEDORES[[#This Row],[FECHA DE FACTURACIÓN]]-PROVEEDORES[[#This Row],[PLAZO Días]],0)</f>
        <v>0</v>
      </c>
      <c r="U511" s="97">
        <f>+VLOOKUP(PROVEEDORES[[#This Row],[PROVEEDOR]],Terceros!$A:$D,4,FALSE)</f>
        <v>0</v>
      </c>
      <c r="V511" s="98">
        <f>+YEAR(PROVEEDORES[[#This Row],[FECHA DE FACTURACIÓN]])</f>
        <v>2023</v>
      </c>
      <c r="W511" s="98">
        <f>+MATCH(PROVEEDORES[[#This Row],[año facturado]],Retenciones!$1:$1,0)</f>
        <v>6</v>
      </c>
      <c r="X511" s="99">
        <f>+VLOOKUP(PROVEEDORES[[#This Row],[ID RETENCION]],Retenciones!$A$1:$O$25,PROVEEDORES[[#This Row],[indicador de columna]],FALSE)</f>
        <v>0</v>
      </c>
      <c r="Y511" s="100">
        <f>+VLOOKUP(PROVEEDORES[[#This Row],[ID RETENCION]],Retenciones!$A$1:$O$25,2,FALSE)</f>
        <v>0</v>
      </c>
      <c r="Z511" s="103" t="b">
        <f>OR(COUNTIF(PROVEEDORES[[#This Row],[PROVEEDOR]],"*"&amp;'Palabra no opera'!$A$2&amp;"*"))</f>
        <v>0</v>
      </c>
    </row>
    <row r="512" spans="1:26" ht="22.35" customHeight="1" x14ac:dyDescent="0.25">
      <c r="A512" s="65" t="str">
        <f>+IF(PROVEEDORES[[#This Row],[FECHA DE PAGO]]=PROVEEDORES[[#This Row],[FECHA DE FACTURACIÓN]],"DE CONTADO","CRÉDITO")</f>
        <v>CRÉDITO</v>
      </c>
      <c r="B512" s="38" t="b">
        <f>+IF((PROVEEDORES[[#This Row],[FECHA DE PAGO]]-PROVEEDORES[[#This Row],[FECHA DE FACTURACIÓN]])&gt;PROVEEDORES[[#This Row],[PLAZO Días]],"PAGO VENCIDO")</f>
        <v>0</v>
      </c>
      <c r="C512" s="20">
        <f>+VLOOKUP(PROVEEDORES[[#This Row],[PROVEEDOR]],TERCEROS_INFO[#All],2,FALSE)</f>
        <v>45</v>
      </c>
      <c r="D512" s="25">
        <f>+SUMIFS(PROVEEDORES[Total],PROVEEDORES[PROVEEDOR],PROVEEDORES[[#This Row],[PROVEEDOR]],PROVEEDORES[FECHA DE PAGO],"")</f>
        <v>3074500</v>
      </c>
      <c r="E512" s="25"/>
      <c r="F51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2" s="289">
        <v>44992</v>
      </c>
      <c r="H512" s="26" t="s">
        <v>252</v>
      </c>
      <c r="I512" s="289">
        <v>44949</v>
      </c>
      <c r="J512" s="35">
        <v>1589</v>
      </c>
      <c r="K512" s="21">
        <v>2299080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72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2299080</v>
      </c>
      <c r="S5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1">
        <f ca="1">IF(PROVEEDORES[[#This Row],[FECHA DE PAGO]]=0,TODAY()-PROVEEDORES[[#This Row],[FECHA DE FACTURACIÓN]]-PROVEEDORES[[#This Row],[PLAZO Días]],0)</f>
        <v>0</v>
      </c>
      <c r="U512" s="97">
        <f>+VLOOKUP(PROVEEDORES[[#This Row],[PROVEEDOR]],Terceros!$A:$D,4,FALSE)</f>
        <v>0</v>
      </c>
      <c r="V512" s="98">
        <f>+YEAR(PROVEEDORES[[#This Row],[FECHA DE FACTURACIÓN]])</f>
        <v>2023</v>
      </c>
      <c r="W512" s="98">
        <f>+MATCH(PROVEEDORES[[#This Row],[año facturado]],Retenciones!$1:$1,0)</f>
        <v>6</v>
      </c>
      <c r="X512" s="99">
        <f>+VLOOKUP(PROVEEDORES[[#This Row],[ID RETENCION]],Retenciones!$A$1:$O$25,PROVEEDORES[[#This Row],[indicador de columna]],FALSE)</f>
        <v>0</v>
      </c>
      <c r="Y512" s="100">
        <f>+VLOOKUP(PROVEEDORES[[#This Row],[ID RETENCION]],Retenciones!$A$1:$O$25,2,FALSE)</f>
        <v>0</v>
      </c>
      <c r="Z512" s="103" t="b">
        <f>OR(COUNTIF(PROVEEDORES[[#This Row],[PROVEEDOR]],"*"&amp;'Palabra no opera'!$A$2&amp;"*"))</f>
        <v>0</v>
      </c>
    </row>
    <row r="513" spans="1:26" ht="22.35" customHeight="1" x14ac:dyDescent="0.25">
      <c r="A513" s="65" t="str">
        <f>+IF(PROVEEDORES[[#This Row],[FECHA DE PAGO]]=PROVEEDORES[[#This Row],[FECHA DE FACTURACIÓN]],"DE CONTADO","CRÉDITO")</f>
        <v>CRÉDITO</v>
      </c>
      <c r="B513" s="38" t="b">
        <f>+IF((PROVEEDORES[[#This Row],[FECHA DE PAGO]]-PROVEEDORES[[#This Row],[FECHA DE FACTURACIÓN]])&gt;PROVEEDORES[[#This Row],[PLAZO Días]],"PAGO VENCIDO")</f>
        <v>0</v>
      </c>
      <c r="C513" s="20">
        <f>+VLOOKUP(PROVEEDORES[[#This Row],[PROVEEDOR]],TERCEROS_INFO[#All],2,FALSE)</f>
        <v>45</v>
      </c>
      <c r="D513" s="25">
        <f>+SUMIFS(PROVEEDORES[Total],PROVEEDORES[PROVEEDOR],PROVEEDORES[[#This Row],[PROVEEDOR]],PROVEEDORES[FECHA DE PAGO],"")</f>
        <v>3074500</v>
      </c>
      <c r="E513" s="25"/>
      <c r="F51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3" s="289">
        <v>45026</v>
      </c>
      <c r="H513" s="26" t="s">
        <v>252</v>
      </c>
      <c r="I513" s="289">
        <v>44999</v>
      </c>
      <c r="J513" s="35">
        <v>1629</v>
      </c>
      <c r="K513" s="21">
        <v>3635600</v>
      </c>
      <c r="L513" s="21"/>
      <c r="M513" s="22">
        <f>(PROVEEDORES[[#This Row],[SUBTOTAL]]-PROVEEDORES[[#This Row],[descuento sobre subtotal]])*VLOOKUP(PROVEEDORES[[#This Row],[PROVEEDOR]],TERCEROS_INFO[#All],3,FALSE)</f>
        <v>0</v>
      </c>
      <c r="N513" s="23"/>
      <c r="O513" s="22">
        <f>+PROVEEDORES[[#This Row],[Descuento sobre subtotal %]]*(PROVEEDORES[[#This Row],[SUBTOTAL]]-PROVEEDORES[[#This Row],[descuento sobre subtotal]])</f>
        <v>0</v>
      </c>
      <c r="P513" s="72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3635600</v>
      </c>
      <c r="S5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1">
        <f ca="1">IF(PROVEEDORES[[#This Row],[FECHA DE PAGO]]=0,TODAY()-PROVEEDORES[[#This Row],[FECHA DE FACTURACIÓN]]-PROVEEDORES[[#This Row],[PLAZO Días]],0)</f>
        <v>0</v>
      </c>
      <c r="U513" s="97">
        <f>+VLOOKUP(PROVEEDORES[[#This Row],[PROVEEDOR]],Terceros!$A:$D,4,FALSE)</f>
        <v>0</v>
      </c>
      <c r="V513" s="98">
        <f>+YEAR(PROVEEDORES[[#This Row],[FECHA DE FACTURACIÓN]])</f>
        <v>2023</v>
      </c>
      <c r="W513" s="98">
        <f>+MATCH(PROVEEDORES[[#This Row],[año facturado]],Retenciones!$1:$1,0)</f>
        <v>6</v>
      </c>
      <c r="X513" s="99">
        <f>+VLOOKUP(PROVEEDORES[[#This Row],[ID RETENCION]],Retenciones!$A$1:$O$25,PROVEEDORES[[#This Row],[indicador de columna]],FALSE)</f>
        <v>0</v>
      </c>
      <c r="Y513" s="100">
        <f>+VLOOKUP(PROVEEDORES[[#This Row],[ID RETENCION]],Retenciones!$A$1:$O$25,2,FALSE)</f>
        <v>0</v>
      </c>
      <c r="Z513" s="103" t="b">
        <f>OR(COUNTIF(PROVEEDORES[[#This Row],[PROVEEDOR]],"*"&amp;'Palabra no opera'!$A$2&amp;"*"))</f>
        <v>0</v>
      </c>
    </row>
    <row r="514" spans="1:26" ht="22.35" customHeight="1" x14ac:dyDescent="0.25">
      <c r="A514" s="65" t="str">
        <f>+IF(PROVEEDORES[[#This Row],[FECHA DE PAGO]]=PROVEEDORES[[#This Row],[FECHA DE FACTURACIÓN]],"DE CONTADO","CRÉDITO")</f>
        <v>CRÉDITO</v>
      </c>
      <c r="B514" s="38" t="b">
        <f>+IF((PROVEEDORES[[#This Row],[FECHA DE PAGO]]-PROVEEDORES[[#This Row],[FECHA DE FACTURACIÓN]])&gt;PROVEEDORES[[#This Row],[PLAZO Días]],"PAGO VENCIDO")</f>
        <v>0</v>
      </c>
      <c r="C514" s="20">
        <f>+VLOOKUP(PROVEEDORES[[#This Row],[PROVEEDOR]],TERCEROS_INFO[#All],2,FALSE)</f>
        <v>45</v>
      </c>
      <c r="D514" s="25">
        <f>+SUMIFS(PROVEEDORES[Total],PROVEEDORES[PROVEEDOR],PROVEEDORES[[#This Row],[PROVEEDOR]],PROVEEDORES[FECHA DE PAGO],"")</f>
        <v>3074500</v>
      </c>
      <c r="E514" s="25"/>
      <c r="F51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4" s="289">
        <v>45051</v>
      </c>
      <c r="H514" s="26" t="s">
        <v>252</v>
      </c>
      <c r="I514" s="289">
        <v>45017</v>
      </c>
      <c r="J514" s="35">
        <v>1647</v>
      </c>
      <c r="K514" s="21">
        <v>1853680</v>
      </c>
      <c r="L514" s="21"/>
      <c r="M514" s="22">
        <f>(PROVEEDORES[[#This Row],[SUBTOTAL]]-PROVEEDORES[[#This Row],[descuento sobre subtotal]])*VLOOKUP(PROVEEDORES[[#This Row],[PROVEEDOR]],TERCEROS_INFO[#All],3,FALSE)</f>
        <v>0</v>
      </c>
      <c r="N514" s="23"/>
      <c r="O514" s="22">
        <f>+PROVEEDORES[[#This Row],[Descuento sobre subtotal %]]*(PROVEEDORES[[#This Row],[SUBTOTAL]]-PROVEEDORES[[#This Row],[descuento sobre subtotal]])</f>
        <v>0</v>
      </c>
      <c r="P514" s="72">
        <f>+IF(PROVEEDORES[[#This Row],[SUBTOTAL]]&lt;PROVEEDORES[[#This Row],[base retencion]],0,PROVEEDORES[[#This Row],[retención aplicada]])</f>
        <v>0</v>
      </c>
      <c r="Q514" s="22">
        <f>+PROVEEDORES[[#This Row],[Rete Fuente %]]*(PROVEEDORES[[#This Row],[SUBTOTAL]]-PROVEEDORES[[#This Row],[descuento sobre subtotal]])</f>
        <v>0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1853680</v>
      </c>
      <c r="S51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1">
        <f ca="1">IF(PROVEEDORES[[#This Row],[FECHA DE PAGO]]=0,TODAY()-PROVEEDORES[[#This Row],[FECHA DE FACTURACIÓN]]-PROVEEDORES[[#This Row],[PLAZO Días]],0)</f>
        <v>0</v>
      </c>
      <c r="U514" s="97">
        <f>+VLOOKUP(PROVEEDORES[[#This Row],[PROVEEDOR]],Terceros!$A:$D,4,FALSE)</f>
        <v>0</v>
      </c>
      <c r="V514" s="98">
        <f>+YEAR(PROVEEDORES[[#This Row],[FECHA DE FACTURACIÓN]])</f>
        <v>2023</v>
      </c>
      <c r="W514" s="98">
        <f>+MATCH(PROVEEDORES[[#This Row],[año facturado]],Retenciones!$1:$1,0)</f>
        <v>6</v>
      </c>
      <c r="X514" s="99">
        <f>+VLOOKUP(PROVEEDORES[[#This Row],[ID RETENCION]],Retenciones!$A$1:$O$25,PROVEEDORES[[#This Row],[indicador de columna]],FALSE)</f>
        <v>0</v>
      </c>
      <c r="Y514" s="100">
        <f>+VLOOKUP(PROVEEDORES[[#This Row],[ID RETENCION]],Retenciones!$A$1:$O$25,2,FALSE)</f>
        <v>0</v>
      </c>
      <c r="Z514" s="103" t="b">
        <f>OR(COUNTIF(PROVEEDORES[[#This Row],[PROVEEDOR]],"*"&amp;'Palabra no opera'!$A$2&amp;"*"))</f>
        <v>0</v>
      </c>
    </row>
    <row r="515" spans="1:26" ht="22.35" customHeight="1" x14ac:dyDescent="0.25">
      <c r="A515" s="192" t="str">
        <f>+IF(PROVEEDORES[[#This Row],[FECHA DE PAGO]]=PROVEEDORES[[#This Row],[FECHA DE FACTURACIÓN]],"DE CONTADO","CRÉDITO")</f>
        <v>CRÉDITO</v>
      </c>
      <c r="B515" s="38" t="b">
        <f>+IF((PROVEEDORES[[#This Row],[FECHA DE PAGO]]-PROVEEDORES[[#This Row],[FECHA DE FACTURACIÓN]])&gt;PROVEEDORES[[#This Row],[PLAZO Días]],"PAGO VENCIDO")</f>
        <v>0</v>
      </c>
      <c r="C515" s="20">
        <f>+VLOOKUP(PROVEEDORES[[#This Row],[PROVEEDOR]],TERCEROS_INFO[#All],2,FALSE)</f>
        <v>45</v>
      </c>
      <c r="D515" s="25">
        <f>+SUMIFS(PROVEEDORES[Total],PROVEEDORES[PROVEEDOR],PROVEEDORES[[#This Row],[PROVEEDOR]],PROVEEDORES[FECHA DE PAGO],"")</f>
        <v>3074500</v>
      </c>
      <c r="E515" s="25"/>
      <c r="F51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5" s="289">
        <v>45051</v>
      </c>
      <c r="H515" s="26" t="s">
        <v>252</v>
      </c>
      <c r="I515" s="289">
        <v>45044</v>
      </c>
      <c r="J515" s="35">
        <v>1666</v>
      </c>
      <c r="K515" s="21">
        <v>3125500</v>
      </c>
      <c r="L515" s="21"/>
      <c r="M515" s="22">
        <f>(PROVEEDORES[[#This Row],[SUBTOTAL]]-PROVEEDORES[[#This Row],[descuento sobre subtotal]])*VLOOKUP(PROVEEDORES[[#This Row],[PROVEEDOR]],TERCEROS_INFO[#All],3,FALSE)</f>
        <v>0</v>
      </c>
      <c r="N515" s="23"/>
      <c r="O515" s="22">
        <f>+PROVEEDORES[[#This Row],[Descuento sobre subtotal %]]*(PROVEEDORES[[#This Row],[SUBTOTAL]]-PROVEEDORES[[#This Row],[descuento sobre subtotal]])</f>
        <v>0</v>
      </c>
      <c r="P515" s="72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3125500</v>
      </c>
      <c r="S51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1">
        <f ca="1">IF(PROVEEDORES[[#This Row],[FECHA DE PAGO]]=0,TODAY()-PROVEEDORES[[#This Row],[FECHA DE FACTURACIÓN]]-PROVEEDORES[[#This Row],[PLAZO Días]],0)</f>
        <v>0</v>
      </c>
      <c r="U515" s="97">
        <f>+VLOOKUP(PROVEEDORES[[#This Row],[PROVEEDOR]],Terceros!$A:$D,4,FALSE)</f>
        <v>0</v>
      </c>
      <c r="V515" s="98">
        <f>+YEAR(PROVEEDORES[[#This Row],[FECHA DE FACTURACIÓN]])</f>
        <v>2023</v>
      </c>
      <c r="W515" s="98">
        <f>+MATCH(PROVEEDORES[[#This Row],[año facturado]],Retenciones!$1:$1,0)</f>
        <v>6</v>
      </c>
      <c r="X515" s="99">
        <f>+VLOOKUP(PROVEEDORES[[#This Row],[ID RETENCION]],Retenciones!$A$1:$O$25,PROVEEDORES[[#This Row],[indicador de columna]],FALSE)</f>
        <v>0</v>
      </c>
      <c r="Y515" s="100">
        <f>+VLOOKUP(PROVEEDORES[[#This Row],[ID RETENCION]],Retenciones!$A$1:$O$25,2,FALSE)</f>
        <v>0</v>
      </c>
      <c r="Z515" s="103" t="b">
        <f>OR(COUNTIF(PROVEEDORES[[#This Row],[PROVEEDOR]],"*"&amp;'Palabra no opera'!$A$2&amp;"*"))</f>
        <v>0</v>
      </c>
    </row>
    <row r="516" spans="1:26" ht="22.35" customHeight="1" x14ac:dyDescent="0.25">
      <c r="A516" s="192" t="str">
        <f>+IF(PROVEEDORES[[#This Row],[FECHA DE PAGO]]=PROVEEDORES[[#This Row],[FECHA DE FACTURACIÓN]],"DE CONTADO","CRÉDITO")</f>
        <v>CRÉDITO</v>
      </c>
      <c r="B516" s="38" t="b">
        <f>+IF((PROVEEDORES[[#This Row],[FECHA DE PAGO]]-PROVEEDORES[[#This Row],[FECHA DE FACTURACIÓN]])&gt;PROVEEDORES[[#This Row],[PLAZO Días]],"PAGO VENCIDO")</f>
        <v>0</v>
      </c>
      <c r="C516" s="20">
        <f>+VLOOKUP(PROVEEDORES[[#This Row],[PROVEEDOR]],TERCEROS_INFO[#All],2,FALSE)</f>
        <v>45</v>
      </c>
      <c r="D516" s="25">
        <f>+SUMIFS(PROVEEDORES[Total],PROVEEDORES[PROVEEDOR],PROVEEDORES[[#This Row],[PROVEEDOR]],PROVEEDORES[FECHA DE PAGO],"")</f>
        <v>3074500</v>
      </c>
      <c r="E516" s="25"/>
      <c r="F51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6" s="289">
        <v>45051</v>
      </c>
      <c r="H516" s="26" t="s">
        <v>252</v>
      </c>
      <c r="I516" s="289">
        <v>45046</v>
      </c>
      <c r="J516" s="35">
        <v>1668</v>
      </c>
      <c r="K516" s="21">
        <v>1880000</v>
      </c>
      <c r="L516" s="21"/>
      <c r="M516" s="22">
        <f>(PROVEEDORES[[#This Row],[SUBTOTAL]]-PROVEEDORES[[#This Row],[descuento sobre subtotal]])*VLOOKUP(PROVEEDORES[[#This Row],[PROVEEDOR]],TERCEROS_INFO[#All],3,FALSE)</f>
        <v>0</v>
      </c>
      <c r="N516" s="23"/>
      <c r="O516" s="22">
        <f>+PROVEEDORES[[#This Row],[Descuento sobre subtotal %]]*(PROVEEDORES[[#This Row],[SUBTOTAL]]-PROVEEDORES[[#This Row],[descuento sobre subtotal]])</f>
        <v>0</v>
      </c>
      <c r="P516" s="72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51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1">
        <f ca="1">IF(PROVEEDORES[[#This Row],[FECHA DE PAGO]]=0,TODAY()-PROVEEDORES[[#This Row],[FECHA DE FACTURACIÓN]]-PROVEEDORES[[#This Row],[PLAZO Días]],0)</f>
        <v>0</v>
      </c>
      <c r="U516" s="97">
        <f>+VLOOKUP(PROVEEDORES[[#This Row],[PROVEEDOR]],Terceros!$A:$D,4,FALSE)</f>
        <v>0</v>
      </c>
      <c r="V516" s="98">
        <f>+YEAR(PROVEEDORES[[#This Row],[FECHA DE FACTURACIÓN]])</f>
        <v>2023</v>
      </c>
      <c r="W516" s="98">
        <f>+MATCH(PROVEEDORES[[#This Row],[año facturado]],Retenciones!$1:$1,0)</f>
        <v>6</v>
      </c>
      <c r="X516" s="99">
        <f>+VLOOKUP(PROVEEDORES[[#This Row],[ID RETENCION]],Retenciones!$A$1:$O$25,PROVEEDORES[[#This Row],[indicador de columna]],FALSE)</f>
        <v>0</v>
      </c>
      <c r="Y516" s="100">
        <f>+VLOOKUP(PROVEEDORES[[#This Row],[ID RETENCION]],Retenciones!$A$1:$O$25,2,FALSE)</f>
        <v>0</v>
      </c>
      <c r="Z516" s="103" t="b">
        <f>OR(COUNTIF(PROVEEDORES[[#This Row],[PROVEEDOR]],"*"&amp;'Palabra no opera'!$A$2&amp;"*"))</f>
        <v>0</v>
      </c>
    </row>
    <row r="517" spans="1:26" ht="22.35" customHeight="1" x14ac:dyDescent="0.25">
      <c r="A517" s="205" t="str">
        <f>+IF(PROVEEDORES[[#This Row],[FECHA DE PAGO]]=PROVEEDORES[[#This Row],[FECHA DE FACTURACIÓN]],"DE CONTADO","CRÉDITO")</f>
        <v>CRÉDITO</v>
      </c>
      <c r="B517" s="38" t="b">
        <f>+IF((PROVEEDORES[[#This Row],[FECHA DE PAGO]]-PROVEEDORES[[#This Row],[FECHA DE FACTURACIÓN]])&gt;PROVEEDORES[[#This Row],[PLAZO Días]],"PAGO VENCIDO")</f>
        <v>0</v>
      </c>
      <c r="C517" s="20">
        <f>+VLOOKUP(PROVEEDORES[[#This Row],[PROVEEDOR]],TERCEROS_INFO[#All],2,FALSE)</f>
        <v>45</v>
      </c>
      <c r="D517" s="25">
        <f>+SUMIFS(PROVEEDORES[Total],PROVEEDORES[PROVEEDOR],PROVEEDORES[[#This Row],[PROVEEDOR]],PROVEEDORES[FECHA DE PAGO],"")</f>
        <v>3074500</v>
      </c>
      <c r="E517" s="25"/>
      <c r="F517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7" s="289">
        <v>45124</v>
      </c>
      <c r="H517" s="26" t="s">
        <v>252</v>
      </c>
      <c r="I517" s="289">
        <v>45100</v>
      </c>
      <c r="J517" s="35">
        <v>1706</v>
      </c>
      <c r="K517" s="21">
        <v>2781390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72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2781390</v>
      </c>
      <c r="S517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1">
        <f ca="1">IF(PROVEEDORES[[#This Row],[FECHA DE PAGO]]=0,TODAY()-PROVEEDORES[[#This Row],[FECHA DE FACTURACIÓN]]-PROVEEDORES[[#This Row],[PLAZO Días]],0)</f>
        <v>0</v>
      </c>
      <c r="U517" s="97">
        <f>+VLOOKUP(PROVEEDORES[[#This Row],[PROVEEDOR]],Terceros!$A:$D,4,FALSE)</f>
        <v>0</v>
      </c>
      <c r="V517" s="98">
        <f>+YEAR(PROVEEDORES[[#This Row],[FECHA DE FACTURACIÓN]])</f>
        <v>2023</v>
      </c>
      <c r="W517" s="98">
        <f>+MATCH(PROVEEDORES[[#This Row],[año facturado]],Retenciones!$1:$1,0)</f>
        <v>6</v>
      </c>
      <c r="X517" s="99">
        <f>+VLOOKUP(PROVEEDORES[[#This Row],[ID RETENCION]],Retenciones!$A$1:$O$25,PROVEEDORES[[#This Row],[indicador de columna]],FALSE)</f>
        <v>0</v>
      </c>
      <c r="Y517" s="100">
        <f>+VLOOKUP(PROVEEDORES[[#This Row],[ID RETENCION]],Retenciones!$A$1:$O$25,2,FALSE)</f>
        <v>0</v>
      </c>
      <c r="Z517" s="103" t="b">
        <f>OR(COUNTIF(PROVEEDORES[[#This Row],[PROVEEDOR]],"*"&amp;'Palabra no opera'!$A$2&amp;"*"))</f>
        <v>0</v>
      </c>
    </row>
    <row r="518" spans="1:26" ht="22.35" customHeight="1" x14ac:dyDescent="0.25">
      <c r="A518" s="213" t="str">
        <f>+IF(PROVEEDORES[[#This Row],[FECHA DE PAGO]]=PROVEEDORES[[#This Row],[FECHA DE FACTURACIÓN]],"DE CONTADO","CRÉDITO")</f>
        <v>CRÉDITO</v>
      </c>
      <c r="B518" s="38" t="b">
        <f>+IF((PROVEEDORES[[#This Row],[FECHA DE PAGO]]-PROVEEDORES[[#This Row],[FECHA DE FACTURACIÓN]])&gt;PROVEEDORES[[#This Row],[PLAZO Días]],"PAGO VENCIDO")</f>
        <v>0</v>
      </c>
      <c r="C518" s="20">
        <f>+VLOOKUP(PROVEEDORES[[#This Row],[PROVEEDOR]],TERCEROS_INFO[#All],2,FALSE)</f>
        <v>45</v>
      </c>
      <c r="D518" s="25">
        <f>+SUMIFS(PROVEEDORES[Total],PROVEEDORES[PROVEEDOR],PROVEEDORES[[#This Row],[PROVEEDOR]],PROVEEDORES[FECHA DE PAGO],"")</f>
        <v>3074500</v>
      </c>
      <c r="E518" s="25"/>
      <c r="F518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8" s="289">
        <v>45152</v>
      </c>
      <c r="H518" s="26" t="s">
        <v>252</v>
      </c>
      <c r="I518" s="289">
        <v>45120</v>
      </c>
      <c r="J518" s="35">
        <v>1718</v>
      </c>
      <c r="K518" s="21">
        <v>2759750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72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2759750</v>
      </c>
      <c r="S518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1">
        <f ca="1">IF(PROVEEDORES[[#This Row],[FECHA DE PAGO]]=0,TODAY()-PROVEEDORES[[#This Row],[FECHA DE FACTURACIÓN]]-PROVEEDORES[[#This Row],[PLAZO Días]],0)</f>
        <v>0</v>
      </c>
      <c r="U518" s="97">
        <f>+VLOOKUP(PROVEEDORES[[#This Row],[PROVEEDOR]],Terceros!$A:$D,4,FALSE)</f>
        <v>0</v>
      </c>
      <c r="V518" s="98">
        <f>+YEAR(PROVEEDORES[[#This Row],[FECHA DE FACTURACIÓN]])</f>
        <v>2023</v>
      </c>
      <c r="W518" s="98">
        <f>+MATCH(PROVEEDORES[[#This Row],[año facturado]],Retenciones!$1:$1,0)</f>
        <v>6</v>
      </c>
      <c r="X518" s="99">
        <f>+VLOOKUP(PROVEEDORES[[#This Row],[ID RETENCION]],Retenciones!$A$1:$O$25,PROVEEDORES[[#This Row],[indicador de columna]],FALSE)</f>
        <v>0</v>
      </c>
      <c r="Y518" s="100">
        <f>+VLOOKUP(PROVEEDORES[[#This Row],[ID RETENCION]],Retenciones!$A$1:$O$25,2,FALSE)</f>
        <v>0</v>
      </c>
      <c r="Z518" s="103" t="b">
        <f>OR(COUNTIF(PROVEEDORES[[#This Row],[PROVEEDOR]],"*"&amp;'Palabra no opera'!$A$2&amp;"*"))</f>
        <v>0</v>
      </c>
    </row>
    <row r="519" spans="1:26" ht="22.35" customHeight="1" x14ac:dyDescent="0.25">
      <c r="A519" s="227" t="str">
        <f>+IF(PROVEEDORES[[#This Row],[FECHA DE PAGO]]=PROVEEDORES[[#This Row],[FECHA DE FACTURACIÓN]],"DE CONTADO","CRÉDITO")</f>
        <v>CRÉDITO</v>
      </c>
      <c r="B519" s="38" t="b">
        <f>+IF((PROVEEDORES[[#This Row],[FECHA DE PAGO]]-PROVEEDORES[[#This Row],[FECHA DE FACTURACIÓN]])&gt;PROVEEDORES[[#This Row],[PLAZO Días]],"PAGO VENCIDO")</f>
        <v>0</v>
      </c>
      <c r="C519" s="20">
        <f>+VLOOKUP(PROVEEDORES[[#This Row],[PROVEEDOR]],TERCEROS_INFO[#All],2,FALSE)</f>
        <v>45</v>
      </c>
      <c r="D519" s="25">
        <f>+SUMIFS(PROVEEDORES[Total],PROVEEDORES[PROVEEDOR],PROVEEDORES[[#This Row],[PROVEEDOR]],PROVEEDORES[FECHA DE PAGO],"")</f>
        <v>3074500</v>
      </c>
      <c r="E519" s="25"/>
      <c r="F519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19" s="289">
        <v>45205</v>
      </c>
      <c r="H519" s="26" t="s">
        <v>252</v>
      </c>
      <c r="I519" s="289">
        <v>45169</v>
      </c>
      <c r="J519" s="35">
        <v>1771</v>
      </c>
      <c r="K519" s="21">
        <v>2793000</v>
      </c>
      <c r="L519" s="21"/>
      <c r="M519" s="22">
        <f>(PROVEEDORES[[#This Row],[SUBTOTAL]]-PROVEEDORES[[#This Row],[descuento sobre subtotal]])*VLOOKUP(PROVEEDORES[[#This Row],[PROVEEDOR]],TERCEROS_INFO[#All],3,FALSE)</f>
        <v>0</v>
      </c>
      <c r="N519" s="23"/>
      <c r="O519" s="22">
        <f>+PROVEEDORES[[#This Row],[Descuento sobre subtotal %]]*(PROVEEDORES[[#This Row],[SUBTOTAL]]-PROVEEDORES[[#This Row],[descuento sobre subtotal]])</f>
        <v>0</v>
      </c>
      <c r="P519" s="72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2793000</v>
      </c>
      <c r="S519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1">
        <f ca="1">IF(PROVEEDORES[[#This Row],[FECHA DE PAGO]]=0,TODAY()-PROVEEDORES[[#This Row],[FECHA DE FACTURACIÓN]]-PROVEEDORES[[#This Row],[PLAZO Días]],0)</f>
        <v>0</v>
      </c>
      <c r="U519" s="97">
        <f>+VLOOKUP(PROVEEDORES[[#This Row],[PROVEEDOR]],Terceros!$A:$D,4,FALSE)</f>
        <v>0</v>
      </c>
      <c r="V519" s="98">
        <f>+YEAR(PROVEEDORES[[#This Row],[FECHA DE FACTURACIÓN]])</f>
        <v>2023</v>
      </c>
      <c r="W519" s="98">
        <f>+MATCH(PROVEEDORES[[#This Row],[año facturado]],Retenciones!$1:$1,0)</f>
        <v>6</v>
      </c>
      <c r="X519" s="99">
        <f>+VLOOKUP(PROVEEDORES[[#This Row],[ID RETENCION]],Retenciones!$A$1:$O$25,PROVEEDORES[[#This Row],[indicador de columna]],FALSE)</f>
        <v>0</v>
      </c>
      <c r="Y519" s="100">
        <f>+VLOOKUP(PROVEEDORES[[#This Row],[ID RETENCION]],Retenciones!$A$1:$O$25,2,FALSE)</f>
        <v>0</v>
      </c>
      <c r="Z519" s="103" t="b">
        <f>OR(COUNTIF(PROVEEDORES[[#This Row],[PROVEEDOR]],"*"&amp;'Palabra no opera'!$A$2&amp;"*"))</f>
        <v>0</v>
      </c>
    </row>
    <row r="520" spans="1:26" ht="22.35" customHeight="1" x14ac:dyDescent="0.25">
      <c r="A520" s="227" t="str">
        <f>+IF(PROVEEDORES[[#This Row],[FECHA DE PAGO]]=PROVEEDORES[[#This Row],[FECHA DE FACTURACIÓN]],"DE CONTADO","CRÉDITO")</f>
        <v>CRÉDITO</v>
      </c>
      <c r="B520" s="38" t="b">
        <f>+IF((PROVEEDORES[[#This Row],[FECHA DE PAGO]]-PROVEEDORES[[#This Row],[FECHA DE FACTURACIÓN]])&gt;PROVEEDORES[[#This Row],[PLAZO Días]],"PAGO VENCIDO")</f>
        <v>0</v>
      </c>
      <c r="C520" s="20">
        <f>+VLOOKUP(PROVEEDORES[[#This Row],[PROVEEDOR]],TERCEROS_INFO[#All],2,FALSE)</f>
        <v>45</v>
      </c>
      <c r="D520" s="25">
        <f>+SUMIFS(PROVEEDORES[Total],PROVEEDORES[PROVEEDOR],PROVEEDORES[[#This Row],[PROVEEDOR]],PROVEEDORES[FECHA DE PAGO],"")</f>
        <v>3074500</v>
      </c>
      <c r="E520" s="25"/>
      <c r="F52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0" s="289">
        <v>45205</v>
      </c>
      <c r="H520" s="26" t="s">
        <v>252</v>
      </c>
      <c r="I520" s="289">
        <v>45169</v>
      </c>
      <c r="J520" s="35">
        <v>1773</v>
      </c>
      <c r="K520" s="21">
        <v>1512420</v>
      </c>
      <c r="L520" s="21"/>
      <c r="M520" s="22">
        <f>(PROVEEDORES[[#This Row],[SUBTOTAL]]-PROVEEDORES[[#This Row],[descuento sobre subtotal]])*VLOOKUP(PROVEEDORES[[#This Row],[PROVEEDOR]],TERCEROS_INFO[#All],3,FALSE)</f>
        <v>0</v>
      </c>
      <c r="N520" s="23"/>
      <c r="O520" s="22">
        <f>+PROVEEDORES[[#This Row],[Descuento sobre subtotal %]]*(PROVEEDORES[[#This Row],[SUBTOTAL]]-PROVEEDORES[[#This Row],[descuento sobre subtotal]])</f>
        <v>0</v>
      </c>
      <c r="P520" s="72">
        <f>+IF(PROVEEDORES[[#This Row],[SUBTOTAL]]&lt;PROVEEDORES[[#This Row],[base retencion]],0,PROVEEDORES[[#This Row],[retención aplicada]])</f>
        <v>0</v>
      </c>
      <c r="Q520" s="22">
        <f>+PROVEEDORES[[#This Row],[Rete Fuente %]]*(PROVEEDORES[[#This Row],[SUBTOTAL]]-PROVEEDORES[[#This Row],[descuento sobre subtotal]])</f>
        <v>0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1512420</v>
      </c>
      <c r="S520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1">
        <f ca="1">IF(PROVEEDORES[[#This Row],[FECHA DE PAGO]]=0,TODAY()-PROVEEDORES[[#This Row],[FECHA DE FACTURACIÓN]]-PROVEEDORES[[#This Row],[PLAZO Días]],0)</f>
        <v>0</v>
      </c>
      <c r="U520" s="97">
        <f>+VLOOKUP(PROVEEDORES[[#This Row],[PROVEEDOR]],Terceros!$A:$D,4,FALSE)</f>
        <v>0</v>
      </c>
      <c r="V520" s="98">
        <f>+YEAR(PROVEEDORES[[#This Row],[FECHA DE FACTURACIÓN]])</f>
        <v>2023</v>
      </c>
      <c r="W520" s="98">
        <f>+MATCH(PROVEEDORES[[#This Row],[año facturado]],Retenciones!$1:$1,0)</f>
        <v>6</v>
      </c>
      <c r="X520" s="99">
        <f>+VLOOKUP(PROVEEDORES[[#This Row],[ID RETENCION]],Retenciones!$A$1:$O$25,PROVEEDORES[[#This Row],[indicador de columna]],FALSE)</f>
        <v>0</v>
      </c>
      <c r="Y520" s="100">
        <f>+VLOOKUP(PROVEEDORES[[#This Row],[ID RETENCION]],Retenciones!$A$1:$O$25,2,FALSE)</f>
        <v>0</v>
      </c>
      <c r="Z520" s="103" t="b">
        <f>OR(COUNTIF(PROVEEDORES[[#This Row],[PROVEEDOR]],"*"&amp;'Palabra no opera'!$A$2&amp;"*"))</f>
        <v>0</v>
      </c>
    </row>
    <row r="521" spans="1:26" ht="22.35" customHeight="1" x14ac:dyDescent="0.25">
      <c r="A521" s="233" t="str">
        <f>+IF(PROVEEDORES[[#This Row],[FECHA DE PAGO]]=PROVEEDORES[[#This Row],[FECHA DE FACTURACIÓN]],"DE CONTADO","CRÉDITO")</f>
        <v>CRÉDITO</v>
      </c>
      <c r="B521" s="38" t="b">
        <f>+IF((PROVEEDORES[[#This Row],[FECHA DE PAGO]]-PROVEEDORES[[#This Row],[FECHA DE FACTURACIÓN]])&gt;PROVEEDORES[[#This Row],[PLAZO Días]],"PAGO VENCIDO")</f>
        <v>0</v>
      </c>
      <c r="C521" s="20">
        <f>+VLOOKUP(PROVEEDORES[[#This Row],[PROVEEDOR]],TERCEROS_INFO[#All],2,FALSE)</f>
        <v>45</v>
      </c>
      <c r="D521" s="25">
        <f>+SUMIFS(PROVEEDORES[Total],PROVEEDORES[PROVEEDOR],PROVEEDORES[[#This Row],[PROVEEDOR]],PROVEEDORES[FECHA DE PAGO],"")</f>
        <v>3074500</v>
      </c>
      <c r="E521" s="25"/>
      <c r="F521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1" s="289">
        <v>45205</v>
      </c>
      <c r="H521" s="26" t="s">
        <v>252</v>
      </c>
      <c r="I521" s="289">
        <v>45176</v>
      </c>
      <c r="J521" s="35">
        <v>1776</v>
      </c>
      <c r="K521" s="21">
        <v>1501080</v>
      </c>
      <c r="L521" s="21"/>
      <c r="M521" s="22">
        <f>(PROVEEDORES[[#This Row],[SUBTOTAL]]-PROVEEDORES[[#This Row],[descuento sobre subtotal]])*VLOOKUP(PROVEEDORES[[#This Row],[PROVEEDOR]],TERCEROS_INFO[#All],3,FALSE)</f>
        <v>0</v>
      </c>
      <c r="N521" s="23"/>
      <c r="O521" s="22">
        <f>+PROVEEDORES[[#This Row],[Descuento sobre subtotal %]]*(PROVEEDORES[[#This Row],[SUBTOTAL]]-PROVEEDORES[[#This Row],[descuento sobre subtotal]])</f>
        <v>0</v>
      </c>
      <c r="P521" s="72">
        <f>+IF(PROVEEDORES[[#This Row],[SUBTOTAL]]&lt;PROVEEDORES[[#This Row],[base retencion]],0,PROVEEDORES[[#This Row],[retención aplicada]])</f>
        <v>0</v>
      </c>
      <c r="Q521" s="22">
        <f>+PROVEEDORES[[#This Row],[Rete Fuente %]]*(PROVEEDORES[[#This Row],[SUBTOTAL]]-PROVEEDORES[[#This Row],[descuento sobre subtotal]])</f>
        <v>0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1501080</v>
      </c>
      <c r="S521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1">
        <f ca="1">IF(PROVEEDORES[[#This Row],[FECHA DE PAGO]]=0,TODAY()-PROVEEDORES[[#This Row],[FECHA DE FACTURACIÓN]]-PROVEEDORES[[#This Row],[PLAZO Días]],0)</f>
        <v>0</v>
      </c>
      <c r="U521" s="97">
        <f>+VLOOKUP(PROVEEDORES[[#This Row],[PROVEEDOR]],Terceros!$A:$D,4,FALSE)</f>
        <v>0</v>
      </c>
      <c r="V521" s="98">
        <f>+YEAR(PROVEEDORES[[#This Row],[FECHA DE FACTURACIÓN]])</f>
        <v>2023</v>
      </c>
      <c r="W521" s="98">
        <f>+MATCH(PROVEEDORES[[#This Row],[año facturado]],Retenciones!$1:$1,0)</f>
        <v>6</v>
      </c>
      <c r="X521" s="99">
        <f>+VLOOKUP(PROVEEDORES[[#This Row],[ID RETENCION]],Retenciones!$A$1:$O$25,PROVEEDORES[[#This Row],[indicador de columna]],FALSE)</f>
        <v>0</v>
      </c>
      <c r="Y521" s="100">
        <f>+VLOOKUP(PROVEEDORES[[#This Row],[ID RETENCION]],Retenciones!$A$1:$O$25,2,FALSE)</f>
        <v>0</v>
      </c>
      <c r="Z521" s="103" t="b">
        <f>OR(COUNTIF(PROVEEDORES[[#This Row],[PROVEEDOR]],"*"&amp;'Palabra no opera'!$A$2&amp;"*"))</f>
        <v>0</v>
      </c>
    </row>
    <row r="522" spans="1:26" ht="22.35" customHeight="1" x14ac:dyDescent="0.25">
      <c r="A522" s="65" t="str">
        <f>+IF(PROVEEDORES[[#This Row],[FECHA DE PAGO]]=PROVEEDORES[[#This Row],[FECHA DE FACTURACIÓN]],"DE CONTADO","CRÉDITO")</f>
        <v>CRÉDITO</v>
      </c>
      <c r="B522" s="38" t="b">
        <f>+IF((PROVEEDORES[[#This Row],[FECHA DE PAGO]]-PROVEEDORES[[#This Row],[FECHA DE FACTURACIÓN]])&gt;PROVEEDORES[[#This Row],[PLAZO Días]],"PAGO VENCIDO")</f>
        <v>0</v>
      </c>
      <c r="C522" s="20">
        <f>+VLOOKUP(PROVEEDORES[[#This Row],[PROVEEDOR]],TERCEROS_INFO[#All],2,FALSE)</f>
        <v>45</v>
      </c>
      <c r="D522" s="25">
        <f>+SUMIFS(PROVEEDORES[Total],PROVEEDORES[PROVEEDOR],PROVEEDORES[[#This Row],[PROVEEDOR]],PROVEEDORES[FECHA DE PAGO],"")</f>
        <v>3074500</v>
      </c>
      <c r="E522" s="25"/>
      <c r="F522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2" s="289">
        <v>45205</v>
      </c>
      <c r="H522" s="26" t="s">
        <v>252</v>
      </c>
      <c r="I522" s="289">
        <v>45188</v>
      </c>
      <c r="J522" s="35">
        <v>1795</v>
      </c>
      <c r="K522" s="21">
        <v>1407000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72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1407000</v>
      </c>
      <c r="S5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1">
        <f ca="1">IF(PROVEEDORES[[#This Row],[FECHA DE PAGO]]=0,TODAY()-PROVEEDORES[[#This Row],[FECHA DE FACTURACIÓN]]-PROVEEDORES[[#This Row],[PLAZO Días]],0)</f>
        <v>0</v>
      </c>
      <c r="U522" s="97">
        <f>+VLOOKUP(PROVEEDORES[[#This Row],[PROVEEDOR]],Terceros!$A:$D,4,FALSE)</f>
        <v>0</v>
      </c>
      <c r="V522" s="98">
        <f>+YEAR(PROVEEDORES[[#This Row],[FECHA DE FACTURACIÓN]])</f>
        <v>2023</v>
      </c>
      <c r="W522" s="98">
        <f>+MATCH(PROVEEDORES[[#This Row],[año facturado]],Retenciones!$1:$1,0)</f>
        <v>6</v>
      </c>
      <c r="X522" s="99">
        <f>+VLOOKUP(PROVEEDORES[[#This Row],[ID RETENCION]],Retenciones!$A$1:$O$25,PROVEEDORES[[#This Row],[indicador de columna]],FALSE)</f>
        <v>0</v>
      </c>
      <c r="Y522" s="100">
        <f>+VLOOKUP(PROVEEDORES[[#This Row],[ID RETENCION]],Retenciones!$A$1:$O$25,2,FALSE)</f>
        <v>0</v>
      </c>
      <c r="Z522" s="103" t="b">
        <f>OR(COUNTIF(PROVEEDORES[[#This Row],[PROVEEDOR]],"*"&amp;'Palabra no opera'!$A$2&amp;"*"))</f>
        <v>0</v>
      </c>
    </row>
    <row r="523" spans="1:26" ht="22.35" customHeight="1" x14ac:dyDescent="0.25">
      <c r="A523" s="233" t="str">
        <f>+IF(PROVEEDORES[[#This Row],[FECHA DE PAGO]]=PROVEEDORES[[#This Row],[FECHA DE FACTURACIÓN]],"DE CONTADO","CRÉDITO")</f>
        <v>CRÉDITO</v>
      </c>
      <c r="B523" s="38" t="b">
        <f>+IF((PROVEEDORES[[#This Row],[FECHA DE PAGO]]-PROVEEDORES[[#This Row],[FECHA DE FACTURACIÓN]])&gt;PROVEEDORES[[#This Row],[PLAZO Días]],"PAGO VENCIDO")</f>
        <v>0</v>
      </c>
      <c r="C523" s="20">
        <f>+VLOOKUP(PROVEEDORES[[#This Row],[PROVEEDOR]],TERCEROS_INFO[#All],2,FALSE)</f>
        <v>45</v>
      </c>
      <c r="D523" s="25">
        <f>+SUMIFS(PROVEEDORES[Total],PROVEEDORES[PROVEEDOR],PROVEEDORES[[#This Row],[PROVEEDOR]],PROVEEDORES[FECHA DE PAGO],"")</f>
        <v>3074500</v>
      </c>
      <c r="E523" s="25"/>
      <c r="F523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3" s="289">
        <v>45205</v>
      </c>
      <c r="H523" s="26" t="s">
        <v>252</v>
      </c>
      <c r="I523" s="289">
        <v>45189</v>
      </c>
      <c r="J523" s="35">
        <v>1793</v>
      </c>
      <c r="K523" s="21">
        <v>2793000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72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2793000</v>
      </c>
      <c r="S523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1">
        <f ca="1">IF(PROVEEDORES[[#This Row],[FECHA DE PAGO]]=0,TODAY()-PROVEEDORES[[#This Row],[FECHA DE FACTURACIÓN]]-PROVEEDORES[[#This Row],[PLAZO Días]],0)</f>
        <v>0</v>
      </c>
      <c r="U523" s="97">
        <f>+VLOOKUP(PROVEEDORES[[#This Row],[PROVEEDOR]],Terceros!$A:$D,4,FALSE)</f>
        <v>0</v>
      </c>
      <c r="V523" s="98">
        <f>+YEAR(PROVEEDORES[[#This Row],[FECHA DE FACTURACIÓN]])</f>
        <v>2023</v>
      </c>
      <c r="W523" s="98">
        <f>+MATCH(PROVEEDORES[[#This Row],[año facturado]],Retenciones!$1:$1,0)</f>
        <v>6</v>
      </c>
      <c r="X523" s="99">
        <f>+VLOOKUP(PROVEEDORES[[#This Row],[ID RETENCION]],Retenciones!$A$1:$O$25,PROVEEDORES[[#This Row],[indicador de columna]],FALSE)</f>
        <v>0</v>
      </c>
      <c r="Y523" s="100">
        <f>+VLOOKUP(PROVEEDORES[[#This Row],[ID RETENCION]],Retenciones!$A$1:$O$25,2,FALSE)</f>
        <v>0</v>
      </c>
      <c r="Z523" s="103" t="b">
        <f>OR(COUNTIF(PROVEEDORES[[#This Row],[PROVEEDOR]],"*"&amp;'Palabra no opera'!$A$2&amp;"*"))</f>
        <v>0</v>
      </c>
    </row>
    <row r="524" spans="1:26" ht="22.35" customHeight="1" x14ac:dyDescent="0.25">
      <c r="A524" s="65" t="str">
        <f>+IF(PROVEEDORES[[#This Row],[FECHA DE PAGO]]=PROVEEDORES[[#This Row],[FECHA DE FACTURACIÓN]],"DE CONTADO","CRÉDITO")</f>
        <v>CRÉDITO</v>
      </c>
      <c r="B524" s="38" t="b">
        <f>+IF((PROVEEDORES[[#This Row],[FECHA DE PAGO]]-PROVEEDORES[[#This Row],[FECHA DE FACTURACIÓN]])&gt;PROVEEDORES[[#This Row],[PLAZO Días]],"PAGO VENCIDO")</f>
        <v>0</v>
      </c>
      <c r="C524" s="20">
        <f>+VLOOKUP(PROVEEDORES[[#This Row],[PROVEEDOR]],TERCEROS_INFO[#All],2,FALSE)</f>
        <v>45</v>
      </c>
      <c r="D524" s="25">
        <f>+SUMIFS(PROVEEDORES[Total],PROVEEDORES[PROVEEDOR],PROVEEDORES[[#This Row],[PROVEEDOR]],PROVEEDORES[FECHA DE PAGO],"")</f>
        <v>3074500</v>
      </c>
      <c r="E524" s="25"/>
      <c r="F524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4" s="289">
        <v>45251</v>
      </c>
      <c r="H524" s="26" t="s">
        <v>252</v>
      </c>
      <c r="I524" s="289">
        <v>45230</v>
      </c>
      <c r="J524" s="35">
        <v>1819</v>
      </c>
      <c r="K524" s="21">
        <v>3074500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72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3074500</v>
      </c>
      <c r="S5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1">
        <f ca="1">IF(PROVEEDORES[[#This Row],[FECHA DE PAGO]]=0,TODAY()-PROVEEDORES[[#This Row],[FECHA DE FACTURACIÓN]]-PROVEEDORES[[#This Row],[PLAZO Días]],0)</f>
        <v>0</v>
      </c>
      <c r="U524" s="97">
        <f>+VLOOKUP(PROVEEDORES[[#This Row],[PROVEEDOR]],Terceros!$A:$D,4,FALSE)</f>
        <v>0</v>
      </c>
      <c r="V524" s="98">
        <f>+YEAR(PROVEEDORES[[#This Row],[FECHA DE FACTURACIÓN]])</f>
        <v>2023</v>
      </c>
      <c r="W524" s="98">
        <f>+MATCH(PROVEEDORES[[#This Row],[año facturado]],Retenciones!$1:$1,0)</f>
        <v>6</v>
      </c>
      <c r="X524" s="99">
        <f>+VLOOKUP(PROVEEDORES[[#This Row],[ID RETENCION]],Retenciones!$A$1:$O$25,PROVEEDORES[[#This Row],[indicador de columna]],FALSE)</f>
        <v>0</v>
      </c>
      <c r="Y524" s="100">
        <f>+VLOOKUP(PROVEEDORES[[#This Row],[ID RETENCION]],Retenciones!$A$1:$O$25,2,FALSE)</f>
        <v>0</v>
      </c>
      <c r="Z524" s="103" t="b">
        <f>OR(COUNTIF(PROVEEDORES[[#This Row],[PROVEEDOR]],"*"&amp;'Palabra no opera'!$A$2&amp;"*"))</f>
        <v>0</v>
      </c>
    </row>
    <row r="525" spans="1:26" ht="22.35" customHeight="1" x14ac:dyDescent="0.25">
      <c r="A525" s="65" t="str">
        <f>+IF(PROVEEDORES[[#This Row],[FECHA DE PAGO]]=PROVEEDORES[[#This Row],[FECHA DE FACTURACIÓN]],"DE CONTADO","CRÉDITO")</f>
        <v>CRÉDITO</v>
      </c>
      <c r="B525" s="38" t="b">
        <f>+IF((PROVEEDORES[[#This Row],[FECHA DE PAGO]]-PROVEEDORES[[#This Row],[FECHA DE FACTURACIÓN]])&gt;PROVEEDORES[[#This Row],[PLAZO Días]],"PAGO VENCIDO")</f>
        <v>0</v>
      </c>
      <c r="C525" s="20">
        <f>+VLOOKUP(PROVEEDORES[[#This Row],[PROVEEDOR]],TERCEROS_INFO[#All],2,FALSE)</f>
        <v>45</v>
      </c>
      <c r="D525" s="25">
        <f>+SUMIFS(PROVEEDORES[Total],PROVEEDORES[PROVEEDOR],PROVEEDORES[[#This Row],[PROVEEDOR]],PROVEEDORES[FECHA DE PAGO],"")</f>
        <v>3074500</v>
      </c>
      <c r="E525" s="25"/>
      <c r="F525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25" s="289">
        <v>45251</v>
      </c>
      <c r="H525" s="26" t="s">
        <v>252</v>
      </c>
      <c r="I525" s="289">
        <v>45237</v>
      </c>
      <c r="J525" s="35">
        <v>1827</v>
      </c>
      <c r="K525" s="21">
        <v>1885550</v>
      </c>
      <c r="L525" s="21"/>
      <c r="M525" s="22">
        <f>(PROVEEDORES[[#This Row],[SUBTOTAL]]-PROVEEDORES[[#This Row],[descuento sobre subtotal]])*VLOOKUP(PROVEEDORES[[#This Row],[PROVEEDOR]],TERCEROS_INFO[#All],3,FALSE)</f>
        <v>0</v>
      </c>
      <c r="N525" s="23"/>
      <c r="O525" s="22">
        <f>+PROVEEDORES[[#This Row],[Descuento sobre subtotal %]]*(PROVEEDORES[[#This Row],[SUBTOTAL]]-PROVEEDORES[[#This Row],[descuento sobre subtotal]])</f>
        <v>0</v>
      </c>
      <c r="P525" s="72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1885550</v>
      </c>
      <c r="S5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1">
        <f ca="1">IF(PROVEEDORES[[#This Row],[FECHA DE PAGO]]=0,TODAY()-PROVEEDORES[[#This Row],[FECHA DE FACTURACIÓN]]-PROVEEDORES[[#This Row],[PLAZO Días]],0)</f>
        <v>0</v>
      </c>
      <c r="U525" s="97">
        <f>+VLOOKUP(PROVEEDORES[[#This Row],[PROVEEDOR]],Terceros!$A:$D,4,FALSE)</f>
        <v>0</v>
      </c>
      <c r="V525" s="98">
        <f>+YEAR(PROVEEDORES[[#This Row],[FECHA DE FACTURACIÓN]])</f>
        <v>2023</v>
      </c>
      <c r="W525" s="98">
        <f>+MATCH(PROVEEDORES[[#This Row],[año facturado]],Retenciones!$1:$1,0)</f>
        <v>6</v>
      </c>
      <c r="X525" s="99">
        <f>+VLOOKUP(PROVEEDORES[[#This Row],[ID RETENCION]],Retenciones!$A$1:$O$25,PROVEEDORES[[#This Row],[indicador de columna]],FALSE)</f>
        <v>0</v>
      </c>
      <c r="Y525" s="100">
        <f>+VLOOKUP(PROVEEDORES[[#This Row],[ID RETENCION]],Retenciones!$A$1:$O$25,2,FALSE)</f>
        <v>0</v>
      </c>
      <c r="Z525" s="103" t="b">
        <f>OR(COUNTIF(PROVEEDORES[[#This Row],[PROVEEDOR]],"*"&amp;'Palabra no opera'!$A$2&amp;"*"))</f>
        <v>0</v>
      </c>
    </row>
    <row r="526" spans="1:26" ht="22.35" customHeight="1" x14ac:dyDescent="0.25">
      <c r="A526" s="65" t="str">
        <f>+IF(PROVEEDORES[[#This Row],[FECHA DE PAGO]]=PROVEEDORES[[#This Row],[FECHA DE FACTURACIÓN]],"DE CONTADO","CRÉDITO")</f>
        <v>CRÉDITO</v>
      </c>
      <c r="B526" s="38" t="b">
        <f>+IF((PROVEEDORES[[#This Row],[FECHA DE PAGO]]-PROVEEDORES[[#This Row],[FECHA DE FACTURACIÓN]])&gt;PROVEEDORES[[#This Row],[PLAZO Días]],"PAGO VENCIDO")</f>
        <v>0</v>
      </c>
      <c r="C526" s="20">
        <f>+VLOOKUP(PROVEEDORES[[#This Row],[PROVEEDOR]],TERCEROS_INFO[#All],2,FALSE)</f>
        <v>45</v>
      </c>
      <c r="D526" s="25">
        <f>+SUMIFS(PROVEEDORES[Total],PROVEEDORES[PROVEEDOR],PROVEEDORES[[#This Row],[PROVEEDOR]],PROVEEDORES[FECHA DE PAGO],"")</f>
        <v>3074500</v>
      </c>
      <c r="E526" s="25"/>
      <c r="F526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526" s="26" t="s">
        <v>252</v>
      </c>
      <c r="I526" s="289">
        <v>45288</v>
      </c>
      <c r="J526" s="35" t="s">
        <v>1539</v>
      </c>
      <c r="K526" s="21">
        <v>3074500</v>
      </c>
      <c r="L526" s="21"/>
      <c r="M526" s="22">
        <f>(PROVEEDORES[[#This Row],[SUBTOTAL]]-PROVEEDORES[[#This Row],[descuento sobre subtotal]])*VLOOKUP(PROVEEDORES[[#This Row],[PROVEEDOR]],TERCEROS_INFO[#All],3,FALSE)</f>
        <v>0</v>
      </c>
      <c r="N526" s="23"/>
      <c r="O526" s="22">
        <f>+PROVEEDORES[[#This Row],[Descuento sobre subtotal %]]*(PROVEEDORES[[#This Row],[SUBTOTAL]]-PROVEEDORES[[#This Row],[descuento sobre subtotal]])</f>
        <v>0</v>
      </c>
      <c r="P526" s="72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3074500</v>
      </c>
      <c r="S526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26" s="61">
        <f ca="1">IF(PROVEEDORES[[#This Row],[FECHA DE PAGO]]=0,TODAY()-PROVEEDORES[[#This Row],[FECHA DE FACTURACIÓN]]-PROVEEDORES[[#This Row],[PLAZO Días]],0)</f>
        <v>-5</v>
      </c>
      <c r="U526" s="97">
        <f>+VLOOKUP(PROVEEDORES[[#This Row],[PROVEEDOR]],Terceros!$A:$D,4,FALSE)</f>
        <v>0</v>
      </c>
      <c r="V526" s="98">
        <f>+YEAR(PROVEEDORES[[#This Row],[FECHA DE FACTURACIÓN]])</f>
        <v>2023</v>
      </c>
      <c r="W526" s="98">
        <f>+MATCH(PROVEEDORES[[#This Row],[año facturado]],Retenciones!$1:$1,0)</f>
        <v>6</v>
      </c>
      <c r="X526" s="99">
        <f>+VLOOKUP(PROVEEDORES[[#This Row],[ID RETENCION]],Retenciones!$A$1:$O$25,PROVEEDORES[[#This Row],[indicador de columna]],FALSE)</f>
        <v>0</v>
      </c>
      <c r="Y526" s="100">
        <f>+VLOOKUP(PROVEEDORES[[#This Row],[ID RETENCION]],Retenciones!$A$1:$O$25,2,FALSE)</f>
        <v>0</v>
      </c>
      <c r="Z526" s="103" t="b">
        <f>OR(COUNTIF(PROVEEDORES[[#This Row],[PROVEEDOR]],"*"&amp;'Palabra no opera'!$A$2&amp;"*"))</f>
        <v>0</v>
      </c>
    </row>
    <row r="527" spans="1:26" ht="22.35" customHeight="1" x14ac:dyDescent="0.25">
      <c r="A527" s="65" t="str">
        <f>+IF(PROVEEDORES[[#This Row],[FECHA DE PAGO]]=PROVEEDORES[[#This Row],[FECHA DE FACTURACIÓN]],"DE CONTADO","CRÉDITO")</f>
        <v>CRÉDITO</v>
      </c>
      <c r="B527" s="38" t="str">
        <f>+IF((PROVEEDORES[[#This Row],[FECHA DE PAGO]]-PROVEEDORES[[#This Row],[FECHA DE FACTURACIÓN]])&gt;PROVEEDORES[[#This Row],[PLAZO Días]],"PAGO VENCIDO")</f>
        <v>PAGO VENCIDO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0</v>
      </c>
      <c r="E527" s="25"/>
      <c r="F52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27" s="289">
        <v>44988</v>
      </c>
      <c r="H527" s="26" t="s">
        <v>248</v>
      </c>
      <c r="I527" s="289">
        <v>44950</v>
      </c>
      <c r="J527" s="35" t="s">
        <v>575</v>
      </c>
      <c r="K527" s="21">
        <v>2040000</v>
      </c>
      <c r="L527" s="21"/>
      <c r="M527" s="22">
        <f>(PROVEEDORES[[#This Row],[SUBTOTAL]]-PROVEEDORES[[#This Row],[descuento sobre subtotal]])*VLOOKUP(PROVEEDORES[[#This Row],[PROVEEDOR]],TERCEROS_INFO[#All],3,FALSE)</f>
        <v>387600</v>
      </c>
      <c r="N527" s="23"/>
      <c r="O527" s="22">
        <f>+PROVEEDORES[[#This Row],[Descuento sobre subtotal %]]*(PROVEEDORES[[#This Row],[SUBTOTAL]]-PROVEEDORES[[#This Row],[descuento sobre subtotal]])</f>
        <v>0</v>
      </c>
      <c r="P527" s="72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f>+PROVEEDORES[[#This Row],[SUBTOTAL]]+PROVEEDORES[[#This Row],[IVA 19%]]-PROVEEDORES[[#This Row],[descuento sobre subtotal]]-PROVEEDORES[[#This Row],[Descuento sobre subtotal $2]]-PROVEEDORES[[#This Row],[Rete Fuente $]]</f>
        <v>2427600</v>
      </c>
      <c r="S5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1">
        <f ca="1">IF(PROVEEDORES[[#This Row],[FECHA DE PAGO]]=0,TODAY()-PROVEEDORES[[#This Row],[FECHA DE FACTURACIÓN]]-PROVEEDORES[[#This Row],[PLAZO Días]],0)</f>
        <v>0</v>
      </c>
      <c r="U527" s="97">
        <f>+VLOOKUP(PROVEEDORES[[#This Row],[PROVEEDOR]],Terceros!$A:$D,4,FALSE)</f>
        <v>0</v>
      </c>
      <c r="V527" s="98">
        <f>+YEAR(PROVEEDORES[[#This Row],[FECHA DE FACTURACIÓN]])</f>
        <v>2023</v>
      </c>
      <c r="W527" s="98">
        <f>+MATCH(PROVEEDORES[[#This Row],[año facturado]],Retenciones!$1:$1,0)</f>
        <v>6</v>
      </c>
      <c r="X527" s="99">
        <f>+VLOOKUP(PROVEEDORES[[#This Row],[ID RETENCION]],Retenciones!$A$1:$O$25,PROVEEDORES[[#This Row],[indicador de columna]],FALSE)</f>
        <v>0</v>
      </c>
      <c r="Y527" s="100">
        <f>+VLOOKUP(PROVEEDORES[[#This Row],[ID RETENCION]],Retenciones!$A$1:$O$25,2,FALSE)</f>
        <v>0</v>
      </c>
      <c r="Z527" s="103" t="b">
        <f>OR(COUNTIF(PROVEEDORES[[#This Row],[PROVEEDOR]],"*"&amp;'Palabra no opera'!$A$2&amp;"*"))</f>
        <v>0</v>
      </c>
    </row>
    <row r="528" spans="1:26" ht="22.35" customHeight="1" x14ac:dyDescent="0.25">
      <c r="A528" s="65" t="str">
        <f>+IF(PROVEEDORES[[#This Row],[FECHA DE PAGO]]=PROVEEDORES[[#This Row],[FECHA DE FACTURACIÓN]],"DE CONTADO","CRÉDITO")</f>
        <v>CRÉDITO</v>
      </c>
      <c r="B528" s="38" t="str">
        <f>+IF((PROVEEDORES[[#This Row],[FECHA DE PAGO]]-PROVEEDORES[[#This Row],[FECHA DE FACTURACIÓN]])&gt;PROVEEDORES[[#This Row],[PLAZO Días]],"PAGO VENCIDO")</f>
        <v>PAGO VENCIDO</v>
      </c>
      <c r="C528" s="20">
        <f>+VLOOKUP(PROVEEDORES[[#This Row],[PROVEEDOR]],TERCEROS_INFO[#All],2,FALSE)</f>
        <v>30</v>
      </c>
      <c r="D528" s="25">
        <f>+SUMIFS(PROVEEDORES[Total],PROVEEDORES[PROVEEDOR],PROVEEDORES[[#This Row],[PROVEEDOR]],PROVEEDORES[FECHA DE PAGO],"")</f>
        <v>0</v>
      </c>
      <c r="E528" s="25"/>
      <c r="F52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28" s="289">
        <v>45054</v>
      </c>
      <c r="H528" s="26" t="s">
        <v>248</v>
      </c>
      <c r="I528" s="289">
        <v>45007</v>
      </c>
      <c r="J528" s="35" t="s">
        <v>745</v>
      </c>
      <c r="K528" s="21">
        <v>-240000</v>
      </c>
      <c r="L528" s="21"/>
      <c r="M528" s="22">
        <f>(PROVEEDORES[[#This Row],[SUBTOTAL]]-PROVEEDORES[[#This Row],[descuento sobre subtotal]])*VLOOKUP(PROVEEDORES[[#This Row],[PROVEEDOR]],TERCEROS_INFO[#All],3,FALSE)</f>
        <v>-45600</v>
      </c>
      <c r="N528" s="23"/>
      <c r="O528" s="22">
        <f>+PROVEEDORES[[#This Row],[Descuento sobre subtotal %]]*(PROVEEDORES[[#This Row],[SUBTOTAL]]-PROVEEDORES[[#This Row],[descuento sobre subtotal]])</f>
        <v>0</v>
      </c>
      <c r="P528" s="72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f>+PROVEEDORES[[#This Row],[SUBTOTAL]]+PROVEEDORES[[#This Row],[IVA 19%]]-PROVEEDORES[[#This Row],[descuento sobre subtotal]]-PROVEEDORES[[#This Row],[Descuento sobre subtotal $2]]-PROVEEDORES[[#This Row],[Rete Fuente $]]</f>
        <v>-285600</v>
      </c>
      <c r="S5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1">
        <f ca="1">IF(PROVEEDORES[[#This Row],[FECHA DE PAGO]]=0,TODAY()-PROVEEDORES[[#This Row],[FECHA DE FACTURACIÓN]]-PROVEEDORES[[#This Row],[PLAZO Días]],0)</f>
        <v>0</v>
      </c>
      <c r="U528" s="97">
        <f>+VLOOKUP(PROVEEDORES[[#This Row],[PROVEEDOR]],Terceros!$A:$D,4,FALSE)</f>
        <v>0</v>
      </c>
      <c r="V528" s="98">
        <f>+YEAR(PROVEEDORES[[#This Row],[FECHA DE FACTURACIÓN]])</f>
        <v>2023</v>
      </c>
      <c r="W528" s="98">
        <f>+MATCH(PROVEEDORES[[#This Row],[año facturado]],Retenciones!$1:$1,0)</f>
        <v>6</v>
      </c>
      <c r="X528" s="99">
        <f>+VLOOKUP(PROVEEDORES[[#This Row],[ID RETENCION]],Retenciones!$A$1:$O$25,PROVEEDORES[[#This Row],[indicador de columna]],FALSE)</f>
        <v>0</v>
      </c>
      <c r="Y528" s="100">
        <f>+VLOOKUP(PROVEEDORES[[#This Row],[ID RETENCION]],Retenciones!$A$1:$O$25,2,FALSE)</f>
        <v>0</v>
      </c>
      <c r="Z528" s="103" t="b">
        <f>OR(COUNTIF(PROVEEDORES[[#This Row],[PROVEEDOR]],"*"&amp;'Palabra no opera'!$A$2&amp;"*"))</f>
        <v>0</v>
      </c>
    </row>
    <row r="529" spans="1:26" ht="22.35" customHeight="1" x14ac:dyDescent="0.25">
      <c r="A529" s="65" t="str">
        <f>+IF(PROVEEDORES[[#This Row],[FECHA DE PAGO]]=PROVEEDORES[[#This Row],[FECHA DE FACTURACIÓN]],"DE CONTADO","CRÉDITO")</f>
        <v>CRÉDITO</v>
      </c>
      <c r="B529" s="38" t="str">
        <f>+IF((PROVEEDORES[[#This Row],[FECHA DE PAGO]]-PROVEEDORES[[#This Row],[FECHA DE FACTURACIÓN]])&gt;PROVEEDORES[[#This Row],[PLAZO Días]],"PAGO VENCIDO")</f>
        <v>PAGO VENCIDO</v>
      </c>
      <c r="C529" s="20">
        <f>+VLOOKUP(PROVEEDORES[[#This Row],[PROVEEDOR]],TERCEROS_INFO[#All],2,FALSE)</f>
        <v>30</v>
      </c>
      <c r="D529" s="25">
        <f>+SUMIFS(PROVEEDORES[Total],PROVEEDORES[PROVEEDOR],PROVEEDORES[[#This Row],[PROVEEDOR]],PROVEEDORES[FECHA DE PAGO],"")</f>
        <v>0</v>
      </c>
      <c r="E529" s="25"/>
      <c r="F52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29" s="289">
        <v>45054</v>
      </c>
      <c r="H529" s="26" t="s">
        <v>248</v>
      </c>
      <c r="I529" s="289">
        <v>45007</v>
      </c>
      <c r="J529" s="35" t="s">
        <v>746</v>
      </c>
      <c r="K529" s="21">
        <v>769800</v>
      </c>
      <c r="L529" s="21"/>
      <c r="M529" s="22">
        <v>38490</v>
      </c>
      <c r="N529" s="23"/>
      <c r="O529" s="22">
        <f>+PROVEEDORES[[#This Row],[Descuento sobre subtotal %]]*(PROVEEDORES[[#This Row],[SUBTOTAL]]-PROVEEDORES[[#This Row],[descuento sobre subtotal]])</f>
        <v>0</v>
      </c>
      <c r="P529" s="72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808290</v>
      </c>
      <c r="S5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61">
        <f ca="1">IF(PROVEEDORES[[#This Row],[FECHA DE PAGO]]=0,TODAY()-PROVEEDORES[[#This Row],[FECHA DE FACTURACIÓN]]-PROVEEDORES[[#This Row],[PLAZO Días]],0)</f>
        <v>0</v>
      </c>
      <c r="U529" s="97">
        <f>+VLOOKUP(PROVEEDORES[[#This Row],[PROVEEDOR]],Terceros!$A:$D,4,FALSE)</f>
        <v>0</v>
      </c>
      <c r="V529" s="98">
        <f>+YEAR(PROVEEDORES[[#This Row],[FECHA DE FACTURACIÓN]])</f>
        <v>2023</v>
      </c>
      <c r="W529" s="98">
        <f>+MATCH(PROVEEDORES[[#This Row],[año facturado]],Retenciones!$1:$1,0)</f>
        <v>6</v>
      </c>
      <c r="X529" s="99">
        <f>+VLOOKUP(PROVEEDORES[[#This Row],[ID RETENCION]],Retenciones!$A$1:$O$25,PROVEEDORES[[#This Row],[indicador de columna]],FALSE)</f>
        <v>0</v>
      </c>
      <c r="Y529" s="100">
        <f>+VLOOKUP(PROVEEDORES[[#This Row],[ID RETENCION]],Retenciones!$A$1:$O$25,2,FALSE)</f>
        <v>0</v>
      </c>
      <c r="Z529" s="103" t="b">
        <f>OR(COUNTIF(PROVEEDORES[[#This Row],[PROVEEDOR]],"*"&amp;'Palabra no opera'!$A$2&amp;"*"))</f>
        <v>0</v>
      </c>
    </row>
    <row r="530" spans="1:26" ht="22.35" customHeight="1" x14ac:dyDescent="0.25">
      <c r="A530" s="65" t="str">
        <f>+IF(PROVEEDORES[[#This Row],[FECHA DE PAGO]]=PROVEEDORES[[#This Row],[FECHA DE FACTURACIÓN]],"DE CONTADO","CRÉDITO")</f>
        <v>CRÉDITO</v>
      </c>
      <c r="B530" s="38" t="str">
        <f>+IF((PROVEEDORES[[#This Row],[FECHA DE PAGO]]-PROVEEDORES[[#This Row],[FECHA DE FACTURACIÓN]])&gt;PROVEEDORES[[#This Row],[PLAZO Días]],"PAGO VENCIDO")</f>
        <v>PAGO VENCIDO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0</v>
      </c>
      <c r="E530" s="25"/>
      <c r="F53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0" s="289">
        <v>45054</v>
      </c>
      <c r="H530" s="26" t="s">
        <v>248</v>
      </c>
      <c r="I530" s="289">
        <v>45012</v>
      </c>
      <c r="J530" s="35" t="s">
        <v>748</v>
      </c>
      <c r="K530" s="21">
        <v>1059280</v>
      </c>
      <c r="L530" s="21"/>
      <c r="M530" s="22">
        <v>52964</v>
      </c>
      <c r="N530" s="23"/>
      <c r="O530" s="22">
        <f>+PROVEEDORES[[#This Row],[Descuento sobre subtotal %]]*(PROVEEDORES[[#This Row],[SUBTOTAL]]-PROVEEDORES[[#This Row],[descuento sobre subtotal]])</f>
        <v>0</v>
      </c>
      <c r="P530" s="72">
        <f>+IF(PROVEEDORES[[#This Row],[SUBTOTAL]]&lt;PROVEEDORES[[#This Row],[base retencion]],0,PROVEEDORES[[#This Row],[retención aplicada]])</f>
        <v>0</v>
      </c>
      <c r="Q530" s="22">
        <f>+PROVEEDORES[[#This Row],[Rete Fuente %]]*(PROVEEDORES[[#This Row],[SUBTOTAL]]-PROVEEDORES[[#This Row],[descuento sobre subtotal]])</f>
        <v>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1112244</v>
      </c>
      <c r="S5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1">
        <f ca="1">IF(PROVEEDORES[[#This Row],[FECHA DE PAGO]]=0,TODAY()-PROVEEDORES[[#This Row],[FECHA DE FACTURACIÓN]]-PROVEEDORES[[#This Row],[PLAZO Días]],0)</f>
        <v>0</v>
      </c>
      <c r="U530" s="97">
        <f>+VLOOKUP(PROVEEDORES[[#This Row],[PROVEEDOR]],Terceros!$A:$D,4,FALSE)</f>
        <v>0</v>
      </c>
      <c r="V530" s="98">
        <f>+YEAR(PROVEEDORES[[#This Row],[FECHA DE FACTURACIÓN]])</f>
        <v>2023</v>
      </c>
      <c r="W530" s="98">
        <f>+MATCH(PROVEEDORES[[#This Row],[año facturado]],Retenciones!$1:$1,0)</f>
        <v>6</v>
      </c>
      <c r="X530" s="99">
        <f>+VLOOKUP(PROVEEDORES[[#This Row],[ID RETENCION]],Retenciones!$A$1:$O$25,PROVEEDORES[[#This Row],[indicador de columna]],FALSE)</f>
        <v>0</v>
      </c>
      <c r="Y530" s="100">
        <f>+VLOOKUP(PROVEEDORES[[#This Row],[ID RETENCION]],Retenciones!$A$1:$O$25,2,FALSE)</f>
        <v>0</v>
      </c>
      <c r="Z530" s="103" t="b">
        <f>OR(COUNTIF(PROVEEDORES[[#This Row],[PROVEEDOR]],"*"&amp;'Palabra no opera'!$A$2&amp;"*"))</f>
        <v>0</v>
      </c>
    </row>
    <row r="531" spans="1:26" ht="22.35" customHeight="1" x14ac:dyDescent="0.25">
      <c r="A531" s="192" t="str">
        <f>+IF(PROVEEDORES[[#This Row],[FECHA DE PAGO]]=PROVEEDORES[[#This Row],[FECHA DE FACTURACIÓN]],"DE CONTADO","CRÉDITO")</f>
        <v>CRÉDITO</v>
      </c>
      <c r="B531" s="38" t="b">
        <f>+IF((PROVEEDORES[[#This Row],[FECHA DE PAGO]]-PROVEEDORES[[#This Row],[FECHA DE FACTURACIÓN]])&gt;PROVEEDORES[[#This Row],[PLAZO Días]],"PAGO VENCIDO")</f>
        <v>0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0</v>
      </c>
      <c r="E531" s="25"/>
      <c r="F53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1" s="289">
        <v>45054</v>
      </c>
      <c r="H531" s="26" t="s">
        <v>248</v>
      </c>
      <c r="I531" s="289">
        <v>45036</v>
      </c>
      <c r="J531" s="35" t="s">
        <v>782</v>
      </c>
      <c r="K531" s="21">
        <v>2649600</v>
      </c>
      <c r="L531" s="21"/>
      <c r="M531" s="22">
        <v>132480</v>
      </c>
      <c r="N531" s="23"/>
      <c r="O531" s="22">
        <f>+PROVEEDORES[[#This Row],[Descuento sobre subtotal %]]*(PROVEEDORES[[#This Row],[SUBTOTAL]]-PROVEEDORES[[#This Row],[descuento sobre subtotal]])</f>
        <v>0</v>
      </c>
      <c r="P531" s="72">
        <f>+IF(PROVEEDORES[[#This Row],[SUBTOTAL]]&lt;PROVEEDORES[[#This Row],[base retencion]],0,PROVEEDORES[[#This Row],[retención aplicada]])</f>
        <v>0</v>
      </c>
      <c r="Q531" s="22">
        <f>+PROVEEDORES[[#This Row],[Rete Fuente %]]*(PROVEEDORES[[#This Row],[SUBTOTAL]]-PROVEEDORES[[#This Row],[descuento sobre subtotal]])</f>
        <v>0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2782080</v>
      </c>
      <c r="S53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1">
        <f ca="1">IF(PROVEEDORES[[#This Row],[FECHA DE PAGO]]=0,TODAY()-PROVEEDORES[[#This Row],[FECHA DE FACTURACIÓN]]-PROVEEDORES[[#This Row],[PLAZO Días]],0)</f>
        <v>0</v>
      </c>
      <c r="U531" s="97">
        <f>+VLOOKUP(PROVEEDORES[[#This Row],[PROVEEDOR]],Terceros!$A:$D,4,FALSE)</f>
        <v>0</v>
      </c>
      <c r="V531" s="98">
        <f>+YEAR(PROVEEDORES[[#This Row],[FECHA DE FACTURACIÓN]])</f>
        <v>2023</v>
      </c>
      <c r="W531" s="98">
        <f>+MATCH(PROVEEDORES[[#This Row],[año facturado]],Retenciones!$1:$1,0)</f>
        <v>6</v>
      </c>
      <c r="X531" s="99">
        <f>+VLOOKUP(PROVEEDORES[[#This Row],[ID RETENCION]],Retenciones!$A$1:$O$25,PROVEEDORES[[#This Row],[indicador de columna]],FALSE)</f>
        <v>0</v>
      </c>
      <c r="Y531" s="100">
        <f>+VLOOKUP(PROVEEDORES[[#This Row],[ID RETENCION]],Retenciones!$A$1:$O$25,2,FALSE)</f>
        <v>0</v>
      </c>
      <c r="Z531" s="103" t="b">
        <f>OR(COUNTIF(PROVEEDORES[[#This Row],[PROVEEDOR]],"*"&amp;'Palabra no opera'!$A$2&amp;"*"))</f>
        <v>0</v>
      </c>
    </row>
    <row r="532" spans="1:26" ht="22.35" customHeight="1" x14ac:dyDescent="0.25">
      <c r="A532" s="65" t="str">
        <f>+IF(PROVEEDORES[[#This Row],[FECHA DE PAGO]]=PROVEEDORES[[#This Row],[FECHA DE FACTURACIÓN]],"DE CONTADO","CRÉDITO")</f>
        <v>CRÉDITO</v>
      </c>
      <c r="B532" s="38" t="str">
        <f>+IF((PROVEEDORES[[#This Row],[FECHA DE PAGO]]-PROVEEDORES[[#This Row],[FECHA DE FACTURACIÓN]])&gt;PROVEEDORES[[#This Row],[PLAZO Días]],"PAGO VENCIDO")</f>
        <v>PAGO VENCIDO</v>
      </c>
      <c r="C532" s="20">
        <f>+VLOOKUP(PROVEEDORES[[#This Row],[PROVEEDOR]],TERCEROS_INFO[#All],2,FALSE)</f>
        <v>30</v>
      </c>
      <c r="D532" s="25">
        <f>+SUMIFS(PROVEEDORES[Total],PROVEEDORES[PROVEEDOR],PROVEEDORES[[#This Row],[PROVEEDOR]],PROVEEDORES[FECHA DE PAGO],"")</f>
        <v>0</v>
      </c>
      <c r="E532" s="25"/>
      <c r="F53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2" s="289">
        <v>45173</v>
      </c>
      <c r="H532" s="26" t="s">
        <v>248</v>
      </c>
      <c r="I532" s="289">
        <v>45064</v>
      </c>
      <c r="J532" s="135" t="s">
        <v>1013</v>
      </c>
      <c r="K532" s="21">
        <v>-311718</v>
      </c>
      <c r="L532" s="21"/>
      <c r="M532" s="22">
        <f>(PROVEEDORES[[#This Row],[SUBTOTAL]]-PROVEEDORES[[#This Row],[descuento sobre subtotal]])*VLOOKUP(PROVEEDORES[[#This Row],[PROVEEDOR]],TERCEROS_INFO[#All],3,FALSE)</f>
        <v>-59226.42</v>
      </c>
      <c r="N532" s="23"/>
      <c r="O532" s="22">
        <f>+PROVEEDORES[[#This Row],[Descuento sobre subtotal %]]*(PROVEEDORES[[#This Row],[SUBTOTAL]]-PROVEEDORES[[#This Row],[descuento sobre subtotal]])</f>
        <v>0</v>
      </c>
      <c r="P532" s="72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f>+PROVEEDORES[[#This Row],[SUBTOTAL]]+PROVEEDORES[[#This Row],[IVA 19%]]-PROVEEDORES[[#This Row],[descuento sobre subtotal]]-PROVEEDORES[[#This Row],[Descuento sobre subtotal $2]]-PROVEEDORES[[#This Row],[Rete Fuente $]]</f>
        <v>-370944.42</v>
      </c>
      <c r="S5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1">
        <f ca="1">IF(PROVEEDORES[[#This Row],[FECHA DE PAGO]]=0,TODAY()-PROVEEDORES[[#This Row],[FECHA DE FACTURACIÓN]]-PROVEEDORES[[#This Row],[PLAZO Días]],0)</f>
        <v>0</v>
      </c>
      <c r="U532" s="97">
        <f>+VLOOKUP(PROVEEDORES[[#This Row],[PROVEEDOR]],Terceros!$A:$D,4,FALSE)</f>
        <v>0</v>
      </c>
      <c r="V532" s="98">
        <f>+YEAR(PROVEEDORES[[#This Row],[FECHA DE FACTURACIÓN]])</f>
        <v>2023</v>
      </c>
      <c r="W532" s="98">
        <f>+MATCH(PROVEEDORES[[#This Row],[año facturado]],Retenciones!$1:$1,0)</f>
        <v>6</v>
      </c>
      <c r="X532" s="99">
        <f>+VLOOKUP(PROVEEDORES[[#This Row],[ID RETENCION]],Retenciones!$A$1:$O$25,PROVEEDORES[[#This Row],[indicador de columna]],FALSE)</f>
        <v>0</v>
      </c>
      <c r="Y532" s="100">
        <f>+VLOOKUP(PROVEEDORES[[#This Row],[ID RETENCION]],Retenciones!$A$1:$O$25,2,FALSE)</f>
        <v>0</v>
      </c>
      <c r="Z532" s="103" t="b">
        <f>OR(COUNTIF(PROVEEDORES[[#This Row],[PROVEEDOR]],"*"&amp;'Palabra no opera'!$A$2&amp;"*"))</f>
        <v>0</v>
      </c>
    </row>
    <row r="533" spans="1:26" ht="22.35" customHeight="1" x14ac:dyDescent="0.25">
      <c r="A533" s="65" t="str">
        <f>+IF(PROVEEDORES[[#This Row],[FECHA DE PAGO]]=PROVEEDORES[[#This Row],[FECHA DE FACTURACIÓN]],"DE CONTADO","CRÉDITO")</f>
        <v>CRÉDITO</v>
      </c>
      <c r="B533" s="38" t="str">
        <f>+IF((PROVEEDORES[[#This Row],[FECHA DE PAGO]]-PROVEEDORES[[#This Row],[FECHA DE FACTURACIÓN]])&gt;PROVEEDORES[[#This Row],[PLAZO Días]],"PAGO VENCIDO")</f>
        <v>PAGO VENCIDO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0</v>
      </c>
      <c r="E533" s="25"/>
      <c r="F533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3" s="289">
        <v>45173</v>
      </c>
      <c r="H533" s="26" t="s">
        <v>248</v>
      </c>
      <c r="I533" s="289">
        <v>45107</v>
      </c>
      <c r="J533" s="135" t="s">
        <v>918</v>
      </c>
      <c r="K533" s="215">
        <v>1930400</v>
      </c>
      <c r="L533" s="21"/>
      <c r="M533" s="22">
        <f>(PROVEEDORES[[#This Row],[SUBTOTAL]]-PROVEEDORES[[#This Row],[descuento sobre subtotal]])*VLOOKUP(PROVEEDORES[[#This Row],[PROVEEDOR]],TERCEROS_INFO[#All],3,FALSE)</f>
        <v>366776</v>
      </c>
      <c r="N533" s="23"/>
      <c r="O533" s="22">
        <f>+PROVEEDORES[[#This Row],[Descuento sobre subtotal %]]*(PROVEEDORES[[#This Row],[SUBTOTAL]]-PROVEEDORES[[#This Row],[descuento sobre subtotal]])</f>
        <v>0</v>
      </c>
      <c r="P533" s="72">
        <f>+IF(PROVEEDORES[[#This Row],[SUBTOTAL]]&lt;PROVEEDORES[[#This Row],[base retencion]],0,PROVEEDORES[[#This Row],[retención aplicada]])</f>
        <v>0</v>
      </c>
      <c r="Q533" s="22">
        <f>+PROVEEDORES[[#This Row],[Rete Fuente %]]*(PROVEEDORES[[#This Row],[SUBTOTAL]]-PROVEEDORES[[#This Row],[descuento sobre subtotal]])</f>
        <v>0</v>
      </c>
      <c r="R533" s="21">
        <f>+PROVEEDORES[[#This Row],[SUBTOTAL]]+PROVEEDORES[[#This Row],[IVA 19%]]-PROVEEDORES[[#This Row],[descuento sobre subtotal]]-PROVEEDORES[[#This Row],[Descuento sobre subtotal $2]]-PROVEEDORES[[#This Row],[Rete Fuente $]]</f>
        <v>2297176</v>
      </c>
      <c r="S5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1">
        <f ca="1">IF(PROVEEDORES[[#This Row],[FECHA DE PAGO]]=0,TODAY()-PROVEEDORES[[#This Row],[FECHA DE FACTURACIÓN]]-PROVEEDORES[[#This Row],[PLAZO Días]],0)</f>
        <v>0</v>
      </c>
      <c r="U533" s="97">
        <f>+VLOOKUP(PROVEEDORES[[#This Row],[PROVEEDOR]],Terceros!$A:$D,4,FALSE)</f>
        <v>0</v>
      </c>
      <c r="V533" s="98">
        <f>+YEAR(PROVEEDORES[[#This Row],[FECHA DE FACTURACIÓN]])</f>
        <v>2023</v>
      </c>
      <c r="W533" s="98">
        <f>+MATCH(PROVEEDORES[[#This Row],[año facturado]],Retenciones!$1:$1,0)</f>
        <v>6</v>
      </c>
      <c r="X533" s="99">
        <f>+VLOOKUP(PROVEEDORES[[#This Row],[ID RETENCION]],Retenciones!$A$1:$O$25,PROVEEDORES[[#This Row],[indicador de columna]],FALSE)</f>
        <v>0</v>
      </c>
      <c r="Y533" s="100">
        <f>+VLOOKUP(PROVEEDORES[[#This Row],[ID RETENCION]],Retenciones!$A$1:$O$25,2,FALSE)</f>
        <v>0</v>
      </c>
      <c r="Z533" s="103" t="b">
        <f>OR(COUNTIF(PROVEEDORES[[#This Row],[PROVEEDOR]],"*"&amp;'Palabra no opera'!$A$2&amp;"*"))</f>
        <v>0</v>
      </c>
    </row>
    <row r="534" spans="1:26" ht="22.35" customHeight="1" x14ac:dyDescent="0.25">
      <c r="A534" s="213" t="str">
        <f>+IF(PROVEEDORES[[#This Row],[FECHA DE PAGO]]=PROVEEDORES[[#This Row],[FECHA DE FACTURACIÓN]],"DE CONTADO","CRÉDITO")</f>
        <v>CRÉDITO</v>
      </c>
      <c r="B534" s="38" t="str">
        <f>+IF((PROVEEDORES[[#This Row],[FECHA DE PAGO]]-PROVEEDORES[[#This Row],[FECHA DE FACTURACIÓN]])&gt;PROVEEDORES[[#This Row],[PLAZO Días]],"PAGO VENCIDO")</f>
        <v>PAGO VENCIDO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0</v>
      </c>
      <c r="E534" s="25"/>
      <c r="F53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4" s="289">
        <v>45173</v>
      </c>
      <c r="H534" s="26" t="s">
        <v>248</v>
      </c>
      <c r="I534" s="289">
        <v>45111</v>
      </c>
      <c r="J534" s="35" t="s">
        <v>953</v>
      </c>
      <c r="K534" s="21">
        <v>792936</v>
      </c>
      <c r="L534" s="21"/>
      <c r="M534" s="22">
        <f>(PROVEEDORES[[#This Row],[SUBTOTAL]]-PROVEEDORES[[#This Row],[descuento sobre subtotal]])*VLOOKUP(PROVEEDORES[[#This Row],[PROVEEDOR]],TERCEROS_INFO[#All],3,FALSE)</f>
        <v>150657.84</v>
      </c>
      <c r="N534" s="23"/>
      <c r="O534" s="22">
        <f>+PROVEEDORES[[#This Row],[Descuento sobre subtotal %]]*(PROVEEDORES[[#This Row],[SUBTOTAL]]-PROVEEDORES[[#This Row],[descuento sobre subtotal]])</f>
        <v>0</v>
      </c>
      <c r="P534" s="72">
        <f>+IF(PROVEEDORES[[#This Row],[SUBTOTAL]]&lt;PROVEEDORES[[#This Row],[base retencion]],0,PROVEEDORES[[#This Row],[retención aplicada]])</f>
        <v>0</v>
      </c>
      <c r="Q534" s="22">
        <f>+PROVEEDORES[[#This Row],[Rete Fuente %]]*(PROVEEDORES[[#This Row],[SUBTOTAL]]-PROVEEDORES[[#This Row],[descuento sobre subtotal]])</f>
        <v>0</v>
      </c>
      <c r="R534" s="21">
        <f>+PROVEEDORES[[#This Row],[SUBTOTAL]]+PROVEEDORES[[#This Row],[IVA 19%]]-PROVEEDORES[[#This Row],[descuento sobre subtotal]]-PROVEEDORES[[#This Row],[Descuento sobre subtotal $2]]-PROVEEDORES[[#This Row],[Rete Fuente $]]</f>
        <v>943593.84</v>
      </c>
      <c r="S534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1">
        <f ca="1">IF(PROVEEDORES[[#This Row],[FECHA DE PAGO]]=0,TODAY()-PROVEEDORES[[#This Row],[FECHA DE FACTURACIÓN]]-PROVEEDORES[[#This Row],[PLAZO Días]],0)</f>
        <v>0</v>
      </c>
      <c r="U534" s="97">
        <f>+VLOOKUP(PROVEEDORES[[#This Row],[PROVEEDOR]],Terceros!$A:$D,4,FALSE)</f>
        <v>0</v>
      </c>
      <c r="V534" s="98">
        <f>+YEAR(PROVEEDORES[[#This Row],[FECHA DE FACTURACIÓN]])</f>
        <v>2023</v>
      </c>
      <c r="W534" s="98">
        <f>+MATCH(PROVEEDORES[[#This Row],[año facturado]],Retenciones!$1:$1,0)</f>
        <v>6</v>
      </c>
      <c r="X534" s="99">
        <f>+VLOOKUP(PROVEEDORES[[#This Row],[ID RETENCION]],Retenciones!$A$1:$O$25,PROVEEDORES[[#This Row],[indicador de columna]],FALSE)</f>
        <v>0</v>
      </c>
      <c r="Y534" s="100">
        <f>+VLOOKUP(PROVEEDORES[[#This Row],[ID RETENCION]],Retenciones!$A$1:$O$25,2,FALSE)</f>
        <v>0</v>
      </c>
      <c r="Z534" s="103" t="b">
        <f>OR(COUNTIF(PROVEEDORES[[#This Row],[PROVEEDOR]],"*"&amp;'Palabra no opera'!$A$2&amp;"*"))</f>
        <v>0</v>
      </c>
    </row>
    <row r="535" spans="1:26" ht="22.35" customHeight="1" x14ac:dyDescent="0.25">
      <c r="A535" s="213" t="str">
        <f>+IF(PROVEEDORES[[#This Row],[FECHA DE PAGO]]=PROVEEDORES[[#This Row],[FECHA DE FACTURACIÓN]],"DE CONTADO","CRÉDITO")</f>
        <v>CRÉDITO</v>
      </c>
      <c r="B535" s="38" t="str">
        <f>+IF((PROVEEDORES[[#This Row],[FECHA DE PAGO]]-PROVEEDORES[[#This Row],[FECHA DE FACTURACIÓN]])&gt;PROVEEDORES[[#This Row],[PLAZO Días]],"PAGO VENCIDO")</f>
        <v>PAGO VENCIDO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0</v>
      </c>
      <c r="E535" s="25"/>
      <c r="F53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5" s="289">
        <v>45173</v>
      </c>
      <c r="H535" s="26" t="s">
        <v>248</v>
      </c>
      <c r="I535" s="289">
        <v>45111</v>
      </c>
      <c r="J535" s="35" t="s">
        <v>954</v>
      </c>
      <c r="K535" s="21">
        <v>528624</v>
      </c>
      <c r="L535" s="21"/>
      <c r="M535" s="22">
        <f>(PROVEEDORES[[#This Row],[SUBTOTAL]]-PROVEEDORES[[#This Row],[descuento sobre subtotal]])*VLOOKUP(PROVEEDORES[[#This Row],[PROVEEDOR]],TERCEROS_INFO[#All],3,FALSE)</f>
        <v>100438.56</v>
      </c>
      <c r="N535" s="23"/>
      <c r="O535" s="22">
        <f>+PROVEEDORES[[#This Row],[Descuento sobre subtotal %]]*(PROVEEDORES[[#This Row],[SUBTOTAL]]-PROVEEDORES[[#This Row],[descuento sobre subtotal]])</f>
        <v>0</v>
      </c>
      <c r="P535" s="72">
        <f>+IF(PROVEEDORES[[#This Row],[SUBTOTAL]]&lt;PROVEEDORES[[#This Row],[base retencion]],0,PROVEEDORES[[#This Row],[retención aplicada]])</f>
        <v>0</v>
      </c>
      <c r="Q535" s="22">
        <f>+PROVEEDORES[[#This Row],[Rete Fuente %]]*(PROVEEDORES[[#This Row],[SUBTOTAL]]-PROVEEDORES[[#This Row],[descuento sobre subtotal]])</f>
        <v>0</v>
      </c>
      <c r="R535" s="21">
        <f>+PROVEEDORES[[#This Row],[SUBTOTAL]]+PROVEEDORES[[#This Row],[IVA 19%]]-PROVEEDORES[[#This Row],[descuento sobre subtotal]]-PROVEEDORES[[#This Row],[Descuento sobre subtotal $2]]-PROVEEDORES[[#This Row],[Rete Fuente $]]</f>
        <v>629062.56000000006</v>
      </c>
      <c r="S535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1">
        <f ca="1">IF(PROVEEDORES[[#This Row],[FECHA DE PAGO]]=0,TODAY()-PROVEEDORES[[#This Row],[FECHA DE FACTURACIÓN]]-PROVEEDORES[[#This Row],[PLAZO Días]],0)</f>
        <v>0</v>
      </c>
      <c r="U535" s="97">
        <f>+VLOOKUP(PROVEEDORES[[#This Row],[PROVEEDOR]],Terceros!$A:$D,4,FALSE)</f>
        <v>0</v>
      </c>
      <c r="V535" s="98">
        <f>+YEAR(PROVEEDORES[[#This Row],[FECHA DE FACTURACIÓN]])</f>
        <v>2023</v>
      </c>
      <c r="W535" s="98">
        <f>+MATCH(PROVEEDORES[[#This Row],[año facturado]],Retenciones!$1:$1,0)</f>
        <v>6</v>
      </c>
      <c r="X535" s="99">
        <f>+VLOOKUP(PROVEEDORES[[#This Row],[ID RETENCION]],Retenciones!$A$1:$O$25,PROVEEDORES[[#This Row],[indicador de columna]],FALSE)</f>
        <v>0</v>
      </c>
      <c r="Y535" s="100">
        <f>+VLOOKUP(PROVEEDORES[[#This Row],[ID RETENCION]],Retenciones!$A$1:$O$25,2,FALSE)</f>
        <v>0</v>
      </c>
      <c r="Z535" s="103" t="b">
        <f>OR(COUNTIF(PROVEEDORES[[#This Row],[PROVEEDOR]],"*"&amp;'Palabra no opera'!$A$2&amp;"*"))</f>
        <v>0</v>
      </c>
    </row>
    <row r="536" spans="1:26" ht="22.35" customHeight="1" x14ac:dyDescent="0.25">
      <c r="A536" s="65" t="str">
        <f>+IF(PROVEEDORES[[#This Row],[FECHA DE PAGO]]=PROVEEDORES[[#This Row],[FECHA DE FACTURACIÓN]],"DE CONTADO","CRÉDITO")</f>
        <v>CRÉDITO</v>
      </c>
      <c r="B536" s="38" t="str">
        <f>+IF((PROVEEDORES[[#This Row],[FECHA DE PAGO]]-PROVEEDORES[[#This Row],[FECHA DE FACTURACIÓN]])&gt;PROVEEDORES[[#This Row],[PLAZO Días]],"PAGO VENCIDO")</f>
        <v>PAGO VENCIDO</v>
      </c>
      <c r="C536" s="20">
        <f>+VLOOKUP(PROVEEDORES[[#This Row],[PROVEEDOR]],TERCEROS_INFO[#All],2,FALSE)</f>
        <v>30</v>
      </c>
      <c r="D536" s="25">
        <f>+SUMIFS(PROVEEDORES[Total],PROVEEDORES[PROVEEDOR],PROVEEDORES[[#This Row],[PROVEEDOR]],PROVEEDORES[FECHA DE PAGO],"")</f>
        <v>0</v>
      </c>
      <c r="E536" s="25"/>
      <c r="F536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6" s="289">
        <v>45264</v>
      </c>
      <c r="H536" s="26" t="s">
        <v>248</v>
      </c>
      <c r="I536" s="289">
        <v>45211</v>
      </c>
      <c r="J536" s="35" t="s">
        <v>1207</v>
      </c>
      <c r="K536" s="21">
        <v>4607250</v>
      </c>
      <c r="L536" s="21">
        <v>2503486</v>
      </c>
      <c r="M536" s="22">
        <f>(PROVEEDORES[[#This Row],[SUBTOTAL]]-PROVEEDORES[[#This Row],[descuento sobre subtotal]])*VLOOKUP(PROVEEDORES[[#This Row],[PROVEEDOR]],TERCEROS_INFO[#All],3,FALSE)</f>
        <v>399715.16000000003</v>
      </c>
      <c r="N536" s="23"/>
      <c r="O536" s="22">
        <f>+PROVEEDORES[[#This Row],[Descuento sobre subtotal %]]*(PROVEEDORES[[#This Row],[SUBTOTAL]]-PROVEEDORES[[#This Row],[descuento sobre subtotal]])</f>
        <v>0</v>
      </c>
      <c r="P536" s="72">
        <f>+IF(PROVEEDORES[[#This Row],[SUBTOTAL]]&lt;PROVEEDORES[[#This Row],[base retencion]],0,PROVEEDORES[[#This Row],[retención aplicada]])</f>
        <v>0</v>
      </c>
      <c r="Q536" s="22">
        <f>+PROVEEDORES[[#This Row],[Rete Fuente %]]*(PROVEEDORES[[#This Row],[SUBTOTAL]]-PROVEEDORES[[#This Row],[descuento sobre subtotal]])</f>
        <v>0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2503479.16</v>
      </c>
      <c r="S5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1">
        <f ca="1">IF(PROVEEDORES[[#This Row],[FECHA DE PAGO]]=0,TODAY()-PROVEEDORES[[#This Row],[FECHA DE FACTURACIÓN]]-PROVEEDORES[[#This Row],[PLAZO Días]],0)</f>
        <v>0</v>
      </c>
      <c r="U536" s="97">
        <f>+VLOOKUP(PROVEEDORES[[#This Row],[PROVEEDOR]],Terceros!$A:$D,4,FALSE)</f>
        <v>0</v>
      </c>
      <c r="V536" s="98">
        <f>+YEAR(PROVEEDORES[[#This Row],[FECHA DE FACTURACIÓN]])</f>
        <v>2023</v>
      </c>
      <c r="W536" s="98">
        <f>+MATCH(PROVEEDORES[[#This Row],[año facturado]],Retenciones!$1:$1,0)</f>
        <v>6</v>
      </c>
      <c r="X536" s="99">
        <f>+VLOOKUP(PROVEEDORES[[#This Row],[ID RETENCION]],Retenciones!$A$1:$O$25,PROVEEDORES[[#This Row],[indicador de columna]],FALSE)</f>
        <v>0</v>
      </c>
      <c r="Y536" s="100">
        <f>+VLOOKUP(PROVEEDORES[[#This Row],[ID RETENCION]],Retenciones!$A$1:$O$25,2,FALSE)</f>
        <v>0</v>
      </c>
      <c r="Z536" s="103" t="b">
        <f>OR(COUNTIF(PROVEEDORES[[#This Row],[PROVEEDOR]],"*"&amp;'Palabra no opera'!$A$2&amp;"*"))</f>
        <v>0</v>
      </c>
    </row>
    <row r="537" spans="1:26" ht="22.35" customHeight="1" x14ac:dyDescent="0.25">
      <c r="A537" s="65" t="str">
        <f>+IF(PROVEEDORES[[#This Row],[FECHA DE PAGO]]=PROVEEDORES[[#This Row],[FECHA DE FACTURACIÓN]],"DE CONTADO","CRÉDITO")</f>
        <v>CRÉDITO</v>
      </c>
      <c r="B537" s="38" t="str">
        <f>+IF((PROVEEDORES[[#This Row],[FECHA DE PAGO]]-PROVEEDORES[[#This Row],[FECHA DE FACTURACIÓN]])&gt;PROVEEDORES[[#This Row],[PLAZO Días]],"PAGO VENCIDO")</f>
        <v>PAGO VENCIDO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0</v>
      </c>
      <c r="E537" s="25"/>
      <c r="F53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7" s="289">
        <v>45264</v>
      </c>
      <c r="H537" s="26" t="s">
        <v>248</v>
      </c>
      <c r="I537" s="289">
        <v>45217</v>
      </c>
      <c r="J537" s="35" t="s">
        <v>1208</v>
      </c>
      <c r="K537" s="21">
        <v>1976704</v>
      </c>
      <c r="L537" s="21">
        <v>1164940</v>
      </c>
      <c r="M537" s="22">
        <f>(PROVEEDORES[[#This Row],[SUBTOTAL]]-PROVEEDORES[[#This Row],[descuento sobre subtotal]])*VLOOKUP(PROVEEDORES[[#This Row],[PROVEEDOR]],TERCEROS_INFO[#All],3,FALSE)</f>
        <v>154235.16</v>
      </c>
      <c r="N537" s="23"/>
      <c r="O537" s="22">
        <f>+PROVEEDORES[[#This Row],[Descuento sobre subtotal %]]*(PROVEEDORES[[#This Row],[SUBTOTAL]]-PROVEEDORES[[#This Row],[descuento sobre subtotal]])</f>
        <v>0</v>
      </c>
      <c r="P537" s="72">
        <f>+IF(PROVEEDORES[[#This Row],[SUBTOTAL]]&lt;PROVEEDORES[[#This Row],[base retencion]],0,PROVEEDORES[[#This Row],[retención aplicada]])</f>
        <v>0</v>
      </c>
      <c r="Q537" s="22">
        <f>+PROVEEDORES[[#This Row],[Rete Fuente %]]*(PROVEEDORES[[#This Row],[SUBTOTAL]]-PROVEEDORES[[#This Row],[descuento sobre subtotal]])</f>
        <v>0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965999.16000000015</v>
      </c>
      <c r="S53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1">
        <f ca="1">IF(PROVEEDORES[[#This Row],[FECHA DE PAGO]]=0,TODAY()-PROVEEDORES[[#This Row],[FECHA DE FACTURACIÓN]]-PROVEEDORES[[#This Row],[PLAZO Días]],0)</f>
        <v>0</v>
      </c>
      <c r="U537" s="97">
        <f>+VLOOKUP(PROVEEDORES[[#This Row],[PROVEEDOR]],Terceros!$A:$D,4,FALSE)</f>
        <v>0</v>
      </c>
      <c r="V537" s="98">
        <f>+YEAR(PROVEEDORES[[#This Row],[FECHA DE FACTURACIÓN]])</f>
        <v>2023</v>
      </c>
      <c r="W537" s="98">
        <f>+MATCH(PROVEEDORES[[#This Row],[año facturado]],Retenciones!$1:$1,0)</f>
        <v>6</v>
      </c>
      <c r="X537" s="99">
        <f>+VLOOKUP(PROVEEDORES[[#This Row],[ID RETENCION]],Retenciones!$A$1:$O$25,PROVEEDORES[[#This Row],[indicador de columna]],FALSE)</f>
        <v>0</v>
      </c>
      <c r="Y537" s="100">
        <f>+VLOOKUP(PROVEEDORES[[#This Row],[ID RETENCION]],Retenciones!$A$1:$O$25,2,FALSE)</f>
        <v>0</v>
      </c>
      <c r="Z537" s="103" t="b">
        <f>OR(COUNTIF(PROVEEDORES[[#This Row],[PROVEEDOR]],"*"&amp;'Palabra no opera'!$A$2&amp;"*"))</f>
        <v>0</v>
      </c>
    </row>
    <row r="538" spans="1:26" ht="22.35" customHeight="1" x14ac:dyDescent="0.25">
      <c r="A538" s="65" t="str">
        <f>+IF(PROVEEDORES[[#This Row],[FECHA DE PAGO]]=PROVEEDORES[[#This Row],[FECHA DE FACTURACIÓN]],"DE CONTADO","CRÉDITO")</f>
        <v>CRÉDITO</v>
      </c>
      <c r="B538" s="38" t="str">
        <f>+IF((PROVEEDORES[[#This Row],[FECHA DE PAGO]]-PROVEEDORES[[#This Row],[FECHA DE FACTURACIÓN]])&gt;PROVEEDORES[[#This Row],[PLAZO Días]],"PAGO VENCIDO")</f>
        <v>PAGO VENCIDO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0</v>
      </c>
      <c r="E538" s="25"/>
      <c r="F53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8" s="289">
        <v>45264</v>
      </c>
      <c r="H538" s="26" t="s">
        <v>248</v>
      </c>
      <c r="I538" s="289">
        <v>45219</v>
      </c>
      <c r="J538" s="35" t="s">
        <v>1209</v>
      </c>
      <c r="K538" s="21">
        <v>464214</v>
      </c>
      <c r="L538" s="21">
        <v>236214</v>
      </c>
      <c r="M538" s="22">
        <f>(PROVEEDORES[[#This Row],[SUBTOTAL]]-PROVEEDORES[[#This Row],[descuento sobre subtotal]])*VLOOKUP(PROVEEDORES[[#This Row],[PROVEEDOR]],TERCEROS_INFO[#All],3,FALSE)</f>
        <v>43320</v>
      </c>
      <c r="N538" s="23"/>
      <c r="O538" s="22">
        <f>+PROVEEDORES[[#This Row],[Descuento sobre subtotal %]]*(PROVEEDORES[[#This Row],[SUBTOTAL]]-PROVEEDORES[[#This Row],[descuento sobre subtotal]])</f>
        <v>0</v>
      </c>
      <c r="P538" s="72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271320</v>
      </c>
      <c r="S5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1">
        <f ca="1">IF(PROVEEDORES[[#This Row],[FECHA DE PAGO]]=0,TODAY()-PROVEEDORES[[#This Row],[FECHA DE FACTURACIÓN]]-PROVEEDORES[[#This Row],[PLAZO Días]],0)</f>
        <v>0</v>
      </c>
      <c r="U538" s="97">
        <f>+VLOOKUP(PROVEEDORES[[#This Row],[PROVEEDOR]],Terceros!$A:$D,4,FALSE)</f>
        <v>0</v>
      </c>
      <c r="V538" s="98">
        <f>+YEAR(PROVEEDORES[[#This Row],[FECHA DE FACTURACIÓN]])</f>
        <v>2023</v>
      </c>
      <c r="W538" s="98">
        <f>+MATCH(PROVEEDORES[[#This Row],[año facturado]],Retenciones!$1:$1,0)</f>
        <v>6</v>
      </c>
      <c r="X538" s="99">
        <f>+VLOOKUP(PROVEEDORES[[#This Row],[ID RETENCION]],Retenciones!$A$1:$O$25,PROVEEDORES[[#This Row],[indicador de columna]],FALSE)</f>
        <v>0</v>
      </c>
      <c r="Y538" s="100">
        <f>+VLOOKUP(PROVEEDORES[[#This Row],[ID RETENCION]],Retenciones!$A$1:$O$25,2,FALSE)</f>
        <v>0</v>
      </c>
      <c r="Z538" s="103" t="b">
        <f>OR(COUNTIF(PROVEEDORES[[#This Row],[PROVEEDOR]],"*"&amp;'Palabra no opera'!$A$2&amp;"*"))</f>
        <v>0</v>
      </c>
    </row>
    <row r="539" spans="1:26" ht="22.35" customHeight="1" x14ac:dyDescent="0.25">
      <c r="A539" s="65" t="str">
        <f>+IF(PROVEEDORES[[#This Row],[FECHA DE PAGO]]=PROVEEDORES[[#This Row],[FECHA DE FACTURACIÓN]],"DE CONTADO","CRÉDITO")</f>
        <v>CRÉDITO</v>
      </c>
      <c r="B539" s="38" t="str">
        <f>+IF((PROVEEDORES[[#This Row],[FECHA DE PAGO]]-PROVEEDORES[[#This Row],[FECHA DE FACTURACIÓN]])&gt;PROVEEDORES[[#This Row],[PLAZO Días]],"PAGO VENCIDO")</f>
        <v>PAGO VENCIDO</v>
      </c>
      <c r="C539" s="20">
        <f>+VLOOKUP(PROVEEDORES[[#This Row],[PROVEEDOR]],TERCEROS_INFO[#All],2,FALSE)</f>
        <v>30</v>
      </c>
      <c r="D539" s="25">
        <f>+SUMIFS(PROVEEDORES[Total],PROVEEDORES[PROVEEDOR],PROVEEDORES[[#This Row],[PROVEEDOR]],PROVEEDORES[FECHA DE PAGO],"")</f>
        <v>0</v>
      </c>
      <c r="E539" s="25"/>
      <c r="F53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39" s="289">
        <v>45288</v>
      </c>
      <c r="H539" s="26" t="s">
        <v>248</v>
      </c>
      <c r="I539" s="289">
        <v>45253</v>
      </c>
      <c r="J539" s="35" t="s">
        <v>1370</v>
      </c>
      <c r="K539" s="21">
        <v>4760520</v>
      </c>
      <c r="L539" s="21">
        <v>2482280</v>
      </c>
      <c r="M539" s="22">
        <f>(PROVEEDORES[[#This Row],[SUBTOTAL]]-PROVEEDORES[[#This Row],[descuento sobre subtotal]])*VLOOKUP(PROVEEDORES[[#This Row],[PROVEEDOR]],TERCEROS_INFO[#All],3,FALSE)</f>
        <v>432865.6</v>
      </c>
      <c r="N539" s="23"/>
      <c r="O539" s="22">
        <f>+PROVEEDORES[[#This Row],[Descuento sobre subtotal %]]*(PROVEEDORES[[#This Row],[SUBTOTAL]]-PROVEEDORES[[#This Row],[descuento sobre subtotal]])</f>
        <v>0</v>
      </c>
      <c r="P539" s="72">
        <f>+IF(PROVEEDORES[[#This Row],[SUBTOTAL]]&lt;PROVEEDORES[[#This Row],[base retencion]],0,PROVEEDORES[[#This Row],[retención aplicada]])</f>
        <v>0</v>
      </c>
      <c r="Q539" s="22">
        <f>+PROVEEDORES[[#This Row],[Rete Fuente %]]*(PROVEEDORES[[#This Row],[SUBTOTAL]]-PROVEEDORES[[#This Row],[descuento sobre subtotal]])</f>
        <v>0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2711105.5999999996</v>
      </c>
      <c r="S5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1">
        <f ca="1">IF(PROVEEDORES[[#This Row],[FECHA DE PAGO]]=0,TODAY()-PROVEEDORES[[#This Row],[FECHA DE FACTURACIÓN]]-PROVEEDORES[[#This Row],[PLAZO Días]],0)</f>
        <v>0</v>
      </c>
      <c r="U539" s="97">
        <f>+VLOOKUP(PROVEEDORES[[#This Row],[PROVEEDOR]],Terceros!$A:$D,4,FALSE)</f>
        <v>0</v>
      </c>
      <c r="V539" s="98">
        <f>+YEAR(PROVEEDORES[[#This Row],[FECHA DE FACTURACIÓN]])</f>
        <v>2023</v>
      </c>
      <c r="W539" s="98">
        <f>+MATCH(PROVEEDORES[[#This Row],[año facturado]],Retenciones!$1:$1,0)</f>
        <v>6</v>
      </c>
      <c r="X539" s="99">
        <f>+VLOOKUP(PROVEEDORES[[#This Row],[ID RETENCION]],Retenciones!$A$1:$O$25,PROVEEDORES[[#This Row],[indicador de columna]],FALSE)</f>
        <v>0</v>
      </c>
      <c r="Y539" s="100">
        <f>+VLOOKUP(PROVEEDORES[[#This Row],[ID RETENCION]],Retenciones!$A$1:$O$25,2,FALSE)</f>
        <v>0</v>
      </c>
      <c r="Z539" s="103" t="b">
        <f>OR(COUNTIF(PROVEEDORES[[#This Row],[PROVEEDOR]],"*"&amp;'Palabra no opera'!$A$2&amp;"*"))</f>
        <v>0</v>
      </c>
    </row>
    <row r="540" spans="1:26" ht="22.35" customHeight="1" x14ac:dyDescent="0.25">
      <c r="A540" s="65" t="str">
        <f>+IF(PROVEEDORES[[#This Row],[FECHA DE PAGO]]=PROVEEDORES[[#This Row],[FECHA DE FACTURACIÓN]],"DE CONTADO","CRÉDITO")</f>
        <v>CRÉDITO</v>
      </c>
      <c r="B540" s="38" t="str">
        <f>+IF((PROVEEDORES[[#This Row],[FECHA DE PAGO]]-PROVEEDORES[[#This Row],[FECHA DE FACTURACIÓN]])&gt;PROVEEDORES[[#This Row],[PLAZO Días]],"PAGO VENCIDO")</f>
        <v>PAGO VENCIDO</v>
      </c>
      <c r="C540" s="20">
        <f>+VLOOKUP(PROVEEDORES[[#This Row],[PROVEEDOR]],TERCEROS_INFO[#All],2,FALSE)</f>
        <v>30</v>
      </c>
      <c r="D540" s="25">
        <f>+SUMIFS(PROVEEDORES[Total],PROVEEDORES[PROVEEDOR],PROVEEDORES[[#This Row],[PROVEEDOR]],PROVEEDORES[FECHA DE PAGO],"")</f>
        <v>380979.69</v>
      </c>
      <c r="E540" s="25"/>
      <c r="F54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0" s="289">
        <v>45064</v>
      </c>
      <c r="H540" s="26" t="s">
        <v>534</v>
      </c>
      <c r="I540" s="289">
        <v>45013</v>
      </c>
      <c r="J540" s="35" t="s">
        <v>709</v>
      </c>
      <c r="K540" s="21">
        <v>722520</v>
      </c>
      <c r="L540" s="21"/>
      <c r="M540" s="22">
        <f>(PROVEEDORES[[#This Row],[SUBTOTAL]]-PROVEEDORES[[#This Row],[descuento sobre subtotal]])*VLOOKUP(PROVEEDORES[[#This Row],[PROVEEDOR]],TERCEROS_INFO[#All],3,FALSE)</f>
        <v>137278.79999999999</v>
      </c>
      <c r="N540" s="23"/>
      <c r="O540" s="22">
        <f>+PROVEEDORES[[#This Row],[Descuento sobre subtotal %]]*(PROVEEDORES[[#This Row],[SUBTOTAL]]-PROVEEDORES[[#This Row],[descuento sobre subtotal]])</f>
        <v>0</v>
      </c>
      <c r="P540" s="72">
        <f>+IF(PROVEEDORES[[#This Row],[SUBTOTAL]]&lt;PROVEEDORES[[#This Row],[base retencion]],0,PROVEEDORES[[#This Row],[retención aplicada]])</f>
        <v>0</v>
      </c>
      <c r="Q540" s="22">
        <f>+PROVEEDORES[[#This Row],[Rete Fuente %]]*(PROVEEDORES[[#This Row],[SUBTOTAL]]-PROVEEDORES[[#This Row],[descuento sobre subtotal]])</f>
        <v>0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859798.8</v>
      </c>
      <c r="S54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1">
        <f ca="1">IF(PROVEEDORES[[#This Row],[FECHA DE PAGO]]=0,TODAY()-PROVEEDORES[[#This Row],[FECHA DE FACTURACIÓN]]-PROVEEDORES[[#This Row],[PLAZO Días]],0)</f>
        <v>0</v>
      </c>
      <c r="U540" s="97">
        <f>+VLOOKUP(PROVEEDORES[[#This Row],[PROVEEDOR]],Terceros!$A:$D,4,FALSE)</f>
        <v>0</v>
      </c>
      <c r="V540" s="98">
        <f>+YEAR(PROVEEDORES[[#This Row],[FECHA DE FACTURACIÓN]])</f>
        <v>2023</v>
      </c>
      <c r="W540" s="98">
        <f>+MATCH(PROVEEDORES[[#This Row],[año facturado]],Retenciones!$1:$1,0)</f>
        <v>6</v>
      </c>
      <c r="X540" s="99">
        <f>+VLOOKUP(PROVEEDORES[[#This Row],[ID RETENCION]],Retenciones!$A$1:$O$25,PROVEEDORES[[#This Row],[indicador de columna]],FALSE)</f>
        <v>0</v>
      </c>
      <c r="Y540" s="100">
        <f>+VLOOKUP(PROVEEDORES[[#This Row],[ID RETENCION]],Retenciones!$A$1:$O$25,2,FALSE)</f>
        <v>0</v>
      </c>
      <c r="Z540" s="103" t="b">
        <f>OR(COUNTIF(PROVEEDORES[[#This Row],[PROVEEDOR]],"*"&amp;'Palabra no opera'!$A$2&amp;"*"))</f>
        <v>1</v>
      </c>
    </row>
    <row r="541" spans="1:26" ht="22.35" customHeight="1" x14ac:dyDescent="0.25">
      <c r="A541" s="65" t="str">
        <f>+IF(PROVEEDORES[[#This Row],[FECHA DE PAGO]]=PROVEEDORES[[#This Row],[FECHA DE FACTURACIÓN]],"DE CONTADO","CRÉDITO")</f>
        <v>CRÉDITO</v>
      </c>
      <c r="B541" s="38" t="str">
        <f>+IF((PROVEEDORES[[#This Row],[FECHA DE PAGO]]-PROVEEDORES[[#This Row],[FECHA DE FACTURACIÓN]])&gt;PROVEEDORES[[#This Row],[PLAZO Días]],"PAGO VENCIDO")</f>
        <v>PAGO VENCIDO</v>
      </c>
      <c r="C541" s="20">
        <f>+VLOOKUP(PROVEEDORES[[#This Row],[PROVEEDOR]],TERCEROS_INFO[#All],2,FALSE)</f>
        <v>30</v>
      </c>
      <c r="D541" s="25">
        <f>+SUMIFS(PROVEEDORES[Total],PROVEEDORES[PROVEEDOR],PROVEEDORES[[#This Row],[PROVEEDOR]],PROVEEDORES[FECHA DE PAGO],"")</f>
        <v>380979.69</v>
      </c>
      <c r="E541" s="25"/>
      <c r="F541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1" s="289">
        <v>45077</v>
      </c>
      <c r="H541" s="26" t="s">
        <v>393</v>
      </c>
      <c r="I541" s="289">
        <v>45013</v>
      </c>
      <c r="J541" s="35" t="s">
        <v>806</v>
      </c>
      <c r="K541" s="21">
        <v>2167560</v>
      </c>
      <c r="L541" s="21"/>
      <c r="M541" s="22">
        <f>(PROVEEDORES[[#This Row],[SUBTOTAL]]-PROVEEDORES[[#This Row],[descuento sobre subtotal]])*VLOOKUP(PROVEEDORES[[#This Row],[PROVEEDOR]],TERCEROS_INFO[#All],3,FALSE)</f>
        <v>411836.4</v>
      </c>
      <c r="N541" s="23"/>
      <c r="O541" s="22">
        <f>+PROVEEDORES[[#This Row],[Descuento sobre subtotal %]]*(PROVEEDORES[[#This Row],[SUBTOTAL]]-PROVEEDORES[[#This Row],[descuento sobre subtotal]])</f>
        <v>0</v>
      </c>
      <c r="P541" s="72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2579396.4</v>
      </c>
      <c r="S54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1">
        <f ca="1">IF(PROVEEDORES[[#This Row],[FECHA DE PAGO]]=0,TODAY()-PROVEEDORES[[#This Row],[FECHA DE FACTURACIÓN]]-PROVEEDORES[[#This Row],[PLAZO Días]],0)</f>
        <v>0</v>
      </c>
      <c r="U541" s="97">
        <f>+VLOOKUP(PROVEEDORES[[#This Row],[PROVEEDOR]],Terceros!$A:$D,4,FALSE)</f>
        <v>0</v>
      </c>
      <c r="V541" s="98">
        <f>+YEAR(PROVEEDORES[[#This Row],[FECHA DE FACTURACIÓN]])</f>
        <v>2023</v>
      </c>
      <c r="W541" s="98">
        <f>+MATCH(PROVEEDORES[[#This Row],[año facturado]],Retenciones!$1:$1,0)</f>
        <v>6</v>
      </c>
      <c r="X541" s="99">
        <f>+VLOOKUP(PROVEEDORES[[#This Row],[ID RETENCION]],Retenciones!$A$1:$O$25,PROVEEDORES[[#This Row],[indicador de columna]],FALSE)</f>
        <v>0</v>
      </c>
      <c r="Y541" s="100">
        <f>+VLOOKUP(PROVEEDORES[[#This Row],[ID RETENCION]],Retenciones!$A$1:$O$25,2,FALSE)</f>
        <v>0</v>
      </c>
      <c r="Z541" s="103" t="b">
        <f>OR(COUNTIF(PROVEEDORES[[#This Row],[PROVEEDOR]],"*"&amp;'Palabra no opera'!$A$2&amp;"*"))</f>
        <v>1</v>
      </c>
    </row>
    <row r="542" spans="1:26" ht="22.35" customHeight="1" x14ac:dyDescent="0.25">
      <c r="A542" s="192" t="str">
        <f>+IF(PROVEEDORES[[#This Row],[FECHA DE PAGO]]=PROVEEDORES[[#This Row],[FECHA DE FACTURACIÓN]],"DE CONTADO","CRÉDITO")</f>
        <v>CRÉDITO</v>
      </c>
      <c r="B542" s="38" t="str">
        <f>+IF((PROVEEDORES[[#This Row],[FECHA DE PAGO]]-PROVEEDORES[[#This Row],[FECHA DE FACTURACIÓN]])&gt;PROVEEDORES[[#This Row],[PLAZO Días]],"PAGO VENCIDO")</f>
        <v>PAGO VENCIDO</v>
      </c>
      <c r="C542" s="20">
        <f>+VLOOKUP(PROVEEDORES[[#This Row],[PROVEEDOR]],TERCEROS_INFO[#All],2,FALSE)</f>
        <v>30</v>
      </c>
      <c r="D542" s="25">
        <f>+SUMIFS(PROVEEDORES[Total],PROVEEDORES[PROVEEDOR],PROVEEDORES[[#This Row],[PROVEEDOR]],PROVEEDORES[FECHA DE PAGO],"")</f>
        <v>380979.69</v>
      </c>
      <c r="E542" s="25"/>
      <c r="F542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2" s="289">
        <v>45105</v>
      </c>
      <c r="H542" s="26" t="s">
        <v>393</v>
      </c>
      <c r="I542" s="289">
        <v>45040</v>
      </c>
      <c r="J542" s="35" t="s">
        <v>798</v>
      </c>
      <c r="K542" s="21">
        <v>2615172</v>
      </c>
      <c r="L542" s="21"/>
      <c r="M542" s="22">
        <f>(PROVEEDORES[[#This Row],[SUBTOTAL]]-PROVEEDORES[[#This Row],[descuento sobre subtotal]])*VLOOKUP(PROVEEDORES[[#This Row],[PROVEEDOR]],TERCEROS_INFO[#All],3,FALSE)</f>
        <v>496882.68</v>
      </c>
      <c r="N542" s="23"/>
      <c r="O542" s="22">
        <f>+PROVEEDORES[[#This Row],[Descuento sobre subtotal %]]*(PROVEEDORES[[#This Row],[SUBTOTAL]]-PROVEEDORES[[#This Row],[descuento sobre subtotal]])</f>
        <v>0</v>
      </c>
      <c r="P542" s="72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3112054.68</v>
      </c>
      <c r="S54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1">
        <f ca="1">IF(PROVEEDORES[[#This Row],[FECHA DE PAGO]]=0,TODAY()-PROVEEDORES[[#This Row],[FECHA DE FACTURACIÓN]]-PROVEEDORES[[#This Row],[PLAZO Días]],0)</f>
        <v>0</v>
      </c>
      <c r="U542" s="97">
        <f>+VLOOKUP(PROVEEDORES[[#This Row],[PROVEEDOR]],Terceros!$A:$D,4,FALSE)</f>
        <v>0</v>
      </c>
      <c r="V542" s="98">
        <f>+YEAR(PROVEEDORES[[#This Row],[FECHA DE FACTURACIÓN]])</f>
        <v>2023</v>
      </c>
      <c r="W542" s="98">
        <f>+MATCH(PROVEEDORES[[#This Row],[año facturado]],Retenciones!$1:$1,0)</f>
        <v>6</v>
      </c>
      <c r="X542" s="99">
        <f>+VLOOKUP(PROVEEDORES[[#This Row],[ID RETENCION]],Retenciones!$A$1:$O$25,PROVEEDORES[[#This Row],[indicador de columna]],FALSE)</f>
        <v>0</v>
      </c>
      <c r="Y542" s="100">
        <f>+VLOOKUP(PROVEEDORES[[#This Row],[ID RETENCION]],Retenciones!$A$1:$O$25,2,FALSE)</f>
        <v>0</v>
      </c>
      <c r="Z542" s="103" t="b">
        <f>OR(COUNTIF(PROVEEDORES[[#This Row],[PROVEEDOR]],"*"&amp;'Palabra no opera'!$A$2&amp;"*"))</f>
        <v>1</v>
      </c>
    </row>
    <row r="543" spans="1:26" ht="22.35" customHeight="1" x14ac:dyDescent="0.25">
      <c r="A543" s="198" t="str">
        <f>+IF(PROVEEDORES[[#This Row],[FECHA DE PAGO]]=PROVEEDORES[[#This Row],[FECHA DE FACTURACIÓN]],"DE CONTADO","CRÉDITO")</f>
        <v>CRÉDITO</v>
      </c>
      <c r="B543" s="38" t="str">
        <f>+IF((PROVEEDORES[[#This Row],[FECHA DE PAGO]]-PROVEEDORES[[#This Row],[FECHA DE FACTURACIÓN]])&gt;PROVEEDORES[[#This Row],[PLAZO Días]],"PAGO VENCIDO")</f>
        <v>PAGO VENCIDO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380979.69</v>
      </c>
      <c r="E543" s="25"/>
      <c r="F543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3" s="289">
        <v>45124</v>
      </c>
      <c r="H543" s="26" t="s">
        <v>393</v>
      </c>
      <c r="I543" s="289">
        <v>45069</v>
      </c>
      <c r="J543" s="35" t="s">
        <v>857</v>
      </c>
      <c r="K543" s="21">
        <v>3548068</v>
      </c>
      <c r="L543" s="21"/>
      <c r="M543" s="22">
        <f>(PROVEEDORES[[#This Row],[SUBTOTAL]]-PROVEEDORES[[#This Row],[descuento sobre subtotal]])*VLOOKUP(PROVEEDORES[[#This Row],[PROVEEDOR]],TERCEROS_INFO[#All],3,FALSE)</f>
        <v>674132.92</v>
      </c>
      <c r="N543" s="23"/>
      <c r="O543" s="22">
        <f>+PROVEEDORES[[#This Row],[Descuento sobre subtotal %]]*(PROVEEDORES[[#This Row],[SUBTOTAL]]-PROVEEDORES[[#This Row],[descuento sobre subtotal]])</f>
        <v>0</v>
      </c>
      <c r="P543" s="72">
        <f>+IF(PROVEEDORES[[#This Row],[SUBTOTAL]]&lt;PROVEEDORES[[#This Row],[base retencion]],0,PROVEEDORES[[#This Row],[retención aplicada]])</f>
        <v>0</v>
      </c>
      <c r="Q543" s="22">
        <f>+PROVEEDORES[[#This Row],[Rete Fuente %]]*(PROVEEDORES[[#This Row],[SUBTOTAL]]-PROVEEDORES[[#This Row],[descuento sobre subtotal]])</f>
        <v>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4222200.92</v>
      </c>
      <c r="S543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1">
        <f ca="1">IF(PROVEEDORES[[#This Row],[FECHA DE PAGO]]=0,TODAY()-PROVEEDORES[[#This Row],[FECHA DE FACTURACIÓN]]-PROVEEDORES[[#This Row],[PLAZO Días]],0)</f>
        <v>0</v>
      </c>
      <c r="U543" s="97">
        <f>+VLOOKUP(PROVEEDORES[[#This Row],[PROVEEDOR]],Terceros!$A:$D,4,FALSE)</f>
        <v>0</v>
      </c>
      <c r="V543" s="98">
        <f>+YEAR(PROVEEDORES[[#This Row],[FECHA DE FACTURACIÓN]])</f>
        <v>2023</v>
      </c>
      <c r="W543" s="98">
        <f>+MATCH(PROVEEDORES[[#This Row],[año facturado]],Retenciones!$1:$1,0)</f>
        <v>6</v>
      </c>
      <c r="X543" s="99">
        <f>+VLOOKUP(PROVEEDORES[[#This Row],[ID RETENCION]],Retenciones!$A$1:$O$25,PROVEEDORES[[#This Row],[indicador de columna]],FALSE)</f>
        <v>0</v>
      </c>
      <c r="Y543" s="100">
        <f>+VLOOKUP(PROVEEDORES[[#This Row],[ID RETENCION]],Retenciones!$A$1:$O$25,2,FALSE)</f>
        <v>0</v>
      </c>
      <c r="Z543" s="103" t="b">
        <f>OR(COUNTIF(PROVEEDORES[[#This Row],[PROVEEDOR]],"*"&amp;'Palabra no opera'!$A$2&amp;"*"))</f>
        <v>1</v>
      </c>
    </row>
    <row r="544" spans="1:26" ht="22.35" customHeight="1" x14ac:dyDescent="0.25">
      <c r="A544" s="198" t="str">
        <f>+IF(PROVEEDORES[[#This Row],[FECHA DE PAGO]]=PROVEEDORES[[#This Row],[FECHA DE FACTURACIÓN]],"DE CONTADO","CRÉDITO")</f>
        <v>CRÉDITO</v>
      </c>
      <c r="B544" s="38" t="str">
        <f>+IF((PROVEEDORES[[#This Row],[FECHA DE PAGO]]-PROVEEDORES[[#This Row],[FECHA DE FACTURACIÓN]])&gt;PROVEEDORES[[#This Row],[PLAZO Días]],"PAGO VENCIDO")</f>
        <v>PAGO VENCIDO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380979.69</v>
      </c>
      <c r="E544" s="25"/>
      <c r="F544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4" s="289">
        <v>45124</v>
      </c>
      <c r="H544" s="26" t="s">
        <v>393</v>
      </c>
      <c r="I544" s="289">
        <v>45069</v>
      </c>
      <c r="J544" s="35" t="s">
        <v>858</v>
      </c>
      <c r="K544" s="21">
        <v>3548068</v>
      </c>
      <c r="L544" s="21"/>
      <c r="M544" s="22">
        <f>(PROVEEDORES[[#This Row],[SUBTOTAL]]-PROVEEDORES[[#This Row],[descuento sobre subtotal]])*VLOOKUP(PROVEEDORES[[#This Row],[PROVEEDOR]],TERCEROS_INFO[#All],3,FALSE)</f>
        <v>674132.92</v>
      </c>
      <c r="N544" s="23"/>
      <c r="O544" s="22">
        <f>+PROVEEDORES[[#This Row],[Descuento sobre subtotal %]]*(PROVEEDORES[[#This Row],[SUBTOTAL]]-PROVEEDORES[[#This Row],[descuento sobre subtotal]])</f>
        <v>0</v>
      </c>
      <c r="P544" s="72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4222200.92</v>
      </c>
      <c r="S544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1">
        <f ca="1">IF(PROVEEDORES[[#This Row],[FECHA DE PAGO]]=0,TODAY()-PROVEEDORES[[#This Row],[FECHA DE FACTURACIÓN]]-PROVEEDORES[[#This Row],[PLAZO Días]],0)</f>
        <v>0</v>
      </c>
      <c r="U544" s="97">
        <f>+VLOOKUP(PROVEEDORES[[#This Row],[PROVEEDOR]],Terceros!$A:$D,4,FALSE)</f>
        <v>0</v>
      </c>
      <c r="V544" s="98">
        <f>+YEAR(PROVEEDORES[[#This Row],[FECHA DE FACTURACIÓN]])</f>
        <v>2023</v>
      </c>
      <c r="W544" s="98">
        <f>+MATCH(PROVEEDORES[[#This Row],[año facturado]],Retenciones!$1:$1,0)</f>
        <v>6</v>
      </c>
      <c r="X544" s="99">
        <f>+VLOOKUP(PROVEEDORES[[#This Row],[ID RETENCION]],Retenciones!$A$1:$O$25,PROVEEDORES[[#This Row],[indicador de columna]],FALSE)</f>
        <v>0</v>
      </c>
      <c r="Y544" s="100">
        <f>+VLOOKUP(PROVEEDORES[[#This Row],[ID RETENCION]],Retenciones!$A$1:$O$25,2,FALSE)</f>
        <v>0</v>
      </c>
      <c r="Z544" s="103" t="b">
        <f>OR(COUNTIF(PROVEEDORES[[#This Row],[PROVEEDOR]],"*"&amp;'Palabra no opera'!$A$2&amp;"*"))</f>
        <v>1</v>
      </c>
    </row>
    <row r="545" spans="1:26" ht="22.35" customHeight="1" x14ac:dyDescent="0.25">
      <c r="A545" s="217" t="str">
        <f>+IF(PROVEEDORES[[#This Row],[FECHA DE PAGO]]=PROVEEDORES[[#This Row],[FECHA DE FACTURACIÓN]],"DE CONTADO","CRÉDITO")</f>
        <v>CRÉDITO</v>
      </c>
      <c r="B545" s="38" t="str">
        <f>+IF((PROVEEDORES[[#This Row],[FECHA DE PAGO]]-PROVEEDORES[[#This Row],[FECHA DE FACTURACIÓN]])&gt;PROVEEDORES[[#This Row],[PLAZO Días]],"PAGO VENCIDO")</f>
        <v>PAGO VENCIDO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380979.69</v>
      </c>
      <c r="E545" s="25"/>
      <c r="F545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5" s="289">
        <v>45134</v>
      </c>
      <c r="H545" s="26" t="s">
        <v>393</v>
      </c>
      <c r="I545" s="289">
        <v>45075</v>
      </c>
      <c r="J545" s="35" t="s">
        <v>986</v>
      </c>
      <c r="K545" s="21">
        <v>1586135</v>
      </c>
      <c r="L545" s="21"/>
      <c r="M545" s="22">
        <f>(PROVEEDORES[[#This Row],[SUBTOTAL]]-PROVEEDORES[[#This Row],[descuento sobre subtotal]])*VLOOKUP(PROVEEDORES[[#This Row],[PROVEEDOR]],TERCEROS_INFO[#All],3,FALSE)</f>
        <v>301365.65000000002</v>
      </c>
      <c r="N545" s="23"/>
      <c r="O545" s="22">
        <f>+PROVEEDORES[[#This Row],[Descuento sobre subtotal %]]*(PROVEEDORES[[#This Row],[SUBTOTAL]]-PROVEEDORES[[#This Row],[descuento sobre subtotal]])</f>
        <v>0</v>
      </c>
      <c r="P545" s="72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1887500.65</v>
      </c>
      <c r="S545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1">
        <f ca="1">IF(PROVEEDORES[[#This Row],[FECHA DE PAGO]]=0,TODAY()-PROVEEDORES[[#This Row],[FECHA DE FACTURACIÓN]]-PROVEEDORES[[#This Row],[PLAZO Días]],0)</f>
        <v>0</v>
      </c>
      <c r="U545" s="97">
        <f>+VLOOKUP(PROVEEDORES[[#This Row],[PROVEEDOR]],Terceros!$A:$D,4,FALSE)</f>
        <v>0</v>
      </c>
      <c r="V545" s="98">
        <f>+YEAR(PROVEEDORES[[#This Row],[FECHA DE FACTURACIÓN]])</f>
        <v>2023</v>
      </c>
      <c r="W545" s="98">
        <f>+MATCH(PROVEEDORES[[#This Row],[año facturado]],Retenciones!$1:$1,0)</f>
        <v>6</v>
      </c>
      <c r="X545" s="99">
        <f>+VLOOKUP(PROVEEDORES[[#This Row],[ID RETENCION]],Retenciones!$A$1:$O$25,PROVEEDORES[[#This Row],[indicador de columna]],FALSE)</f>
        <v>0</v>
      </c>
      <c r="Y545" s="100">
        <f>+VLOOKUP(PROVEEDORES[[#This Row],[ID RETENCION]],Retenciones!$A$1:$O$25,2,FALSE)</f>
        <v>0</v>
      </c>
      <c r="Z545" s="103" t="b">
        <f>OR(COUNTIF(PROVEEDORES[[#This Row],[PROVEEDOR]],"*"&amp;'Palabra no opera'!$A$2&amp;"*"))</f>
        <v>1</v>
      </c>
    </row>
    <row r="546" spans="1:26" ht="22.35" customHeight="1" x14ac:dyDescent="0.25">
      <c r="A546" s="217" t="str">
        <f>+IF(PROVEEDORES[[#This Row],[FECHA DE PAGO]]=PROVEEDORES[[#This Row],[FECHA DE FACTURACIÓN]],"DE CONTADO","CRÉDITO")</f>
        <v>CRÉDITO</v>
      </c>
      <c r="B546" s="38" t="str">
        <f>+IF((PROVEEDORES[[#This Row],[FECHA DE PAGO]]-PROVEEDORES[[#This Row],[FECHA DE FACTURACIÓN]])&gt;PROVEEDORES[[#This Row],[PLAZO Días]],"PAGO VENCIDO")</f>
        <v>PAGO VENCIDO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380979.69</v>
      </c>
      <c r="E546" s="25"/>
      <c r="F546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6" s="289">
        <v>45134</v>
      </c>
      <c r="H546" s="26" t="s">
        <v>393</v>
      </c>
      <c r="I546" s="289">
        <v>45075</v>
      </c>
      <c r="J546" s="35" t="s">
        <v>987</v>
      </c>
      <c r="K546" s="21">
        <v>2254875</v>
      </c>
      <c r="L546" s="21"/>
      <c r="M546" s="22">
        <f>(PROVEEDORES[[#This Row],[SUBTOTAL]]-PROVEEDORES[[#This Row],[descuento sobre subtotal]])*VLOOKUP(PROVEEDORES[[#This Row],[PROVEEDOR]],TERCEROS_INFO[#All],3,FALSE)</f>
        <v>428426.25</v>
      </c>
      <c r="N546" s="23"/>
      <c r="O546" s="22">
        <f>+PROVEEDORES[[#This Row],[Descuento sobre subtotal %]]*(PROVEEDORES[[#This Row],[SUBTOTAL]]-PROVEEDORES[[#This Row],[descuento sobre subtotal]])</f>
        <v>0</v>
      </c>
      <c r="P546" s="72">
        <f>+IF(PROVEEDORES[[#This Row],[SUBTOTAL]]&lt;PROVEEDORES[[#This Row],[base retencion]],0,PROVEEDORES[[#This Row],[retención aplicada]])</f>
        <v>0</v>
      </c>
      <c r="Q546" s="22">
        <f>+PROVEEDORES[[#This Row],[Rete Fuente %]]*(PROVEEDORES[[#This Row],[SUBTOTAL]]-PROVEEDORES[[#This Row],[descuento sobre subtotal]])</f>
        <v>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2683301.25</v>
      </c>
      <c r="S546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1">
        <f ca="1">IF(PROVEEDORES[[#This Row],[FECHA DE PAGO]]=0,TODAY()-PROVEEDORES[[#This Row],[FECHA DE FACTURACIÓN]]-PROVEEDORES[[#This Row],[PLAZO Días]],0)</f>
        <v>0</v>
      </c>
      <c r="U546" s="97">
        <f>+VLOOKUP(PROVEEDORES[[#This Row],[PROVEEDOR]],Terceros!$A:$D,4,FALSE)</f>
        <v>0</v>
      </c>
      <c r="V546" s="98">
        <f>+YEAR(PROVEEDORES[[#This Row],[FECHA DE FACTURACIÓN]])</f>
        <v>2023</v>
      </c>
      <c r="W546" s="98">
        <f>+MATCH(PROVEEDORES[[#This Row],[año facturado]],Retenciones!$1:$1,0)</f>
        <v>6</v>
      </c>
      <c r="X546" s="99">
        <f>+VLOOKUP(PROVEEDORES[[#This Row],[ID RETENCION]],Retenciones!$A$1:$O$25,PROVEEDORES[[#This Row],[indicador de columna]],FALSE)</f>
        <v>0</v>
      </c>
      <c r="Y546" s="100">
        <f>+VLOOKUP(PROVEEDORES[[#This Row],[ID RETENCION]],Retenciones!$A$1:$O$25,2,FALSE)</f>
        <v>0</v>
      </c>
      <c r="Z546" s="103" t="b">
        <f>OR(COUNTIF(PROVEEDORES[[#This Row],[PROVEEDOR]],"*"&amp;'Palabra no opera'!$A$2&amp;"*"))</f>
        <v>1</v>
      </c>
    </row>
    <row r="547" spans="1:26" ht="22.35" customHeight="1" x14ac:dyDescent="0.25">
      <c r="A547" s="65" t="str">
        <f>+IF(PROVEEDORES[[#This Row],[FECHA DE PAGO]]=PROVEEDORES[[#This Row],[FECHA DE FACTURACIÓN]],"DE CONTADO","CRÉDITO")</f>
        <v>CRÉDITO</v>
      </c>
      <c r="B547" s="38" t="str">
        <f>+IF((PROVEEDORES[[#This Row],[FECHA DE PAGO]]-PROVEEDORES[[#This Row],[FECHA DE FACTURACIÓN]])&gt;PROVEEDORES[[#This Row],[PLAZO Días]],"PAGO VENCIDO")</f>
        <v>PAGO VENCIDO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380979.69</v>
      </c>
      <c r="E547" s="25"/>
      <c r="F547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7" s="289">
        <v>45203</v>
      </c>
      <c r="H547" s="26" t="s">
        <v>393</v>
      </c>
      <c r="I547" s="289">
        <v>45126</v>
      </c>
      <c r="J547" s="35" t="s">
        <v>982</v>
      </c>
      <c r="K547" s="21">
        <v>4343040</v>
      </c>
      <c r="L547" s="21"/>
      <c r="M547" s="22">
        <f>(PROVEEDORES[[#This Row],[SUBTOTAL]]-PROVEEDORES[[#This Row],[descuento sobre subtotal]])*VLOOKUP(PROVEEDORES[[#This Row],[PROVEEDOR]],TERCEROS_INFO[#All],3,FALSE)</f>
        <v>825177.59999999998</v>
      </c>
      <c r="N547" s="23"/>
      <c r="O547" s="22">
        <f>+PROVEEDORES[[#This Row],[Descuento sobre subtotal %]]*(PROVEEDORES[[#This Row],[SUBTOTAL]]-PROVEEDORES[[#This Row],[descuento sobre subtotal]])</f>
        <v>0</v>
      </c>
      <c r="P547" s="72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f>+PROVEEDORES[[#This Row],[SUBTOTAL]]+PROVEEDORES[[#This Row],[IVA 19%]]-PROVEEDORES[[#This Row],[descuento sobre subtotal]]-PROVEEDORES[[#This Row],[Descuento sobre subtotal $2]]-PROVEEDORES[[#This Row],[Rete Fuente $]]</f>
        <v>5168217.5999999996</v>
      </c>
      <c r="S5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1">
        <f ca="1">IF(PROVEEDORES[[#This Row],[FECHA DE PAGO]]=0,TODAY()-PROVEEDORES[[#This Row],[FECHA DE FACTURACIÓN]]-PROVEEDORES[[#This Row],[PLAZO Días]],0)</f>
        <v>0</v>
      </c>
      <c r="U547" s="97">
        <f>+VLOOKUP(PROVEEDORES[[#This Row],[PROVEEDOR]],Terceros!$A:$D,4,FALSE)</f>
        <v>0</v>
      </c>
      <c r="V547" s="98">
        <f>+YEAR(PROVEEDORES[[#This Row],[FECHA DE FACTURACIÓN]])</f>
        <v>2023</v>
      </c>
      <c r="W547" s="98">
        <f>+MATCH(PROVEEDORES[[#This Row],[año facturado]],Retenciones!$1:$1,0)</f>
        <v>6</v>
      </c>
      <c r="X547" s="99">
        <f>+VLOOKUP(PROVEEDORES[[#This Row],[ID RETENCION]],Retenciones!$A$1:$O$25,PROVEEDORES[[#This Row],[indicador de columna]],FALSE)</f>
        <v>0</v>
      </c>
      <c r="Y547" s="100">
        <f>+VLOOKUP(PROVEEDORES[[#This Row],[ID RETENCION]],Retenciones!$A$1:$O$25,2,FALSE)</f>
        <v>0</v>
      </c>
      <c r="Z547" s="103" t="b">
        <f>OR(COUNTIF(PROVEEDORES[[#This Row],[PROVEEDOR]],"*"&amp;'Palabra no opera'!$A$2&amp;"*"))</f>
        <v>1</v>
      </c>
    </row>
    <row r="548" spans="1:26" ht="22.35" customHeight="1" x14ac:dyDescent="0.25">
      <c r="A548" s="219" t="str">
        <f>+IF(PROVEEDORES[[#This Row],[FECHA DE PAGO]]=PROVEEDORES[[#This Row],[FECHA DE FACTURACIÓN]],"DE CONTADO","CRÉDITO")</f>
        <v>CRÉDITO</v>
      </c>
      <c r="B548" s="38" t="str">
        <f>+IF((PROVEEDORES[[#This Row],[FECHA DE PAGO]]-PROVEEDORES[[#This Row],[FECHA DE FACTURACIÓN]])&gt;PROVEEDORES[[#This Row],[PLAZO Días]],"PAGO VENCIDO")</f>
        <v>PAGO VENCIDO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380979.69</v>
      </c>
      <c r="E548" s="25"/>
      <c r="F548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8" s="289">
        <v>45195</v>
      </c>
      <c r="H548" s="26" t="s">
        <v>393</v>
      </c>
      <c r="I548" s="289">
        <v>45134</v>
      </c>
      <c r="J548" s="35" t="s">
        <v>1000</v>
      </c>
      <c r="K548" s="21">
        <v>2187560</v>
      </c>
      <c r="L548" s="21"/>
      <c r="M548" s="22">
        <f>(PROVEEDORES[[#This Row],[SUBTOTAL]]-PROVEEDORES[[#This Row],[descuento sobre subtotal]])*VLOOKUP(PROVEEDORES[[#This Row],[PROVEEDOR]],TERCEROS_INFO[#All],3,FALSE)</f>
        <v>415636.4</v>
      </c>
      <c r="N548" s="23"/>
      <c r="O548" s="22">
        <f>+PROVEEDORES[[#This Row],[Descuento sobre subtotal %]]*(PROVEEDORES[[#This Row],[SUBTOTAL]]-PROVEEDORES[[#This Row],[descuento sobre subtotal]])</f>
        <v>0</v>
      </c>
      <c r="P548" s="72">
        <f>+IF(PROVEEDORES[[#This Row],[SUBTOTAL]]&lt;PROVEEDORES[[#This Row],[base retencion]],0,PROVEEDORES[[#This Row],[retención aplicada]])</f>
        <v>0</v>
      </c>
      <c r="Q548" s="22">
        <f>+PROVEEDORES[[#This Row],[Rete Fuente %]]*(PROVEEDORES[[#This Row],[SUBTOTAL]]-PROVEEDORES[[#This Row],[descuento sobre subtotal]])</f>
        <v>0</v>
      </c>
      <c r="R548" s="21">
        <f>+PROVEEDORES[[#This Row],[SUBTOTAL]]+PROVEEDORES[[#This Row],[IVA 19%]]-PROVEEDORES[[#This Row],[descuento sobre subtotal]]-PROVEEDORES[[#This Row],[Descuento sobre subtotal $2]]-PROVEEDORES[[#This Row],[Rete Fuente $]]</f>
        <v>2603196.4</v>
      </c>
      <c r="S548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1">
        <f ca="1">IF(PROVEEDORES[[#This Row],[FECHA DE PAGO]]=0,TODAY()-PROVEEDORES[[#This Row],[FECHA DE FACTURACIÓN]]-PROVEEDORES[[#This Row],[PLAZO Días]],0)</f>
        <v>0</v>
      </c>
      <c r="U548" s="97">
        <f>+VLOOKUP(PROVEEDORES[[#This Row],[PROVEEDOR]],Terceros!$A:$D,4,FALSE)</f>
        <v>0</v>
      </c>
      <c r="V548" s="98">
        <f>+YEAR(PROVEEDORES[[#This Row],[FECHA DE FACTURACIÓN]])</f>
        <v>2023</v>
      </c>
      <c r="W548" s="98">
        <f>+MATCH(PROVEEDORES[[#This Row],[año facturado]],Retenciones!$1:$1,0)</f>
        <v>6</v>
      </c>
      <c r="X548" s="99">
        <f>+VLOOKUP(PROVEEDORES[[#This Row],[ID RETENCION]],Retenciones!$A$1:$O$25,PROVEEDORES[[#This Row],[indicador de columna]],FALSE)</f>
        <v>0</v>
      </c>
      <c r="Y548" s="100">
        <f>+VLOOKUP(PROVEEDORES[[#This Row],[ID RETENCION]],Retenciones!$A$1:$O$25,2,FALSE)</f>
        <v>0</v>
      </c>
      <c r="Z548" s="103" t="b">
        <f>OR(COUNTIF(PROVEEDORES[[#This Row],[PROVEEDOR]],"*"&amp;'Palabra no opera'!$A$2&amp;"*"))</f>
        <v>1</v>
      </c>
    </row>
    <row r="549" spans="1:26" ht="22.35" customHeight="1" x14ac:dyDescent="0.25">
      <c r="A549" s="219" t="str">
        <f>+IF(PROVEEDORES[[#This Row],[FECHA DE PAGO]]=PROVEEDORES[[#This Row],[FECHA DE FACTURACIÓN]],"DE CONTADO","CRÉDITO")</f>
        <v>CRÉDITO</v>
      </c>
      <c r="B549" s="38" t="str">
        <f>+IF((PROVEEDORES[[#This Row],[FECHA DE PAGO]]-PROVEEDORES[[#This Row],[FECHA DE FACTURACIÓN]])&gt;PROVEEDORES[[#This Row],[PLAZO Días]],"PAGO VENCIDO")</f>
        <v>PAGO VENCIDO</v>
      </c>
      <c r="C549" s="20">
        <f>+VLOOKUP(PROVEEDORES[[#This Row],[PROVEEDOR]],TERCEROS_INFO[#All],2,FALSE)</f>
        <v>30</v>
      </c>
      <c r="D549" s="25">
        <f>+SUMIFS(PROVEEDORES[Total],PROVEEDORES[PROVEEDOR],PROVEEDORES[[#This Row],[PROVEEDOR]],PROVEEDORES[FECHA DE PAGO],"")</f>
        <v>380979.69</v>
      </c>
      <c r="E549" s="25"/>
      <c r="F549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49" s="289">
        <v>45203</v>
      </c>
      <c r="H549" s="26" t="s">
        <v>393</v>
      </c>
      <c r="I549" s="289">
        <v>45134</v>
      </c>
      <c r="J549" s="35" t="s">
        <v>999</v>
      </c>
      <c r="K549" s="21">
        <v>2187560</v>
      </c>
      <c r="L549" s="21"/>
      <c r="M549" s="22">
        <f>(PROVEEDORES[[#This Row],[SUBTOTAL]]-PROVEEDORES[[#This Row],[descuento sobre subtotal]])*VLOOKUP(PROVEEDORES[[#This Row],[PROVEEDOR]],TERCEROS_INFO[#All],3,FALSE)</f>
        <v>415636.4</v>
      </c>
      <c r="N549" s="23"/>
      <c r="O549" s="22">
        <f>+PROVEEDORES[[#This Row],[Descuento sobre subtotal %]]*(PROVEEDORES[[#This Row],[SUBTOTAL]]-PROVEEDORES[[#This Row],[descuento sobre subtotal]])</f>
        <v>0</v>
      </c>
      <c r="P549" s="72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f>+PROVEEDORES[[#This Row],[SUBTOTAL]]+PROVEEDORES[[#This Row],[IVA 19%]]-PROVEEDORES[[#This Row],[descuento sobre subtotal]]-PROVEEDORES[[#This Row],[Descuento sobre subtotal $2]]-PROVEEDORES[[#This Row],[Rete Fuente $]]</f>
        <v>2603196.4</v>
      </c>
      <c r="S549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1">
        <f ca="1">IF(PROVEEDORES[[#This Row],[FECHA DE PAGO]]=0,TODAY()-PROVEEDORES[[#This Row],[FECHA DE FACTURACIÓN]]-PROVEEDORES[[#This Row],[PLAZO Días]],0)</f>
        <v>0</v>
      </c>
      <c r="U549" s="97">
        <f>+VLOOKUP(PROVEEDORES[[#This Row],[PROVEEDOR]],Terceros!$A:$D,4,FALSE)</f>
        <v>0</v>
      </c>
      <c r="V549" s="98">
        <f>+YEAR(PROVEEDORES[[#This Row],[FECHA DE FACTURACIÓN]])</f>
        <v>2023</v>
      </c>
      <c r="W549" s="98">
        <f>+MATCH(PROVEEDORES[[#This Row],[año facturado]],Retenciones!$1:$1,0)</f>
        <v>6</v>
      </c>
      <c r="X549" s="99">
        <f>+VLOOKUP(PROVEEDORES[[#This Row],[ID RETENCION]],Retenciones!$A$1:$O$25,PROVEEDORES[[#This Row],[indicador de columna]],FALSE)</f>
        <v>0</v>
      </c>
      <c r="Y549" s="100">
        <f>+VLOOKUP(PROVEEDORES[[#This Row],[ID RETENCION]],Retenciones!$A$1:$O$25,2,FALSE)</f>
        <v>0</v>
      </c>
      <c r="Z549" s="103" t="b">
        <f>OR(COUNTIF(PROVEEDORES[[#This Row],[PROVEEDOR]],"*"&amp;'Palabra no opera'!$A$2&amp;"*"))</f>
        <v>1</v>
      </c>
    </row>
    <row r="550" spans="1:26" ht="22.35" customHeight="1" x14ac:dyDescent="0.25">
      <c r="A550" s="65" t="str">
        <f>+IF(PROVEEDORES[[#This Row],[FECHA DE PAGO]]=PROVEEDORES[[#This Row],[FECHA DE FACTURACIÓN]],"DE CONTADO","CRÉDITO")</f>
        <v>CRÉDITO</v>
      </c>
      <c r="B550" s="38" t="b">
        <f>+IF((PROVEEDORES[[#This Row],[FECHA DE PAGO]]-PROVEEDORES[[#This Row],[FECHA DE FACTURACIÓN]])&gt;PROVEEDORES[[#This Row],[PLAZO Días]],"PAGO VENCIDO")</f>
        <v>0</v>
      </c>
      <c r="C550" s="20">
        <f>+VLOOKUP(PROVEEDORES[[#This Row],[PROVEEDOR]],TERCEROS_INFO[#All],2,FALSE)</f>
        <v>30</v>
      </c>
      <c r="D550" s="25">
        <f>+SUMIFS(PROVEEDORES[Total],PROVEEDORES[PROVEEDOR],PROVEEDORES[[#This Row],[PROVEEDOR]],PROVEEDORES[FECHA DE PAGO],"")</f>
        <v>380979.69</v>
      </c>
      <c r="E550" s="25"/>
      <c r="F550" s="56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H550" s="26" t="s">
        <v>393</v>
      </c>
      <c r="I550" s="289">
        <v>45272</v>
      </c>
      <c r="J550" s="35" t="s">
        <v>1415</v>
      </c>
      <c r="K550" s="21">
        <v>320151</v>
      </c>
      <c r="L550" s="21"/>
      <c r="M550" s="22">
        <f>(PROVEEDORES[[#This Row],[SUBTOTAL]]-PROVEEDORES[[#This Row],[descuento sobre subtotal]])*VLOOKUP(PROVEEDORES[[#This Row],[PROVEEDOR]],TERCEROS_INFO[#All],3,FALSE)</f>
        <v>60828.69</v>
      </c>
      <c r="N550" s="23"/>
      <c r="O550" s="22">
        <f>+PROVEEDORES[[#This Row],[Descuento sobre subtotal %]]*(PROVEEDORES[[#This Row],[SUBTOTAL]]-PROVEEDORES[[#This Row],[descuento sobre subtotal]])</f>
        <v>0</v>
      </c>
      <c r="P550" s="72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f>+PROVEEDORES[[#This Row],[SUBTOTAL]]+PROVEEDORES[[#This Row],[IVA 19%]]-PROVEEDORES[[#This Row],[descuento sobre subtotal]]-PROVEEDORES[[#This Row],[Descuento sobre subtotal $2]]-PROVEEDORES[[#This Row],[Rete Fuente $]]</f>
        <v>380979.69</v>
      </c>
      <c r="S550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550" s="61">
        <f ca="1">IF(PROVEEDORES[[#This Row],[FECHA DE PAGO]]=0,TODAY()-PROVEEDORES[[#This Row],[FECHA DE FACTURACIÓN]]-PROVEEDORES[[#This Row],[PLAZO Días]],0)</f>
        <v>26</v>
      </c>
      <c r="U550" s="97">
        <f>+VLOOKUP(PROVEEDORES[[#This Row],[PROVEEDOR]],Terceros!$A:$D,4,FALSE)</f>
        <v>0</v>
      </c>
      <c r="V550" s="98">
        <f>+YEAR(PROVEEDORES[[#This Row],[FECHA DE FACTURACIÓN]])</f>
        <v>2023</v>
      </c>
      <c r="W550" s="98">
        <f>+MATCH(PROVEEDORES[[#This Row],[año facturado]],Retenciones!$1:$1,0)</f>
        <v>6</v>
      </c>
      <c r="X550" s="99">
        <f>+VLOOKUP(PROVEEDORES[[#This Row],[ID RETENCION]],Retenciones!$A$1:$O$25,PROVEEDORES[[#This Row],[indicador de columna]],FALSE)</f>
        <v>0</v>
      </c>
      <c r="Y550" s="100">
        <f>+VLOOKUP(PROVEEDORES[[#This Row],[ID RETENCION]],Retenciones!$A$1:$O$25,2,FALSE)</f>
        <v>0</v>
      </c>
      <c r="Z550" s="103" t="b">
        <f>OR(COUNTIF(PROVEEDORES[[#This Row],[PROVEEDOR]],"*"&amp;'Palabra no opera'!$A$2&amp;"*"))</f>
        <v>1</v>
      </c>
    </row>
    <row r="551" spans="1:26" ht="22.35" customHeight="1" x14ac:dyDescent="0.25">
      <c r="A551" s="65" t="str">
        <f>+IF(PROVEEDORES[[#This Row],[FECHA DE PAGO]]=PROVEEDORES[[#This Row],[FECHA DE FACTURACIÓN]],"DE CONTADO","CRÉDITO")</f>
        <v>CRÉDITO</v>
      </c>
      <c r="B551" s="38" t="str">
        <f>+IF((PROVEEDORES[[#This Row],[FECHA DE PAGO]]-PROVEEDORES[[#This Row],[FECHA DE FACTURACIÓN]])&gt;PROVEEDORES[[#This Row],[PLAZO Días]],"PAGO VENCIDO")</f>
        <v>PAGO VENCIDO</v>
      </c>
      <c r="C551" s="20">
        <f>+VLOOKUP(PROVEEDORES[[#This Row],[PROVEEDOR]],TERCEROS_INFO[#All],2,FALSE)</f>
        <v>0</v>
      </c>
      <c r="D551" s="25">
        <f>+SUMIFS(PROVEEDORES[Total],PROVEEDORES[PROVEEDOR],PROVEEDORES[[#This Row],[PROVEEDOR]],PROVEEDORES[FECHA DE PAGO],"")</f>
        <v>0</v>
      </c>
      <c r="E551" s="25"/>
      <c r="F551" s="56" t="str">
        <f>+VLOOKUP(PROVEEDORES[[#This Row],[PROVEEDOR]],
                       Terceros!$A:$F,
                       5,
                       FALSE)</f>
        <v>contabilidad@comercialweb.com.co;info@servipilas.com</v>
      </c>
      <c r="G551" s="289">
        <v>44966</v>
      </c>
      <c r="H551" s="26" t="s">
        <v>602</v>
      </c>
      <c r="I551" s="289">
        <v>44958</v>
      </c>
      <c r="J551" s="35">
        <v>1536</v>
      </c>
      <c r="K551" s="21">
        <v>600000</v>
      </c>
      <c r="L551" s="21"/>
      <c r="M551" s="22">
        <v>0</v>
      </c>
      <c r="N551" s="23"/>
      <c r="O551" s="22">
        <f>+PROVEEDORES[[#This Row],[Descuento sobre subtotal %]]*(PROVEEDORES[[#This Row],[SUBTOTAL]]-PROVEEDORES[[#This Row],[descuento sobre subtotal]])</f>
        <v>0</v>
      </c>
      <c r="P551" s="72">
        <f>+IF(PROVEEDORES[[#This Row],[SUBTOTAL]]&lt;PROVEEDORES[[#This Row],[base retencion]],0,PROVEEDORES[[#This Row],[retención aplicada]])</f>
        <v>0</v>
      </c>
      <c r="Q551" s="22">
        <f>+PROVEEDORES[[#This Row],[Rete Fuente %]]*(PROVEEDORES[[#This Row],[SUBTOTAL]]-PROVEEDORES[[#This Row],[descuento sobre subtotal]])</f>
        <v>0</v>
      </c>
      <c r="R55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5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1">
        <f ca="1">IF(PROVEEDORES[[#This Row],[FECHA DE PAGO]]=0,TODAY()-PROVEEDORES[[#This Row],[FECHA DE FACTURACIÓN]]-PROVEEDORES[[#This Row],[PLAZO Días]],0)</f>
        <v>0</v>
      </c>
      <c r="U551" s="97">
        <f>+VLOOKUP(PROVEEDORES[[#This Row],[PROVEEDOR]],Terceros!$A:$D,4,FALSE)</f>
        <v>0</v>
      </c>
      <c r="V551" s="98">
        <f>+YEAR(PROVEEDORES[[#This Row],[FECHA DE FACTURACIÓN]])</f>
        <v>2023</v>
      </c>
      <c r="W551" s="98">
        <f>+MATCH(PROVEEDORES[[#This Row],[año facturado]],Retenciones!$1:$1,0)</f>
        <v>6</v>
      </c>
      <c r="X551" s="99">
        <f>+VLOOKUP(PROVEEDORES[[#This Row],[ID RETENCION]],Retenciones!$A$1:$O$25,PROVEEDORES[[#This Row],[indicador de columna]],FALSE)</f>
        <v>0</v>
      </c>
      <c r="Y551" s="100">
        <f>+VLOOKUP(PROVEEDORES[[#This Row],[ID RETENCION]],Retenciones!$A$1:$O$25,2,FALSE)</f>
        <v>0</v>
      </c>
      <c r="Z551" s="103" t="b">
        <f>OR(COUNTIF(PROVEEDORES[[#This Row],[PROVEEDOR]],"*"&amp;'Palabra no opera'!$A$2&amp;"*"))</f>
        <v>1</v>
      </c>
    </row>
    <row r="552" spans="1:26" ht="22.35" customHeight="1" x14ac:dyDescent="0.25">
      <c r="A552" s="65" t="str">
        <f>+IF(PROVEEDORES[[#This Row],[FECHA DE PAGO]]=PROVEEDORES[[#This Row],[FECHA DE FACTURACIÓN]],"DE CONTADO","CRÉDITO")</f>
        <v>CRÉDITO</v>
      </c>
      <c r="B552" s="38" t="str">
        <f>+IF((PROVEEDORES[[#This Row],[FECHA DE PAGO]]-PROVEEDORES[[#This Row],[FECHA DE FACTURACIÓN]])&gt;PROVEEDORES[[#This Row],[PLAZO Días]],"PAGO VENCIDO")</f>
        <v>PAGO VENCIDO</v>
      </c>
      <c r="C552" s="20">
        <f>+VLOOKUP(PROVEEDORES[[#This Row],[PROVEEDOR]],TERCEROS_INFO[#All],2,FALSE)</f>
        <v>0</v>
      </c>
      <c r="D552" s="25">
        <f>+SUMIFS(PROVEEDORES[Total],PROVEEDORES[PROVEEDOR],PROVEEDORES[[#This Row],[PROVEEDOR]],PROVEEDORES[FECHA DE PAGO],"")</f>
        <v>0</v>
      </c>
      <c r="E552" s="25"/>
      <c r="F552" s="56" t="str">
        <f>+VLOOKUP(PROVEEDORES[[#This Row],[PROVEEDOR]],
                       Terceros!$A:$F,
                       5,
                       FALSE)</f>
        <v>contabilidad@comercialweb.com.co;info@servipilas.com</v>
      </c>
      <c r="G552" s="289">
        <v>45251</v>
      </c>
      <c r="H552" s="26" t="s">
        <v>602</v>
      </c>
      <c r="I552" s="289">
        <v>45250</v>
      </c>
      <c r="J552" s="35">
        <v>2077</v>
      </c>
      <c r="K552" s="21">
        <v>600000</v>
      </c>
      <c r="L552" s="21"/>
      <c r="M552" s="22">
        <v>0</v>
      </c>
      <c r="N552" s="23"/>
      <c r="O552" s="22">
        <f>+PROVEEDORES[[#This Row],[Descuento sobre subtotal %]]*(PROVEEDORES[[#This Row],[SUBTOTAL]]-PROVEEDORES[[#This Row],[descuento sobre subtotal]])</f>
        <v>0</v>
      </c>
      <c r="P552" s="72">
        <f>+IF(PROVEEDORES[[#This Row],[SUBTOTAL]]&lt;PROVEEDORES[[#This Row],[base retencion]],0,PROVEEDORES[[#This Row],[retención aplicada]])</f>
        <v>0</v>
      </c>
      <c r="Q552" s="22">
        <f>+PROVEEDORES[[#This Row],[Rete Fuente %]]*(PROVEEDORES[[#This Row],[SUBTOTAL]]-PROVEEDORES[[#This Row],[descuento sobre subtotal]])</f>
        <v>0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5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1">
        <f ca="1">IF(PROVEEDORES[[#This Row],[FECHA DE PAGO]]=0,TODAY()-PROVEEDORES[[#This Row],[FECHA DE FACTURACIÓN]]-PROVEEDORES[[#This Row],[PLAZO Días]],0)</f>
        <v>0</v>
      </c>
      <c r="U552" s="97">
        <f>+VLOOKUP(PROVEEDORES[[#This Row],[PROVEEDOR]],Terceros!$A:$D,4,FALSE)</f>
        <v>0</v>
      </c>
      <c r="V552" s="98">
        <f>+YEAR(PROVEEDORES[[#This Row],[FECHA DE FACTURACIÓN]])</f>
        <v>2023</v>
      </c>
      <c r="W552" s="98">
        <f>+MATCH(PROVEEDORES[[#This Row],[año facturado]],Retenciones!$1:$1,0)</f>
        <v>6</v>
      </c>
      <c r="X552" s="99">
        <f>+VLOOKUP(PROVEEDORES[[#This Row],[ID RETENCION]],Retenciones!$A$1:$O$25,PROVEEDORES[[#This Row],[indicador de columna]],FALSE)</f>
        <v>0</v>
      </c>
      <c r="Y552" s="100">
        <f>+VLOOKUP(PROVEEDORES[[#This Row],[ID RETENCION]],Retenciones!$A$1:$O$25,2,FALSE)</f>
        <v>0</v>
      </c>
      <c r="Z552" s="103" t="b">
        <f>OR(COUNTIF(PROVEEDORES[[#This Row],[PROVEEDOR]],"*"&amp;'Palabra no opera'!$A$2&amp;"*"))</f>
        <v>1</v>
      </c>
    </row>
    <row r="553" spans="1:26" ht="22.35" customHeight="1" x14ac:dyDescent="0.25">
      <c r="A553" s="310" t="str">
        <f>+IF(PROVEEDORES[[#This Row],[FECHA DE PAGO]]=PROVEEDORES[[#This Row],[FECHA DE FACTURACIÓN]],"DE CONTADO","CRÉDITO")</f>
        <v>CRÉDITO</v>
      </c>
      <c r="B553" s="38" t="str">
        <f>+IF((PROVEEDORES[[#This Row],[FECHA DE PAGO]]-PROVEEDORES[[#This Row],[FECHA DE FACTURACIÓN]])&gt;PROVEEDORES[[#This Row],[PLAZO Días]],"PAGO VENCIDO")</f>
        <v>PAGO VENCIDO</v>
      </c>
      <c r="C553" s="20">
        <f>+VLOOKUP(PROVEEDORES[[#This Row],[PROVEEDOR]],TERCEROS_INFO[#All],2,FALSE)</f>
        <v>0</v>
      </c>
      <c r="D553" s="25">
        <f>+SUMIFS(PROVEEDORES[Total],PROVEEDORES[PROVEEDOR],PROVEEDORES[[#This Row],[PROVEEDOR]],PROVEEDORES[FECHA DE PAGO],"")</f>
        <v>0</v>
      </c>
      <c r="E553" s="25"/>
      <c r="F553" s="56" t="str">
        <f>+VLOOKUP(PROVEEDORES[[#This Row],[PROVEEDOR]],
                       Terceros!$A:$F,
                       5,
                       FALSE)</f>
        <v>contabilidad@comercialweb.com.co;info@servipilas.com</v>
      </c>
      <c r="G553" s="289">
        <v>45308</v>
      </c>
      <c r="H553" s="26" t="s">
        <v>602</v>
      </c>
      <c r="I553" s="289">
        <v>45307</v>
      </c>
      <c r="J553" s="35">
        <v>2158</v>
      </c>
      <c r="K553" s="21">
        <v>690000</v>
      </c>
      <c r="L553" s="21"/>
      <c r="M553" s="22">
        <f>(PROVEEDORES[[#This Row],[SUBTOTAL]]-PROVEEDORES[[#This Row],[descuento sobre subtotal]])*VLOOKUP(PROVEEDORES[[#This Row],[PROVEEDOR]],TERCEROS_INFO[#All],3,FALSE)</f>
        <v>0</v>
      </c>
      <c r="N553" s="23"/>
      <c r="O553" s="22">
        <f>+PROVEEDORES[[#This Row],[Descuento sobre subtotal %]]*(PROVEEDORES[[#This Row],[SUBTOTAL]]-PROVEEDORES[[#This Row],[descuento sobre subtotal]])</f>
        <v>0</v>
      </c>
      <c r="P553" s="72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690000</v>
      </c>
      <c r="S55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1">
        <f ca="1">IF(PROVEEDORES[[#This Row],[FECHA DE PAGO]]=0,TODAY()-PROVEEDORES[[#This Row],[FECHA DE FACTURACIÓN]]-PROVEEDORES[[#This Row],[PLAZO Días]],0)</f>
        <v>0</v>
      </c>
      <c r="U553" s="97">
        <f>+VLOOKUP(PROVEEDORES[[#This Row],[PROVEEDOR]],Terceros!$A:$D,4,FALSE)</f>
        <v>0</v>
      </c>
      <c r="V553" s="98">
        <f>+YEAR(PROVEEDORES[[#This Row],[FECHA DE FACTURACIÓN]])</f>
        <v>2024</v>
      </c>
      <c r="W553" s="98">
        <f>+MATCH(PROVEEDORES[[#This Row],[año facturado]],Retenciones!$1:$1,0)</f>
        <v>7</v>
      </c>
      <c r="X553" s="99">
        <f>+VLOOKUP(PROVEEDORES[[#This Row],[ID RETENCION]],Retenciones!$A$1:$O$25,PROVEEDORES[[#This Row],[indicador de columna]],FALSE)</f>
        <v>0</v>
      </c>
      <c r="Y553" s="100">
        <f>+VLOOKUP(PROVEEDORES[[#This Row],[ID RETENCION]],Retenciones!$A$1:$O$25,2,FALSE)</f>
        <v>0</v>
      </c>
      <c r="Z553" s="103" t="b">
        <f>OR(COUNTIF(PROVEEDORES[[#This Row],[PROVEEDOR]],"*"&amp;'Palabra no opera'!$A$2&amp;"*"))</f>
        <v>1</v>
      </c>
    </row>
    <row r="554" spans="1:26" ht="22.35" customHeight="1" x14ac:dyDescent="0.25">
      <c r="A554" s="65" t="str">
        <f>+IF(PROVEEDORES[[#This Row],[FECHA DE PAGO]]=PROVEEDORES[[#This Row],[FECHA DE FACTURACIÓN]],"DE CONTADO","CRÉDITO")</f>
        <v>CRÉDITO</v>
      </c>
      <c r="B554" s="38" t="b">
        <f>+IF((PROVEEDORES[[#This Row],[FECHA DE PAGO]]-PROVEEDORES[[#This Row],[FECHA DE FACTURACIÓN]])&gt;PROVEEDORES[[#This Row],[PLAZO Días]],"PAGO VENCIDO")</f>
        <v>0</v>
      </c>
      <c r="C554" s="20">
        <f>+VLOOKUP(PROVEEDORES[[#This Row],[PROVEEDOR]],TERCEROS_INFO[#All],2,FALSE)</f>
        <v>60</v>
      </c>
      <c r="D554" s="25">
        <f>+SUMIFS(PROVEEDORES[Total],PROVEEDORES[PROVEEDOR],PROVEEDORES[[#This Row],[PROVEEDOR]],PROVEEDORES[FECHA DE PAGO],"")</f>
        <v>5363111.8674999997</v>
      </c>
      <c r="E554" s="25"/>
      <c r="F554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4" s="289">
        <v>44988</v>
      </c>
      <c r="H554" s="26" t="s">
        <v>249</v>
      </c>
      <c r="I554" s="289">
        <v>44952</v>
      </c>
      <c r="J554" s="35" t="s">
        <v>576</v>
      </c>
      <c r="K554" s="21">
        <v>4892185</v>
      </c>
      <c r="L554" s="21"/>
      <c r="M554" s="22">
        <f>(PROVEEDORES[[#This Row],[SUBTOTAL]]-PROVEEDORES[[#This Row],[descuento sobre subtotal]])*VLOOKUP(PROVEEDORES[[#This Row],[PROVEEDOR]],TERCEROS_INFO[#All],3,FALSE)</f>
        <v>929515.15</v>
      </c>
      <c r="N554" s="23"/>
      <c r="O554" s="22">
        <f>+PROVEEDORES[[#This Row],[Descuento sobre subtotal %]]*(PROVEEDORES[[#This Row],[SUBTOTAL]]-PROVEEDORES[[#This Row],[descuento sobre subtotal]])</f>
        <v>0</v>
      </c>
      <c r="P554" s="72">
        <f>+IF(PROVEEDORES[[#This Row],[SUBTOTAL]]&lt;PROVEEDORES[[#This Row],[base retencion]],0,PROVEEDORES[[#This Row],[retención aplicada]])</f>
        <v>2.5000000000000001E-2</v>
      </c>
      <c r="Q554" s="22">
        <f>+PROVEEDORES[[#This Row],[Rete Fuente %]]*(PROVEEDORES[[#This Row],[SUBTOTAL]]-PROVEEDORES[[#This Row],[descuento sobre subtotal]])</f>
        <v>122304.625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5699395.5250000004</v>
      </c>
      <c r="S55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1">
        <f ca="1">IF(PROVEEDORES[[#This Row],[FECHA DE PAGO]]=0,TODAY()-PROVEEDORES[[#This Row],[FECHA DE FACTURACIÓN]]-PROVEEDORES[[#This Row],[PLAZO Días]],0)</f>
        <v>0</v>
      </c>
      <c r="U554" s="97" t="str">
        <f>+VLOOKUP(PROVEEDORES[[#This Row],[PROVEEDOR]],Terceros!$A:$D,4,FALSE)</f>
        <v>2,5% con base</v>
      </c>
      <c r="V554" s="98">
        <f>+YEAR(PROVEEDORES[[#This Row],[FECHA DE FACTURACIÓN]])</f>
        <v>2023</v>
      </c>
      <c r="W554" s="98">
        <f>+MATCH(PROVEEDORES[[#This Row],[año facturado]],Retenciones!$1:$1,0)</f>
        <v>6</v>
      </c>
      <c r="X554" s="99">
        <f>+VLOOKUP(PROVEEDORES[[#This Row],[ID RETENCION]],Retenciones!$A$1:$O$25,PROVEEDORES[[#This Row],[indicador de columna]],FALSE)</f>
        <v>1145000</v>
      </c>
      <c r="Y554" s="100">
        <f>+VLOOKUP(PROVEEDORES[[#This Row],[ID RETENCION]],Retenciones!$A$1:$O$25,2,FALSE)</f>
        <v>2.5000000000000001E-2</v>
      </c>
      <c r="Z554" s="103" t="b">
        <f>OR(COUNTIF(PROVEEDORES[[#This Row],[PROVEEDOR]],"*"&amp;'Palabra no opera'!$A$2&amp;"*"))</f>
        <v>0</v>
      </c>
    </row>
    <row r="555" spans="1:26" ht="22.35" customHeight="1" x14ac:dyDescent="0.25">
      <c r="A555" s="65" t="str">
        <f>+IF(PROVEEDORES[[#This Row],[FECHA DE PAGO]]=PROVEEDORES[[#This Row],[FECHA DE FACTURACIÓN]],"DE CONTADO","CRÉDITO")</f>
        <v>CRÉDITO</v>
      </c>
      <c r="B555" s="38" t="str">
        <f>+IF((PROVEEDORES[[#This Row],[FECHA DE PAGO]]-PROVEEDORES[[#This Row],[FECHA DE FACTURACIÓN]])&gt;PROVEEDORES[[#This Row],[PLAZO Días]],"PAGO VENCIDO")</f>
        <v>PAGO VENCIDO</v>
      </c>
      <c r="C555" s="20">
        <f>+VLOOKUP(PROVEEDORES[[#This Row],[PROVEEDOR]],TERCEROS_INFO[#All],2,FALSE)</f>
        <v>60</v>
      </c>
      <c r="D555" s="25">
        <f>+SUMIFS(PROVEEDORES[Total],PROVEEDORES[PROVEEDOR],PROVEEDORES[[#This Row],[PROVEEDOR]],PROVEEDORES[FECHA DE PAGO],"")</f>
        <v>5363111.8674999997</v>
      </c>
      <c r="E555" s="25"/>
      <c r="F555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5" s="289">
        <v>45055</v>
      </c>
      <c r="H555" s="26" t="s">
        <v>249</v>
      </c>
      <c r="I555" s="289">
        <v>44991</v>
      </c>
      <c r="J555" s="35" t="s">
        <v>661</v>
      </c>
      <c r="K555" s="21">
        <v>270588</v>
      </c>
      <c r="L555" s="21"/>
      <c r="M555" s="22">
        <f>(PROVEEDORES[[#This Row],[SUBTOTAL]]-PROVEEDORES[[#This Row],[descuento sobre subtotal]])*VLOOKUP(PROVEEDORES[[#This Row],[PROVEEDOR]],TERCEROS_INFO[#All],3,FALSE)</f>
        <v>51411.72</v>
      </c>
      <c r="N555" s="23"/>
      <c r="O555" s="22">
        <f>+PROVEEDORES[[#This Row],[Descuento sobre subtotal %]]*(PROVEEDORES[[#This Row],[SUBTOTAL]]-PROVEEDORES[[#This Row],[descuento sobre subtotal]])</f>
        <v>0</v>
      </c>
      <c r="P555" s="72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321999.71999999997</v>
      </c>
      <c r="S55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1">
        <f ca="1">IF(PROVEEDORES[[#This Row],[FECHA DE PAGO]]=0,TODAY()-PROVEEDORES[[#This Row],[FECHA DE FACTURACIÓN]]-PROVEEDORES[[#This Row],[PLAZO Días]],0)</f>
        <v>0</v>
      </c>
      <c r="U555" s="97" t="str">
        <f>+VLOOKUP(PROVEEDORES[[#This Row],[PROVEEDOR]],Terceros!$A:$D,4,FALSE)</f>
        <v>2,5% con base</v>
      </c>
      <c r="V555" s="98">
        <f>+YEAR(PROVEEDORES[[#This Row],[FECHA DE FACTURACIÓN]])</f>
        <v>2023</v>
      </c>
      <c r="W555" s="98">
        <f>+MATCH(PROVEEDORES[[#This Row],[año facturado]],Retenciones!$1:$1,0)</f>
        <v>6</v>
      </c>
      <c r="X555" s="99">
        <f>+VLOOKUP(PROVEEDORES[[#This Row],[ID RETENCION]],Retenciones!$A$1:$O$25,PROVEEDORES[[#This Row],[indicador de columna]],FALSE)</f>
        <v>1145000</v>
      </c>
      <c r="Y555" s="100">
        <f>+VLOOKUP(PROVEEDORES[[#This Row],[ID RETENCION]],Retenciones!$A$1:$O$25,2,FALSE)</f>
        <v>2.5000000000000001E-2</v>
      </c>
      <c r="Z555" s="103" t="b">
        <f>OR(COUNTIF(PROVEEDORES[[#This Row],[PROVEEDOR]],"*"&amp;'Palabra no opera'!$A$2&amp;"*"))</f>
        <v>0</v>
      </c>
    </row>
    <row r="556" spans="1:26" ht="22.35" customHeight="1" x14ac:dyDescent="0.25">
      <c r="A556" s="65" t="str">
        <f>+IF(PROVEEDORES[[#This Row],[FECHA DE PAGO]]=PROVEEDORES[[#This Row],[FECHA DE FACTURACIÓN]],"DE CONTADO","CRÉDITO")</f>
        <v>CRÉDITO</v>
      </c>
      <c r="B556" s="38" t="b">
        <f>+IF((PROVEEDORES[[#This Row],[FECHA DE PAGO]]-PROVEEDORES[[#This Row],[FECHA DE FACTURACIÓN]])&gt;PROVEEDORES[[#This Row],[PLAZO Días]],"PAGO VENCIDO")</f>
        <v>0</v>
      </c>
      <c r="C556" s="20">
        <f>+VLOOKUP(PROVEEDORES[[#This Row],[PROVEEDOR]],TERCEROS_INFO[#All],2,FALSE)</f>
        <v>60</v>
      </c>
      <c r="D556" s="25">
        <f>+SUMIFS(PROVEEDORES[Total],PROVEEDORES[PROVEEDOR],PROVEEDORES[[#This Row],[PROVEEDOR]],PROVEEDORES[FECHA DE PAGO],"")</f>
        <v>5363111.8674999997</v>
      </c>
      <c r="E556" s="25"/>
      <c r="F556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6" s="289">
        <v>45055</v>
      </c>
      <c r="H556" s="26" t="s">
        <v>249</v>
      </c>
      <c r="I556" s="289">
        <v>45000</v>
      </c>
      <c r="J556" s="35" t="s">
        <v>654</v>
      </c>
      <c r="K556" s="21">
        <v>675630</v>
      </c>
      <c r="L556" s="21"/>
      <c r="M556" s="22">
        <f>(PROVEEDORES[[#This Row],[SUBTOTAL]]-PROVEEDORES[[#This Row],[descuento sobre subtotal]])*VLOOKUP(PROVEEDORES[[#This Row],[PROVEEDOR]],TERCEROS_INFO[#All],3,FALSE)</f>
        <v>128369.7</v>
      </c>
      <c r="N556" s="23"/>
      <c r="O556" s="22">
        <f>+PROVEEDORES[[#This Row],[Descuento sobre subtotal %]]*(PROVEEDORES[[#This Row],[SUBTOTAL]]-PROVEEDORES[[#This Row],[descuento sobre subtotal]])</f>
        <v>0</v>
      </c>
      <c r="P556" s="72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803999.7</v>
      </c>
      <c r="S5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1">
        <f ca="1">IF(PROVEEDORES[[#This Row],[FECHA DE PAGO]]=0,TODAY()-PROVEEDORES[[#This Row],[FECHA DE FACTURACIÓN]]-PROVEEDORES[[#This Row],[PLAZO Días]],0)</f>
        <v>0</v>
      </c>
      <c r="U556" s="97" t="str">
        <f>+VLOOKUP(PROVEEDORES[[#This Row],[PROVEEDOR]],Terceros!$A:$D,4,FALSE)</f>
        <v>2,5% con base</v>
      </c>
      <c r="V556" s="98">
        <f>+YEAR(PROVEEDORES[[#This Row],[FECHA DE FACTURACIÓN]])</f>
        <v>2023</v>
      </c>
      <c r="W556" s="98">
        <f>+MATCH(PROVEEDORES[[#This Row],[año facturado]],Retenciones!$1:$1,0)</f>
        <v>6</v>
      </c>
      <c r="X556" s="99">
        <f>+VLOOKUP(PROVEEDORES[[#This Row],[ID RETENCION]],Retenciones!$A$1:$O$25,PROVEEDORES[[#This Row],[indicador de columna]],FALSE)</f>
        <v>1145000</v>
      </c>
      <c r="Y556" s="100">
        <f>+VLOOKUP(PROVEEDORES[[#This Row],[ID RETENCION]],Retenciones!$A$1:$O$25,2,FALSE)</f>
        <v>2.5000000000000001E-2</v>
      </c>
      <c r="Z556" s="103" t="b">
        <f>OR(COUNTIF(PROVEEDORES[[#This Row],[PROVEEDOR]],"*"&amp;'Palabra no opera'!$A$2&amp;"*"))</f>
        <v>0</v>
      </c>
    </row>
    <row r="557" spans="1:26" ht="22.35" customHeight="1" x14ac:dyDescent="0.25">
      <c r="A557" s="65" t="str">
        <f>+IF(PROVEEDORES[[#This Row],[FECHA DE PAGO]]=PROVEEDORES[[#This Row],[FECHA DE FACTURACIÓN]],"DE CONTADO","CRÉDITO")</f>
        <v>CRÉDITO</v>
      </c>
      <c r="B557" s="38" t="str">
        <f>+IF((PROVEEDORES[[#This Row],[FECHA DE PAGO]]-PROVEEDORES[[#This Row],[FECHA DE FACTURACIÓN]])&gt;PROVEEDORES[[#This Row],[PLAZO Días]],"PAGO VENCIDO")</f>
        <v>PAGO VENCIDO</v>
      </c>
      <c r="C557" s="20">
        <f>+VLOOKUP(PROVEEDORES[[#This Row],[PROVEEDOR]],TERCEROS_INFO[#All],2,FALSE)</f>
        <v>60</v>
      </c>
      <c r="D557" s="25">
        <f>+SUMIFS(PROVEEDORES[Total],PROVEEDORES[PROVEEDOR],PROVEEDORES[[#This Row],[PROVEEDOR]],PROVEEDORES[FECHA DE PAGO],"")</f>
        <v>5363111.8674999997</v>
      </c>
      <c r="E557" s="25"/>
      <c r="F557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7" s="289">
        <v>45126</v>
      </c>
      <c r="H557" s="26" t="s">
        <v>249</v>
      </c>
      <c r="I557" s="289">
        <v>45057</v>
      </c>
      <c r="J557" s="35" t="s">
        <v>838</v>
      </c>
      <c r="K557" s="21">
        <v>2302268</v>
      </c>
      <c r="L557" s="21"/>
      <c r="M557" s="22">
        <f>(PROVEEDORES[[#This Row],[SUBTOTAL]]-PROVEEDORES[[#This Row],[descuento sobre subtotal]])*VLOOKUP(PROVEEDORES[[#This Row],[PROVEEDOR]],TERCEROS_INFO[#All],3,FALSE)</f>
        <v>437430.92</v>
      </c>
      <c r="N557" s="23"/>
      <c r="O557" s="22">
        <f>+PROVEEDORES[[#This Row],[Descuento sobre subtotal %]]*(PROVEEDORES[[#This Row],[SUBTOTAL]]-PROVEEDORES[[#This Row],[descuento sobre subtotal]])</f>
        <v>0</v>
      </c>
      <c r="P557" s="72">
        <f>+IF(PROVEEDORES[[#This Row],[SUBTOTAL]]&lt;PROVEEDORES[[#This Row],[base retencion]],0,PROVEEDORES[[#This Row],[retención aplicada]])</f>
        <v>2.5000000000000001E-2</v>
      </c>
      <c r="Q557" s="22">
        <f>+PROVEEDORES[[#This Row],[Rete Fuente %]]*(PROVEEDORES[[#This Row],[SUBTOTAL]]-PROVEEDORES[[#This Row],[descuento sobre subtotal]])</f>
        <v>57556.700000000004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2682142.2199999997</v>
      </c>
      <c r="S5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1">
        <f ca="1">IF(PROVEEDORES[[#This Row],[FECHA DE PAGO]]=0,TODAY()-PROVEEDORES[[#This Row],[FECHA DE FACTURACIÓN]]-PROVEEDORES[[#This Row],[PLAZO Días]],0)</f>
        <v>0</v>
      </c>
      <c r="U557" s="97" t="str">
        <f>+VLOOKUP(PROVEEDORES[[#This Row],[PROVEEDOR]],Terceros!$A:$D,4,FALSE)</f>
        <v>2,5% con base</v>
      </c>
      <c r="V557" s="98">
        <f>+YEAR(PROVEEDORES[[#This Row],[FECHA DE FACTURACIÓN]])</f>
        <v>2023</v>
      </c>
      <c r="W557" s="98">
        <f>+MATCH(PROVEEDORES[[#This Row],[año facturado]],Retenciones!$1:$1,0)</f>
        <v>6</v>
      </c>
      <c r="X557" s="99">
        <f>+VLOOKUP(PROVEEDORES[[#This Row],[ID RETENCION]],Retenciones!$A$1:$O$25,PROVEEDORES[[#This Row],[indicador de columna]],FALSE)</f>
        <v>1145000</v>
      </c>
      <c r="Y557" s="100">
        <f>+VLOOKUP(PROVEEDORES[[#This Row],[ID RETENCION]],Retenciones!$A$1:$O$25,2,FALSE)</f>
        <v>2.5000000000000001E-2</v>
      </c>
      <c r="Z557" s="103" t="b">
        <f>OR(COUNTIF(PROVEEDORES[[#This Row],[PROVEEDOR]],"*"&amp;'Palabra no opera'!$A$2&amp;"*"))</f>
        <v>0</v>
      </c>
    </row>
    <row r="558" spans="1:26" ht="22.35" customHeight="1" x14ac:dyDescent="0.25">
      <c r="A558" s="65" t="str">
        <f>+IF(PROVEEDORES[[#This Row],[FECHA DE PAGO]]=PROVEEDORES[[#This Row],[FECHA DE FACTURACIÓN]],"DE CONTADO","CRÉDITO")</f>
        <v>CRÉDITO</v>
      </c>
      <c r="B558" s="38" t="str">
        <f>+IF((PROVEEDORES[[#This Row],[FECHA DE PAGO]]-PROVEEDORES[[#This Row],[FECHA DE FACTURACIÓN]])&gt;PROVEEDORES[[#This Row],[PLAZO Días]],"PAGO VENCIDO")</f>
        <v>PAGO VENCIDO</v>
      </c>
      <c r="C558" s="20">
        <f>+VLOOKUP(PROVEEDORES[[#This Row],[PROVEEDOR]],TERCEROS_INFO[#All],2,FALSE)</f>
        <v>60</v>
      </c>
      <c r="D558" s="25">
        <f>+SUMIFS(PROVEEDORES[Total],PROVEEDORES[PROVEEDOR],PROVEEDORES[[#This Row],[PROVEEDOR]],PROVEEDORES[FECHA DE PAGO],"")</f>
        <v>5363111.8674999997</v>
      </c>
      <c r="E558" s="25"/>
      <c r="F558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8" s="289">
        <v>45201</v>
      </c>
      <c r="H558" s="26" t="s">
        <v>249</v>
      </c>
      <c r="I558" s="289">
        <v>45139</v>
      </c>
      <c r="J558" s="35" t="s">
        <v>1016</v>
      </c>
      <c r="K558" s="21">
        <v>779495</v>
      </c>
      <c r="L558" s="21"/>
      <c r="M558" s="22">
        <f>(PROVEEDORES[[#This Row],[SUBTOTAL]]-PROVEEDORES[[#This Row],[descuento sobre subtotal]])*VLOOKUP(PROVEEDORES[[#This Row],[PROVEEDOR]],TERCEROS_INFO[#All],3,FALSE)</f>
        <v>148104.04999999999</v>
      </c>
      <c r="N558" s="23"/>
      <c r="O558" s="22">
        <f>+PROVEEDORES[[#This Row],[Descuento sobre subtotal %]]*(PROVEEDORES[[#This Row],[SUBTOTAL]]-PROVEEDORES[[#This Row],[descuento sobre subtotal]])</f>
        <v>0</v>
      </c>
      <c r="P558" s="72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927599.05</v>
      </c>
      <c r="S5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1">
        <f ca="1">IF(PROVEEDORES[[#This Row],[FECHA DE PAGO]]=0,TODAY()-PROVEEDORES[[#This Row],[FECHA DE FACTURACIÓN]]-PROVEEDORES[[#This Row],[PLAZO Días]],0)</f>
        <v>0</v>
      </c>
      <c r="U558" s="97" t="str">
        <f>+VLOOKUP(PROVEEDORES[[#This Row],[PROVEEDOR]],Terceros!$A:$D,4,FALSE)</f>
        <v>2,5% con base</v>
      </c>
      <c r="V558" s="98">
        <f>+YEAR(PROVEEDORES[[#This Row],[FECHA DE FACTURACIÓN]])</f>
        <v>2023</v>
      </c>
      <c r="W558" s="98">
        <f>+MATCH(PROVEEDORES[[#This Row],[año facturado]],Retenciones!$1:$1,0)</f>
        <v>6</v>
      </c>
      <c r="X558" s="99">
        <f>+VLOOKUP(PROVEEDORES[[#This Row],[ID RETENCION]],Retenciones!$A$1:$O$25,PROVEEDORES[[#This Row],[indicador de columna]],FALSE)</f>
        <v>1145000</v>
      </c>
      <c r="Y558" s="100">
        <f>+VLOOKUP(PROVEEDORES[[#This Row],[ID RETENCION]],Retenciones!$A$1:$O$25,2,FALSE)</f>
        <v>2.5000000000000001E-2</v>
      </c>
      <c r="Z558" s="103" t="b">
        <f>OR(COUNTIF(PROVEEDORES[[#This Row],[PROVEEDOR]],"*"&amp;'Palabra no opera'!$A$2&amp;"*"))</f>
        <v>0</v>
      </c>
    </row>
    <row r="559" spans="1:26" ht="22.35" customHeight="1" x14ac:dyDescent="0.25">
      <c r="A559" s="65" t="str">
        <f>+IF(PROVEEDORES[[#This Row],[FECHA DE PAGO]]=PROVEEDORES[[#This Row],[FECHA DE FACTURACIÓN]],"DE CONTADO","CRÉDITO")</f>
        <v>CRÉDITO</v>
      </c>
      <c r="B559" s="38" t="b">
        <f>+IF((PROVEEDORES[[#This Row],[FECHA DE PAGO]]-PROVEEDORES[[#This Row],[FECHA DE FACTURACIÓN]])&gt;PROVEEDORES[[#This Row],[PLAZO Días]],"PAGO VENCIDO")</f>
        <v>0</v>
      </c>
      <c r="C559" s="20">
        <f>+VLOOKUP(PROVEEDORES[[#This Row],[PROVEEDOR]],TERCEROS_INFO[#All],2,FALSE)</f>
        <v>60</v>
      </c>
      <c r="D559" s="25">
        <f>+SUMIFS(PROVEEDORES[Total],PROVEEDORES[PROVEEDOR],PROVEEDORES[[#This Row],[PROVEEDOR]],PROVEEDORES[FECHA DE PAGO],"")</f>
        <v>5363111.8674999997</v>
      </c>
      <c r="E559" s="25"/>
      <c r="F559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559" s="289">
        <v>45264</v>
      </c>
      <c r="H559" s="26" t="s">
        <v>249</v>
      </c>
      <c r="I559" s="289">
        <v>45209</v>
      </c>
      <c r="J559" s="35" t="s">
        <v>1210</v>
      </c>
      <c r="K559" s="21">
        <v>1115966</v>
      </c>
      <c r="L559" s="21"/>
      <c r="M559" s="22">
        <f>(PROVEEDORES[[#This Row],[SUBTOTAL]]-PROVEEDORES[[#This Row],[descuento sobre subtotal]])*VLOOKUP(PROVEEDORES[[#This Row],[PROVEEDOR]],TERCEROS_INFO[#All],3,FALSE)</f>
        <v>212033.54</v>
      </c>
      <c r="N559" s="23"/>
      <c r="O559" s="22">
        <f>+PROVEEDORES[[#This Row],[Descuento sobre subtotal %]]*(PROVEEDORES[[#This Row],[SUBTOTAL]]-PROVEEDORES[[#This Row],[descuento sobre subtotal]])</f>
        <v>0</v>
      </c>
      <c r="P559" s="72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f>+PROVEEDORES[[#This Row],[SUBTOTAL]]+PROVEEDORES[[#This Row],[IVA 19%]]-PROVEEDORES[[#This Row],[descuento sobre subtotal]]-PROVEEDORES[[#This Row],[Descuento sobre subtotal $2]]-PROVEEDORES[[#This Row],[Rete Fuente $]]</f>
        <v>1327999.54</v>
      </c>
      <c r="S5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1">
        <f ca="1">IF(PROVEEDORES[[#This Row],[FECHA DE PAGO]]=0,TODAY()-PROVEEDORES[[#This Row],[FECHA DE FACTURACIÓN]]-PROVEEDORES[[#This Row],[PLAZO Días]],0)</f>
        <v>0</v>
      </c>
      <c r="U559" s="97" t="str">
        <f>+VLOOKUP(PROVEEDORES[[#This Row],[PROVEEDOR]],Terceros!$A:$D,4,FALSE)</f>
        <v>2,5% con base</v>
      </c>
      <c r="V559" s="98">
        <f>+YEAR(PROVEEDORES[[#This Row],[FECHA DE FACTURACIÓN]])</f>
        <v>2023</v>
      </c>
      <c r="W559" s="98">
        <f>+MATCH(PROVEEDORES[[#This Row],[año facturado]],Retenciones!$1:$1,0)</f>
        <v>6</v>
      </c>
      <c r="X559" s="99">
        <f>+VLOOKUP(PROVEEDORES[[#This Row],[ID RETENCION]],Retenciones!$A$1:$O$25,PROVEEDORES[[#This Row],[indicador de columna]],FALSE)</f>
        <v>1145000</v>
      </c>
      <c r="Y559" s="100">
        <f>+VLOOKUP(PROVEEDORES[[#This Row],[ID RETENCION]],Retenciones!$A$1:$O$25,2,FALSE)</f>
        <v>2.5000000000000001E-2</v>
      </c>
      <c r="Z559" s="103" t="b">
        <f>OR(COUNTIF(PROVEEDORES[[#This Row],[PROVEEDOR]],"*"&amp;'Palabra no opera'!$A$2&amp;"*"))</f>
        <v>0</v>
      </c>
    </row>
    <row r="560" spans="1:26" ht="22.35" customHeight="1" x14ac:dyDescent="0.25">
      <c r="A560" s="65" t="str">
        <f>+IF(PROVEEDORES[[#This Row],[FECHA DE PAGO]]=PROVEEDORES[[#This Row],[FECHA DE FACTURACIÓN]],"DE CONTADO","CRÉDITO")</f>
        <v>CRÉDITO</v>
      </c>
      <c r="B560" s="38" t="b">
        <f>+IF((PROVEEDORES[[#This Row],[FECHA DE PAGO]]-PROVEEDORES[[#This Row],[FECHA DE FACTURACIÓN]])&gt;PROVEEDORES[[#This Row],[PLAZO Días]],"PAGO VENCIDO")</f>
        <v>0</v>
      </c>
      <c r="C560" s="20">
        <f>+VLOOKUP(PROVEEDORES[[#This Row],[PROVEEDOR]],TERCEROS_INFO[#All],2,FALSE)</f>
        <v>60</v>
      </c>
      <c r="D560" s="25">
        <f>+SUMIFS(PROVEEDORES[Total],PROVEEDORES[PROVEEDOR],PROVEEDORES[[#This Row],[PROVEEDOR]],PROVEEDORES[FECHA DE PAGO],"")</f>
        <v>5363111.8674999997</v>
      </c>
      <c r="E560" s="25"/>
      <c r="F560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560" s="26" t="s">
        <v>249</v>
      </c>
      <c r="I560" s="289">
        <v>45272</v>
      </c>
      <c r="J560" s="35" t="s">
        <v>1414</v>
      </c>
      <c r="K560" s="21">
        <v>2754790</v>
      </c>
      <c r="L560" s="21"/>
      <c r="M560" s="22">
        <f>(PROVEEDORES[[#This Row],[SUBTOTAL]]-PROVEEDORES[[#This Row],[descuento sobre subtotal]])*VLOOKUP(PROVEEDORES[[#This Row],[PROVEEDOR]],TERCEROS_INFO[#All],3,FALSE)</f>
        <v>523410.10000000003</v>
      </c>
      <c r="N560" s="23"/>
      <c r="O560" s="22">
        <f>+PROVEEDORES[[#This Row],[Descuento sobre subtotal %]]*(PROVEEDORES[[#This Row],[SUBTOTAL]]-PROVEEDORES[[#This Row],[descuento sobre subtotal]])</f>
        <v>0</v>
      </c>
      <c r="P560" s="72">
        <f>+IF(PROVEEDORES[[#This Row],[SUBTOTAL]]&lt;PROVEEDORES[[#This Row],[base retencion]],0,PROVEEDORES[[#This Row],[retención aplicada]])</f>
        <v>2.5000000000000001E-2</v>
      </c>
      <c r="Q560" s="22">
        <f>+PROVEEDORES[[#This Row],[Rete Fuente %]]*(PROVEEDORES[[#This Row],[SUBTOTAL]]-PROVEEDORES[[#This Row],[descuento sobre subtotal]])</f>
        <v>68869.75</v>
      </c>
      <c r="R560" s="21">
        <f>+PROVEEDORES[[#This Row],[SUBTOTAL]]+PROVEEDORES[[#This Row],[IVA 19%]]-PROVEEDORES[[#This Row],[descuento sobre subtotal]]-PROVEEDORES[[#This Row],[Descuento sobre subtotal $2]]-PROVEEDORES[[#This Row],[Rete Fuente $]]</f>
        <v>3209330.35</v>
      </c>
      <c r="S560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560" s="61">
        <f ca="1">IF(PROVEEDORES[[#This Row],[FECHA DE PAGO]]=0,TODAY()-PROVEEDORES[[#This Row],[FECHA DE FACTURACIÓN]]-PROVEEDORES[[#This Row],[PLAZO Días]],0)</f>
        <v>-4</v>
      </c>
      <c r="U560" s="97" t="str">
        <f>+VLOOKUP(PROVEEDORES[[#This Row],[PROVEEDOR]],Terceros!$A:$D,4,FALSE)</f>
        <v>2,5% con base</v>
      </c>
      <c r="V560" s="98">
        <f>+YEAR(PROVEEDORES[[#This Row],[FECHA DE FACTURACIÓN]])</f>
        <v>2023</v>
      </c>
      <c r="W560" s="98">
        <f>+MATCH(PROVEEDORES[[#This Row],[año facturado]],Retenciones!$1:$1,0)</f>
        <v>6</v>
      </c>
      <c r="X560" s="99">
        <f>+VLOOKUP(PROVEEDORES[[#This Row],[ID RETENCION]],Retenciones!$A$1:$O$25,PROVEEDORES[[#This Row],[indicador de columna]],FALSE)</f>
        <v>1145000</v>
      </c>
      <c r="Y560" s="100">
        <f>+VLOOKUP(PROVEEDORES[[#This Row],[ID RETENCION]],Retenciones!$A$1:$O$25,2,FALSE)</f>
        <v>2.5000000000000001E-2</v>
      </c>
      <c r="Z560" s="103" t="b">
        <f>OR(COUNTIF(PROVEEDORES[[#This Row],[PROVEEDOR]],"*"&amp;'Palabra no opera'!$A$2&amp;"*"))</f>
        <v>0</v>
      </c>
    </row>
    <row r="561" spans="1:26" ht="22.35" customHeight="1" x14ac:dyDescent="0.25">
      <c r="A561" s="256" t="str">
        <f>+IF(PROVEEDORES[[#This Row],[FECHA DE PAGO]]=PROVEEDORES[[#This Row],[FECHA DE FACTURACIÓN]],"DE CONTADO","CRÉDITO")</f>
        <v>CRÉDITO</v>
      </c>
      <c r="B561" s="38" t="str">
        <f>+IF((PROVEEDORES[[#This Row],[FECHA DE PAGO]]-PROVEEDORES[[#This Row],[FECHA DE FACTURACIÓN]])&gt;PROVEEDORES[[#This Row],[PLAZO Días]],"PAGO VENCIDO")</f>
        <v>PAGO VENCIDO</v>
      </c>
      <c r="C561" s="20">
        <f>+VLOOKUP(PROVEEDORES[[#This Row],[PROVEEDOR]],TERCEROS_INFO[#All],2,FALSE)</f>
        <v>90</v>
      </c>
      <c r="D561" s="25">
        <f>+SUMIFS(PROVEEDORES[Total],PROVEEDORES[PROVEEDOR],PROVEEDORES[[#This Row],[PROVEEDOR]],PROVEEDORES[FECHA DE PAGO],"")</f>
        <v>0</v>
      </c>
      <c r="E561" s="25"/>
      <c r="F561" s="56" t="str">
        <f>+VLOOKUP(PROVEEDORES[[#This Row],[PROVEEDOR]],
                       Terceros!$A:$F,
                       5,
                       FALSE)</f>
        <v>comercializadorajls@hotmail.com; girlesa.ruiz@servipilas.com;joriescobar64@gmail.com</v>
      </c>
      <c r="G561" s="289">
        <v>45327</v>
      </c>
      <c r="H561" s="26" t="s">
        <v>1267</v>
      </c>
      <c r="I561" s="289">
        <v>45234</v>
      </c>
      <c r="J561" s="35" t="s">
        <v>1371</v>
      </c>
      <c r="K561" s="21">
        <v>10470588</v>
      </c>
      <c r="L561" s="21"/>
      <c r="M561" s="22">
        <f>(PROVEEDORES[[#This Row],[SUBTOTAL]]-PROVEEDORES[[#This Row],[descuento sobre subtotal]])*VLOOKUP(PROVEEDORES[[#This Row],[PROVEEDOR]],TERCEROS_INFO[#All],3,FALSE)</f>
        <v>1989411.72</v>
      </c>
      <c r="N561" s="23"/>
      <c r="O561" s="22">
        <f>+PROVEEDORES[[#This Row],[Descuento sobre subtotal %]]*(PROVEEDORES[[#This Row],[SUBTOTAL]]-PROVEEDORES[[#This Row],[descuento sobre subtotal]])</f>
        <v>0</v>
      </c>
      <c r="P561" s="72">
        <f>+IF(PROVEEDORES[[#This Row],[SUBTOTAL]]&lt;PROVEEDORES[[#This Row],[base retencion]],0,PROVEEDORES[[#This Row],[retención aplicada]])</f>
        <v>2.5000000000000001E-2</v>
      </c>
      <c r="Q561" s="22">
        <f>+PROVEEDORES[[#This Row],[Rete Fuente %]]*(PROVEEDORES[[#This Row],[SUBTOTAL]]-PROVEEDORES[[#This Row],[descuento sobre subtotal]])</f>
        <v>261764.7</v>
      </c>
      <c r="R561" s="21">
        <f>+PROVEEDORES[[#This Row],[SUBTOTAL]]+PROVEEDORES[[#This Row],[IVA 19%]]-PROVEEDORES[[#This Row],[descuento sobre subtotal]]-PROVEEDORES[[#This Row],[Descuento sobre subtotal $2]]-PROVEEDORES[[#This Row],[Rete Fuente $]]</f>
        <v>12198235.020000001</v>
      </c>
      <c r="S561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1">
        <f ca="1">IF(PROVEEDORES[[#This Row],[FECHA DE PAGO]]=0,TODAY()-PROVEEDORES[[#This Row],[FECHA DE FACTURACIÓN]]-PROVEEDORES[[#This Row],[PLAZO Días]],0)</f>
        <v>0</v>
      </c>
      <c r="U561" s="97" t="str">
        <f>+VLOOKUP(PROVEEDORES[[#This Row],[PROVEEDOR]],Terceros!$A:$D,4,FALSE)</f>
        <v>2,5% con base</v>
      </c>
      <c r="V561" s="98">
        <f>+YEAR(PROVEEDORES[[#This Row],[FECHA DE FACTURACIÓN]])</f>
        <v>2023</v>
      </c>
      <c r="W561" s="98">
        <f>+MATCH(PROVEEDORES[[#This Row],[año facturado]],Retenciones!$1:$1,0)</f>
        <v>6</v>
      </c>
      <c r="X561" s="99">
        <f>+VLOOKUP(PROVEEDORES[[#This Row],[ID RETENCION]],Retenciones!$A$1:$O$25,PROVEEDORES[[#This Row],[indicador de columna]],FALSE)</f>
        <v>1145000</v>
      </c>
      <c r="Y561" s="100">
        <f>+VLOOKUP(PROVEEDORES[[#This Row],[ID RETENCION]],Retenciones!$A$1:$O$25,2,FALSE)</f>
        <v>2.5000000000000001E-2</v>
      </c>
      <c r="Z561" s="103" t="b">
        <f>OR(COUNTIF(PROVEEDORES[[#This Row],[PROVEEDOR]],"*"&amp;'Palabra no opera'!$A$2&amp;"*"))</f>
        <v>0</v>
      </c>
    </row>
    <row r="562" spans="1:26" ht="22.35" customHeight="1" x14ac:dyDescent="0.25">
      <c r="A562" s="139" t="str">
        <f>+IF(PROVEEDORES[[#This Row],[FECHA DE PAGO]]=PROVEEDORES[[#This Row],[FECHA DE FACTURACIÓN]],"DE CONTADO","CRÉDITO")</f>
        <v>CRÉDITO</v>
      </c>
      <c r="B562" s="38" t="str">
        <f>+IF((PROVEEDORES[[#This Row],[FECHA DE PAGO]]-PROVEEDORES[[#This Row],[FECHA DE FACTURACIÓN]])&gt;PROVEEDORES[[#This Row],[PLAZO Días]],"PAGO VENCIDO")</f>
        <v>PAGO VENCIDO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0</v>
      </c>
      <c r="E562" s="25"/>
      <c r="F562" s="56">
        <f>+VLOOKUP(PROVEEDORES[[#This Row],[PROVEEDOR]],
                       Terceros!$A:$F,
                       5,
                       FALSE)</f>
        <v>0</v>
      </c>
      <c r="G562" s="289">
        <v>45033</v>
      </c>
      <c r="H562" s="26" t="s">
        <v>234</v>
      </c>
      <c r="I562" s="289">
        <v>44988</v>
      </c>
      <c r="J562" s="35" t="s">
        <v>1037</v>
      </c>
      <c r="K562" s="21">
        <v>-1747500</v>
      </c>
      <c r="L562" s="21"/>
      <c r="M562" s="22">
        <f>(PROVEEDORES[[#This Row],[SUBTOTAL]]-PROVEEDORES[[#This Row],[descuento sobre subtotal]])*VLOOKUP(PROVEEDORES[[#This Row],[PROVEEDOR]],TERCEROS_INFO[#All],3,FALSE)</f>
        <v>-332025</v>
      </c>
      <c r="N562" s="23"/>
      <c r="O562" s="22">
        <f>+PROVEEDORES[[#This Row],[Descuento sobre subtotal %]]*(PROVEEDORES[[#This Row],[SUBTOTAL]]-PROVEEDORES[[#This Row],[descuento sobre subtotal]])</f>
        <v>0</v>
      </c>
      <c r="P562" s="72">
        <f>+IF(PROVEEDORES[[#This Row],[SUBTOTAL]]&lt;PROVEEDORES[[#This Row],[base retencion]],0,PROVEEDORES[[#This Row],[retención aplicada]])</f>
        <v>0</v>
      </c>
      <c r="Q562" s="22">
        <f>+PROVEEDORES[[#This Row],[Rete Fuente %]]*(PROVEEDORES[[#This Row],[SUBTOTAL]]-PROVEEDORES[[#This Row],[descuento sobre subtotal]])</f>
        <v>0</v>
      </c>
      <c r="R562" s="21">
        <f>+PROVEEDORES[[#This Row],[SUBTOTAL]]+PROVEEDORES[[#This Row],[IVA 19%]]-PROVEEDORES[[#This Row],[descuento sobre subtotal]]-PROVEEDORES[[#This Row],[Descuento sobre subtotal $2]]-PROVEEDORES[[#This Row],[Rete Fuente $]]</f>
        <v>-2079525</v>
      </c>
      <c r="S562" s="14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1">
        <f ca="1">IF(PROVEEDORES[[#This Row],[FECHA DE PAGO]]=0,TODAY()-PROVEEDORES[[#This Row],[FECHA DE FACTURACIÓN]]-PROVEEDORES[[#This Row],[PLAZO Días]],0)</f>
        <v>0</v>
      </c>
      <c r="U562" s="97" t="str">
        <f>+VLOOKUP(PROVEEDORES[[#This Row],[PROVEEDOR]],Terceros!$A:$D,4,FALSE)</f>
        <v>2,5% con base</v>
      </c>
      <c r="V562" s="98">
        <f>+YEAR(PROVEEDORES[[#This Row],[FECHA DE FACTURACIÓN]])</f>
        <v>2023</v>
      </c>
      <c r="W562" s="98">
        <f>+MATCH(PROVEEDORES[[#This Row],[año facturado]],Retenciones!$1:$1,0)</f>
        <v>6</v>
      </c>
      <c r="X562" s="99">
        <f>+VLOOKUP(PROVEEDORES[[#This Row],[ID RETENCION]],Retenciones!$A$1:$O$25,PROVEEDORES[[#This Row],[indicador de columna]],FALSE)</f>
        <v>1145000</v>
      </c>
      <c r="Y562" s="100">
        <f>+VLOOKUP(PROVEEDORES[[#This Row],[ID RETENCION]],Retenciones!$A$1:$O$25,2,FALSE)</f>
        <v>2.5000000000000001E-2</v>
      </c>
      <c r="Z562" s="103" t="b">
        <f>OR(COUNTIF(PROVEEDORES[[#This Row],[PROVEEDOR]],"*"&amp;'Palabra no opera'!$A$2&amp;"*"))</f>
        <v>0</v>
      </c>
    </row>
    <row r="563" spans="1:26" ht="22.35" customHeight="1" x14ac:dyDescent="0.25">
      <c r="A563" s="65" t="str">
        <f>+IF(PROVEEDORES[[#This Row],[FECHA DE PAGO]]=PROVEEDORES[[#This Row],[FECHA DE FACTURACIÓN]],"DE CONTADO","CRÉDITO")</f>
        <v>CRÉDITO</v>
      </c>
      <c r="B563" s="38" t="b">
        <f>+IF((PROVEEDORES[[#This Row],[FECHA DE PAGO]]-PROVEEDORES[[#This Row],[FECHA DE FACTURACIÓN]])&gt;PROVEEDORES[[#This Row],[PLAZO Días]],"PAGO VENCIDO")</f>
        <v>0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0</v>
      </c>
      <c r="E563" s="25"/>
      <c r="F563" s="56">
        <f>+VLOOKUP(PROVEEDORES[[#This Row],[PROVEEDOR]],
                       Terceros!$A:$F,
                       5,
                       FALSE)</f>
        <v>0</v>
      </c>
      <c r="G563" s="289">
        <v>45002</v>
      </c>
      <c r="H563" s="26" t="s">
        <v>234</v>
      </c>
      <c r="I563" s="289">
        <v>45001</v>
      </c>
      <c r="J563" s="35" t="s">
        <v>696</v>
      </c>
      <c r="K563" s="21">
        <v>428572</v>
      </c>
      <c r="L563" s="21"/>
      <c r="M563" s="22">
        <v>21429</v>
      </c>
      <c r="N563" s="23"/>
      <c r="O563" s="22">
        <f>+PROVEEDORES[[#This Row],[Descuento sobre subtotal %]]*(PROVEEDORES[[#This Row],[SUBTOTAL]]-PROVEEDORES[[#This Row],[descuento sobre subtotal]])</f>
        <v>0</v>
      </c>
      <c r="P563" s="72">
        <f>+IF(PROVEEDORES[[#This Row],[SUBTOTAL]]&lt;PROVEEDORES[[#This Row],[base retencion]],0,PROVEEDORES[[#This Row],[retención aplicada]])</f>
        <v>0</v>
      </c>
      <c r="Q563" s="22">
        <f>+PROVEEDORES[[#This Row],[Rete Fuente %]]*(PROVEEDORES[[#This Row],[SUBTOTAL]]-PROVEEDORES[[#This Row],[descuento sobre subtotal]])</f>
        <v>0</v>
      </c>
      <c r="R563" s="21">
        <f>+PROVEEDORES[[#This Row],[SUBTOTAL]]+PROVEEDORES[[#This Row],[IVA 19%]]-PROVEEDORES[[#This Row],[descuento sobre subtotal]]-PROVEEDORES[[#This Row],[Descuento sobre subtotal $2]]-PROVEEDORES[[#This Row],[Rete Fuente $]]</f>
        <v>450001</v>
      </c>
      <c r="S5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1">
        <f ca="1">IF(PROVEEDORES[[#This Row],[FECHA DE PAGO]]=0,TODAY()-PROVEEDORES[[#This Row],[FECHA DE FACTURACIÓN]]-PROVEEDORES[[#This Row],[PLAZO Días]],0)</f>
        <v>0</v>
      </c>
      <c r="U563" s="97" t="str">
        <f>+VLOOKUP(PROVEEDORES[[#This Row],[PROVEEDOR]],Terceros!$A:$D,4,FALSE)</f>
        <v>2,5% con base</v>
      </c>
      <c r="V563" s="98">
        <f>+YEAR(PROVEEDORES[[#This Row],[FECHA DE FACTURACIÓN]])</f>
        <v>2023</v>
      </c>
      <c r="W563" s="98">
        <f>+MATCH(PROVEEDORES[[#This Row],[año facturado]],Retenciones!$1:$1,0)</f>
        <v>6</v>
      </c>
      <c r="X563" s="99">
        <f>+VLOOKUP(PROVEEDORES[[#This Row],[ID RETENCION]],Retenciones!$A$1:$O$25,PROVEEDORES[[#This Row],[indicador de columna]],FALSE)</f>
        <v>1145000</v>
      </c>
      <c r="Y563" s="100">
        <f>+VLOOKUP(PROVEEDORES[[#This Row],[ID RETENCION]],Retenciones!$A$1:$O$25,2,FALSE)</f>
        <v>2.5000000000000001E-2</v>
      </c>
      <c r="Z563" s="103" t="b">
        <f>OR(COUNTIF(PROVEEDORES[[#This Row],[PROVEEDOR]],"*"&amp;'Palabra no opera'!$A$2&amp;"*"))</f>
        <v>0</v>
      </c>
    </row>
    <row r="564" spans="1:26" ht="22.35" customHeight="1" x14ac:dyDescent="0.25">
      <c r="A564" s="211" t="str">
        <f>+IF(PROVEEDORES[[#This Row],[FECHA DE PAGO]]=PROVEEDORES[[#This Row],[FECHA DE FACTURACIÓN]],"DE CONTADO","CRÉDITO")</f>
        <v>CRÉDITO</v>
      </c>
      <c r="B564" s="38" t="b">
        <f>+IF((PROVEEDORES[[#This Row],[FECHA DE PAGO]]-PROVEEDORES[[#This Row],[FECHA DE FACTURACIÓN]])&gt;PROVEEDORES[[#This Row],[PLAZO Días]],"PAGO VENCIDO")</f>
        <v>0</v>
      </c>
      <c r="C564" s="20">
        <f>+VLOOKUP(PROVEEDORES[[#This Row],[PROVEEDOR]],TERCEROS_INFO[#All],2,FALSE)</f>
        <v>30</v>
      </c>
      <c r="D564" s="25">
        <f>+SUMIFS(PROVEEDORES[Total],PROVEEDORES[PROVEEDOR],PROVEEDORES[[#This Row],[PROVEEDOR]],PROVEEDORES[FECHA DE PAGO],"")</f>
        <v>0</v>
      </c>
      <c r="E564" s="25"/>
      <c r="F564" s="56">
        <f>+VLOOKUP(PROVEEDORES[[#This Row],[PROVEEDOR]],
                       Terceros!$A:$F,
                       5,
                       FALSE)</f>
        <v>0</v>
      </c>
      <c r="G564" s="289">
        <v>45128</v>
      </c>
      <c r="H564" s="26" t="s">
        <v>234</v>
      </c>
      <c r="I564" s="289">
        <v>45126</v>
      </c>
      <c r="J564" s="35" t="s">
        <v>941</v>
      </c>
      <c r="K564" s="21">
        <v>2030000</v>
      </c>
      <c r="L564" s="21"/>
      <c r="M564" s="22">
        <f>(PROVEEDORES[[#This Row],[SUBTOTAL]]-PROVEEDORES[[#This Row],[descuento sobre subtotal]])*VLOOKUP(PROVEEDORES[[#This Row],[PROVEEDOR]],TERCEROS_INFO[#All],3,FALSE)</f>
        <v>385700</v>
      </c>
      <c r="N564" s="23"/>
      <c r="O564" s="22">
        <f>+PROVEEDORES[[#This Row],[Descuento sobre subtotal %]]*(PROVEEDORES[[#This Row],[SUBTOTAL]]-PROVEEDORES[[#This Row],[descuento sobre subtotal]])</f>
        <v>0</v>
      </c>
      <c r="P564" s="72">
        <f>+IF(PROVEEDORES[[#This Row],[SUBTOTAL]]&lt;PROVEEDORES[[#This Row],[base retencion]],0,PROVEEDORES[[#This Row],[retención aplicada]])</f>
        <v>2.5000000000000001E-2</v>
      </c>
      <c r="Q564" s="22">
        <f>+PROVEEDORES[[#This Row],[Rete Fuente %]]*(PROVEEDORES[[#This Row],[SUBTOTAL]]-PROVEEDORES[[#This Row],[descuento sobre subtotal]])</f>
        <v>50750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2364950</v>
      </c>
      <c r="S564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1">
        <f ca="1">IF(PROVEEDORES[[#This Row],[FECHA DE PAGO]]=0,TODAY()-PROVEEDORES[[#This Row],[FECHA DE FACTURACIÓN]]-PROVEEDORES[[#This Row],[PLAZO Días]],0)</f>
        <v>0</v>
      </c>
      <c r="U564" s="97" t="str">
        <f>+VLOOKUP(PROVEEDORES[[#This Row],[PROVEEDOR]],Terceros!$A:$D,4,FALSE)</f>
        <v>2,5% con base</v>
      </c>
      <c r="V564" s="98">
        <f>+YEAR(PROVEEDORES[[#This Row],[FECHA DE FACTURACIÓN]])</f>
        <v>2023</v>
      </c>
      <c r="W564" s="98">
        <f>+MATCH(PROVEEDORES[[#This Row],[año facturado]],Retenciones!$1:$1,0)</f>
        <v>6</v>
      </c>
      <c r="X564" s="99">
        <f>+VLOOKUP(PROVEEDORES[[#This Row],[ID RETENCION]],Retenciones!$A$1:$O$25,PROVEEDORES[[#This Row],[indicador de columna]],FALSE)</f>
        <v>1145000</v>
      </c>
      <c r="Y564" s="100">
        <f>+VLOOKUP(PROVEEDORES[[#This Row],[ID RETENCION]],Retenciones!$A$1:$O$25,2,FALSE)</f>
        <v>2.5000000000000001E-2</v>
      </c>
      <c r="Z564" s="103" t="b">
        <f>OR(COUNTIF(PROVEEDORES[[#This Row],[PROVEEDOR]],"*"&amp;'Palabra no opera'!$A$2&amp;"*"))</f>
        <v>0</v>
      </c>
    </row>
    <row r="565" spans="1:26" ht="22.35" customHeight="1" x14ac:dyDescent="0.25">
      <c r="A565" s="227" t="str">
        <f>+IF(PROVEEDORES[[#This Row],[FECHA DE PAGO]]=PROVEEDORES[[#This Row],[FECHA DE FACTURACIÓN]],"DE CONTADO","CRÉDITO")</f>
        <v>DE CONTADO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0</v>
      </c>
      <c r="E565" s="25"/>
      <c r="F565" s="56">
        <f>+VLOOKUP(PROVEEDORES[[#This Row],[PROVEEDOR]],
                       Terceros!$A:$F,
                       5,
                       FALSE)</f>
        <v>0</v>
      </c>
      <c r="G565" s="289">
        <v>45166</v>
      </c>
      <c r="H565" s="26" t="s">
        <v>234</v>
      </c>
      <c r="I565" s="289">
        <v>45166</v>
      </c>
      <c r="J565" s="35" t="s">
        <v>1043</v>
      </c>
      <c r="K565" s="21">
        <v>2310000</v>
      </c>
      <c r="L565" s="21"/>
      <c r="M565" s="22">
        <v>115500</v>
      </c>
      <c r="N565" s="23"/>
      <c r="O565" s="22">
        <f>+PROVEEDORES[[#This Row],[Descuento sobre subtotal %]]*(PROVEEDORES[[#This Row],[SUBTOTAL]]-PROVEEDORES[[#This Row],[descuento sobre subtotal]])</f>
        <v>0</v>
      </c>
      <c r="P565" s="72">
        <f>+IF(PROVEEDORES[[#This Row],[SUBTOTAL]]&lt;PROVEEDORES[[#This Row],[base retencion]],0,PROVEEDORES[[#This Row],[retención aplicada]])</f>
        <v>2.5000000000000001E-2</v>
      </c>
      <c r="Q565" s="22">
        <f>+PROVEEDORES[[#This Row],[Rete Fuente %]]*(PROVEEDORES[[#This Row],[SUBTOTAL]]-PROVEEDORES[[#This Row],[descuento sobre subtotal]])</f>
        <v>57750</v>
      </c>
      <c r="R565" s="21">
        <f>+PROVEEDORES[[#This Row],[SUBTOTAL]]+PROVEEDORES[[#This Row],[IVA 19%]]-PROVEEDORES[[#This Row],[descuento sobre subtotal]]-PROVEEDORES[[#This Row],[Descuento sobre subtotal $2]]-PROVEEDORES[[#This Row],[Rete Fuente $]]</f>
        <v>2367750</v>
      </c>
      <c r="S565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1">
        <f ca="1">IF(PROVEEDORES[[#This Row],[FECHA DE PAGO]]=0,TODAY()-PROVEEDORES[[#This Row],[FECHA DE FACTURACIÓN]]-PROVEEDORES[[#This Row],[PLAZO Días]],0)</f>
        <v>0</v>
      </c>
      <c r="U565" s="97" t="str">
        <f>+VLOOKUP(PROVEEDORES[[#This Row],[PROVEEDOR]],Terceros!$A:$D,4,FALSE)</f>
        <v>2,5% con base</v>
      </c>
      <c r="V565" s="98">
        <f>+YEAR(PROVEEDORES[[#This Row],[FECHA DE FACTURACIÓN]])</f>
        <v>2023</v>
      </c>
      <c r="W565" s="98">
        <f>+MATCH(PROVEEDORES[[#This Row],[año facturado]],Retenciones!$1:$1,0)</f>
        <v>6</v>
      </c>
      <c r="X565" s="99">
        <f>+VLOOKUP(PROVEEDORES[[#This Row],[ID RETENCION]],Retenciones!$A$1:$O$25,PROVEEDORES[[#This Row],[indicador de columna]],FALSE)</f>
        <v>1145000</v>
      </c>
      <c r="Y565" s="100">
        <f>+VLOOKUP(PROVEEDORES[[#This Row],[ID RETENCION]],Retenciones!$A$1:$O$25,2,FALSE)</f>
        <v>2.5000000000000001E-2</v>
      </c>
      <c r="Z565" s="103" t="b">
        <f>OR(COUNTIF(PROVEEDORES[[#This Row],[PROVEEDOR]],"*"&amp;'Palabra no opera'!$A$2&amp;"*"))</f>
        <v>0</v>
      </c>
    </row>
    <row r="566" spans="1:26" ht="22.35" customHeight="1" x14ac:dyDescent="0.25">
      <c r="A566" s="231" t="str">
        <f>+IF(PROVEEDORES[[#This Row],[FECHA DE PAGO]]=PROVEEDORES[[#This Row],[FECHA DE FACTURACIÓN]],"DE CONTADO","CRÉDITO")</f>
        <v>CRÉDITO</v>
      </c>
      <c r="B566" s="38" t="b">
        <f>+IF((PROVEEDORES[[#This Row],[FECHA DE PAGO]]-PROVEEDORES[[#This Row],[FECHA DE FACTURACIÓN]])&gt;PROVEEDORES[[#This Row],[PLAZO Días]],"PAGO VENCIDO")</f>
        <v>0</v>
      </c>
      <c r="C566" s="20">
        <f>+VLOOKUP(PROVEEDORES[[#This Row],[PROVEEDOR]],TERCEROS_INFO[#All],2,FALSE)</f>
        <v>30</v>
      </c>
      <c r="D566" s="25">
        <f>+SUMIFS(PROVEEDORES[Total],PROVEEDORES[PROVEEDOR],PROVEEDORES[[#This Row],[PROVEEDOR]],PROVEEDORES[FECHA DE PAGO],"")</f>
        <v>0</v>
      </c>
      <c r="E566" s="25"/>
      <c r="F566" s="56">
        <f>+VLOOKUP(PROVEEDORES[[#This Row],[PROVEEDOR]],
                       Terceros!$A:$F,
                       5,
                       FALSE)</f>
        <v>0</v>
      </c>
      <c r="G566" s="289">
        <v>45187</v>
      </c>
      <c r="H566" s="26" t="s">
        <v>234</v>
      </c>
      <c r="I566" s="289">
        <v>45183</v>
      </c>
      <c r="J566" s="35" t="s">
        <v>1083</v>
      </c>
      <c r="K566" s="21">
        <v>1260000</v>
      </c>
      <c r="L566" s="21"/>
      <c r="M566" s="22">
        <v>63000</v>
      </c>
      <c r="N566" s="23"/>
      <c r="O566" s="22">
        <f>+PROVEEDORES[[#This Row],[Descuento sobre subtotal %]]*(PROVEEDORES[[#This Row],[SUBTOTAL]]-PROVEEDORES[[#This Row],[descuento sobre subtotal]])</f>
        <v>0</v>
      </c>
      <c r="P566" s="72">
        <f>+IF(PROVEEDORES[[#This Row],[SUBTOTAL]]&lt;PROVEEDORES[[#This Row],[base retencion]],0,PROVEEDORES[[#This Row],[retención aplicada]])</f>
        <v>2.5000000000000001E-2</v>
      </c>
      <c r="Q566" s="22">
        <f>+PROVEEDORES[[#This Row],[Rete Fuente %]]*(PROVEEDORES[[#This Row],[SUBTOTAL]]-PROVEEDORES[[#This Row],[descuento sobre subtotal]])</f>
        <v>31500</v>
      </c>
      <c r="R566" s="21">
        <f>+PROVEEDORES[[#This Row],[SUBTOTAL]]+PROVEEDORES[[#This Row],[IVA 19%]]-PROVEEDORES[[#This Row],[descuento sobre subtotal]]-PROVEEDORES[[#This Row],[Descuento sobre subtotal $2]]-PROVEEDORES[[#This Row],[Rete Fuente $]]</f>
        <v>1291500</v>
      </c>
      <c r="S566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1">
        <f ca="1">IF(PROVEEDORES[[#This Row],[FECHA DE PAGO]]=0,TODAY()-PROVEEDORES[[#This Row],[FECHA DE FACTURACIÓN]]-PROVEEDORES[[#This Row],[PLAZO Días]],0)</f>
        <v>0</v>
      </c>
      <c r="U566" s="97" t="str">
        <f>+VLOOKUP(PROVEEDORES[[#This Row],[PROVEEDOR]],Terceros!$A:$D,4,FALSE)</f>
        <v>2,5% con base</v>
      </c>
      <c r="V566" s="98">
        <f>+YEAR(PROVEEDORES[[#This Row],[FECHA DE FACTURACIÓN]])</f>
        <v>2023</v>
      </c>
      <c r="W566" s="98">
        <f>+MATCH(PROVEEDORES[[#This Row],[año facturado]],Retenciones!$1:$1,0)</f>
        <v>6</v>
      </c>
      <c r="X566" s="99">
        <f>+VLOOKUP(PROVEEDORES[[#This Row],[ID RETENCION]],Retenciones!$A$1:$O$25,PROVEEDORES[[#This Row],[indicador de columna]],FALSE)</f>
        <v>1145000</v>
      </c>
      <c r="Y566" s="100">
        <f>+VLOOKUP(PROVEEDORES[[#This Row],[ID RETENCION]],Retenciones!$A$1:$O$25,2,FALSE)</f>
        <v>2.5000000000000001E-2</v>
      </c>
      <c r="Z566" s="103" t="b">
        <f>OR(COUNTIF(PROVEEDORES[[#This Row],[PROVEEDOR]],"*"&amp;'Palabra no opera'!$A$2&amp;"*"))</f>
        <v>0</v>
      </c>
    </row>
    <row r="567" spans="1:26" ht="22.35" customHeight="1" x14ac:dyDescent="0.25">
      <c r="A567" s="267" t="str">
        <f>+IF(PROVEEDORES[[#This Row],[FECHA DE PAGO]]=PROVEEDORES[[#This Row],[FECHA DE FACTURACIÓN]],"DE CONTADO","CRÉDITO")</f>
        <v>CRÉDITO</v>
      </c>
      <c r="B567" s="38" t="b">
        <f>+IF((PROVEEDORES[[#This Row],[FECHA DE PAGO]]-PROVEEDORES[[#This Row],[FECHA DE FACTURACIÓN]])&gt;PROVEEDORES[[#This Row],[PLAZO Días]],"PAGO VENCIDO")</f>
        <v>0</v>
      </c>
      <c r="C567" s="20">
        <f>+VLOOKUP(PROVEEDORES[[#This Row],[PROVEEDOR]],TERCEROS_INFO[#All],2,FALSE)</f>
        <v>30</v>
      </c>
      <c r="D567" s="25">
        <f>+SUMIFS(PROVEEDORES[Total],PROVEEDORES[PROVEEDOR],PROVEEDORES[[#This Row],[PROVEEDOR]],PROVEEDORES[FECHA DE PAGO],"")</f>
        <v>0</v>
      </c>
      <c r="E567" s="25"/>
      <c r="F567" s="56">
        <f>+VLOOKUP(PROVEEDORES[[#This Row],[PROVEEDOR]],
                       Terceros!$A:$F,
                       5,
                       FALSE)</f>
        <v>0</v>
      </c>
      <c r="G567" s="289">
        <v>45273</v>
      </c>
      <c r="H567" s="26" t="s">
        <v>234</v>
      </c>
      <c r="I567" s="289">
        <v>45272</v>
      </c>
      <c r="J567" s="35" t="s">
        <v>1372</v>
      </c>
      <c r="K567" s="21">
        <v>1900000</v>
      </c>
      <c r="L567" s="21"/>
      <c r="M567" s="22">
        <v>95000</v>
      </c>
      <c r="N567" s="23"/>
      <c r="O567" s="22">
        <f>+PROVEEDORES[[#This Row],[Descuento sobre subtotal %]]*(PROVEEDORES[[#This Row],[SUBTOTAL]]-PROVEEDORES[[#This Row],[descuento sobre subtotal]])</f>
        <v>0</v>
      </c>
      <c r="P567" s="72">
        <f>+IF(PROVEEDORES[[#This Row],[SUBTOTAL]]&lt;PROVEEDORES[[#This Row],[base retencion]],0,PROVEEDORES[[#This Row],[retención aplicada]])</f>
        <v>2.5000000000000001E-2</v>
      </c>
      <c r="Q567" s="22">
        <f>+PROVEEDORES[[#This Row],[Rete Fuente %]]*(PROVEEDORES[[#This Row],[SUBTOTAL]]-PROVEEDORES[[#This Row],[descuento sobre subtotal]])</f>
        <v>47500</v>
      </c>
      <c r="R567" s="21">
        <f>+PROVEEDORES[[#This Row],[SUBTOTAL]]+PROVEEDORES[[#This Row],[IVA 19%]]-PROVEEDORES[[#This Row],[descuento sobre subtotal]]-PROVEEDORES[[#This Row],[Descuento sobre subtotal $2]]-PROVEEDORES[[#This Row],[Rete Fuente $]]</f>
        <v>1947500</v>
      </c>
      <c r="S567" s="26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1">
        <f ca="1">IF(PROVEEDORES[[#This Row],[FECHA DE PAGO]]=0,TODAY()-PROVEEDORES[[#This Row],[FECHA DE FACTURACIÓN]]-PROVEEDORES[[#This Row],[PLAZO Días]],0)</f>
        <v>0</v>
      </c>
      <c r="U567" s="97" t="str">
        <f>+VLOOKUP(PROVEEDORES[[#This Row],[PROVEEDOR]],Terceros!$A:$D,4,FALSE)</f>
        <v>2,5% con base</v>
      </c>
      <c r="V567" s="98">
        <f>+YEAR(PROVEEDORES[[#This Row],[FECHA DE FACTURACIÓN]])</f>
        <v>2023</v>
      </c>
      <c r="W567" s="98">
        <f>+MATCH(PROVEEDORES[[#This Row],[año facturado]],Retenciones!$1:$1,0)</f>
        <v>6</v>
      </c>
      <c r="X567" s="99">
        <f>+VLOOKUP(PROVEEDORES[[#This Row],[ID RETENCION]],Retenciones!$A$1:$O$25,PROVEEDORES[[#This Row],[indicador de columna]],FALSE)</f>
        <v>1145000</v>
      </c>
      <c r="Y567" s="100">
        <f>+VLOOKUP(PROVEEDORES[[#This Row],[ID RETENCION]],Retenciones!$A$1:$O$25,2,FALSE)</f>
        <v>2.5000000000000001E-2</v>
      </c>
      <c r="Z567" s="103" t="b">
        <f>OR(COUNTIF(PROVEEDORES[[#This Row],[PROVEEDOR]],"*"&amp;'Palabra no opera'!$A$2&amp;"*"))</f>
        <v>0</v>
      </c>
    </row>
    <row r="568" spans="1:26" ht="22.35" customHeight="1" x14ac:dyDescent="0.25">
      <c r="A568" s="65" t="str">
        <f>+IF(PROVEEDORES[[#This Row],[FECHA DE PAGO]]=PROVEEDORES[[#This Row],[FECHA DE FACTURACIÓN]],"DE CONTADO","CRÉDITO")</f>
        <v>CRÉDITO</v>
      </c>
      <c r="B568" s="38" t="b">
        <f>+IF((PROVEEDORES[[#This Row],[FECHA DE PAGO]]-PROVEEDORES[[#This Row],[FECHA DE FACTURACIÓN]])&gt;PROVEEDORES[[#This Row],[PLAZO Días]],"PAGO VENCIDO")</f>
        <v>0</v>
      </c>
      <c r="C568" s="20">
        <f>+VLOOKUP(PROVEEDORES[[#This Row],[PROVEEDOR]],TERCEROS_INFO[#All],2,FALSE)</f>
        <v>30</v>
      </c>
      <c r="D568" s="25">
        <f>+SUMIFS(PROVEEDORES[Total],PROVEEDORES[PROVEEDOR],PROVEEDORES[[#This Row],[PROVEEDOR]],PROVEEDORES[FECHA DE PAGO],"")</f>
        <v>0</v>
      </c>
      <c r="E568" s="25"/>
      <c r="F56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68" s="289">
        <v>44952</v>
      </c>
      <c r="H568" s="26" t="s">
        <v>401</v>
      </c>
      <c r="I568" s="289">
        <v>44931</v>
      </c>
      <c r="J568" s="35" t="s">
        <v>769</v>
      </c>
      <c r="K568" s="21">
        <v>895663</v>
      </c>
      <c r="L568" s="21"/>
      <c r="M568" s="22">
        <f>(PROVEEDORES[[#This Row],[SUBTOTAL]]-PROVEEDORES[[#This Row],[descuento sobre subtotal]])*VLOOKUP(PROVEEDORES[[#This Row],[PROVEEDOR]],TERCEROS_INFO[#All],3,FALSE)</f>
        <v>170175.97</v>
      </c>
      <c r="N568" s="23"/>
      <c r="O568" s="22">
        <f>+PROVEEDORES[[#This Row],[Descuento sobre subtotal %]]*(PROVEEDORES[[#This Row],[SUBTOTAL]]-PROVEEDORES[[#This Row],[descuento sobre subtotal]])</f>
        <v>0</v>
      </c>
      <c r="P568" s="72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1065838.97</v>
      </c>
      <c r="S5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1">
        <f ca="1">IF(PROVEEDORES[[#This Row],[FECHA DE PAGO]]=0,TODAY()-PROVEEDORES[[#This Row],[FECHA DE FACTURACIÓN]]-PROVEEDORES[[#This Row],[PLAZO Días]],0)</f>
        <v>0</v>
      </c>
      <c r="U568" s="97">
        <f>+VLOOKUP(PROVEEDORES[[#This Row],[PROVEEDOR]],Terceros!$A:$D,4,FALSE)</f>
        <v>0</v>
      </c>
      <c r="V568" s="98">
        <f>+YEAR(PROVEEDORES[[#This Row],[FECHA DE FACTURACIÓN]])</f>
        <v>2023</v>
      </c>
      <c r="W568" s="98">
        <f>+MATCH(PROVEEDORES[[#This Row],[año facturado]],Retenciones!$1:$1,0)</f>
        <v>6</v>
      </c>
      <c r="X568" s="99">
        <f>+VLOOKUP(PROVEEDORES[[#This Row],[ID RETENCION]],Retenciones!$A$1:$O$25,PROVEEDORES[[#This Row],[indicador de columna]],FALSE)</f>
        <v>0</v>
      </c>
      <c r="Y568" s="100">
        <f>+VLOOKUP(PROVEEDORES[[#This Row],[ID RETENCION]],Retenciones!$A$1:$O$25,2,FALSE)</f>
        <v>0</v>
      </c>
      <c r="Z568" s="103" t="b">
        <f>OR(COUNTIF(PROVEEDORES[[#This Row],[PROVEEDOR]],"*"&amp;'Palabra no opera'!$A$2&amp;"*"))</f>
        <v>1</v>
      </c>
    </row>
    <row r="569" spans="1:26" ht="22.35" customHeight="1" x14ac:dyDescent="0.25">
      <c r="A569" s="145" t="str">
        <f>+IF(PROVEEDORES[[#This Row],[FECHA DE PAGO]]=PROVEEDORES[[#This Row],[FECHA DE FACTURACIÓN]],"DE CONTADO","CRÉDITO")</f>
        <v>CRÉDITO</v>
      </c>
      <c r="B569" s="38" t="b">
        <f>+IF((PROVEEDORES[[#This Row],[FECHA DE PAGO]]-PROVEEDORES[[#This Row],[FECHA DE FACTURACIÓN]])&gt;PROVEEDORES[[#This Row],[PLAZO Días]],"PAGO VENCIDO")</f>
        <v>0</v>
      </c>
      <c r="C569" s="20">
        <f>+VLOOKUP(PROVEEDORES[[#This Row],[PROVEEDOR]],TERCEROS_INFO[#All],2,FALSE)</f>
        <v>30</v>
      </c>
      <c r="D569" s="25">
        <f>+SUMIFS(PROVEEDORES[Total],PROVEEDORES[PROVEEDOR],PROVEEDORES[[#This Row],[PROVEEDOR]],PROVEEDORES[FECHA DE PAGO],"")</f>
        <v>0</v>
      </c>
      <c r="E569" s="25"/>
      <c r="F56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69" s="289">
        <v>44953</v>
      </c>
      <c r="H569" s="26" t="s">
        <v>401</v>
      </c>
      <c r="I569" s="289">
        <v>44927</v>
      </c>
      <c r="J569" s="35" t="s">
        <v>558</v>
      </c>
      <c r="K569" s="21">
        <v>3294426</v>
      </c>
      <c r="L569" s="21"/>
      <c r="M569" s="22">
        <f>(PROVEEDORES[[#This Row],[SUBTOTAL]]-PROVEEDORES[[#This Row],[descuento sobre subtotal]])*VLOOKUP(PROVEEDORES[[#This Row],[PROVEEDOR]],TERCEROS_INFO[#All],3,FALSE)</f>
        <v>625940.94000000006</v>
      </c>
      <c r="N569" s="23"/>
      <c r="O569" s="22">
        <f>+PROVEEDORES[[#This Row],[Descuento sobre subtotal %]]*(PROVEEDORES[[#This Row],[SUBTOTAL]]-PROVEEDORES[[#This Row],[descuento sobre subtotal]])</f>
        <v>0</v>
      </c>
      <c r="P569" s="72"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569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1">
        <f ca="1">IF(PROVEEDORES[[#This Row],[FECHA DE PAGO]]=0,TODAY()-PROVEEDORES[[#This Row],[FECHA DE FACTURACIÓN]]-PROVEEDORES[[#This Row],[PLAZO Días]],0)</f>
        <v>0</v>
      </c>
      <c r="U569" s="97">
        <f>+VLOOKUP(PROVEEDORES[[#This Row],[PROVEEDOR]],Terceros!$A:$D,4,FALSE)</f>
        <v>0</v>
      </c>
      <c r="V569" s="98">
        <f>+YEAR(PROVEEDORES[[#This Row],[FECHA DE FACTURACIÓN]])</f>
        <v>2023</v>
      </c>
      <c r="W569" s="98">
        <f>+MATCH(PROVEEDORES[[#This Row],[año facturado]],Retenciones!$1:$1,0)</f>
        <v>6</v>
      </c>
      <c r="X569" s="99">
        <f>+VLOOKUP(PROVEEDORES[[#This Row],[ID RETENCION]],Retenciones!$A$1:$O$25,PROVEEDORES[[#This Row],[indicador de columna]],FALSE)</f>
        <v>0</v>
      </c>
      <c r="Y569" s="100">
        <f>+VLOOKUP(PROVEEDORES[[#This Row],[ID RETENCION]],Retenciones!$A$1:$O$25,2,FALSE)</f>
        <v>0</v>
      </c>
      <c r="Z569" s="103" t="b">
        <f>OR(COUNTIF(PROVEEDORES[[#This Row],[PROVEEDOR]],"*"&amp;'Palabra no opera'!$A$2&amp;"*"))</f>
        <v>1</v>
      </c>
    </row>
    <row r="570" spans="1:26" ht="22.35" customHeight="1" x14ac:dyDescent="0.25">
      <c r="A570" s="153" t="str">
        <f>+IF(PROVEEDORES[[#This Row],[FECHA DE PAGO]]=PROVEEDORES[[#This Row],[FECHA DE FACTURACIÓN]],"DE CONTADO","CRÉDITO")</f>
        <v>CRÉDITO</v>
      </c>
      <c r="B570" s="38" t="b">
        <f>+IF((PROVEEDORES[[#This Row],[FECHA DE PAGO]]-PROVEEDORES[[#This Row],[FECHA DE FACTURACIÓN]])&gt;PROVEEDORES[[#This Row],[PLAZO Días]],"PAGO VENCIDO")</f>
        <v>0</v>
      </c>
      <c r="C570" s="20">
        <f>+VLOOKUP(PROVEEDORES[[#This Row],[PROVEEDOR]],TERCEROS_INFO[#All],2,FALSE)</f>
        <v>30</v>
      </c>
      <c r="D570" s="25">
        <f>+SUMIFS(PROVEEDORES[Total],PROVEEDORES[PROVEEDOR],PROVEEDORES[[#This Row],[PROVEEDOR]],PROVEEDORES[FECHA DE PAGO],"")</f>
        <v>0</v>
      </c>
      <c r="E570" s="25"/>
      <c r="F57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0" s="289">
        <v>44977</v>
      </c>
      <c r="H570" s="26" t="s">
        <v>401</v>
      </c>
      <c r="I570" s="289">
        <v>44958</v>
      </c>
      <c r="J570" s="35" t="s">
        <v>618</v>
      </c>
      <c r="K570" s="21">
        <v>895662</v>
      </c>
      <c r="L570" s="21"/>
      <c r="M570" s="22">
        <f>(PROVEEDORES[[#This Row],[SUBTOTAL]]-PROVEEDORES[[#This Row],[descuento sobre subtotal]])*VLOOKUP(PROVEEDORES[[#This Row],[PROVEEDOR]],TERCEROS_INFO[#All],3,FALSE)</f>
        <v>170175.78</v>
      </c>
      <c r="N570" s="23"/>
      <c r="O570" s="22">
        <f>+PROVEEDORES[[#This Row],[Descuento sobre subtotal %]]*(PROVEEDORES[[#This Row],[SUBTOTAL]]-PROVEEDORES[[#This Row],[descuento sobre subtotal]])</f>
        <v>0</v>
      </c>
      <c r="P570" s="72">
        <f>+IF(PROVEEDORES[[#This Row],[SUBTOTAL]]&lt;PROVEEDORES[[#This Row],[base retencion]],0,PROVEEDORES[[#This Row],[retención aplicada]])</f>
        <v>0</v>
      </c>
      <c r="Q570" s="22">
        <f>+PROVEEDORES[[#This Row],[Rete Fuente %]]*(PROVEEDORES[[#This Row],[SUBTOTAL]]-PROVEEDORES[[#This Row],[descuento sobre subtotal]])</f>
        <v>0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1065837.78</v>
      </c>
      <c r="S570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1">
        <f ca="1">IF(PROVEEDORES[[#This Row],[FECHA DE PAGO]]=0,TODAY()-PROVEEDORES[[#This Row],[FECHA DE FACTURACIÓN]]-PROVEEDORES[[#This Row],[PLAZO Días]],0)</f>
        <v>0</v>
      </c>
      <c r="U570" s="97">
        <f>+VLOOKUP(PROVEEDORES[[#This Row],[PROVEEDOR]],Terceros!$A:$D,4,FALSE)</f>
        <v>0</v>
      </c>
      <c r="V570" s="98">
        <f>+YEAR(PROVEEDORES[[#This Row],[FECHA DE FACTURACIÓN]])</f>
        <v>2023</v>
      </c>
      <c r="W570" s="98">
        <f>+MATCH(PROVEEDORES[[#This Row],[año facturado]],Retenciones!$1:$1,0)</f>
        <v>6</v>
      </c>
      <c r="X570" s="99">
        <f>+VLOOKUP(PROVEEDORES[[#This Row],[ID RETENCION]],Retenciones!$A$1:$O$25,PROVEEDORES[[#This Row],[indicador de columna]],FALSE)</f>
        <v>0</v>
      </c>
      <c r="Y570" s="100">
        <f>+VLOOKUP(PROVEEDORES[[#This Row],[ID RETENCION]],Retenciones!$A$1:$O$25,2,FALSE)</f>
        <v>0</v>
      </c>
      <c r="Z570" s="103" t="b">
        <f>OR(COUNTIF(PROVEEDORES[[#This Row],[PROVEEDOR]],"*"&amp;'Palabra no opera'!$A$2&amp;"*"))</f>
        <v>1</v>
      </c>
    </row>
    <row r="571" spans="1:26" ht="22.35" customHeight="1" x14ac:dyDescent="0.25">
      <c r="A571" s="153" t="str">
        <f>+IF(PROVEEDORES[[#This Row],[FECHA DE PAGO]]=PROVEEDORES[[#This Row],[FECHA DE FACTURACIÓN]],"DE CONTADO","CRÉDITO")</f>
        <v>CRÉDITO</v>
      </c>
      <c r="B571" s="38" t="b">
        <f>+IF((PROVEEDORES[[#This Row],[FECHA DE PAGO]]-PROVEEDORES[[#This Row],[FECHA DE FACTURACIÓN]])&gt;PROVEEDORES[[#This Row],[PLAZO Días]],"PAGO VENCIDO")</f>
        <v>0</v>
      </c>
      <c r="C571" s="20">
        <f>+VLOOKUP(PROVEEDORES[[#This Row],[PROVEEDOR]],TERCEROS_INFO[#All],2,FALSE)</f>
        <v>30</v>
      </c>
      <c r="D571" s="25">
        <f>+SUMIFS(PROVEEDORES[Total],PROVEEDORES[PROVEEDOR],PROVEEDORES[[#This Row],[PROVEEDOR]],PROVEEDORES[FECHA DE PAGO],"")</f>
        <v>0</v>
      </c>
      <c r="E571" s="25"/>
      <c r="F57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1" s="289">
        <v>44977</v>
      </c>
      <c r="H571" s="26" t="s">
        <v>401</v>
      </c>
      <c r="I571" s="289">
        <v>44958</v>
      </c>
      <c r="J571" s="35" t="s">
        <v>619</v>
      </c>
      <c r="K571" s="21">
        <v>2196</v>
      </c>
      <c r="L571" s="21"/>
      <c r="M571" s="22">
        <f>(PROVEEDORES[[#This Row],[SUBTOTAL]]-PROVEEDORES[[#This Row],[descuento sobre subtotal]])*VLOOKUP(PROVEEDORES[[#This Row],[PROVEEDOR]],TERCEROS_INFO[#All],3,FALSE)</f>
        <v>417.24</v>
      </c>
      <c r="N571" s="23"/>
      <c r="O571" s="22">
        <f>+PROVEEDORES[[#This Row],[Descuento sobre subtotal %]]*(PROVEEDORES[[#This Row],[SUBTOTAL]]-PROVEEDORES[[#This Row],[descuento sobre subtotal]])</f>
        <v>0</v>
      </c>
      <c r="P571" s="72"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2613.2399999999998</v>
      </c>
      <c r="S571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61">
        <f ca="1">IF(PROVEEDORES[[#This Row],[FECHA DE PAGO]]=0,TODAY()-PROVEEDORES[[#This Row],[FECHA DE FACTURACIÓN]]-PROVEEDORES[[#This Row],[PLAZO Días]],0)</f>
        <v>0</v>
      </c>
      <c r="U571" s="97">
        <f>+VLOOKUP(PROVEEDORES[[#This Row],[PROVEEDOR]],Terceros!$A:$D,4,FALSE)</f>
        <v>0</v>
      </c>
      <c r="V571" s="98">
        <f>+YEAR(PROVEEDORES[[#This Row],[FECHA DE FACTURACIÓN]])</f>
        <v>2023</v>
      </c>
      <c r="W571" s="98">
        <f>+MATCH(PROVEEDORES[[#This Row],[año facturado]],Retenciones!$1:$1,0)</f>
        <v>6</v>
      </c>
      <c r="X571" s="99">
        <f>+VLOOKUP(PROVEEDORES[[#This Row],[ID RETENCION]],Retenciones!$A$1:$O$25,PROVEEDORES[[#This Row],[indicador de columna]],FALSE)</f>
        <v>0</v>
      </c>
      <c r="Y571" s="100">
        <f>+VLOOKUP(PROVEEDORES[[#This Row],[ID RETENCION]],Retenciones!$A$1:$O$25,2,FALSE)</f>
        <v>0</v>
      </c>
      <c r="Z571" s="103" t="b">
        <f>OR(COUNTIF(PROVEEDORES[[#This Row],[PROVEEDOR]],"*"&amp;'Palabra no opera'!$A$2&amp;"*"))</f>
        <v>1</v>
      </c>
    </row>
    <row r="572" spans="1:26" ht="22.35" customHeight="1" x14ac:dyDescent="0.25">
      <c r="A572" s="153" t="str">
        <f>+IF(PROVEEDORES[[#This Row],[FECHA DE PAGO]]=PROVEEDORES[[#This Row],[FECHA DE FACTURACIÓN]],"DE CONTADO","CRÉDITO")</f>
        <v>CRÉDITO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30</v>
      </c>
      <c r="D572" s="25">
        <f>+SUMIFS(PROVEEDORES[Total],PROVEEDORES[PROVEEDOR],PROVEEDORES[[#This Row],[PROVEEDOR]],PROVEEDORES[FECHA DE PAGO],"")</f>
        <v>0</v>
      </c>
      <c r="E572" s="25"/>
      <c r="F57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2" s="289">
        <v>44977</v>
      </c>
      <c r="H572" s="26" t="s">
        <v>401</v>
      </c>
      <c r="I572" s="289">
        <v>44958</v>
      </c>
      <c r="J572" s="35" t="s">
        <v>620</v>
      </c>
      <c r="K572" s="21">
        <v>527</v>
      </c>
      <c r="L572" s="21"/>
      <c r="M572" s="22">
        <f>(PROVEEDORES[[#This Row],[SUBTOTAL]]-PROVEEDORES[[#This Row],[descuento sobre subtotal]])*VLOOKUP(PROVEEDORES[[#This Row],[PROVEEDOR]],TERCEROS_INFO[#All],3,FALSE)</f>
        <v>100.13</v>
      </c>
      <c r="N572" s="23"/>
      <c r="O572" s="22">
        <f>+PROVEEDORES[[#This Row],[Descuento sobre subtotal %]]*(PROVEEDORES[[#This Row],[SUBTOTAL]]-PROVEEDORES[[#This Row],[descuento sobre subtotal]])</f>
        <v>0</v>
      </c>
      <c r="P572" s="72"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627.13</v>
      </c>
      <c r="S572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1">
        <f ca="1">IF(PROVEEDORES[[#This Row],[FECHA DE PAGO]]=0,TODAY()-PROVEEDORES[[#This Row],[FECHA DE FACTURACIÓN]]-PROVEEDORES[[#This Row],[PLAZO Días]],0)</f>
        <v>0</v>
      </c>
      <c r="U572" s="97">
        <f>+VLOOKUP(PROVEEDORES[[#This Row],[PROVEEDOR]],Terceros!$A:$D,4,FALSE)</f>
        <v>0</v>
      </c>
      <c r="V572" s="98">
        <f>+YEAR(PROVEEDORES[[#This Row],[FECHA DE FACTURACIÓN]])</f>
        <v>2023</v>
      </c>
      <c r="W572" s="98">
        <f>+MATCH(PROVEEDORES[[#This Row],[año facturado]],Retenciones!$1:$1,0)</f>
        <v>6</v>
      </c>
      <c r="X572" s="99">
        <f>+VLOOKUP(PROVEEDORES[[#This Row],[ID RETENCION]],Retenciones!$A$1:$O$25,PROVEEDORES[[#This Row],[indicador de columna]],FALSE)</f>
        <v>0</v>
      </c>
      <c r="Y572" s="100">
        <f>+VLOOKUP(PROVEEDORES[[#This Row],[ID RETENCION]],Retenciones!$A$1:$O$25,2,FALSE)</f>
        <v>0</v>
      </c>
      <c r="Z572" s="103" t="b">
        <f>OR(COUNTIF(PROVEEDORES[[#This Row],[PROVEEDOR]],"*"&amp;'Palabra no opera'!$A$2&amp;"*"))</f>
        <v>1</v>
      </c>
    </row>
    <row r="573" spans="1:26" ht="22.35" customHeight="1" x14ac:dyDescent="0.25">
      <c r="A573" s="153" t="str">
        <f>+IF(PROVEEDORES[[#This Row],[FECHA DE PAGO]]=PROVEEDORES[[#This Row],[FECHA DE FACTURACIÓN]],"DE CONTADO","CRÉDITO")</f>
        <v>CRÉDITO</v>
      </c>
      <c r="B573" s="38" t="b">
        <f>+IF((PROVEEDORES[[#This Row],[FECHA DE PAGO]]-PROVEEDORES[[#This Row],[FECHA DE FACTURACIÓN]])&gt;PROVEEDORES[[#This Row],[PLAZO Días]],"PAGO VENCIDO")</f>
        <v>0</v>
      </c>
      <c r="C573" s="20">
        <f>+VLOOKUP(PROVEEDORES[[#This Row],[PROVEEDOR]],TERCEROS_INFO[#All],2,FALSE)</f>
        <v>30</v>
      </c>
      <c r="D573" s="25">
        <f>+SUMIFS(PROVEEDORES[Total],PROVEEDORES[PROVEEDOR],PROVEEDORES[[#This Row],[PROVEEDOR]],PROVEEDORES[FECHA DE PAGO],"")</f>
        <v>0</v>
      </c>
      <c r="E573" s="25"/>
      <c r="F57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3" s="289">
        <v>44977</v>
      </c>
      <c r="H573" s="26" t="s">
        <v>401</v>
      </c>
      <c r="I573" s="289">
        <v>44958</v>
      </c>
      <c r="J573" s="35" t="s">
        <v>621</v>
      </c>
      <c r="K573" s="21">
        <v>37336</v>
      </c>
      <c r="L573" s="21"/>
      <c r="M573" s="22">
        <f>(PROVEEDORES[[#This Row],[SUBTOTAL]]-PROVEEDORES[[#This Row],[descuento sobre subtotal]])*VLOOKUP(PROVEEDORES[[#This Row],[PROVEEDOR]],TERCEROS_INFO[#All],3,FALSE)</f>
        <v>7093.84</v>
      </c>
      <c r="N573" s="23"/>
      <c r="O573" s="22">
        <f>+PROVEEDORES[[#This Row],[Descuento sobre subtotal %]]*(PROVEEDORES[[#This Row],[SUBTOTAL]]-PROVEEDORES[[#This Row],[descuento sobre subtotal]])</f>
        <v>0</v>
      </c>
      <c r="P573" s="72"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44429.84</v>
      </c>
      <c r="S573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1">
        <f ca="1">IF(PROVEEDORES[[#This Row],[FECHA DE PAGO]]=0,TODAY()-PROVEEDORES[[#This Row],[FECHA DE FACTURACIÓN]]-PROVEEDORES[[#This Row],[PLAZO Días]],0)</f>
        <v>0</v>
      </c>
      <c r="U573" s="97">
        <f>+VLOOKUP(PROVEEDORES[[#This Row],[PROVEEDOR]],Terceros!$A:$D,4,FALSE)</f>
        <v>0</v>
      </c>
      <c r="V573" s="98">
        <f>+YEAR(PROVEEDORES[[#This Row],[FECHA DE FACTURACIÓN]])</f>
        <v>2023</v>
      </c>
      <c r="W573" s="98">
        <f>+MATCH(PROVEEDORES[[#This Row],[año facturado]],Retenciones!$1:$1,0)</f>
        <v>6</v>
      </c>
      <c r="X573" s="99">
        <f>+VLOOKUP(PROVEEDORES[[#This Row],[ID RETENCION]],Retenciones!$A$1:$O$25,PROVEEDORES[[#This Row],[indicador de columna]],FALSE)</f>
        <v>0</v>
      </c>
      <c r="Y573" s="100">
        <f>+VLOOKUP(PROVEEDORES[[#This Row],[ID RETENCION]],Retenciones!$A$1:$O$25,2,FALSE)</f>
        <v>0</v>
      </c>
      <c r="Z573" s="103" t="b">
        <f>OR(COUNTIF(PROVEEDORES[[#This Row],[PROVEEDOR]],"*"&amp;'Palabra no opera'!$A$2&amp;"*"))</f>
        <v>1</v>
      </c>
    </row>
    <row r="574" spans="1:26" ht="22.35" customHeight="1" x14ac:dyDescent="0.25">
      <c r="A574" s="159" t="str">
        <f>+IF(PROVEEDORES[[#This Row],[FECHA DE PAGO]]=PROVEEDORES[[#This Row],[FECHA DE FACTURACIÓN]],"DE CONTADO","CRÉDITO")</f>
        <v>CRÉDITO</v>
      </c>
      <c r="B574" s="38" t="str">
        <f>+IF((PROVEEDORES[[#This Row],[FECHA DE PAGO]]-PROVEEDORES[[#This Row],[FECHA DE FACTURACIÓN]])&gt;PROVEEDORES[[#This Row],[PLAZO Días]],"PAGO VENCIDO")</f>
        <v>PAGO VENCIDO</v>
      </c>
      <c r="C574" s="20">
        <f>+VLOOKUP(PROVEEDORES[[#This Row],[PROVEEDOR]],TERCEROS_INFO[#All],2,FALSE)</f>
        <v>30</v>
      </c>
      <c r="D574" s="25">
        <f>+SUMIFS(PROVEEDORES[Total],PROVEEDORES[PROVEEDOR],PROVEEDORES[[#This Row],[PROVEEDOR]],PROVEEDORES[FECHA DE PAGO],"")</f>
        <v>0</v>
      </c>
      <c r="E574" s="25"/>
      <c r="F57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4" s="289">
        <v>44995</v>
      </c>
      <c r="H574" s="26" t="s">
        <v>401</v>
      </c>
      <c r="I574" s="289">
        <v>44958</v>
      </c>
      <c r="J574" s="35" t="s">
        <v>651</v>
      </c>
      <c r="K574" s="21">
        <v>3294426</v>
      </c>
      <c r="L574" s="21"/>
      <c r="M574" s="22">
        <f>(PROVEEDORES[[#This Row],[SUBTOTAL]]-PROVEEDORES[[#This Row],[descuento sobre subtotal]])*VLOOKUP(PROVEEDORES[[#This Row],[PROVEEDOR]],TERCEROS_INFO[#All],3,FALSE)</f>
        <v>625940.94000000006</v>
      </c>
      <c r="N574" s="23"/>
      <c r="O574" s="22">
        <f>+PROVEEDORES[[#This Row],[Descuento sobre subtotal %]]*(PROVEEDORES[[#This Row],[SUBTOTAL]]-PROVEEDORES[[#This Row],[descuento sobre subtotal]])</f>
        <v>0</v>
      </c>
      <c r="P574" s="72"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57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1">
        <f ca="1">IF(PROVEEDORES[[#This Row],[FECHA DE PAGO]]=0,TODAY()-PROVEEDORES[[#This Row],[FECHA DE FACTURACIÓN]]-PROVEEDORES[[#This Row],[PLAZO Días]],0)</f>
        <v>0</v>
      </c>
      <c r="U574" s="97">
        <f>+VLOOKUP(PROVEEDORES[[#This Row],[PROVEEDOR]],Terceros!$A:$D,4,FALSE)</f>
        <v>0</v>
      </c>
      <c r="V574" s="98">
        <f>+YEAR(PROVEEDORES[[#This Row],[FECHA DE FACTURACIÓN]])</f>
        <v>2023</v>
      </c>
      <c r="W574" s="98">
        <f>+MATCH(PROVEEDORES[[#This Row],[año facturado]],Retenciones!$1:$1,0)</f>
        <v>6</v>
      </c>
      <c r="X574" s="99">
        <f>+VLOOKUP(PROVEEDORES[[#This Row],[ID RETENCION]],Retenciones!$A$1:$O$25,PROVEEDORES[[#This Row],[indicador de columna]],FALSE)</f>
        <v>0</v>
      </c>
      <c r="Y574" s="100">
        <f>+VLOOKUP(PROVEEDORES[[#This Row],[ID RETENCION]],Retenciones!$A$1:$O$25,2,FALSE)</f>
        <v>0</v>
      </c>
      <c r="Z574" s="103" t="b">
        <f>OR(COUNTIF(PROVEEDORES[[#This Row],[PROVEEDOR]],"*"&amp;'Palabra no opera'!$A$2&amp;"*"))</f>
        <v>1</v>
      </c>
    </row>
    <row r="575" spans="1:26" ht="22.35" customHeight="1" x14ac:dyDescent="0.25">
      <c r="A575" s="164" t="str">
        <f>+IF(PROVEEDORES[[#This Row],[FECHA DE PAGO]]=PROVEEDORES[[#This Row],[FECHA DE FACTURACIÓN]],"DE CONTADO","CRÉDITO")</f>
        <v>CRÉDITO</v>
      </c>
      <c r="B575" s="38" t="b">
        <f>+IF((PROVEEDORES[[#This Row],[FECHA DE PAGO]]-PROVEEDORES[[#This Row],[FECHA DE FACTURACIÓN]])&gt;PROVEEDORES[[#This Row],[PLAZO Días]],"PAGO VENCIDO")</f>
        <v>0</v>
      </c>
      <c r="C575" s="20">
        <f>+VLOOKUP(PROVEEDORES[[#This Row],[PROVEEDOR]],TERCEROS_INFO[#All],2,FALSE)</f>
        <v>30</v>
      </c>
      <c r="D575" s="25">
        <f>+SUMIFS(PROVEEDORES[Total],PROVEEDORES[PROVEEDOR],PROVEEDORES[[#This Row],[PROVEEDOR]],PROVEEDORES[FECHA DE PAGO],"")</f>
        <v>0</v>
      </c>
      <c r="E575" s="25"/>
      <c r="F57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5" s="289">
        <v>45012</v>
      </c>
      <c r="H575" s="26" t="s">
        <v>401</v>
      </c>
      <c r="I575" s="289">
        <v>44986</v>
      </c>
      <c r="J575" s="35" t="s">
        <v>678</v>
      </c>
      <c r="K575" s="21">
        <v>7165</v>
      </c>
      <c r="L575" s="21"/>
      <c r="M575" s="22">
        <f>(PROVEEDORES[[#This Row],[SUBTOTAL]]-PROVEEDORES[[#This Row],[descuento sobre subtotal]])*VLOOKUP(PROVEEDORES[[#This Row],[PROVEEDOR]],TERCEROS_INFO[#All],3,FALSE)</f>
        <v>1361.35</v>
      </c>
      <c r="N575" s="23"/>
      <c r="O575" s="22">
        <f>+PROVEEDORES[[#This Row],[Descuento sobre subtotal %]]*(PROVEEDORES[[#This Row],[SUBTOTAL]]-PROVEEDORES[[#This Row],[descuento sobre subtotal]])</f>
        <v>0</v>
      </c>
      <c r="P575" s="72">
        <v>0</v>
      </c>
      <c r="Q575" s="22">
        <f>+PROVEEDORES[[#This Row],[Rete Fuente %]]*(PROVEEDORES[[#This Row],[SUBTOTAL]]-PROVEEDORES[[#This Row],[descuento sobre subtotal]])</f>
        <v>0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8526.35</v>
      </c>
      <c r="S575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1">
        <f ca="1">IF(PROVEEDORES[[#This Row],[FECHA DE PAGO]]=0,TODAY()-PROVEEDORES[[#This Row],[FECHA DE FACTURACIÓN]]-PROVEEDORES[[#This Row],[PLAZO Días]],0)</f>
        <v>0</v>
      </c>
      <c r="U575" s="97">
        <f>+VLOOKUP(PROVEEDORES[[#This Row],[PROVEEDOR]],Terceros!$A:$D,4,FALSE)</f>
        <v>0</v>
      </c>
      <c r="V575" s="98">
        <f>+YEAR(PROVEEDORES[[#This Row],[FECHA DE FACTURACIÓN]])</f>
        <v>2023</v>
      </c>
      <c r="W575" s="98">
        <f>+MATCH(PROVEEDORES[[#This Row],[año facturado]],Retenciones!$1:$1,0)</f>
        <v>6</v>
      </c>
      <c r="X575" s="99">
        <f>+VLOOKUP(PROVEEDORES[[#This Row],[ID RETENCION]],Retenciones!$A$1:$O$25,PROVEEDORES[[#This Row],[indicador de columna]],FALSE)</f>
        <v>0</v>
      </c>
      <c r="Y575" s="100">
        <f>+VLOOKUP(PROVEEDORES[[#This Row],[ID RETENCION]],Retenciones!$A$1:$O$25,2,FALSE)</f>
        <v>0</v>
      </c>
      <c r="Z575" s="103" t="b">
        <f>OR(COUNTIF(PROVEEDORES[[#This Row],[PROVEEDOR]],"*"&amp;'Palabra no opera'!$A$2&amp;"*"))</f>
        <v>1</v>
      </c>
    </row>
    <row r="576" spans="1:26" ht="22.35" customHeight="1" x14ac:dyDescent="0.25">
      <c r="A576" s="164" t="str">
        <f>+IF(PROVEEDORES[[#This Row],[FECHA DE PAGO]]=PROVEEDORES[[#This Row],[FECHA DE FACTURACIÓN]],"DE CONTADO","CRÉDITO")</f>
        <v>CRÉDITO</v>
      </c>
      <c r="B576" s="38" t="b">
        <f>+IF((PROVEEDORES[[#This Row],[FECHA DE PAGO]]-PROVEEDORES[[#This Row],[FECHA DE FACTURACIÓN]])&gt;PROVEEDORES[[#This Row],[PLAZO Días]],"PAGO VENCIDO")</f>
        <v>0</v>
      </c>
      <c r="C576" s="20">
        <f>+VLOOKUP(PROVEEDORES[[#This Row],[PROVEEDOR]],TERCEROS_INFO[#All],2,FALSE)</f>
        <v>30</v>
      </c>
      <c r="D576" s="25">
        <f>+SUMIFS(PROVEEDORES[Total],PROVEEDORES[PROVEEDOR],PROVEEDORES[[#This Row],[PROVEEDOR]],PROVEEDORES[FECHA DE PAGO],"")</f>
        <v>0</v>
      </c>
      <c r="E576" s="25"/>
      <c r="F57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6" s="289">
        <v>45012</v>
      </c>
      <c r="H576" s="26" t="s">
        <v>401</v>
      </c>
      <c r="I576" s="289">
        <v>44986</v>
      </c>
      <c r="J576" s="35" t="s">
        <v>679</v>
      </c>
      <c r="K576" s="21">
        <v>10150</v>
      </c>
      <c r="L576" s="21"/>
      <c r="M576" s="22">
        <f>(PROVEEDORES[[#This Row],[SUBTOTAL]]-PROVEEDORES[[#This Row],[descuento sobre subtotal]])*VLOOKUP(PROVEEDORES[[#This Row],[PROVEEDOR]],TERCEROS_INFO[#All],3,FALSE)</f>
        <v>1928.5</v>
      </c>
      <c r="N576" s="23"/>
      <c r="O576" s="22">
        <f>+PROVEEDORES[[#This Row],[Descuento sobre subtotal %]]*(PROVEEDORES[[#This Row],[SUBTOTAL]]-PROVEEDORES[[#This Row],[descuento sobre subtotal]])</f>
        <v>0</v>
      </c>
      <c r="P576" s="72">
        <v>0</v>
      </c>
      <c r="Q576" s="22">
        <f>+PROVEEDORES[[#This Row],[Rete Fuente %]]*(PROVEEDORES[[#This Row],[SUBTOTAL]]-PROVEEDORES[[#This Row],[descuento sobre subtotal]])</f>
        <v>0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12078.5</v>
      </c>
      <c r="S576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1">
        <f ca="1">IF(PROVEEDORES[[#This Row],[FECHA DE PAGO]]=0,TODAY()-PROVEEDORES[[#This Row],[FECHA DE FACTURACIÓN]]-PROVEEDORES[[#This Row],[PLAZO Días]],0)</f>
        <v>0</v>
      </c>
      <c r="U576" s="97">
        <f>+VLOOKUP(PROVEEDORES[[#This Row],[PROVEEDOR]],Terceros!$A:$D,4,FALSE)</f>
        <v>0</v>
      </c>
      <c r="V576" s="98">
        <f>+YEAR(PROVEEDORES[[#This Row],[FECHA DE FACTURACIÓN]])</f>
        <v>2023</v>
      </c>
      <c r="W576" s="98">
        <f>+MATCH(PROVEEDORES[[#This Row],[año facturado]],Retenciones!$1:$1,0)</f>
        <v>6</v>
      </c>
      <c r="X576" s="99">
        <f>+VLOOKUP(PROVEEDORES[[#This Row],[ID RETENCION]],Retenciones!$A$1:$O$25,PROVEEDORES[[#This Row],[indicador de columna]],FALSE)</f>
        <v>0</v>
      </c>
      <c r="Y576" s="100">
        <f>+VLOOKUP(PROVEEDORES[[#This Row],[ID RETENCION]],Retenciones!$A$1:$O$25,2,FALSE)</f>
        <v>0</v>
      </c>
      <c r="Z576" s="103" t="b">
        <f>OR(COUNTIF(PROVEEDORES[[#This Row],[PROVEEDOR]],"*"&amp;'Palabra no opera'!$A$2&amp;"*"))</f>
        <v>1</v>
      </c>
    </row>
    <row r="577" spans="1:26" ht="22.35" customHeight="1" x14ac:dyDescent="0.25">
      <c r="A577" s="164" t="str">
        <f>+IF(PROVEEDORES[[#This Row],[FECHA DE PAGO]]=PROVEEDORES[[#This Row],[FECHA DE FACTURACIÓN]],"DE CONTADO","CRÉDITO")</f>
        <v>CRÉDITO</v>
      </c>
      <c r="B577" s="38" t="b">
        <f>+IF((PROVEEDORES[[#This Row],[FECHA DE PAGO]]-PROVEEDORES[[#This Row],[FECHA DE FACTURACIÓN]])&gt;PROVEEDORES[[#This Row],[PLAZO Días]],"PAGO VENCIDO")</f>
        <v>0</v>
      </c>
      <c r="C577" s="20">
        <f>+VLOOKUP(PROVEEDORES[[#This Row],[PROVEEDOR]],TERCEROS_INFO[#All],2,FALSE)</f>
        <v>30</v>
      </c>
      <c r="D577" s="25">
        <f>+SUMIFS(PROVEEDORES[Total],PROVEEDORES[PROVEEDOR],PROVEEDORES[[#This Row],[PROVEEDOR]],PROVEEDORES[FECHA DE PAGO],"")</f>
        <v>0</v>
      </c>
      <c r="E577" s="25"/>
      <c r="F57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7" s="289">
        <v>45012</v>
      </c>
      <c r="H577" s="26" t="s">
        <v>401</v>
      </c>
      <c r="I577" s="289">
        <v>44986</v>
      </c>
      <c r="J577" s="35" t="s">
        <v>680</v>
      </c>
      <c r="K577" s="21">
        <v>39533</v>
      </c>
      <c r="L577" s="21"/>
      <c r="M577" s="22">
        <f>(PROVEEDORES[[#This Row],[SUBTOTAL]]-PROVEEDORES[[#This Row],[descuento sobre subtotal]])*VLOOKUP(PROVEEDORES[[#This Row],[PROVEEDOR]],TERCEROS_INFO[#All],3,FALSE)</f>
        <v>7511.27</v>
      </c>
      <c r="N577" s="23"/>
      <c r="O577" s="22">
        <f>+PROVEEDORES[[#This Row],[Descuento sobre subtotal %]]*(PROVEEDORES[[#This Row],[SUBTOTAL]]-PROVEEDORES[[#This Row],[descuento sobre subtotal]])</f>
        <v>0</v>
      </c>
      <c r="P577" s="72"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577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1">
        <f ca="1">IF(PROVEEDORES[[#This Row],[FECHA DE PAGO]]=0,TODAY()-PROVEEDORES[[#This Row],[FECHA DE FACTURACIÓN]]-PROVEEDORES[[#This Row],[PLAZO Días]],0)</f>
        <v>0</v>
      </c>
      <c r="U577" s="97">
        <f>+VLOOKUP(PROVEEDORES[[#This Row],[PROVEEDOR]],Terceros!$A:$D,4,FALSE)</f>
        <v>0</v>
      </c>
      <c r="V577" s="98">
        <f>+YEAR(PROVEEDORES[[#This Row],[FECHA DE FACTURACIÓN]])</f>
        <v>2023</v>
      </c>
      <c r="W577" s="98">
        <f>+MATCH(PROVEEDORES[[#This Row],[año facturado]],Retenciones!$1:$1,0)</f>
        <v>6</v>
      </c>
      <c r="X577" s="99">
        <f>+VLOOKUP(PROVEEDORES[[#This Row],[ID RETENCION]],Retenciones!$A$1:$O$25,PROVEEDORES[[#This Row],[indicador de columna]],FALSE)</f>
        <v>0</v>
      </c>
      <c r="Y577" s="100">
        <f>+VLOOKUP(PROVEEDORES[[#This Row],[ID RETENCION]],Retenciones!$A$1:$O$25,2,FALSE)</f>
        <v>0</v>
      </c>
      <c r="Z577" s="103" t="b">
        <f>OR(COUNTIF(PROVEEDORES[[#This Row],[PROVEEDOR]],"*"&amp;'Palabra no opera'!$A$2&amp;"*"))</f>
        <v>1</v>
      </c>
    </row>
    <row r="578" spans="1:26" ht="22.35" customHeight="1" x14ac:dyDescent="0.25">
      <c r="A578" s="164" t="str">
        <f>+IF(PROVEEDORES[[#This Row],[FECHA DE PAGO]]=PROVEEDORES[[#This Row],[FECHA DE FACTURACIÓN]],"DE CONTADO","CRÉDITO")</f>
        <v>CRÉDITO</v>
      </c>
      <c r="B578" s="38" t="b">
        <f>+IF((PROVEEDORES[[#This Row],[FECHA DE PAGO]]-PROVEEDORES[[#This Row],[FECHA DE FACTURACIÓN]])&gt;PROVEEDORES[[#This Row],[PLAZO Días]],"PAGO VENCIDO")</f>
        <v>0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0</v>
      </c>
      <c r="E578" s="25"/>
      <c r="F57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8" s="289">
        <v>45012</v>
      </c>
      <c r="H578" s="26" t="s">
        <v>401</v>
      </c>
      <c r="I578" s="289">
        <v>44986</v>
      </c>
      <c r="J578" s="35" t="s">
        <v>681</v>
      </c>
      <c r="K578" s="21">
        <v>933193</v>
      </c>
      <c r="L578" s="21"/>
      <c r="M578" s="22">
        <f>(PROVEEDORES[[#This Row],[SUBTOTAL]]-PROVEEDORES[[#This Row],[descuento sobre subtotal]])*VLOOKUP(PROVEEDORES[[#This Row],[PROVEEDOR]],TERCEROS_INFO[#All],3,FALSE)</f>
        <v>177306.67</v>
      </c>
      <c r="N578" s="23"/>
      <c r="O578" s="22">
        <f>+PROVEEDORES[[#This Row],[Descuento sobre subtotal %]]*(PROVEEDORES[[#This Row],[SUBTOTAL]]-PROVEEDORES[[#This Row],[descuento sobre subtotal]])</f>
        <v>0</v>
      </c>
      <c r="P578" s="72">
        <f>+IF(PROVEEDORES[[#This Row],[SUBTOTAL]]&lt;PROVEEDORES[[#This Row],[base retencion]],0,PROVEEDORES[[#This Row],[retención aplicada]])</f>
        <v>0</v>
      </c>
      <c r="Q578" s="22">
        <f>+PROVEEDORES[[#This Row],[Rete Fuente %]]*(PROVEEDORES[[#This Row],[SUBTOTAL]]-PROVEEDORES[[#This Row],[descuento sobre subtotal]])</f>
        <v>0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1110499.67</v>
      </c>
      <c r="S578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61">
        <f ca="1">IF(PROVEEDORES[[#This Row],[FECHA DE PAGO]]=0,TODAY()-PROVEEDORES[[#This Row],[FECHA DE FACTURACIÓN]]-PROVEEDORES[[#This Row],[PLAZO Días]],0)</f>
        <v>0</v>
      </c>
      <c r="U578" s="97">
        <f>+VLOOKUP(PROVEEDORES[[#This Row],[PROVEEDOR]],Terceros!$A:$D,4,FALSE)</f>
        <v>0</v>
      </c>
      <c r="V578" s="98">
        <f>+YEAR(PROVEEDORES[[#This Row],[FECHA DE FACTURACIÓN]])</f>
        <v>2023</v>
      </c>
      <c r="W578" s="98">
        <f>+MATCH(PROVEEDORES[[#This Row],[año facturado]],Retenciones!$1:$1,0)</f>
        <v>6</v>
      </c>
      <c r="X578" s="99">
        <f>+VLOOKUP(PROVEEDORES[[#This Row],[ID RETENCION]],Retenciones!$A$1:$O$25,PROVEEDORES[[#This Row],[indicador de columna]],FALSE)</f>
        <v>0</v>
      </c>
      <c r="Y578" s="100">
        <f>+VLOOKUP(PROVEEDORES[[#This Row],[ID RETENCION]],Retenciones!$A$1:$O$25,2,FALSE)</f>
        <v>0</v>
      </c>
      <c r="Z578" s="103" t="b">
        <f>OR(COUNTIF(PROVEEDORES[[#This Row],[PROVEEDOR]],"*"&amp;'Palabra no opera'!$A$2&amp;"*"))</f>
        <v>1</v>
      </c>
    </row>
    <row r="579" spans="1:26" ht="22.35" customHeight="1" x14ac:dyDescent="0.25">
      <c r="A579" s="164" t="str">
        <f>+IF(PROVEEDORES[[#This Row],[FECHA DE PAGO]]=PROVEEDORES[[#This Row],[FECHA DE FACTURACIÓN]],"DE CONTADO","CRÉDITO")</f>
        <v>CRÉDITO</v>
      </c>
      <c r="B579" s="38" t="b">
        <f>+IF((PROVEEDORES[[#This Row],[FECHA DE PAGO]]-PROVEEDORES[[#This Row],[FECHA DE FACTURACIÓN]])&gt;PROVEEDORES[[#This Row],[PLAZO Días]],"PAGO VENCIDO")</f>
        <v>0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9" s="289">
        <v>45014</v>
      </c>
      <c r="H579" s="26" t="s">
        <v>401</v>
      </c>
      <c r="I579" s="289">
        <v>44986</v>
      </c>
      <c r="J579" s="35" t="s">
        <v>685</v>
      </c>
      <c r="K579" s="21">
        <v>3294426</v>
      </c>
      <c r="L579" s="21"/>
      <c r="M579" s="22">
        <f>(PROVEEDORES[[#This Row],[SUBTOTAL]]-PROVEEDORES[[#This Row],[descuento sobre subtotal]])*VLOOKUP(PROVEEDORES[[#This Row],[PROVEEDOR]],TERCEROS_INFO[#All],3,FALSE)</f>
        <v>625940.94000000006</v>
      </c>
      <c r="N579" s="23"/>
      <c r="O579" s="22">
        <f>+PROVEEDORES[[#This Row],[Descuento sobre subtotal %]]*(PROVEEDORES[[#This Row],[SUBTOTAL]]-PROVEEDORES[[#This Row],[descuento sobre subtotal]])</f>
        <v>0</v>
      </c>
      <c r="P579" s="72"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579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1">
        <f ca="1">IF(PROVEEDORES[[#This Row],[FECHA DE PAGO]]=0,TODAY()-PROVEEDORES[[#This Row],[FECHA DE FACTURACIÓN]]-PROVEEDORES[[#This Row],[PLAZO Días]],0)</f>
        <v>0</v>
      </c>
      <c r="U579" s="97">
        <f>+VLOOKUP(PROVEEDORES[[#This Row],[PROVEEDOR]],Terceros!$A:$D,4,FALSE)</f>
        <v>0</v>
      </c>
      <c r="V579" s="98">
        <f>+YEAR(PROVEEDORES[[#This Row],[FECHA DE FACTURACIÓN]])</f>
        <v>2023</v>
      </c>
      <c r="W579" s="98">
        <f>+MATCH(PROVEEDORES[[#This Row],[año facturado]],Retenciones!$1:$1,0)</f>
        <v>6</v>
      </c>
      <c r="X579" s="99">
        <f>+VLOOKUP(PROVEEDORES[[#This Row],[ID RETENCION]],Retenciones!$A$1:$O$25,PROVEEDORES[[#This Row],[indicador de columna]],FALSE)</f>
        <v>0</v>
      </c>
      <c r="Y579" s="100">
        <f>+VLOOKUP(PROVEEDORES[[#This Row],[ID RETENCION]],Retenciones!$A$1:$O$25,2,FALSE)</f>
        <v>0</v>
      </c>
      <c r="Z579" s="103" t="b">
        <f>OR(COUNTIF(PROVEEDORES[[#This Row],[PROVEEDOR]],"*"&amp;'Palabra no opera'!$A$2&amp;"*"))</f>
        <v>1</v>
      </c>
    </row>
    <row r="580" spans="1:26" ht="22.35" customHeight="1" x14ac:dyDescent="0.25">
      <c r="A580" s="65" t="str">
        <f>+IF(PROVEEDORES[[#This Row],[FECHA DE PAGO]]=PROVEEDORES[[#This Row],[FECHA DE FACTURACIÓN]],"DE CONTADO","CRÉDITO")</f>
        <v>CRÉDITO</v>
      </c>
      <c r="B580" s="38" t="b">
        <f>+IF((PROVEEDORES[[#This Row],[FECHA DE PAGO]]-PROVEEDORES[[#This Row],[FECHA DE FACTURACIÓN]])&gt;PROVEEDORES[[#This Row],[PLAZO Días]],"PAGO VENCIDO")</f>
        <v>0</v>
      </c>
      <c r="C580" s="20">
        <f>+VLOOKUP(PROVEEDORES[[#This Row],[PROVEEDOR]],TERCEROS_INFO[#All],2,FALSE)</f>
        <v>30</v>
      </c>
      <c r="D580" s="25">
        <f>+SUMIFS(PROVEEDORES[Total],PROVEEDORES[PROVEEDOR],PROVEEDORES[[#This Row],[PROVEEDOR]],PROVEEDORES[FECHA DE PAGO],"")</f>
        <v>0</v>
      </c>
      <c r="E580" s="25"/>
      <c r="F58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0" s="289">
        <v>45026</v>
      </c>
      <c r="H580" s="26" t="s">
        <v>401</v>
      </c>
      <c r="I580" s="289">
        <v>45017</v>
      </c>
      <c r="J580" s="35" t="s">
        <v>717</v>
      </c>
      <c r="K580" s="21">
        <v>3792544</v>
      </c>
      <c r="L580" s="21"/>
      <c r="M580" s="22">
        <f>(PROVEEDORES[[#This Row],[SUBTOTAL]]-PROVEEDORES[[#This Row],[descuento sobre subtotal]])*VLOOKUP(PROVEEDORES[[#This Row],[PROVEEDOR]],TERCEROS_INFO[#All],3,FALSE)</f>
        <v>720583.36</v>
      </c>
      <c r="N580" s="23"/>
      <c r="O580" s="22">
        <f>+PROVEEDORES[[#This Row],[Descuento sobre subtotal %]]*(PROVEEDORES[[#This Row],[SUBTOTAL]]-PROVEEDORES[[#This Row],[descuento sobre subtotal]])</f>
        <v>0</v>
      </c>
      <c r="P580" s="72">
        <v>0</v>
      </c>
      <c r="Q580" s="22">
        <f>+PROVEEDORES[[#This Row],[Rete Fuente %]]*(PROVEEDORES[[#This Row],[SUBTOTAL]]-PROVEEDORES[[#This Row],[descuento sobre subtotal]])</f>
        <v>0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1">
        <f ca="1">IF(PROVEEDORES[[#This Row],[FECHA DE PAGO]]=0,TODAY()-PROVEEDORES[[#This Row],[FECHA DE FACTURACIÓN]]-PROVEEDORES[[#This Row],[PLAZO Días]],0)</f>
        <v>0</v>
      </c>
      <c r="U580" s="97">
        <f>+VLOOKUP(PROVEEDORES[[#This Row],[PROVEEDOR]],Terceros!$A:$D,4,FALSE)</f>
        <v>0</v>
      </c>
      <c r="V580" s="98">
        <f>+YEAR(PROVEEDORES[[#This Row],[FECHA DE FACTURACIÓN]])</f>
        <v>2023</v>
      </c>
      <c r="W580" s="98">
        <f>+MATCH(PROVEEDORES[[#This Row],[año facturado]],Retenciones!$1:$1,0)</f>
        <v>6</v>
      </c>
      <c r="X580" s="99">
        <f>+VLOOKUP(PROVEEDORES[[#This Row],[ID RETENCION]],Retenciones!$A$1:$O$25,PROVEEDORES[[#This Row],[indicador de columna]],FALSE)</f>
        <v>0</v>
      </c>
      <c r="Y580" s="100">
        <f>+VLOOKUP(PROVEEDORES[[#This Row],[ID RETENCION]],Retenciones!$A$1:$O$25,2,FALSE)</f>
        <v>0</v>
      </c>
      <c r="Z580" s="103" t="b">
        <f>OR(COUNTIF(PROVEEDORES[[#This Row],[PROVEEDOR]],"*"&amp;'Palabra no opera'!$A$2&amp;"*"))</f>
        <v>1</v>
      </c>
    </row>
    <row r="581" spans="1:26" ht="22.35" customHeight="1" x14ac:dyDescent="0.25">
      <c r="A581" s="65" t="str">
        <f>+IF(PROVEEDORES[[#This Row],[FECHA DE PAGO]]=PROVEEDORES[[#This Row],[FECHA DE FACTURACIÓN]],"DE CONTADO","CRÉDITO")</f>
        <v>CRÉDITO</v>
      </c>
      <c r="B581" s="38" t="b">
        <f>+IF((PROVEEDORES[[#This Row],[FECHA DE PAGO]]-PROVEEDORES[[#This Row],[FECHA DE FACTURACIÓN]])&gt;PROVEEDORES[[#This Row],[PLAZO Días]],"PAGO VENCIDO")</f>
        <v>0</v>
      </c>
      <c r="C581" s="20">
        <f>+VLOOKUP(PROVEEDORES[[#This Row],[PROVEEDOR]],TERCEROS_INFO[#All],2,FALSE)</f>
        <v>30</v>
      </c>
      <c r="D581" s="25">
        <f>+SUMIFS(PROVEEDORES[Total],PROVEEDORES[PROVEEDOR],PROVEEDORES[[#This Row],[PROVEEDOR]],PROVEEDORES[FECHA DE PAGO],"")</f>
        <v>0</v>
      </c>
      <c r="E581" s="25"/>
      <c r="F58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1" s="289">
        <v>45026</v>
      </c>
      <c r="H581" s="26" t="s">
        <v>401</v>
      </c>
      <c r="I581" s="289">
        <v>45017</v>
      </c>
      <c r="J581" s="35" t="s">
        <v>718</v>
      </c>
      <c r="K581" s="21">
        <v>908172</v>
      </c>
      <c r="L581" s="21"/>
      <c r="M581" s="22">
        <f>(PROVEEDORES[[#This Row],[SUBTOTAL]]-PROVEEDORES[[#This Row],[descuento sobre subtotal]])*VLOOKUP(PROVEEDORES[[#This Row],[PROVEEDOR]],TERCEROS_INFO[#All],3,FALSE)</f>
        <v>172552.68</v>
      </c>
      <c r="N581" s="23"/>
      <c r="O581" s="22">
        <f>+PROVEEDORES[[#This Row],[Descuento sobre subtotal %]]*(PROVEEDORES[[#This Row],[SUBTOTAL]]-PROVEEDORES[[#This Row],[descuento sobre subtotal]])</f>
        <v>0</v>
      </c>
      <c r="P581" s="72">
        <f>+IF(PROVEEDORES[[#This Row],[SUBTOTAL]]&lt;PROVEEDORES[[#This Row],[base retencion]],0,PROVEEDORES[[#This Row],[retención aplicada]])</f>
        <v>0</v>
      </c>
      <c r="Q581" s="22">
        <f>+PROVEEDORES[[#This Row],[Rete Fuente %]]*(PROVEEDORES[[#This Row],[SUBTOTAL]]-PROVEEDORES[[#This Row],[descuento sobre subtotal]])</f>
        <v>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8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1">
        <f ca="1">IF(PROVEEDORES[[#This Row],[FECHA DE PAGO]]=0,TODAY()-PROVEEDORES[[#This Row],[FECHA DE FACTURACIÓN]]-PROVEEDORES[[#This Row],[PLAZO Días]],0)</f>
        <v>0</v>
      </c>
      <c r="U581" s="97">
        <f>+VLOOKUP(PROVEEDORES[[#This Row],[PROVEEDOR]],Terceros!$A:$D,4,FALSE)</f>
        <v>0</v>
      </c>
      <c r="V581" s="98">
        <f>+YEAR(PROVEEDORES[[#This Row],[FECHA DE FACTURACIÓN]])</f>
        <v>2023</v>
      </c>
      <c r="W581" s="98">
        <f>+MATCH(PROVEEDORES[[#This Row],[año facturado]],Retenciones!$1:$1,0)</f>
        <v>6</v>
      </c>
      <c r="X581" s="99">
        <f>+VLOOKUP(PROVEEDORES[[#This Row],[ID RETENCION]],Retenciones!$A$1:$O$25,PROVEEDORES[[#This Row],[indicador de columna]],FALSE)</f>
        <v>0</v>
      </c>
      <c r="Y581" s="100">
        <f>+VLOOKUP(PROVEEDORES[[#This Row],[ID RETENCION]],Retenciones!$A$1:$O$25,2,FALSE)</f>
        <v>0</v>
      </c>
      <c r="Z581" s="103" t="b">
        <f>OR(COUNTIF(PROVEEDORES[[#This Row],[PROVEEDOR]],"*"&amp;'Palabra no opera'!$A$2&amp;"*"))</f>
        <v>1</v>
      </c>
    </row>
    <row r="582" spans="1:26" ht="22.35" customHeight="1" x14ac:dyDescent="0.25">
      <c r="A582" s="65" t="str">
        <f>+IF(PROVEEDORES[[#This Row],[FECHA DE PAGO]]=PROVEEDORES[[#This Row],[FECHA DE FACTURACIÓN]],"DE CONTADO","CRÉDITO")</f>
        <v>CRÉDITO</v>
      </c>
      <c r="B582" s="38" t="b">
        <f>+IF((PROVEEDORES[[#This Row],[FECHA DE PAGO]]-PROVEEDORES[[#This Row],[FECHA DE FACTURACIÓN]])&gt;PROVEEDORES[[#This Row],[PLAZO Días]],"PAGO VENCIDO")</f>
        <v>0</v>
      </c>
      <c r="C582" s="20">
        <f>+VLOOKUP(PROVEEDORES[[#This Row],[PROVEEDOR]],TERCEROS_INFO[#All],2,FALSE)</f>
        <v>30</v>
      </c>
      <c r="D582" s="25">
        <f>+SUMIFS(PROVEEDORES[Total],PROVEEDORES[PROVEEDOR],PROVEEDORES[[#This Row],[PROVEEDOR]],PROVEEDORES[FECHA DE PAGO],"")</f>
        <v>0</v>
      </c>
      <c r="E582" s="25"/>
      <c r="F58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2" s="289">
        <v>45026</v>
      </c>
      <c r="H582" s="26" t="s">
        <v>401</v>
      </c>
      <c r="I582" s="289">
        <v>45017</v>
      </c>
      <c r="J582" s="35" t="s">
        <v>719</v>
      </c>
      <c r="K582" s="21">
        <v>21962</v>
      </c>
      <c r="L582" s="21"/>
      <c r="M582" s="22">
        <f>(PROVEEDORES[[#This Row],[SUBTOTAL]]-PROVEEDORES[[#This Row],[descuento sobre subtotal]])*VLOOKUP(PROVEEDORES[[#This Row],[PROVEEDOR]],TERCEROS_INFO[#All],3,FALSE)</f>
        <v>4172.78</v>
      </c>
      <c r="N582" s="23"/>
      <c r="O582" s="22">
        <f>+PROVEEDORES[[#This Row],[Descuento sobre subtotal %]]*(PROVEEDORES[[#This Row],[SUBTOTAL]]-PROVEEDORES[[#This Row],[descuento sobre subtotal]])</f>
        <v>0</v>
      </c>
      <c r="P582" s="72"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26134.78</v>
      </c>
      <c r="S5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1">
        <f ca="1">IF(PROVEEDORES[[#This Row],[FECHA DE PAGO]]=0,TODAY()-PROVEEDORES[[#This Row],[FECHA DE FACTURACIÓN]]-PROVEEDORES[[#This Row],[PLAZO Días]],0)</f>
        <v>0</v>
      </c>
      <c r="U582" s="97">
        <f>+VLOOKUP(PROVEEDORES[[#This Row],[PROVEEDOR]],Terceros!$A:$D,4,FALSE)</f>
        <v>0</v>
      </c>
      <c r="V582" s="98">
        <f>+YEAR(PROVEEDORES[[#This Row],[FECHA DE FACTURACIÓN]])</f>
        <v>2023</v>
      </c>
      <c r="W582" s="98">
        <f>+MATCH(PROVEEDORES[[#This Row],[año facturado]],Retenciones!$1:$1,0)</f>
        <v>6</v>
      </c>
      <c r="X582" s="99">
        <f>+VLOOKUP(PROVEEDORES[[#This Row],[ID RETENCION]],Retenciones!$A$1:$O$25,PROVEEDORES[[#This Row],[indicador de columna]],FALSE)</f>
        <v>0</v>
      </c>
      <c r="Y582" s="100">
        <f>+VLOOKUP(PROVEEDORES[[#This Row],[ID RETENCION]],Retenciones!$A$1:$O$25,2,FALSE)</f>
        <v>0</v>
      </c>
      <c r="Z582" s="103" t="b">
        <f>OR(COUNTIF(PROVEEDORES[[#This Row],[PROVEEDOR]],"*"&amp;'Palabra no opera'!$A$2&amp;"*"))</f>
        <v>1</v>
      </c>
    </row>
    <row r="583" spans="1:26" ht="22.35" customHeight="1" x14ac:dyDescent="0.25">
      <c r="A583" s="65" t="str">
        <f>+IF(PROVEEDORES[[#This Row],[FECHA DE PAGO]]=PROVEEDORES[[#This Row],[FECHA DE FACTURACIÓN]],"DE CONTADO","CRÉDITO")</f>
        <v>CRÉDITO</v>
      </c>
      <c r="B583" s="38" t="b">
        <f>+IF((PROVEEDORES[[#This Row],[FECHA DE PAGO]]-PROVEEDORES[[#This Row],[FECHA DE FACTURACIÓN]])&gt;PROVEEDORES[[#This Row],[PLAZO Días]],"PAGO VENCIDO")</f>
        <v>0</v>
      </c>
      <c r="C583" s="20">
        <f>+VLOOKUP(PROVEEDORES[[#This Row],[PROVEEDOR]],TERCEROS_INFO[#All],2,FALSE)</f>
        <v>30</v>
      </c>
      <c r="D583" s="25">
        <f>+SUMIFS(PROVEEDORES[Total],PROVEEDORES[PROVEEDOR],PROVEEDORES[[#This Row],[PROVEEDOR]],PROVEEDORES[FECHA DE PAGO],"")</f>
        <v>0</v>
      </c>
      <c r="E583" s="25"/>
      <c r="F58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3" s="289">
        <v>45026</v>
      </c>
      <c r="H583" s="26" t="s">
        <v>401</v>
      </c>
      <c r="I583" s="289">
        <v>45017</v>
      </c>
      <c r="J583" s="35" t="s">
        <v>720</v>
      </c>
      <c r="K583" s="21">
        <v>41729</v>
      </c>
      <c r="L583" s="21"/>
      <c r="M583" s="22">
        <f>(PROVEEDORES[[#This Row],[SUBTOTAL]]-PROVEEDORES[[#This Row],[descuento sobre subtotal]])*VLOOKUP(PROVEEDORES[[#This Row],[PROVEEDOR]],TERCEROS_INFO[#All],3,FALSE)</f>
        <v>7928.51</v>
      </c>
      <c r="N583" s="23"/>
      <c r="O583" s="22">
        <f>+PROVEEDORES[[#This Row],[Descuento sobre subtotal %]]*(PROVEEDORES[[#This Row],[SUBTOTAL]]-PROVEEDORES[[#This Row],[descuento sobre subtotal]])</f>
        <v>0</v>
      </c>
      <c r="P583" s="72"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49657.51</v>
      </c>
      <c r="S5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1">
        <f ca="1">IF(PROVEEDORES[[#This Row],[FECHA DE PAGO]]=0,TODAY()-PROVEEDORES[[#This Row],[FECHA DE FACTURACIÓN]]-PROVEEDORES[[#This Row],[PLAZO Días]],0)</f>
        <v>0</v>
      </c>
      <c r="U583" s="97">
        <f>+VLOOKUP(PROVEEDORES[[#This Row],[PROVEEDOR]],Terceros!$A:$D,4,FALSE)</f>
        <v>0</v>
      </c>
      <c r="V583" s="98">
        <f>+YEAR(PROVEEDORES[[#This Row],[FECHA DE FACTURACIÓN]])</f>
        <v>2023</v>
      </c>
      <c r="W583" s="98">
        <f>+MATCH(PROVEEDORES[[#This Row],[año facturado]],Retenciones!$1:$1,0)</f>
        <v>6</v>
      </c>
      <c r="X583" s="99">
        <f>+VLOOKUP(PROVEEDORES[[#This Row],[ID RETENCION]],Retenciones!$A$1:$O$25,PROVEEDORES[[#This Row],[indicador de columna]],FALSE)</f>
        <v>0</v>
      </c>
      <c r="Y583" s="100">
        <f>+VLOOKUP(PROVEEDORES[[#This Row],[ID RETENCION]],Retenciones!$A$1:$O$25,2,FALSE)</f>
        <v>0</v>
      </c>
      <c r="Z583" s="103" t="b">
        <f>OR(COUNTIF(PROVEEDORES[[#This Row],[PROVEEDOR]],"*"&amp;'Palabra no opera'!$A$2&amp;"*"))</f>
        <v>1</v>
      </c>
    </row>
    <row r="584" spans="1:26" ht="22.35" customHeight="1" x14ac:dyDescent="0.25">
      <c r="A584" s="65" t="str">
        <f>+IF(PROVEEDORES[[#This Row],[FECHA DE PAGO]]=PROVEEDORES[[#This Row],[FECHA DE FACTURACIÓN]],"DE CONTADO","CRÉDITO")</f>
        <v>CRÉDITO</v>
      </c>
      <c r="B584" s="38" t="b">
        <f>+IF((PROVEEDORES[[#This Row],[FECHA DE PAGO]]-PROVEEDORES[[#This Row],[FECHA DE FACTURACIÓN]])&gt;PROVEEDORES[[#This Row],[PLAZO Días]],"PAGO VENCIDO")</f>
        <v>0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0</v>
      </c>
      <c r="E584" s="25"/>
      <c r="F58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4" s="289">
        <v>45026</v>
      </c>
      <c r="H584" s="26" t="s">
        <v>401</v>
      </c>
      <c r="I584" s="289">
        <v>45017</v>
      </c>
      <c r="J584" s="35" t="s">
        <v>721</v>
      </c>
      <c r="K584" s="21">
        <v>10576</v>
      </c>
      <c r="L584" s="21"/>
      <c r="M584" s="22">
        <f>(PROVEEDORES[[#This Row],[SUBTOTAL]]-PROVEEDORES[[#This Row],[descuento sobre subtotal]])*VLOOKUP(PROVEEDORES[[#This Row],[PROVEEDOR]],TERCEROS_INFO[#All],3,FALSE)</f>
        <v>2009.44</v>
      </c>
      <c r="N584" s="23"/>
      <c r="O584" s="22">
        <f>+PROVEEDORES[[#This Row],[Descuento sobre subtotal %]]*(PROVEEDORES[[#This Row],[SUBTOTAL]]-PROVEEDORES[[#This Row],[descuento sobre subtotal]])</f>
        <v>0</v>
      </c>
      <c r="P584" s="72"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12585.44</v>
      </c>
      <c r="S5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1">
        <f ca="1">IF(PROVEEDORES[[#This Row],[FECHA DE PAGO]]=0,TODAY()-PROVEEDORES[[#This Row],[FECHA DE FACTURACIÓN]]-PROVEEDORES[[#This Row],[PLAZO Días]],0)</f>
        <v>0</v>
      </c>
      <c r="U584" s="97">
        <f>+VLOOKUP(PROVEEDORES[[#This Row],[PROVEEDOR]],Terceros!$A:$D,4,FALSE)</f>
        <v>0</v>
      </c>
      <c r="V584" s="98">
        <f>+YEAR(PROVEEDORES[[#This Row],[FECHA DE FACTURACIÓN]])</f>
        <v>2023</v>
      </c>
      <c r="W584" s="98">
        <f>+MATCH(PROVEEDORES[[#This Row],[año facturado]],Retenciones!$1:$1,0)</f>
        <v>6</v>
      </c>
      <c r="X584" s="99">
        <f>+VLOOKUP(PROVEEDORES[[#This Row],[ID RETENCION]],Retenciones!$A$1:$O$25,PROVEEDORES[[#This Row],[indicador de columna]],FALSE)</f>
        <v>0</v>
      </c>
      <c r="Y584" s="100">
        <f>+VLOOKUP(PROVEEDORES[[#This Row],[ID RETENCION]],Retenciones!$A$1:$O$25,2,FALSE)</f>
        <v>0</v>
      </c>
      <c r="Z584" s="103" t="b">
        <f>OR(COUNTIF(PROVEEDORES[[#This Row],[PROVEEDOR]],"*"&amp;'Palabra no opera'!$A$2&amp;"*"))</f>
        <v>1</v>
      </c>
    </row>
    <row r="585" spans="1:26" ht="22.35" customHeight="1" x14ac:dyDescent="0.25">
      <c r="A585" s="192" t="str">
        <f>+IF(PROVEEDORES[[#This Row],[FECHA DE PAGO]]=PROVEEDORES[[#This Row],[FECHA DE FACTURACIÓN]],"DE CONTADO","CRÉDITO")</f>
        <v>CRÉDITO</v>
      </c>
      <c r="B585" s="38" t="b">
        <f>+IF((PROVEEDORES[[#This Row],[FECHA DE PAGO]]-PROVEEDORES[[#This Row],[FECHA DE FACTURACIÓN]])&gt;PROVEEDORES[[#This Row],[PLAZO Días]],"PAGO VENCIDO")</f>
        <v>0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0</v>
      </c>
      <c r="E585" s="25"/>
      <c r="F58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5" s="289">
        <v>45056</v>
      </c>
      <c r="H585" s="26" t="s">
        <v>401</v>
      </c>
      <c r="I585" s="289">
        <v>45044</v>
      </c>
      <c r="J585" s="35" t="s">
        <v>722</v>
      </c>
      <c r="K585" s="21">
        <v>122105</v>
      </c>
      <c r="L585" s="21"/>
      <c r="M585" s="22">
        <f>(PROVEEDORES[[#This Row],[SUBTOTAL]]-PROVEEDORES[[#This Row],[descuento sobre subtotal]])*VLOOKUP(PROVEEDORES[[#This Row],[PROVEEDOR]],TERCEROS_INFO[#All],3,FALSE)</f>
        <v>23199.95</v>
      </c>
      <c r="N585" s="23"/>
      <c r="O585" s="22">
        <f>+PROVEEDORES[[#This Row],[Descuento sobre subtotal %]]*(PROVEEDORES[[#This Row],[SUBTOTAL]]-PROVEEDORES[[#This Row],[descuento sobre subtotal]])</f>
        <v>0</v>
      </c>
      <c r="P585" s="72"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145304.95000000001</v>
      </c>
      <c r="S58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1">
        <f ca="1">IF(PROVEEDORES[[#This Row],[FECHA DE PAGO]]=0,TODAY()-PROVEEDORES[[#This Row],[FECHA DE FACTURACIÓN]]-PROVEEDORES[[#This Row],[PLAZO Días]],0)</f>
        <v>0</v>
      </c>
      <c r="U585" s="97">
        <f>+VLOOKUP(PROVEEDORES[[#This Row],[PROVEEDOR]],Terceros!$A:$D,4,FALSE)</f>
        <v>0</v>
      </c>
      <c r="V585" s="98">
        <f>+YEAR(PROVEEDORES[[#This Row],[FECHA DE FACTURACIÓN]])</f>
        <v>2023</v>
      </c>
      <c r="W585" s="98">
        <f>+MATCH(PROVEEDORES[[#This Row],[año facturado]],Retenciones!$1:$1,0)</f>
        <v>6</v>
      </c>
      <c r="X585" s="99">
        <f>+VLOOKUP(PROVEEDORES[[#This Row],[ID RETENCION]],Retenciones!$A$1:$O$25,PROVEEDORES[[#This Row],[indicador de columna]],FALSE)</f>
        <v>0</v>
      </c>
      <c r="Y585" s="100">
        <f>+VLOOKUP(PROVEEDORES[[#This Row],[ID RETENCION]],Retenciones!$A$1:$O$25,2,FALSE)</f>
        <v>0</v>
      </c>
      <c r="Z585" s="103" t="b">
        <f>OR(COUNTIF(PROVEEDORES[[#This Row],[PROVEEDOR]],"*"&amp;'Palabra no opera'!$A$2&amp;"*"))</f>
        <v>1</v>
      </c>
    </row>
    <row r="586" spans="1:26" ht="22.35" customHeight="1" x14ac:dyDescent="0.25">
      <c r="A586" s="194" t="str">
        <f>+IF(PROVEEDORES[[#This Row],[FECHA DE PAGO]]=PROVEEDORES[[#This Row],[FECHA DE FACTURACIÓN]],"DE CONTADO","CRÉDITO")</f>
        <v>CRÉDITO</v>
      </c>
      <c r="B586" s="38" t="b">
        <f>+IF((PROVEEDORES[[#This Row],[FECHA DE PAGO]]-PROVEEDORES[[#This Row],[FECHA DE FACTURACIÓN]])&gt;PROVEEDORES[[#This Row],[PLAZO Días]],"PAGO VENCIDO")</f>
        <v>0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0</v>
      </c>
      <c r="E586" s="25"/>
      <c r="F58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6" s="289">
        <v>45056</v>
      </c>
      <c r="H586" s="26" t="s">
        <v>401</v>
      </c>
      <c r="I586" s="289">
        <v>45047</v>
      </c>
      <c r="J586" s="35" t="s">
        <v>808</v>
      </c>
      <c r="K586" s="21">
        <v>908172</v>
      </c>
      <c r="L586" s="21"/>
      <c r="M586" s="22">
        <f>(PROVEEDORES[[#This Row],[SUBTOTAL]]-PROVEEDORES[[#This Row],[descuento sobre subtotal]])*VLOOKUP(PROVEEDORES[[#This Row],[PROVEEDOR]],TERCEROS_INFO[#All],3,FALSE)</f>
        <v>172552.68</v>
      </c>
      <c r="N586" s="23"/>
      <c r="O586" s="22">
        <f>+PROVEEDORES[[#This Row],[Descuento sobre subtotal %]]*(PROVEEDORES[[#This Row],[SUBTOTAL]]-PROVEEDORES[[#This Row],[descuento sobre subtotal]])</f>
        <v>0</v>
      </c>
      <c r="P586" s="72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86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1">
        <f ca="1">IF(PROVEEDORES[[#This Row],[FECHA DE PAGO]]=0,TODAY()-PROVEEDORES[[#This Row],[FECHA DE FACTURACIÓN]]-PROVEEDORES[[#This Row],[PLAZO Días]],0)</f>
        <v>0</v>
      </c>
      <c r="U586" s="97">
        <f>+VLOOKUP(PROVEEDORES[[#This Row],[PROVEEDOR]],Terceros!$A:$D,4,FALSE)</f>
        <v>0</v>
      </c>
      <c r="V586" s="98">
        <f>+YEAR(PROVEEDORES[[#This Row],[FECHA DE FACTURACIÓN]])</f>
        <v>2023</v>
      </c>
      <c r="W586" s="98">
        <f>+MATCH(PROVEEDORES[[#This Row],[año facturado]],Retenciones!$1:$1,0)</f>
        <v>6</v>
      </c>
      <c r="X586" s="99">
        <f>+VLOOKUP(PROVEEDORES[[#This Row],[ID RETENCION]],Retenciones!$A$1:$O$25,PROVEEDORES[[#This Row],[indicador de columna]],FALSE)</f>
        <v>0</v>
      </c>
      <c r="Y586" s="100">
        <f>+VLOOKUP(PROVEEDORES[[#This Row],[ID RETENCION]],Retenciones!$A$1:$O$25,2,FALSE)</f>
        <v>0</v>
      </c>
      <c r="Z586" s="103" t="b">
        <f>OR(COUNTIF(PROVEEDORES[[#This Row],[PROVEEDOR]],"*"&amp;'Palabra no opera'!$A$2&amp;"*"))</f>
        <v>1</v>
      </c>
    </row>
    <row r="587" spans="1:26" ht="22.35" customHeight="1" x14ac:dyDescent="0.25">
      <c r="A587" s="194" t="str">
        <f>+IF(PROVEEDORES[[#This Row],[FECHA DE PAGO]]=PROVEEDORES[[#This Row],[FECHA DE FACTURACIÓN]],"DE CONTADO","CRÉDITO")</f>
        <v>CRÉDITO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0</v>
      </c>
      <c r="E587" s="25"/>
      <c r="F58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7" s="289">
        <v>45056</v>
      </c>
      <c r="H587" s="26" t="s">
        <v>401</v>
      </c>
      <c r="I587" s="289">
        <v>45047</v>
      </c>
      <c r="J587" s="35" t="s">
        <v>809</v>
      </c>
      <c r="K587" s="21">
        <v>3792544</v>
      </c>
      <c r="L587" s="21"/>
      <c r="M587" s="22">
        <f>(PROVEEDORES[[#This Row],[SUBTOTAL]]-PROVEEDORES[[#This Row],[descuento sobre subtotal]])*VLOOKUP(PROVEEDORES[[#This Row],[PROVEEDOR]],TERCEROS_INFO[#All],3,FALSE)</f>
        <v>720583.36</v>
      </c>
      <c r="N587" s="23"/>
      <c r="O587" s="22">
        <f>+PROVEEDORES[[#This Row],[Descuento sobre subtotal %]]*(PROVEEDORES[[#This Row],[SUBTOTAL]]-PROVEEDORES[[#This Row],[descuento sobre subtotal]])</f>
        <v>0</v>
      </c>
      <c r="P587" s="72">
        <v>0</v>
      </c>
      <c r="Q587" s="22">
        <f>+PROVEEDORES[[#This Row],[Rete Fuente %]]*(PROVEEDORES[[#This Row],[SUBTOTAL]]-PROVEEDORES[[#This Row],[descuento sobre subtotal]])</f>
        <v>0</v>
      </c>
      <c r="R587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87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1">
        <f ca="1">IF(PROVEEDORES[[#This Row],[FECHA DE PAGO]]=0,TODAY()-PROVEEDORES[[#This Row],[FECHA DE FACTURACIÓN]]-PROVEEDORES[[#This Row],[PLAZO Días]],0)</f>
        <v>0</v>
      </c>
      <c r="U587" s="97">
        <f>+VLOOKUP(PROVEEDORES[[#This Row],[PROVEEDOR]],Terceros!$A:$D,4,FALSE)</f>
        <v>0</v>
      </c>
      <c r="V587" s="98">
        <f>+YEAR(PROVEEDORES[[#This Row],[FECHA DE FACTURACIÓN]])</f>
        <v>2023</v>
      </c>
      <c r="W587" s="98">
        <f>+MATCH(PROVEEDORES[[#This Row],[año facturado]],Retenciones!$1:$1,0)</f>
        <v>6</v>
      </c>
      <c r="X587" s="99">
        <f>+VLOOKUP(PROVEEDORES[[#This Row],[ID RETENCION]],Retenciones!$A$1:$O$25,PROVEEDORES[[#This Row],[indicador de columna]],FALSE)</f>
        <v>0</v>
      </c>
      <c r="Y587" s="100">
        <f>+VLOOKUP(PROVEEDORES[[#This Row],[ID RETENCION]],Retenciones!$A$1:$O$25,2,FALSE)</f>
        <v>0</v>
      </c>
      <c r="Z587" s="103" t="b">
        <f>OR(COUNTIF(PROVEEDORES[[#This Row],[PROVEEDOR]],"*"&amp;'Palabra no opera'!$A$2&amp;"*"))</f>
        <v>1</v>
      </c>
    </row>
    <row r="588" spans="1:26" ht="22.35" customHeight="1" x14ac:dyDescent="0.25">
      <c r="A588" s="65" t="str">
        <f>+IF(PROVEEDORES[[#This Row],[FECHA DE PAGO]]=PROVEEDORES[[#This Row],[FECHA DE FACTURACIÓN]],"DE CONTADO","CRÉDITO")</f>
        <v>CRÉDITO</v>
      </c>
      <c r="B588" s="38" t="b">
        <f>+IF((PROVEEDORES[[#This Row],[FECHA DE PAGO]]-PROVEEDORES[[#This Row],[FECHA DE FACTURACIÓN]])&gt;PROVEEDORES[[#This Row],[PLAZO Días]],"PAGO VENCIDO")</f>
        <v>0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0</v>
      </c>
      <c r="E588" s="25"/>
      <c r="F58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8" s="289">
        <v>45086</v>
      </c>
      <c r="H588" s="26" t="s">
        <v>401</v>
      </c>
      <c r="I588" s="289">
        <v>45058</v>
      </c>
      <c r="J588" s="35" t="s">
        <v>532</v>
      </c>
      <c r="K588" s="21">
        <v>-152631</v>
      </c>
      <c r="L588" s="21"/>
      <c r="M588" s="22">
        <f>(PROVEEDORES[[#This Row],[SUBTOTAL]]-PROVEEDORES[[#This Row],[descuento sobre subtotal]])*VLOOKUP(PROVEEDORES[[#This Row],[PROVEEDOR]],TERCEROS_INFO[#All],3,FALSE)</f>
        <v>-28999.89</v>
      </c>
      <c r="N588" s="23"/>
      <c r="O588" s="22">
        <f>+PROVEEDORES[[#This Row],[Descuento sobre subtotal %]]*(PROVEEDORES[[#This Row],[SUBTOTAL]]-PROVEEDORES[[#This Row],[descuento sobre subtotal]])</f>
        <v>0</v>
      </c>
      <c r="P588" s="72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-181630.89</v>
      </c>
      <c r="S5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1">
        <f ca="1">IF(PROVEEDORES[[#This Row],[FECHA DE PAGO]]=0,TODAY()-PROVEEDORES[[#This Row],[FECHA DE FACTURACIÓN]]-PROVEEDORES[[#This Row],[PLAZO Días]],0)</f>
        <v>0</v>
      </c>
      <c r="U588" s="97">
        <f>+VLOOKUP(PROVEEDORES[[#This Row],[PROVEEDOR]],Terceros!$A:$D,4,FALSE)</f>
        <v>0</v>
      </c>
      <c r="V588" s="98">
        <f>+YEAR(PROVEEDORES[[#This Row],[FECHA DE FACTURACIÓN]])</f>
        <v>2023</v>
      </c>
      <c r="W588" s="98">
        <f>+MATCH(PROVEEDORES[[#This Row],[año facturado]],Retenciones!$1:$1,0)</f>
        <v>6</v>
      </c>
      <c r="X588" s="99">
        <f>+VLOOKUP(PROVEEDORES[[#This Row],[ID RETENCION]],Retenciones!$A$1:$O$25,PROVEEDORES[[#This Row],[indicador de columna]],FALSE)</f>
        <v>0</v>
      </c>
      <c r="Y588" s="100">
        <f>+VLOOKUP(PROVEEDORES[[#This Row],[ID RETENCION]],Retenciones!$A$1:$O$25,2,FALSE)</f>
        <v>0</v>
      </c>
      <c r="Z588" s="103" t="b">
        <f>OR(COUNTIF(PROVEEDORES[[#This Row],[PROVEEDOR]],"*"&amp;'Palabra no opera'!$A$2&amp;"*"))</f>
        <v>1</v>
      </c>
    </row>
    <row r="589" spans="1:26" ht="22.35" customHeight="1" x14ac:dyDescent="0.25">
      <c r="A589" s="65" t="str">
        <f>+IF(PROVEEDORES[[#This Row],[FECHA DE PAGO]]=PROVEEDORES[[#This Row],[FECHA DE FACTURACIÓN]],"DE CONTADO","CRÉDITO")</f>
        <v>CRÉDITO</v>
      </c>
      <c r="B589" s="38" t="b">
        <f>+IF((PROVEEDORES[[#This Row],[FECHA DE PAGO]]-PROVEEDORES[[#This Row],[FECHA DE FACTURACIÓN]])&gt;PROVEEDORES[[#This Row],[PLAZO Días]],"PAGO VENCIDO")</f>
        <v>0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0</v>
      </c>
      <c r="E589" s="25"/>
      <c r="F58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89" s="289">
        <v>45086</v>
      </c>
      <c r="H589" s="26" t="s">
        <v>401</v>
      </c>
      <c r="I589" s="289">
        <v>45078</v>
      </c>
      <c r="J589" s="35" t="s">
        <v>866</v>
      </c>
      <c r="K589" s="21">
        <v>908172</v>
      </c>
      <c r="L589" s="21"/>
      <c r="M589" s="22">
        <f>(PROVEEDORES[[#This Row],[SUBTOTAL]]-PROVEEDORES[[#This Row],[descuento sobre subtotal]])*VLOOKUP(PROVEEDORES[[#This Row],[PROVEEDOR]],TERCEROS_INFO[#All],3,FALSE)</f>
        <v>172552.68</v>
      </c>
      <c r="N589" s="23"/>
      <c r="O589" s="22">
        <f>+PROVEEDORES[[#This Row],[Descuento sobre subtotal %]]*(PROVEEDORES[[#This Row],[SUBTOTAL]]-PROVEEDORES[[#This Row],[descuento sobre subtotal]])</f>
        <v>0</v>
      </c>
      <c r="P589" s="72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1">
        <f ca="1">IF(PROVEEDORES[[#This Row],[FECHA DE PAGO]]=0,TODAY()-PROVEEDORES[[#This Row],[FECHA DE FACTURACIÓN]]-PROVEEDORES[[#This Row],[PLAZO Días]],0)</f>
        <v>0</v>
      </c>
      <c r="U589" s="97">
        <f>+VLOOKUP(PROVEEDORES[[#This Row],[PROVEEDOR]],Terceros!$A:$D,4,FALSE)</f>
        <v>0</v>
      </c>
      <c r="V589" s="98">
        <f>+YEAR(PROVEEDORES[[#This Row],[FECHA DE FACTURACIÓN]])</f>
        <v>2023</v>
      </c>
      <c r="W589" s="98">
        <f>+MATCH(PROVEEDORES[[#This Row],[año facturado]],Retenciones!$1:$1,0)</f>
        <v>6</v>
      </c>
      <c r="X589" s="99">
        <f>+VLOOKUP(PROVEEDORES[[#This Row],[ID RETENCION]],Retenciones!$A$1:$O$25,PROVEEDORES[[#This Row],[indicador de columna]],FALSE)</f>
        <v>0</v>
      </c>
      <c r="Y589" s="100">
        <f>+VLOOKUP(PROVEEDORES[[#This Row],[ID RETENCION]],Retenciones!$A$1:$O$25,2,FALSE)</f>
        <v>0</v>
      </c>
      <c r="Z589" s="103" t="b">
        <f>OR(COUNTIF(PROVEEDORES[[#This Row],[PROVEEDOR]],"*"&amp;'Palabra no opera'!$A$2&amp;"*"))</f>
        <v>1</v>
      </c>
    </row>
    <row r="590" spans="1:26" ht="22.35" customHeight="1" x14ac:dyDescent="0.25">
      <c r="A590" s="65" t="str">
        <f>+IF(PROVEEDORES[[#This Row],[FECHA DE PAGO]]=PROVEEDORES[[#This Row],[FECHA DE FACTURACIÓN]],"DE CONTADO","CRÉDITO")</f>
        <v>CRÉDITO</v>
      </c>
      <c r="B590" s="38" t="b">
        <f>+IF((PROVEEDORES[[#This Row],[FECHA DE PAGO]]-PROVEEDORES[[#This Row],[FECHA DE FACTURACIÓN]])&gt;PROVEEDORES[[#This Row],[PLAZO Días]],"PAGO VENCIDO")</f>
        <v>0</v>
      </c>
      <c r="C590" s="20">
        <f>+VLOOKUP(PROVEEDORES[[#This Row],[PROVEEDOR]],TERCEROS_INFO[#All],2,FALSE)</f>
        <v>30</v>
      </c>
      <c r="D590" s="25">
        <f>+SUMIFS(PROVEEDORES[Total],PROVEEDORES[PROVEEDOR],PROVEEDORES[[#This Row],[PROVEEDOR]],PROVEEDORES[FECHA DE PAGO],"")</f>
        <v>0</v>
      </c>
      <c r="E590" s="25"/>
      <c r="F59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0" s="289">
        <v>45086</v>
      </c>
      <c r="H590" s="26" t="s">
        <v>401</v>
      </c>
      <c r="I590" s="289">
        <v>45078</v>
      </c>
      <c r="J590" s="35" t="s">
        <v>867</v>
      </c>
      <c r="K590" s="21">
        <v>3792544</v>
      </c>
      <c r="L590" s="21"/>
      <c r="M590" s="22">
        <f>(PROVEEDORES[[#This Row],[SUBTOTAL]]-PROVEEDORES[[#This Row],[descuento sobre subtotal]])*VLOOKUP(PROVEEDORES[[#This Row],[PROVEEDOR]],TERCEROS_INFO[#All],3,FALSE)</f>
        <v>720583.36</v>
      </c>
      <c r="N590" s="23"/>
      <c r="O590" s="22">
        <f>+PROVEEDORES[[#This Row],[Descuento sobre subtotal %]]*(PROVEEDORES[[#This Row],[SUBTOTAL]]-PROVEEDORES[[#This Row],[descuento sobre subtotal]])</f>
        <v>0</v>
      </c>
      <c r="P590" s="72">
        <v>0</v>
      </c>
      <c r="Q590" s="22">
        <f>+PROVEEDORES[[#This Row],[Rete Fuente %]]*(PROVEEDORES[[#This Row],[SUBTOTAL]]-PROVEEDORES[[#This Row],[descuento sobre subtotal]])</f>
        <v>0</v>
      </c>
      <c r="R590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1">
        <f ca="1">IF(PROVEEDORES[[#This Row],[FECHA DE PAGO]]=0,TODAY()-PROVEEDORES[[#This Row],[FECHA DE FACTURACIÓN]]-PROVEEDORES[[#This Row],[PLAZO Días]],0)</f>
        <v>0</v>
      </c>
      <c r="U590" s="97">
        <f>+VLOOKUP(PROVEEDORES[[#This Row],[PROVEEDOR]],Terceros!$A:$D,4,FALSE)</f>
        <v>0</v>
      </c>
      <c r="V590" s="98">
        <f>+YEAR(PROVEEDORES[[#This Row],[FECHA DE FACTURACIÓN]])</f>
        <v>2023</v>
      </c>
      <c r="W590" s="98">
        <f>+MATCH(PROVEEDORES[[#This Row],[año facturado]],Retenciones!$1:$1,0)</f>
        <v>6</v>
      </c>
      <c r="X590" s="99">
        <f>+VLOOKUP(PROVEEDORES[[#This Row],[ID RETENCION]],Retenciones!$A$1:$O$25,PROVEEDORES[[#This Row],[indicador de columna]],FALSE)</f>
        <v>0</v>
      </c>
      <c r="Y590" s="100">
        <f>+VLOOKUP(PROVEEDORES[[#This Row],[ID RETENCION]],Retenciones!$A$1:$O$25,2,FALSE)</f>
        <v>0</v>
      </c>
      <c r="Z590" s="103" t="b">
        <f>OR(COUNTIF(PROVEEDORES[[#This Row],[PROVEEDOR]],"*"&amp;'Palabra no opera'!$A$2&amp;"*"))</f>
        <v>1</v>
      </c>
    </row>
    <row r="591" spans="1:26" ht="22.35" customHeight="1" x14ac:dyDescent="0.25">
      <c r="A591" s="209" t="str">
        <f>+IF(PROVEEDORES[[#This Row],[FECHA DE PAGO]]=PROVEEDORES[[#This Row],[FECHA DE FACTURACIÓN]],"DE CONTADO","CRÉDITO")</f>
        <v>CRÉDITO</v>
      </c>
      <c r="B591" s="38" t="b">
        <f>+IF((PROVEEDORES[[#This Row],[FECHA DE PAGO]]-PROVEEDORES[[#This Row],[FECHA DE FACTURACIÓN]])&gt;PROVEEDORES[[#This Row],[PLAZO Días]],"PAGO VENCIDO")</f>
        <v>0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0</v>
      </c>
      <c r="E591" s="25"/>
      <c r="F59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1" s="289">
        <v>45117</v>
      </c>
      <c r="H591" s="26" t="s">
        <v>401</v>
      </c>
      <c r="I591" s="289">
        <v>45108</v>
      </c>
      <c r="J591" s="35" t="s">
        <v>1008</v>
      </c>
      <c r="K591" s="21">
        <v>3792544</v>
      </c>
      <c r="L591" s="21"/>
      <c r="M591" s="22">
        <f>(PROVEEDORES[[#This Row],[SUBTOTAL]]-PROVEEDORES[[#This Row],[descuento sobre subtotal]])*VLOOKUP(PROVEEDORES[[#This Row],[PROVEEDOR]],TERCEROS_INFO[#All],3,FALSE)</f>
        <v>720583.36</v>
      </c>
      <c r="N591" s="23"/>
      <c r="O591" s="22">
        <f>+PROVEEDORES[[#This Row],[Descuento sobre subtotal %]]*(PROVEEDORES[[#This Row],[SUBTOTAL]]-PROVEEDORES[[#This Row],[descuento sobre subtotal]])</f>
        <v>0</v>
      </c>
      <c r="P591" s="72">
        <v>0</v>
      </c>
      <c r="Q591" s="22">
        <f>+PROVEEDORES[[#This Row],[Rete Fuente %]]*(PROVEEDORES[[#This Row],[SUBTOTAL]]-PROVEEDORES[[#This Row],[descuento sobre subtotal]])</f>
        <v>0</v>
      </c>
      <c r="R591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91" s="2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1">
        <f ca="1">IF(PROVEEDORES[[#This Row],[FECHA DE PAGO]]=0,TODAY()-PROVEEDORES[[#This Row],[FECHA DE FACTURACIÓN]]-PROVEEDORES[[#This Row],[PLAZO Días]],0)</f>
        <v>0</v>
      </c>
      <c r="U591" s="97">
        <f>+VLOOKUP(PROVEEDORES[[#This Row],[PROVEEDOR]],Terceros!$A:$D,4,FALSE)</f>
        <v>0</v>
      </c>
      <c r="V591" s="98">
        <f>+YEAR(PROVEEDORES[[#This Row],[FECHA DE FACTURACIÓN]])</f>
        <v>2023</v>
      </c>
      <c r="W591" s="98">
        <f>+MATCH(PROVEEDORES[[#This Row],[año facturado]],Retenciones!$1:$1,0)</f>
        <v>6</v>
      </c>
      <c r="X591" s="99">
        <f>+VLOOKUP(PROVEEDORES[[#This Row],[ID RETENCION]],Retenciones!$A$1:$O$25,PROVEEDORES[[#This Row],[indicador de columna]],FALSE)</f>
        <v>0</v>
      </c>
      <c r="Y591" s="100">
        <f>+VLOOKUP(PROVEEDORES[[#This Row],[ID RETENCION]],Retenciones!$A$1:$O$25,2,FALSE)</f>
        <v>0</v>
      </c>
      <c r="Z591" s="103" t="b">
        <f>OR(COUNTIF(PROVEEDORES[[#This Row],[PROVEEDOR]],"*"&amp;'Palabra no opera'!$A$2&amp;"*"))</f>
        <v>1</v>
      </c>
    </row>
    <row r="592" spans="1:26" ht="22.35" customHeight="1" x14ac:dyDescent="0.25">
      <c r="A592" s="209" t="str">
        <f>+IF(PROVEEDORES[[#This Row],[FECHA DE PAGO]]=PROVEEDORES[[#This Row],[FECHA DE FACTURACIÓN]],"DE CONTADO","CRÉDITO")</f>
        <v>CRÉDITO</v>
      </c>
      <c r="B592" s="38" t="b">
        <f>+IF((PROVEEDORES[[#This Row],[FECHA DE PAGO]]-PROVEEDORES[[#This Row],[FECHA DE FACTURACIÓN]])&gt;PROVEEDORES[[#This Row],[PLAZO Días]],"PAGO VENCIDO")</f>
        <v>0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0</v>
      </c>
      <c r="E592" s="25"/>
      <c r="F59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2" s="289">
        <v>45117</v>
      </c>
      <c r="H592" s="26" t="s">
        <v>401</v>
      </c>
      <c r="I592" s="289">
        <v>45108</v>
      </c>
      <c r="J592" s="35" t="s">
        <v>1007</v>
      </c>
      <c r="K592" s="21">
        <v>908172</v>
      </c>
      <c r="L592" s="21"/>
      <c r="M592" s="22">
        <f>(PROVEEDORES[[#This Row],[SUBTOTAL]]-PROVEEDORES[[#This Row],[descuento sobre subtotal]])*VLOOKUP(PROVEEDORES[[#This Row],[PROVEEDOR]],TERCEROS_INFO[#All],3,FALSE)</f>
        <v>172552.68</v>
      </c>
      <c r="N592" s="23"/>
      <c r="O592" s="22">
        <f>+PROVEEDORES[[#This Row],[Descuento sobre subtotal %]]*(PROVEEDORES[[#This Row],[SUBTOTAL]]-PROVEEDORES[[#This Row],[descuento sobre subtotal]])</f>
        <v>0</v>
      </c>
      <c r="P592" s="72">
        <f>+IF(PROVEEDORES[[#This Row],[SUBTOTAL]]&lt;PROVEEDORES[[#This Row],[base retencion]],0,PROVEEDORES[[#This Row],[retención aplicada]])</f>
        <v>0</v>
      </c>
      <c r="Q592" s="22">
        <f>+PROVEEDORES[[#This Row],[Rete Fuente %]]*(PROVEEDORES[[#This Row],[SUBTOTAL]]-PROVEEDORES[[#This Row],[descuento sobre subtotal]])</f>
        <v>0</v>
      </c>
      <c r="R592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92" s="2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1">
        <f ca="1">IF(PROVEEDORES[[#This Row],[FECHA DE PAGO]]=0,TODAY()-PROVEEDORES[[#This Row],[FECHA DE FACTURACIÓN]]-PROVEEDORES[[#This Row],[PLAZO Días]],0)</f>
        <v>0</v>
      </c>
      <c r="U592" s="97">
        <f>+VLOOKUP(PROVEEDORES[[#This Row],[PROVEEDOR]],Terceros!$A:$D,4,FALSE)</f>
        <v>0</v>
      </c>
      <c r="V592" s="98">
        <f>+YEAR(PROVEEDORES[[#This Row],[FECHA DE FACTURACIÓN]])</f>
        <v>2023</v>
      </c>
      <c r="W592" s="98">
        <f>+MATCH(PROVEEDORES[[#This Row],[año facturado]],Retenciones!$1:$1,0)</f>
        <v>6</v>
      </c>
      <c r="X592" s="99">
        <f>+VLOOKUP(PROVEEDORES[[#This Row],[ID RETENCION]],Retenciones!$A$1:$O$25,PROVEEDORES[[#This Row],[indicador de columna]],FALSE)</f>
        <v>0</v>
      </c>
      <c r="Y592" s="100">
        <f>+VLOOKUP(PROVEEDORES[[#This Row],[ID RETENCION]],Retenciones!$A$1:$O$25,2,FALSE)</f>
        <v>0</v>
      </c>
      <c r="Z592" s="103" t="b">
        <f>OR(COUNTIF(PROVEEDORES[[#This Row],[PROVEEDOR]],"*"&amp;'Palabra no opera'!$A$2&amp;"*"))</f>
        <v>1</v>
      </c>
    </row>
    <row r="593" spans="1:26" ht="22.35" customHeight="1" x14ac:dyDescent="0.25">
      <c r="A593" s="65" t="str">
        <f>+IF(PROVEEDORES[[#This Row],[FECHA DE PAGO]]=PROVEEDORES[[#This Row],[FECHA DE FACTURACIÓN]],"DE CONTADO","CRÉDITO")</f>
        <v>CRÉDITO</v>
      </c>
      <c r="B593" s="38" t="b">
        <f>+IF((PROVEEDORES[[#This Row],[FECHA DE PAGO]]-PROVEEDORES[[#This Row],[FECHA DE FACTURACIÓN]])&gt;PROVEEDORES[[#This Row],[PLAZO Días]],"PAGO VENCIDO")</f>
        <v>0</v>
      </c>
      <c r="C593" s="20">
        <f>+VLOOKUP(PROVEEDORES[[#This Row],[PROVEEDOR]],TERCEROS_INFO[#All],2,FALSE)</f>
        <v>30</v>
      </c>
      <c r="D593" s="25">
        <f>+SUMIFS(PROVEEDORES[Total],PROVEEDORES[PROVEEDOR],PROVEEDORES[[#This Row],[PROVEEDOR]],PROVEEDORES[FECHA DE PAGO],"")</f>
        <v>0</v>
      </c>
      <c r="E593" s="25"/>
      <c r="F59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3" s="289">
        <v>45148</v>
      </c>
      <c r="H593" s="26" t="s">
        <v>401</v>
      </c>
      <c r="I593" s="289">
        <v>45139</v>
      </c>
      <c r="J593" s="35" t="s">
        <v>1005</v>
      </c>
      <c r="K593" s="21">
        <v>3792544</v>
      </c>
      <c r="L593" s="21"/>
      <c r="M593" s="22">
        <f>(PROVEEDORES[[#This Row],[SUBTOTAL]]-PROVEEDORES[[#This Row],[descuento sobre subtotal]])*VLOOKUP(PROVEEDORES[[#This Row],[PROVEEDOR]],TERCEROS_INFO[#All],3,FALSE)</f>
        <v>720583.36</v>
      </c>
      <c r="N593" s="23"/>
      <c r="O593" s="22">
        <f>+PROVEEDORES[[#This Row],[Descuento sobre subtotal %]]*(PROVEEDORES[[#This Row],[SUBTOTAL]]-PROVEEDORES[[#This Row],[descuento sobre subtotal]])</f>
        <v>0</v>
      </c>
      <c r="P593" s="72">
        <v>0</v>
      </c>
      <c r="Q593" s="22"/>
      <c r="R593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1">
        <f ca="1">IF(PROVEEDORES[[#This Row],[FECHA DE PAGO]]=0,TODAY()-PROVEEDORES[[#This Row],[FECHA DE FACTURACIÓN]]-PROVEEDORES[[#This Row],[PLAZO Días]],0)</f>
        <v>0</v>
      </c>
      <c r="U593" s="97">
        <f>+VLOOKUP(PROVEEDORES[[#This Row],[PROVEEDOR]],Terceros!$A:$D,4,FALSE)</f>
        <v>0</v>
      </c>
      <c r="V593" s="98">
        <f>+YEAR(PROVEEDORES[[#This Row],[FECHA DE FACTURACIÓN]])</f>
        <v>2023</v>
      </c>
      <c r="W593" s="98">
        <f>+MATCH(PROVEEDORES[[#This Row],[año facturado]],Retenciones!$1:$1,0)</f>
        <v>6</v>
      </c>
      <c r="X593" s="99">
        <f>+VLOOKUP(PROVEEDORES[[#This Row],[ID RETENCION]],Retenciones!$A$1:$O$25,PROVEEDORES[[#This Row],[indicador de columna]],FALSE)</f>
        <v>0</v>
      </c>
      <c r="Y593" s="100">
        <f>+VLOOKUP(PROVEEDORES[[#This Row],[ID RETENCION]],Retenciones!$A$1:$O$25,2,FALSE)</f>
        <v>0</v>
      </c>
      <c r="Z593" s="103" t="b">
        <f>OR(COUNTIF(PROVEEDORES[[#This Row],[PROVEEDOR]],"*"&amp;'Palabra no opera'!$A$2&amp;"*"))</f>
        <v>1</v>
      </c>
    </row>
    <row r="594" spans="1:26" ht="22.35" customHeight="1" x14ac:dyDescent="0.25">
      <c r="A594" s="65" t="str">
        <f>+IF(PROVEEDORES[[#This Row],[FECHA DE PAGO]]=PROVEEDORES[[#This Row],[FECHA DE FACTURACIÓN]],"DE CONTADO","CRÉDITO")</f>
        <v>CRÉDITO</v>
      </c>
      <c r="B594" s="38" t="b">
        <f>+IF((PROVEEDORES[[#This Row],[FECHA DE PAGO]]-PROVEEDORES[[#This Row],[FECHA DE FACTURACIÓN]])&gt;PROVEEDORES[[#This Row],[PLAZO Días]],"PAGO VENCIDO")</f>
        <v>0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0</v>
      </c>
      <c r="E594" s="25"/>
      <c r="F59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4" s="289">
        <v>45148</v>
      </c>
      <c r="H594" s="26" t="s">
        <v>401</v>
      </c>
      <c r="I594" s="289">
        <v>45139</v>
      </c>
      <c r="J594" s="35" t="s">
        <v>1006</v>
      </c>
      <c r="K594" s="21">
        <v>908172</v>
      </c>
      <c r="L594" s="21"/>
      <c r="M594" s="22">
        <f>(PROVEEDORES[[#This Row],[SUBTOTAL]]-PROVEEDORES[[#This Row],[descuento sobre subtotal]])*VLOOKUP(PROVEEDORES[[#This Row],[PROVEEDOR]],TERCEROS_INFO[#All],3,FALSE)</f>
        <v>172552.68</v>
      </c>
      <c r="N594" s="23"/>
      <c r="O594" s="22">
        <f>+PROVEEDORES[[#This Row],[Descuento sobre subtotal %]]*(PROVEEDORES[[#This Row],[SUBTOTAL]]-PROVEEDORES[[#This Row],[descuento sobre subtotal]])</f>
        <v>0</v>
      </c>
      <c r="P594" s="72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9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1">
        <f ca="1">IF(PROVEEDORES[[#This Row],[FECHA DE PAGO]]=0,TODAY()-PROVEEDORES[[#This Row],[FECHA DE FACTURACIÓN]]-PROVEEDORES[[#This Row],[PLAZO Días]],0)</f>
        <v>0</v>
      </c>
      <c r="U594" s="97">
        <f>+VLOOKUP(PROVEEDORES[[#This Row],[PROVEEDOR]],Terceros!$A:$D,4,FALSE)</f>
        <v>0</v>
      </c>
      <c r="V594" s="98">
        <f>+YEAR(PROVEEDORES[[#This Row],[FECHA DE FACTURACIÓN]])</f>
        <v>2023</v>
      </c>
      <c r="W594" s="98">
        <f>+MATCH(PROVEEDORES[[#This Row],[año facturado]],Retenciones!$1:$1,0)</f>
        <v>6</v>
      </c>
      <c r="X594" s="99">
        <f>+VLOOKUP(PROVEEDORES[[#This Row],[ID RETENCION]],Retenciones!$A$1:$O$25,PROVEEDORES[[#This Row],[indicador de columna]],FALSE)</f>
        <v>0</v>
      </c>
      <c r="Y594" s="100">
        <f>+VLOOKUP(PROVEEDORES[[#This Row],[ID RETENCION]],Retenciones!$A$1:$O$25,2,FALSE)</f>
        <v>0</v>
      </c>
      <c r="Z594" s="103" t="b">
        <f>OR(COUNTIF(PROVEEDORES[[#This Row],[PROVEEDOR]],"*"&amp;'Palabra no opera'!$A$2&amp;"*"))</f>
        <v>1</v>
      </c>
    </row>
    <row r="595" spans="1:26" ht="22.35" customHeight="1" x14ac:dyDescent="0.25">
      <c r="A595" s="231" t="str">
        <f>+IF(PROVEEDORES[[#This Row],[FECHA DE PAGO]]=PROVEEDORES[[#This Row],[FECHA DE FACTURACIÓN]],"DE CONTADO","CRÉDITO")</f>
        <v>CRÉDITO</v>
      </c>
      <c r="B595" s="38" t="b">
        <f>+IF((PROVEEDORES[[#This Row],[FECHA DE PAGO]]-PROVEEDORES[[#This Row],[FECHA DE FACTURACIÓN]])&gt;PROVEEDORES[[#This Row],[PLAZO Días]],"PAGO VENCIDO")</f>
        <v>0</v>
      </c>
      <c r="C595" s="20">
        <f>+VLOOKUP(PROVEEDORES[[#This Row],[PROVEEDOR]],TERCEROS_INFO[#All],2,FALSE)</f>
        <v>30</v>
      </c>
      <c r="D595" s="25">
        <f>+SUMIFS(PROVEEDORES[Total],PROVEEDORES[PROVEEDOR],PROVEEDORES[[#This Row],[PROVEEDOR]],PROVEEDORES[FECHA DE PAGO],"")</f>
        <v>0</v>
      </c>
      <c r="E595" s="25"/>
      <c r="F59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5" s="289">
        <v>45187</v>
      </c>
      <c r="H595" s="26" t="s">
        <v>401</v>
      </c>
      <c r="I595" s="289">
        <v>45170</v>
      </c>
      <c r="J595" s="35" t="s">
        <v>1129</v>
      </c>
      <c r="K595" s="21">
        <v>3792544</v>
      </c>
      <c r="L595" s="21"/>
      <c r="M595" s="22">
        <f>(PROVEEDORES[[#This Row],[SUBTOTAL]]-PROVEEDORES[[#This Row],[descuento sobre subtotal]])*VLOOKUP(PROVEEDORES[[#This Row],[PROVEEDOR]],TERCEROS_INFO[#All],3,FALSE)</f>
        <v>720583.36</v>
      </c>
      <c r="N595" s="23"/>
      <c r="O595" s="22">
        <f>+PROVEEDORES[[#This Row],[Descuento sobre subtotal %]]*(PROVEEDORES[[#This Row],[SUBTOTAL]]-PROVEEDORES[[#This Row],[descuento sobre subtotal]])</f>
        <v>0</v>
      </c>
      <c r="P595" s="72">
        <v>0</v>
      </c>
      <c r="Q595" s="22">
        <f>+PROVEEDORES[[#This Row],[Rete Fuente %]]*(PROVEEDORES[[#This Row],[SUBTOTAL]]-PROVEEDORES[[#This Row],[descuento sobre subtotal]])</f>
        <v>0</v>
      </c>
      <c r="R595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95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1">
        <f ca="1">IF(PROVEEDORES[[#This Row],[FECHA DE PAGO]]=0,TODAY()-PROVEEDORES[[#This Row],[FECHA DE FACTURACIÓN]]-PROVEEDORES[[#This Row],[PLAZO Días]],0)</f>
        <v>0</v>
      </c>
      <c r="U595" s="97">
        <f>+VLOOKUP(PROVEEDORES[[#This Row],[PROVEEDOR]],Terceros!$A:$D,4,FALSE)</f>
        <v>0</v>
      </c>
      <c r="V595" s="98">
        <f>+YEAR(PROVEEDORES[[#This Row],[FECHA DE FACTURACIÓN]])</f>
        <v>2023</v>
      </c>
      <c r="W595" s="98">
        <f>+MATCH(PROVEEDORES[[#This Row],[año facturado]],Retenciones!$1:$1,0)</f>
        <v>6</v>
      </c>
      <c r="X595" s="99">
        <f>+VLOOKUP(PROVEEDORES[[#This Row],[ID RETENCION]],Retenciones!$A$1:$O$25,PROVEEDORES[[#This Row],[indicador de columna]],FALSE)</f>
        <v>0</v>
      </c>
      <c r="Y595" s="100">
        <f>+VLOOKUP(PROVEEDORES[[#This Row],[ID RETENCION]],Retenciones!$A$1:$O$25,2,FALSE)</f>
        <v>0</v>
      </c>
      <c r="Z595" s="103" t="b">
        <f>OR(COUNTIF(PROVEEDORES[[#This Row],[PROVEEDOR]],"*"&amp;'Palabra no opera'!$A$2&amp;"*"))</f>
        <v>1</v>
      </c>
    </row>
    <row r="596" spans="1:26" ht="22.35" customHeight="1" x14ac:dyDescent="0.25">
      <c r="A596" s="231" t="str">
        <f>+IF(PROVEEDORES[[#This Row],[FECHA DE PAGO]]=PROVEEDORES[[#This Row],[FECHA DE FACTURACIÓN]],"DE CONTADO","CRÉDITO")</f>
        <v>CRÉDITO</v>
      </c>
      <c r="B596" s="38" t="b">
        <f>+IF((PROVEEDORES[[#This Row],[FECHA DE PAGO]]-PROVEEDORES[[#This Row],[FECHA DE FACTURACIÓN]])&gt;PROVEEDORES[[#This Row],[PLAZO Días]],"PAGO VENCIDO")</f>
        <v>0</v>
      </c>
      <c r="C596" s="20">
        <f>+VLOOKUP(PROVEEDORES[[#This Row],[PROVEEDOR]],TERCEROS_INFO[#All],2,FALSE)</f>
        <v>30</v>
      </c>
      <c r="D596" s="25">
        <f>+SUMIFS(PROVEEDORES[Total],PROVEEDORES[PROVEEDOR],PROVEEDORES[[#This Row],[PROVEEDOR]],PROVEEDORES[FECHA DE PAGO],"")</f>
        <v>0</v>
      </c>
      <c r="E596" s="25"/>
      <c r="F596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6" s="289">
        <v>45187</v>
      </c>
      <c r="H596" s="26" t="s">
        <v>401</v>
      </c>
      <c r="I596" s="289">
        <v>45170</v>
      </c>
      <c r="J596" s="35" t="s">
        <v>1130</v>
      </c>
      <c r="K596" s="21">
        <v>908172</v>
      </c>
      <c r="L596" s="21"/>
      <c r="M596" s="22">
        <f>(PROVEEDORES[[#This Row],[SUBTOTAL]]-PROVEEDORES[[#This Row],[descuento sobre subtotal]])*VLOOKUP(PROVEEDORES[[#This Row],[PROVEEDOR]],TERCEROS_INFO[#All],3,FALSE)</f>
        <v>172552.68</v>
      </c>
      <c r="N596" s="23"/>
      <c r="O596" s="22">
        <f>+PROVEEDORES[[#This Row],[Descuento sobre subtotal %]]*(PROVEEDORES[[#This Row],[SUBTOTAL]]-PROVEEDORES[[#This Row],[descuento sobre subtotal]])</f>
        <v>0</v>
      </c>
      <c r="P596" s="72">
        <f>+IF(PROVEEDORES[[#This Row],[SUBTOTAL]]&lt;PROVEEDORES[[#This Row],[base retencion]],0,PROVEEDORES[[#This Row],[retención aplicada]])</f>
        <v>0</v>
      </c>
      <c r="Q596" s="22">
        <f>+PROVEEDORES[[#This Row],[Rete Fuente %]]*(PROVEEDORES[[#This Row],[SUBTOTAL]]-PROVEEDORES[[#This Row],[descuento sobre subtotal]])</f>
        <v>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96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1">
        <f ca="1">IF(PROVEEDORES[[#This Row],[FECHA DE PAGO]]=0,TODAY()-PROVEEDORES[[#This Row],[FECHA DE FACTURACIÓN]]-PROVEEDORES[[#This Row],[PLAZO Días]],0)</f>
        <v>0</v>
      </c>
      <c r="U596" s="97">
        <f>+VLOOKUP(PROVEEDORES[[#This Row],[PROVEEDOR]],Terceros!$A:$D,4,FALSE)</f>
        <v>0</v>
      </c>
      <c r="V596" s="98">
        <f>+YEAR(PROVEEDORES[[#This Row],[FECHA DE FACTURACIÓN]])</f>
        <v>2023</v>
      </c>
      <c r="W596" s="98">
        <f>+MATCH(PROVEEDORES[[#This Row],[año facturado]],Retenciones!$1:$1,0)</f>
        <v>6</v>
      </c>
      <c r="X596" s="99">
        <f>+VLOOKUP(PROVEEDORES[[#This Row],[ID RETENCION]],Retenciones!$A$1:$O$25,PROVEEDORES[[#This Row],[indicador de columna]],FALSE)</f>
        <v>0</v>
      </c>
      <c r="Y596" s="100">
        <f>+VLOOKUP(PROVEEDORES[[#This Row],[ID RETENCION]],Retenciones!$A$1:$O$25,2,FALSE)</f>
        <v>0</v>
      </c>
      <c r="Z596" s="103" t="b">
        <f>OR(COUNTIF(PROVEEDORES[[#This Row],[PROVEEDOR]],"*"&amp;'Palabra no opera'!$A$2&amp;"*"))</f>
        <v>1</v>
      </c>
    </row>
    <row r="597" spans="1:26" ht="22.35" customHeight="1" x14ac:dyDescent="0.25">
      <c r="A597" s="65" t="str">
        <f>+IF(PROVEEDORES[[#This Row],[FECHA DE PAGO]]=PROVEEDORES[[#This Row],[FECHA DE FACTURACIÓN]],"DE CONTADO","CRÉDITO")</f>
        <v>CRÉDITO</v>
      </c>
      <c r="B597" s="38" t="b">
        <f>+IF((PROVEEDORES[[#This Row],[FECHA DE PAGO]]-PROVEEDORES[[#This Row],[FECHA DE FACTURACIÓN]])&gt;PROVEEDORES[[#This Row],[PLAZO Días]],"PAGO VENCIDO")</f>
        <v>0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0</v>
      </c>
      <c r="E597" s="25"/>
      <c r="F597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7" s="289">
        <v>45209</v>
      </c>
      <c r="H597" s="26" t="s">
        <v>401</v>
      </c>
      <c r="I597" s="289">
        <v>45200</v>
      </c>
      <c r="J597" s="35" t="s">
        <v>1128</v>
      </c>
      <c r="K597" s="21">
        <v>3792544</v>
      </c>
      <c r="L597" s="21"/>
      <c r="M597" s="22">
        <f>(PROVEEDORES[[#This Row],[SUBTOTAL]]-PROVEEDORES[[#This Row],[descuento sobre subtotal]])*VLOOKUP(PROVEEDORES[[#This Row],[PROVEEDOR]],TERCEROS_INFO[#All],3,FALSE)</f>
        <v>720583.36</v>
      </c>
      <c r="N597" s="23"/>
      <c r="O597" s="22">
        <f>+PROVEEDORES[[#This Row],[Descuento sobre subtotal %]]*(PROVEEDORES[[#This Row],[SUBTOTAL]]-PROVEEDORES[[#This Row],[descuento sobre subtotal]])</f>
        <v>0</v>
      </c>
      <c r="P597" s="72">
        <v>0</v>
      </c>
      <c r="Q597" s="22">
        <f>+PROVEEDORES[[#This Row],[Rete Fuente %]]*(PROVEEDORES[[#This Row],[SUBTOTAL]]-PROVEEDORES[[#This Row],[descuento sobre subtotal]])</f>
        <v>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5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1">
        <f ca="1">IF(PROVEEDORES[[#This Row],[FECHA DE PAGO]]=0,TODAY()-PROVEEDORES[[#This Row],[FECHA DE FACTURACIÓN]]-PROVEEDORES[[#This Row],[PLAZO Días]],0)</f>
        <v>0</v>
      </c>
      <c r="U597" s="97">
        <f>+VLOOKUP(PROVEEDORES[[#This Row],[PROVEEDOR]],Terceros!$A:$D,4,FALSE)</f>
        <v>0</v>
      </c>
      <c r="V597" s="98">
        <f>+YEAR(PROVEEDORES[[#This Row],[FECHA DE FACTURACIÓN]])</f>
        <v>2023</v>
      </c>
      <c r="W597" s="98">
        <f>+MATCH(PROVEEDORES[[#This Row],[año facturado]],Retenciones!$1:$1,0)</f>
        <v>6</v>
      </c>
      <c r="X597" s="99">
        <f>+VLOOKUP(PROVEEDORES[[#This Row],[ID RETENCION]],Retenciones!$A$1:$O$25,PROVEEDORES[[#This Row],[indicador de columna]],FALSE)</f>
        <v>0</v>
      </c>
      <c r="Y597" s="100">
        <f>+VLOOKUP(PROVEEDORES[[#This Row],[ID RETENCION]],Retenciones!$A$1:$O$25,2,FALSE)</f>
        <v>0</v>
      </c>
      <c r="Z597" s="103" t="b">
        <f>OR(COUNTIF(PROVEEDORES[[#This Row],[PROVEEDOR]],"*"&amp;'Palabra no opera'!$A$2&amp;"*"))</f>
        <v>1</v>
      </c>
    </row>
    <row r="598" spans="1:26" ht="22.35" customHeight="1" x14ac:dyDescent="0.25">
      <c r="A598" s="65" t="str">
        <f>+IF(PROVEEDORES[[#This Row],[FECHA DE PAGO]]=PROVEEDORES[[#This Row],[FECHA DE FACTURACIÓN]],"DE CONTADO","CRÉDITO")</f>
        <v>CRÉDITO</v>
      </c>
      <c r="B598" s="38" t="b">
        <f>+IF((PROVEEDORES[[#This Row],[FECHA DE PAGO]]-PROVEEDORES[[#This Row],[FECHA DE FACTURACIÓN]])&gt;PROVEEDORES[[#This Row],[PLAZO Días]],"PAGO VENCIDO")</f>
        <v>0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0</v>
      </c>
      <c r="E598" s="25"/>
      <c r="F598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8" s="289">
        <v>45209</v>
      </c>
      <c r="H598" s="26" t="s">
        <v>401</v>
      </c>
      <c r="I598" s="289">
        <v>45200</v>
      </c>
      <c r="J598" s="35" t="s">
        <v>1131</v>
      </c>
      <c r="K598" s="21">
        <v>908172</v>
      </c>
      <c r="L598" s="21"/>
      <c r="M598" s="22">
        <f>(PROVEEDORES[[#This Row],[SUBTOTAL]]-PROVEEDORES[[#This Row],[descuento sobre subtotal]])*VLOOKUP(PROVEEDORES[[#This Row],[PROVEEDOR]],TERCEROS_INFO[#All],3,FALSE)</f>
        <v>172552.68</v>
      </c>
      <c r="N598" s="23"/>
      <c r="O598" s="22">
        <f>+PROVEEDORES[[#This Row],[Descuento sobre subtotal %]]*(PROVEEDORES[[#This Row],[SUBTOTAL]]-PROVEEDORES[[#This Row],[descuento sobre subtotal]])</f>
        <v>0</v>
      </c>
      <c r="P598" s="72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5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1">
        <f ca="1">IF(PROVEEDORES[[#This Row],[FECHA DE PAGO]]=0,TODAY()-PROVEEDORES[[#This Row],[FECHA DE FACTURACIÓN]]-PROVEEDORES[[#This Row],[PLAZO Días]],0)</f>
        <v>0</v>
      </c>
      <c r="U598" s="97">
        <f>+VLOOKUP(PROVEEDORES[[#This Row],[PROVEEDOR]],Terceros!$A:$D,4,FALSE)</f>
        <v>0</v>
      </c>
      <c r="V598" s="98">
        <f>+YEAR(PROVEEDORES[[#This Row],[FECHA DE FACTURACIÓN]])</f>
        <v>2023</v>
      </c>
      <c r="W598" s="98">
        <f>+MATCH(PROVEEDORES[[#This Row],[año facturado]],Retenciones!$1:$1,0)</f>
        <v>6</v>
      </c>
      <c r="X598" s="99">
        <f>+VLOOKUP(PROVEEDORES[[#This Row],[ID RETENCION]],Retenciones!$A$1:$O$25,PROVEEDORES[[#This Row],[indicador de columna]],FALSE)</f>
        <v>0</v>
      </c>
      <c r="Y598" s="100">
        <f>+VLOOKUP(PROVEEDORES[[#This Row],[ID RETENCION]],Retenciones!$A$1:$O$25,2,FALSE)</f>
        <v>0</v>
      </c>
      <c r="Z598" s="103" t="b">
        <f>OR(COUNTIF(PROVEEDORES[[#This Row],[PROVEEDOR]],"*"&amp;'Palabra no opera'!$A$2&amp;"*"))</f>
        <v>1</v>
      </c>
    </row>
    <row r="599" spans="1:26" ht="22.35" customHeight="1" x14ac:dyDescent="0.25">
      <c r="A599" s="65" t="str">
        <f>+IF(PROVEEDORES[[#This Row],[FECHA DE PAGO]]=PROVEEDORES[[#This Row],[FECHA DE FACTURACIÓN]],"DE CONTADO","CRÉDITO")</f>
        <v>CRÉDITO</v>
      </c>
      <c r="B599" s="38" t="b">
        <f>+IF((PROVEEDORES[[#This Row],[FECHA DE PAGO]]-PROVEEDORES[[#This Row],[FECHA DE FACTURACIÓN]])&gt;PROVEEDORES[[#This Row],[PLAZO Días]],"PAGO VENCIDO")</f>
        <v>0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0</v>
      </c>
      <c r="E599" s="25"/>
      <c r="F599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99" s="289">
        <v>45209</v>
      </c>
      <c r="H599" s="26" t="s">
        <v>401</v>
      </c>
      <c r="I599" s="289">
        <v>45200</v>
      </c>
      <c r="J599" s="35" t="s">
        <v>1132</v>
      </c>
      <c r="K599" s="21">
        <v>20226</v>
      </c>
      <c r="L599" s="21"/>
      <c r="M599" s="22">
        <f>(PROVEEDORES[[#This Row],[SUBTOTAL]]-PROVEEDORES[[#This Row],[descuento sobre subtotal]])*VLOOKUP(PROVEEDORES[[#This Row],[PROVEEDOR]],TERCEROS_INFO[#All],3,FALSE)</f>
        <v>3842.94</v>
      </c>
      <c r="N599" s="23"/>
      <c r="O599" s="22">
        <f>+PROVEEDORES[[#This Row],[Descuento sobre subtotal %]]*(PROVEEDORES[[#This Row],[SUBTOTAL]]-PROVEEDORES[[#This Row],[descuento sobre subtotal]])</f>
        <v>0</v>
      </c>
      <c r="P599" s="72"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24068.94</v>
      </c>
      <c r="S5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1">
        <f ca="1">IF(PROVEEDORES[[#This Row],[FECHA DE PAGO]]=0,TODAY()-PROVEEDORES[[#This Row],[FECHA DE FACTURACIÓN]]-PROVEEDORES[[#This Row],[PLAZO Días]],0)</f>
        <v>0</v>
      </c>
      <c r="U599" s="97">
        <f>+VLOOKUP(PROVEEDORES[[#This Row],[PROVEEDOR]],Terceros!$A:$D,4,FALSE)</f>
        <v>0</v>
      </c>
      <c r="V599" s="98">
        <f>+YEAR(PROVEEDORES[[#This Row],[FECHA DE FACTURACIÓN]])</f>
        <v>2023</v>
      </c>
      <c r="W599" s="98">
        <f>+MATCH(PROVEEDORES[[#This Row],[año facturado]],Retenciones!$1:$1,0)</f>
        <v>6</v>
      </c>
      <c r="X599" s="99">
        <f>+VLOOKUP(PROVEEDORES[[#This Row],[ID RETENCION]],Retenciones!$A$1:$O$25,PROVEEDORES[[#This Row],[indicador de columna]],FALSE)</f>
        <v>0</v>
      </c>
      <c r="Y599" s="100">
        <f>+VLOOKUP(PROVEEDORES[[#This Row],[ID RETENCION]],Retenciones!$A$1:$O$25,2,FALSE)</f>
        <v>0</v>
      </c>
      <c r="Z599" s="103" t="b">
        <f>OR(COUNTIF(PROVEEDORES[[#This Row],[PROVEEDOR]],"*"&amp;'Palabra no opera'!$A$2&amp;"*"))</f>
        <v>1</v>
      </c>
    </row>
    <row r="600" spans="1:26" ht="22.35" customHeight="1" x14ac:dyDescent="0.25">
      <c r="A600" s="252" t="str">
        <f>+IF(PROVEEDORES[[#This Row],[FECHA DE PAGO]]=PROVEEDORES[[#This Row],[FECHA DE FACTURACIÓN]],"DE CONTADO","CRÉDITO")</f>
        <v>CRÉDITO</v>
      </c>
      <c r="B600" s="38" t="b">
        <f>+IF((PROVEEDORES[[#This Row],[FECHA DE PAGO]]-PROVEEDORES[[#This Row],[FECHA DE FACTURACIÓN]])&gt;PROVEEDORES[[#This Row],[PLAZO Días]],"PAGO VENCIDO")</f>
        <v>0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0</v>
      </c>
      <c r="E600" s="25"/>
      <c r="F600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0" s="289">
        <v>45240</v>
      </c>
      <c r="H600" s="26" t="s">
        <v>401</v>
      </c>
      <c r="I600" s="289">
        <v>45231</v>
      </c>
      <c r="J600" s="35" t="s">
        <v>1243</v>
      </c>
      <c r="K600" s="21">
        <v>908172</v>
      </c>
      <c r="L600" s="21"/>
      <c r="M600" s="22">
        <f>(PROVEEDORES[[#This Row],[SUBTOTAL]]-PROVEEDORES[[#This Row],[descuento sobre subtotal]])*VLOOKUP(PROVEEDORES[[#This Row],[PROVEEDOR]],TERCEROS_INFO[#All],3,FALSE)</f>
        <v>172552.68</v>
      </c>
      <c r="N600" s="23"/>
      <c r="O600" s="22">
        <f>+PROVEEDORES[[#This Row],[Descuento sobre subtotal %]]*(PROVEEDORES[[#This Row],[SUBTOTAL]]-PROVEEDORES[[#This Row],[descuento sobre subtotal]])</f>
        <v>0</v>
      </c>
      <c r="P600" s="72">
        <f>+IF(PROVEEDORES[[#This Row],[SUBTOTAL]]&lt;PROVEEDORES[[#This Row],[base retencion]],0,PROVEEDORES[[#This Row],[retención aplicada]])</f>
        <v>0</v>
      </c>
      <c r="Q600" s="22">
        <f>+PROVEEDORES[[#This Row],[Rete Fuente %]]*(PROVEEDORES[[#This Row],[SUBTOTAL]]-PROVEEDORES[[#This Row],[descuento sobre subtotal]])</f>
        <v>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600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1">
        <f ca="1">IF(PROVEEDORES[[#This Row],[FECHA DE PAGO]]=0,TODAY()-PROVEEDORES[[#This Row],[FECHA DE FACTURACIÓN]]-PROVEEDORES[[#This Row],[PLAZO Días]],0)</f>
        <v>0</v>
      </c>
      <c r="U600" s="97">
        <f>+VLOOKUP(PROVEEDORES[[#This Row],[PROVEEDOR]],Terceros!$A:$D,4,FALSE)</f>
        <v>0</v>
      </c>
      <c r="V600" s="98">
        <f>+YEAR(PROVEEDORES[[#This Row],[FECHA DE FACTURACIÓN]])</f>
        <v>2023</v>
      </c>
      <c r="W600" s="98">
        <f>+MATCH(PROVEEDORES[[#This Row],[año facturado]],Retenciones!$1:$1,0)</f>
        <v>6</v>
      </c>
      <c r="X600" s="99">
        <f>+VLOOKUP(PROVEEDORES[[#This Row],[ID RETENCION]],Retenciones!$A$1:$O$25,PROVEEDORES[[#This Row],[indicador de columna]],FALSE)</f>
        <v>0</v>
      </c>
      <c r="Y600" s="100">
        <f>+VLOOKUP(PROVEEDORES[[#This Row],[ID RETENCION]],Retenciones!$A$1:$O$25,2,FALSE)</f>
        <v>0</v>
      </c>
      <c r="Z600" s="103" t="b">
        <f>OR(COUNTIF(PROVEEDORES[[#This Row],[PROVEEDOR]],"*"&amp;'Palabra no opera'!$A$2&amp;"*"))</f>
        <v>1</v>
      </c>
    </row>
    <row r="601" spans="1:26" ht="22.35" customHeight="1" x14ac:dyDescent="0.25">
      <c r="A601" s="252" t="str">
        <f>+IF(PROVEEDORES[[#This Row],[FECHA DE PAGO]]=PROVEEDORES[[#This Row],[FECHA DE FACTURACIÓN]],"DE CONTADO","CRÉDITO")</f>
        <v>CRÉDITO</v>
      </c>
      <c r="B601" s="38" t="b">
        <f>+IF((PROVEEDORES[[#This Row],[FECHA DE PAGO]]-PROVEEDORES[[#This Row],[FECHA DE FACTURACIÓN]])&gt;PROVEEDORES[[#This Row],[PLAZO Días]],"PAGO VENCIDO")</f>
        <v>0</v>
      </c>
      <c r="C601" s="20">
        <f>+VLOOKUP(PROVEEDORES[[#This Row],[PROVEEDOR]],TERCEROS_INFO[#All],2,FALSE)</f>
        <v>30</v>
      </c>
      <c r="D601" s="25">
        <f>+SUMIFS(PROVEEDORES[Total],PROVEEDORES[PROVEEDOR],PROVEEDORES[[#This Row],[PROVEEDOR]],PROVEEDORES[FECHA DE PAGO],"")</f>
        <v>0</v>
      </c>
      <c r="E601" s="25"/>
      <c r="F60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1" s="289">
        <v>45240</v>
      </c>
      <c r="H601" s="26" t="s">
        <v>401</v>
      </c>
      <c r="I601" s="289">
        <v>45231</v>
      </c>
      <c r="J601" s="35" t="s">
        <v>1244</v>
      </c>
      <c r="K601" s="21">
        <v>3792544</v>
      </c>
      <c r="L601" s="21"/>
      <c r="M601" s="22">
        <f>(PROVEEDORES[[#This Row],[SUBTOTAL]]-PROVEEDORES[[#This Row],[descuento sobre subtotal]])*VLOOKUP(PROVEEDORES[[#This Row],[PROVEEDOR]],TERCEROS_INFO[#All],3,FALSE)</f>
        <v>720583.36</v>
      </c>
      <c r="N601" s="23"/>
      <c r="O601" s="22">
        <f>+PROVEEDORES[[#This Row],[Descuento sobre subtotal %]]*(PROVEEDORES[[#This Row],[SUBTOTAL]]-PROVEEDORES[[#This Row],[descuento sobre subtotal]])</f>
        <v>0</v>
      </c>
      <c r="P601" s="72"/>
      <c r="Q601" s="22">
        <f>+PROVEEDORES[[#This Row],[Rete Fuente %]]*(PROVEEDORES[[#This Row],[SUBTOTAL]]-PROVEEDORES[[#This Row],[descuento sobre subtotal]])</f>
        <v>0</v>
      </c>
      <c r="R601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601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1">
        <f ca="1">IF(PROVEEDORES[[#This Row],[FECHA DE PAGO]]=0,TODAY()-PROVEEDORES[[#This Row],[FECHA DE FACTURACIÓN]]-PROVEEDORES[[#This Row],[PLAZO Días]],0)</f>
        <v>0</v>
      </c>
      <c r="U601" s="97">
        <f>+VLOOKUP(PROVEEDORES[[#This Row],[PROVEEDOR]],Terceros!$A:$D,4,FALSE)</f>
        <v>0</v>
      </c>
      <c r="V601" s="98">
        <f>+YEAR(PROVEEDORES[[#This Row],[FECHA DE FACTURACIÓN]])</f>
        <v>2023</v>
      </c>
      <c r="W601" s="98">
        <f>+MATCH(PROVEEDORES[[#This Row],[año facturado]],Retenciones!$1:$1,0)</f>
        <v>6</v>
      </c>
      <c r="X601" s="99">
        <f>+VLOOKUP(PROVEEDORES[[#This Row],[ID RETENCION]],Retenciones!$A$1:$O$25,PROVEEDORES[[#This Row],[indicador de columna]],FALSE)</f>
        <v>0</v>
      </c>
      <c r="Y601" s="100">
        <f>+VLOOKUP(PROVEEDORES[[#This Row],[ID RETENCION]],Retenciones!$A$1:$O$25,2,FALSE)</f>
        <v>0</v>
      </c>
      <c r="Z601" s="103" t="b">
        <f>OR(COUNTIF(PROVEEDORES[[#This Row],[PROVEEDOR]],"*"&amp;'Palabra no opera'!$A$2&amp;"*"))</f>
        <v>1</v>
      </c>
    </row>
    <row r="602" spans="1:26" ht="22.35" customHeight="1" x14ac:dyDescent="0.25">
      <c r="A602" s="65" t="str">
        <f>+IF(PROVEEDORES[[#This Row],[FECHA DE PAGO]]=PROVEEDORES[[#This Row],[FECHA DE FACTURACIÓN]],"DE CONTADO","CRÉDITO")</f>
        <v>CRÉDITO</v>
      </c>
      <c r="B602" s="38" t="b">
        <f>+IF((PROVEEDORES[[#This Row],[FECHA DE PAGO]]-PROVEEDORES[[#This Row],[FECHA DE FACTURACIÓN]])&gt;PROVEEDORES[[#This Row],[PLAZO Días]],"PAGO VENCIDO")</f>
        <v>0</v>
      </c>
      <c r="C602" s="20">
        <f>+VLOOKUP(PROVEEDORES[[#This Row],[PROVEEDOR]],TERCEROS_INFO[#All],2,FALSE)</f>
        <v>30</v>
      </c>
      <c r="D602" s="25">
        <f>+SUMIFS(PROVEEDORES[Total],PROVEEDORES[PROVEEDOR],PROVEEDORES[[#This Row],[PROVEEDOR]],PROVEEDORES[FECHA DE PAGO],"")</f>
        <v>0</v>
      </c>
      <c r="E602" s="25"/>
      <c r="F60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2" s="289">
        <v>45271</v>
      </c>
      <c r="H602" s="26" t="s">
        <v>401</v>
      </c>
      <c r="I602" s="289">
        <v>45261</v>
      </c>
      <c r="J602" s="35" t="s">
        <v>1360</v>
      </c>
      <c r="K602" s="21">
        <v>908172</v>
      </c>
      <c r="L602" s="21"/>
      <c r="M602" s="22">
        <f>(PROVEEDORES[[#This Row],[SUBTOTAL]]-PROVEEDORES[[#This Row],[descuento sobre subtotal]])*VLOOKUP(PROVEEDORES[[#This Row],[PROVEEDOR]],TERCEROS_INFO[#All],3,FALSE)</f>
        <v>172552.68</v>
      </c>
      <c r="N602" s="23"/>
      <c r="O602" s="22">
        <f>+PROVEEDORES[[#This Row],[Descuento sobre subtotal %]]*(PROVEEDORES[[#This Row],[SUBTOTAL]]-PROVEEDORES[[#This Row],[descuento sobre subtotal]])</f>
        <v>0</v>
      </c>
      <c r="P602" s="72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f>+PROVEEDORES[[#This Row],[SUBTOTAL]]+PROVEEDORES[[#This Row],[IVA 19%]]-PROVEEDORES[[#This Row],[descuento sobre subtotal]]-PROVEEDORES[[#This Row],[Descuento sobre subtotal $2]]-PROVEEDORES[[#This Row],[Rete Fuente $]]</f>
        <v>1080724.68</v>
      </c>
      <c r="S60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1">
        <f ca="1">IF(PROVEEDORES[[#This Row],[FECHA DE PAGO]]=0,TODAY()-PROVEEDORES[[#This Row],[FECHA DE FACTURACIÓN]]-PROVEEDORES[[#This Row],[PLAZO Días]],0)</f>
        <v>0</v>
      </c>
      <c r="U602" s="97">
        <f>+VLOOKUP(PROVEEDORES[[#This Row],[PROVEEDOR]],Terceros!$A:$D,4,FALSE)</f>
        <v>0</v>
      </c>
      <c r="V602" s="98">
        <f>+YEAR(PROVEEDORES[[#This Row],[FECHA DE FACTURACIÓN]])</f>
        <v>2023</v>
      </c>
      <c r="W602" s="98">
        <f>+MATCH(PROVEEDORES[[#This Row],[año facturado]],Retenciones!$1:$1,0)</f>
        <v>6</v>
      </c>
      <c r="X602" s="99">
        <f>+VLOOKUP(PROVEEDORES[[#This Row],[ID RETENCION]],Retenciones!$A$1:$O$25,PROVEEDORES[[#This Row],[indicador de columna]],FALSE)</f>
        <v>0</v>
      </c>
      <c r="Y602" s="100">
        <f>+VLOOKUP(PROVEEDORES[[#This Row],[ID RETENCION]],Retenciones!$A$1:$O$25,2,FALSE)</f>
        <v>0</v>
      </c>
      <c r="Z602" s="103" t="b">
        <f>OR(COUNTIF(PROVEEDORES[[#This Row],[PROVEEDOR]],"*"&amp;'Palabra no opera'!$A$2&amp;"*"))</f>
        <v>1</v>
      </c>
    </row>
    <row r="603" spans="1:26" ht="22.35" customHeight="1" x14ac:dyDescent="0.25">
      <c r="A603" s="65" t="str">
        <f>+IF(PROVEEDORES[[#This Row],[FECHA DE PAGO]]=PROVEEDORES[[#This Row],[FECHA DE FACTURACIÓN]],"DE CONTADO","CRÉDITO")</f>
        <v>CRÉDITO</v>
      </c>
      <c r="B603" s="38" t="b">
        <f>+IF((PROVEEDORES[[#This Row],[FECHA DE PAGO]]-PROVEEDORES[[#This Row],[FECHA DE FACTURACIÓN]])&gt;PROVEEDORES[[#This Row],[PLAZO Días]],"PAGO VENCIDO")</f>
        <v>0</v>
      </c>
      <c r="C603" s="20">
        <f>+VLOOKUP(PROVEEDORES[[#This Row],[PROVEEDOR]],TERCEROS_INFO[#All],2,FALSE)</f>
        <v>30</v>
      </c>
      <c r="D603" s="25">
        <f>+SUMIFS(PROVEEDORES[Total],PROVEEDORES[PROVEEDOR],PROVEEDORES[[#This Row],[PROVEEDOR]],PROVEEDORES[FECHA DE PAGO],"")</f>
        <v>0</v>
      </c>
      <c r="E603" s="25"/>
      <c r="F603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3" s="289">
        <v>45271</v>
      </c>
      <c r="H603" s="26" t="s">
        <v>401</v>
      </c>
      <c r="I603" s="289">
        <v>45261</v>
      </c>
      <c r="J603" s="35" t="s">
        <v>1361</v>
      </c>
      <c r="K603" s="21">
        <v>3792544</v>
      </c>
      <c r="L603" s="21"/>
      <c r="M603" s="22">
        <f>(PROVEEDORES[[#This Row],[SUBTOTAL]]-PROVEEDORES[[#This Row],[descuento sobre subtotal]])*VLOOKUP(PROVEEDORES[[#This Row],[PROVEEDOR]],TERCEROS_INFO[#All],3,FALSE)</f>
        <v>720583.36</v>
      </c>
      <c r="N603" s="23"/>
      <c r="O603" s="22">
        <f>+PROVEEDORES[[#This Row],[Descuento sobre subtotal %]]*(PROVEEDORES[[#This Row],[SUBTOTAL]]-PROVEEDORES[[#This Row],[descuento sobre subtotal]])</f>
        <v>0</v>
      </c>
      <c r="P603" s="72"/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6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1">
        <f ca="1">IF(PROVEEDORES[[#This Row],[FECHA DE PAGO]]=0,TODAY()-PROVEEDORES[[#This Row],[FECHA DE FACTURACIÓN]]-PROVEEDORES[[#This Row],[PLAZO Días]],0)</f>
        <v>0</v>
      </c>
      <c r="U603" s="97">
        <f>+VLOOKUP(PROVEEDORES[[#This Row],[PROVEEDOR]],Terceros!$A:$D,4,FALSE)</f>
        <v>0</v>
      </c>
      <c r="V603" s="98">
        <f>+YEAR(PROVEEDORES[[#This Row],[FECHA DE FACTURACIÓN]])</f>
        <v>2023</v>
      </c>
      <c r="W603" s="98">
        <f>+MATCH(PROVEEDORES[[#This Row],[año facturado]],Retenciones!$1:$1,0)</f>
        <v>6</v>
      </c>
      <c r="X603" s="99">
        <f>+VLOOKUP(PROVEEDORES[[#This Row],[ID RETENCION]],Retenciones!$A$1:$O$25,PROVEEDORES[[#This Row],[indicador de columna]],FALSE)</f>
        <v>0</v>
      </c>
      <c r="Y603" s="100">
        <f>+VLOOKUP(PROVEEDORES[[#This Row],[ID RETENCION]],Retenciones!$A$1:$O$25,2,FALSE)</f>
        <v>0</v>
      </c>
      <c r="Z603" s="103" t="b">
        <f>OR(COUNTIF(PROVEEDORES[[#This Row],[PROVEEDOR]],"*"&amp;'Palabra no opera'!$A$2&amp;"*"))</f>
        <v>1</v>
      </c>
    </row>
    <row r="604" spans="1:26" ht="22.35" customHeight="1" x14ac:dyDescent="0.25">
      <c r="A604" s="272" t="str">
        <f>+IF(PROVEEDORES[[#This Row],[FECHA DE PAGO]]=PROVEEDORES[[#This Row],[FECHA DE FACTURACIÓN]],"DE CONTADO","CRÉDITO")</f>
        <v>CRÉDITO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0</v>
      </c>
      <c r="E604" s="25"/>
      <c r="F604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4" s="289">
        <v>45300</v>
      </c>
      <c r="H604" s="26" t="s">
        <v>401</v>
      </c>
      <c r="I604" s="289">
        <v>45292</v>
      </c>
      <c r="J604" s="35" t="s">
        <v>1484</v>
      </c>
      <c r="K604" s="21">
        <v>3792544</v>
      </c>
      <c r="L604" s="21"/>
      <c r="M604" s="22">
        <f>(PROVEEDORES[[#This Row],[SUBTOTAL]]-PROVEEDORES[[#This Row],[descuento sobre subtotal]])*VLOOKUP(PROVEEDORES[[#This Row],[PROVEEDOR]],TERCEROS_INFO[#All],3,FALSE)</f>
        <v>720583.36</v>
      </c>
      <c r="N604" s="23"/>
      <c r="O604" s="22">
        <f>+PROVEEDORES[[#This Row],[Descuento sobre subtotal %]]*(PROVEEDORES[[#This Row],[SUBTOTAL]]-PROVEEDORES[[#This Row],[descuento sobre subtotal]])</f>
        <v>0</v>
      </c>
      <c r="P604" s="72">
        <f>+IF(PROVEEDORES[[#This Row],[SUBTOTAL]]&lt;PROVEEDORES[[#This Row],[base retencion]],0,PROVEEDORES[[#This Row],[retención aplicada]])</f>
        <v>0</v>
      </c>
      <c r="Q604" s="22">
        <f>+PROVEEDORES[[#This Row],[Rete Fuente %]]*(PROVEEDORES[[#This Row],[SUBTOTAL]]-PROVEEDORES[[#This Row],[descuento sobre subtotal]])</f>
        <v>0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604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1">
        <f ca="1">IF(PROVEEDORES[[#This Row],[FECHA DE PAGO]]=0,TODAY()-PROVEEDORES[[#This Row],[FECHA DE FACTURACIÓN]]-PROVEEDORES[[#This Row],[PLAZO Días]],0)</f>
        <v>0</v>
      </c>
      <c r="U604" s="97">
        <f>+VLOOKUP(PROVEEDORES[[#This Row],[PROVEEDOR]],Terceros!$A:$D,4,FALSE)</f>
        <v>0</v>
      </c>
      <c r="V604" s="98">
        <f>+YEAR(PROVEEDORES[[#This Row],[FECHA DE FACTURACIÓN]])</f>
        <v>2024</v>
      </c>
      <c r="W604" s="98">
        <f>+MATCH(PROVEEDORES[[#This Row],[año facturado]],Retenciones!$1:$1,0)</f>
        <v>7</v>
      </c>
      <c r="X604" s="99">
        <f>+VLOOKUP(PROVEEDORES[[#This Row],[ID RETENCION]],Retenciones!$A$1:$O$25,PROVEEDORES[[#This Row],[indicador de columna]],FALSE)</f>
        <v>0</v>
      </c>
      <c r="Y604" s="100">
        <f>+VLOOKUP(PROVEEDORES[[#This Row],[ID RETENCION]],Retenciones!$A$1:$O$25,2,FALSE)</f>
        <v>0</v>
      </c>
      <c r="Z604" s="103" t="b">
        <f>OR(COUNTIF(PROVEEDORES[[#This Row],[PROVEEDOR]],"*"&amp;'Palabra no opera'!$A$2&amp;"*"))</f>
        <v>1</v>
      </c>
    </row>
    <row r="605" spans="1:26" ht="22.35" customHeight="1" x14ac:dyDescent="0.25">
      <c r="A605" s="272" t="str">
        <f>+IF(PROVEEDORES[[#This Row],[FECHA DE PAGO]]=PROVEEDORES[[#This Row],[FECHA DE FACTURACIÓN]],"DE CONTADO","CRÉDITO")</f>
        <v>CRÉDITO</v>
      </c>
      <c r="B605" s="38" t="b">
        <f>+IF((PROVEEDORES[[#This Row],[FECHA DE PAGO]]-PROVEEDORES[[#This Row],[FECHA DE FACTURACIÓN]])&gt;PROVEEDORES[[#This Row],[PLAZO Días]],"PAGO VENCIDO")</f>
        <v>0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0</v>
      </c>
      <c r="E605" s="25"/>
      <c r="F605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05" s="289">
        <v>45307</v>
      </c>
      <c r="H605" s="26" t="s">
        <v>401</v>
      </c>
      <c r="I605" s="289">
        <v>45292</v>
      </c>
      <c r="J605" s="35" t="s">
        <v>1483</v>
      </c>
      <c r="K605" s="21">
        <v>992451</v>
      </c>
      <c r="L605" s="21"/>
      <c r="M605" s="22">
        <f>(PROVEEDORES[[#This Row],[SUBTOTAL]]-PROVEEDORES[[#This Row],[descuento sobre subtotal]])*VLOOKUP(PROVEEDORES[[#This Row],[PROVEEDOR]],TERCEROS_INFO[#All],3,FALSE)</f>
        <v>188565.69</v>
      </c>
      <c r="N605" s="23"/>
      <c r="O605" s="22">
        <f>+PROVEEDORES[[#This Row],[Descuento sobre subtotal %]]*(PROVEEDORES[[#This Row],[SUBTOTAL]]-PROVEEDORES[[#This Row],[descuento sobre subtotal]])</f>
        <v>0</v>
      </c>
      <c r="P605" s="72">
        <f>+IF(PROVEEDORES[[#This Row],[SUBTOTAL]]&lt;PROVEEDORES[[#This Row],[base retencion]],0,PROVEEDORES[[#This Row],[retención aplicada]])</f>
        <v>0</v>
      </c>
      <c r="Q605" s="22">
        <f>+PROVEEDORES[[#This Row],[Rete Fuente %]]*(PROVEEDORES[[#This Row],[SUBTOTAL]]-PROVEEDORES[[#This Row],[descuento sobre subtotal]])</f>
        <v>0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1181016.69</v>
      </c>
      <c r="S605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1">
        <f ca="1">IF(PROVEEDORES[[#This Row],[FECHA DE PAGO]]=0,TODAY()-PROVEEDORES[[#This Row],[FECHA DE FACTURACIÓN]]-PROVEEDORES[[#This Row],[PLAZO Días]],0)</f>
        <v>0</v>
      </c>
      <c r="U605" s="97">
        <f>+VLOOKUP(PROVEEDORES[[#This Row],[PROVEEDOR]],Terceros!$A:$D,4,FALSE)</f>
        <v>0</v>
      </c>
      <c r="V605" s="98">
        <f>+YEAR(PROVEEDORES[[#This Row],[FECHA DE FACTURACIÓN]])</f>
        <v>2024</v>
      </c>
      <c r="W605" s="98">
        <f>+MATCH(PROVEEDORES[[#This Row],[año facturado]],Retenciones!$1:$1,0)</f>
        <v>7</v>
      </c>
      <c r="X605" s="99">
        <f>+VLOOKUP(PROVEEDORES[[#This Row],[ID RETENCION]],Retenciones!$A$1:$O$25,PROVEEDORES[[#This Row],[indicador de columna]],FALSE)</f>
        <v>0</v>
      </c>
      <c r="Y605" s="100">
        <f>+VLOOKUP(PROVEEDORES[[#This Row],[ID RETENCION]],Retenciones!$A$1:$O$25,2,FALSE)</f>
        <v>0</v>
      </c>
      <c r="Z605" s="103" t="b">
        <f>OR(COUNTIF(PROVEEDORES[[#This Row],[PROVEEDOR]],"*"&amp;'Palabra no opera'!$A$2&amp;"*"))</f>
        <v>1</v>
      </c>
    </row>
    <row r="606" spans="1:26" ht="22.35" customHeight="1" x14ac:dyDescent="0.25">
      <c r="A606" s="65" t="str">
        <f>+IF(PROVEEDORES[[#This Row],[FECHA DE PAGO]]=PROVEEDORES[[#This Row],[FECHA DE FACTURACIÓN]],"DE CONTADO","CRÉDITO")</f>
        <v>DE CONTADO</v>
      </c>
      <c r="B606" s="38" t="b">
        <f>+IF((PROVEEDORES[[#This Row],[FECHA DE PAGO]]-PROVEEDORES[[#This Row],[FECHA DE FACTURACIÓN]])&gt;PROVEEDORES[[#This Row],[PLAZO Días]],"PAGO VENCIDO")</f>
        <v>0</v>
      </c>
      <c r="C606" s="20">
        <f>+VLOOKUP(PROVEEDORES[[#This Row],[PROVEEDOR]],TERCEROS_INFO[#All],2,FALSE)</f>
        <v>30</v>
      </c>
      <c r="D606" s="25">
        <f>+SUMIFS(PROVEEDORES[Total],PROVEEDORES[PROVEEDOR],PROVEEDORES[[#This Row],[PROVEEDOR]],PROVEEDORES[FECHA DE PAGO],"")</f>
        <v>0</v>
      </c>
      <c r="E606" s="25"/>
      <c r="F606" s="56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606" s="289">
        <v>45027</v>
      </c>
      <c r="H606" s="26" t="s">
        <v>460</v>
      </c>
      <c r="I606" s="289">
        <v>45027</v>
      </c>
      <c r="J606" s="35">
        <v>20549</v>
      </c>
      <c r="K606" s="21">
        <v>240000</v>
      </c>
      <c r="L606" s="21"/>
      <c r="M606" s="22">
        <f>(PROVEEDORES[[#This Row],[SUBTOTAL]]-PROVEEDORES[[#This Row],[descuento sobre subtotal]])*VLOOKUP(PROVEEDORES[[#This Row],[PROVEEDOR]],TERCEROS_INFO[#All],3,FALSE)</f>
        <v>45600</v>
      </c>
      <c r="N606" s="23"/>
      <c r="O606" s="22">
        <f>+PROVEEDORES[[#This Row],[Descuento sobre subtotal %]]*(PROVEEDORES[[#This Row],[SUBTOTAL]]-PROVEEDORES[[#This Row],[descuento sobre subtotal]])</f>
        <v>0</v>
      </c>
      <c r="P606" s="72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285600</v>
      </c>
      <c r="S6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1">
        <f ca="1">IF(PROVEEDORES[[#This Row],[FECHA DE PAGO]]=0,TODAY()-PROVEEDORES[[#This Row],[FECHA DE FACTURACIÓN]]-PROVEEDORES[[#This Row],[PLAZO Días]],0)</f>
        <v>0</v>
      </c>
      <c r="U606" s="97">
        <f>+VLOOKUP(PROVEEDORES[[#This Row],[PROVEEDOR]],Terceros!$A:$D,4,FALSE)</f>
        <v>0</v>
      </c>
      <c r="V606" s="98">
        <f>+YEAR(PROVEEDORES[[#This Row],[FECHA DE FACTURACIÓN]])</f>
        <v>2023</v>
      </c>
      <c r="W606" s="98">
        <f>+MATCH(PROVEEDORES[[#This Row],[año facturado]],Retenciones!$1:$1,0)</f>
        <v>6</v>
      </c>
      <c r="X606" s="99">
        <f>+VLOOKUP(PROVEEDORES[[#This Row],[ID RETENCION]],Retenciones!$A$1:$O$25,PROVEEDORES[[#This Row],[indicador de columna]],FALSE)</f>
        <v>0</v>
      </c>
      <c r="Y606" s="100">
        <f>+VLOOKUP(PROVEEDORES[[#This Row],[ID RETENCION]],Retenciones!$A$1:$O$25,2,FALSE)</f>
        <v>0</v>
      </c>
      <c r="Z606" s="103" t="b">
        <f>OR(COUNTIF(PROVEEDORES[[#This Row],[PROVEEDOR]],"*"&amp;'Palabra no opera'!$A$2&amp;"*"))</f>
        <v>1</v>
      </c>
    </row>
    <row r="607" spans="1:26" ht="22.35" customHeight="1" x14ac:dyDescent="0.25">
      <c r="A607" s="203" t="str">
        <f>+IF(PROVEEDORES[[#This Row],[FECHA DE PAGO]]=PROVEEDORES[[#This Row],[FECHA DE FACTURACIÓN]],"DE CONTADO","CRÉDITO")</f>
        <v>CRÉDITO</v>
      </c>
      <c r="B607" s="38" t="b">
        <f>+IF((PROVEEDORES[[#This Row],[FECHA DE PAGO]]-PROVEEDORES[[#This Row],[FECHA DE FACTURACIÓN]])&gt;PROVEEDORES[[#This Row],[PLAZO Días]],"PAGO VENCIDO")</f>
        <v>0</v>
      </c>
      <c r="C607" s="20">
        <f>+VLOOKUP(PROVEEDORES[[#This Row],[PROVEEDOR]],TERCEROS_INFO[#All],2,FALSE)</f>
        <v>30</v>
      </c>
      <c r="D607" s="25">
        <f>+SUMIFS(PROVEEDORES[Total],PROVEEDORES[PROVEEDOR],PROVEEDORES[[#This Row],[PROVEEDOR]],PROVEEDORES[FECHA DE PAGO],"")</f>
        <v>0</v>
      </c>
      <c r="E607" s="25"/>
      <c r="F607" s="56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607" s="289">
        <v>45100</v>
      </c>
      <c r="H607" s="26" t="s">
        <v>460</v>
      </c>
      <c r="I607" s="289">
        <v>45098</v>
      </c>
      <c r="J607" s="35">
        <v>21244</v>
      </c>
      <c r="K607" s="21">
        <v>436800</v>
      </c>
      <c r="L607" s="21"/>
      <c r="M607" s="22">
        <f>(PROVEEDORES[[#This Row],[SUBTOTAL]]-PROVEEDORES[[#This Row],[descuento sobre subtotal]])*VLOOKUP(PROVEEDORES[[#This Row],[PROVEEDOR]],TERCEROS_INFO[#All],3,FALSE)</f>
        <v>82992</v>
      </c>
      <c r="N607" s="23"/>
      <c r="O607" s="22">
        <f>+PROVEEDORES[[#This Row],[Descuento sobre subtotal %]]*(PROVEEDORES[[#This Row],[SUBTOTAL]]-PROVEEDORES[[#This Row],[descuento sobre subtotal]])</f>
        <v>0</v>
      </c>
      <c r="P607" s="72">
        <f>+IF(PROVEEDORES[[#This Row],[SUBTOTAL]]&lt;PROVEEDORES[[#This Row],[base retencion]],0,PROVEEDORES[[#This Row],[retención aplicada]])</f>
        <v>0</v>
      </c>
      <c r="Q607" s="22">
        <f>+PROVEEDORES[[#This Row],[Rete Fuente %]]*(PROVEEDORES[[#This Row],[SUBTOTAL]]-PROVEEDORES[[#This Row],[descuento sobre subtotal]])</f>
        <v>0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519792</v>
      </c>
      <c r="S607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1">
        <f ca="1">IF(PROVEEDORES[[#This Row],[FECHA DE PAGO]]=0,TODAY()-PROVEEDORES[[#This Row],[FECHA DE FACTURACIÓN]]-PROVEEDORES[[#This Row],[PLAZO Días]],0)</f>
        <v>0</v>
      </c>
      <c r="U607" s="97">
        <f>+VLOOKUP(PROVEEDORES[[#This Row],[PROVEEDOR]],Terceros!$A:$D,4,FALSE)</f>
        <v>0</v>
      </c>
      <c r="V607" s="98">
        <f>+YEAR(PROVEEDORES[[#This Row],[FECHA DE FACTURACIÓN]])</f>
        <v>2023</v>
      </c>
      <c r="W607" s="98">
        <f>+MATCH(PROVEEDORES[[#This Row],[año facturado]],Retenciones!$1:$1,0)</f>
        <v>6</v>
      </c>
      <c r="X607" s="99">
        <f>+VLOOKUP(PROVEEDORES[[#This Row],[ID RETENCION]],Retenciones!$A$1:$O$25,PROVEEDORES[[#This Row],[indicador de columna]],FALSE)</f>
        <v>0</v>
      </c>
      <c r="Y607" s="100">
        <f>+VLOOKUP(PROVEEDORES[[#This Row],[ID RETENCION]],Retenciones!$A$1:$O$25,2,FALSE)</f>
        <v>0</v>
      </c>
      <c r="Z607" s="103" t="b">
        <f>OR(COUNTIF(PROVEEDORES[[#This Row],[PROVEEDOR]],"*"&amp;'Palabra no opera'!$A$2&amp;"*"))</f>
        <v>1</v>
      </c>
    </row>
    <row r="608" spans="1:26" ht="22.35" customHeight="1" x14ac:dyDescent="0.25">
      <c r="A608" s="65" t="str">
        <f>+IF(PROVEEDORES[[#This Row],[FECHA DE PAGO]]=PROVEEDORES[[#This Row],[FECHA DE FACTURACIÓN]],"DE CONTADO","CRÉDITO")</f>
        <v>CRÉDITO</v>
      </c>
      <c r="B608" s="38" t="str">
        <f>+IF((PROVEEDORES[[#This Row],[FECHA DE PAGO]]-PROVEEDORES[[#This Row],[FECHA DE FACTURACIÓN]])&gt;PROVEEDORES[[#This Row],[PLAZO Días]],"PAGO VENCIDO")</f>
        <v>PAGO VENCIDO</v>
      </c>
      <c r="C608" s="20">
        <f>+VLOOKUP(PROVEEDORES[[#This Row],[PROVEEDOR]],TERCEROS_INFO[#All],2,FALSE)</f>
        <v>30</v>
      </c>
      <c r="D608" s="25">
        <f>+SUMIFS(PROVEEDORES[Total],PROVEEDORES[PROVEEDOR],PROVEEDORES[[#This Row],[PROVEEDOR]],PROVEEDORES[FECHA DE PAGO],"")</f>
        <v>0</v>
      </c>
      <c r="E608" s="25"/>
      <c r="F608" s="56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608" s="289">
        <v>45044</v>
      </c>
      <c r="H608" s="26" t="s">
        <v>49</v>
      </c>
      <c r="I608" s="289">
        <v>44999</v>
      </c>
      <c r="J608" s="35" t="s">
        <v>741</v>
      </c>
      <c r="K608" s="21">
        <v>563025</v>
      </c>
      <c r="L608" s="21"/>
      <c r="M608" s="22">
        <f>(PROVEEDORES[[#This Row],[SUBTOTAL]]-PROVEEDORES[[#This Row],[descuento sobre subtotal]])*VLOOKUP(PROVEEDORES[[#This Row],[PROVEEDOR]],TERCEROS_INFO[#All],3,FALSE)</f>
        <v>106974.75</v>
      </c>
      <c r="N608" s="23"/>
      <c r="O608" s="22">
        <f>+PROVEEDORES[[#This Row],[Descuento sobre subtotal %]]*(PROVEEDORES[[#This Row],[SUBTOTAL]]-PROVEEDORES[[#This Row],[descuento sobre subtotal]])</f>
        <v>0</v>
      </c>
      <c r="P608" s="72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669999.75</v>
      </c>
      <c r="S6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1">
        <f ca="1">IF(PROVEEDORES[[#This Row],[FECHA DE PAGO]]=0,TODAY()-PROVEEDORES[[#This Row],[FECHA DE FACTURACIÓN]]-PROVEEDORES[[#This Row],[PLAZO Días]],0)</f>
        <v>0</v>
      </c>
      <c r="U608" s="97" t="str">
        <f>+VLOOKUP(PROVEEDORES[[#This Row],[PROVEEDOR]],Terceros!$A:$D,4,FALSE)</f>
        <v>2,5% con base</v>
      </c>
      <c r="V608" s="98">
        <f>+YEAR(PROVEEDORES[[#This Row],[FECHA DE FACTURACIÓN]])</f>
        <v>2023</v>
      </c>
      <c r="W608" s="98">
        <f>+MATCH(PROVEEDORES[[#This Row],[año facturado]],Retenciones!$1:$1,0)</f>
        <v>6</v>
      </c>
      <c r="X608" s="99">
        <f>+VLOOKUP(PROVEEDORES[[#This Row],[ID RETENCION]],Retenciones!$A$1:$O$25,PROVEEDORES[[#This Row],[indicador de columna]],FALSE)</f>
        <v>1145000</v>
      </c>
      <c r="Y608" s="100">
        <f>+VLOOKUP(PROVEEDORES[[#This Row],[ID RETENCION]],Retenciones!$A$1:$O$25,2,FALSE)</f>
        <v>2.5000000000000001E-2</v>
      </c>
      <c r="Z608" s="103" t="b">
        <f>OR(COUNTIF(PROVEEDORES[[#This Row],[PROVEEDOR]],"*"&amp;'Palabra no opera'!$A$2&amp;"*"))</f>
        <v>0</v>
      </c>
    </row>
    <row r="609" spans="1:26" ht="22.35" customHeight="1" x14ac:dyDescent="0.25">
      <c r="A609" s="153" t="str">
        <f>+IF(PROVEEDORES[[#This Row],[FECHA DE PAGO]]=PROVEEDORES[[#This Row],[FECHA DE FACTURACIÓN]],"DE CONTADO","CRÉDITO")</f>
        <v>CRÉDITO</v>
      </c>
      <c r="B609" s="38" t="str">
        <f>+IF((PROVEEDORES[[#This Row],[FECHA DE PAGO]]-PROVEEDORES[[#This Row],[FECHA DE FACTURACIÓN]])&gt;PROVEEDORES[[#This Row],[PLAZO Días]],"PAGO VENCIDO")</f>
        <v>PAGO VENCIDO</v>
      </c>
      <c r="C609" s="20">
        <f>+VLOOKUP(PROVEEDORES[[#This Row],[PROVEEDOR]],TERCEROS_INFO[#All],2,FALSE)</f>
        <v>30</v>
      </c>
      <c r="D609" s="25">
        <f>+SUMIFS(PROVEEDORES[Total],PROVEEDORES[PROVEEDOR],PROVEEDORES[[#This Row],[PROVEEDOR]],PROVEEDORES[FECHA DE PAGO],"")</f>
        <v>2923945.6174999997</v>
      </c>
      <c r="E609" s="25"/>
      <c r="F609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09" s="289">
        <v>45006</v>
      </c>
      <c r="H609" s="26" t="s">
        <v>1526</v>
      </c>
      <c r="I609" s="289">
        <v>44964</v>
      </c>
      <c r="J609" s="35" t="s">
        <v>605</v>
      </c>
      <c r="K609" s="21">
        <v>3909400</v>
      </c>
      <c r="L609" s="21"/>
      <c r="M609" s="22">
        <f>(PROVEEDORES[[#This Row],[SUBTOTAL]]-PROVEEDORES[[#This Row],[descuento sobre subtotal]])*VLOOKUP(PROVEEDORES[[#This Row],[PROVEEDOR]],TERCEROS_INFO[#All],3,FALSE)</f>
        <v>742786</v>
      </c>
      <c r="N609" s="23"/>
      <c r="O609" s="22">
        <f>+PROVEEDORES[[#This Row],[Descuento sobre subtotal %]]*(PROVEEDORES[[#This Row],[SUBTOTAL]]-PROVEEDORES[[#This Row],[descuento sobre subtotal]])</f>
        <v>0</v>
      </c>
      <c r="P609" s="72">
        <f>+IF(PROVEEDORES[[#This Row],[SUBTOTAL]]&lt;PROVEEDORES[[#This Row],[base retencion]],0,PROVEEDORES[[#This Row],[retención aplicada]])</f>
        <v>2.5000000000000001E-2</v>
      </c>
      <c r="Q609" s="22">
        <f>+PROVEEDORES[[#This Row],[Rete Fuente %]]*(PROVEEDORES[[#This Row],[SUBTOTAL]]-PROVEEDORES[[#This Row],[descuento sobre subtotal]])</f>
        <v>97735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4554451</v>
      </c>
      <c r="S609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1">
        <f ca="1">IF(PROVEEDORES[[#This Row],[FECHA DE PAGO]]=0,TODAY()-PROVEEDORES[[#This Row],[FECHA DE FACTURACIÓN]]-PROVEEDORES[[#This Row],[PLAZO Días]],0)</f>
        <v>0</v>
      </c>
      <c r="U609" s="97" t="str">
        <f>+VLOOKUP(PROVEEDORES[[#This Row],[PROVEEDOR]],Terceros!$A:$D,4,FALSE)</f>
        <v>2,5% con base</v>
      </c>
      <c r="V609" s="98">
        <f>+YEAR(PROVEEDORES[[#This Row],[FECHA DE FACTURACIÓN]])</f>
        <v>2023</v>
      </c>
      <c r="W609" s="98">
        <f>+MATCH(PROVEEDORES[[#This Row],[año facturado]],Retenciones!$1:$1,0)</f>
        <v>6</v>
      </c>
      <c r="X609" s="99">
        <f>+VLOOKUP(PROVEEDORES[[#This Row],[ID RETENCION]],Retenciones!$A$1:$O$25,PROVEEDORES[[#This Row],[indicador de columna]],FALSE)</f>
        <v>1145000</v>
      </c>
      <c r="Y609" s="100">
        <f>+VLOOKUP(PROVEEDORES[[#This Row],[ID RETENCION]],Retenciones!$A$1:$O$25,2,FALSE)</f>
        <v>2.5000000000000001E-2</v>
      </c>
      <c r="Z609" s="103" t="b">
        <f>OR(COUNTIF(PROVEEDORES[[#This Row],[PROVEEDOR]],"*"&amp;'Palabra no opera'!$A$2&amp;"*"))</f>
        <v>0</v>
      </c>
    </row>
    <row r="610" spans="1:26" ht="22.35" customHeight="1" x14ac:dyDescent="0.25">
      <c r="A610" s="155" t="str">
        <f>+IF(PROVEEDORES[[#This Row],[FECHA DE PAGO]]=PROVEEDORES[[#This Row],[FECHA DE FACTURACIÓN]],"DE CONTADO","CRÉDITO")</f>
        <v>CRÉDITO</v>
      </c>
      <c r="B610" s="38" t="b">
        <f>+IF((PROVEEDORES[[#This Row],[FECHA DE PAGO]]-PROVEEDORES[[#This Row],[FECHA DE FACTURACIÓN]])&gt;PROVEEDORES[[#This Row],[PLAZO Días]],"PAGO VENCIDO")</f>
        <v>0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2923945.6174999997</v>
      </c>
      <c r="E610" s="25"/>
      <c r="F610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0" s="289">
        <v>45006</v>
      </c>
      <c r="H610" s="26" t="s">
        <v>1526</v>
      </c>
      <c r="I610" s="289">
        <v>44978</v>
      </c>
      <c r="J610" s="35" t="s">
        <v>632</v>
      </c>
      <c r="K610" s="21">
        <v>346497</v>
      </c>
      <c r="L610" s="21"/>
      <c r="M610" s="22">
        <f>(PROVEEDORES[[#This Row],[SUBTOTAL]]-PROVEEDORES[[#This Row],[descuento sobre subtotal]])*VLOOKUP(PROVEEDORES[[#This Row],[PROVEEDOR]],TERCEROS_INFO[#All],3,FALSE)</f>
        <v>65834.430000000008</v>
      </c>
      <c r="N610" s="23"/>
      <c r="O610" s="22">
        <f>+PROVEEDORES[[#This Row],[Descuento sobre subtotal %]]*(PROVEEDORES[[#This Row],[SUBTOTAL]]-PROVEEDORES[[#This Row],[descuento sobre subtotal]])</f>
        <v>0</v>
      </c>
      <c r="P610" s="72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412331.43</v>
      </c>
      <c r="S610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1">
        <f ca="1">IF(PROVEEDORES[[#This Row],[FECHA DE PAGO]]=0,TODAY()-PROVEEDORES[[#This Row],[FECHA DE FACTURACIÓN]]-PROVEEDORES[[#This Row],[PLAZO Días]],0)</f>
        <v>0</v>
      </c>
      <c r="U610" s="97" t="str">
        <f>+VLOOKUP(PROVEEDORES[[#This Row],[PROVEEDOR]],Terceros!$A:$D,4,FALSE)</f>
        <v>2,5% con base</v>
      </c>
      <c r="V610" s="98">
        <f>+YEAR(PROVEEDORES[[#This Row],[FECHA DE FACTURACIÓN]])</f>
        <v>2023</v>
      </c>
      <c r="W610" s="98">
        <f>+MATCH(PROVEEDORES[[#This Row],[año facturado]],Retenciones!$1:$1,0)</f>
        <v>6</v>
      </c>
      <c r="X610" s="99">
        <f>+VLOOKUP(PROVEEDORES[[#This Row],[ID RETENCION]],Retenciones!$A$1:$O$25,PROVEEDORES[[#This Row],[indicador de columna]],FALSE)</f>
        <v>1145000</v>
      </c>
      <c r="Y610" s="100">
        <f>+VLOOKUP(PROVEEDORES[[#This Row],[ID RETENCION]],Retenciones!$A$1:$O$25,2,FALSE)</f>
        <v>2.5000000000000001E-2</v>
      </c>
      <c r="Z610" s="103" t="b">
        <f>OR(COUNTIF(PROVEEDORES[[#This Row],[PROVEEDOR]],"*"&amp;'Palabra no opera'!$A$2&amp;"*"))</f>
        <v>0</v>
      </c>
    </row>
    <row r="611" spans="1:26" ht="22.35" customHeight="1" x14ac:dyDescent="0.25">
      <c r="A611" s="65" t="str">
        <f>+IF(PROVEEDORES[[#This Row],[FECHA DE PAGO]]=PROVEEDORES[[#This Row],[FECHA DE FACTURACIÓN]],"DE CONTADO","CRÉDITO")</f>
        <v>CRÉDITO</v>
      </c>
      <c r="B611" s="38" t="str">
        <f>+IF((PROVEEDORES[[#This Row],[FECHA DE PAGO]]-PROVEEDORES[[#This Row],[FECHA DE FACTURACIÓN]])&gt;PROVEEDORES[[#This Row],[PLAZO Días]],"PAGO VENCIDO")</f>
        <v>PAGO VENCIDO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2923945.6174999997</v>
      </c>
      <c r="E611" s="25"/>
      <c r="F611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1" s="289">
        <v>45040</v>
      </c>
      <c r="H611" s="26" t="s">
        <v>1526</v>
      </c>
      <c r="I611" s="289">
        <v>44988</v>
      </c>
      <c r="J611" s="35" t="s">
        <v>740</v>
      </c>
      <c r="K611" s="21">
        <v>93570</v>
      </c>
      <c r="L611" s="21"/>
      <c r="M611" s="22">
        <f>(PROVEEDORES[[#This Row],[SUBTOTAL]]-PROVEEDORES[[#This Row],[descuento sobre subtotal]])*VLOOKUP(PROVEEDORES[[#This Row],[PROVEEDOR]],TERCEROS_INFO[#All],3,FALSE)</f>
        <v>17778.3</v>
      </c>
      <c r="N611" s="23"/>
      <c r="O611" s="22">
        <f>+PROVEEDORES[[#This Row],[Descuento sobre subtotal %]]*(PROVEEDORES[[#This Row],[SUBTOTAL]]-PROVEEDORES[[#This Row],[descuento sobre subtotal]])</f>
        <v>0</v>
      </c>
      <c r="P611" s="72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f>+PROVEEDORES[[#This Row],[SUBTOTAL]]+PROVEEDORES[[#This Row],[IVA 19%]]-PROVEEDORES[[#This Row],[descuento sobre subtotal]]-PROVEEDORES[[#This Row],[Descuento sobre subtotal $2]]-PROVEEDORES[[#This Row],[Rete Fuente $]]</f>
        <v>111348.3</v>
      </c>
      <c r="S6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1">
        <f ca="1">IF(PROVEEDORES[[#This Row],[FECHA DE PAGO]]=0,TODAY()-PROVEEDORES[[#This Row],[FECHA DE FACTURACIÓN]]-PROVEEDORES[[#This Row],[PLAZO Días]],0)</f>
        <v>0</v>
      </c>
      <c r="U611" s="97" t="str">
        <f>+VLOOKUP(PROVEEDORES[[#This Row],[PROVEEDOR]],Terceros!$A:$D,4,FALSE)</f>
        <v>2,5% con base</v>
      </c>
      <c r="V611" s="98">
        <f>+YEAR(PROVEEDORES[[#This Row],[FECHA DE FACTURACIÓN]])</f>
        <v>2023</v>
      </c>
      <c r="W611" s="98">
        <f>+MATCH(PROVEEDORES[[#This Row],[año facturado]],Retenciones!$1:$1,0)</f>
        <v>6</v>
      </c>
      <c r="X611" s="99">
        <f>+VLOOKUP(PROVEEDORES[[#This Row],[ID RETENCION]],Retenciones!$A$1:$O$25,PROVEEDORES[[#This Row],[indicador de columna]],FALSE)</f>
        <v>1145000</v>
      </c>
      <c r="Y611" s="100">
        <f>+VLOOKUP(PROVEEDORES[[#This Row],[ID RETENCION]],Retenciones!$A$1:$O$25,2,FALSE)</f>
        <v>2.5000000000000001E-2</v>
      </c>
      <c r="Z611" s="103" t="b">
        <f>OR(COUNTIF(PROVEEDORES[[#This Row],[PROVEEDOR]],"*"&amp;'Palabra no opera'!$A$2&amp;"*"))</f>
        <v>0</v>
      </c>
    </row>
    <row r="612" spans="1:26" ht="22.35" customHeight="1" x14ac:dyDescent="0.25">
      <c r="A612" s="65" t="str">
        <f>+IF(PROVEEDORES[[#This Row],[FECHA DE PAGO]]=PROVEEDORES[[#This Row],[FECHA DE FACTURACIÓN]],"DE CONTADO","CRÉDITO")</f>
        <v>CRÉDITO</v>
      </c>
      <c r="B612" s="38" t="b">
        <f>+IF((PROVEEDORES[[#This Row],[FECHA DE PAGO]]-PROVEEDORES[[#This Row],[FECHA DE FACTURACIÓN]])&gt;PROVEEDORES[[#This Row],[PLAZO Días]],"PAGO VENCIDO")</f>
        <v>0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2923945.6174999997</v>
      </c>
      <c r="E612" s="25"/>
      <c r="F612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2" s="289">
        <v>45018</v>
      </c>
      <c r="H612" s="26" t="s">
        <v>1526</v>
      </c>
      <c r="I612" s="289">
        <v>44999</v>
      </c>
      <c r="J612" s="35" t="s">
        <v>738</v>
      </c>
      <c r="K612" s="21">
        <v>55353</v>
      </c>
      <c r="L612" s="21"/>
      <c r="M612" s="22">
        <f>(PROVEEDORES[[#This Row],[SUBTOTAL]]-PROVEEDORES[[#This Row],[descuento sobre subtotal]])*VLOOKUP(PROVEEDORES[[#This Row],[PROVEEDOR]],TERCEROS_INFO[#All],3,FALSE)</f>
        <v>10517.07</v>
      </c>
      <c r="N612" s="23"/>
      <c r="O612" s="22">
        <f>+PROVEEDORES[[#This Row],[Descuento sobre subtotal %]]*(PROVEEDORES[[#This Row],[SUBTOTAL]]-PROVEEDORES[[#This Row],[descuento sobre subtotal]])</f>
        <v>0</v>
      </c>
      <c r="P612" s="72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f>+PROVEEDORES[[#This Row],[SUBTOTAL]]+PROVEEDORES[[#This Row],[IVA 19%]]-PROVEEDORES[[#This Row],[descuento sobre subtotal]]-PROVEEDORES[[#This Row],[Descuento sobre subtotal $2]]-PROVEEDORES[[#This Row],[Rete Fuente $]]</f>
        <v>65870.070000000007</v>
      </c>
      <c r="S6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1">
        <f ca="1">IF(PROVEEDORES[[#This Row],[FECHA DE PAGO]]=0,TODAY()-PROVEEDORES[[#This Row],[FECHA DE FACTURACIÓN]]-PROVEEDORES[[#This Row],[PLAZO Días]],0)</f>
        <v>0</v>
      </c>
      <c r="U612" s="97" t="str">
        <f>+VLOOKUP(PROVEEDORES[[#This Row],[PROVEEDOR]],Terceros!$A:$D,4,FALSE)</f>
        <v>2,5% con base</v>
      </c>
      <c r="V612" s="98">
        <f>+YEAR(PROVEEDORES[[#This Row],[FECHA DE FACTURACIÓN]])</f>
        <v>2023</v>
      </c>
      <c r="W612" s="98">
        <f>+MATCH(PROVEEDORES[[#This Row],[año facturado]],Retenciones!$1:$1,0)</f>
        <v>6</v>
      </c>
      <c r="X612" s="99">
        <f>+VLOOKUP(PROVEEDORES[[#This Row],[ID RETENCION]],Retenciones!$A$1:$O$25,PROVEEDORES[[#This Row],[indicador de columna]],FALSE)</f>
        <v>1145000</v>
      </c>
      <c r="Y612" s="100">
        <f>+VLOOKUP(PROVEEDORES[[#This Row],[ID RETENCION]],Retenciones!$A$1:$O$25,2,FALSE)</f>
        <v>2.5000000000000001E-2</v>
      </c>
      <c r="Z612" s="103" t="b">
        <f>OR(COUNTIF(PROVEEDORES[[#This Row],[PROVEEDOR]],"*"&amp;'Palabra no opera'!$A$2&amp;"*"))</f>
        <v>0</v>
      </c>
    </row>
    <row r="613" spans="1:26" ht="22.35" customHeight="1" x14ac:dyDescent="0.25">
      <c r="A613" s="65" t="str">
        <f>+IF(PROVEEDORES[[#This Row],[FECHA DE PAGO]]=PROVEEDORES[[#This Row],[FECHA DE FACTURACIÓN]],"DE CONTADO","CRÉDITO")</f>
        <v>CRÉDITO</v>
      </c>
      <c r="B613" s="38" t="str">
        <f>+IF((PROVEEDORES[[#This Row],[FECHA DE PAGO]]-PROVEEDORES[[#This Row],[FECHA DE FACTURACIÓN]])&gt;PROVEEDORES[[#This Row],[PLAZO Días]],"PAGO VENCIDO")</f>
        <v>PAGO VENCIDO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2923945.6174999997</v>
      </c>
      <c r="E613" s="25"/>
      <c r="F613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3" s="289">
        <v>45040</v>
      </c>
      <c r="H613" s="26" t="s">
        <v>1526</v>
      </c>
      <c r="I613" s="289">
        <v>45006</v>
      </c>
      <c r="J613" s="35" t="s">
        <v>744</v>
      </c>
      <c r="K613" s="21">
        <v>2780070</v>
      </c>
      <c r="L613" s="21"/>
      <c r="M613" s="22">
        <f>(PROVEEDORES[[#This Row],[SUBTOTAL]]-PROVEEDORES[[#This Row],[descuento sobre subtotal]])*VLOOKUP(PROVEEDORES[[#This Row],[PROVEEDOR]],TERCEROS_INFO[#All],3,FALSE)</f>
        <v>528213.30000000005</v>
      </c>
      <c r="N613" s="23"/>
      <c r="O613" s="22">
        <f>+PROVEEDORES[[#This Row],[Descuento sobre subtotal %]]*(PROVEEDORES[[#This Row],[SUBTOTAL]]-PROVEEDORES[[#This Row],[descuento sobre subtotal]])</f>
        <v>0</v>
      </c>
      <c r="P613" s="72">
        <f>+IF(PROVEEDORES[[#This Row],[SUBTOTAL]]&lt;PROVEEDORES[[#This Row],[base retencion]],0,PROVEEDORES[[#This Row],[retención aplicada]])</f>
        <v>2.5000000000000001E-2</v>
      </c>
      <c r="Q613" s="22">
        <f>+PROVEEDORES[[#This Row],[Rete Fuente %]]*(PROVEEDORES[[#This Row],[SUBTOTAL]]-PROVEEDORES[[#This Row],[descuento sobre subtotal]])</f>
        <v>69501.75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3238781.55</v>
      </c>
      <c r="S6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1">
        <f ca="1">IF(PROVEEDORES[[#This Row],[FECHA DE PAGO]]=0,TODAY()-PROVEEDORES[[#This Row],[FECHA DE FACTURACIÓN]]-PROVEEDORES[[#This Row],[PLAZO Días]],0)</f>
        <v>0</v>
      </c>
      <c r="U613" s="97" t="str">
        <f>+VLOOKUP(PROVEEDORES[[#This Row],[PROVEEDOR]],Terceros!$A:$D,4,FALSE)</f>
        <v>2,5% con base</v>
      </c>
      <c r="V613" s="98">
        <f>+YEAR(PROVEEDORES[[#This Row],[FECHA DE FACTURACIÓN]])</f>
        <v>2023</v>
      </c>
      <c r="W613" s="98">
        <f>+MATCH(PROVEEDORES[[#This Row],[año facturado]],Retenciones!$1:$1,0)</f>
        <v>6</v>
      </c>
      <c r="X613" s="99">
        <f>+VLOOKUP(PROVEEDORES[[#This Row],[ID RETENCION]],Retenciones!$A$1:$O$25,PROVEEDORES[[#This Row],[indicador de columna]],FALSE)</f>
        <v>1145000</v>
      </c>
      <c r="Y613" s="100">
        <f>+VLOOKUP(PROVEEDORES[[#This Row],[ID RETENCION]],Retenciones!$A$1:$O$25,2,FALSE)</f>
        <v>2.5000000000000001E-2</v>
      </c>
      <c r="Z613" s="103" t="b">
        <f>OR(COUNTIF(PROVEEDORES[[#This Row],[PROVEEDOR]],"*"&amp;'Palabra no opera'!$A$2&amp;"*"))</f>
        <v>0</v>
      </c>
    </row>
    <row r="614" spans="1:26" ht="22.35" customHeight="1" x14ac:dyDescent="0.25">
      <c r="A614" s="192" t="str">
        <f>+IF(PROVEEDORES[[#This Row],[FECHA DE PAGO]]=PROVEEDORES[[#This Row],[FECHA DE FACTURACIÓN]],"DE CONTADO","CRÉDITO")</f>
        <v>CRÉDITO</v>
      </c>
      <c r="B614" s="38" t="str">
        <f>+IF((PROVEEDORES[[#This Row],[FECHA DE PAGO]]-PROVEEDORES[[#This Row],[FECHA DE FACTURACIÓN]])&gt;PROVEEDORES[[#This Row],[PLAZO Días]],"PAGO VENCIDO")</f>
        <v>PAGO VENCIDO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2923945.6174999997</v>
      </c>
      <c r="E614" s="25"/>
      <c r="F614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4" s="289">
        <v>45082</v>
      </c>
      <c r="H614" s="26" t="s">
        <v>1526</v>
      </c>
      <c r="I614" s="289">
        <v>45028</v>
      </c>
      <c r="J614" s="35" t="s">
        <v>781</v>
      </c>
      <c r="K614" s="21">
        <v>97619</v>
      </c>
      <c r="L614" s="21"/>
      <c r="M614" s="22">
        <f>(PROVEEDORES[[#This Row],[SUBTOTAL]]-PROVEEDORES[[#This Row],[descuento sobre subtotal]])*VLOOKUP(PROVEEDORES[[#This Row],[PROVEEDOR]],TERCEROS_INFO[#All],3,FALSE)</f>
        <v>18547.61</v>
      </c>
      <c r="N614" s="23"/>
      <c r="O614" s="22">
        <f>+PROVEEDORES[[#This Row],[Descuento sobre subtotal %]]*(PROVEEDORES[[#This Row],[SUBTOTAL]]-PROVEEDORES[[#This Row],[descuento sobre subtotal]])</f>
        <v>0</v>
      </c>
      <c r="P614" s="72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116166.61</v>
      </c>
      <c r="S61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1">
        <f ca="1">IF(PROVEEDORES[[#This Row],[FECHA DE PAGO]]=0,TODAY()-PROVEEDORES[[#This Row],[FECHA DE FACTURACIÓN]]-PROVEEDORES[[#This Row],[PLAZO Días]],0)</f>
        <v>0</v>
      </c>
      <c r="U614" s="97" t="str">
        <f>+VLOOKUP(PROVEEDORES[[#This Row],[PROVEEDOR]],Terceros!$A:$D,4,FALSE)</f>
        <v>2,5% con base</v>
      </c>
      <c r="V614" s="98">
        <f>+YEAR(PROVEEDORES[[#This Row],[FECHA DE FACTURACIÓN]])</f>
        <v>2023</v>
      </c>
      <c r="W614" s="98">
        <f>+MATCH(PROVEEDORES[[#This Row],[año facturado]],Retenciones!$1:$1,0)</f>
        <v>6</v>
      </c>
      <c r="X614" s="99">
        <f>+VLOOKUP(PROVEEDORES[[#This Row],[ID RETENCION]],Retenciones!$A$1:$O$25,PROVEEDORES[[#This Row],[indicador de columna]],FALSE)</f>
        <v>1145000</v>
      </c>
      <c r="Y614" s="100">
        <f>+VLOOKUP(PROVEEDORES[[#This Row],[ID RETENCION]],Retenciones!$A$1:$O$25,2,FALSE)</f>
        <v>2.5000000000000001E-2</v>
      </c>
      <c r="Z614" s="103" t="b">
        <f>OR(COUNTIF(PROVEEDORES[[#This Row],[PROVEEDOR]],"*"&amp;'Palabra no opera'!$A$2&amp;"*"))</f>
        <v>0</v>
      </c>
    </row>
    <row r="615" spans="1:26" ht="22.35" customHeight="1" x14ac:dyDescent="0.25">
      <c r="A615" s="192" t="str">
        <f>+IF(PROVEEDORES[[#This Row],[FECHA DE PAGO]]=PROVEEDORES[[#This Row],[FECHA DE FACTURACIÓN]],"DE CONTADO","CRÉDITO")</f>
        <v>CRÉDITO</v>
      </c>
      <c r="B615" s="38" t="str">
        <f>+IF((PROVEEDORES[[#This Row],[FECHA DE PAGO]]-PROVEEDORES[[#This Row],[FECHA DE FACTURACIÓN]])&gt;PROVEEDORES[[#This Row],[PLAZO Días]],"PAGO VENCIDO")</f>
        <v>PAGO VENCIDO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2923945.6174999997</v>
      </c>
      <c r="E615" s="25"/>
      <c r="F615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5" s="289">
        <v>45082</v>
      </c>
      <c r="H615" s="26" t="s">
        <v>1526</v>
      </c>
      <c r="I615" s="289">
        <v>45040</v>
      </c>
      <c r="J615" s="35" t="s">
        <v>778</v>
      </c>
      <c r="K615" s="21">
        <v>2758147</v>
      </c>
      <c r="L615" s="21"/>
      <c r="M615" s="22">
        <f>(PROVEEDORES[[#This Row],[SUBTOTAL]]-PROVEEDORES[[#This Row],[descuento sobre subtotal]])*VLOOKUP(PROVEEDORES[[#This Row],[PROVEEDOR]],TERCEROS_INFO[#All],3,FALSE)</f>
        <v>524047.93</v>
      </c>
      <c r="N615" s="23"/>
      <c r="O615" s="22">
        <f>+PROVEEDORES[[#This Row],[Descuento sobre subtotal %]]*(PROVEEDORES[[#This Row],[SUBTOTAL]]-PROVEEDORES[[#This Row],[descuento sobre subtotal]])</f>
        <v>0</v>
      </c>
      <c r="P615" s="72">
        <f>+IF(PROVEEDORES[[#This Row],[SUBTOTAL]]&lt;PROVEEDORES[[#This Row],[base retencion]],0,PROVEEDORES[[#This Row],[retención aplicada]])</f>
        <v>2.5000000000000001E-2</v>
      </c>
      <c r="Q615" s="22">
        <f>+PROVEEDORES[[#This Row],[Rete Fuente %]]*(PROVEEDORES[[#This Row],[SUBTOTAL]]-PROVEEDORES[[#This Row],[descuento sobre subtotal]])</f>
        <v>68953.675000000003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3213241.2550000004</v>
      </c>
      <c r="S61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1">
        <f ca="1">IF(PROVEEDORES[[#This Row],[FECHA DE PAGO]]=0,TODAY()-PROVEEDORES[[#This Row],[FECHA DE FACTURACIÓN]]-PROVEEDORES[[#This Row],[PLAZO Días]],0)</f>
        <v>0</v>
      </c>
      <c r="U615" s="97" t="str">
        <f>+VLOOKUP(PROVEEDORES[[#This Row],[PROVEEDOR]],Terceros!$A:$D,4,FALSE)</f>
        <v>2,5% con base</v>
      </c>
      <c r="V615" s="98">
        <f>+YEAR(PROVEEDORES[[#This Row],[FECHA DE FACTURACIÓN]])</f>
        <v>2023</v>
      </c>
      <c r="W615" s="98">
        <f>+MATCH(PROVEEDORES[[#This Row],[año facturado]],Retenciones!$1:$1,0)</f>
        <v>6</v>
      </c>
      <c r="X615" s="99">
        <f>+VLOOKUP(PROVEEDORES[[#This Row],[ID RETENCION]],Retenciones!$A$1:$O$25,PROVEEDORES[[#This Row],[indicador de columna]],FALSE)</f>
        <v>1145000</v>
      </c>
      <c r="Y615" s="100">
        <f>+VLOOKUP(PROVEEDORES[[#This Row],[ID RETENCION]],Retenciones!$A$1:$O$25,2,FALSE)</f>
        <v>2.5000000000000001E-2</v>
      </c>
      <c r="Z615" s="103" t="b">
        <f>OR(COUNTIF(PROVEEDORES[[#This Row],[PROVEEDOR]],"*"&amp;'Palabra no opera'!$A$2&amp;"*"))</f>
        <v>0</v>
      </c>
    </row>
    <row r="616" spans="1:26" ht="22.35" customHeight="1" x14ac:dyDescent="0.25">
      <c r="A616" s="192" t="str">
        <f>+IF(PROVEEDORES[[#This Row],[FECHA DE PAGO]]=PROVEEDORES[[#This Row],[FECHA DE FACTURACIÓN]],"DE CONTADO","CRÉDITO")</f>
        <v>CRÉDITO</v>
      </c>
      <c r="B616" s="38" t="str">
        <f>+IF((PROVEEDORES[[#This Row],[FECHA DE PAGO]]-PROVEEDORES[[#This Row],[FECHA DE FACTURACIÓN]])&gt;PROVEEDORES[[#This Row],[PLAZO Días]],"PAGO VENCIDO")</f>
        <v>PAGO VENCIDO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2923945.6174999997</v>
      </c>
      <c r="E616" s="25"/>
      <c r="F616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6" s="289">
        <v>45082</v>
      </c>
      <c r="H616" s="26" t="s">
        <v>1526</v>
      </c>
      <c r="I616" s="289">
        <v>45040</v>
      </c>
      <c r="J616" s="35" t="s">
        <v>780</v>
      </c>
      <c r="K616" s="21">
        <v>23527</v>
      </c>
      <c r="L616" s="21"/>
      <c r="M616" s="22">
        <f>(PROVEEDORES[[#This Row],[SUBTOTAL]]-PROVEEDORES[[#This Row],[descuento sobre subtotal]])*VLOOKUP(PROVEEDORES[[#This Row],[PROVEEDOR]],TERCEROS_INFO[#All],3,FALSE)</f>
        <v>4470.13</v>
      </c>
      <c r="N616" s="23"/>
      <c r="O616" s="22">
        <f>+PROVEEDORES[[#This Row],[Descuento sobre subtotal %]]*(PROVEEDORES[[#This Row],[SUBTOTAL]]-PROVEEDORES[[#This Row],[descuento sobre subtotal]])</f>
        <v>0</v>
      </c>
      <c r="P616" s="72">
        <f>+IF(PROVEEDORES[[#This Row],[SUBTOTAL]]&lt;PROVEEDORES[[#This Row],[base retencion]],0,PROVEEDORES[[#This Row],[retención aplicada]])</f>
        <v>0</v>
      </c>
      <c r="Q616" s="22">
        <f>+PROVEEDORES[[#This Row],[Rete Fuente %]]*(PROVEEDORES[[#This Row],[SUBTOTAL]]-PROVEEDORES[[#This Row],[descuento sobre subtotal]])</f>
        <v>0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27997.13</v>
      </c>
      <c r="S61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1">
        <f ca="1">IF(PROVEEDORES[[#This Row],[FECHA DE PAGO]]=0,TODAY()-PROVEEDORES[[#This Row],[FECHA DE FACTURACIÓN]]-PROVEEDORES[[#This Row],[PLAZO Días]],0)</f>
        <v>0</v>
      </c>
      <c r="U616" s="97" t="str">
        <f>+VLOOKUP(PROVEEDORES[[#This Row],[PROVEEDOR]],Terceros!$A:$D,4,FALSE)</f>
        <v>2,5% con base</v>
      </c>
      <c r="V616" s="98">
        <f>+YEAR(PROVEEDORES[[#This Row],[FECHA DE FACTURACIÓN]])</f>
        <v>2023</v>
      </c>
      <c r="W616" s="98">
        <f>+MATCH(PROVEEDORES[[#This Row],[año facturado]],Retenciones!$1:$1,0)</f>
        <v>6</v>
      </c>
      <c r="X616" s="99">
        <f>+VLOOKUP(PROVEEDORES[[#This Row],[ID RETENCION]],Retenciones!$A$1:$O$25,PROVEEDORES[[#This Row],[indicador de columna]],FALSE)</f>
        <v>1145000</v>
      </c>
      <c r="Y616" s="100">
        <f>+VLOOKUP(PROVEEDORES[[#This Row],[ID RETENCION]],Retenciones!$A$1:$O$25,2,FALSE)</f>
        <v>2.5000000000000001E-2</v>
      </c>
      <c r="Z616" s="103" t="b">
        <f>OR(COUNTIF(PROVEEDORES[[#This Row],[PROVEEDOR]],"*"&amp;'Palabra no opera'!$A$2&amp;"*"))</f>
        <v>0</v>
      </c>
    </row>
    <row r="617" spans="1:26" ht="22.35" customHeight="1" x14ac:dyDescent="0.25">
      <c r="A617" s="198" t="str">
        <f>+IF(PROVEEDORES[[#This Row],[FECHA DE PAGO]]=PROVEEDORES[[#This Row],[FECHA DE FACTURACIÓN]],"DE CONTADO","CRÉDITO")</f>
        <v>CRÉDITO</v>
      </c>
      <c r="B617" s="38" t="str">
        <f>+IF((PROVEEDORES[[#This Row],[FECHA DE PAGO]]-PROVEEDORES[[#This Row],[FECHA DE FACTURACIÓN]])&gt;PROVEEDORES[[#This Row],[PLAZO Días]],"PAGO VENCIDO")</f>
        <v>PAGO VENCIDO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2923945.6174999997</v>
      </c>
      <c r="E617" s="25"/>
      <c r="F617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7" s="289">
        <v>45118</v>
      </c>
      <c r="H617" s="26" t="s">
        <v>1526</v>
      </c>
      <c r="I617" s="289">
        <v>45072</v>
      </c>
      <c r="J617" s="35" t="s">
        <v>855</v>
      </c>
      <c r="K617" s="21">
        <v>151261</v>
      </c>
      <c r="L617" s="21"/>
      <c r="M617" s="22">
        <f>(PROVEEDORES[[#This Row],[SUBTOTAL]]-PROVEEDORES[[#This Row],[descuento sobre subtotal]])*VLOOKUP(PROVEEDORES[[#This Row],[PROVEEDOR]],TERCEROS_INFO[#All],3,FALSE)</f>
        <v>28739.59</v>
      </c>
      <c r="N617" s="23"/>
      <c r="O617" s="22">
        <f>+PROVEEDORES[[#This Row],[Descuento sobre subtotal %]]*(PROVEEDORES[[#This Row],[SUBTOTAL]]-PROVEEDORES[[#This Row],[descuento sobre subtotal]])</f>
        <v>0</v>
      </c>
      <c r="P617" s="72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617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1">
        <f ca="1">IF(PROVEEDORES[[#This Row],[FECHA DE PAGO]]=0,TODAY()-PROVEEDORES[[#This Row],[FECHA DE FACTURACIÓN]]-PROVEEDORES[[#This Row],[PLAZO Días]],0)</f>
        <v>0</v>
      </c>
      <c r="U617" s="97" t="str">
        <f>+VLOOKUP(PROVEEDORES[[#This Row],[PROVEEDOR]],Terceros!$A:$D,4,FALSE)</f>
        <v>2,5% con base</v>
      </c>
      <c r="V617" s="98">
        <f>+YEAR(PROVEEDORES[[#This Row],[FECHA DE FACTURACIÓN]])</f>
        <v>2023</v>
      </c>
      <c r="W617" s="98">
        <f>+MATCH(PROVEEDORES[[#This Row],[año facturado]],Retenciones!$1:$1,0)</f>
        <v>6</v>
      </c>
      <c r="X617" s="99">
        <f>+VLOOKUP(PROVEEDORES[[#This Row],[ID RETENCION]],Retenciones!$A$1:$O$25,PROVEEDORES[[#This Row],[indicador de columna]],FALSE)</f>
        <v>1145000</v>
      </c>
      <c r="Y617" s="100">
        <f>+VLOOKUP(PROVEEDORES[[#This Row],[ID RETENCION]],Retenciones!$A$1:$O$25,2,FALSE)</f>
        <v>2.5000000000000001E-2</v>
      </c>
      <c r="Z617" s="103" t="b">
        <f>OR(COUNTIF(PROVEEDORES[[#This Row],[PROVEEDOR]],"*"&amp;'Palabra no opera'!$A$2&amp;"*"))</f>
        <v>0</v>
      </c>
    </row>
    <row r="618" spans="1:26" ht="22.35" customHeight="1" x14ac:dyDescent="0.25">
      <c r="A618" s="65" t="str">
        <f>+IF(PROVEEDORES[[#This Row],[FECHA DE PAGO]]=PROVEEDORES[[#This Row],[FECHA DE FACTURACIÓN]],"DE CONTADO","CRÉDITO")</f>
        <v>CRÉDITO</v>
      </c>
      <c r="B618" s="38" t="str">
        <f>+IF((PROVEEDORES[[#This Row],[FECHA DE PAGO]]-PROVEEDORES[[#This Row],[FECHA DE FACTURACIÓN]])&gt;PROVEEDORES[[#This Row],[PLAZO Días]],"PAGO VENCIDO")</f>
        <v>PAGO VENCIDO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2923945.6174999997</v>
      </c>
      <c r="E618" s="25"/>
      <c r="F618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8" s="289">
        <v>45118</v>
      </c>
      <c r="H618" s="26" t="s">
        <v>1526</v>
      </c>
      <c r="I618" s="289">
        <v>45082</v>
      </c>
      <c r="J618" s="35" t="s">
        <v>876</v>
      </c>
      <c r="K618" s="21">
        <v>1949799</v>
      </c>
      <c r="L618" s="21"/>
      <c r="M618" s="22">
        <f>(PROVEEDORES[[#This Row],[SUBTOTAL]]-PROVEEDORES[[#This Row],[descuento sobre subtotal]])*VLOOKUP(PROVEEDORES[[#This Row],[PROVEEDOR]],TERCEROS_INFO[#All],3,FALSE)</f>
        <v>370461.81</v>
      </c>
      <c r="N618" s="23"/>
      <c r="O618" s="22">
        <f>+PROVEEDORES[[#This Row],[Descuento sobre subtotal %]]*(PROVEEDORES[[#This Row],[SUBTOTAL]]-PROVEEDORES[[#This Row],[descuento sobre subtotal]])</f>
        <v>0</v>
      </c>
      <c r="P618" s="72">
        <f>+IF(PROVEEDORES[[#This Row],[SUBTOTAL]]&lt;PROVEEDORES[[#This Row],[base retencion]],0,PROVEEDORES[[#This Row],[retención aplicada]])</f>
        <v>2.5000000000000001E-2</v>
      </c>
      <c r="Q618" s="22">
        <f>+PROVEEDORES[[#This Row],[Rete Fuente %]]*(PROVEEDORES[[#This Row],[SUBTOTAL]]-PROVEEDORES[[#This Row],[descuento sobre subtotal]])</f>
        <v>48744.975000000006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2271515.835</v>
      </c>
      <c r="S6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1">
        <f ca="1">IF(PROVEEDORES[[#This Row],[FECHA DE PAGO]]=0,TODAY()-PROVEEDORES[[#This Row],[FECHA DE FACTURACIÓN]]-PROVEEDORES[[#This Row],[PLAZO Días]],0)</f>
        <v>0</v>
      </c>
      <c r="U618" s="97" t="str">
        <f>+VLOOKUP(PROVEEDORES[[#This Row],[PROVEEDOR]],Terceros!$A:$D,4,FALSE)</f>
        <v>2,5% con base</v>
      </c>
      <c r="V618" s="98">
        <f>+YEAR(PROVEEDORES[[#This Row],[FECHA DE FACTURACIÓN]])</f>
        <v>2023</v>
      </c>
      <c r="W618" s="98">
        <f>+MATCH(PROVEEDORES[[#This Row],[año facturado]],Retenciones!$1:$1,0)</f>
        <v>6</v>
      </c>
      <c r="X618" s="99">
        <f>+VLOOKUP(PROVEEDORES[[#This Row],[ID RETENCION]],Retenciones!$A$1:$O$25,PROVEEDORES[[#This Row],[indicador de columna]],FALSE)</f>
        <v>1145000</v>
      </c>
      <c r="Y618" s="100">
        <f>+VLOOKUP(PROVEEDORES[[#This Row],[ID RETENCION]],Retenciones!$A$1:$O$25,2,FALSE)</f>
        <v>2.5000000000000001E-2</v>
      </c>
      <c r="Z618" s="103" t="b">
        <f>OR(COUNTIF(PROVEEDORES[[#This Row],[PROVEEDOR]],"*"&amp;'Palabra no opera'!$A$2&amp;"*"))</f>
        <v>0</v>
      </c>
    </row>
    <row r="619" spans="1:26" ht="22.35" customHeight="1" x14ac:dyDescent="0.25">
      <c r="A619" s="205" t="str">
        <f>+IF(PROVEEDORES[[#This Row],[FECHA DE PAGO]]=PROVEEDORES[[#This Row],[FECHA DE FACTURACIÓN]],"DE CONTADO","CRÉDITO")</f>
        <v>CRÉDITO</v>
      </c>
      <c r="B619" s="38" t="str">
        <f>+IF((PROVEEDORES[[#This Row],[FECHA DE PAGO]]-PROVEEDORES[[#This Row],[FECHA DE FACTURACIÓN]])&gt;PROVEEDORES[[#This Row],[PLAZO Días]],"PAGO VENCIDO")</f>
        <v>PAGO VENCIDO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2923945.6174999997</v>
      </c>
      <c r="E619" s="25"/>
      <c r="F619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19" s="289">
        <v>45118</v>
      </c>
      <c r="H619" s="26" t="s">
        <v>1526</v>
      </c>
      <c r="I619" s="289">
        <v>45084</v>
      </c>
      <c r="J619" s="35" t="s">
        <v>903</v>
      </c>
      <c r="K619" s="21">
        <v>458352</v>
      </c>
      <c r="L619" s="21"/>
      <c r="M619" s="22">
        <f>(PROVEEDORES[[#This Row],[SUBTOTAL]]-PROVEEDORES[[#This Row],[descuento sobre subtotal]])*VLOOKUP(PROVEEDORES[[#This Row],[PROVEEDOR]],TERCEROS_INFO[#All],3,FALSE)</f>
        <v>87086.88</v>
      </c>
      <c r="N619" s="23"/>
      <c r="O619" s="22">
        <f>+PROVEEDORES[[#This Row],[Descuento sobre subtotal %]]*(PROVEEDORES[[#This Row],[SUBTOTAL]]-PROVEEDORES[[#This Row],[descuento sobre subtotal]])</f>
        <v>0</v>
      </c>
      <c r="P619" s="72">
        <f>+IF(PROVEEDORES[[#This Row],[SUBTOTAL]]&lt;PROVEEDORES[[#This Row],[base retencion]],0,PROVEEDORES[[#This Row],[retención aplicada]])</f>
        <v>0</v>
      </c>
      <c r="Q619" s="22">
        <f>+PROVEEDORES[[#This Row],[Rete Fuente %]]*(PROVEEDORES[[#This Row],[SUBTOTAL]]-PROVEEDORES[[#This Row],[descuento sobre subtotal]])</f>
        <v>0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545438.88</v>
      </c>
      <c r="S619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1">
        <f ca="1">IF(PROVEEDORES[[#This Row],[FECHA DE PAGO]]=0,TODAY()-PROVEEDORES[[#This Row],[FECHA DE FACTURACIÓN]]-PROVEEDORES[[#This Row],[PLAZO Días]],0)</f>
        <v>0</v>
      </c>
      <c r="U619" s="97" t="str">
        <f>+VLOOKUP(PROVEEDORES[[#This Row],[PROVEEDOR]],Terceros!$A:$D,4,FALSE)</f>
        <v>2,5% con base</v>
      </c>
      <c r="V619" s="98">
        <f>+YEAR(PROVEEDORES[[#This Row],[FECHA DE FACTURACIÓN]])</f>
        <v>2023</v>
      </c>
      <c r="W619" s="98">
        <f>+MATCH(PROVEEDORES[[#This Row],[año facturado]],Retenciones!$1:$1,0)</f>
        <v>6</v>
      </c>
      <c r="X619" s="99">
        <f>+VLOOKUP(PROVEEDORES[[#This Row],[ID RETENCION]],Retenciones!$A$1:$O$25,PROVEEDORES[[#This Row],[indicador de columna]],FALSE)</f>
        <v>1145000</v>
      </c>
      <c r="Y619" s="100">
        <f>+VLOOKUP(PROVEEDORES[[#This Row],[ID RETENCION]],Retenciones!$A$1:$O$25,2,FALSE)</f>
        <v>2.5000000000000001E-2</v>
      </c>
      <c r="Z619" s="103" t="b">
        <f>OR(COUNTIF(PROVEEDORES[[#This Row],[PROVEEDOR]],"*"&amp;'Palabra no opera'!$A$2&amp;"*"))</f>
        <v>0</v>
      </c>
    </row>
    <row r="620" spans="1:26" ht="22.35" customHeight="1" x14ac:dyDescent="0.25">
      <c r="A620" s="205" t="str">
        <f>+IF(PROVEEDORES[[#This Row],[FECHA DE PAGO]]=PROVEEDORES[[#This Row],[FECHA DE FACTURACIÓN]],"DE CONTADO","CRÉDITO")</f>
        <v>CRÉDITO</v>
      </c>
      <c r="B620" s="38" t="str">
        <f>+IF((PROVEEDORES[[#This Row],[FECHA DE PAGO]]-PROVEEDORES[[#This Row],[FECHA DE FACTURACIÓN]])&gt;PROVEEDORES[[#This Row],[PLAZO Días]],"PAGO VENCIDO")</f>
        <v>PAGO VENCIDO</v>
      </c>
      <c r="C620" s="20">
        <f>+VLOOKUP(PROVEEDORES[[#This Row],[PROVEEDOR]],TERCEROS_INFO[#All],2,FALSE)</f>
        <v>30</v>
      </c>
      <c r="D620" s="25">
        <f>+SUMIFS(PROVEEDORES[Total],PROVEEDORES[PROVEEDOR],PROVEEDORES[[#This Row],[PROVEEDOR]],PROVEEDORES[FECHA DE PAGO],"")</f>
        <v>2923945.6174999997</v>
      </c>
      <c r="E620" s="25"/>
      <c r="F620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0" s="289">
        <v>45118</v>
      </c>
      <c r="H620" s="26" t="s">
        <v>1526</v>
      </c>
      <c r="I620" s="289">
        <v>45084</v>
      </c>
      <c r="J620" s="35" t="s">
        <v>904</v>
      </c>
      <c r="K620" s="21">
        <v>128033</v>
      </c>
      <c r="L620" s="21"/>
      <c r="M620" s="22">
        <f>(PROVEEDORES[[#This Row],[SUBTOTAL]]-PROVEEDORES[[#This Row],[descuento sobre subtotal]])*VLOOKUP(PROVEEDORES[[#This Row],[PROVEEDOR]],TERCEROS_INFO[#All],3,FALSE)</f>
        <v>24326.27</v>
      </c>
      <c r="N620" s="23"/>
      <c r="O620" s="22">
        <f>+PROVEEDORES[[#This Row],[Descuento sobre subtotal %]]*(PROVEEDORES[[#This Row],[SUBTOTAL]]-PROVEEDORES[[#This Row],[descuento sobre subtotal]])</f>
        <v>0</v>
      </c>
      <c r="P620" s="72">
        <f>+IF(PROVEEDORES[[#This Row],[SUBTOTAL]]&lt;PROVEEDORES[[#This Row],[base retencion]],0,PROVEEDORES[[#This Row],[retención aplicada]])</f>
        <v>0</v>
      </c>
      <c r="Q620" s="22">
        <f>+PROVEEDORES[[#This Row],[Rete Fuente %]]*(PROVEEDORES[[#This Row],[SUBTOTAL]]-PROVEEDORES[[#This Row],[descuento sobre subtotal]])</f>
        <v>0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152359.26999999999</v>
      </c>
      <c r="S620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1">
        <f ca="1">IF(PROVEEDORES[[#This Row],[FECHA DE PAGO]]=0,TODAY()-PROVEEDORES[[#This Row],[FECHA DE FACTURACIÓN]]-PROVEEDORES[[#This Row],[PLAZO Días]],0)</f>
        <v>0</v>
      </c>
      <c r="U620" s="97" t="str">
        <f>+VLOOKUP(PROVEEDORES[[#This Row],[PROVEEDOR]],Terceros!$A:$D,4,FALSE)</f>
        <v>2,5% con base</v>
      </c>
      <c r="V620" s="98">
        <f>+YEAR(PROVEEDORES[[#This Row],[FECHA DE FACTURACIÓN]])</f>
        <v>2023</v>
      </c>
      <c r="W620" s="98">
        <f>+MATCH(PROVEEDORES[[#This Row],[año facturado]],Retenciones!$1:$1,0)</f>
        <v>6</v>
      </c>
      <c r="X620" s="99">
        <f>+VLOOKUP(PROVEEDORES[[#This Row],[ID RETENCION]],Retenciones!$A$1:$O$25,PROVEEDORES[[#This Row],[indicador de columna]],FALSE)</f>
        <v>1145000</v>
      </c>
      <c r="Y620" s="100">
        <f>+VLOOKUP(PROVEEDORES[[#This Row],[ID RETENCION]],Retenciones!$A$1:$O$25,2,FALSE)</f>
        <v>2.5000000000000001E-2</v>
      </c>
      <c r="Z620" s="103" t="b">
        <f>OR(COUNTIF(PROVEEDORES[[#This Row],[PROVEEDOR]],"*"&amp;'Palabra no opera'!$A$2&amp;"*"))</f>
        <v>0</v>
      </c>
    </row>
    <row r="621" spans="1:26" ht="22.35" customHeight="1" x14ac:dyDescent="0.25">
      <c r="A621" s="65" t="str">
        <f>+IF(PROVEEDORES[[#This Row],[FECHA DE PAGO]]=PROVEEDORES[[#This Row],[FECHA DE FACTURACIÓN]],"DE CONTADO","CRÉDITO")</f>
        <v>CRÉDITO</v>
      </c>
      <c r="B621" s="38" t="str">
        <f>+IF((PROVEEDORES[[#This Row],[FECHA DE PAGO]]-PROVEEDORES[[#This Row],[FECHA DE FACTURACIÓN]])&gt;PROVEEDORES[[#This Row],[PLAZO Días]],"PAGO VENCIDO")</f>
        <v>PAGO VENCIDO</v>
      </c>
      <c r="C621" s="20">
        <f>+VLOOKUP(PROVEEDORES[[#This Row],[PROVEEDOR]],TERCEROS_INFO[#All],2,FALSE)</f>
        <v>30</v>
      </c>
      <c r="D621" s="25">
        <f>+SUMIFS(PROVEEDORES[Total],PROVEEDORES[PROVEEDOR],PROVEEDORES[[#This Row],[PROVEEDOR]],PROVEEDORES[FECHA DE PAGO],"")</f>
        <v>2923945.6174999997</v>
      </c>
      <c r="E621" s="25"/>
      <c r="F621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1" s="289">
        <v>45152</v>
      </c>
      <c r="H621" s="26" t="s">
        <v>1526</v>
      </c>
      <c r="I621" s="289">
        <v>45106</v>
      </c>
      <c r="J621" s="35" t="s">
        <v>917</v>
      </c>
      <c r="K621" s="21">
        <v>1848738</v>
      </c>
      <c r="L621" s="21">
        <v>27997</v>
      </c>
      <c r="M621" s="22">
        <f>(PROVEEDORES[[#This Row],[SUBTOTAL]]-PROVEEDORES[[#This Row],[descuento sobre subtotal]])*VLOOKUP(PROVEEDORES[[#This Row],[PROVEEDOR]],TERCEROS_INFO[#All],3,FALSE)</f>
        <v>345940.79</v>
      </c>
      <c r="N621" s="23"/>
      <c r="O621" s="22">
        <f>+PROVEEDORES[[#This Row],[Descuento sobre subtotal %]]*(PROVEEDORES[[#This Row],[SUBTOTAL]]-PROVEEDORES[[#This Row],[descuento sobre subtotal]])</f>
        <v>0</v>
      </c>
      <c r="P621" s="72">
        <f>+IF(PROVEEDORES[[#This Row],[SUBTOTAL]]&lt;PROVEEDORES[[#This Row],[base retencion]],0,PROVEEDORES[[#This Row],[retención aplicada]])</f>
        <v>2.5000000000000001E-2</v>
      </c>
      <c r="Q621" s="22">
        <f>+PROVEEDORES[[#This Row],[Rete Fuente %]]*(PROVEEDORES[[#This Row],[SUBTOTAL]]-PROVEEDORES[[#This Row],[descuento sobre subtotal]])</f>
        <v>45518.525000000001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2121163.2650000001</v>
      </c>
      <c r="S6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1">
        <f ca="1">IF(PROVEEDORES[[#This Row],[FECHA DE PAGO]]=0,TODAY()-PROVEEDORES[[#This Row],[FECHA DE FACTURACIÓN]]-PROVEEDORES[[#This Row],[PLAZO Días]],0)</f>
        <v>0</v>
      </c>
      <c r="U621" s="97" t="str">
        <f>+VLOOKUP(PROVEEDORES[[#This Row],[PROVEEDOR]],Terceros!$A:$D,4,FALSE)</f>
        <v>2,5% con base</v>
      </c>
      <c r="V621" s="98">
        <f>+YEAR(PROVEEDORES[[#This Row],[FECHA DE FACTURACIÓN]])</f>
        <v>2023</v>
      </c>
      <c r="W621" s="98">
        <f>+MATCH(PROVEEDORES[[#This Row],[año facturado]],Retenciones!$1:$1,0)</f>
        <v>6</v>
      </c>
      <c r="X621" s="99">
        <f>+VLOOKUP(PROVEEDORES[[#This Row],[ID RETENCION]],Retenciones!$A$1:$O$25,PROVEEDORES[[#This Row],[indicador de columna]],FALSE)</f>
        <v>1145000</v>
      </c>
      <c r="Y621" s="100">
        <f>+VLOOKUP(PROVEEDORES[[#This Row],[ID RETENCION]],Retenciones!$A$1:$O$25,2,FALSE)</f>
        <v>2.5000000000000001E-2</v>
      </c>
      <c r="Z621" s="103" t="b">
        <f>OR(COUNTIF(PROVEEDORES[[#This Row],[PROVEEDOR]],"*"&amp;'Palabra no opera'!$A$2&amp;"*"))</f>
        <v>0</v>
      </c>
    </row>
    <row r="622" spans="1:26" ht="22.35" customHeight="1" x14ac:dyDescent="0.25">
      <c r="A622" s="213" t="str">
        <f>+IF(PROVEEDORES[[#This Row],[FECHA DE PAGO]]=PROVEEDORES[[#This Row],[FECHA DE FACTURACIÓN]],"DE CONTADO","CRÉDITO")</f>
        <v>CRÉDITO</v>
      </c>
      <c r="B622" s="38" t="str">
        <f>+IF((PROVEEDORES[[#This Row],[FECHA DE PAGO]]-PROVEEDORES[[#This Row],[FECHA DE FACTURACIÓN]])&gt;PROVEEDORES[[#This Row],[PLAZO Días]],"PAGO VENCIDO")</f>
        <v>PAGO VENCIDO</v>
      </c>
      <c r="C622" s="20">
        <f>+VLOOKUP(PROVEEDORES[[#This Row],[PROVEEDOR]],TERCEROS_INFO[#All],2,FALSE)</f>
        <v>30</v>
      </c>
      <c r="D622" s="25">
        <f>+SUMIFS(PROVEEDORES[Total],PROVEEDORES[PROVEEDOR],PROVEEDORES[[#This Row],[PROVEEDOR]],PROVEEDORES[FECHA DE PAGO],"")</f>
        <v>2923945.6174999997</v>
      </c>
      <c r="E622" s="25"/>
      <c r="F622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2" s="289">
        <v>45166</v>
      </c>
      <c r="H622" s="26" t="s">
        <v>1526</v>
      </c>
      <c r="I622" s="289">
        <v>45121</v>
      </c>
      <c r="J622" s="35" t="s">
        <v>952</v>
      </c>
      <c r="K622" s="21">
        <v>2828983</v>
      </c>
      <c r="L622" s="21"/>
      <c r="M622" s="22">
        <f>(PROVEEDORES[[#This Row],[SUBTOTAL]]-PROVEEDORES[[#This Row],[descuento sobre subtotal]])*VLOOKUP(PROVEEDORES[[#This Row],[PROVEEDOR]],TERCEROS_INFO[#All],3,FALSE)</f>
        <v>537506.77</v>
      </c>
      <c r="N622" s="23"/>
      <c r="O622" s="22">
        <f>+PROVEEDORES[[#This Row],[Descuento sobre subtotal %]]*(PROVEEDORES[[#This Row],[SUBTOTAL]]-PROVEEDORES[[#This Row],[descuento sobre subtotal]])</f>
        <v>0</v>
      </c>
      <c r="P622" s="72">
        <f>+IF(PROVEEDORES[[#This Row],[SUBTOTAL]]&lt;PROVEEDORES[[#This Row],[base retencion]],0,PROVEEDORES[[#This Row],[retención aplicada]])</f>
        <v>2.5000000000000001E-2</v>
      </c>
      <c r="Q622" s="22">
        <f>+PROVEEDORES[[#This Row],[Rete Fuente %]]*(PROVEEDORES[[#This Row],[SUBTOTAL]]-PROVEEDORES[[#This Row],[descuento sobre subtotal]])</f>
        <v>70724.574999999997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3295765.1949999998</v>
      </c>
      <c r="S622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1">
        <f ca="1">IF(PROVEEDORES[[#This Row],[FECHA DE PAGO]]=0,TODAY()-PROVEEDORES[[#This Row],[FECHA DE FACTURACIÓN]]-PROVEEDORES[[#This Row],[PLAZO Días]],0)</f>
        <v>0</v>
      </c>
      <c r="U622" s="97" t="str">
        <f>+VLOOKUP(PROVEEDORES[[#This Row],[PROVEEDOR]],Terceros!$A:$D,4,FALSE)</f>
        <v>2,5% con base</v>
      </c>
      <c r="V622" s="98">
        <f>+YEAR(PROVEEDORES[[#This Row],[FECHA DE FACTURACIÓN]])</f>
        <v>2023</v>
      </c>
      <c r="W622" s="98">
        <f>+MATCH(PROVEEDORES[[#This Row],[año facturado]],Retenciones!$1:$1,0)</f>
        <v>6</v>
      </c>
      <c r="X622" s="99">
        <f>+VLOOKUP(PROVEEDORES[[#This Row],[ID RETENCION]],Retenciones!$A$1:$O$25,PROVEEDORES[[#This Row],[indicador de columna]],FALSE)</f>
        <v>1145000</v>
      </c>
      <c r="Y622" s="100">
        <f>+VLOOKUP(PROVEEDORES[[#This Row],[ID RETENCION]],Retenciones!$A$1:$O$25,2,FALSE)</f>
        <v>2.5000000000000001E-2</v>
      </c>
      <c r="Z622" s="103" t="b">
        <f>OR(COUNTIF(PROVEEDORES[[#This Row],[PROVEEDOR]],"*"&amp;'Palabra no opera'!$A$2&amp;"*"))</f>
        <v>0</v>
      </c>
    </row>
    <row r="623" spans="1:26" ht="22.35" customHeight="1" x14ac:dyDescent="0.25">
      <c r="A623" s="65" t="str">
        <f>+IF(PROVEEDORES[[#This Row],[FECHA DE PAGO]]=PROVEEDORES[[#This Row],[FECHA DE FACTURACIÓN]],"DE CONTADO","CRÉDITO")</f>
        <v>CRÉDITO</v>
      </c>
      <c r="B623" s="38" t="str">
        <f>+IF((PROVEEDORES[[#This Row],[FECHA DE PAGO]]-PROVEEDORES[[#This Row],[FECHA DE FACTURACIÓN]])&gt;PROVEEDORES[[#This Row],[PLAZO Días]],"PAGO VENCIDO")</f>
        <v>PAGO VENCIDO</v>
      </c>
      <c r="C623" s="20">
        <f>+VLOOKUP(PROVEEDORES[[#This Row],[PROVEEDOR]],TERCEROS_INFO[#All],2,FALSE)</f>
        <v>30</v>
      </c>
      <c r="D623" s="25">
        <f>+SUMIFS(PROVEEDORES[Total],PROVEEDORES[PROVEEDOR],PROVEEDORES[[#This Row],[PROVEEDOR]],PROVEEDORES[FECHA DE PAGO],"")</f>
        <v>2923945.6174999997</v>
      </c>
      <c r="E623" s="25"/>
      <c r="F623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3" s="289">
        <v>45166</v>
      </c>
      <c r="H623" s="26" t="s">
        <v>1526</v>
      </c>
      <c r="I623" s="289">
        <v>45132</v>
      </c>
      <c r="J623" s="35" t="s">
        <v>984</v>
      </c>
      <c r="K623" s="21">
        <v>1571429</v>
      </c>
      <c r="L623" s="21"/>
      <c r="M623" s="22">
        <f>(PROVEEDORES[[#This Row],[SUBTOTAL]]-PROVEEDORES[[#This Row],[descuento sobre subtotal]])*VLOOKUP(PROVEEDORES[[#This Row],[PROVEEDOR]],TERCEROS_INFO[#All],3,FALSE)</f>
        <v>298571.51</v>
      </c>
      <c r="N623" s="23"/>
      <c r="O623" s="22">
        <f>+PROVEEDORES[[#This Row],[Descuento sobre subtotal %]]*(PROVEEDORES[[#This Row],[SUBTOTAL]]-PROVEEDORES[[#This Row],[descuento sobre subtotal]])</f>
        <v>0</v>
      </c>
      <c r="P623" s="72">
        <f>+IF(PROVEEDORES[[#This Row],[SUBTOTAL]]&lt;PROVEEDORES[[#This Row],[base retencion]],0,PROVEEDORES[[#This Row],[retención aplicada]])</f>
        <v>2.5000000000000001E-2</v>
      </c>
      <c r="Q623" s="22">
        <f>+PROVEEDORES[[#This Row],[Rete Fuente %]]*(PROVEEDORES[[#This Row],[SUBTOTAL]]-PROVEEDORES[[#This Row],[descuento sobre subtotal]])</f>
        <v>39285.724999999999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1830714.7849999999</v>
      </c>
      <c r="S6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61">
        <f ca="1">IF(PROVEEDORES[[#This Row],[FECHA DE PAGO]]=0,TODAY()-PROVEEDORES[[#This Row],[FECHA DE FACTURACIÓN]]-PROVEEDORES[[#This Row],[PLAZO Días]],0)</f>
        <v>0</v>
      </c>
      <c r="U623" s="97" t="str">
        <f>+VLOOKUP(PROVEEDORES[[#This Row],[PROVEEDOR]],Terceros!$A:$D,4,FALSE)</f>
        <v>2,5% con base</v>
      </c>
      <c r="V623" s="98">
        <f>+YEAR(PROVEEDORES[[#This Row],[FECHA DE FACTURACIÓN]])</f>
        <v>2023</v>
      </c>
      <c r="W623" s="98">
        <f>+MATCH(PROVEEDORES[[#This Row],[año facturado]],Retenciones!$1:$1,0)</f>
        <v>6</v>
      </c>
      <c r="X623" s="99">
        <f>+VLOOKUP(PROVEEDORES[[#This Row],[ID RETENCION]],Retenciones!$A$1:$O$25,PROVEEDORES[[#This Row],[indicador de columna]],FALSE)</f>
        <v>1145000</v>
      </c>
      <c r="Y623" s="100">
        <f>+VLOOKUP(PROVEEDORES[[#This Row],[ID RETENCION]],Retenciones!$A$1:$O$25,2,FALSE)</f>
        <v>2.5000000000000001E-2</v>
      </c>
      <c r="Z623" s="103" t="b">
        <f>OR(COUNTIF(PROVEEDORES[[#This Row],[PROVEEDOR]],"*"&amp;'Palabra no opera'!$A$2&amp;"*"))</f>
        <v>0</v>
      </c>
    </row>
    <row r="624" spans="1:26" ht="22.35" customHeight="1" x14ac:dyDescent="0.25">
      <c r="A624" s="65" t="str">
        <f>+IF(PROVEEDORES[[#This Row],[FECHA DE PAGO]]=PROVEEDORES[[#This Row],[FECHA DE FACTURACIÓN]],"DE CONTADO","CRÉDITO")</f>
        <v>CRÉDITO</v>
      </c>
      <c r="B624" s="38" t="str">
        <f>+IF((PROVEEDORES[[#This Row],[FECHA DE PAGO]]-PROVEEDORES[[#This Row],[FECHA DE FACTURACIÓN]])&gt;PROVEEDORES[[#This Row],[PLAZO Días]],"PAGO VENCIDO")</f>
        <v>PAGO VENCIDO</v>
      </c>
      <c r="C624" s="20">
        <f>+VLOOKUP(PROVEEDORES[[#This Row],[PROVEEDOR]],TERCEROS_INFO[#All],2,FALSE)</f>
        <v>30</v>
      </c>
      <c r="D624" s="25">
        <f>+SUMIFS(PROVEEDORES[Total],PROVEEDORES[PROVEEDOR],PROVEEDORES[[#This Row],[PROVEEDOR]],PROVEEDORES[FECHA DE PAGO],"")</f>
        <v>2923945.6174999997</v>
      </c>
      <c r="E624" s="25"/>
      <c r="F624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4" s="289">
        <v>45190</v>
      </c>
      <c r="H624" s="26" t="s">
        <v>1526</v>
      </c>
      <c r="I624" s="289">
        <v>45139</v>
      </c>
      <c r="J624" s="35" t="s">
        <v>1044</v>
      </c>
      <c r="K624" s="21">
        <v>25562</v>
      </c>
      <c r="L624" s="21"/>
      <c r="M624" s="22">
        <f>(PROVEEDORES[[#This Row],[SUBTOTAL]]-PROVEEDORES[[#This Row],[descuento sobre subtotal]])*VLOOKUP(PROVEEDORES[[#This Row],[PROVEEDOR]],TERCEROS_INFO[#All],3,FALSE)</f>
        <v>4856.78</v>
      </c>
      <c r="N624" s="23"/>
      <c r="O624" s="22">
        <f>+PROVEEDORES[[#This Row],[Descuento sobre subtotal %]]*(PROVEEDORES[[#This Row],[SUBTOTAL]]-PROVEEDORES[[#This Row],[descuento sobre subtotal]])</f>
        <v>0</v>
      </c>
      <c r="P624" s="72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30418.78</v>
      </c>
      <c r="S6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1">
        <f ca="1">IF(PROVEEDORES[[#This Row],[FECHA DE PAGO]]=0,TODAY()-PROVEEDORES[[#This Row],[FECHA DE FACTURACIÓN]]-PROVEEDORES[[#This Row],[PLAZO Días]],0)</f>
        <v>0</v>
      </c>
      <c r="U624" s="97" t="str">
        <f>+VLOOKUP(PROVEEDORES[[#This Row],[PROVEEDOR]],Terceros!$A:$D,4,FALSE)</f>
        <v>2,5% con base</v>
      </c>
      <c r="V624" s="98">
        <f>+YEAR(PROVEEDORES[[#This Row],[FECHA DE FACTURACIÓN]])</f>
        <v>2023</v>
      </c>
      <c r="W624" s="98">
        <f>+MATCH(PROVEEDORES[[#This Row],[año facturado]],Retenciones!$1:$1,0)</f>
        <v>6</v>
      </c>
      <c r="X624" s="99">
        <f>+VLOOKUP(PROVEEDORES[[#This Row],[ID RETENCION]],Retenciones!$A$1:$O$25,PROVEEDORES[[#This Row],[indicador de columna]],FALSE)</f>
        <v>1145000</v>
      </c>
      <c r="Y624" s="100">
        <f>+VLOOKUP(PROVEEDORES[[#This Row],[ID RETENCION]],Retenciones!$A$1:$O$25,2,FALSE)</f>
        <v>2.5000000000000001E-2</v>
      </c>
      <c r="Z624" s="103" t="b">
        <f>OR(COUNTIF(PROVEEDORES[[#This Row],[PROVEEDOR]],"*"&amp;'Palabra no opera'!$A$2&amp;"*"))</f>
        <v>0</v>
      </c>
    </row>
    <row r="625" spans="1:26" ht="22.35" customHeight="1" x14ac:dyDescent="0.25">
      <c r="A625" s="65" t="str">
        <f>+IF(PROVEEDORES[[#This Row],[FECHA DE PAGO]]=PROVEEDORES[[#This Row],[FECHA DE FACTURACIÓN]],"DE CONTADO","CRÉDITO")</f>
        <v>CRÉDITO</v>
      </c>
      <c r="B625" s="38" t="str">
        <f>+IF((PROVEEDORES[[#This Row],[FECHA DE PAGO]]-PROVEEDORES[[#This Row],[FECHA DE FACTURACIÓN]])&gt;PROVEEDORES[[#This Row],[PLAZO Días]],"PAGO VENCIDO")</f>
        <v>PAGO VENCIDO</v>
      </c>
      <c r="C625" s="20">
        <f>+VLOOKUP(PROVEEDORES[[#This Row],[PROVEEDOR]],TERCEROS_INFO[#All],2,FALSE)</f>
        <v>30</v>
      </c>
      <c r="D625" s="25">
        <f>+SUMIFS(PROVEEDORES[Total],PROVEEDORES[PROVEEDOR],PROVEEDORES[[#This Row],[PROVEEDOR]],PROVEEDORES[FECHA DE PAGO],"")</f>
        <v>2923945.6174999997</v>
      </c>
      <c r="E625" s="25"/>
      <c r="F625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5" s="289">
        <v>45194</v>
      </c>
      <c r="H625" s="26" t="s">
        <v>1526</v>
      </c>
      <c r="I625" s="289">
        <v>45162</v>
      </c>
      <c r="J625" s="35" t="s">
        <v>1045</v>
      </c>
      <c r="K625" s="21">
        <v>1877600</v>
      </c>
      <c r="L625" s="21"/>
      <c r="M625" s="22">
        <f>(PROVEEDORES[[#This Row],[SUBTOTAL]]-PROVEEDORES[[#This Row],[descuento sobre subtotal]])*VLOOKUP(PROVEEDORES[[#This Row],[PROVEEDOR]],TERCEROS_INFO[#All],3,FALSE)</f>
        <v>356744</v>
      </c>
      <c r="N625" s="23"/>
      <c r="O625" s="22">
        <f>+PROVEEDORES[[#This Row],[Descuento sobre subtotal %]]*(PROVEEDORES[[#This Row],[SUBTOTAL]]-PROVEEDORES[[#This Row],[descuento sobre subtotal]])</f>
        <v>0</v>
      </c>
      <c r="P625" s="72">
        <f>+IF(PROVEEDORES[[#This Row],[SUBTOTAL]]&lt;PROVEEDORES[[#This Row],[base retencion]],0,PROVEEDORES[[#This Row],[retención aplicada]])</f>
        <v>2.5000000000000001E-2</v>
      </c>
      <c r="Q625" s="22">
        <f>+PROVEEDORES[[#This Row],[Rete Fuente %]]*(PROVEEDORES[[#This Row],[SUBTOTAL]]-PROVEEDORES[[#This Row],[descuento sobre subtotal]])</f>
        <v>46940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2187404</v>
      </c>
      <c r="S6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1">
        <f ca="1">IF(PROVEEDORES[[#This Row],[FECHA DE PAGO]]=0,TODAY()-PROVEEDORES[[#This Row],[FECHA DE FACTURACIÓN]]-PROVEEDORES[[#This Row],[PLAZO Días]],0)</f>
        <v>0</v>
      </c>
      <c r="U625" s="97" t="str">
        <f>+VLOOKUP(PROVEEDORES[[#This Row],[PROVEEDOR]],Terceros!$A:$D,4,FALSE)</f>
        <v>2,5% con base</v>
      </c>
      <c r="V625" s="98">
        <f>+YEAR(PROVEEDORES[[#This Row],[FECHA DE FACTURACIÓN]])</f>
        <v>2023</v>
      </c>
      <c r="W625" s="98">
        <f>+MATCH(PROVEEDORES[[#This Row],[año facturado]],Retenciones!$1:$1,0)</f>
        <v>6</v>
      </c>
      <c r="X625" s="99">
        <f>+VLOOKUP(PROVEEDORES[[#This Row],[ID RETENCION]],Retenciones!$A$1:$O$25,PROVEEDORES[[#This Row],[indicador de columna]],FALSE)</f>
        <v>1145000</v>
      </c>
      <c r="Y625" s="100">
        <f>+VLOOKUP(PROVEEDORES[[#This Row],[ID RETENCION]],Retenciones!$A$1:$O$25,2,FALSE)</f>
        <v>2.5000000000000001E-2</v>
      </c>
      <c r="Z625" s="103" t="b">
        <f>OR(COUNTIF(PROVEEDORES[[#This Row],[PROVEEDOR]],"*"&amp;'Palabra no opera'!$A$2&amp;"*"))</f>
        <v>0</v>
      </c>
    </row>
    <row r="626" spans="1:26" ht="22.35" customHeight="1" x14ac:dyDescent="0.25">
      <c r="A626" s="243" t="str">
        <f>+IF(PROVEEDORES[[#This Row],[FECHA DE PAGO]]=PROVEEDORES[[#This Row],[FECHA DE FACTURACIÓN]],"DE CONTADO","CRÉDITO")</f>
        <v>CRÉDITO</v>
      </c>
      <c r="B626" s="38" t="str">
        <f>+IF((PROVEEDORES[[#This Row],[FECHA DE PAGO]]-PROVEEDORES[[#This Row],[FECHA DE FACTURACIÓN]])&gt;PROVEEDORES[[#This Row],[PLAZO Días]],"PAGO VENCIDO")</f>
        <v>PAGO VENCIDO</v>
      </c>
      <c r="C626" s="20">
        <f>+VLOOKUP(PROVEEDORES[[#This Row],[PROVEEDOR]],TERCEROS_INFO[#All],2,FALSE)</f>
        <v>30</v>
      </c>
      <c r="D626" s="25">
        <f>+SUMIFS(PROVEEDORES[Total],PROVEEDORES[PROVEEDOR],PROVEEDORES[[#This Row],[PROVEEDOR]],PROVEEDORES[FECHA DE PAGO],"")</f>
        <v>2923945.6174999997</v>
      </c>
      <c r="E626" s="25"/>
      <c r="F626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6" s="289">
        <v>45244</v>
      </c>
      <c r="H626" s="26" t="s">
        <v>1526</v>
      </c>
      <c r="I626" s="289">
        <v>45196</v>
      </c>
      <c r="J626" s="35" t="s">
        <v>1142</v>
      </c>
      <c r="K626" s="21">
        <v>2740335</v>
      </c>
      <c r="L626" s="21"/>
      <c r="M626" s="22">
        <f>(PROVEEDORES[[#This Row],[SUBTOTAL]]-PROVEEDORES[[#This Row],[descuento sobre subtotal]])*VLOOKUP(PROVEEDORES[[#This Row],[PROVEEDOR]],TERCEROS_INFO[#All],3,FALSE)</f>
        <v>520663.65</v>
      </c>
      <c r="N626" s="23"/>
      <c r="O626" s="22">
        <f>+PROVEEDORES[[#This Row],[Descuento sobre subtotal %]]*(PROVEEDORES[[#This Row],[SUBTOTAL]]-PROVEEDORES[[#This Row],[descuento sobre subtotal]])</f>
        <v>0</v>
      </c>
      <c r="P626" s="72">
        <f>+IF(PROVEEDORES[[#This Row],[SUBTOTAL]]&lt;PROVEEDORES[[#This Row],[base retencion]],0,PROVEEDORES[[#This Row],[retención aplicada]])</f>
        <v>2.5000000000000001E-2</v>
      </c>
      <c r="Q626" s="22">
        <f>+PROVEEDORES[[#This Row],[Rete Fuente %]]*(PROVEEDORES[[#This Row],[SUBTOTAL]]-PROVEEDORES[[#This Row],[descuento sobre subtotal]])</f>
        <v>68508.375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3192490.2749999999</v>
      </c>
      <c r="S626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1">
        <f ca="1">IF(PROVEEDORES[[#This Row],[FECHA DE PAGO]]=0,TODAY()-PROVEEDORES[[#This Row],[FECHA DE FACTURACIÓN]]-PROVEEDORES[[#This Row],[PLAZO Días]],0)</f>
        <v>0</v>
      </c>
      <c r="U626" s="97" t="str">
        <f>+VLOOKUP(PROVEEDORES[[#This Row],[PROVEEDOR]],Terceros!$A:$D,4,FALSE)</f>
        <v>2,5% con base</v>
      </c>
      <c r="V626" s="98">
        <f>+YEAR(PROVEEDORES[[#This Row],[FECHA DE FACTURACIÓN]])</f>
        <v>2023</v>
      </c>
      <c r="W626" s="98">
        <f>+MATCH(PROVEEDORES[[#This Row],[año facturado]],Retenciones!$1:$1,0)</f>
        <v>6</v>
      </c>
      <c r="X626" s="99">
        <f>+VLOOKUP(PROVEEDORES[[#This Row],[ID RETENCION]],Retenciones!$A$1:$O$25,PROVEEDORES[[#This Row],[indicador de columna]],FALSE)</f>
        <v>1145000</v>
      </c>
      <c r="Y626" s="100">
        <f>+VLOOKUP(PROVEEDORES[[#This Row],[ID RETENCION]],Retenciones!$A$1:$O$25,2,FALSE)</f>
        <v>2.5000000000000001E-2</v>
      </c>
      <c r="Z626" s="103" t="b">
        <f>OR(COUNTIF(PROVEEDORES[[#This Row],[PROVEEDOR]],"*"&amp;'Palabra no opera'!$A$2&amp;"*"))</f>
        <v>0</v>
      </c>
    </row>
    <row r="627" spans="1:26" ht="22.35" customHeight="1" x14ac:dyDescent="0.25">
      <c r="A627" s="65" t="str">
        <f>+IF(PROVEEDORES[[#This Row],[FECHA DE PAGO]]=PROVEEDORES[[#This Row],[FECHA DE FACTURACIÓN]],"DE CONTADO","CRÉDITO")</f>
        <v>CRÉDITO</v>
      </c>
      <c r="B627" s="38" t="str">
        <f>+IF((PROVEEDORES[[#This Row],[FECHA DE PAGO]]-PROVEEDORES[[#This Row],[FECHA DE FACTURACIÓN]])&gt;PROVEEDORES[[#This Row],[PLAZO Días]],"PAGO VENCIDO")</f>
        <v>PAGO VENCIDO</v>
      </c>
      <c r="C627" s="20">
        <f>+VLOOKUP(PROVEEDORES[[#This Row],[PROVEEDOR]],TERCEROS_INFO[#All],2,FALSE)</f>
        <v>30</v>
      </c>
      <c r="D627" s="25">
        <f>+SUMIFS(PROVEEDORES[Total],PROVEEDORES[PROVEEDOR],PROVEEDORES[[#This Row],[PROVEEDOR]],PROVEEDORES[FECHA DE PAGO],"")</f>
        <v>2923945.6174999997</v>
      </c>
      <c r="E627" s="25"/>
      <c r="F627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7" s="289">
        <v>45244</v>
      </c>
      <c r="H627" s="26" t="s">
        <v>1526</v>
      </c>
      <c r="I627" s="289">
        <v>45203</v>
      </c>
      <c r="J627" s="35" t="s">
        <v>1206</v>
      </c>
      <c r="K627" s="21">
        <v>168068</v>
      </c>
      <c r="L627" s="21"/>
      <c r="M627" s="22">
        <f>(PROVEEDORES[[#This Row],[SUBTOTAL]]-PROVEEDORES[[#This Row],[descuento sobre subtotal]])*VLOOKUP(PROVEEDORES[[#This Row],[PROVEEDOR]],TERCEROS_INFO[#All],3,FALSE)</f>
        <v>31932.920000000002</v>
      </c>
      <c r="N627" s="23"/>
      <c r="O627" s="22">
        <f>+PROVEEDORES[[#This Row],[Descuento sobre subtotal %]]*(PROVEEDORES[[#This Row],[SUBTOTAL]]-PROVEEDORES[[#This Row],[descuento sobre subtotal]])</f>
        <v>0</v>
      </c>
      <c r="P627" s="72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200000.92</v>
      </c>
      <c r="S6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1">
        <f ca="1">IF(PROVEEDORES[[#This Row],[FECHA DE PAGO]]=0,TODAY()-PROVEEDORES[[#This Row],[FECHA DE FACTURACIÓN]]-PROVEEDORES[[#This Row],[PLAZO Días]],0)</f>
        <v>0</v>
      </c>
      <c r="U627" s="97" t="str">
        <f>+VLOOKUP(PROVEEDORES[[#This Row],[PROVEEDOR]],Terceros!$A:$D,4,FALSE)</f>
        <v>2,5% con base</v>
      </c>
      <c r="V627" s="98">
        <f>+YEAR(PROVEEDORES[[#This Row],[FECHA DE FACTURACIÓN]])</f>
        <v>2023</v>
      </c>
      <c r="W627" s="98">
        <f>+MATCH(PROVEEDORES[[#This Row],[año facturado]],Retenciones!$1:$1,0)</f>
        <v>6</v>
      </c>
      <c r="X627" s="99">
        <f>+VLOOKUP(PROVEEDORES[[#This Row],[ID RETENCION]],Retenciones!$A$1:$O$25,PROVEEDORES[[#This Row],[indicador de columna]],FALSE)</f>
        <v>1145000</v>
      </c>
      <c r="Y627" s="100">
        <f>+VLOOKUP(PROVEEDORES[[#This Row],[ID RETENCION]],Retenciones!$A$1:$O$25,2,FALSE)</f>
        <v>2.5000000000000001E-2</v>
      </c>
      <c r="Z627" s="103" t="b">
        <f>OR(COUNTIF(PROVEEDORES[[#This Row],[PROVEEDOR]],"*"&amp;'Palabra no opera'!$A$2&amp;"*"))</f>
        <v>0</v>
      </c>
    </row>
    <row r="628" spans="1:26" ht="22.35" customHeight="1" x14ac:dyDescent="0.25">
      <c r="A628" s="65" t="str">
        <f>+IF(PROVEEDORES[[#This Row],[FECHA DE PAGO]]=PROVEEDORES[[#This Row],[FECHA DE FACTURACIÓN]],"DE CONTADO","CRÉDITO")</f>
        <v>CRÉDITO</v>
      </c>
      <c r="B628" s="38" t="str">
        <f>+IF((PROVEEDORES[[#This Row],[FECHA DE PAGO]]-PROVEEDORES[[#This Row],[FECHA DE FACTURACIÓN]])&gt;PROVEEDORES[[#This Row],[PLAZO Días]],"PAGO VENCIDO")</f>
        <v>PAGO VENCIDO</v>
      </c>
      <c r="C628" s="20">
        <f>+VLOOKUP(PROVEEDORES[[#This Row],[PROVEEDOR]],TERCEROS_INFO[#All],2,FALSE)</f>
        <v>30</v>
      </c>
      <c r="D628" s="25">
        <f>+SUMIFS(PROVEEDORES[Total],PROVEEDORES[PROVEEDOR],PROVEEDORES[[#This Row],[PROVEEDOR]],PROVEEDORES[FECHA DE PAGO],"")</f>
        <v>2923945.6174999997</v>
      </c>
      <c r="E628" s="25"/>
      <c r="F628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8" s="289">
        <v>45278</v>
      </c>
      <c r="H628" s="26" t="s">
        <v>1526</v>
      </c>
      <c r="I628" s="289">
        <v>45240</v>
      </c>
      <c r="J628" s="35" t="s">
        <v>1317</v>
      </c>
      <c r="K628" s="21">
        <v>105189</v>
      </c>
      <c r="L628" s="21"/>
      <c r="M628" s="22">
        <f>(PROVEEDORES[[#This Row],[SUBTOTAL]]-PROVEEDORES[[#This Row],[descuento sobre subtotal]])*VLOOKUP(PROVEEDORES[[#This Row],[PROVEEDOR]],TERCEROS_INFO[#All],3,FALSE)</f>
        <v>19985.91</v>
      </c>
      <c r="N628" s="23"/>
      <c r="O628" s="22">
        <f>+PROVEEDORES[[#This Row],[Descuento sobre subtotal %]]*(PROVEEDORES[[#This Row],[SUBTOTAL]]-PROVEEDORES[[#This Row],[descuento sobre subtotal]])</f>
        <v>0</v>
      </c>
      <c r="P628" s="72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125174.91</v>
      </c>
      <c r="S6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1">
        <f ca="1">IF(PROVEEDORES[[#This Row],[FECHA DE PAGO]]=0,TODAY()-PROVEEDORES[[#This Row],[FECHA DE FACTURACIÓN]]-PROVEEDORES[[#This Row],[PLAZO Días]],0)</f>
        <v>0</v>
      </c>
      <c r="U628" s="97" t="str">
        <f>+VLOOKUP(PROVEEDORES[[#This Row],[PROVEEDOR]],Terceros!$A:$D,4,FALSE)</f>
        <v>2,5% con base</v>
      </c>
      <c r="V628" s="98">
        <f>+YEAR(PROVEEDORES[[#This Row],[FECHA DE FACTURACIÓN]])</f>
        <v>2023</v>
      </c>
      <c r="W628" s="98">
        <f>+MATCH(PROVEEDORES[[#This Row],[año facturado]],Retenciones!$1:$1,0)</f>
        <v>6</v>
      </c>
      <c r="X628" s="99">
        <f>+VLOOKUP(PROVEEDORES[[#This Row],[ID RETENCION]],Retenciones!$A$1:$O$25,PROVEEDORES[[#This Row],[indicador de columna]],FALSE)</f>
        <v>1145000</v>
      </c>
      <c r="Y628" s="100">
        <f>+VLOOKUP(PROVEEDORES[[#This Row],[ID RETENCION]],Retenciones!$A$1:$O$25,2,FALSE)</f>
        <v>2.5000000000000001E-2</v>
      </c>
      <c r="Z628" s="103" t="b">
        <f>OR(COUNTIF(PROVEEDORES[[#This Row],[PROVEEDOR]],"*"&amp;'Palabra no opera'!$A$2&amp;"*"))</f>
        <v>0</v>
      </c>
    </row>
    <row r="629" spans="1:26" ht="22.35" customHeight="1" x14ac:dyDescent="0.25">
      <c r="A629" s="65" t="str">
        <f>+IF(PROVEEDORES[[#This Row],[FECHA DE PAGO]]=PROVEEDORES[[#This Row],[FECHA DE FACTURACIÓN]],"DE CONTADO","CRÉDITO")</f>
        <v>CRÉDITO</v>
      </c>
      <c r="B629" s="38" t="str">
        <f>+IF((PROVEEDORES[[#This Row],[FECHA DE PAGO]]-PROVEEDORES[[#This Row],[FECHA DE FACTURACIÓN]])&gt;PROVEEDORES[[#This Row],[PLAZO Días]],"PAGO VENCIDO")</f>
        <v>PAGO VENCIDO</v>
      </c>
      <c r="C629" s="20">
        <f>+VLOOKUP(PROVEEDORES[[#This Row],[PROVEEDOR]],TERCEROS_INFO[#All],2,FALSE)</f>
        <v>30</v>
      </c>
      <c r="D629" s="25">
        <f>+SUMIFS(PROVEEDORES[Total],PROVEEDORES[PROVEEDOR],PROVEEDORES[[#This Row],[PROVEEDOR]],PROVEEDORES[FECHA DE PAGO],"")</f>
        <v>2923945.6174999997</v>
      </c>
      <c r="E629" s="25"/>
      <c r="F629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29" s="289">
        <v>45278</v>
      </c>
      <c r="H629" s="26" t="s">
        <v>1526</v>
      </c>
      <c r="I629" s="289">
        <v>45245</v>
      </c>
      <c r="J629" s="35" t="s">
        <v>1318</v>
      </c>
      <c r="K629" s="21">
        <v>3617549</v>
      </c>
      <c r="L629" s="21"/>
      <c r="M629" s="22">
        <f>(PROVEEDORES[[#This Row],[SUBTOTAL]]-PROVEEDORES[[#This Row],[descuento sobre subtotal]])*VLOOKUP(PROVEEDORES[[#This Row],[PROVEEDOR]],TERCEROS_INFO[#All],3,FALSE)</f>
        <v>687334.31</v>
      </c>
      <c r="N629" s="23"/>
      <c r="O629" s="22">
        <f>+PROVEEDORES[[#This Row],[Descuento sobre subtotal %]]*(PROVEEDORES[[#This Row],[SUBTOTAL]]-PROVEEDORES[[#This Row],[descuento sobre subtotal]])</f>
        <v>0</v>
      </c>
      <c r="P629" s="72">
        <f>+IF(PROVEEDORES[[#This Row],[SUBTOTAL]]&lt;PROVEEDORES[[#This Row],[base retencion]],0,PROVEEDORES[[#This Row],[retención aplicada]])</f>
        <v>2.5000000000000001E-2</v>
      </c>
      <c r="Q629" s="22">
        <f>+PROVEEDORES[[#This Row],[Rete Fuente %]]*(PROVEEDORES[[#This Row],[SUBTOTAL]]-PROVEEDORES[[#This Row],[descuento sobre subtotal]])</f>
        <v>90438.725000000006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4214444.5850000009</v>
      </c>
      <c r="S6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1">
        <f ca="1">IF(PROVEEDORES[[#This Row],[FECHA DE PAGO]]=0,TODAY()-PROVEEDORES[[#This Row],[FECHA DE FACTURACIÓN]]-PROVEEDORES[[#This Row],[PLAZO Días]],0)</f>
        <v>0</v>
      </c>
      <c r="U629" s="97" t="str">
        <f>+VLOOKUP(PROVEEDORES[[#This Row],[PROVEEDOR]],Terceros!$A:$D,4,FALSE)</f>
        <v>2,5% con base</v>
      </c>
      <c r="V629" s="98">
        <f>+YEAR(PROVEEDORES[[#This Row],[FECHA DE FACTURACIÓN]])</f>
        <v>2023</v>
      </c>
      <c r="W629" s="98">
        <f>+MATCH(PROVEEDORES[[#This Row],[año facturado]],Retenciones!$1:$1,0)</f>
        <v>6</v>
      </c>
      <c r="X629" s="99">
        <f>+VLOOKUP(PROVEEDORES[[#This Row],[ID RETENCION]],Retenciones!$A$1:$O$25,PROVEEDORES[[#This Row],[indicador de columna]],FALSE)</f>
        <v>1145000</v>
      </c>
      <c r="Y629" s="100">
        <f>+VLOOKUP(PROVEEDORES[[#This Row],[ID RETENCION]],Retenciones!$A$1:$O$25,2,FALSE)</f>
        <v>2.5000000000000001E-2</v>
      </c>
      <c r="Z629" s="103" t="b">
        <f>OR(COUNTIF(PROVEEDORES[[#This Row],[PROVEEDOR]],"*"&amp;'Palabra no opera'!$A$2&amp;"*"))</f>
        <v>0</v>
      </c>
    </row>
    <row r="630" spans="1:26" ht="22.35" customHeight="1" x14ac:dyDescent="0.25">
      <c r="A630" s="65" t="str">
        <f>+IF(PROVEEDORES[[#This Row],[FECHA DE PAGO]]=PROVEEDORES[[#This Row],[FECHA DE FACTURACIÓN]],"DE CONTADO","CRÉDITO")</f>
        <v>CRÉDITO</v>
      </c>
      <c r="B630" s="38" t="str">
        <f>+IF((PROVEEDORES[[#This Row],[FECHA DE PAGO]]-PROVEEDORES[[#This Row],[FECHA DE FACTURACIÓN]])&gt;PROVEEDORES[[#This Row],[PLAZO Días]],"PAGO VENCIDO")</f>
        <v>PAGO VENCIDO</v>
      </c>
      <c r="C630" s="20">
        <f>+VLOOKUP(PROVEEDORES[[#This Row],[PROVEEDOR]],TERCEROS_INFO[#All],2,FALSE)</f>
        <v>30</v>
      </c>
      <c r="D630" s="25">
        <f>+SUMIFS(PROVEEDORES[Total],PROVEEDORES[PROVEEDOR],PROVEEDORES[[#This Row],[PROVEEDOR]],PROVEEDORES[FECHA DE PAGO],"")</f>
        <v>2923945.6174999997</v>
      </c>
      <c r="E630" s="25"/>
      <c r="F630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30" s="289">
        <v>45310</v>
      </c>
      <c r="H630" s="26" t="s">
        <v>1526</v>
      </c>
      <c r="I630" s="289">
        <v>45272</v>
      </c>
      <c r="J630" s="35" t="s">
        <v>1416</v>
      </c>
      <c r="K630" s="21">
        <v>1577674</v>
      </c>
      <c r="L630" s="21"/>
      <c r="M630" s="22">
        <f>(PROVEEDORES[[#This Row],[SUBTOTAL]]-PROVEEDORES[[#This Row],[descuento sobre subtotal]])*VLOOKUP(PROVEEDORES[[#This Row],[PROVEEDOR]],TERCEROS_INFO[#All],3,FALSE)</f>
        <v>299758.06</v>
      </c>
      <c r="N630" s="23"/>
      <c r="O630" s="22">
        <f>+PROVEEDORES[[#This Row],[Descuento sobre subtotal %]]*(PROVEEDORES[[#This Row],[SUBTOTAL]]-PROVEEDORES[[#This Row],[descuento sobre subtotal]])</f>
        <v>0</v>
      </c>
      <c r="P630" s="72">
        <f>+IF(PROVEEDORES[[#This Row],[SUBTOTAL]]&lt;PROVEEDORES[[#This Row],[base retencion]],0,PROVEEDORES[[#This Row],[retención aplicada]])</f>
        <v>2.5000000000000001E-2</v>
      </c>
      <c r="Q630" s="22">
        <f>+PROVEEDORES[[#This Row],[Rete Fuente %]]*(PROVEEDORES[[#This Row],[SUBTOTAL]]-PROVEEDORES[[#This Row],[descuento sobre subtotal]])</f>
        <v>39441.850000000006</v>
      </c>
      <c r="R630" s="21">
        <f>+PROVEEDORES[[#This Row],[SUBTOTAL]]+PROVEEDORES[[#This Row],[IVA 19%]]-PROVEEDORES[[#This Row],[descuento sobre subtotal]]-PROVEEDORES[[#This Row],[Descuento sobre subtotal $2]]-PROVEEDORES[[#This Row],[Rete Fuente $]]</f>
        <v>1837990.21</v>
      </c>
      <c r="S6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1">
        <f ca="1">IF(PROVEEDORES[[#This Row],[FECHA DE PAGO]]=0,TODAY()-PROVEEDORES[[#This Row],[FECHA DE FACTURACIÓN]]-PROVEEDORES[[#This Row],[PLAZO Días]],0)</f>
        <v>0</v>
      </c>
      <c r="U630" s="97" t="str">
        <f>+VLOOKUP(PROVEEDORES[[#This Row],[PROVEEDOR]],Terceros!$A:$D,4,FALSE)</f>
        <v>2,5% con base</v>
      </c>
      <c r="V630" s="98">
        <f>+YEAR(PROVEEDORES[[#This Row],[FECHA DE FACTURACIÓN]])</f>
        <v>2023</v>
      </c>
      <c r="W630" s="98">
        <f>+MATCH(PROVEEDORES[[#This Row],[año facturado]],Retenciones!$1:$1,0)</f>
        <v>6</v>
      </c>
      <c r="X630" s="99">
        <f>+VLOOKUP(PROVEEDORES[[#This Row],[ID RETENCION]],Retenciones!$A$1:$O$25,PROVEEDORES[[#This Row],[indicador de columna]],FALSE)</f>
        <v>1145000</v>
      </c>
      <c r="Y630" s="100">
        <f>+VLOOKUP(PROVEEDORES[[#This Row],[ID RETENCION]],Retenciones!$A$1:$O$25,2,FALSE)</f>
        <v>2.5000000000000001E-2</v>
      </c>
      <c r="Z630" s="103" t="b">
        <f>OR(COUNTIF(PROVEEDORES[[#This Row],[PROVEEDOR]],"*"&amp;'Palabra no opera'!$A$2&amp;"*"))</f>
        <v>0</v>
      </c>
    </row>
    <row r="631" spans="1:26" ht="22.35" customHeight="1" x14ac:dyDescent="0.25">
      <c r="A631" s="65" t="str">
        <f>+IF(PROVEEDORES[[#This Row],[FECHA DE PAGO]]=PROVEEDORES[[#This Row],[FECHA DE FACTURACIÓN]],"DE CONTADO","CRÉDITO")</f>
        <v>CRÉDITO</v>
      </c>
      <c r="B631" s="38" t="str">
        <f>+IF((PROVEEDORES[[#This Row],[FECHA DE PAGO]]-PROVEEDORES[[#This Row],[FECHA DE FACTURACIÓN]])&gt;PROVEEDORES[[#This Row],[PLAZO Días]],"PAGO VENCIDO")</f>
        <v>PAGO VENCIDO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2923945.6174999997</v>
      </c>
      <c r="E631" s="25"/>
      <c r="F631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31" s="289">
        <v>45317</v>
      </c>
      <c r="H631" s="26" t="s">
        <v>1526</v>
      </c>
      <c r="I631" s="289">
        <v>45280</v>
      </c>
      <c r="J631" s="35" t="s">
        <v>1437</v>
      </c>
      <c r="K631" s="21">
        <v>616355</v>
      </c>
      <c r="L631" s="21"/>
      <c r="M631" s="22">
        <f>(PROVEEDORES[[#This Row],[SUBTOTAL]]-PROVEEDORES[[#This Row],[descuento sobre subtotal]])*VLOOKUP(PROVEEDORES[[#This Row],[PROVEEDOR]],TERCEROS_INFO[#All],3,FALSE)</f>
        <v>117107.45</v>
      </c>
      <c r="N631" s="23"/>
      <c r="O631" s="22">
        <f>+PROVEEDORES[[#This Row],[Descuento sobre subtotal %]]*(PROVEEDORES[[#This Row],[SUBTOTAL]]-PROVEEDORES[[#This Row],[descuento sobre subtotal]])</f>
        <v>0</v>
      </c>
      <c r="P631" s="72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733462.45</v>
      </c>
      <c r="S6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1">
        <f ca="1">IF(PROVEEDORES[[#This Row],[FECHA DE PAGO]]=0,TODAY()-PROVEEDORES[[#This Row],[FECHA DE FACTURACIÓN]]-PROVEEDORES[[#This Row],[PLAZO Días]],0)</f>
        <v>0</v>
      </c>
      <c r="U631" s="97" t="str">
        <f>+VLOOKUP(PROVEEDORES[[#This Row],[PROVEEDOR]],Terceros!$A:$D,4,FALSE)</f>
        <v>2,5% con base</v>
      </c>
      <c r="V631" s="98">
        <f>+YEAR(PROVEEDORES[[#This Row],[FECHA DE FACTURACIÓN]])</f>
        <v>2023</v>
      </c>
      <c r="W631" s="98">
        <f>+MATCH(PROVEEDORES[[#This Row],[año facturado]],Retenciones!$1:$1,0)</f>
        <v>6</v>
      </c>
      <c r="X631" s="99">
        <f>+VLOOKUP(PROVEEDORES[[#This Row],[ID RETENCION]],Retenciones!$A$1:$O$25,PROVEEDORES[[#This Row],[indicador de columna]],FALSE)</f>
        <v>1145000</v>
      </c>
      <c r="Y631" s="100">
        <f>+VLOOKUP(PROVEEDORES[[#This Row],[ID RETENCION]],Retenciones!$A$1:$O$25,2,FALSE)</f>
        <v>2.5000000000000001E-2</v>
      </c>
      <c r="Z631" s="103" t="b">
        <f>OR(COUNTIF(PROVEEDORES[[#This Row],[PROVEEDOR]],"*"&amp;'Palabra no opera'!$A$2&amp;"*"))</f>
        <v>0</v>
      </c>
    </row>
    <row r="632" spans="1:26" ht="22.35" customHeight="1" x14ac:dyDescent="0.25">
      <c r="A632" s="65" t="str">
        <f>+IF(PROVEEDORES[[#This Row],[FECHA DE PAGO]]=PROVEEDORES[[#This Row],[FECHA DE FACTURACIÓN]],"DE CONTADO","CRÉDITO")</f>
        <v>CRÉDITO</v>
      </c>
      <c r="B632" s="38" t="str">
        <f>+IF((PROVEEDORES[[#This Row],[FECHA DE PAGO]]-PROVEEDORES[[#This Row],[FECHA DE FACTURACIÓN]])&gt;PROVEEDORES[[#This Row],[PLAZO Días]],"PAGO VENCIDO")</f>
        <v>PAGO VENCIDO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2923945.6174999997</v>
      </c>
      <c r="E632" s="25"/>
      <c r="F632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32" s="289">
        <v>45317</v>
      </c>
      <c r="H632" s="26" t="s">
        <v>1526</v>
      </c>
      <c r="I632" s="289">
        <v>45282</v>
      </c>
      <c r="J632" s="35" t="s">
        <v>1439</v>
      </c>
      <c r="K632" s="21">
        <v>1308311</v>
      </c>
      <c r="L632" s="21"/>
      <c r="M632" s="22">
        <f>(PROVEEDORES[[#This Row],[SUBTOTAL]]-PROVEEDORES[[#This Row],[descuento sobre subtotal]])*VLOOKUP(PROVEEDORES[[#This Row],[PROVEEDOR]],TERCEROS_INFO[#All],3,FALSE)</f>
        <v>248579.09</v>
      </c>
      <c r="N632" s="23"/>
      <c r="O632" s="22">
        <f>+PROVEEDORES[[#This Row],[Descuento sobre subtotal %]]*(PROVEEDORES[[#This Row],[SUBTOTAL]]-PROVEEDORES[[#This Row],[descuento sobre subtotal]])</f>
        <v>0</v>
      </c>
      <c r="P632" s="72">
        <f>+IF(PROVEEDORES[[#This Row],[SUBTOTAL]]&lt;PROVEEDORES[[#This Row],[base retencion]],0,PROVEEDORES[[#This Row],[retención aplicada]])</f>
        <v>2.5000000000000001E-2</v>
      </c>
      <c r="Q632" s="22">
        <f>+PROVEEDORES[[#This Row],[Rete Fuente %]]*(PROVEEDORES[[#This Row],[SUBTOTAL]]-PROVEEDORES[[#This Row],[descuento sobre subtotal]])</f>
        <v>32707.775000000001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1524182.3150000002</v>
      </c>
      <c r="S6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1">
        <f ca="1">IF(PROVEEDORES[[#This Row],[FECHA DE PAGO]]=0,TODAY()-PROVEEDORES[[#This Row],[FECHA DE FACTURACIÓN]]-PROVEEDORES[[#This Row],[PLAZO Días]],0)</f>
        <v>0</v>
      </c>
      <c r="U632" s="97" t="str">
        <f>+VLOOKUP(PROVEEDORES[[#This Row],[PROVEEDOR]],Terceros!$A:$D,4,FALSE)</f>
        <v>2,5% con base</v>
      </c>
      <c r="V632" s="98">
        <f>+YEAR(PROVEEDORES[[#This Row],[FECHA DE FACTURACIÓN]])</f>
        <v>2023</v>
      </c>
      <c r="W632" s="98">
        <f>+MATCH(PROVEEDORES[[#This Row],[año facturado]],Retenciones!$1:$1,0)</f>
        <v>6</v>
      </c>
      <c r="X632" s="99">
        <f>+VLOOKUP(PROVEEDORES[[#This Row],[ID RETENCION]],Retenciones!$A$1:$O$25,PROVEEDORES[[#This Row],[indicador de columna]],FALSE)</f>
        <v>1145000</v>
      </c>
      <c r="Y632" s="100">
        <f>+VLOOKUP(PROVEEDORES[[#This Row],[ID RETENCION]],Retenciones!$A$1:$O$25,2,FALSE)</f>
        <v>2.5000000000000001E-2</v>
      </c>
      <c r="Z632" s="103" t="b">
        <f>OR(COUNTIF(PROVEEDORES[[#This Row],[PROVEEDOR]],"*"&amp;'Palabra no opera'!$A$2&amp;"*"))</f>
        <v>0</v>
      </c>
    </row>
    <row r="633" spans="1:26" ht="22.35" customHeight="1" x14ac:dyDescent="0.25">
      <c r="A633" s="262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3436655.6310000001</v>
      </c>
      <c r="E633" s="25"/>
      <c r="F633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633" s="26" t="s">
        <v>32</v>
      </c>
      <c r="I633" s="289">
        <v>45254</v>
      </c>
      <c r="J633" s="35" t="s">
        <v>1302</v>
      </c>
      <c r="K633" s="21">
        <v>-117311</v>
      </c>
      <c r="L633" s="21"/>
      <c r="M633" s="22">
        <f>(PROVEEDORES[[#This Row],[SUBTOTAL]]-PROVEEDORES[[#This Row],[descuento sobre subtotal]])*VLOOKUP(PROVEEDORES[[#This Row],[PROVEEDOR]],TERCEROS_INFO[#All],3,FALSE)</f>
        <v>-22289.09</v>
      </c>
      <c r="N633" s="23"/>
      <c r="O633" s="22">
        <f>+PROVEEDORES[[#This Row],[Descuento sobre subtotal %]]*(PROVEEDORES[[#This Row],[SUBTOTAL]]-PROVEEDORES[[#This Row],[descuento sobre subtotal]])</f>
        <v>0</v>
      </c>
      <c r="P633" s="72">
        <f>+IF(PROVEEDORES[[#This Row],[SUBTOTAL]]&lt;PROVEEDORES[[#This Row],[base retencion]],0,PROVEEDORES[[#This Row],[retención aplicada]])</f>
        <v>0</v>
      </c>
      <c r="Q633" s="22">
        <f>+PROVEEDORES[[#This Row],[Rete Fuente %]]*(PROVEEDORES[[#This Row],[SUBTOTAL]]-PROVEEDORES[[#This Row],[descuento sobre subtotal]])</f>
        <v>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-139600.09</v>
      </c>
      <c r="S633" s="26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33" s="61">
        <f ca="1">IF(PROVEEDORES[[#This Row],[FECHA DE PAGO]]=0,TODAY()-PROVEEDORES[[#This Row],[FECHA DE FACTURACIÓN]]-PROVEEDORES[[#This Row],[PLAZO Días]],0)</f>
        <v>44</v>
      </c>
      <c r="U633" s="97" t="str">
        <f>+VLOOKUP(PROVEEDORES[[#This Row],[PROVEEDOR]],Terceros!$A:$D,4,FALSE)</f>
        <v>2,5% con base</v>
      </c>
      <c r="V633" s="98">
        <f>+YEAR(PROVEEDORES[[#This Row],[FECHA DE FACTURACIÓN]])</f>
        <v>2023</v>
      </c>
      <c r="W633" s="98">
        <f>+MATCH(PROVEEDORES[[#This Row],[año facturado]],Retenciones!$1:$1,0)</f>
        <v>6</v>
      </c>
      <c r="X633" s="99">
        <f>+VLOOKUP(PROVEEDORES[[#This Row],[ID RETENCION]],Retenciones!$A$1:$O$25,PROVEEDORES[[#This Row],[indicador de columna]],FALSE)</f>
        <v>1145000</v>
      </c>
      <c r="Y633" s="100">
        <f>+VLOOKUP(PROVEEDORES[[#This Row],[ID RETENCION]],Retenciones!$A$1:$O$25,2,FALSE)</f>
        <v>2.5000000000000001E-2</v>
      </c>
      <c r="Z633" s="103" t="b">
        <f>OR(COUNTIF(PROVEEDORES[[#This Row],[PROVEEDOR]],"*"&amp;'Palabra no opera'!$A$2&amp;"*"))</f>
        <v>0</v>
      </c>
    </row>
    <row r="634" spans="1:26" ht="22.35" customHeight="1" x14ac:dyDescent="0.25">
      <c r="A634" s="314" t="str">
        <f>+IF(PROVEEDORES[[#This Row],[FECHA DE PAGO]]=PROVEEDORES[[#This Row],[FECHA DE FACTURACIÓN]],"DE CONTADO","CRÉDITO")</f>
        <v>CRÉDITO</v>
      </c>
      <c r="B634" s="38" t="b">
        <f>+IF((PROVEEDORES[[#This Row],[FECHA DE PAGO]]-PROVEEDORES[[#This Row],[FECHA DE FACTURACIÓN]])&gt;PROVEEDORES[[#This Row],[PLAZO Días]],"PAGO VENCIDO")</f>
        <v>0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2923945.6174999997</v>
      </c>
      <c r="E634" s="25"/>
      <c r="F634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H634" s="26" t="s">
        <v>1526</v>
      </c>
      <c r="I634" s="289">
        <v>45309</v>
      </c>
      <c r="J634" s="35" t="s">
        <v>1527</v>
      </c>
      <c r="K634" s="21">
        <v>2245165.5</v>
      </c>
      <c r="L634" s="21"/>
      <c r="M634" s="22">
        <f>(PROVEEDORES[[#This Row],[SUBTOTAL]]-PROVEEDORES[[#This Row],[descuento sobre subtotal]])*VLOOKUP(PROVEEDORES[[#This Row],[PROVEEDOR]],TERCEROS_INFO[#All],3,FALSE)</f>
        <v>426581.44500000001</v>
      </c>
      <c r="N634" s="23"/>
      <c r="O634" s="22">
        <f>+PROVEEDORES[[#This Row],[Descuento sobre subtotal %]]*(PROVEEDORES[[#This Row],[SUBTOTAL]]-PROVEEDORES[[#This Row],[descuento sobre subtotal]])</f>
        <v>0</v>
      </c>
      <c r="P634" s="72">
        <f>+IF(PROVEEDORES[[#This Row],[SUBTOTAL]]&lt;PROVEEDORES[[#This Row],[base retencion]],0,PROVEEDORES[[#This Row],[retención aplicada]])</f>
        <v>2.5000000000000001E-2</v>
      </c>
      <c r="Q634" s="22">
        <f>+PROVEEDORES[[#This Row],[Rete Fuente %]]*(PROVEEDORES[[#This Row],[SUBTOTAL]]-PROVEEDORES[[#This Row],[descuento sobre subtotal]])</f>
        <v>56129.137500000004</v>
      </c>
      <c r="R634" s="21">
        <f>+PROVEEDORES[[#This Row],[SUBTOTAL]]+PROVEEDORES[[#This Row],[IVA 19%]]-PROVEEDORES[[#This Row],[descuento sobre subtotal]]-PROVEEDORES[[#This Row],[Descuento sobre subtotal $2]]-PROVEEDORES[[#This Row],[Rete Fuente $]]</f>
        <v>2615617.8074999996</v>
      </c>
      <c r="S634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34" s="61">
        <f ca="1">IF(PROVEEDORES[[#This Row],[FECHA DE PAGO]]=0,TODAY()-PROVEEDORES[[#This Row],[FECHA DE FACTURACIÓN]]-PROVEEDORES[[#This Row],[PLAZO Días]],0)</f>
        <v>-11</v>
      </c>
      <c r="U634" s="97" t="str">
        <f>+VLOOKUP(PROVEEDORES[[#This Row],[PROVEEDOR]],Terceros!$A:$D,4,FALSE)</f>
        <v>2,5% con base</v>
      </c>
      <c r="V634" s="98">
        <f>+YEAR(PROVEEDORES[[#This Row],[FECHA DE FACTURACIÓN]])</f>
        <v>2024</v>
      </c>
      <c r="W634" s="98">
        <f>+MATCH(PROVEEDORES[[#This Row],[año facturado]],Retenciones!$1:$1,0)</f>
        <v>7</v>
      </c>
      <c r="X634" s="99">
        <f>+VLOOKUP(PROVEEDORES[[#This Row],[ID RETENCION]],Retenciones!$A$1:$O$25,PROVEEDORES[[#This Row],[indicador de columna]],FALSE)</f>
        <v>1271000</v>
      </c>
      <c r="Y634" s="100">
        <f>+VLOOKUP(PROVEEDORES[[#This Row],[ID RETENCION]],Retenciones!$A$1:$O$25,2,FALSE)</f>
        <v>2.5000000000000001E-2</v>
      </c>
      <c r="Z634" s="103" t="b">
        <f>OR(COUNTIF(PROVEEDORES[[#This Row],[PROVEEDOR]],"*"&amp;'Palabra no opera'!$A$2&amp;"*"))</f>
        <v>0</v>
      </c>
    </row>
    <row r="635" spans="1:26" ht="22.35" customHeight="1" x14ac:dyDescent="0.25">
      <c r="A635" s="65" t="str">
        <f>+IF(PROVEEDORES[[#This Row],[FECHA DE PAGO]]=PROVEEDORES[[#This Row],[FECHA DE FACTURACIÓN]],"DE CONTADO","CRÉDITO")</f>
        <v>DE CONTADO</v>
      </c>
      <c r="B635" s="38" t="b">
        <f>+IF((PROVEEDORES[[#This Row],[FECHA DE PAGO]]-PROVEEDORES[[#This Row],[FECHA DE FACTURACIÓN]])&gt;PROVEEDORES[[#This Row],[PLAZO Días]],"PAGO VENCIDO")</f>
        <v>0</v>
      </c>
      <c r="C635" s="20">
        <f>+VLOOKUP(PROVEEDORES[[#This Row],[PROVEEDOR]],TERCEROS_INFO[#All],2,FALSE)</f>
        <v>30</v>
      </c>
      <c r="D635" s="25">
        <f>+SUMIFS(PROVEEDORES[Total],PROVEEDORES[PROVEEDOR],PROVEEDORES[[#This Row],[PROVEEDOR]],PROVEEDORES[FECHA DE PAGO],"")</f>
        <v>0</v>
      </c>
      <c r="E635" s="25"/>
      <c r="F635" s="56">
        <f>+VLOOKUP(PROVEEDORES[[#This Row],[PROVEEDOR]],
                       Terceros!$A:$F,
                       5,
                       FALSE)</f>
        <v>0</v>
      </c>
      <c r="G635" s="289">
        <v>45276</v>
      </c>
      <c r="H635" s="26" t="s">
        <v>538</v>
      </c>
      <c r="I635" s="289">
        <v>45276</v>
      </c>
      <c r="J635" s="35" t="s">
        <v>1402</v>
      </c>
      <c r="K635" s="21">
        <v>516000</v>
      </c>
      <c r="L635" s="21"/>
      <c r="M635" s="22">
        <f>(PROVEEDORES[[#This Row],[SUBTOTAL]]-PROVEEDORES[[#This Row],[descuento sobre subtotal]])*VLOOKUP(PROVEEDORES[[#This Row],[PROVEEDOR]],TERCEROS_INFO[#All],3,FALSE)</f>
        <v>98040</v>
      </c>
      <c r="N635" s="23"/>
      <c r="O635" s="22">
        <f>+PROVEEDORES[[#This Row],[Descuento sobre subtotal %]]*(PROVEEDORES[[#This Row],[SUBTOTAL]]-PROVEEDORES[[#This Row],[descuento sobre subtotal]])</f>
        <v>0</v>
      </c>
      <c r="P635" s="72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6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1">
        <f ca="1">IF(PROVEEDORES[[#This Row],[FECHA DE PAGO]]=0,TODAY()-PROVEEDORES[[#This Row],[FECHA DE FACTURACIÓN]]-PROVEEDORES[[#This Row],[PLAZO Días]],0)</f>
        <v>0</v>
      </c>
      <c r="U635" s="97" t="str">
        <f>+VLOOKUP(PROVEEDORES[[#This Row],[PROVEEDOR]],Terceros!$A:$D,4,FALSE)</f>
        <v>2,5% con base</v>
      </c>
      <c r="V635" s="98">
        <f>+YEAR(PROVEEDORES[[#This Row],[FECHA DE FACTURACIÓN]])</f>
        <v>2023</v>
      </c>
      <c r="W635" s="98">
        <f>+MATCH(PROVEEDORES[[#This Row],[año facturado]],Retenciones!$1:$1,0)</f>
        <v>6</v>
      </c>
      <c r="X635" s="99">
        <f>+VLOOKUP(PROVEEDORES[[#This Row],[ID RETENCION]],Retenciones!$A$1:$O$25,PROVEEDORES[[#This Row],[indicador de columna]],FALSE)</f>
        <v>1145000</v>
      </c>
      <c r="Y635" s="100">
        <f>+VLOOKUP(PROVEEDORES[[#This Row],[ID RETENCION]],Retenciones!$A$1:$O$25,2,FALSE)</f>
        <v>2.5000000000000001E-2</v>
      </c>
      <c r="Z635" s="103" t="b">
        <f>OR(COUNTIF(PROVEEDORES[[#This Row],[PROVEEDOR]],"*"&amp;'Palabra no opera'!$A$2&amp;"*"))</f>
        <v>0</v>
      </c>
    </row>
    <row r="636" spans="1:26" ht="22.35" customHeight="1" x14ac:dyDescent="0.25">
      <c r="A636" s="65" t="str">
        <f>+IF(PROVEEDORES[[#This Row],[FECHA DE PAGO]]=PROVEEDORES[[#This Row],[FECHA DE FACTURACIÓN]],"DE CONTADO","CRÉDITO")</f>
        <v>DE CONTADO</v>
      </c>
      <c r="B636" s="38" t="b">
        <f>+IF((PROVEEDORES[[#This Row],[FECHA DE PAGO]]-PROVEEDORES[[#This Row],[FECHA DE FACTURACIÓN]])&gt;PROVEEDORES[[#This Row],[PLAZO Días]],"PAGO VENCIDO")</f>
        <v>0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0</v>
      </c>
      <c r="E636" s="25"/>
      <c r="F636" s="56">
        <f>+VLOOKUP(PROVEEDORES[[#This Row],[PROVEEDOR]],
                       Terceros!$A:$F,
                       5,
                       FALSE)</f>
        <v>0</v>
      </c>
      <c r="G636" s="289">
        <v>45278</v>
      </c>
      <c r="H636" s="26" t="s">
        <v>538</v>
      </c>
      <c r="I636" s="289">
        <v>45278</v>
      </c>
      <c r="J636" s="35" t="s">
        <v>1401</v>
      </c>
      <c r="K636" s="21">
        <v>1000000</v>
      </c>
      <c r="L636" s="21"/>
      <c r="M636" s="22">
        <f>(PROVEEDORES[[#This Row],[SUBTOTAL]]-PROVEEDORES[[#This Row],[descuento sobre subtotal]])*VLOOKUP(PROVEEDORES[[#This Row],[PROVEEDOR]],TERCEROS_INFO[#All],3,FALSE)</f>
        <v>190000</v>
      </c>
      <c r="N636" s="23"/>
      <c r="O636" s="22">
        <f>+PROVEEDORES[[#This Row],[Descuento sobre subtotal %]]*(PROVEEDORES[[#This Row],[SUBTOTAL]]-PROVEEDORES[[#This Row],[descuento sobre subtotal]])</f>
        <v>0</v>
      </c>
      <c r="P636" s="72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6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1">
        <f ca="1">IF(PROVEEDORES[[#This Row],[FECHA DE PAGO]]=0,TODAY()-PROVEEDORES[[#This Row],[FECHA DE FACTURACIÓN]]-PROVEEDORES[[#This Row],[PLAZO Días]],0)</f>
        <v>0</v>
      </c>
      <c r="U636" s="97" t="str">
        <f>+VLOOKUP(PROVEEDORES[[#This Row],[PROVEEDOR]],Terceros!$A:$D,4,FALSE)</f>
        <v>2,5% con base</v>
      </c>
      <c r="V636" s="98">
        <f>+YEAR(PROVEEDORES[[#This Row],[FECHA DE FACTURACIÓN]])</f>
        <v>2023</v>
      </c>
      <c r="W636" s="98">
        <f>+MATCH(PROVEEDORES[[#This Row],[año facturado]],Retenciones!$1:$1,0)</f>
        <v>6</v>
      </c>
      <c r="X636" s="99">
        <f>+VLOOKUP(PROVEEDORES[[#This Row],[ID RETENCION]],Retenciones!$A$1:$O$25,PROVEEDORES[[#This Row],[indicador de columna]],FALSE)</f>
        <v>1145000</v>
      </c>
      <c r="Y636" s="100">
        <f>+VLOOKUP(PROVEEDORES[[#This Row],[ID RETENCION]],Retenciones!$A$1:$O$25,2,FALSE)</f>
        <v>2.5000000000000001E-2</v>
      </c>
      <c r="Z636" s="103" t="b">
        <f>OR(COUNTIF(PROVEEDORES[[#This Row],[PROVEEDOR]],"*"&amp;'Palabra no opera'!$A$2&amp;"*"))</f>
        <v>0</v>
      </c>
    </row>
    <row r="637" spans="1:26" ht="22.35" customHeight="1" x14ac:dyDescent="0.25">
      <c r="A637" s="161" t="str">
        <f>+IF(PROVEEDORES[[#This Row],[FECHA DE PAGO]]=PROVEEDORES[[#This Row],[FECHA DE FACTURACIÓN]],"DE CONTADO","CRÉDITO")</f>
        <v>DE CONTADO</v>
      </c>
      <c r="B637" s="38" t="b">
        <f>+IF((PROVEEDORES[[#This Row],[FECHA DE PAGO]]-PROVEEDORES[[#This Row],[FECHA DE FACTURACIÓN]])&gt;PROVEEDORES[[#This Row],[PLAZO Días]],"PAGO VENCIDO")</f>
        <v>0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1395870</v>
      </c>
      <c r="E637" s="25"/>
      <c r="F637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637" s="289">
        <v>44999</v>
      </c>
      <c r="H637" s="26" t="s">
        <v>457</v>
      </c>
      <c r="I637" s="289">
        <v>44999</v>
      </c>
      <c r="J637" s="35">
        <v>2672</v>
      </c>
      <c r="K637" s="21">
        <v>858000</v>
      </c>
      <c r="L637" s="21"/>
      <c r="M637" s="22">
        <f>(PROVEEDORES[[#This Row],[SUBTOTAL]]-PROVEEDORES[[#This Row],[descuento sobre subtotal]])*VLOOKUP(PROVEEDORES[[#This Row],[PROVEEDOR]],TERCEROS_INFO[#All],3,FALSE)</f>
        <v>163020</v>
      </c>
      <c r="N637" s="23">
        <v>0.1</v>
      </c>
      <c r="O637" s="22">
        <f>+PROVEEDORES[[#This Row],[Descuento sobre subtotal %]]*(PROVEEDORES[[#This Row],[SUBTOTAL]]-PROVEEDORES[[#This Row],[descuento sobre subtotal]])</f>
        <v>85800</v>
      </c>
      <c r="P637" s="72">
        <f>+IF(PROVEEDORES[[#This Row],[SUBTOTAL]]&lt;PROVEEDORES[[#This Row],[base retencion]],0,PROVEEDORES[[#This Row],[retención aplicada]])</f>
        <v>0</v>
      </c>
      <c r="Q637" s="22">
        <f>+PROVEEDORES[[#This Row],[Rete Fuente %]]*(PROVEEDORES[[#This Row],[SUBTOTAL]]-PROVEEDORES[[#This Row],[descuento sobre subtotal]])</f>
        <v>0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935220</v>
      </c>
      <c r="S637" s="16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1">
        <f ca="1">IF(PROVEEDORES[[#This Row],[FECHA DE PAGO]]=0,TODAY()-PROVEEDORES[[#This Row],[FECHA DE FACTURACIÓN]]-PROVEEDORES[[#This Row],[PLAZO Días]],0)</f>
        <v>0</v>
      </c>
      <c r="U637" s="97" t="str">
        <f>+VLOOKUP(PROVEEDORES[[#This Row],[PROVEEDOR]],Terceros!$A:$D,4,FALSE)</f>
        <v>2,5% con base</v>
      </c>
      <c r="V637" s="98">
        <f>+YEAR(PROVEEDORES[[#This Row],[FECHA DE FACTURACIÓN]])</f>
        <v>2023</v>
      </c>
      <c r="W637" s="98">
        <f>+MATCH(PROVEEDORES[[#This Row],[año facturado]],Retenciones!$1:$1,0)</f>
        <v>6</v>
      </c>
      <c r="X637" s="99">
        <f>+VLOOKUP(PROVEEDORES[[#This Row],[ID RETENCION]],Retenciones!$A$1:$O$25,PROVEEDORES[[#This Row],[indicador de columna]],FALSE)</f>
        <v>1145000</v>
      </c>
      <c r="Y637" s="100">
        <f>+VLOOKUP(PROVEEDORES[[#This Row],[ID RETENCION]],Retenciones!$A$1:$O$25,2,FALSE)</f>
        <v>2.5000000000000001E-2</v>
      </c>
      <c r="Z637" s="103" t="b">
        <f>OR(COUNTIF(PROVEEDORES[[#This Row],[PROVEEDOR]],"*"&amp;'Palabra no opera'!$A$2&amp;"*"))</f>
        <v>0</v>
      </c>
    </row>
    <row r="638" spans="1:26" ht="22.35" customHeight="1" x14ac:dyDescent="0.25">
      <c r="A638" s="65" t="str">
        <f>+IF(PROVEEDORES[[#This Row],[FECHA DE PAGO]]=PROVEEDORES[[#This Row],[FECHA DE FACTURACIÓN]],"DE CONTADO","CRÉDITO")</f>
        <v>CRÉDITO</v>
      </c>
      <c r="B638" s="38" t="b">
        <f>+IF((PROVEEDORES[[#This Row],[FECHA DE PAGO]]-PROVEEDORES[[#This Row],[FECHA DE FACTURACIÓN]])&gt;PROVEEDORES[[#This Row],[PLAZO Días]],"PAGO VENCIDO")</f>
        <v>0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1395870</v>
      </c>
      <c r="E638" s="25"/>
      <c r="F638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638" s="289">
        <v>45098</v>
      </c>
      <c r="H638" s="26" t="s">
        <v>457</v>
      </c>
      <c r="I638" s="289">
        <v>45077</v>
      </c>
      <c r="J638" s="35">
        <v>2718</v>
      </c>
      <c r="K638" s="21">
        <v>612000</v>
      </c>
      <c r="L638" s="21"/>
      <c r="M638" s="22">
        <f>(PROVEEDORES[[#This Row],[SUBTOTAL]]-PROVEEDORES[[#This Row],[descuento sobre subtotal]])*VLOOKUP(PROVEEDORES[[#This Row],[PROVEEDOR]],TERCEROS_INFO[#All],3,FALSE)</f>
        <v>116280</v>
      </c>
      <c r="N638" s="23">
        <v>0.1</v>
      </c>
      <c r="O638" s="22">
        <f>+PROVEEDORES[[#This Row],[Descuento sobre subtotal %]]*(PROVEEDORES[[#This Row],[SUBTOTAL]]-PROVEEDORES[[#This Row],[descuento sobre subtotal]])</f>
        <v>61200</v>
      </c>
      <c r="P638" s="72">
        <f>+IF(PROVEEDORES[[#This Row],[SUBTOTAL]]&lt;PROVEEDORES[[#This Row],[base retencion]],0,PROVEEDORES[[#This Row],[retención aplicada]])</f>
        <v>0</v>
      </c>
      <c r="Q638" s="22">
        <f>+PROVEEDORES[[#This Row],[Rete Fuente %]]*(PROVEEDORES[[#This Row],[SUBTOTAL]]-PROVEEDORES[[#This Row],[descuento sobre subtotal]])</f>
        <v>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667080</v>
      </c>
      <c r="S6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1">
        <f ca="1">IF(PROVEEDORES[[#This Row],[FECHA DE PAGO]]=0,TODAY()-PROVEEDORES[[#This Row],[FECHA DE FACTURACIÓN]]-PROVEEDORES[[#This Row],[PLAZO Días]],0)</f>
        <v>0</v>
      </c>
      <c r="U638" s="97" t="str">
        <f>+VLOOKUP(PROVEEDORES[[#This Row],[PROVEEDOR]],Terceros!$A:$D,4,FALSE)</f>
        <v>2,5% con base</v>
      </c>
      <c r="V638" s="98">
        <f>+YEAR(PROVEEDORES[[#This Row],[FECHA DE FACTURACIÓN]])</f>
        <v>2023</v>
      </c>
      <c r="W638" s="98">
        <f>+MATCH(PROVEEDORES[[#This Row],[año facturado]],Retenciones!$1:$1,0)</f>
        <v>6</v>
      </c>
      <c r="X638" s="99">
        <f>+VLOOKUP(PROVEEDORES[[#This Row],[ID RETENCION]],Retenciones!$A$1:$O$25,PROVEEDORES[[#This Row],[indicador de columna]],FALSE)</f>
        <v>1145000</v>
      </c>
      <c r="Y638" s="100">
        <f>+VLOOKUP(PROVEEDORES[[#This Row],[ID RETENCION]],Retenciones!$A$1:$O$25,2,FALSE)</f>
        <v>2.5000000000000001E-2</v>
      </c>
      <c r="Z638" s="103" t="b">
        <f>OR(COUNTIF(PROVEEDORES[[#This Row],[PROVEEDOR]],"*"&amp;'Palabra no opera'!$A$2&amp;"*"))</f>
        <v>0</v>
      </c>
    </row>
    <row r="639" spans="1:26" ht="22.35" customHeight="1" x14ac:dyDescent="0.25">
      <c r="A639" s="65" t="str">
        <f>+IF(PROVEEDORES[[#This Row],[FECHA DE PAGO]]=PROVEEDORES[[#This Row],[FECHA DE FACTURACIÓN]],"DE CONTADO","CRÉDITO")</f>
        <v>CRÉDITO</v>
      </c>
      <c r="B639" s="38" t="str">
        <f>+IF((PROVEEDORES[[#This Row],[FECHA DE PAGO]]-PROVEEDORES[[#This Row],[FECHA DE FACTURACIÓN]])&gt;PROVEEDORES[[#This Row],[PLAZO Días]],"PAGO VENCIDO")</f>
        <v>PAGO VENCIDO</v>
      </c>
      <c r="C639" s="20">
        <f>+VLOOKUP(PROVEEDORES[[#This Row],[PROVEEDOR]],TERCEROS_INFO[#All],2,FALSE)</f>
        <v>30</v>
      </c>
      <c r="D639" s="25">
        <f>+SUMIFS(PROVEEDORES[Total],PROVEEDORES[PROVEEDOR],PROVEEDORES[[#This Row],[PROVEEDOR]],PROVEEDORES[FECHA DE PAGO],"")</f>
        <v>1395870</v>
      </c>
      <c r="E639" s="25"/>
      <c r="F639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639" s="289">
        <v>45201</v>
      </c>
      <c r="H639" s="26" t="s">
        <v>457</v>
      </c>
      <c r="I639" s="289">
        <v>45170</v>
      </c>
      <c r="J639" s="35" t="s">
        <v>1113</v>
      </c>
      <c r="K639" s="21">
        <v>1796000</v>
      </c>
      <c r="L639" s="21"/>
      <c r="M639" s="22">
        <f>(PROVEEDORES[[#This Row],[SUBTOTAL]]-PROVEEDORES[[#This Row],[descuento sobre subtotal]])*VLOOKUP(PROVEEDORES[[#This Row],[PROVEEDOR]],TERCEROS_INFO[#All],3,FALSE)</f>
        <v>341240</v>
      </c>
      <c r="N639" s="23">
        <v>0.1</v>
      </c>
      <c r="O639" s="22">
        <f>+PROVEEDORES[[#This Row],[Descuento sobre subtotal %]]*(PROVEEDORES[[#This Row],[SUBTOTAL]]-PROVEEDORES[[#This Row],[descuento sobre subtotal]])</f>
        <v>179600</v>
      </c>
      <c r="P639" s="72">
        <f>+IF(PROVEEDORES[[#This Row],[SUBTOTAL]]&lt;PROVEEDORES[[#This Row],[base retencion]],0,PROVEEDORES[[#This Row],[retención aplicada]])</f>
        <v>2.5000000000000001E-2</v>
      </c>
      <c r="Q639" s="22">
        <f>+PROVEEDORES[[#This Row],[Rete Fuente %]]*(PROVEEDORES[[#This Row],[SUBTOTAL]]-PROVEEDORES[[#This Row],[descuento sobre subtotal]])</f>
        <v>44900</v>
      </c>
      <c r="R639" s="21">
        <f>+PROVEEDORES[[#This Row],[SUBTOTAL]]+PROVEEDORES[[#This Row],[IVA 19%]]-PROVEEDORES[[#This Row],[descuento sobre subtotal]]-PROVEEDORES[[#This Row],[Descuento sobre subtotal $2]]-PROVEEDORES[[#This Row],[Rete Fuente $]]</f>
        <v>1912740</v>
      </c>
      <c r="S6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1">
        <f ca="1">IF(PROVEEDORES[[#This Row],[FECHA DE PAGO]]=0,TODAY()-PROVEEDORES[[#This Row],[FECHA DE FACTURACIÓN]]-PROVEEDORES[[#This Row],[PLAZO Días]],0)</f>
        <v>0</v>
      </c>
      <c r="U639" s="97" t="str">
        <f>+VLOOKUP(PROVEEDORES[[#This Row],[PROVEEDOR]],Terceros!$A:$D,4,FALSE)</f>
        <v>2,5% con base</v>
      </c>
      <c r="V639" s="98">
        <f>+YEAR(PROVEEDORES[[#This Row],[FECHA DE FACTURACIÓN]])</f>
        <v>2023</v>
      </c>
      <c r="W639" s="98">
        <f>+MATCH(PROVEEDORES[[#This Row],[año facturado]],Retenciones!$1:$1,0)</f>
        <v>6</v>
      </c>
      <c r="X639" s="99">
        <f>+VLOOKUP(PROVEEDORES[[#This Row],[ID RETENCION]],Retenciones!$A$1:$O$25,PROVEEDORES[[#This Row],[indicador de columna]],FALSE)</f>
        <v>1145000</v>
      </c>
      <c r="Y639" s="100">
        <f>+VLOOKUP(PROVEEDORES[[#This Row],[ID RETENCION]],Retenciones!$A$1:$O$25,2,FALSE)</f>
        <v>2.5000000000000001E-2</v>
      </c>
      <c r="Z639" s="103" t="b">
        <f>OR(COUNTIF(PROVEEDORES[[#This Row],[PROVEEDOR]],"*"&amp;'Palabra no opera'!$A$2&amp;"*"))</f>
        <v>0</v>
      </c>
    </row>
    <row r="640" spans="1:26" ht="22.35" customHeight="1" x14ac:dyDescent="0.25">
      <c r="A640" s="65" t="str">
        <f>+IF(PROVEEDORES[[#This Row],[FECHA DE PAGO]]=PROVEEDORES[[#This Row],[FECHA DE FACTURACIÓN]],"DE CONTADO","CRÉDITO")</f>
        <v>CRÉDITO</v>
      </c>
      <c r="B640" s="38" t="str">
        <f>+IF((PROVEEDORES[[#This Row],[FECHA DE PAGO]]-PROVEEDORES[[#This Row],[FECHA DE FACTURACIÓN]])&gt;PROVEEDORES[[#This Row],[PLAZO Días]],"PAGO VENCIDO")</f>
        <v>PAGO VENCIDO</v>
      </c>
      <c r="C640" s="20">
        <f>+VLOOKUP(PROVEEDORES[[#This Row],[PROVEEDOR]],TERCEROS_INFO[#All],2,FALSE)</f>
        <v>30</v>
      </c>
      <c r="D640" s="25">
        <f>+SUMIFS(PROVEEDORES[Total],PROVEEDORES[PROVEEDOR],PROVEEDORES[[#This Row],[PROVEEDOR]],PROVEEDORES[FECHA DE PAGO],"")</f>
        <v>1395870</v>
      </c>
      <c r="E640" s="25"/>
      <c r="F640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640" s="289">
        <v>45287</v>
      </c>
      <c r="H640" s="26" t="s">
        <v>457</v>
      </c>
      <c r="I640" s="289">
        <v>45252</v>
      </c>
      <c r="J640" s="35" t="s">
        <v>1316</v>
      </c>
      <c r="K640" s="21">
        <v>1071000</v>
      </c>
      <c r="L640" s="21"/>
      <c r="M640" s="22">
        <f>(PROVEEDORES[[#This Row],[SUBTOTAL]]-PROVEEDORES[[#This Row],[descuento sobre subtotal]])*VLOOKUP(PROVEEDORES[[#This Row],[PROVEEDOR]],TERCEROS_INFO[#All],3,FALSE)</f>
        <v>203490</v>
      </c>
      <c r="N640" s="23">
        <v>0.1</v>
      </c>
      <c r="O640" s="22">
        <f>+PROVEEDORES[[#This Row],[Descuento sobre subtotal %]]*(PROVEEDORES[[#This Row],[SUBTOTAL]]-PROVEEDORES[[#This Row],[descuento sobre subtotal]])</f>
        <v>107100</v>
      </c>
      <c r="P640" s="72">
        <f>+IF(PROVEEDORES[[#This Row],[SUBTOTAL]]&lt;PROVEEDORES[[#This Row],[base retencion]],0,PROVEEDORES[[#This Row],[retención aplicada]])</f>
        <v>0</v>
      </c>
      <c r="Q640" s="22">
        <f>+PROVEEDORES[[#This Row],[Rete Fuente %]]*(PROVEEDORES[[#This Row],[SUBTOTAL]]-PROVEEDORES[[#This Row],[descuento sobre subtotal]])</f>
        <v>0</v>
      </c>
      <c r="R640" s="21">
        <f>+PROVEEDORES[[#This Row],[SUBTOTAL]]+PROVEEDORES[[#This Row],[IVA 19%]]-PROVEEDORES[[#This Row],[descuento sobre subtotal]]-PROVEEDORES[[#This Row],[Descuento sobre subtotal $2]]-PROVEEDORES[[#This Row],[Rete Fuente $]]</f>
        <v>1167390</v>
      </c>
      <c r="S64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1">
        <f ca="1">IF(PROVEEDORES[[#This Row],[FECHA DE PAGO]]=0,TODAY()-PROVEEDORES[[#This Row],[FECHA DE FACTURACIÓN]]-PROVEEDORES[[#This Row],[PLAZO Días]],0)</f>
        <v>0</v>
      </c>
      <c r="U640" s="97" t="str">
        <f>+VLOOKUP(PROVEEDORES[[#This Row],[PROVEEDOR]],Terceros!$A:$D,4,FALSE)</f>
        <v>2,5% con base</v>
      </c>
      <c r="V640" s="98">
        <f>+YEAR(PROVEEDORES[[#This Row],[FECHA DE FACTURACIÓN]])</f>
        <v>2023</v>
      </c>
      <c r="W640" s="98">
        <f>+MATCH(PROVEEDORES[[#This Row],[año facturado]],Retenciones!$1:$1,0)</f>
        <v>6</v>
      </c>
      <c r="X640" s="99">
        <f>+VLOOKUP(PROVEEDORES[[#This Row],[ID RETENCION]],Retenciones!$A$1:$O$25,PROVEEDORES[[#This Row],[indicador de columna]],FALSE)</f>
        <v>1145000</v>
      </c>
      <c r="Y640" s="100">
        <f>+VLOOKUP(PROVEEDORES[[#This Row],[ID RETENCION]],Retenciones!$A$1:$O$25,2,FALSE)</f>
        <v>2.5000000000000001E-2</v>
      </c>
      <c r="Z640" s="103" t="b">
        <f>OR(COUNTIF(PROVEEDORES[[#This Row],[PROVEEDOR]],"*"&amp;'Palabra no opera'!$A$2&amp;"*"))</f>
        <v>0</v>
      </c>
    </row>
    <row r="641" spans="1:26" ht="22.35" customHeight="1" x14ac:dyDescent="0.25">
      <c r="A641" s="256" t="str">
        <f>+IF(PROVEEDORES[[#This Row],[FECHA DE PAGO]]=PROVEEDORES[[#This Row],[FECHA DE FACTURACIÓN]],"DE CONTADO","CRÉDITO")</f>
        <v>CRÉDITO</v>
      </c>
      <c r="B641" s="38" t="b">
        <f>+IF((PROVEEDORES[[#This Row],[FECHA DE PAGO]]-PROVEEDORES[[#This Row],[FECHA DE FACTURACIÓN]])&gt;PROVEEDORES[[#This Row],[PLAZO Días]],"PAGO VENCIDO")</f>
        <v>0</v>
      </c>
      <c r="C641" s="20">
        <f>+VLOOKUP(PROVEEDORES[[#This Row],[PROVEEDOR]],TERCEROS_INFO[#All],2,FALSE)</f>
        <v>180</v>
      </c>
      <c r="D641" s="25">
        <f>+SUMIFS(PROVEEDORES[Total],PROVEEDORES[PROVEEDOR],PROVEEDORES[[#This Row],[PROVEEDOR]],PROVEEDORES[FECHA DE PAGO],"")</f>
        <v>0</v>
      </c>
      <c r="E641" s="25"/>
      <c r="F641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641" s="289">
        <v>45250</v>
      </c>
      <c r="H641" s="26" t="s">
        <v>403</v>
      </c>
      <c r="I641" s="289">
        <v>45231</v>
      </c>
      <c r="J641" s="35" t="s">
        <v>1285</v>
      </c>
      <c r="K641" s="21">
        <v>442906</v>
      </c>
      <c r="L641" s="21"/>
      <c r="M641" s="22">
        <f>(PROVEEDORES[[#This Row],[SUBTOTAL]]-PROVEEDORES[[#This Row],[descuento sobre subtotal]])*VLOOKUP(PROVEEDORES[[#This Row],[PROVEEDOR]],TERCEROS_INFO[#All],3,FALSE)</f>
        <v>84152.14</v>
      </c>
      <c r="N641" s="23"/>
      <c r="O641" s="22">
        <f>+PROVEEDORES[[#This Row],[Descuento sobre subtotal %]]*(PROVEEDORES[[#This Row],[SUBTOTAL]]-PROVEEDORES[[#This Row],[descuento sobre subtotal]])</f>
        <v>0</v>
      </c>
      <c r="P641" s="72">
        <f>+IF(PROVEEDORES[[#This Row],[SUBTOTAL]]&lt;PROVEEDORES[[#This Row],[base retencion]],0,PROVEEDORES[[#This Row],[retención aplicada]])</f>
        <v>0</v>
      </c>
      <c r="Q641" s="22">
        <f>+PROVEEDORES[[#This Row],[Rete Fuente %]]*(PROVEEDORES[[#This Row],[SUBTOTAL]]-PROVEEDORES[[#This Row],[descuento sobre subtotal]])</f>
        <v>0</v>
      </c>
      <c r="R641" s="21">
        <f>+PROVEEDORES[[#This Row],[SUBTOTAL]]+PROVEEDORES[[#This Row],[IVA 19%]]-PROVEEDORES[[#This Row],[descuento sobre subtotal]]-PROVEEDORES[[#This Row],[Descuento sobre subtotal $2]]-PROVEEDORES[[#This Row],[Rete Fuente $]]</f>
        <v>527058.14</v>
      </c>
      <c r="S641" s="2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1">
        <f ca="1">IF(PROVEEDORES[[#This Row],[FECHA DE PAGO]]=0,TODAY()-PROVEEDORES[[#This Row],[FECHA DE FACTURACIÓN]]-PROVEEDORES[[#This Row],[PLAZO Días]],0)</f>
        <v>0</v>
      </c>
      <c r="U641" s="97" t="str">
        <f>+VLOOKUP(PROVEEDORES[[#This Row],[PROVEEDOR]],Terceros!$A:$D,4,FALSE)</f>
        <v>2,5% con base</v>
      </c>
      <c r="V641" s="98">
        <f>+YEAR(PROVEEDORES[[#This Row],[FECHA DE FACTURACIÓN]])</f>
        <v>2023</v>
      </c>
      <c r="W641" s="98">
        <f>+MATCH(PROVEEDORES[[#This Row],[año facturado]],Retenciones!$1:$1,0)</f>
        <v>6</v>
      </c>
      <c r="X641" s="99">
        <f>+VLOOKUP(PROVEEDORES[[#This Row],[ID RETENCION]],Retenciones!$A$1:$O$25,PROVEEDORES[[#This Row],[indicador de columna]],FALSE)</f>
        <v>1145000</v>
      </c>
      <c r="Y641" s="100">
        <f>+VLOOKUP(PROVEEDORES[[#This Row],[ID RETENCION]],Retenciones!$A$1:$O$25,2,FALSE)</f>
        <v>2.5000000000000001E-2</v>
      </c>
      <c r="Z641" s="103" t="b">
        <f>OR(COUNTIF(PROVEEDORES[[#This Row],[PROVEEDOR]],"*"&amp;'Palabra no opera'!$A$2&amp;"*"))</f>
        <v>1</v>
      </c>
    </row>
    <row r="642" spans="1:26" ht="22.35" customHeight="1" x14ac:dyDescent="0.25">
      <c r="A642" s="65" t="str">
        <f>+IF(PROVEEDORES[[#This Row],[FECHA DE PAGO]]=PROVEEDORES[[#This Row],[FECHA DE FACTURACIÓN]],"DE CONTADO","CRÉDITO")</f>
        <v>CRÉDITO</v>
      </c>
      <c r="B642" s="38" t="b">
        <f>+IF((PROVEEDORES[[#This Row],[FECHA DE PAGO]]-PROVEEDORES[[#This Row],[FECHA DE FACTURACIÓN]])&gt;PROVEEDORES[[#This Row],[PLAZO Días]],"PAGO VENCIDO")</f>
        <v>0</v>
      </c>
      <c r="C642" s="20">
        <f>+VLOOKUP(PROVEEDORES[[#This Row],[PROVEEDOR]],TERCEROS_INFO[#All],2,FALSE)</f>
        <v>180</v>
      </c>
      <c r="D642" s="25">
        <f>+SUMIFS(PROVEEDORES[Total],PROVEEDORES[PROVEEDOR],PROVEEDORES[[#This Row],[PROVEEDOR]],PROVEEDORES[FECHA DE PAGO],"")</f>
        <v>0</v>
      </c>
      <c r="E642" s="25"/>
      <c r="F642" s="56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642" s="289">
        <v>45280</v>
      </c>
      <c r="H642" s="26" t="s">
        <v>403</v>
      </c>
      <c r="I642" s="289">
        <v>45253</v>
      </c>
      <c r="J642" s="35" t="s">
        <v>1315</v>
      </c>
      <c r="K642" s="21">
        <v>545547</v>
      </c>
      <c r="L642" s="21"/>
      <c r="M642" s="22">
        <f>(PROVEEDORES[[#This Row],[SUBTOTAL]]-PROVEEDORES[[#This Row],[descuento sobre subtotal]])*VLOOKUP(PROVEEDORES[[#This Row],[PROVEEDOR]],TERCEROS_INFO[#All],3,FALSE)</f>
        <v>103653.93000000001</v>
      </c>
      <c r="N642" s="23"/>
      <c r="O642" s="22">
        <f>+PROVEEDORES[[#This Row],[Descuento sobre subtotal %]]*(PROVEEDORES[[#This Row],[SUBTOTAL]]-PROVEEDORES[[#This Row],[descuento sobre subtotal]])</f>
        <v>0</v>
      </c>
      <c r="P642" s="72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649200.93000000005</v>
      </c>
      <c r="S6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1">
        <f ca="1">IF(PROVEEDORES[[#This Row],[FECHA DE PAGO]]=0,TODAY()-PROVEEDORES[[#This Row],[FECHA DE FACTURACIÓN]]-PROVEEDORES[[#This Row],[PLAZO Días]],0)</f>
        <v>0</v>
      </c>
      <c r="U642" s="97" t="str">
        <f>+VLOOKUP(PROVEEDORES[[#This Row],[PROVEEDOR]],Terceros!$A:$D,4,FALSE)</f>
        <v>2,5% con base</v>
      </c>
      <c r="V642" s="98">
        <f>+YEAR(PROVEEDORES[[#This Row],[FECHA DE FACTURACIÓN]])</f>
        <v>2023</v>
      </c>
      <c r="W642" s="98">
        <f>+MATCH(PROVEEDORES[[#This Row],[año facturado]],Retenciones!$1:$1,0)</f>
        <v>6</v>
      </c>
      <c r="X642" s="99">
        <f>+VLOOKUP(PROVEEDORES[[#This Row],[ID RETENCION]],Retenciones!$A$1:$O$25,PROVEEDORES[[#This Row],[indicador de columna]],FALSE)</f>
        <v>1145000</v>
      </c>
      <c r="Y642" s="100">
        <f>+VLOOKUP(PROVEEDORES[[#This Row],[ID RETENCION]],Retenciones!$A$1:$O$25,2,FALSE)</f>
        <v>2.5000000000000001E-2</v>
      </c>
      <c r="Z642" s="103" t="b">
        <f>OR(COUNTIF(PROVEEDORES[[#This Row],[PROVEEDOR]],"*"&amp;'Palabra no opera'!$A$2&amp;"*"))</f>
        <v>1</v>
      </c>
    </row>
    <row r="643" spans="1:26" ht="22.35" customHeight="1" x14ac:dyDescent="0.25">
      <c r="A643" s="65" t="str">
        <f>+IF(PROVEEDORES[[#This Row],[FECHA DE PAGO]]=PROVEEDORES[[#This Row],[FECHA DE FACTURACIÓN]],"DE CONTADO","CRÉDITO")</f>
        <v>CRÉDITO</v>
      </c>
      <c r="B643" s="38" t="str">
        <f>+IF((PROVEEDORES[[#This Row],[FECHA DE PAGO]]-PROVEEDORES[[#This Row],[FECHA DE FACTURACIÓN]])&gt;PROVEEDORES[[#This Row],[PLAZO Días]],"PAGO VENCIDO")</f>
        <v>PAGO VENCIDO</v>
      </c>
      <c r="C643" s="20">
        <f>+VLOOKUP(PROVEEDORES[[#This Row],[PROVEEDOR]],TERCEROS_INFO[#All],2,FALSE)</f>
        <v>30</v>
      </c>
      <c r="D643" s="25">
        <f>+SUMIFS(PROVEEDORES[Total],PROVEEDORES[PROVEEDOR],PROVEEDORES[[#This Row],[PROVEEDOR]],PROVEEDORES[FECHA DE PAGO],"")</f>
        <v>0</v>
      </c>
      <c r="E643" s="25"/>
      <c r="F643" s="56" t="str">
        <f>+VLOOKUP(PROVEEDORES[[#This Row],[PROVEEDOR]],
                       Terceros!$A:$F,
                       5,
                       FALSE)</f>
        <v>oag15@hotmail.com;girlesa.ruiz@servipilas.com;joriescobar64@gmail.com</v>
      </c>
      <c r="G643" s="289">
        <v>45237</v>
      </c>
      <c r="H643" s="26" t="s">
        <v>1211</v>
      </c>
      <c r="I643" s="289">
        <v>45205</v>
      </c>
      <c r="J643" s="35" t="s">
        <v>1213</v>
      </c>
      <c r="K643" s="21">
        <v>757984</v>
      </c>
      <c r="L643" s="21"/>
      <c r="M643" s="22">
        <f>(PROVEEDORES[[#This Row],[SUBTOTAL]]-PROVEEDORES[[#This Row],[descuento sobre subtotal]])*VLOOKUP(PROVEEDORES[[#This Row],[PROVEEDOR]],TERCEROS_INFO[#All],3,FALSE)</f>
        <v>144016.95999999999</v>
      </c>
      <c r="N643" s="23"/>
      <c r="O643" s="22">
        <f>+PROVEEDORES[[#This Row],[Descuento sobre subtotal %]]*(PROVEEDORES[[#This Row],[SUBTOTAL]]-PROVEEDORES[[#This Row],[descuento sobre subtotal]])</f>
        <v>0</v>
      </c>
      <c r="P643" s="72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902000.96</v>
      </c>
      <c r="S64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1">
        <f ca="1">IF(PROVEEDORES[[#This Row],[FECHA DE PAGO]]=0,TODAY()-PROVEEDORES[[#This Row],[FECHA DE FACTURACIÓN]]-PROVEEDORES[[#This Row],[PLAZO Días]],0)</f>
        <v>0</v>
      </c>
      <c r="U643" s="97" t="str">
        <f>+VLOOKUP(PROVEEDORES[[#This Row],[PROVEEDOR]],Terceros!$A:$D,4,FALSE)</f>
        <v>2,5% con base</v>
      </c>
      <c r="V643" s="98">
        <f>+YEAR(PROVEEDORES[[#This Row],[FECHA DE FACTURACIÓN]])</f>
        <v>2023</v>
      </c>
      <c r="W643" s="98">
        <f>+MATCH(PROVEEDORES[[#This Row],[año facturado]],Retenciones!$1:$1,0)</f>
        <v>6</v>
      </c>
      <c r="X643" s="99">
        <f>+VLOOKUP(PROVEEDORES[[#This Row],[ID RETENCION]],Retenciones!$A$1:$O$25,PROVEEDORES[[#This Row],[indicador de columna]],FALSE)</f>
        <v>1145000</v>
      </c>
      <c r="Y643" s="100">
        <f>+VLOOKUP(PROVEEDORES[[#This Row],[ID RETENCION]],Retenciones!$A$1:$O$25,2,FALSE)</f>
        <v>2.5000000000000001E-2</v>
      </c>
      <c r="Z643" s="103" t="b">
        <f>OR(COUNTIF(PROVEEDORES[[#This Row],[PROVEEDOR]],"*"&amp;'Palabra no opera'!$A$2&amp;"*"))</f>
        <v>0</v>
      </c>
    </row>
    <row r="644" spans="1:26" ht="22.35" customHeight="1" x14ac:dyDescent="0.25">
      <c r="A644" s="155" t="str">
        <f>+IF(PROVEEDORES[[#This Row],[FECHA DE PAGO]]=PROVEEDORES[[#This Row],[FECHA DE FACTURACIÓN]],"DE CONTADO","CRÉDITO")</f>
        <v>CRÉDITO</v>
      </c>
      <c r="B644" s="38" t="b">
        <f>+IF((PROVEEDORES[[#This Row],[FECHA DE PAGO]]-PROVEEDORES[[#This Row],[FECHA DE FACTURACIÓN]])&gt;PROVEEDORES[[#This Row],[PLAZO Días]],"PAGO VENCIDO")</f>
        <v>0</v>
      </c>
      <c r="C644" s="20">
        <f>+VLOOKUP(PROVEEDORES[[#This Row],[PROVEEDOR]],TERCEROS_INFO[#All],2,FALSE)</f>
        <v>60</v>
      </c>
      <c r="D644" s="25">
        <f>+SUMIFS(PROVEEDORES[Total],PROVEEDORES[PROVEEDOR],PROVEEDORES[[#This Row],[PROVEEDOR]],PROVEEDORES[FECHA DE PAGO],"")</f>
        <v>5538410</v>
      </c>
      <c r="E644" s="25"/>
      <c r="F644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644" s="289">
        <v>45000</v>
      </c>
      <c r="H644" s="26" t="s">
        <v>624</v>
      </c>
      <c r="I644" s="289">
        <v>44966</v>
      </c>
      <c r="J644" s="35" t="s">
        <v>626</v>
      </c>
      <c r="K644" s="21">
        <v>2906000</v>
      </c>
      <c r="L644" s="21"/>
      <c r="M644" s="22">
        <v>552140</v>
      </c>
      <c r="N644" s="23">
        <v>0.05</v>
      </c>
      <c r="O644" s="22">
        <f>+PROVEEDORES[[#This Row],[Descuento sobre subtotal %]]*(PROVEEDORES[[#This Row],[SUBTOTAL]]-PROVEEDORES[[#This Row],[descuento sobre subtotal]])</f>
        <v>145300</v>
      </c>
      <c r="P644" s="72">
        <f>+IF(PROVEEDORES[[#This Row],[SUBTOTAL]]&lt;PROVEEDORES[[#This Row],[base retencion]],0,PROVEEDORES[[#This Row],[retención aplicada]])</f>
        <v>2.5000000000000001E-2</v>
      </c>
      <c r="Q644" s="22">
        <f>+PROVEEDORES[[#This Row],[Rete Fuente %]]*(PROVEEDORES[[#This Row],[SUBTOTAL]]-PROVEEDORES[[#This Row],[descuento sobre subtotal]])</f>
        <v>72650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3240190</v>
      </c>
      <c r="S644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1">
        <f ca="1">IF(PROVEEDORES[[#This Row],[FECHA DE PAGO]]=0,TODAY()-PROVEEDORES[[#This Row],[FECHA DE FACTURACIÓN]]-PROVEEDORES[[#This Row],[PLAZO Días]],0)</f>
        <v>0</v>
      </c>
      <c r="U644" s="97" t="str">
        <f>+VLOOKUP(PROVEEDORES[[#This Row],[PROVEEDOR]],Terceros!$A:$D,4,FALSE)</f>
        <v>2,5% con base</v>
      </c>
      <c r="V644" s="98">
        <f>+YEAR(PROVEEDORES[[#This Row],[FECHA DE FACTURACIÓN]])</f>
        <v>2023</v>
      </c>
      <c r="W644" s="98">
        <f>+MATCH(PROVEEDORES[[#This Row],[año facturado]],Retenciones!$1:$1,0)</f>
        <v>6</v>
      </c>
      <c r="X644" s="99">
        <f>+VLOOKUP(PROVEEDORES[[#This Row],[ID RETENCION]],Retenciones!$A$1:$O$25,PROVEEDORES[[#This Row],[indicador de columna]],FALSE)</f>
        <v>1145000</v>
      </c>
      <c r="Y644" s="100">
        <f>+VLOOKUP(PROVEEDORES[[#This Row],[ID RETENCION]],Retenciones!$A$1:$O$25,2,FALSE)</f>
        <v>2.5000000000000001E-2</v>
      </c>
      <c r="Z644" s="103" t="b">
        <f>OR(COUNTIF(PROVEEDORES[[#This Row],[PROVEEDOR]],"*"&amp;'Palabra no opera'!$A$2&amp;"*"))</f>
        <v>0</v>
      </c>
    </row>
    <row r="645" spans="1:26" ht="22.35" customHeight="1" x14ac:dyDescent="0.25">
      <c r="A645" s="65" t="str">
        <f>+IF(PROVEEDORES[[#This Row],[FECHA DE PAGO]]=PROVEEDORES[[#This Row],[FECHA DE FACTURACIÓN]],"DE CONTADO","CRÉDITO")</f>
        <v>CRÉDITO</v>
      </c>
      <c r="B645" s="38" t="str">
        <f>+IF((PROVEEDORES[[#This Row],[FECHA DE PAGO]]-PROVEEDORES[[#This Row],[FECHA DE FACTURACIÓN]])&gt;PROVEEDORES[[#This Row],[PLAZO Días]],"PAGO VENCIDO")</f>
        <v>PAGO VENCIDO</v>
      </c>
      <c r="C645" s="20">
        <f>+VLOOKUP(PROVEEDORES[[#This Row],[PROVEEDOR]],TERCEROS_INFO[#All],2,FALSE)</f>
        <v>60</v>
      </c>
      <c r="D645" s="25">
        <f>+SUMIFS(PROVEEDORES[Total],PROVEEDORES[PROVEEDOR],PROVEEDORES[[#This Row],[PROVEEDOR]],PROVEEDORES[FECHA DE PAGO],"")</f>
        <v>5538410</v>
      </c>
      <c r="E645" s="25"/>
      <c r="F645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645" s="289">
        <v>45090</v>
      </c>
      <c r="H645" s="26" t="s">
        <v>624</v>
      </c>
      <c r="I645" s="289">
        <v>45016</v>
      </c>
      <c r="J645" s="35" t="s">
        <v>708</v>
      </c>
      <c r="K645" s="21">
        <v>3332000</v>
      </c>
      <c r="L645" s="21"/>
      <c r="M645" s="22">
        <f>(PROVEEDORES[[#This Row],[SUBTOTAL]]-PROVEEDORES[[#This Row],[descuento sobre subtotal]])*VLOOKUP(PROVEEDORES[[#This Row],[PROVEEDOR]],TERCEROS_INFO[#All],3,FALSE)</f>
        <v>633080</v>
      </c>
      <c r="N645" s="23"/>
      <c r="O645" s="22">
        <f>+PROVEEDORES[[#This Row],[Descuento sobre subtotal %]]*(PROVEEDORES[[#This Row],[SUBTOTAL]]-PROVEEDORES[[#This Row],[descuento sobre subtotal]])</f>
        <v>0</v>
      </c>
      <c r="P645" s="72">
        <f>+IF(PROVEEDORES[[#This Row],[SUBTOTAL]]&lt;PROVEEDORES[[#This Row],[base retencion]],0,PROVEEDORES[[#This Row],[retención aplicada]])</f>
        <v>2.5000000000000001E-2</v>
      </c>
      <c r="Q645" s="22">
        <f>+PROVEEDORES[[#This Row],[Rete Fuente %]]*(PROVEEDORES[[#This Row],[SUBTOTAL]]-PROVEEDORES[[#This Row],[descuento sobre subtotal]])</f>
        <v>83300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3881780</v>
      </c>
      <c r="S6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1">
        <f ca="1">IF(PROVEEDORES[[#This Row],[FECHA DE PAGO]]=0,TODAY()-PROVEEDORES[[#This Row],[FECHA DE FACTURACIÓN]]-PROVEEDORES[[#This Row],[PLAZO Días]],0)</f>
        <v>0</v>
      </c>
      <c r="U645" s="97" t="str">
        <f>+VLOOKUP(PROVEEDORES[[#This Row],[PROVEEDOR]],Terceros!$A:$D,4,FALSE)</f>
        <v>2,5% con base</v>
      </c>
      <c r="V645" s="98">
        <f>+YEAR(PROVEEDORES[[#This Row],[FECHA DE FACTURACIÓN]])</f>
        <v>2023</v>
      </c>
      <c r="W645" s="98">
        <f>+MATCH(PROVEEDORES[[#This Row],[año facturado]],Retenciones!$1:$1,0)</f>
        <v>6</v>
      </c>
      <c r="X645" s="99">
        <f>+VLOOKUP(PROVEEDORES[[#This Row],[ID RETENCION]],Retenciones!$A$1:$O$25,PROVEEDORES[[#This Row],[indicador de columna]],FALSE)</f>
        <v>1145000</v>
      </c>
      <c r="Y645" s="100">
        <f>+VLOOKUP(PROVEEDORES[[#This Row],[ID RETENCION]],Retenciones!$A$1:$O$25,2,FALSE)</f>
        <v>2.5000000000000001E-2</v>
      </c>
      <c r="Z645" s="103" t="b">
        <f>OR(COUNTIF(PROVEEDORES[[#This Row],[PROVEEDOR]],"*"&amp;'Palabra no opera'!$A$2&amp;"*"))</f>
        <v>0</v>
      </c>
    </row>
    <row r="646" spans="1:26" ht="22.35" customHeight="1" x14ac:dyDescent="0.25">
      <c r="A646" s="213" t="str">
        <f>+IF(PROVEEDORES[[#This Row],[FECHA DE PAGO]]=PROVEEDORES[[#This Row],[FECHA DE FACTURACIÓN]],"DE CONTADO","CRÉDITO")</f>
        <v>CRÉDITO</v>
      </c>
      <c r="B646" s="38" t="str">
        <f>+IF((PROVEEDORES[[#This Row],[FECHA DE PAGO]]-PROVEEDORES[[#This Row],[FECHA DE FACTURACIÓN]])&gt;PROVEEDORES[[#This Row],[PLAZO Días]],"PAGO VENCIDO")</f>
        <v>PAGO VENCIDO</v>
      </c>
      <c r="C646" s="20">
        <f>+VLOOKUP(PROVEEDORES[[#This Row],[PROVEEDOR]],TERCEROS_INFO[#All],2,FALSE)</f>
        <v>60</v>
      </c>
      <c r="D646" s="25">
        <f>+SUMIFS(PROVEEDORES[Total],PROVEEDORES[PROVEEDOR],PROVEEDORES[[#This Row],[PROVEEDOR]],PROVEEDORES[FECHA DE PAGO],"")</f>
        <v>5538410</v>
      </c>
      <c r="E646" s="25"/>
      <c r="F646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646" s="289">
        <v>45201</v>
      </c>
      <c r="H646" s="26" t="s">
        <v>624</v>
      </c>
      <c r="I646" s="289">
        <v>45114</v>
      </c>
      <c r="J646" s="35" t="s">
        <v>955</v>
      </c>
      <c r="K646" s="21">
        <v>1519000</v>
      </c>
      <c r="L646" s="21"/>
      <c r="M646" s="22">
        <f>(PROVEEDORES[[#This Row],[SUBTOTAL]]-PROVEEDORES[[#This Row],[descuento sobre subtotal]])*VLOOKUP(PROVEEDORES[[#This Row],[PROVEEDOR]],TERCEROS_INFO[#All],3,FALSE)</f>
        <v>288610</v>
      </c>
      <c r="N646" s="23"/>
      <c r="O646" s="22">
        <f>+PROVEEDORES[[#This Row],[Descuento sobre subtotal %]]*(PROVEEDORES[[#This Row],[SUBTOTAL]]-PROVEEDORES[[#This Row],[descuento sobre subtotal]])</f>
        <v>0</v>
      </c>
      <c r="P646" s="72">
        <f>+IF(PROVEEDORES[[#This Row],[SUBTOTAL]]&lt;PROVEEDORES[[#This Row],[base retencion]],0,PROVEEDORES[[#This Row],[retención aplicada]])</f>
        <v>2.5000000000000001E-2</v>
      </c>
      <c r="Q646" s="22">
        <f>+PROVEEDORES[[#This Row],[Rete Fuente %]]*(PROVEEDORES[[#This Row],[SUBTOTAL]]-PROVEEDORES[[#This Row],[descuento sobre subtotal]])</f>
        <v>37975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1769635</v>
      </c>
      <c r="S646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1">
        <f ca="1">IF(PROVEEDORES[[#This Row],[FECHA DE PAGO]]=0,TODAY()-PROVEEDORES[[#This Row],[FECHA DE FACTURACIÓN]]-PROVEEDORES[[#This Row],[PLAZO Días]],0)</f>
        <v>0</v>
      </c>
      <c r="U646" s="97" t="str">
        <f>+VLOOKUP(PROVEEDORES[[#This Row],[PROVEEDOR]],Terceros!$A:$D,4,FALSE)</f>
        <v>2,5% con base</v>
      </c>
      <c r="V646" s="98">
        <f>+YEAR(PROVEEDORES[[#This Row],[FECHA DE FACTURACIÓN]])</f>
        <v>2023</v>
      </c>
      <c r="W646" s="98">
        <f>+MATCH(PROVEEDORES[[#This Row],[año facturado]],Retenciones!$1:$1,0)</f>
        <v>6</v>
      </c>
      <c r="X646" s="99">
        <f>+VLOOKUP(PROVEEDORES[[#This Row],[ID RETENCION]],Retenciones!$A$1:$O$25,PROVEEDORES[[#This Row],[indicador de columna]],FALSE)</f>
        <v>1145000</v>
      </c>
      <c r="Y646" s="100">
        <f>+VLOOKUP(PROVEEDORES[[#This Row],[ID RETENCION]],Retenciones!$A$1:$O$25,2,FALSE)</f>
        <v>2.5000000000000001E-2</v>
      </c>
      <c r="Z646" s="103" t="b">
        <f>OR(COUNTIF(PROVEEDORES[[#This Row],[PROVEEDOR]],"*"&amp;'Palabra no opera'!$A$2&amp;"*"))</f>
        <v>0</v>
      </c>
    </row>
    <row r="647" spans="1:26" ht="22.35" customHeight="1" x14ac:dyDescent="0.25">
      <c r="A647" s="65" t="str">
        <f>+IF(PROVEEDORES[[#This Row],[FECHA DE PAGO]]=PROVEEDORES[[#This Row],[FECHA DE FACTURACIÓN]],"DE CONTADO","CRÉDITO")</f>
        <v>CRÉDITO</v>
      </c>
      <c r="B647" s="38" t="str">
        <f>+IF((PROVEEDORES[[#This Row],[FECHA DE PAGO]]-PROVEEDORES[[#This Row],[FECHA DE FACTURACIÓN]])&gt;PROVEEDORES[[#This Row],[PLAZO Días]],"PAGO VENCIDO")</f>
        <v>PAGO VENCIDO</v>
      </c>
      <c r="C647" s="20">
        <f>+VLOOKUP(PROVEEDORES[[#This Row],[PROVEEDOR]],TERCEROS_INFO[#All],2,FALSE)</f>
        <v>60</v>
      </c>
      <c r="D647" s="25">
        <f>+SUMIFS(PROVEEDORES[Total],PROVEEDORES[PROVEEDOR],PROVEEDORES[[#This Row],[PROVEEDOR]],PROVEEDORES[FECHA DE PAGO],"")</f>
        <v>5538410</v>
      </c>
      <c r="E647" s="25"/>
      <c r="F647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647" s="289">
        <v>45224</v>
      </c>
      <c r="H647" s="26" t="s">
        <v>624</v>
      </c>
      <c r="I647" s="289">
        <v>45155</v>
      </c>
      <c r="J647" s="35" t="s">
        <v>1047</v>
      </c>
      <c r="K647" s="21">
        <v>3384000</v>
      </c>
      <c r="L647" s="21"/>
      <c r="M647" s="22">
        <f>(PROVEEDORES[[#This Row],[SUBTOTAL]]-PROVEEDORES[[#This Row],[descuento sobre subtotal]])*VLOOKUP(PROVEEDORES[[#This Row],[PROVEEDOR]],TERCEROS_INFO[#All],3,FALSE)</f>
        <v>642960</v>
      </c>
      <c r="N647" s="23"/>
      <c r="O647" s="22">
        <f>+PROVEEDORES[[#This Row],[Descuento sobre subtotal %]]*(PROVEEDORES[[#This Row],[SUBTOTAL]]-PROVEEDORES[[#This Row],[descuento sobre subtotal]])</f>
        <v>0</v>
      </c>
      <c r="P647" s="72">
        <f>+IF(PROVEEDORES[[#This Row],[SUBTOTAL]]&lt;PROVEEDORES[[#This Row],[base retencion]],0,PROVEEDORES[[#This Row],[retención aplicada]])</f>
        <v>2.5000000000000001E-2</v>
      </c>
      <c r="Q647" s="22">
        <f>+PROVEEDORES[[#This Row],[Rete Fuente %]]*(PROVEEDORES[[#This Row],[SUBTOTAL]]-PROVEEDORES[[#This Row],[descuento sobre subtotal]])</f>
        <v>84600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3942360</v>
      </c>
      <c r="S64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1">
        <f ca="1">IF(PROVEEDORES[[#This Row],[FECHA DE PAGO]]=0,TODAY()-PROVEEDORES[[#This Row],[FECHA DE FACTURACIÓN]]-PROVEEDORES[[#This Row],[PLAZO Días]],0)</f>
        <v>0</v>
      </c>
      <c r="U647" s="97" t="str">
        <f>+VLOOKUP(PROVEEDORES[[#This Row],[PROVEEDOR]],Terceros!$A:$D,4,FALSE)</f>
        <v>2,5% con base</v>
      </c>
      <c r="V647" s="98">
        <f>+YEAR(PROVEEDORES[[#This Row],[FECHA DE FACTURACIÓN]])</f>
        <v>2023</v>
      </c>
      <c r="W647" s="98">
        <f>+MATCH(PROVEEDORES[[#This Row],[año facturado]],Retenciones!$1:$1,0)</f>
        <v>6</v>
      </c>
      <c r="X647" s="99">
        <f>+VLOOKUP(PROVEEDORES[[#This Row],[ID RETENCION]],Retenciones!$A$1:$O$25,PROVEEDORES[[#This Row],[indicador de columna]],FALSE)</f>
        <v>1145000</v>
      </c>
      <c r="Y647" s="100">
        <f>+VLOOKUP(PROVEEDORES[[#This Row],[ID RETENCION]],Retenciones!$A$1:$O$25,2,FALSE)</f>
        <v>2.5000000000000001E-2</v>
      </c>
      <c r="Z647" s="103" t="b">
        <f>OR(COUNTIF(PROVEEDORES[[#This Row],[PROVEEDOR]],"*"&amp;'Palabra no opera'!$A$2&amp;"*"))</f>
        <v>0</v>
      </c>
    </row>
    <row r="648" spans="1:26" ht="22.35" customHeight="1" x14ac:dyDescent="0.25">
      <c r="A648" s="65" t="str">
        <f>+IF(PROVEEDORES[[#This Row],[FECHA DE PAGO]]=PROVEEDORES[[#This Row],[FECHA DE FACTURACIÓN]],"DE CONTADO","CRÉDITO")</f>
        <v>CRÉDITO</v>
      </c>
      <c r="B648" s="38" t="b">
        <f>+IF((PROVEEDORES[[#This Row],[FECHA DE PAGO]]-PROVEEDORES[[#This Row],[FECHA DE FACTURACIÓN]])&gt;PROVEEDORES[[#This Row],[PLAZO Días]],"PAGO VENCIDO")</f>
        <v>0</v>
      </c>
      <c r="C648" s="20">
        <f>+VLOOKUP(PROVEEDORES[[#This Row],[PROVEEDOR]],TERCEROS_INFO[#All],2,FALSE)</f>
        <v>60</v>
      </c>
      <c r="D648" s="25">
        <f>+SUMIFS(PROVEEDORES[Total],PROVEEDORES[PROVEEDOR],PROVEEDORES[[#This Row],[PROVEEDOR]],PROVEEDORES[FECHA DE PAGO],"")</f>
        <v>5538410</v>
      </c>
      <c r="E648" s="25"/>
      <c r="F648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648" s="289">
        <v>45264</v>
      </c>
      <c r="H648" s="26" t="s">
        <v>624</v>
      </c>
      <c r="I648" s="289">
        <v>45225</v>
      </c>
      <c r="J648" s="35" t="s">
        <v>1237</v>
      </c>
      <c r="K648" s="21">
        <v>3110000</v>
      </c>
      <c r="L648" s="21"/>
      <c r="M648" s="22">
        <f>(PROVEEDORES[[#This Row],[SUBTOTAL]]-PROVEEDORES[[#This Row],[descuento sobre subtotal]])*VLOOKUP(PROVEEDORES[[#This Row],[PROVEEDOR]],TERCEROS_INFO[#All],3,FALSE)</f>
        <v>590900</v>
      </c>
      <c r="N648" s="23"/>
      <c r="O648" s="22">
        <f>+PROVEEDORES[[#This Row],[Descuento sobre subtotal %]]*(PROVEEDORES[[#This Row],[SUBTOTAL]]-PROVEEDORES[[#This Row],[descuento sobre subtotal]])</f>
        <v>0</v>
      </c>
      <c r="P648" s="72">
        <f>+IF(PROVEEDORES[[#This Row],[SUBTOTAL]]&lt;PROVEEDORES[[#This Row],[base retencion]],0,PROVEEDORES[[#This Row],[retención aplicada]])</f>
        <v>2.5000000000000001E-2</v>
      </c>
      <c r="Q648" s="22">
        <f>+PROVEEDORES[[#This Row],[Rete Fuente %]]*(PROVEEDORES[[#This Row],[SUBTOTAL]]-PROVEEDORES[[#This Row],[descuento sobre subtotal]])</f>
        <v>77750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3623150</v>
      </c>
      <c r="S64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1">
        <f ca="1">IF(PROVEEDORES[[#This Row],[FECHA DE PAGO]]=0,TODAY()-PROVEEDORES[[#This Row],[FECHA DE FACTURACIÓN]]-PROVEEDORES[[#This Row],[PLAZO Días]],0)</f>
        <v>0</v>
      </c>
      <c r="U648" s="97" t="str">
        <f>+VLOOKUP(PROVEEDORES[[#This Row],[PROVEEDOR]],Terceros!$A:$D,4,FALSE)</f>
        <v>2,5% con base</v>
      </c>
      <c r="V648" s="98">
        <f>+YEAR(PROVEEDORES[[#This Row],[FECHA DE FACTURACIÓN]])</f>
        <v>2023</v>
      </c>
      <c r="W648" s="98">
        <f>+MATCH(PROVEEDORES[[#This Row],[año facturado]],Retenciones!$1:$1,0)</f>
        <v>6</v>
      </c>
      <c r="X648" s="99">
        <f>+VLOOKUP(PROVEEDORES[[#This Row],[ID RETENCION]],Retenciones!$A$1:$O$25,PROVEEDORES[[#This Row],[indicador de columna]],FALSE)</f>
        <v>1145000</v>
      </c>
      <c r="Y648" s="100">
        <f>+VLOOKUP(PROVEEDORES[[#This Row],[ID RETENCION]],Retenciones!$A$1:$O$25,2,FALSE)</f>
        <v>2.5000000000000001E-2</v>
      </c>
      <c r="Z648" s="103" t="b">
        <f>OR(COUNTIF(PROVEEDORES[[#This Row],[PROVEEDOR]],"*"&amp;'Palabra no opera'!$A$2&amp;"*"))</f>
        <v>0</v>
      </c>
    </row>
    <row r="649" spans="1:26" ht="22.35" customHeight="1" x14ac:dyDescent="0.25">
      <c r="A649" s="65" t="str">
        <f>+IF(PROVEEDORES[[#This Row],[FECHA DE PAGO]]=PROVEEDORES[[#This Row],[FECHA DE FACTURACIÓN]],"DE CONTADO","CRÉDITO")</f>
        <v>CRÉDITO</v>
      </c>
      <c r="B649" s="38" t="b">
        <f>+IF((PROVEEDORES[[#This Row],[FECHA DE PAGO]]-PROVEEDORES[[#This Row],[FECHA DE FACTURACIÓN]])&gt;PROVEEDORES[[#This Row],[PLAZO Días]],"PAGO VENCIDO")</f>
        <v>0</v>
      </c>
      <c r="C649" s="20">
        <f>+VLOOKUP(PROVEEDORES[[#This Row],[PROVEEDOR]],TERCEROS_INFO[#All],2,FALSE)</f>
        <v>60</v>
      </c>
      <c r="D649" s="25">
        <f>+SUMIFS(PROVEEDORES[Total],PROVEEDORES[PROVEEDOR],PROVEEDORES[[#This Row],[PROVEEDOR]],PROVEEDORES[FECHA DE PAGO],"")</f>
        <v>5538410</v>
      </c>
      <c r="E649" s="25"/>
      <c r="F649" s="56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H649" s="26" t="s">
        <v>624</v>
      </c>
      <c r="I649" s="289">
        <v>45275</v>
      </c>
      <c r="J649" s="35" t="s">
        <v>1413</v>
      </c>
      <c r="K649" s="21">
        <v>4754000</v>
      </c>
      <c r="L649" s="21"/>
      <c r="M649" s="22">
        <f>(PROVEEDORES[[#This Row],[SUBTOTAL]]-PROVEEDORES[[#This Row],[descuento sobre subtotal]])*VLOOKUP(PROVEEDORES[[#This Row],[PROVEEDOR]],TERCEROS_INFO[#All],3,FALSE)</f>
        <v>903260</v>
      </c>
      <c r="N649" s="23"/>
      <c r="O649" s="22">
        <f>+PROVEEDORES[[#This Row],[Descuento sobre subtotal %]]*(PROVEEDORES[[#This Row],[SUBTOTAL]]-PROVEEDORES[[#This Row],[descuento sobre subtotal]])</f>
        <v>0</v>
      </c>
      <c r="P649" s="72">
        <f>+IF(PROVEEDORES[[#This Row],[SUBTOTAL]]&lt;PROVEEDORES[[#This Row],[base retencion]],0,PROVEEDORES[[#This Row],[retención aplicada]])</f>
        <v>2.5000000000000001E-2</v>
      </c>
      <c r="Q649" s="22">
        <f>+PROVEEDORES[[#This Row],[Rete Fuente %]]*(PROVEEDORES[[#This Row],[SUBTOTAL]]-PROVEEDORES[[#This Row],[descuento sobre subtotal]])</f>
        <v>118850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5538410</v>
      </c>
      <c r="S649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49" s="61">
        <f ca="1">IF(PROVEEDORES[[#This Row],[FECHA DE PAGO]]=0,TODAY()-PROVEEDORES[[#This Row],[FECHA DE FACTURACIÓN]]-PROVEEDORES[[#This Row],[PLAZO Días]],0)</f>
        <v>-7</v>
      </c>
      <c r="U649" s="97" t="str">
        <f>+VLOOKUP(PROVEEDORES[[#This Row],[PROVEEDOR]],Terceros!$A:$D,4,FALSE)</f>
        <v>2,5% con base</v>
      </c>
      <c r="V649" s="98">
        <f>+YEAR(PROVEEDORES[[#This Row],[FECHA DE FACTURACIÓN]])</f>
        <v>2023</v>
      </c>
      <c r="W649" s="98">
        <f>+MATCH(PROVEEDORES[[#This Row],[año facturado]],Retenciones!$1:$1,0)</f>
        <v>6</v>
      </c>
      <c r="X649" s="99">
        <f>+VLOOKUP(PROVEEDORES[[#This Row],[ID RETENCION]],Retenciones!$A$1:$O$25,PROVEEDORES[[#This Row],[indicador de columna]],FALSE)</f>
        <v>1145000</v>
      </c>
      <c r="Y649" s="100">
        <f>+VLOOKUP(PROVEEDORES[[#This Row],[ID RETENCION]],Retenciones!$A$1:$O$25,2,FALSE)</f>
        <v>2.5000000000000001E-2</v>
      </c>
      <c r="Z649" s="103" t="b">
        <f>OR(COUNTIF(PROVEEDORES[[#This Row],[PROVEEDOR]],"*"&amp;'Palabra no opera'!$A$2&amp;"*"))</f>
        <v>0</v>
      </c>
    </row>
    <row r="650" spans="1:26" ht="22.35" customHeight="1" x14ac:dyDescent="0.25">
      <c r="A650" s="155" t="str">
        <f>+IF(PROVEEDORES[[#This Row],[FECHA DE PAGO]]=PROVEEDORES[[#This Row],[FECHA DE FACTURACIÓN]],"DE CONTADO","CRÉDITO")</f>
        <v>CRÉDITO</v>
      </c>
      <c r="B650" s="38" t="str">
        <f>+IF((PROVEEDORES[[#This Row],[FECHA DE PAGO]]-PROVEEDORES[[#This Row],[FECHA DE FACTURACIÓN]])&gt;PROVEEDORES[[#This Row],[PLAZO Días]],"PAGO VENCIDO")</f>
        <v>PAGO VENCIDO</v>
      </c>
      <c r="C650" s="20">
        <f>+VLOOKUP(PROVEEDORES[[#This Row],[PROVEEDOR]],TERCEROS_INFO[#All],2,FALSE)</f>
        <v>60</v>
      </c>
      <c r="D650" s="25">
        <f>+SUMIFS(PROVEEDORES[Total],PROVEEDORES[PROVEEDOR],PROVEEDORES[[#This Row],[PROVEEDOR]],PROVEEDORES[FECHA DE PAGO],"")</f>
        <v>14884783</v>
      </c>
      <c r="E650" s="25"/>
      <c r="F65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0" s="289">
        <v>45036</v>
      </c>
      <c r="H650" s="26" t="s">
        <v>76</v>
      </c>
      <c r="I650" s="289">
        <v>44974</v>
      </c>
      <c r="J650" s="35" t="s">
        <v>630</v>
      </c>
      <c r="K650" s="21">
        <v>4204800</v>
      </c>
      <c r="L650" s="21"/>
      <c r="M650" s="22">
        <f>(PROVEEDORES[[#This Row],[SUBTOTAL]]-PROVEEDORES[[#This Row],[descuento sobre subtotal]])*VLOOKUP(PROVEEDORES[[#This Row],[PROVEEDOR]],TERCEROS_INFO[#All],3,FALSE)</f>
        <v>798912</v>
      </c>
      <c r="N650" s="23"/>
      <c r="O650" s="22">
        <f>+PROVEEDORES[[#This Row],[Descuento sobre subtotal %]]*(PROVEEDORES[[#This Row],[SUBTOTAL]]-PROVEEDORES[[#This Row],[descuento sobre subtotal]])</f>
        <v>0</v>
      </c>
      <c r="P650" s="72">
        <f>+IF(PROVEEDORES[[#This Row],[SUBTOTAL]]&lt;PROVEEDORES[[#This Row],[base retencion]],0,PROVEEDORES[[#This Row],[retención aplicada]])</f>
        <v>2.5000000000000001E-2</v>
      </c>
      <c r="Q650" s="22">
        <f>+PROVEEDORES[[#This Row],[Rete Fuente %]]*(PROVEEDORES[[#This Row],[SUBTOTAL]]-PROVEEDORES[[#This Row],[descuento sobre subtotal]])</f>
        <v>105120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4898592</v>
      </c>
      <c r="S650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1">
        <f ca="1">IF(PROVEEDORES[[#This Row],[FECHA DE PAGO]]=0,TODAY()-PROVEEDORES[[#This Row],[FECHA DE FACTURACIÓN]]-PROVEEDORES[[#This Row],[PLAZO Días]],0)</f>
        <v>0</v>
      </c>
      <c r="U650" s="97" t="str">
        <f>+VLOOKUP(PROVEEDORES[[#This Row],[PROVEEDOR]],Terceros!$A:$D,4,FALSE)</f>
        <v>2,5% con base</v>
      </c>
      <c r="V650" s="98">
        <f>+YEAR(PROVEEDORES[[#This Row],[FECHA DE FACTURACIÓN]])</f>
        <v>2023</v>
      </c>
      <c r="W650" s="98">
        <f>+MATCH(PROVEEDORES[[#This Row],[año facturado]],Retenciones!$1:$1,0)</f>
        <v>6</v>
      </c>
      <c r="X650" s="99">
        <f>+VLOOKUP(PROVEEDORES[[#This Row],[ID RETENCION]],Retenciones!$A$1:$O$25,PROVEEDORES[[#This Row],[indicador de columna]],FALSE)</f>
        <v>1145000</v>
      </c>
      <c r="Y650" s="100">
        <f>+VLOOKUP(PROVEEDORES[[#This Row],[ID RETENCION]],Retenciones!$A$1:$O$25,2,FALSE)</f>
        <v>2.5000000000000001E-2</v>
      </c>
      <c r="Z650" s="103" t="b">
        <f>OR(COUNTIF(PROVEEDORES[[#This Row],[PROVEEDOR]],"*"&amp;'Palabra no opera'!$A$2&amp;"*"))</f>
        <v>0</v>
      </c>
    </row>
    <row r="651" spans="1:26" ht="22.35" customHeight="1" x14ac:dyDescent="0.25">
      <c r="A651" s="155" t="str">
        <f>+IF(PROVEEDORES[[#This Row],[FECHA DE PAGO]]=PROVEEDORES[[#This Row],[FECHA DE FACTURACIÓN]],"DE CONTADO","CRÉDITO")</f>
        <v>CRÉDITO</v>
      </c>
      <c r="B651" s="38" t="b">
        <f>+IF((PROVEEDORES[[#This Row],[FECHA DE PAGO]]-PROVEEDORES[[#This Row],[FECHA DE FACTURACIÓN]])&gt;PROVEEDORES[[#This Row],[PLAZO Días]],"PAGO VENCIDO")</f>
        <v>0</v>
      </c>
      <c r="C651" s="20">
        <f>+VLOOKUP(PROVEEDORES[[#This Row],[PROVEEDOR]],TERCEROS_INFO[#All],2,FALSE)</f>
        <v>60</v>
      </c>
      <c r="D651" s="25">
        <f>+SUMIFS(PROVEEDORES[Total],PROVEEDORES[PROVEEDOR],PROVEEDORES[[#This Row],[PROVEEDOR]],PROVEEDORES[FECHA DE PAGO],"")</f>
        <v>14884783</v>
      </c>
      <c r="E651" s="25"/>
      <c r="F65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1" s="289">
        <v>45036</v>
      </c>
      <c r="H651" s="26" t="s">
        <v>76</v>
      </c>
      <c r="I651" s="289">
        <v>44978</v>
      </c>
      <c r="J651" s="35" t="s">
        <v>631</v>
      </c>
      <c r="K651" s="21">
        <v>1536000</v>
      </c>
      <c r="L651" s="21"/>
      <c r="M651" s="22">
        <f>(PROVEEDORES[[#This Row],[SUBTOTAL]]-PROVEEDORES[[#This Row],[descuento sobre subtotal]])*VLOOKUP(PROVEEDORES[[#This Row],[PROVEEDOR]],TERCEROS_INFO[#All],3,FALSE)</f>
        <v>291840</v>
      </c>
      <c r="N651" s="23"/>
      <c r="O651" s="22">
        <f>+PROVEEDORES[[#This Row],[Descuento sobre subtotal %]]*(PROVEEDORES[[#This Row],[SUBTOTAL]]-PROVEEDORES[[#This Row],[descuento sobre subtotal]])</f>
        <v>0</v>
      </c>
      <c r="P651" s="72">
        <f>+IF(PROVEEDORES[[#This Row],[SUBTOTAL]]&lt;PROVEEDORES[[#This Row],[base retencion]],0,PROVEEDORES[[#This Row],[retención aplicada]])</f>
        <v>2.5000000000000001E-2</v>
      </c>
      <c r="Q651" s="22">
        <f>+PROVEEDORES[[#This Row],[Rete Fuente %]]*(PROVEEDORES[[#This Row],[SUBTOTAL]]-PROVEEDORES[[#This Row],[descuento sobre subtotal]])</f>
        <v>38400</v>
      </c>
      <c r="R651" s="21">
        <f>+PROVEEDORES[[#This Row],[SUBTOTAL]]+PROVEEDORES[[#This Row],[IVA 19%]]-PROVEEDORES[[#This Row],[descuento sobre subtotal]]-PROVEEDORES[[#This Row],[Descuento sobre subtotal $2]]-PROVEEDORES[[#This Row],[Rete Fuente $]]</f>
        <v>1789440</v>
      </c>
      <c r="S651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1">
        <f ca="1">IF(PROVEEDORES[[#This Row],[FECHA DE PAGO]]=0,TODAY()-PROVEEDORES[[#This Row],[FECHA DE FACTURACIÓN]]-PROVEEDORES[[#This Row],[PLAZO Días]],0)</f>
        <v>0</v>
      </c>
      <c r="U651" s="97" t="str">
        <f>+VLOOKUP(PROVEEDORES[[#This Row],[PROVEEDOR]],Terceros!$A:$D,4,FALSE)</f>
        <v>2,5% con base</v>
      </c>
      <c r="V651" s="98">
        <f>+YEAR(PROVEEDORES[[#This Row],[FECHA DE FACTURACIÓN]])</f>
        <v>2023</v>
      </c>
      <c r="W651" s="98">
        <f>+MATCH(PROVEEDORES[[#This Row],[año facturado]],Retenciones!$1:$1,0)</f>
        <v>6</v>
      </c>
      <c r="X651" s="99">
        <f>+VLOOKUP(PROVEEDORES[[#This Row],[ID RETENCION]],Retenciones!$A$1:$O$25,PROVEEDORES[[#This Row],[indicador de columna]],FALSE)</f>
        <v>1145000</v>
      </c>
      <c r="Y651" s="100">
        <f>+VLOOKUP(PROVEEDORES[[#This Row],[ID RETENCION]],Retenciones!$A$1:$O$25,2,FALSE)</f>
        <v>2.5000000000000001E-2</v>
      </c>
      <c r="Z651" s="103" t="b">
        <f>OR(COUNTIF(PROVEEDORES[[#This Row],[PROVEEDOR]],"*"&amp;'Palabra no opera'!$A$2&amp;"*"))</f>
        <v>0</v>
      </c>
    </row>
    <row r="652" spans="1:26" ht="22.35" customHeight="1" x14ac:dyDescent="0.25">
      <c r="A652" s="65" t="str">
        <f>+IF(PROVEEDORES[[#This Row],[FECHA DE PAGO]]=PROVEEDORES[[#This Row],[FECHA DE FACTURACIÓN]],"DE CONTADO","CRÉDITO")</f>
        <v>CRÉDITO</v>
      </c>
      <c r="B652" s="38" t="str">
        <f>+IF((PROVEEDORES[[#This Row],[FECHA DE PAGO]]-PROVEEDORES[[#This Row],[FECHA DE FACTURACIÓN]])&gt;PROVEEDORES[[#This Row],[PLAZO Días]],"PAGO VENCIDO")</f>
        <v>PAGO VENCIDO</v>
      </c>
      <c r="C652" s="20">
        <f>+VLOOKUP(PROVEEDORES[[#This Row],[PROVEEDOR]],TERCEROS_INFO[#All],2,FALSE)</f>
        <v>60</v>
      </c>
      <c r="D652" s="25">
        <f>+SUMIFS(PROVEEDORES[Total],PROVEEDORES[PROVEEDOR],PROVEEDORES[[#This Row],[PROVEEDOR]],PROVEEDORES[FECHA DE PAGO],"")</f>
        <v>14884783</v>
      </c>
      <c r="E652" s="25"/>
      <c r="F652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2" s="289">
        <v>45097</v>
      </c>
      <c r="H652" s="26" t="s">
        <v>76</v>
      </c>
      <c r="I652" s="289">
        <v>45026</v>
      </c>
      <c r="J652" s="35" t="s">
        <v>752</v>
      </c>
      <c r="K652" s="21">
        <v>1768800</v>
      </c>
      <c r="L652" s="21"/>
      <c r="M652" s="22">
        <f>(PROVEEDORES[[#This Row],[SUBTOTAL]]-PROVEEDORES[[#This Row],[descuento sobre subtotal]])*VLOOKUP(PROVEEDORES[[#This Row],[PROVEEDOR]],TERCEROS_INFO[#All],3,FALSE)</f>
        <v>336072</v>
      </c>
      <c r="N652" s="23"/>
      <c r="O652" s="22">
        <f>+PROVEEDORES[[#This Row],[Descuento sobre subtotal %]]*(PROVEEDORES[[#This Row],[SUBTOTAL]]-PROVEEDORES[[#This Row],[descuento sobre subtotal]])</f>
        <v>0</v>
      </c>
      <c r="P652" s="72">
        <f>+IF(PROVEEDORES[[#This Row],[SUBTOTAL]]&lt;PROVEEDORES[[#This Row],[base retencion]],0,PROVEEDORES[[#This Row],[retención aplicada]])</f>
        <v>2.5000000000000001E-2</v>
      </c>
      <c r="Q652" s="22">
        <f>+PROVEEDORES[[#This Row],[Rete Fuente %]]*(PROVEEDORES[[#This Row],[SUBTOTAL]]-PROVEEDORES[[#This Row],[descuento sobre subtotal]])</f>
        <v>44220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2060652</v>
      </c>
      <c r="S6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1">
        <f ca="1">IF(PROVEEDORES[[#This Row],[FECHA DE PAGO]]=0,TODAY()-PROVEEDORES[[#This Row],[FECHA DE FACTURACIÓN]]-PROVEEDORES[[#This Row],[PLAZO Días]],0)</f>
        <v>0</v>
      </c>
      <c r="U652" s="97" t="str">
        <f>+VLOOKUP(PROVEEDORES[[#This Row],[PROVEEDOR]],Terceros!$A:$D,4,FALSE)</f>
        <v>2,5% con base</v>
      </c>
      <c r="V652" s="98">
        <f>+YEAR(PROVEEDORES[[#This Row],[FECHA DE FACTURACIÓN]])</f>
        <v>2023</v>
      </c>
      <c r="W652" s="98">
        <f>+MATCH(PROVEEDORES[[#This Row],[año facturado]],Retenciones!$1:$1,0)</f>
        <v>6</v>
      </c>
      <c r="X652" s="99">
        <f>+VLOOKUP(PROVEEDORES[[#This Row],[ID RETENCION]],Retenciones!$A$1:$O$25,PROVEEDORES[[#This Row],[indicador de columna]],FALSE)</f>
        <v>1145000</v>
      </c>
      <c r="Y652" s="100">
        <f>+VLOOKUP(PROVEEDORES[[#This Row],[ID RETENCION]],Retenciones!$A$1:$O$25,2,FALSE)</f>
        <v>2.5000000000000001E-2</v>
      </c>
      <c r="Z652" s="103" t="b">
        <f>OR(COUNTIF(PROVEEDORES[[#This Row],[PROVEEDOR]],"*"&amp;'Palabra no opera'!$A$2&amp;"*"))</f>
        <v>0</v>
      </c>
    </row>
    <row r="653" spans="1:26" ht="22.35" customHeight="1" x14ac:dyDescent="0.25">
      <c r="A653" s="192" t="str">
        <f>+IF(PROVEEDORES[[#This Row],[FECHA DE PAGO]]=PROVEEDORES[[#This Row],[FECHA DE FACTURACIÓN]],"DE CONTADO","CRÉDITO")</f>
        <v>CRÉDITO</v>
      </c>
      <c r="B653" s="38" t="b">
        <f>+IF((PROVEEDORES[[#This Row],[FECHA DE PAGO]]-PROVEEDORES[[#This Row],[FECHA DE FACTURACIÓN]])&gt;PROVEEDORES[[#This Row],[PLAZO Días]],"PAGO VENCIDO")</f>
        <v>0</v>
      </c>
      <c r="C653" s="20">
        <f>+VLOOKUP(PROVEEDORES[[#This Row],[PROVEEDOR]],TERCEROS_INFO[#All],2,FALSE)</f>
        <v>60</v>
      </c>
      <c r="D653" s="25">
        <f>+SUMIFS(PROVEEDORES[Total],PROVEEDORES[PROVEEDOR],PROVEEDORES[[#This Row],[PROVEEDOR]],PROVEEDORES[FECHA DE PAGO],"")</f>
        <v>14884783</v>
      </c>
      <c r="E653" s="25"/>
      <c r="F653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3" s="289">
        <v>45097</v>
      </c>
      <c r="H653" s="26" t="s">
        <v>76</v>
      </c>
      <c r="I653" s="289">
        <v>45042</v>
      </c>
      <c r="J653" s="35" t="s">
        <v>799</v>
      </c>
      <c r="K653" s="21">
        <v>8754400</v>
      </c>
      <c r="L653" s="21"/>
      <c r="M653" s="22">
        <f>(PROVEEDORES[[#This Row],[SUBTOTAL]]-PROVEEDORES[[#This Row],[descuento sobre subtotal]])*VLOOKUP(PROVEEDORES[[#This Row],[PROVEEDOR]],TERCEROS_INFO[#All],3,FALSE)</f>
        <v>1663336</v>
      </c>
      <c r="N653" s="23"/>
      <c r="O653" s="22">
        <f>+PROVEEDORES[[#This Row],[Descuento sobre subtotal %]]*(PROVEEDORES[[#This Row],[SUBTOTAL]]-PROVEEDORES[[#This Row],[descuento sobre subtotal]])</f>
        <v>0</v>
      </c>
      <c r="P653" s="72">
        <f>+IF(PROVEEDORES[[#This Row],[SUBTOTAL]]&lt;PROVEEDORES[[#This Row],[base retencion]],0,PROVEEDORES[[#This Row],[retención aplicada]])</f>
        <v>2.5000000000000001E-2</v>
      </c>
      <c r="Q653" s="22">
        <f>+PROVEEDORES[[#This Row],[Rete Fuente %]]*(PROVEEDORES[[#This Row],[SUBTOTAL]]-PROVEEDORES[[#This Row],[descuento sobre subtotal]])</f>
        <v>218860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10198876</v>
      </c>
      <c r="S65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1">
        <f ca="1">IF(PROVEEDORES[[#This Row],[FECHA DE PAGO]]=0,TODAY()-PROVEEDORES[[#This Row],[FECHA DE FACTURACIÓN]]-PROVEEDORES[[#This Row],[PLAZO Días]],0)</f>
        <v>0</v>
      </c>
      <c r="U653" s="97" t="str">
        <f>+VLOOKUP(PROVEEDORES[[#This Row],[PROVEEDOR]],Terceros!$A:$D,4,FALSE)</f>
        <v>2,5% con base</v>
      </c>
      <c r="V653" s="98">
        <f>+YEAR(PROVEEDORES[[#This Row],[FECHA DE FACTURACIÓN]])</f>
        <v>2023</v>
      </c>
      <c r="W653" s="98">
        <f>+MATCH(PROVEEDORES[[#This Row],[año facturado]],Retenciones!$1:$1,0)</f>
        <v>6</v>
      </c>
      <c r="X653" s="99">
        <f>+VLOOKUP(PROVEEDORES[[#This Row],[ID RETENCION]],Retenciones!$A$1:$O$25,PROVEEDORES[[#This Row],[indicador de columna]],FALSE)</f>
        <v>1145000</v>
      </c>
      <c r="Y653" s="100">
        <f>+VLOOKUP(PROVEEDORES[[#This Row],[ID RETENCION]],Retenciones!$A$1:$O$25,2,FALSE)</f>
        <v>2.5000000000000001E-2</v>
      </c>
      <c r="Z653" s="103" t="b">
        <f>OR(COUNTIF(PROVEEDORES[[#This Row],[PROVEEDOR]],"*"&amp;'Palabra no opera'!$A$2&amp;"*"))</f>
        <v>0</v>
      </c>
    </row>
    <row r="654" spans="1:26" ht="22.35" customHeight="1" x14ac:dyDescent="0.25">
      <c r="A654" s="205" t="str">
        <f>+IF(PROVEEDORES[[#This Row],[FECHA DE PAGO]]=PROVEEDORES[[#This Row],[FECHA DE FACTURACIÓN]],"DE CONTADO","CRÉDITO")</f>
        <v>CRÉDITO</v>
      </c>
      <c r="B654" s="38" t="str">
        <f>+IF((PROVEEDORES[[#This Row],[FECHA DE PAGO]]-PROVEEDORES[[#This Row],[FECHA DE FACTURACIÓN]])&gt;PROVEEDORES[[#This Row],[PLAZO Días]],"PAGO VENCIDO")</f>
        <v>PAGO VENCIDO</v>
      </c>
      <c r="C654" s="20">
        <f>+VLOOKUP(PROVEEDORES[[#This Row],[PROVEEDOR]],TERCEROS_INFO[#All],2,FALSE)</f>
        <v>60</v>
      </c>
      <c r="D654" s="25">
        <f>+SUMIFS(PROVEEDORES[Total],PROVEEDORES[PROVEEDOR],PROVEEDORES[[#This Row],[PROVEEDOR]],PROVEEDORES[FECHA DE PAGO],"")</f>
        <v>14884783</v>
      </c>
      <c r="E654" s="25"/>
      <c r="F654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4" s="289">
        <v>45175</v>
      </c>
      <c r="H654" s="26" t="s">
        <v>76</v>
      </c>
      <c r="I654" s="289">
        <v>45090</v>
      </c>
      <c r="J654" s="35" t="s">
        <v>902</v>
      </c>
      <c r="K654" s="21">
        <v>4576000</v>
      </c>
      <c r="L654" s="21"/>
      <c r="M654" s="22">
        <f>(PROVEEDORES[[#This Row],[SUBTOTAL]]-PROVEEDORES[[#This Row],[descuento sobre subtotal]])*VLOOKUP(PROVEEDORES[[#This Row],[PROVEEDOR]],TERCEROS_INFO[#All],3,FALSE)</f>
        <v>869440</v>
      </c>
      <c r="N654" s="23"/>
      <c r="O654" s="22">
        <f>+PROVEEDORES[[#This Row],[Descuento sobre subtotal %]]*(PROVEEDORES[[#This Row],[SUBTOTAL]]-PROVEEDORES[[#This Row],[descuento sobre subtotal]])</f>
        <v>0</v>
      </c>
      <c r="P654" s="72">
        <f>+IF(PROVEEDORES[[#This Row],[SUBTOTAL]]&lt;PROVEEDORES[[#This Row],[base retencion]],0,PROVEEDORES[[#This Row],[retención aplicada]])</f>
        <v>2.5000000000000001E-2</v>
      </c>
      <c r="Q654" s="22">
        <f>+PROVEEDORES[[#This Row],[Rete Fuente %]]*(PROVEEDORES[[#This Row],[SUBTOTAL]]-PROVEEDORES[[#This Row],[descuento sobre subtotal]])</f>
        <v>114400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5331040</v>
      </c>
      <c r="S654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1">
        <f ca="1">IF(PROVEEDORES[[#This Row],[FECHA DE PAGO]]=0,TODAY()-PROVEEDORES[[#This Row],[FECHA DE FACTURACIÓN]]-PROVEEDORES[[#This Row],[PLAZO Días]],0)</f>
        <v>0</v>
      </c>
      <c r="U654" s="97" t="str">
        <f>+VLOOKUP(PROVEEDORES[[#This Row],[PROVEEDOR]],Terceros!$A:$D,4,FALSE)</f>
        <v>2,5% con base</v>
      </c>
      <c r="V654" s="98">
        <f>+YEAR(PROVEEDORES[[#This Row],[FECHA DE FACTURACIÓN]])</f>
        <v>2023</v>
      </c>
      <c r="W654" s="98">
        <f>+MATCH(PROVEEDORES[[#This Row],[año facturado]],Retenciones!$1:$1,0)</f>
        <v>6</v>
      </c>
      <c r="X654" s="99">
        <f>+VLOOKUP(PROVEEDORES[[#This Row],[ID RETENCION]],Retenciones!$A$1:$O$25,PROVEEDORES[[#This Row],[indicador de columna]],FALSE)</f>
        <v>1145000</v>
      </c>
      <c r="Y654" s="100">
        <f>+VLOOKUP(PROVEEDORES[[#This Row],[ID RETENCION]],Retenciones!$A$1:$O$25,2,FALSE)</f>
        <v>2.5000000000000001E-2</v>
      </c>
      <c r="Z654" s="103" t="b">
        <f>OR(COUNTIF(PROVEEDORES[[#This Row],[PROVEEDOR]],"*"&amp;'Palabra no opera'!$A$2&amp;"*"))</f>
        <v>0</v>
      </c>
    </row>
    <row r="655" spans="1:26" ht="22.35" customHeight="1" x14ac:dyDescent="0.25">
      <c r="A655" s="65" t="str">
        <f>+IF(PROVEEDORES[[#This Row],[FECHA DE PAGO]]=PROVEEDORES[[#This Row],[FECHA DE FACTURACIÓN]],"DE CONTADO","CRÉDITO")</f>
        <v>CRÉDITO</v>
      </c>
      <c r="B655" s="38" t="b">
        <f>+IF((PROVEEDORES[[#This Row],[FECHA DE PAGO]]-PROVEEDORES[[#This Row],[FECHA DE FACTURACIÓN]])&gt;PROVEEDORES[[#This Row],[PLAZO Días]],"PAGO VENCIDO")</f>
        <v>0</v>
      </c>
      <c r="C655" s="20">
        <f>+VLOOKUP(PROVEEDORES[[#This Row],[PROVEEDOR]],TERCEROS_INFO[#All],2,FALSE)</f>
        <v>60</v>
      </c>
      <c r="D655" s="25">
        <f>+SUMIFS(PROVEEDORES[Total],PROVEEDORES[PROVEEDOR],PROVEEDORES[[#This Row],[PROVEEDOR]],PROVEEDORES[FECHA DE PAGO],"")</f>
        <v>14884783</v>
      </c>
      <c r="E655" s="25"/>
      <c r="F655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5" s="289">
        <v>45246</v>
      </c>
      <c r="H655" s="26" t="s">
        <v>76</v>
      </c>
      <c r="I655" s="289">
        <v>45218</v>
      </c>
      <c r="J655" s="35" t="s">
        <v>1214</v>
      </c>
      <c r="K655" s="21">
        <v>5488200</v>
      </c>
      <c r="L655" s="21"/>
      <c r="M655" s="22">
        <f>(PROVEEDORES[[#This Row],[SUBTOTAL]]-PROVEEDORES[[#This Row],[descuento sobre subtotal]])*VLOOKUP(PROVEEDORES[[#This Row],[PROVEEDOR]],TERCEROS_INFO[#All],3,FALSE)</f>
        <v>1042758</v>
      </c>
      <c r="N655" s="23"/>
      <c r="O655" s="22">
        <f>+PROVEEDORES[[#This Row],[Descuento sobre subtotal %]]*(PROVEEDORES[[#This Row],[SUBTOTAL]]-PROVEEDORES[[#This Row],[descuento sobre subtotal]])</f>
        <v>0</v>
      </c>
      <c r="P655" s="72">
        <f>+IF(PROVEEDORES[[#This Row],[SUBTOTAL]]&lt;PROVEEDORES[[#This Row],[base retencion]],0,PROVEEDORES[[#This Row],[retención aplicada]])</f>
        <v>2.5000000000000001E-2</v>
      </c>
      <c r="Q655" s="22">
        <f>+PROVEEDORES[[#This Row],[Rete Fuente %]]*(PROVEEDORES[[#This Row],[SUBTOTAL]]-PROVEEDORES[[#This Row],[descuento sobre subtotal]])</f>
        <v>137205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6393753</v>
      </c>
      <c r="S65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1">
        <f ca="1">IF(PROVEEDORES[[#This Row],[FECHA DE PAGO]]=0,TODAY()-PROVEEDORES[[#This Row],[FECHA DE FACTURACIÓN]]-PROVEEDORES[[#This Row],[PLAZO Días]],0)</f>
        <v>0</v>
      </c>
      <c r="U655" s="97" t="str">
        <f>+VLOOKUP(PROVEEDORES[[#This Row],[PROVEEDOR]],Terceros!$A:$D,4,FALSE)</f>
        <v>2,5% con base</v>
      </c>
      <c r="V655" s="98">
        <f>+YEAR(PROVEEDORES[[#This Row],[FECHA DE FACTURACIÓN]])</f>
        <v>2023</v>
      </c>
      <c r="W655" s="98">
        <f>+MATCH(PROVEEDORES[[#This Row],[año facturado]],Retenciones!$1:$1,0)</f>
        <v>6</v>
      </c>
      <c r="X655" s="99">
        <f>+VLOOKUP(PROVEEDORES[[#This Row],[ID RETENCION]],Retenciones!$A$1:$O$25,PROVEEDORES[[#This Row],[indicador de columna]],FALSE)</f>
        <v>1145000</v>
      </c>
      <c r="Y655" s="100">
        <f>+VLOOKUP(PROVEEDORES[[#This Row],[ID RETENCION]],Retenciones!$A$1:$O$25,2,FALSE)</f>
        <v>2.5000000000000001E-2</v>
      </c>
      <c r="Z655" s="103" t="b">
        <f>OR(COUNTIF(PROVEEDORES[[#This Row],[PROVEEDOR]],"*"&amp;'Palabra no opera'!$A$2&amp;"*"))</f>
        <v>0</v>
      </c>
    </row>
    <row r="656" spans="1:26" ht="22.35" customHeight="1" x14ac:dyDescent="0.25">
      <c r="A656" s="65" t="str">
        <f>+IF(PROVEEDORES[[#This Row],[FECHA DE PAGO]]=PROVEEDORES[[#This Row],[FECHA DE FACTURACIÓN]],"DE CONTADO","CRÉDITO")</f>
        <v>CRÉDITO</v>
      </c>
      <c r="B656" s="38" t="b">
        <f>+IF((PROVEEDORES[[#This Row],[FECHA DE PAGO]]-PROVEEDORES[[#This Row],[FECHA DE FACTURACIÓN]])&gt;PROVEEDORES[[#This Row],[PLAZO Días]],"PAGO VENCIDO")</f>
        <v>0</v>
      </c>
      <c r="C656" s="20">
        <f>+VLOOKUP(PROVEEDORES[[#This Row],[PROVEEDOR]],TERCEROS_INFO[#All],2,FALSE)</f>
        <v>60</v>
      </c>
      <c r="D656" s="25">
        <f>+SUMIFS(PROVEEDORES[Total],PROVEEDORES[PROVEEDOR],PROVEEDORES[[#This Row],[PROVEEDOR]],PROVEEDORES[FECHA DE PAGO],"")</f>
        <v>14884783</v>
      </c>
      <c r="E656" s="25"/>
      <c r="F656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6" s="289">
        <v>45246</v>
      </c>
      <c r="H656" s="26" t="s">
        <v>76</v>
      </c>
      <c r="I656" s="289">
        <v>45218</v>
      </c>
      <c r="J656" s="35" t="s">
        <v>1215</v>
      </c>
      <c r="K656" s="21">
        <v>1478700</v>
      </c>
      <c r="L656" s="21"/>
      <c r="M656" s="22">
        <f>(PROVEEDORES[[#This Row],[SUBTOTAL]]-PROVEEDORES[[#This Row],[descuento sobre subtotal]])*VLOOKUP(PROVEEDORES[[#This Row],[PROVEEDOR]],TERCEROS_INFO[#All],3,FALSE)</f>
        <v>280953</v>
      </c>
      <c r="N656" s="23"/>
      <c r="O656" s="22">
        <f>+PROVEEDORES[[#This Row],[Descuento sobre subtotal %]]*(PROVEEDORES[[#This Row],[SUBTOTAL]]-PROVEEDORES[[#This Row],[descuento sobre subtotal]])</f>
        <v>0</v>
      </c>
      <c r="P656" s="72">
        <f>+IF(PROVEEDORES[[#This Row],[SUBTOTAL]]&lt;PROVEEDORES[[#This Row],[base retencion]],0,PROVEEDORES[[#This Row],[retención aplicada]])</f>
        <v>2.5000000000000001E-2</v>
      </c>
      <c r="Q656" s="22">
        <f>+PROVEEDORES[[#This Row],[Rete Fuente %]]*(PROVEEDORES[[#This Row],[SUBTOTAL]]-PROVEEDORES[[#This Row],[descuento sobre subtotal]])</f>
        <v>36967.5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1722685.5</v>
      </c>
      <c r="S6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1">
        <f ca="1">IF(PROVEEDORES[[#This Row],[FECHA DE PAGO]]=0,TODAY()-PROVEEDORES[[#This Row],[FECHA DE FACTURACIÓN]]-PROVEEDORES[[#This Row],[PLAZO Días]],0)</f>
        <v>0</v>
      </c>
      <c r="U656" s="97" t="str">
        <f>+VLOOKUP(PROVEEDORES[[#This Row],[PROVEEDOR]],Terceros!$A:$D,4,FALSE)</f>
        <v>2,5% con base</v>
      </c>
      <c r="V656" s="98">
        <f>+YEAR(PROVEEDORES[[#This Row],[FECHA DE FACTURACIÓN]])</f>
        <v>2023</v>
      </c>
      <c r="W656" s="98">
        <f>+MATCH(PROVEEDORES[[#This Row],[año facturado]],Retenciones!$1:$1,0)</f>
        <v>6</v>
      </c>
      <c r="X656" s="99">
        <f>+VLOOKUP(PROVEEDORES[[#This Row],[ID RETENCION]],Retenciones!$A$1:$O$25,PROVEEDORES[[#This Row],[indicador de columna]],FALSE)</f>
        <v>1145000</v>
      </c>
      <c r="Y656" s="100">
        <f>+VLOOKUP(PROVEEDORES[[#This Row],[ID RETENCION]],Retenciones!$A$1:$O$25,2,FALSE)</f>
        <v>2.5000000000000001E-2</v>
      </c>
      <c r="Z656" s="103" t="b">
        <f>OR(COUNTIF(PROVEEDORES[[#This Row],[PROVEEDOR]],"*"&amp;'Palabra no opera'!$A$2&amp;"*"))</f>
        <v>0</v>
      </c>
    </row>
    <row r="657" spans="1:26" ht="22.35" customHeight="1" x14ac:dyDescent="0.25">
      <c r="A657" s="65" t="str">
        <f>+IF(PROVEEDORES[[#This Row],[FECHA DE PAGO]]=PROVEEDORES[[#This Row],[FECHA DE FACTURACIÓN]],"DE CONTADO","CRÉDITO")</f>
        <v>DE CONTADO</v>
      </c>
      <c r="B657" s="38" t="b">
        <f>+IF((PROVEEDORES[[#This Row],[FECHA DE PAGO]]-PROVEEDORES[[#This Row],[FECHA DE FACTURACIÓN]])&gt;PROVEEDORES[[#This Row],[PLAZO Días]],"PAGO VENCIDO")</f>
        <v>0</v>
      </c>
      <c r="C657" s="20">
        <f>+VLOOKUP(PROVEEDORES[[#This Row],[PROVEEDOR]],TERCEROS_INFO[#All],2,FALSE)</f>
        <v>60</v>
      </c>
      <c r="D657" s="25">
        <f>+SUMIFS(PROVEEDORES[Total],PROVEEDORES[PROVEEDOR],PROVEEDORES[[#This Row],[PROVEEDOR]],PROVEEDORES[FECHA DE PAGO],"")</f>
        <v>14884783</v>
      </c>
      <c r="E657" s="25"/>
      <c r="F657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7" s="289">
        <v>45224</v>
      </c>
      <c r="H657" s="26" t="s">
        <v>76</v>
      </c>
      <c r="I657" s="289">
        <v>45224</v>
      </c>
      <c r="J657" s="35" t="s">
        <v>1188</v>
      </c>
      <c r="K657" s="21">
        <v>166386.6</v>
      </c>
      <c r="L657" s="21"/>
      <c r="M657" s="22">
        <f>(PROVEEDORES[[#This Row],[SUBTOTAL]]-PROVEEDORES[[#This Row],[descuento sobre subtotal]])*VLOOKUP(PROVEEDORES[[#This Row],[PROVEEDOR]],TERCEROS_INFO[#All],3,FALSE)</f>
        <v>31613.454000000002</v>
      </c>
      <c r="N657" s="23"/>
      <c r="O657" s="22">
        <f>+PROVEEDORES[[#This Row],[Descuento sobre subtotal %]]*(PROVEEDORES[[#This Row],[SUBTOTAL]]-PROVEEDORES[[#This Row],[descuento sobre subtotal]])</f>
        <v>0</v>
      </c>
      <c r="P657" s="72">
        <f>+IF(PROVEEDORES[[#This Row],[SUBTOTAL]]&lt;PROVEEDORES[[#This Row],[base retencion]],0,PROVEEDORES[[#This Row],[retención aplicada]])</f>
        <v>0</v>
      </c>
      <c r="Q657" s="22">
        <f>+PROVEEDORES[[#This Row],[Rete Fuente %]]*(PROVEEDORES[[#This Row],[SUBTOTAL]]-PROVEEDORES[[#This Row],[descuento sobre subtotal]])</f>
        <v>0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198000.054</v>
      </c>
      <c r="S6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1">
        <f ca="1">IF(PROVEEDORES[[#This Row],[FECHA DE PAGO]]=0,TODAY()-PROVEEDORES[[#This Row],[FECHA DE FACTURACIÓN]]-PROVEEDORES[[#This Row],[PLAZO Días]],0)</f>
        <v>0</v>
      </c>
      <c r="U657" s="97" t="str">
        <f>+VLOOKUP(PROVEEDORES[[#This Row],[PROVEEDOR]],Terceros!$A:$D,4,FALSE)</f>
        <v>2,5% con base</v>
      </c>
      <c r="V657" s="98">
        <f>+YEAR(PROVEEDORES[[#This Row],[FECHA DE FACTURACIÓN]])</f>
        <v>2023</v>
      </c>
      <c r="W657" s="98">
        <f>+MATCH(PROVEEDORES[[#This Row],[año facturado]],Retenciones!$1:$1,0)</f>
        <v>6</v>
      </c>
      <c r="X657" s="99">
        <f>+VLOOKUP(PROVEEDORES[[#This Row],[ID RETENCION]],Retenciones!$A$1:$O$25,PROVEEDORES[[#This Row],[indicador de columna]],FALSE)</f>
        <v>1145000</v>
      </c>
      <c r="Y657" s="100">
        <f>+VLOOKUP(PROVEEDORES[[#This Row],[ID RETENCION]],Retenciones!$A$1:$O$25,2,FALSE)</f>
        <v>2.5000000000000001E-2</v>
      </c>
      <c r="Z657" s="103" t="b">
        <f>OR(COUNTIF(PROVEEDORES[[#This Row],[PROVEEDOR]],"*"&amp;'Palabra no opera'!$A$2&amp;"*"))</f>
        <v>0</v>
      </c>
    </row>
    <row r="658" spans="1:26" ht="22.35" customHeight="1" x14ac:dyDescent="0.25">
      <c r="A658" s="249" t="str">
        <f>+IF(PROVEEDORES[[#This Row],[FECHA DE PAGO]]=PROVEEDORES[[#This Row],[FECHA DE FACTURACIÓN]],"DE CONTADO","CRÉDITO")</f>
        <v>CRÉDITO</v>
      </c>
      <c r="B658" s="38" t="b">
        <f>+IF((PROVEEDORES[[#This Row],[FECHA DE PAGO]]-PROVEEDORES[[#This Row],[FECHA DE FACTURACIÓN]])&gt;PROVEEDORES[[#This Row],[PLAZO Días]],"PAGO VENCIDO")</f>
        <v>0</v>
      </c>
      <c r="C658" s="20">
        <f>+VLOOKUP(PROVEEDORES[[#This Row],[PROVEEDOR]],TERCEROS_INFO[#All],2,FALSE)</f>
        <v>60</v>
      </c>
      <c r="D658" s="25">
        <f>+SUMIFS(PROVEEDORES[Total],PROVEEDORES[PROVEEDOR],PROVEEDORES[[#This Row],[PROVEEDOR]],PROVEEDORES[FECHA DE PAGO],"")</f>
        <v>14884783</v>
      </c>
      <c r="E658" s="25"/>
      <c r="F658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8" s="289">
        <v>45271</v>
      </c>
      <c r="H658" s="26" t="s">
        <v>76</v>
      </c>
      <c r="I658" s="289">
        <v>45224</v>
      </c>
      <c r="J658" s="35" t="s">
        <v>1313</v>
      </c>
      <c r="K658" s="21">
        <v>24519811</v>
      </c>
      <c r="L658" s="21"/>
      <c r="M658" s="22">
        <f>(PROVEEDORES[[#This Row],[SUBTOTAL]]-PROVEEDORES[[#This Row],[descuento sobre subtotal]])*VLOOKUP(PROVEEDORES[[#This Row],[PROVEEDOR]],TERCEROS_INFO[#All],3,FALSE)</f>
        <v>4658764.09</v>
      </c>
      <c r="N658" s="23"/>
      <c r="O658" s="216"/>
      <c r="P658" s="72">
        <f>+IF(PROVEEDORES[[#This Row],[SUBTOTAL]]&lt;PROVEEDORES[[#This Row],[base retencion]],0,PROVEEDORES[[#This Row],[retención aplicada]])</f>
        <v>2.5000000000000001E-2</v>
      </c>
      <c r="Q658" s="22">
        <f>+PROVEEDORES[[#This Row],[Rete Fuente %]]*(PROVEEDORES[[#This Row],[SUBTOTAL]]-PROVEEDORES[[#This Row],[descuento sobre subtotal]])</f>
        <v>612995.27500000002</v>
      </c>
      <c r="R658" s="21">
        <f>+PROVEEDORES[[#This Row],[SUBTOTAL]]+PROVEEDORES[[#This Row],[IVA 19%]]-PROVEEDORES[[#This Row],[descuento sobre subtotal]]-PROVEEDORES[[#This Row],[Descuento sobre subtotal $2]]-PROVEEDORES[[#This Row],[Rete Fuente $]]</f>
        <v>28565579.815000001</v>
      </c>
      <c r="S658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1">
        <f ca="1">IF(PROVEEDORES[[#This Row],[FECHA DE PAGO]]=0,TODAY()-PROVEEDORES[[#This Row],[FECHA DE FACTURACIÓN]]-PROVEEDORES[[#This Row],[PLAZO Días]],0)</f>
        <v>0</v>
      </c>
      <c r="U658" s="97" t="str">
        <f>+VLOOKUP(PROVEEDORES[[#This Row],[PROVEEDOR]],Terceros!$A:$D,4,FALSE)</f>
        <v>2,5% con base</v>
      </c>
      <c r="V658" s="98">
        <f>+YEAR(PROVEEDORES[[#This Row],[FECHA DE FACTURACIÓN]])</f>
        <v>2023</v>
      </c>
      <c r="W658" s="98">
        <f>+MATCH(PROVEEDORES[[#This Row],[año facturado]],Retenciones!$1:$1,0)</f>
        <v>6</v>
      </c>
      <c r="X658" s="99">
        <f>+VLOOKUP(PROVEEDORES[[#This Row],[ID RETENCION]],Retenciones!$A$1:$O$25,PROVEEDORES[[#This Row],[indicador de columna]],FALSE)</f>
        <v>1145000</v>
      </c>
      <c r="Y658" s="100">
        <f>+VLOOKUP(PROVEEDORES[[#This Row],[ID RETENCION]],Retenciones!$A$1:$O$25,2,FALSE)</f>
        <v>2.5000000000000001E-2</v>
      </c>
      <c r="Z658" s="103" t="b">
        <f>OR(COUNTIF(PROVEEDORES[[#This Row],[PROVEEDOR]],"*"&amp;'Palabra no opera'!$A$2&amp;"*"))</f>
        <v>0</v>
      </c>
    </row>
    <row r="659" spans="1:26" ht="22.35" customHeight="1" x14ac:dyDescent="0.25">
      <c r="A659" s="65" t="str">
        <f>+IF(PROVEEDORES[[#This Row],[FECHA DE PAGO]]=PROVEEDORES[[#This Row],[FECHA DE FACTURACIÓN]],"DE CONTADO","CRÉDITO")</f>
        <v>DE CONTADO</v>
      </c>
      <c r="B659" s="38" t="b">
        <f>+IF((PROVEEDORES[[#This Row],[FECHA DE PAGO]]-PROVEEDORES[[#This Row],[FECHA DE FACTURACIÓN]])&gt;PROVEEDORES[[#This Row],[PLAZO Días]],"PAGO VENCIDO")</f>
        <v>0</v>
      </c>
      <c r="C659" s="20">
        <f>+VLOOKUP(PROVEEDORES[[#This Row],[PROVEEDOR]],TERCEROS_INFO[#All],2,FALSE)</f>
        <v>60</v>
      </c>
      <c r="D659" s="25">
        <f>+SUMIFS(PROVEEDORES[Total],PROVEEDORES[PROVEEDOR],PROVEEDORES[[#This Row],[PROVEEDOR]],PROVEEDORES[FECHA DE PAGO],"")</f>
        <v>14884783</v>
      </c>
      <c r="E659" s="25"/>
      <c r="F659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59" s="289">
        <v>45229</v>
      </c>
      <c r="H659" s="26" t="s">
        <v>76</v>
      </c>
      <c r="I659" s="289">
        <v>45229</v>
      </c>
      <c r="J659" s="35" t="s">
        <v>1245</v>
      </c>
      <c r="K659" s="21">
        <v>-7563025</v>
      </c>
      <c r="L659" s="21"/>
      <c r="M659" s="22">
        <f>(PROVEEDORES[[#This Row],[SUBTOTAL]]-PROVEEDORES[[#This Row],[descuento sobre subtotal]])*VLOOKUP(PROVEEDORES[[#This Row],[PROVEEDOR]],TERCEROS_INFO[#All],3,FALSE)</f>
        <v>-1436974.75</v>
      </c>
      <c r="N659" s="23"/>
      <c r="O659" s="22">
        <f>+PROVEEDORES[[#This Row],[Descuento sobre subtotal %]]*(PROVEEDORES[[#This Row],[SUBTOTAL]]-PROVEEDORES[[#This Row],[descuento sobre subtotal]])</f>
        <v>0</v>
      </c>
      <c r="P659" s="72">
        <f>+IF(PROVEEDORES[[#This Row],[SUBTOTAL]]&lt;PROVEEDORES[[#This Row],[base retencion]],0,PROVEEDORES[[#This Row],[retención aplicada]])</f>
        <v>0</v>
      </c>
      <c r="Q659" s="22">
        <f>+PROVEEDORES[[#This Row],[Rete Fuente %]]*(PROVEEDORES[[#This Row],[SUBTOTAL]]-PROVEEDORES[[#This Row],[descuento sobre subtotal]])</f>
        <v>0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-8999999.75</v>
      </c>
      <c r="S6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61">
        <f ca="1">IF(PROVEEDORES[[#This Row],[FECHA DE PAGO]]=0,TODAY()-PROVEEDORES[[#This Row],[FECHA DE FACTURACIÓN]]-PROVEEDORES[[#This Row],[PLAZO Días]],0)</f>
        <v>0</v>
      </c>
      <c r="U659" s="97" t="str">
        <f>+VLOOKUP(PROVEEDORES[[#This Row],[PROVEEDOR]],Terceros!$A:$D,4,FALSE)</f>
        <v>2,5% con base</v>
      </c>
      <c r="V659" s="98">
        <f>+YEAR(PROVEEDORES[[#This Row],[FECHA DE FACTURACIÓN]])</f>
        <v>2023</v>
      </c>
      <c r="W659" s="98">
        <f>+MATCH(PROVEEDORES[[#This Row],[año facturado]],Retenciones!$1:$1,0)</f>
        <v>6</v>
      </c>
      <c r="X659" s="99">
        <f>+VLOOKUP(PROVEEDORES[[#This Row],[ID RETENCION]],Retenciones!$A$1:$O$25,PROVEEDORES[[#This Row],[indicador de columna]],FALSE)</f>
        <v>1145000</v>
      </c>
      <c r="Y659" s="100">
        <f>+VLOOKUP(PROVEEDORES[[#This Row],[ID RETENCION]],Retenciones!$A$1:$O$25,2,FALSE)</f>
        <v>2.5000000000000001E-2</v>
      </c>
      <c r="Z659" s="103" t="b">
        <f>OR(COUNTIF(PROVEEDORES[[#This Row],[PROVEEDOR]],"*"&amp;'Palabra no opera'!$A$2&amp;"*"))</f>
        <v>0</v>
      </c>
    </row>
    <row r="660" spans="1:26" ht="22.35" customHeight="1" x14ac:dyDescent="0.25">
      <c r="A660" s="254" t="str">
        <f>+IF(PROVEEDORES[[#This Row],[FECHA DE PAGO]]=PROVEEDORES[[#This Row],[FECHA DE FACTURACIÓN]],"DE CONTADO","CRÉDITO")</f>
        <v>CRÉDITO</v>
      </c>
      <c r="B660" s="38" t="b">
        <f>+IF((PROVEEDORES[[#This Row],[FECHA DE PAGO]]-PROVEEDORES[[#This Row],[FECHA DE FACTURACIÓN]])&gt;PROVEEDORES[[#This Row],[PLAZO Días]],"PAGO VENCIDO")</f>
        <v>0</v>
      </c>
      <c r="C660" s="20">
        <f>+VLOOKUP(PROVEEDORES[[#This Row],[PROVEEDOR]],TERCEROS_INFO[#All],2,FALSE)</f>
        <v>60</v>
      </c>
      <c r="D660" s="25">
        <f>+SUMIFS(PROVEEDORES[Total],PROVEEDORES[PROVEEDOR],PROVEEDORES[[#This Row],[PROVEEDOR]],PROVEEDORES[FECHA DE PAGO],"")</f>
        <v>14884783</v>
      </c>
      <c r="E660" s="25"/>
      <c r="F660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0" s="289">
        <v>45271</v>
      </c>
      <c r="H660" s="26" t="s">
        <v>76</v>
      </c>
      <c r="I660" s="289">
        <v>45233</v>
      </c>
      <c r="J660" s="35" t="s">
        <v>1246</v>
      </c>
      <c r="K660" s="21">
        <v>-773410</v>
      </c>
      <c r="L660" s="21"/>
      <c r="M660" s="22">
        <f>(PROVEEDORES[[#This Row],[SUBTOTAL]]-PROVEEDORES[[#This Row],[descuento sobre subtotal]])*VLOOKUP(PROVEEDORES[[#This Row],[PROVEEDOR]],TERCEROS_INFO[#All],3,FALSE)</f>
        <v>-146947.9</v>
      </c>
      <c r="N660" s="23"/>
      <c r="O660" s="22">
        <f>+PROVEEDORES[[#This Row],[Descuento sobre subtotal %]]*(PROVEEDORES[[#This Row],[SUBTOTAL]]-PROVEEDORES[[#This Row],[descuento sobre subtotal]])</f>
        <v>0</v>
      </c>
      <c r="P660" s="72">
        <f>+IF(PROVEEDORES[[#This Row],[SUBTOTAL]]&lt;PROVEEDORES[[#This Row],[base retencion]],0,PROVEEDORES[[#This Row],[retención aplicada]])</f>
        <v>0</v>
      </c>
      <c r="Q660" s="22">
        <v>-19335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-901022.9</v>
      </c>
      <c r="S660" s="2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1">
        <f ca="1">IF(PROVEEDORES[[#This Row],[FECHA DE PAGO]]=0,TODAY()-PROVEEDORES[[#This Row],[FECHA DE FACTURACIÓN]]-PROVEEDORES[[#This Row],[PLAZO Días]],0)</f>
        <v>0</v>
      </c>
      <c r="U660" s="97" t="str">
        <f>+VLOOKUP(PROVEEDORES[[#This Row],[PROVEEDOR]],Terceros!$A:$D,4,FALSE)</f>
        <v>2,5% con base</v>
      </c>
      <c r="V660" s="98">
        <f>+YEAR(PROVEEDORES[[#This Row],[FECHA DE FACTURACIÓN]])</f>
        <v>2023</v>
      </c>
      <c r="W660" s="98">
        <f>+MATCH(PROVEEDORES[[#This Row],[año facturado]],Retenciones!$1:$1,0)</f>
        <v>6</v>
      </c>
      <c r="X660" s="99">
        <f>+VLOOKUP(PROVEEDORES[[#This Row],[ID RETENCION]],Retenciones!$A$1:$O$25,PROVEEDORES[[#This Row],[indicador de columna]],FALSE)</f>
        <v>1145000</v>
      </c>
      <c r="Y660" s="100">
        <f>+VLOOKUP(PROVEEDORES[[#This Row],[ID RETENCION]],Retenciones!$A$1:$O$25,2,FALSE)</f>
        <v>2.5000000000000001E-2</v>
      </c>
      <c r="Z660" s="103" t="b">
        <f>OR(COUNTIF(PROVEEDORES[[#This Row],[PROVEEDOR]],"*"&amp;'Palabra no opera'!$A$2&amp;"*"))</f>
        <v>0</v>
      </c>
    </row>
    <row r="661" spans="1:26" ht="22.35" customHeight="1" x14ac:dyDescent="0.25">
      <c r="A661" s="254" t="str">
        <f>+IF(PROVEEDORES[[#This Row],[FECHA DE PAGO]]=PROVEEDORES[[#This Row],[FECHA DE FACTURACIÓN]],"DE CONTADO","CRÉDITO")</f>
        <v>CRÉDITO</v>
      </c>
      <c r="B661" s="38" t="b">
        <f>+IF((PROVEEDORES[[#This Row],[FECHA DE PAGO]]-PROVEEDORES[[#This Row],[FECHA DE FACTURACIÓN]])&gt;PROVEEDORES[[#This Row],[PLAZO Días]],"PAGO VENCIDO")</f>
        <v>0</v>
      </c>
      <c r="C661" s="20">
        <f>+VLOOKUP(PROVEEDORES[[#This Row],[PROVEEDOR]],TERCEROS_INFO[#All],2,FALSE)</f>
        <v>60</v>
      </c>
      <c r="D661" s="25">
        <f>+SUMIFS(PROVEEDORES[Total],PROVEEDORES[PROVEEDOR],PROVEEDORES[[#This Row],[PROVEEDOR]],PROVEEDORES[FECHA DE PAGO],"")</f>
        <v>14884783</v>
      </c>
      <c r="E661" s="25"/>
      <c r="F661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1" s="289">
        <v>45271</v>
      </c>
      <c r="H661" s="26" t="s">
        <v>76</v>
      </c>
      <c r="I661" s="289">
        <v>45233</v>
      </c>
      <c r="J661" s="35" t="s">
        <v>1247</v>
      </c>
      <c r="K661" s="21">
        <v>320106</v>
      </c>
      <c r="L661" s="21"/>
      <c r="M661" s="22">
        <f>(PROVEEDORES[[#This Row],[SUBTOTAL]]-PROVEEDORES[[#This Row],[descuento sobre subtotal]])*VLOOKUP(PROVEEDORES[[#This Row],[PROVEEDOR]],TERCEROS_INFO[#All],3,FALSE)</f>
        <v>60820.14</v>
      </c>
      <c r="N661" s="23"/>
      <c r="O661" s="22">
        <f>+PROVEEDORES[[#This Row],[Descuento sobre subtotal %]]*(PROVEEDORES[[#This Row],[SUBTOTAL]]-PROVEEDORES[[#This Row],[descuento sobre subtotal]])</f>
        <v>0</v>
      </c>
      <c r="P661" s="72">
        <f>+IF(PROVEEDORES[[#This Row],[SUBTOTAL]]&lt;PROVEEDORES[[#This Row],[base retencion]],0,PROVEEDORES[[#This Row],[retención aplicada]])</f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380926.14</v>
      </c>
      <c r="S661" s="2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1">
        <f ca="1">IF(PROVEEDORES[[#This Row],[FECHA DE PAGO]]=0,TODAY()-PROVEEDORES[[#This Row],[FECHA DE FACTURACIÓN]]-PROVEEDORES[[#This Row],[PLAZO Días]],0)</f>
        <v>0</v>
      </c>
      <c r="U661" s="97" t="str">
        <f>+VLOOKUP(PROVEEDORES[[#This Row],[PROVEEDOR]],Terceros!$A:$D,4,FALSE)</f>
        <v>2,5% con base</v>
      </c>
      <c r="V661" s="98">
        <f>+YEAR(PROVEEDORES[[#This Row],[FECHA DE FACTURACIÓN]])</f>
        <v>2023</v>
      </c>
      <c r="W661" s="98">
        <f>+MATCH(PROVEEDORES[[#This Row],[año facturado]],Retenciones!$1:$1,0)</f>
        <v>6</v>
      </c>
      <c r="X661" s="99">
        <f>+VLOOKUP(PROVEEDORES[[#This Row],[ID RETENCION]],Retenciones!$A$1:$O$25,PROVEEDORES[[#This Row],[indicador de columna]],FALSE)</f>
        <v>1145000</v>
      </c>
      <c r="Y661" s="100">
        <f>+VLOOKUP(PROVEEDORES[[#This Row],[ID RETENCION]],Retenciones!$A$1:$O$25,2,FALSE)</f>
        <v>2.5000000000000001E-2</v>
      </c>
      <c r="Z661" s="103" t="b">
        <f>OR(COUNTIF(PROVEEDORES[[#This Row],[PROVEEDOR]],"*"&amp;'Palabra no opera'!$A$2&amp;"*"))</f>
        <v>0</v>
      </c>
    </row>
    <row r="662" spans="1:26" ht="22.35" customHeight="1" x14ac:dyDescent="0.25">
      <c r="A662" s="262" t="str">
        <f>+IF(PROVEEDORES[[#This Row],[FECHA DE PAGO]]=PROVEEDORES[[#This Row],[FECHA DE FACTURACIÓN]],"DE CONTADO","CRÉDITO")</f>
        <v>CRÉDITO</v>
      </c>
      <c r="B662" s="38" t="str">
        <f>+IF((PROVEEDORES[[#This Row],[FECHA DE PAGO]]-PROVEEDORES[[#This Row],[FECHA DE FACTURACIÓN]])&gt;PROVEEDORES[[#This Row],[PLAZO Días]],"PAGO VENCIDO")</f>
        <v>PAGO VENCIDO</v>
      </c>
      <c r="C662" s="20">
        <f>+VLOOKUP(PROVEEDORES[[#This Row],[PROVEEDOR]],TERCEROS_INFO[#All],2,FALSE)</f>
        <v>60</v>
      </c>
      <c r="D662" s="25">
        <f>+SUMIFS(PROVEEDORES[Total],PROVEEDORES[PROVEEDOR],PROVEEDORES[[#This Row],[PROVEEDOR]],PROVEEDORES[FECHA DE PAGO],"")</f>
        <v>14884783</v>
      </c>
      <c r="E662" s="25"/>
      <c r="F662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2" s="289">
        <v>45314</v>
      </c>
      <c r="H662" s="26" t="s">
        <v>76</v>
      </c>
      <c r="I662" s="289">
        <v>45251</v>
      </c>
      <c r="J662" s="35" t="s">
        <v>1314</v>
      </c>
      <c r="K662" s="21">
        <v>8710860</v>
      </c>
      <c r="L662" s="21"/>
      <c r="M662" s="22">
        <f>(PROVEEDORES[[#This Row],[SUBTOTAL]]-PROVEEDORES[[#This Row],[descuento sobre subtotal]])*VLOOKUP(PROVEEDORES[[#This Row],[PROVEEDOR]],TERCEROS_INFO[#All],3,FALSE)</f>
        <v>1655063.4</v>
      </c>
      <c r="N662" s="23"/>
      <c r="O662" s="299">
        <v>3100000</v>
      </c>
      <c r="P662" s="72">
        <f>+IF(PROVEEDORES[[#This Row],[SUBTOTAL]]&lt;PROVEEDORES[[#This Row],[base retencion]],0,PROVEEDORES[[#This Row],[retención aplicada]])</f>
        <v>2.5000000000000001E-2</v>
      </c>
      <c r="Q662" s="22">
        <f>+PROVEEDORES[[#This Row],[Rete Fuente %]]*(PROVEEDORES[[#This Row],[SUBTOTAL]]-PROVEEDORES[[#This Row],[descuento sobre subtotal]])</f>
        <v>217771.5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7048151.9000000004</v>
      </c>
      <c r="S66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1">
        <f ca="1">IF(PROVEEDORES[[#This Row],[FECHA DE PAGO]]=0,TODAY()-PROVEEDORES[[#This Row],[FECHA DE FACTURACIÓN]]-PROVEEDORES[[#This Row],[PLAZO Días]],0)</f>
        <v>0</v>
      </c>
      <c r="U662" s="97" t="str">
        <f>+VLOOKUP(PROVEEDORES[[#This Row],[PROVEEDOR]],Terceros!$A:$D,4,FALSE)</f>
        <v>2,5% con base</v>
      </c>
      <c r="V662" s="98">
        <f>+YEAR(PROVEEDORES[[#This Row],[FECHA DE FACTURACIÓN]])</f>
        <v>2023</v>
      </c>
      <c r="W662" s="98">
        <f>+MATCH(PROVEEDORES[[#This Row],[año facturado]],Retenciones!$1:$1,0)</f>
        <v>6</v>
      </c>
      <c r="X662" s="99">
        <f>+VLOOKUP(PROVEEDORES[[#This Row],[ID RETENCION]],Retenciones!$A$1:$O$25,PROVEEDORES[[#This Row],[indicador de columna]],FALSE)</f>
        <v>1145000</v>
      </c>
      <c r="Y662" s="100">
        <f>+VLOOKUP(PROVEEDORES[[#This Row],[ID RETENCION]],Retenciones!$A$1:$O$25,2,FALSE)</f>
        <v>2.5000000000000001E-2</v>
      </c>
      <c r="Z662" s="103" t="b">
        <f>OR(COUNTIF(PROVEEDORES[[#This Row],[PROVEEDOR]],"*"&amp;'Palabra no opera'!$A$2&amp;"*"))</f>
        <v>0</v>
      </c>
    </row>
    <row r="663" spans="1:26" ht="22.35" customHeight="1" x14ac:dyDescent="0.25">
      <c r="A663" s="260" t="str">
        <f>+IF(PROVEEDORES[[#This Row],[FECHA DE PAGO]]=PROVEEDORES[[#This Row],[FECHA DE FACTURACIÓN]],"DE CONTADO","CRÉDITO")</f>
        <v>CRÉDITO</v>
      </c>
      <c r="B663" s="38" t="b">
        <f>+IF((PROVEEDORES[[#This Row],[FECHA DE PAGO]]-PROVEEDORES[[#This Row],[FECHA DE FACTURACIÓN]])&gt;PROVEEDORES[[#This Row],[PLAZO Días]],"PAGO VENCIDO")</f>
        <v>0</v>
      </c>
      <c r="C663" s="20">
        <f>+VLOOKUP(PROVEEDORES[[#This Row],[PROVEEDOR]],TERCEROS_INFO[#All],2,FALSE)</f>
        <v>60</v>
      </c>
      <c r="D663" s="25">
        <f>+SUMIFS(PROVEEDORES[Total],PROVEEDORES[PROVEEDOR],PROVEEDORES[[#This Row],[PROVEEDOR]],PROVEEDORES[FECHA DE PAGO],"")</f>
        <v>14884783</v>
      </c>
      <c r="E663" s="25"/>
      <c r="F663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3" s="289">
        <v>44948</v>
      </c>
      <c r="H663" s="26" t="s">
        <v>76</v>
      </c>
      <c r="I663" s="289">
        <v>45252</v>
      </c>
      <c r="J663" s="35" t="s">
        <v>1517</v>
      </c>
      <c r="K663" s="21">
        <v>-504202</v>
      </c>
      <c r="L663" s="21"/>
      <c r="M663" s="22">
        <f>(PROVEEDORES[[#This Row],[SUBTOTAL]]-PROVEEDORES[[#This Row],[descuento sobre subtotal]])*VLOOKUP(PROVEEDORES[[#This Row],[PROVEEDOR]],TERCEROS_INFO[#All],3,FALSE)</f>
        <v>-95798.38</v>
      </c>
      <c r="N663" s="23"/>
      <c r="O663" s="22">
        <f>+PROVEEDORES[[#This Row],[Descuento sobre subtotal %]]*(PROVEEDORES[[#This Row],[SUBTOTAL]]-PROVEEDORES[[#This Row],[descuento sobre subtotal]])</f>
        <v>0</v>
      </c>
      <c r="P663" s="72">
        <f>+IF(PROVEEDORES[[#This Row],[SUBTOTAL]]&lt;PROVEEDORES[[#This Row],[base retencion]],0,PROVEEDORES[[#This Row],[retención aplicada]])</f>
        <v>0</v>
      </c>
      <c r="Q663" s="22">
        <f>+PROVEEDORES[[#This Row],[Rete Fuente %]]*(PROVEEDORES[[#This Row],[SUBTOTAL]]-PROVEEDORES[[#This Row],[descuento sobre subtotal]])</f>
        <v>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-600000.38</v>
      </c>
      <c r="S663" s="26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1">
        <f ca="1">IF(PROVEEDORES[[#This Row],[FECHA DE PAGO]]=0,TODAY()-PROVEEDORES[[#This Row],[FECHA DE FACTURACIÓN]]-PROVEEDORES[[#This Row],[PLAZO Días]],0)</f>
        <v>0</v>
      </c>
      <c r="U663" s="97" t="str">
        <f>+VLOOKUP(PROVEEDORES[[#This Row],[PROVEEDOR]],Terceros!$A:$D,4,FALSE)</f>
        <v>2,5% con base</v>
      </c>
      <c r="V663" s="98">
        <f>+YEAR(PROVEEDORES[[#This Row],[FECHA DE FACTURACIÓN]])</f>
        <v>2023</v>
      </c>
      <c r="W663" s="98">
        <f>+MATCH(PROVEEDORES[[#This Row],[año facturado]],Retenciones!$1:$1,0)</f>
        <v>6</v>
      </c>
      <c r="X663" s="99">
        <f>+VLOOKUP(PROVEEDORES[[#This Row],[ID RETENCION]],Retenciones!$A$1:$O$25,PROVEEDORES[[#This Row],[indicador de columna]],FALSE)</f>
        <v>1145000</v>
      </c>
      <c r="Y663" s="100">
        <f>+VLOOKUP(PROVEEDORES[[#This Row],[ID RETENCION]],Retenciones!$A$1:$O$25,2,FALSE)</f>
        <v>2.5000000000000001E-2</v>
      </c>
      <c r="Z663" s="103" t="b">
        <f>OR(COUNTIF(PROVEEDORES[[#This Row],[PROVEEDOR]],"*"&amp;'Palabra no opera'!$A$2&amp;"*"))</f>
        <v>0</v>
      </c>
    </row>
    <row r="664" spans="1:26" ht="22.35" customHeight="1" x14ac:dyDescent="0.25">
      <c r="A664" s="258" t="str">
        <f>+IF(PROVEEDORES[[#This Row],[FECHA DE PAGO]]=PROVEEDORES[[#This Row],[FECHA DE FACTURACIÓN]],"DE CONTADO","CRÉDITO")</f>
        <v>DE CONTADO</v>
      </c>
      <c r="B664" s="38" t="b">
        <f>+IF((PROVEEDORES[[#This Row],[FECHA DE PAGO]]-PROVEEDORES[[#This Row],[FECHA DE FACTURACIÓN]])&gt;PROVEEDORES[[#This Row],[PLAZO Días]],"PAGO VENCIDO")</f>
        <v>0</v>
      </c>
      <c r="C664" s="20">
        <f>+VLOOKUP(PROVEEDORES[[#This Row],[PROVEEDOR]],TERCEROS_INFO[#All],2,FALSE)</f>
        <v>60</v>
      </c>
      <c r="D664" s="25">
        <f>+SUMIFS(PROVEEDORES[Total],PROVEEDORES[PROVEEDOR],PROVEEDORES[[#This Row],[PROVEEDOR]],PROVEEDORES[FECHA DE PAGO],"")</f>
        <v>14884783</v>
      </c>
      <c r="E664" s="25"/>
      <c r="F664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4" s="289">
        <v>45252</v>
      </c>
      <c r="H664" s="26" t="s">
        <v>76</v>
      </c>
      <c r="I664" s="289">
        <v>45252</v>
      </c>
      <c r="J664" s="35" t="s">
        <v>1517</v>
      </c>
      <c r="K664" s="21">
        <v>-2100840</v>
      </c>
      <c r="L664" s="21"/>
      <c r="M664" s="22">
        <f>(PROVEEDORES[[#This Row],[SUBTOTAL]]-PROVEEDORES[[#This Row],[descuento sobre subtotal]])*VLOOKUP(PROVEEDORES[[#This Row],[PROVEEDOR]],TERCEROS_INFO[#All],3,FALSE)</f>
        <v>-399159.6</v>
      </c>
      <c r="N664" s="23"/>
      <c r="O664" s="22">
        <f>+PROVEEDORES[[#This Row],[Descuento sobre subtotal %]]*(PROVEEDORES[[#This Row],[SUBTOTAL]]-PROVEEDORES[[#This Row],[descuento sobre subtotal]])</f>
        <v>0</v>
      </c>
      <c r="P664" s="72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-2499999.6</v>
      </c>
      <c r="S664" s="25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1">
        <f ca="1">IF(PROVEEDORES[[#This Row],[FECHA DE PAGO]]=0,TODAY()-PROVEEDORES[[#This Row],[FECHA DE FACTURACIÓN]]-PROVEEDORES[[#This Row],[PLAZO Días]],0)</f>
        <v>0</v>
      </c>
      <c r="U664" s="97" t="str">
        <f>+VLOOKUP(PROVEEDORES[[#This Row],[PROVEEDOR]],Terceros!$A:$D,4,FALSE)</f>
        <v>2,5% con base</v>
      </c>
      <c r="V664" s="98">
        <f>+YEAR(PROVEEDORES[[#This Row],[FECHA DE FACTURACIÓN]])</f>
        <v>2023</v>
      </c>
      <c r="W664" s="98">
        <f>+MATCH(PROVEEDORES[[#This Row],[año facturado]],Retenciones!$1:$1,0)</f>
        <v>6</v>
      </c>
      <c r="X664" s="99">
        <f>+VLOOKUP(PROVEEDORES[[#This Row],[ID RETENCION]],Retenciones!$A$1:$O$25,PROVEEDORES[[#This Row],[indicador de columna]],FALSE)</f>
        <v>1145000</v>
      </c>
      <c r="Y664" s="100">
        <f>+VLOOKUP(PROVEEDORES[[#This Row],[ID RETENCION]],Retenciones!$A$1:$O$25,2,FALSE)</f>
        <v>2.5000000000000001E-2</v>
      </c>
      <c r="Z664" s="103" t="b">
        <f>OR(COUNTIF(PROVEEDORES[[#This Row],[PROVEEDOR]],"*"&amp;'Palabra no opera'!$A$2&amp;"*"))</f>
        <v>0</v>
      </c>
    </row>
    <row r="665" spans="1:26" ht="22.35" customHeight="1" x14ac:dyDescent="0.25">
      <c r="A665" s="65" t="str">
        <f>+IF(PROVEEDORES[[#This Row],[FECHA DE PAGO]]=PROVEEDORES[[#This Row],[FECHA DE FACTURACIÓN]],"DE CONTADO","CRÉDITO")</f>
        <v>CRÉDITO</v>
      </c>
      <c r="B665" s="38" t="b">
        <f>+IF((PROVEEDORES[[#This Row],[FECHA DE PAGO]]-PROVEEDORES[[#This Row],[FECHA DE FACTURACIÓN]])&gt;PROVEEDORES[[#This Row],[PLAZO Días]],"PAGO VENCIDO")</f>
        <v>0</v>
      </c>
      <c r="C665" s="20">
        <f>+VLOOKUP(PROVEEDORES[[#This Row],[PROVEEDOR]],TERCEROS_INFO[#All],2,FALSE)</f>
        <v>60</v>
      </c>
      <c r="D665" s="25">
        <f>+SUMIFS(PROVEEDORES[Total],PROVEEDORES[PROVEEDOR],PROVEEDORES[[#This Row],[PROVEEDOR]],PROVEEDORES[FECHA DE PAGO],"")</f>
        <v>14884783</v>
      </c>
      <c r="E665" s="25"/>
      <c r="F665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5" s="289">
        <v>45314</v>
      </c>
      <c r="H665" s="26" t="s">
        <v>76</v>
      </c>
      <c r="I665" s="289">
        <v>45271</v>
      </c>
      <c r="J665" s="35" t="s">
        <v>1412</v>
      </c>
      <c r="K665" s="21">
        <v>3963010</v>
      </c>
      <c r="L665" s="21"/>
      <c r="M665" s="22">
        <f>(PROVEEDORES[[#This Row],[SUBTOTAL]]-PROVEEDORES[[#This Row],[descuento sobre subtotal]])*VLOOKUP(PROVEEDORES[[#This Row],[PROVEEDOR]],TERCEROS_INFO[#All],3,FALSE)</f>
        <v>752971.9</v>
      </c>
      <c r="N665" s="23"/>
      <c r="O665" s="22">
        <f>+PROVEEDORES[[#This Row],[Descuento sobre subtotal %]]*(PROVEEDORES[[#This Row],[SUBTOTAL]]-PROVEEDORES[[#This Row],[descuento sobre subtotal]])</f>
        <v>0</v>
      </c>
      <c r="P665" s="72">
        <f>+IF(PROVEEDORES[[#This Row],[SUBTOTAL]]&lt;PROVEEDORES[[#This Row],[base retencion]],0,PROVEEDORES[[#This Row],[retención aplicada]])</f>
        <v>2.5000000000000001E-2</v>
      </c>
      <c r="Q665" s="22">
        <f>+PROVEEDORES[[#This Row],[Rete Fuente %]]*(PROVEEDORES[[#This Row],[SUBTOTAL]]-PROVEEDORES[[#This Row],[descuento sobre subtotal]])</f>
        <v>99075.25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4616906.6500000004</v>
      </c>
      <c r="S66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1">
        <f ca="1">IF(PROVEEDORES[[#This Row],[FECHA DE PAGO]]=0,TODAY()-PROVEEDORES[[#This Row],[FECHA DE FACTURACIÓN]]-PROVEEDORES[[#This Row],[PLAZO Días]],0)</f>
        <v>0</v>
      </c>
      <c r="U665" s="97" t="str">
        <f>+VLOOKUP(PROVEEDORES[[#This Row],[PROVEEDOR]],Terceros!$A:$D,4,FALSE)</f>
        <v>2,5% con base</v>
      </c>
      <c r="V665" s="98">
        <f>+YEAR(PROVEEDORES[[#This Row],[FECHA DE FACTURACIÓN]])</f>
        <v>2023</v>
      </c>
      <c r="W665" s="98">
        <f>+MATCH(PROVEEDORES[[#This Row],[año facturado]],Retenciones!$1:$1,0)</f>
        <v>6</v>
      </c>
      <c r="X665" s="99">
        <f>+VLOOKUP(PROVEEDORES[[#This Row],[ID RETENCION]],Retenciones!$A$1:$O$25,PROVEEDORES[[#This Row],[indicador de columna]],FALSE)</f>
        <v>1145000</v>
      </c>
      <c r="Y665" s="100">
        <f>+VLOOKUP(PROVEEDORES[[#This Row],[ID RETENCION]],Retenciones!$A$1:$O$25,2,FALSE)</f>
        <v>2.5000000000000001E-2</v>
      </c>
      <c r="Z665" s="103" t="b">
        <f>OR(COUNTIF(PROVEEDORES[[#This Row],[PROVEEDOR]],"*"&amp;'Palabra no opera'!$A$2&amp;"*"))</f>
        <v>0</v>
      </c>
    </row>
    <row r="666" spans="1:26" ht="22.35" customHeight="1" x14ac:dyDescent="0.25">
      <c r="A666" s="65" t="str">
        <f>+IF(PROVEEDORES[[#This Row],[FECHA DE PAGO]]=PROVEEDORES[[#This Row],[FECHA DE FACTURACIÓN]],"DE CONTADO","CRÉDITO")</f>
        <v>DE CONTADO</v>
      </c>
      <c r="B666" s="38" t="b">
        <f>+IF((PROVEEDORES[[#This Row],[FECHA DE PAGO]]-PROVEEDORES[[#This Row],[FECHA DE FACTURACIÓN]])&gt;PROVEEDORES[[#This Row],[PLAZO Días]],"PAGO VENCIDO")</f>
        <v>0</v>
      </c>
      <c r="C666" s="20">
        <f>+VLOOKUP(PROVEEDORES[[#This Row],[PROVEEDOR]],TERCEROS_INFO[#All],2,FALSE)</f>
        <v>60</v>
      </c>
      <c r="D666" s="25">
        <f>+SUMIFS(PROVEEDORES[Total],PROVEEDORES[PROVEEDOR],PROVEEDORES[[#This Row],[PROVEEDOR]],PROVEEDORES[FECHA DE PAGO],"")</f>
        <v>14884783</v>
      </c>
      <c r="E666" s="25"/>
      <c r="F666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6" s="289">
        <v>45272</v>
      </c>
      <c r="H666" s="26" t="s">
        <v>76</v>
      </c>
      <c r="I666" s="289">
        <v>45272</v>
      </c>
      <c r="J666" s="35" t="s">
        <v>1518</v>
      </c>
      <c r="K666" s="21">
        <v>-10084034</v>
      </c>
      <c r="L666" s="21"/>
      <c r="M666" s="22">
        <f>(PROVEEDORES[[#This Row],[SUBTOTAL]]-PROVEEDORES[[#This Row],[descuento sobre subtotal]])*VLOOKUP(PROVEEDORES[[#This Row],[PROVEEDOR]],TERCEROS_INFO[#All],3,FALSE)</f>
        <v>-1915966.46</v>
      </c>
      <c r="N666" s="23"/>
      <c r="O666" s="22">
        <f>+PROVEEDORES[[#This Row],[Descuento sobre subtotal %]]*(PROVEEDORES[[#This Row],[SUBTOTAL]]-PROVEEDORES[[#This Row],[descuento sobre subtotal]])</f>
        <v>0</v>
      </c>
      <c r="P666" s="72">
        <v>0</v>
      </c>
      <c r="Q666" s="22"/>
      <c r="R666" s="21">
        <f>+PROVEEDORES[[#This Row],[SUBTOTAL]]+PROVEEDORES[[#This Row],[IVA 19%]]-PROVEEDORES[[#This Row],[descuento sobre subtotal]]-PROVEEDORES[[#This Row],[Descuento sobre subtotal $2]]-PROVEEDORES[[#This Row],[Rete Fuente $]]</f>
        <v>-12000000.460000001</v>
      </c>
      <c r="S66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1">
        <f ca="1">IF(PROVEEDORES[[#This Row],[FECHA DE PAGO]]=0,TODAY()-PROVEEDORES[[#This Row],[FECHA DE FACTURACIÓN]]-PROVEEDORES[[#This Row],[PLAZO Días]],0)</f>
        <v>0</v>
      </c>
      <c r="U666" s="97" t="str">
        <f>+VLOOKUP(PROVEEDORES[[#This Row],[PROVEEDOR]],Terceros!$A:$D,4,FALSE)</f>
        <v>2,5% con base</v>
      </c>
      <c r="V666" s="98">
        <f>+YEAR(PROVEEDORES[[#This Row],[FECHA DE FACTURACIÓN]])</f>
        <v>2023</v>
      </c>
      <c r="W666" s="98">
        <f>+MATCH(PROVEEDORES[[#This Row],[año facturado]],Retenciones!$1:$1,0)</f>
        <v>6</v>
      </c>
      <c r="X666" s="99">
        <f>+VLOOKUP(PROVEEDORES[[#This Row],[ID RETENCION]],Retenciones!$A$1:$O$25,PROVEEDORES[[#This Row],[indicador de columna]],FALSE)</f>
        <v>1145000</v>
      </c>
      <c r="Y666" s="100">
        <f>+VLOOKUP(PROVEEDORES[[#This Row],[ID RETENCION]],Retenciones!$A$1:$O$25,2,FALSE)</f>
        <v>2.5000000000000001E-2</v>
      </c>
      <c r="Z666" s="103" t="b">
        <f>OR(COUNTIF(PROVEEDORES[[#This Row],[PROVEEDOR]],"*"&amp;'Palabra no opera'!$A$2&amp;"*"))</f>
        <v>0</v>
      </c>
    </row>
    <row r="667" spans="1:26" ht="22.35" customHeight="1" x14ac:dyDescent="0.25">
      <c r="A667" s="65" t="str">
        <f>+IF(PROVEEDORES[[#This Row],[FECHA DE PAGO]]=PROVEEDORES[[#This Row],[FECHA DE FACTURACIÓN]],"DE CONTADO","CRÉDITO")</f>
        <v>CRÉDITO</v>
      </c>
      <c r="B667" s="38" t="b">
        <f>+IF((PROVEEDORES[[#This Row],[FECHA DE PAGO]]-PROVEEDORES[[#This Row],[FECHA DE FACTURACIÓN]])&gt;PROVEEDORES[[#This Row],[PLAZO Días]],"PAGO VENCIDO")</f>
        <v>0</v>
      </c>
      <c r="C667" s="20">
        <f>+VLOOKUP(PROVEEDORES[[#This Row],[PROVEEDOR]],TERCEROS_INFO[#All],2,FALSE)</f>
        <v>60</v>
      </c>
      <c r="D667" s="25">
        <f>+SUMIFS(PROVEEDORES[Total],PROVEEDORES[PROVEEDOR],PROVEEDORES[[#This Row],[PROVEEDOR]],PROVEEDORES[FECHA DE PAGO],"")</f>
        <v>14884783</v>
      </c>
      <c r="E667" s="25"/>
      <c r="F667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7" s="289">
        <v>45314</v>
      </c>
      <c r="H667" s="26" t="s">
        <v>76</v>
      </c>
      <c r="I667" s="289">
        <v>45274</v>
      </c>
      <c r="J667" s="35" t="s">
        <v>1411</v>
      </c>
      <c r="K667" s="21">
        <v>10849593</v>
      </c>
      <c r="L667" s="21"/>
      <c r="M667" s="22">
        <f>(PROVEEDORES[[#This Row],[SUBTOTAL]]-PROVEEDORES[[#This Row],[descuento sobre subtotal]])*VLOOKUP(PROVEEDORES[[#This Row],[PROVEEDOR]],TERCEROS_INFO[#All],3,FALSE)</f>
        <v>2061422.67</v>
      </c>
      <c r="N667" s="23"/>
      <c r="O667" s="22">
        <v>12000000</v>
      </c>
      <c r="P667" s="72">
        <f>+IF(PROVEEDORES[[#This Row],[SUBTOTAL]]&lt;PROVEEDORES[[#This Row],[base retencion]],0,PROVEEDORES[[#This Row],[retención aplicada]])</f>
        <v>2.5000000000000001E-2</v>
      </c>
      <c r="Q667" s="22">
        <f>+PROVEEDORES[[#This Row],[Rete Fuente %]]*(PROVEEDORES[[#This Row],[SUBTOTAL]]-PROVEEDORES[[#This Row],[descuento sobre subtotal]])</f>
        <v>271239.82500000001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639775.84499999997</v>
      </c>
      <c r="S6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1">
        <f ca="1">IF(PROVEEDORES[[#This Row],[FECHA DE PAGO]]=0,TODAY()-PROVEEDORES[[#This Row],[FECHA DE FACTURACIÓN]]-PROVEEDORES[[#This Row],[PLAZO Días]],0)</f>
        <v>0</v>
      </c>
      <c r="U667" s="97" t="str">
        <f>+VLOOKUP(PROVEEDORES[[#This Row],[PROVEEDOR]],Terceros!$A:$D,4,FALSE)</f>
        <v>2,5% con base</v>
      </c>
      <c r="V667" s="98">
        <f>+YEAR(PROVEEDORES[[#This Row],[FECHA DE FACTURACIÓN]])</f>
        <v>2023</v>
      </c>
      <c r="W667" s="98">
        <f>+MATCH(PROVEEDORES[[#This Row],[año facturado]],Retenciones!$1:$1,0)</f>
        <v>6</v>
      </c>
      <c r="X667" s="99">
        <f>+VLOOKUP(PROVEEDORES[[#This Row],[ID RETENCION]],Retenciones!$A$1:$O$25,PROVEEDORES[[#This Row],[indicador de columna]],FALSE)</f>
        <v>1145000</v>
      </c>
      <c r="Y667" s="100">
        <f>+VLOOKUP(PROVEEDORES[[#This Row],[ID RETENCION]],Retenciones!$A$1:$O$25,2,FALSE)</f>
        <v>2.5000000000000001E-2</v>
      </c>
      <c r="Z667" s="103" t="b">
        <f>OR(COUNTIF(PROVEEDORES[[#This Row],[PROVEEDOR]],"*"&amp;'Palabra no opera'!$A$2&amp;"*"))</f>
        <v>0</v>
      </c>
    </row>
    <row r="668" spans="1:26" ht="22.35" customHeight="1" x14ac:dyDescent="0.25">
      <c r="A668" s="65" t="str">
        <f>+IF(PROVEEDORES[[#This Row],[FECHA DE PAGO]]=PROVEEDORES[[#This Row],[FECHA DE FACTURACIÓN]],"DE CONTADO","CRÉDITO")</f>
        <v>DE CONTADO</v>
      </c>
      <c r="B668" s="38" t="b">
        <f>+IF((PROVEEDORES[[#This Row],[FECHA DE PAGO]]-PROVEEDORES[[#This Row],[FECHA DE FACTURACIÓN]])&gt;PROVEEDORES[[#This Row],[PLAZO Días]],"PAGO VENCIDO")</f>
        <v>0</v>
      </c>
      <c r="C668" s="20">
        <f>+VLOOKUP(PROVEEDORES[[#This Row],[PROVEEDOR]],TERCEROS_INFO[#All],2,FALSE)</f>
        <v>60</v>
      </c>
      <c r="D668" s="25">
        <f>+SUMIFS(PROVEEDORES[Total],PROVEEDORES[PROVEEDOR],PROVEEDORES[[#This Row],[PROVEEDOR]],PROVEEDORES[FECHA DE PAGO],"")</f>
        <v>14884783</v>
      </c>
      <c r="E668" s="25"/>
      <c r="F668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G668" s="289">
        <v>45288</v>
      </c>
      <c r="H668" s="26" t="s">
        <v>76</v>
      </c>
      <c r="I668" s="289">
        <v>45288</v>
      </c>
      <c r="J668" s="35" t="s">
        <v>1516</v>
      </c>
      <c r="K668" s="21">
        <v>-6400000</v>
      </c>
      <c r="L668" s="21"/>
      <c r="M668" s="22"/>
      <c r="N668" s="23"/>
      <c r="O668" s="22">
        <f>+PROVEEDORES[[#This Row],[Descuento sobre subtotal %]]*(PROVEEDORES[[#This Row],[SUBTOTAL]]-PROVEEDORES[[#This Row],[descuento sobre subtotal]])</f>
        <v>0</v>
      </c>
      <c r="P668" s="72">
        <f>+IF(PROVEEDORES[[#This Row],[SUBTOTAL]]&lt;PROVEEDORES[[#This Row],[base retencion]],0,PROVEEDORES[[#This Row],[retención aplicada]])</f>
        <v>0</v>
      </c>
      <c r="Q668" s="22"/>
      <c r="R668" s="21">
        <f>+PROVEEDORES[[#This Row],[SUBTOTAL]]+PROVEEDORES[[#This Row],[IVA 19%]]-PROVEEDORES[[#This Row],[descuento sobre subtotal]]-PROVEEDORES[[#This Row],[Descuento sobre subtotal $2]]-PROVEEDORES[[#This Row],[Rete Fuente $]]</f>
        <v>-6400000</v>
      </c>
      <c r="S6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1">
        <f ca="1">IF(PROVEEDORES[[#This Row],[FECHA DE PAGO]]=0,TODAY()-PROVEEDORES[[#This Row],[FECHA DE FACTURACIÓN]]-PROVEEDORES[[#This Row],[PLAZO Días]],0)</f>
        <v>0</v>
      </c>
      <c r="U668" s="97" t="str">
        <f>+VLOOKUP(PROVEEDORES[[#This Row],[PROVEEDOR]],Terceros!$A:$D,4,FALSE)</f>
        <v>2,5% con base</v>
      </c>
      <c r="V668" s="98">
        <f>+YEAR(PROVEEDORES[[#This Row],[FECHA DE FACTURACIÓN]])</f>
        <v>2023</v>
      </c>
      <c r="W668" s="98">
        <f>+MATCH(PROVEEDORES[[#This Row],[año facturado]],Retenciones!$1:$1,0)</f>
        <v>6</v>
      </c>
      <c r="X668" s="99">
        <f>+VLOOKUP(PROVEEDORES[[#This Row],[ID RETENCION]],Retenciones!$A$1:$O$25,PROVEEDORES[[#This Row],[indicador de columna]],FALSE)</f>
        <v>1145000</v>
      </c>
      <c r="Y668" s="100">
        <f>+VLOOKUP(PROVEEDORES[[#This Row],[ID RETENCION]],Retenciones!$A$1:$O$25,2,FALSE)</f>
        <v>2.5000000000000001E-2</v>
      </c>
      <c r="Z668" s="103" t="b">
        <f>OR(COUNTIF(PROVEEDORES[[#This Row],[PROVEEDOR]],"*"&amp;'Palabra no opera'!$A$2&amp;"*"))</f>
        <v>0</v>
      </c>
    </row>
    <row r="669" spans="1:26" ht="22.35" customHeight="1" x14ac:dyDescent="0.25">
      <c r="A669" s="270" t="str">
        <f>+IF(PROVEEDORES[[#This Row],[FECHA DE PAGO]]=PROVEEDORES[[#This Row],[FECHA DE FACTURACIÓN]],"DE CONTADO","CRÉDITO")</f>
        <v>CRÉDITO</v>
      </c>
      <c r="B669" s="38" t="b">
        <f>+IF((PROVEEDORES[[#This Row],[FECHA DE PAGO]]-PROVEEDORES[[#This Row],[FECHA DE FACTURACIÓN]])&gt;PROVEEDORES[[#This Row],[PLAZO Días]],"PAGO VENCIDO")</f>
        <v>0</v>
      </c>
      <c r="C669" s="20">
        <f>+VLOOKUP(PROVEEDORES[[#This Row],[PROVEEDOR]],TERCEROS_INFO[#All],2,FALSE)</f>
        <v>60</v>
      </c>
      <c r="D669" s="25">
        <f>+SUMIFS(PROVEEDORES[Total],PROVEEDORES[PROVEEDOR],PROVEEDORES[[#This Row],[PROVEEDOR]],PROVEEDORES[FECHA DE PAGO],"")</f>
        <v>14884783</v>
      </c>
      <c r="E669" s="25"/>
      <c r="F669" s="56" t="str">
        <f>+VLOOKUP(PROVEEDORES[[#This Row],[PROVEEDOR]],
                       Terceros!$A:$F,
                       5,
                       FALSE)</f>
        <v>wruiz@tsqsa.com;girlesa.ruiz@servipilas.com;joriescobar64@gmail.com</v>
      </c>
      <c r="H669" s="26" t="s">
        <v>76</v>
      </c>
      <c r="I669" s="289">
        <v>45287</v>
      </c>
      <c r="J669" s="35" t="s">
        <v>1452</v>
      </c>
      <c r="K669" s="21">
        <v>18270200</v>
      </c>
      <c r="L669" s="21"/>
      <c r="M669" s="22">
        <f>(PROVEEDORES[[#This Row],[SUBTOTAL]]-PROVEEDORES[[#This Row],[descuento sobre subtotal]])*VLOOKUP(PROVEEDORES[[#This Row],[PROVEEDOR]],TERCEROS_INFO[#All],3,FALSE)</f>
        <v>3471338</v>
      </c>
      <c r="N669" s="23"/>
      <c r="O669" s="22">
        <v>6400000</v>
      </c>
      <c r="P669" s="72">
        <f>+IF(PROVEEDORES[[#This Row],[SUBTOTAL]]&lt;PROVEEDORES[[#This Row],[base retencion]],0,PROVEEDORES[[#This Row],[retención aplicada]])</f>
        <v>2.5000000000000001E-2</v>
      </c>
      <c r="Q669" s="22">
        <f>+PROVEEDORES[[#This Row],[Rete Fuente %]]*(PROVEEDORES[[#This Row],[SUBTOTAL]]-PROVEEDORES[[#This Row],[descuento sobre subtotal]])</f>
        <v>456755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14884783</v>
      </c>
      <c r="S669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69" s="61">
        <f ca="1">IF(PROVEEDORES[[#This Row],[FECHA DE PAGO]]=0,TODAY()-PROVEEDORES[[#This Row],[FECHA DE FACTURACIÓN]]-PROVEEDORES[[#This Row],[PLAZO Días]],0)</f>
        <v>-19</v>
      </c>
      <c r="U669" s="97" t="str">
        <f>+VLOOKUP(PROVEEDORES[[#This Row],[PROVEEDOR]],Terceros!$A:$D,4,FALSE)</f>
        <v>2,5% con base</v>
      </c>
      <c r="V669" s="98">
        <f>+YEAR(PROVEEDORES[[#This Row],[FECHA DE FACTURACIÓN]])</f>
        <v>2023</v>
      </c>
      <c r="W669" s="98">
        <f>+MATCH(PROVEEDORES[[#This Row],[año facturado]],Retenciones!$1:$1,0)</f>
        <v>6</v>
      </c>
      <c r="X669" s="99">
        <f>+VLOOKUP(PROVEEDORES[[#This Row],[ID RETENCION]],Retenciones!$A$1:$O$25,PROVEEDORES[[#This Row],[indicador de columna]],FALSE)</f>
        <v>1145000</v>
      </c>
      <c r="Y669" s="100">
        <f>+VLOOKUP(PROVEEDORES[[#This Row],[ID RETENCION]],Retenciones!$A$1:$O$25,2,FALSE)</f>
        <v>2.5000000000000001E-2</v>
      </c>
      <c r="Z669" s="103" t="b">
        <f>OR(COUNTIF(PROVEEDORES[[#This Row],[PROVEEDOR]],"*"&amp;'Palabra no opera'!$A$2&amp;"*"))</f>
        <v>0</v>
      </c>
    </row>
    <row r="670" spans="1:26" ht="22.35" customHeight="1" x14ac:dyDescent="0.25">
      <c r="A670" s="192" t="str">
        <f>+IF(PROVEEDORES[[#This Row],[FECHA DE PAGO]]=PROVEEDORES[[#This Row],[FECHA DE FACTURACIÓN]],"DE CONTADO","CRÉDITO")</f>
        <v>CRÉDITO</v>
      </c>
      <c r="B670" s="38" t="str">
        <f>+IF((PROVEEDORES[[#This Row],[FECHA DE PAGO]]-PROVEEDORES[[#This Row],[FECHA DE FACTURACIÓN]])&gt;PROVEEDORES[[#This Row],[PLAZO Días]],"PAGO VENCIDO")</f>
        <v>PAGO VENCIDO</v>
      </c>
      <c r="C670" s="20">
        <f>+VLOOKUP(PROVEEDORES[[#This Row],[PROVEEDOR]],TERCEROS_INFO[#All],2,FALSE)</f>
        <v>30</v>
      </c>
      <c r="D670" s="25">
        <f>+SUMIFS(PROVEEDORES[Total],PROVEEDORES[PROVEEDOR],PROVEEDORES[[#This Row],[PROVEEDOR]],PROVEEDORES[FECHA DE PAGO],"")</f>
        <v>0</v>
      </c>
      <c r="E670" s="25"/>
      <c r="F670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670" s="289">
        <v>45140</v>
      </c>
      <c r="H670" s="26" t="s">
        <v>213</v>
      </c>
      <c r="I670" s="289">
        <v>45037</v>
      </c>
      <c r="J670" s="35" t="s">
        <v>779</v>
      </c>
      <c r="K670" s="21">
        <v>6747647</v>
      </c>
      <c r="L670" s="21"/>
      <c r="M670" s="22">
        <f>(PROVEEDORES[[#This Row],[SUBTOTAL]]-PROVEEDORES[[#This Row],[descuento sobre subtotal]])*VLOOKUP(PROVEEDORES[[#This Row],[PROVEEDOR]],TERCEROS_INFO[#All],3,FALSE)</f>
        <v>1282052.93</v>
      </c>
      <c r="N670" s="23"/>
      <c r="O670" s="22">
        <f>+PROVEEDORES[[#This Row],[Descuento sobre subtotal %]]*(PROVEEDORES[[#This Row],[SUBTOTAL]]-PROVEEDORES[[#This Row],[descuento sobre subtotal]])</f>
        <v>0</v>
      </c>
      <c r="P670" s="72">
        <f>+IF(PROVEEDORES[[#This Row],[SUBTOTAL]]&lt;PROVEEDORES[[#This Row],[base retencion]],0,PROVEEDORES[[#This Row],[retención aplicada]])</f>
        <v>2.5000000000000001E-2</v>
      </c>
      <c r="Q670" s="22">
        <f>+PROVEEDORES[[#This Row],[Rete Fuente %]]*(PROVEEDORES[[#This Row],[SUBTOTAL]]-PROVEEDORES[[#This Row],[descuento sobre subtotal]])</f>
        <v>168691.17500000002</v>
      </c>
      <c r="R670" s="21">
        <f>+PROVEEDORES[[#This Row],[SUBTOTAL]]+PROVEEDORES[[#This Row],[IVA 19%]]-PROVEEDORES[[#This Row],[descuento sobre subtotal]]-PROVEEDORES[[#This Row],[Descuento sobre subtotal $2]]-PROVEEDORES[[#This Row],[Rete Fuente $]]</f>
        <v>7861008.7549999999</v>
      </c>
      <c r="S67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1">
        <f ca="1">IF(PROVEEDORES[[#This Row],[FECHA DE PAGO]]=0,TODAY()-PROVEEDORES[[#This Row],[FECHA DE FACTURACIÓN]]-PROVEEDORES[[#This Row],[PLAZO Días]],0)</f>
        <v>0</v>
      </c>
      <c r="U670" s="97" t="str">
        <f>+VLOOKUP(PROVEEDORES[[#This Row],[PROVEEDOR]],Terceros!$A:$D,4,FALSE)</f>
        <v>2,5% con base</v>
      </c>
      <c r="V670" s="98">
        <f>+YEAR(PROVEEDORES[[#This Row],[FECHA DE FACTURACIÓN]])</f>
        <v>2023</v>
      </c>
      <c r="W670" s="98">
        <f>+MATCH(PROVEEDORES[[#This Row],[año facturado]],Retenciones!$1:$1,0)</f>
        <v>6</v>
      </c>
      <c r="X670" s="99">
        <f>+VLOOKUP(PROVEEDORES[[#This Row],[ID RETENCION]],Retenciones!$A$1:$O$25,PROVEEDORES[[#This Row],[indicador de columna]],FALSE)</f>
        <v>1145000</v>
      </c>
      <c r="Y670" s="100">
        <f>+VLOOKUP(PROVEEDORES[[#This Row],[ID RETENCION]],Retenciones!$A$1:$O$25,2,FALSE)</f>
        <v>2.5000000000000001E-2</v>
      </c>
      <c r="Z670" s="103" t="b">
        <f>OR(COUNTIF(PROVEEDORES[[#This Row],[PROVEEDOR]],"*"&amp;'Palabra no opera'!$A$2&amp;"*"))</f>
        <v>0</v>
      </c>
    </row>
    <row r="671" spans="1:26" ht="22.35" customHeight="1" x14ac:dyDescent="0.25">
      <c r="A671" s="243" t="str">
        <f>+IF(PROVEEDORES[[#This Row],[FECHA DE PAGO]]=PROVEEDORES[[#This Row],[FECHA DE FACTURACIÓN]],"DE CONTADO","CRÉDITO")</f>
        <v>CRÉDITO</v>
      </c>
      <c r="B671" s="38" t="str">
        <f>+IF((PROVEEDORES[[#This Row],[FECHA DE PAGO]]-PROVEEDORES[[#This Row],[FECHA DE FACTURACIÓN]])&gt;PROVEEDORES[[#This Row],[PLAZO Días]],"PAGO VENCIDO")</f>
        <v>PAGO VENCIDO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0</v>
      </c>
      <c r="E671" s="25"/>
      <c r="F671" s="56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671" s="289">
        <v>45272</v>
      </c>
      <c r="H671" s="26" t="s">
        <v>213</v>
      </c>
      <c r="I671" s="289">
        <v>45202</v>
      </c>
      <c r="J671" s="35" t="s">
        <v>1144</v>
      </c>
      <c r="K671" s="21">
        <v>6385210</v>
      </c>
      <c r="L671" s="21"/>
      <c r="M671" s="22">
        <f>(PROVEEDORES[[#This Row],[SUBTOTAL]]-PROVEEDORES[[#This Row],[descuento sobre subtotal]])*VLOOKUP(PROVEEDORES[[#This Row],[PROVEEDOR]],TERCEROS_INFO[#All],3,FALSE)</f>
        <v>1213189.8999999999</v>
      </c>
      <c r="N671" s="23"/>
      <c r="O671" s="22">
        <f>+PROVEEDORES[[#This Row],[Descuento sobre subtotal %]]*(PROVEEDORES[[#This Row],[SUBTOTAL]]-PROVEEDORES[[#This Row],[descuento sobre subtotal]])</f>
        <v>0</v>
      </c>
      <c r="P671" s="72">
        <f>+IF(PROVEEDORES[[#This Row],[SUBTOTAL]]&lt;PROVEEDORES[[#This Row],[base retencion]],0,PROVEEDORES[[#This Row],[retención aplicada]])</f>
        <v>2.5000000000000001E-2</v>
      </c>
      <c r="Q671" s="22">
        <f>+PROVEEDORES[[#This Row],[Rete Fuente %]]*(PROVEEDORES[[#This Row],[SUBTOTAL]]-PROVEEDORES[[#This Row],[descuento sobre subtotal]])</f>
        <v>159630.25</v>
      </c>
      <c r="R671" s="21">
        <f>+PROVEEDORES[[#This Row],[SUBTOTAL]]+PROVEEDORES[[#This Row],[IVA 19%]]-PROVEEDORES[[#This Row],[descuento sobre subtotal]]-PROVEEDORES[[#This Row],[Descuento sobre subtotal $2]]-PROVEEDORES[[#This Row],[Rete Fuente $]]</f>
        <v>7438769.6500000004</v>
      </c>
      <c r="S671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1">
        <f ca="1">IF(PROVEEDORES[[#This Row],[FECHA DE PAGO]]=0,TODAY()-PROVEEDORES[[#This Row],[FECHA DE FACTURACIÓN]]-PROVEEDORES[[#This Row],[PLAZO Días]],0)</f>
        <v>0</v>
      </c>
      <c r="U671" s="97" t="str">
        <f>+VLOOKUP(PROVEEDORES[[#This Row],[PROVEEDOR]],Terceros!$A:$D,4,FALSE)</f>
        <v>2,5% con base</v>
      </c>
      <c r="V671" s="98">
        <f>+YEAR(PROVEEDORES[[#This Row],[FECHA DE FACTURACIÓN]])</f>
        <v>2023</v>
      </c>
      <c r="W671" s="98">
        <f>+MATCH(PROVEEDORES[[#This Row],[año facturado]],Retenciones!$1:$1,0)</f>
        <v>6</v>
      </c>
      <c r="X671" s="99">
        <f>+VLOOKUP(PROVEEDORES[[#This Row],[ID RETENCION]],Retenciones!$A$1:$O$25,PROVEEDORES[[#This Row],[indicador de columna]],FALSE)</f>
        <v>1145000</v>
      </c>
      <c r="Y671" s="100">
        <f>+VLOOKUP(PROVEEDORES[[#This Row],[ID RETENCION]],Retenciones!$A$1:$O$25,2,FALSE)</f>
        <v>2.5000000000000001E-2</v>
      </c>
      <c r="Z671" s="103" t="b">
        <f>OR(COUNTIF(PROVEEDORES[[#This Row],[PROVEEDOR]],"*"&amp;'Palabra no opera'!$A$2&amp;"*"))</f>
        <v>0</v>
      </c>
    </row>
    <row r="672" spans="1:26" ht="22.35" customHeight="1" x14ac:dyDescent="0.25">
      <c r="A672" s="155" t="str">
        <f>+IF(PROVEEDORES[[#This Row],[FECHA DE PAGO]]=PROVEEDORES[[#This Row],[FECHA DE FACTURACIÓN]],"DE CONTADO","CRÉDITO")</f>
        <v>DE CONTADO</v>
      </c>
      <c r="B672" s="38" t="b">
        <f>+IF((PROVEEDORES[[#This Row],[FECHA DE PAGO]]-PROVEEDORES[[#This Row],[FECHA DE FACTURACIÓN]])&gt;PROVEEDORES[[#This Row],[PLAZO Días]],"PAGO VENCIDO")</f>
        <v>0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0</v>
      </c>
      <c r="E672" s="25"/>
      <c r="F67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2" s="289">
        <v>44972</v>
      </c>
      <c r="H672" s="26" t="s">
        <v>24</v>
      </c>
      <c r="I672" s="289">
        <v>44972</v>
      </c>
      <c r="J672" s="35" t="s">
        <v>623</v>
      </c>
      <c r="K672" s="21">
        <v>2122650</v>
      </c>
      <c r="L672" s="21"/>
      <c r="M672" s="22">
        <f>(PROVEEDORES[[#This Row],[SUBTOTAL]]-PROVEEDORES[[#This Row],[descuento sobre subtotal]])*VLOOKUP(PROVEEDORES[[#This Row],[PROVEEDOR]],TERCEROS_INFO[#All],3,FALSE)</f>
        <v>403303.5</v>
      </c>
      <c r="N672" s="23"/>
      <c r="O672" s="22">
        <f>+PROVEEDORES[[#This Row],[Descuento sobre subtotal %]]*(PROVEEDORES[[#This Row],[SUBTOTAL]]-PROVEEDORES[[#This Row],[descuento sobre subtotal]])</f>
        <v>0</v>
      </c>
      <c r="P672" s="72">
        <f>+IF(PROVEEDORES[[#This Row],[SUBTOTAL]]&lt;PROVEEDORES[[#This Row],[base retencion]],0,PROVEEDORES[[#This Row],[retención aplicada]])</f>
        <v>2.5000000000000001E-2</v>
      </c>
      <c r="Q672" s="22">
        <f>+PROVEEDORES[[#This Row],[Rete Fuente %]]*(PROVEEDORES[[#This Row],[SUBTOTAL]]-PROVEEDORES[[#This Row],[descuento sobre subtotal]])</f>
        <v>53066.25</v>
      </c>
      <c r="R672" s="21">
        <f>+PROVEEDORES[[#This Row],[SUBTOTAL]]+PROVEEDORES[[#This Row],[IVA 19%]]-PROVEEDORES[[#This Row],[descuento sobre subtotal]]-PROVEEDORES[[#This Row],[Descuento sobre subtotal $2]]-PROVEEDORES[[#This Row],[Rete Fuente $]]</f>
        <v>2472887.25</v>
      </c>
      <c r="S672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1">
        <f ca="1">IF(PROVEEDORES[[#This Row],[FECHA DE PAGO]]=0,TODAY()-PROVEEDORES[[#This Row],[FECHA DE FACTURACIÓN]]-PROVEEDORES[[#This Row],[PLAZO Días]],0)</f>
        <v>0</v>
      </c>
      <c r="U672" s="97" t="str">
        <f>+VLOOKUP(PROVEEDORES[[#This Row],[PROVEEDOR]],Terceros!$A:$D,4,FALSE)</f>
        <v>2,5% con base</v>
      </c>
      <c r="V672" s="98">
        <f>+YEAR(PROVEEDORES[[#This Row],[FECHA DE FACTURACIÓN]])</f>
        <v>2023</v>
      </c>
      <c r="W672" s="98">
        <f>+MATCH(PROVEEDORES[[#This Row],[año facturado]],Retenciones!$1:$1,0)</f>
        <v>6</v>
      </c>
      <c r="X672" s="99">
        <f>+VLOOKUP(PROVEEDORES[[#This Row],[ID RETENCION]],Retenciones!$A$1:$O$25,PROVEEDORES[[#This Row],[indicador de columna]],FALSE)</f>
        <v>1145000</v>
      </c>
      <c r="Y672" s="100">
        <f>+VLOOKUP(PROVEEDORES[[#This Row],[ID RETENCION]],Retenciones!$A$1:$O$25,2,FALSE)</f>
        <v>2.5000000000000001E-2</v>
      </c>
      <c r="Z672" s="103" t="b">
        <f>OR(COUNTIF(PROVEEDORES[[#This Row],[PROVEEDOR]],"*"&amp;'Palabra no opera'!$A$2&amp;"*"))</f>
        <v>0</v>
      </c>
    </row>
    <row r="673" spans="1:26" ht="22.35" customHeight="1" x14ac:dyDescent="0.25">
      <c r="A673" s="155" t="str">
        <f>+IF(PROVEEDORES[[#This Row],[FECHA DE PAGO]]=PROVEEDORES[[#This Row],[FECHA DE FACTURACIÓN]],"DE CONTADO","CRÉDITO")</f>
        <v>CRÉDITO</v>
      </c>
      <c r="B673" s="38" t="b">
        <f>+IF((PROVEEDORES[[#This Row],[FECHA DE PAGO]]-PROVEEDORES[[#This Row],[FECHA DE FACTURACIÓN]])&gt;PROVEEDORES[[#This Row],[PLAZO Días]],"PAGO VENCIDO")</f>
        <v>0</v>
      </c>
      <c r="C673" s="20">
        <f>+VLOOKUP(PROVEEDORES[[#This Row],[PROVEEDOR]],TERCEROS_INFO[#All],2,FALSE)</f>
        <v>30</v>
      </c>
      <c r="D673" s="25">
        <f>+SUMIFS(PROVEEDORES[Total],PROVEEDORES[PROVEEDOR],PROVEEDORES[[#This Row],[PROVEEDOR]],PROVEEDORES[FECHA DE PAGO],"")</f>
        <v>0</v>
      </c>
      <c r="E673" s="25"/>
      <c r="F67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3" s="289">
        <v>44998</v>
      </c>
      <c r="H673" s="26" t="s">
        <v>24</v>
      </c>
      <c r="I673" s="289">
        <v>44973</v>
      </c>
      <c r="J673" s="35" t="s">
        <v>622</v>
      </c>
      <c r="K673" s="21">
        <v>16645788</v>
      </c>
      <c r="L673" s="21"/>
      <c r="M673" s="22">
        <f>(PROVEEDORES[[#This Row],[SUBTOTAL]]-PROVEEDORES[[#This Row],[descuento sobre subtotal]])*VLOOKUP(PROVEEDORES[[#This Row],[PROVEEDOR]],TERCEROS_INFO[#All],3,FALSE)</f>
        <v>3162699.72</v>
      </c>
      <c r="N673" s="23"/>
      <c r="O673" s="22">
        <f>+PROVEEDORES[[#This Row],[Descuento sobre subtotal %]]*(PROVEEDORES[[#This Row],[SUBTOTAL]]-PROVEEDORES[[#This Row],[descuento sobre subtotal]])</f>
        <v>0</v>
      </c>
      <c r="P673" s="72">
        <f>+IF(PROVEEDORES[[#This Row],[SUBTOTAL]]&lt;PROVEEDORES[[#This Row],[base retencion]],0,PROVEEDORES[[#This Row],[retención aplicada]])</f>
        <v>2.5000000000000001E-2</v>
      </c>
      <c r="Q673" s="22">
        <f>+PROVEEDORES[[#This Row],[Rete Fuente %]]*(PROVEEDORES[[#This Row],[SUBTOTAL]]-PROVEEDORES[[#This Row],[descuento sobre subtotal]])</f>
        <v>416144.7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19392343.02</v>
      </c>
      <c r="S673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1">
        <f ca="1">IF(PROVEEDORES[[#This Row],[FECHA DE PAGO]]=0,TODAY()-PROVEEDORES[[#This Row],[FECHA DE FACTURACIÓN]]-PROVEEDORES[[#This Row],[PLAZO Días]],0)</f>
        <v>0</v>
      </c>
      <c r="U673" s="97" t="str">
        <f>+VLOOKUP(PROVEEDORES[[#This Row],[PROVEEDOR]],Terceros!$A:$D,4,FALSE)</f>
        <v>2,5% con base</v>
      </c>
      <c r="V673" s="98">
        <f>+YEAR(PROVEEDORES[[#This Row],[FECHA DE FACTURACIÓN]])</f>
        <v>2023</v>
      </c>
      <c r="W673" s="98">
        <f>+MATCH(PROVEEDORES[[#This Row],[año facturado]],Retenciones!$1:$1,0)</f>
        <v>6</v>
      </c>
      <c r="X673" s="99">
        <f>+VLOOKUP(PROVEEDORES[[#This Row],[ID RETENCION]],Retenciones!$A$1:$O$25,PROVEEDORES[[#This Row],[indicador de columna]],FALSE)</f>
        <v>1145000</v>
      </c>
      <c r="Y673" s="100">
        <f>+VLOOKUP(PROVEEDORES[[#This Row],[ID RETENCION]],Retenciones!$A$1:$O$25,2,FALSE)</f>
        <v>2.5000000000000001E-2</v>
      </c>
      <c r="Z673" s="103" t="b">
        <f>OR(COUNTIF(PROVEEDORES[[#This Row],[PROVEEDOR]],"*"&amp;'Palabra no opera'!$A$2&amp;"*"))</f>
        <v>0</v>
      </c>
    </row>
    <row r="674" spans="1:26" ht="22.35" customHeight="1" x14ac:dyDescent="0.25">
      <c r="A674" s="155" t="str">
        <f>+IF(PROVEEDORES[[#This Row],[FECHA DE PAGO]]=PROVEEDORES[[#This Row],[FECHA DE FACTURACIÓN]],"DE CONTADO","CRÉDITO")</f>
        <v>CRÉDITO</v>
      </c>
      <c r="B674" s="38" t="b">
        <f>+IF((PROVEEDORES[[#This Row],[FECHA DE PAGO]]-PROVEEDORES[[#This Row],[FECHA DE FACTURACIÓN]])&gt;PROVEEDORES[[#This Row],[PLAZO Días]],"PAGO VENCIDO")</f>
        <v>0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0</v>
      </c>
      <c r="E674" s="25"/>
      <c r="F674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4" s="289">
        <v>44998</v>
      </c>
      <c r="H674" s="26" t="s">
        <v>24</v>
      </c>
      <c r="I674" s="289">
        <v>44985</v>
      </c>
      <c r="J674" s="35" t="s">
        <v>640</v>
      </c>
      <c r="K674" s="21">
        <v>-8403361</v>
      </c>
      <c r="L674" s="21"/>
      <c r="M674" s="22">
        <f>(PROVEEDORES[[#This Row],[SUBTOTAL]]-PROVEEDORES[[#This Row],[descuento sobre subtotal]])*VLOOKUP(PROVEEDORES[[#This Row],[PROVEEDOR]],TERCEROS_INFO[#All],3,FALSE)</f>
        <v>-1596638.59</v>
      </c>
      <c r="N674" s="23"/>
      <c r="O674" s="22">
        <f>+PROVEEDORES[[#This Row],[Descuento sobre subtotal %]]*(PROVEEDORES[[#This Row],[SUBTOTAL]]-PROVEEDORES[[#This Row],[descuento sobre subtotal]])</f>
        <v>0</v>
      </c>
      <c r="P674" s="72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674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1">
        <f ca="1">IF(PROVEEDORES[[#This Row],[FECHA DE PAGO]]=0,TODAY()-PROVEEDORES[[#This Row],[FECHA DE FACTURACIÓN]]-PROVEEDORES[[#This Row],[PLAZO Días]],0)</f>
        <v>0</v>
      </c>
      <c r="U674" s="97" t="str">
        <f>+VLOOKUP(PROVEEDORES[[#This Row],[PROVEEDOR]],Terceros!$A:$D,4,FALSE)</f>
        <v>2,5% con base</v>
      </c>
      <c r="V674" s="98">
        <f>+YEAR(PROVEEDORES[[#This Row],[FECHA DE FACTURACIÓN]])</f>
        <v>2023</v>
      </c>
      <c r="W674" s="98">
        <f>+MATCH(PROVEEDORES[[#This Row],[año facturado]],Retenciones!$1:$1,0)</f>
        <v>6</v>
      </c>
      <c r="X674" s="99">
        <f>+VLOOKUP(PROVEEDORES[[#This Row],[ID RETENCION]],Retenciones!$A$1:$O$25,PROVEEDORES[[#This Row],[indicador de columna]],FALSE)</f>
        <v>1145000</v>
      </c>
      <c r="Y674" s="100">
        <f>+VLOOKUP(PROVEEDORES[[#This Row],[ID RETENCION]],Retenciones!$A$1:$O$25,2,FALSE)</f>
        <v>2.5000000000000001E-2</v>
      </c>
      <c r="Z674" s="103" t="b">
        <f>OR(COUNTIF(PROVEEDORES[[#This Row],[PROVEEDOR]],"*"&amp;'Palabra no opera'!$A$2&amp;"*"))</f>
        <v>0</v>
      </c>
    </row>
    <row r="675" spans="1:26" ht="22.35" customHeight="1" x14ac:dyDescent="0.25">
      <c r="A675" s="65" t="str">
        <f>+IF(PROVEEDORES[[#This Row],[FECHA DE PAGO]]=PROVEEDORES[[#This Row],[FECHA DE FACTURACIÓN]],"DE CONTADO","CRÉDITO")</f>
        <v>CRÉDITO</v>
      </c>
      <c r="B675" s="38" t="str">
        <f>+IF((PROVEEDORES[[#This Row],[FECHA DE PAGO]]-PROVEEDORES[[#This Row],[FECHA DE FACTURACIÓN]])&gt;PROVEEDORES[[#This Row],[PLAZO Días]],"PAGO VENCIDO")</f>
        <v>PAGO VENCIDO</v>
      </c>
      <c r="C675" s="20">
        <f>+VLOOKUP(PROVEEDORES[[#This Row],[PROVEEDOR]],TERCEROS_INFO[#All],2,FALSE)</f>
        <v>30</v>
      </c>
      <c r="D675" s="25">
        <f>+SUMIFS(PROVEEDORES[Total],PROVEEDORES[PROVEEDOR],PROVEEDORES[[#This Row],[PROVEEDOR]],PROVEEDORES[FECHA DE PAGO],"")</f>
        <v>0</v>
      </c>
      <c r="E675" s="25"/>
      <c r="F675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5" s="289">
        <v>45048</v>
      </c>
      <c r="H675" s="26" t="s">
        <v>24</v>
      </c>
      <c r="I675" s="289">
        <v>44996</v>
      </c>
      <c r="J675" s="35" t="s">
        <v>660</v>
      </c>
      <c r="K675" s="21">
        <v>10188720</v>
      </c>
      <c r="L675" s="21"/>
      <c r="M675" s="22">
        <f>(PROVEEDORES[[#This Row],[SUBTOTAL]]-PROVEEDORES[[#This Row],[descuento sobre subtotal]])*VLOOKUP(PROVEEDORES[[#This Row],[PROVEEDOR]],TERCEROS_INFO[#All],3,FALSE)</f>
        <v>1935856.8</v>
      </c>
      <c r="N675" s="23"/>
      <c r="O675" s="22">
        <f>+PROVEEDORES[[#This Row],[Descuento sobre subtotal %]]*(PROVEEDORES[[#This Row],[SUBTOTAL]]-PROVEEDORES[[#This Row],[descuento sobre subtotal]])</f>
        <v>0</v>
      </c>
      <c r="P675" s="72">
        <f>+IF(PROVEEDORES[[#This Row],[SUBTOTAL]]&lt;PROVEEDORES[[#This Row],[base retencion]],0,PROVEEDORES[[#This Row],[retención aplicada]])</f>
        <v>2.5000000000000001E-2</v>
      </c>
      <c r="Q675" s="22">
        <f>+PROVEEDORES[[#This Row],[Rete Fuente %]]*(PROVEEDORES[[#This Row],[SUBTOTAL]]-PROVEEDORES[[#This Row],[descuento sobre subtotal]])</f>
        <v>254718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11869858.800000001</v>
      </c>
      <c r="S6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1">
        <f ca="1">IF(PROVEEDORES[[#This Row],[FECHA DE PAGO]]=0,TODAY()-PROVEEDORES[[#This Row],[FECHA DE FACTURACIÓN]]-PROVEEDORES[[#This Row],[PLAZO Días]],0)</f>
        <v>0</v>
      </c>
      <c r="U675" s="97" t="str">
        <f>+VLOOKUP(PROVEEDORES[[#This Row],[PROVEEDOR]],Terceros!$A:$D,4,FALSE)</f>
        <v>2,5% con base</v>
      </c>
      <c r="V675" s="98">
        <f>+YEAR(PROVEEDORES[[#This Row],[FECHA DE FACTURACIÓN]])</f>
        <v>2023</v>
      </c>
      <c r="W675" s="98">
        <f>+MATCH(PROVEEDORES[[#This Row],[año facturado]],Retenciones!$1:$1,0)</f>
        <v>6</v>
      </c>
      <c r="X675" s="99">
        <f>+VLOOKUP(PROVEEDORES[[#This Row],[ID RETENCION]],Retenciones!$A$1:$O$25,PROVEEDORES[[#This Row],[indicador de columna]],FALSE)</f>
        <v>1145000</v>
      </c>
      <c r="Y675" s="100">
        <f>+VLOOKUP(PROVEEDORES[[#This Row],[ID RETENCION]],Retenciones!$A$1:$O$25,2,FALSE)</f>
        <v>2.5000000000000001E-2</v>
      </c>
      <c r="Z675" s="103" t="b">
        <f>OR(COUNTIF(PROVEEDORES[[#This Row],[PROVEEDOR]],"*"&amp;'Palabra no opera'!$A$2&amp;"*"))</f>
        <v>0</v>
      </c>
    </row>
    <row r="676" spans="1:26" ht="22.35" customHeight="1" x14ac:dyDescent="0.25">
      <c r="A676" s="65" t="str">
        <f>+IF(PROVEEDORES[[#This Row],[FECHA DE PAGO]]=PROVEEDORES[[#This Row],[FECHA DE FACTURACIÓN]],"DE CONTADO","CRÉDITO")</f>
        <v>CRÉDITO</v>
      </c>
      <c r="B676" s="38" t="str">
        <f>+IF((PROVEEDORES[[#This Row],[FECHA DE PAGO]]-PROVEEDORES[[#This Row],[FECHA DE FACTURACIÓN]])&gt;PROVEEDORES[[#This Row],[PLAZO Días]],"PAGO VENCIDO")</f>
        <v>PAGO VENCIDO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0</v>
      </c>
      <c r="E676" s="25"/>
      <c r="F676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6" s="289">
        <v>45232</v>
      </c>
      <c r="H676" s="26" t="s">
        <v>24</v>
      </c>
      <c r="I676" s="289">
        <v>44998</v>
      </c>
      <c r="J676" s="35" t="s">
        <v>532</v>
      </c>
      <c r="K676" s="21">
        <v>-1680672</v>
      </c>
      <c r="L676" s="21"/>
      <c r="M676" s="22">
        <f>(PROVEEDORES[[#This Row],[SUBTOTAL]]-PROVEEDORES[[#This Row],[descuento sobre subtotal]])*VLOOKUP(PROVEEDORES[[#This Row],[PROVEEDOR]],TERCEROS_INFO[#All],3,FALSE)</f>
        <v>-319327.68</v>
      </c>
      <c r="N676" s="23"/>
      <c r="O676" s="22">
        <f>+PROVEEDORES[[#This Row],[Descuento sobre subtotal %]]*(PROVEEDORES[[#This Row],[SUBTOTAL]]-PROVEEDORES[[#This Row],[descuento sobre subtotal]])</f>
        <v>0</v>
      </c>
      <c r="P676" s="72">
        <f>+IF(PROVEEDORES[[#This Row],[SUBTOTAL]]&lt;PROVEEDORES[[#This Row],[base retencion]],0,PROVEEDORES[[#This Row],[retención aplicada]])</f>
        <v>0</v>
      </c>
      <c r="Q676" s="22">
        <f>+PROVEEDORES[[#This Row],[Rete Fuente %]]*(PROVEEDORES[[#This Row],[SUBTOTAL]]-PROVEEDORES[[#This Row],[descuento sobre subtotal]])</f>
        <v>0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-1999999.68</v>
      </c>
      <c r="S6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1">
        <f ca="1">IF(PROVEEDORES[[#This Row],[FECHA DE PAGO]]=0,TODAY()-PROVEEDORES[[#This Row],[FECHA DE FACTURACIÓN]]-PROVEEDORES[[#This Row],[PLAZO Días]],0)</f>
        <v>0</v>
      </c>
      <c r="U676" s="97" t="str">
        <f>+VLOOKUP(PROVEEDORES[[#This Row],[PROVEEDOR]],Terceros!$A:$D,4,FALSE)</f>
        <v>2,5% con base</v>
      </c>
      <c r="V676" s="98">
        <f>+YEAR(PROVEEDORES[[#This Row],[FECHA DE FACTURACIÓN]])</f>
        <v>2023</v>
      </c>
      <c r="W676" s="98">
        <f>+MATCH(PROVEEDORES[[#This Row],[año facturado]],Retenciones!$1:$1,0)</f>
        <v>6</v>
      </c>
      <c r="X676" s="99">
        <f>+VLOOKUP(PROVEEDORES[[#This Row],[ID RETENCION]],Retenciones!$A$1:$O$25,PROVEEDORES[[#This Row],[indicador de columna]],FALSE)</f>
        <v>1145000</v>
      </c>
      <c r="Y676" s="100">
        <f>+VLOOKUP(PROVEEDORES[[#This Row],[ID RETENCION]],Retenciones!$A$1:$O$25,2,FALSE)</f>
        <v>2.5000000000000001E-2</v>
      </c>
      <c r="Z676" s="103" t="b">
        <f>OR(COUNTIF(PROVEEDORES[[#This Row],[PROVEEDOR]],"*"&amp;'Palabra no opera'!$A$2&amp;"*"))</f>
        <v>0</v>
      </c>
    </row>
    <row r="677" spans="1:26" ht="22.35" customHeight="1" x14ac:dyDescent="0.25">
      <c r="A677" s="65" t="str">
        <f>+IF(PROVEEDORES[[#This Row],[FECHA DE PAGO]]=PROVEEDORES[[#This Row],[FECHA DE FACTURACIÓN]],"DE CONTADO","CRÉDITO")</f>
        <v>CRÉDITO</v>
      </c>
      <c r="B677" s="38" t="str">
        <f>+IF((PROVEEDORES[[#This Row],[FECHA DE PAGO]]-PROVEEDORES[[#This Row],[FECHA DE FACTURACIÓN]])&gt;PROVEEDORES[[#This Row],[PLAZO Días]],"PAGO VENCIDO")</f>
        <v>PAGO VENCIDO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0</v>
      </c>
      <c r="E677" s="25"/>
      <c r="F677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7" s="289">
        <v>45128</v>
      </c>
      <c r="H677" s="26" t="s">
        <v>24</v>
      </c>
      <c r="I677" s="289">
        <v>45085</v>
      </c>
      <c r="J677" s="35" t="s">
        <v>873</v>
      </c>
      <c r="K677" s="21">
        <v>2926800</v>
      </c>
      <c r="L677" s="21"/>
      <c r="M677" s="22">
        <f>(PROVEEDORES[[#This Row],[SUBTOTAL]]-PROVEEDORES[[#This Row],[descuento sobre subtotal]])*VLOOKUP(PROVEEDORES[[#This Row],[PROVEEDOR]],TERCEROS_INFO[#All],3,FALSE)</f>
        <v>556092</v>
      </c>
      <c r="N677" s="23"/>
      <c r="O677" s="22">
        <f>+PROVEEDORES[[#This Row],[Descuento sobre subtotal %]]*(PROVEEDORES[[#This Row],[SUBTOTAL]]-PROVEEDORES[[#This Row],[descuento sobre subtotal]])</f>
        <v>0</v>
      </c>
      <c r="P677" s="72">
        <f>+IF(PROVEEDORES[[#This Row],[SUBTOTAL]]&lt;PROVEEDORES[[#This Row],[base retencion]],0,PROVEEDORES[[#This Row],[retención aplicada]])</f>
        <v>2.5000000000000001E-2</v>
      </c>
      <c r="Q677" s="22">
        <f>+PROVEEDORES[[#This Row],[Rete Fuente %]]*(PROVEEDORES[[#This Row],[SUBTOTAL]]-PROVEEDORES[[#This Row],[descuento sobre subtotal]])</f>
        <v>73170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3409722</v>
      </c>
      <c r="S6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1">
        <f ca="1">IF(PROVEEDORES[[#This Row],[FECHA DE PAGO]]=0,TODAY()-PROVEEDORES[[#This Row],[FECHA DE FACTURACIÓN]]-PROVEEDORES[[#This Row],[PLAZO Días]],0)</f>
        <v>0</v>
      </c>
      <c r="U677" s="97" t="str">
        <f>+VLOOKUP(PROVEEDORES[[#This Row],[PROVEEDOR]],Terceros!$A:$D,4,FALSE)</f>
        <v>2,5% con base</v>
      </c>
      <c r="V677" s="98">
        <f>+YEAR(PROVEEDORES[[#This Row],[FECHA DE FACTURACIÓN]])</f>
        <v>2023</v>
      </c>
      <c r="W677" s="98">
        <f>+MATCH(PROVEEDORES[[#This Row],[año facturado]],Retenciones!$1:$1,0)</f>
        <v>6</v>
      </c>
      <c r="X677" s="99">
        <f>+VLOOKUP(PROVEEDORES[[#This Row],[ID RETENCION]],Retenciones!$A$1:$O$25,PROVEEDORES[[#This Row],[indicador de columna]],FALSE)</f>
        <v>1145000</v>
      </c>
      <c r="Y677" s="100">
        <f>+VLOOKUP(PROVEEDORES[[#This Row],[ID RETENCION]],Retenciones!$A$1:$O$25,2,FALSE)</f>
        <v>2.5000000000000001E-2</v>
      </c>
      <c r="Z677" s="103" t="b">
        <f>OR(COUNTIF(PROVEEDORES[[#This Row],[PROVEEDOR]],"*"&amp;'Palabra no opera'!$A$2&amp;"*"))</f>
        <v>0</v>
      </c>
    </row>
    <row r="678" spans="1:26" ht="22.35" customHeight="1" x14ac:dyDescent="0.25">
      <c r="A678" s="205" t="str">
        <f>+IF(PROVEEDORES[[#This Row],[FECHA DE PAGO]]=PROVEEDORES[[#This Row],[FECHA DE FACTURACIÓN]],"DE CONTADO","CRÉDITO")</f>
        <v>CRÉDITO</v>
      </c>
      <c r="B678" s="38" t="str">
        <f>+IF((PROVEEDORES[[#This Row],[FECHA DE PAGO]]-PROVEEDORES[[#This Row],[FECHA DE FACTURACIÓN]])&gt;PROVEEDORES[[#This Row],[PLAZO Días]],"PAGO VENCIDO")</f>
        <v>PAGO VENCIDO</v>
      </c>
      <c r="C678" s="20">
        <f>+VLOOKUP(PROVEEDORES[[#This Row],[PROVEEDOR]],TERCEROS_INFO[#All],2,FALSE)</f>
        <v>30</v>
      </c>
      <c r="D678" s="25">
        <f>+SUMIFS(PROVEEDORES[Total],PROVEEDORES[PROVEEDOR],PROVEEDORES[[#This Row],[PROVEEDOR]],PROVEEDORES[FECHA DE PAGO],"")</f>
        <v>0</v>
      </c>
      <c r="E678" s="25"/>
      <c r="F678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8" s="289">
        <v>45128</v>
      </c>
      <c r="H678" s="26" t="s">
        <v>24</v>
      </c>
      <c r="I678" s="289">
        <v>45090</v>
      </c>
      <c r="J678" s="35" t="s">
        <v>901</v>
      </c>
      <c r="K678" s="21">
        <v>4904750</v>
      </c>
      <c r="L678" s="21"/>
      <c r="M678" s="22">
        <f>(PROVEEDORES[[#This Row],[SUBTOTAL]]-PROVEEDORES[[#This Row],[descuento sobre subtotal]])*VLOOKUP(PROVEEDORES[[#This Row],[PROVEEDOR]],TERCEROS_INFO[#All],3,FALSE)</f>
        <v>931902.5</v>
      </c>
      <c r="N678" s="23"/>
      <c r="O678" s="22">
        <f>+PROVEEDORES[[#This Row],[Descuento sobre subtotal %]]*(PROVEEDORES[[#This Row],[SUBTOTAL]]-PROVEEDORES[[#This Row],[descuento sobre subtotal]])</f>
        <v>0</v>
      </c>
      <c r="P678" s="72">
        <f>+IF(PROVEEDORES[[#This Row],[SUBTOTAL]]&lt;PROVEEDORES[[#This Row],[base retencion]],0,PROVEEDORES[[#This Row],[retención aplicada]])</f>
        <v>2.5000000000000001E-2</v>
      </c>
      <c r="Q678" s="22">
        <f>+PROVEEDORES[[#This Row],[Rete Fuente %]]*(PROVEEDORES[[#This Row],[SUBTOTAL]]-PROVEEDORES[[#This Row],[descuento sobre subtotal]])</f>
        <v>122618.75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5714033.75</v>
      </c>
      <c r="S678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1">
        <f ca="1">IF(PROVEEDORES[[#This Row],[FECHA DE PAGO]]=0,TODAY()-PROVEEDORES[[#This Row],[FECHA DE FACTURACIÓN]]-PROVEEDORES[[#This Row],[PLAZO Días]],0)</f>
        <v>0</v>
      </c>
      <c r="U678" s="97" t="str">
        <f>+VLOOKUP(PROVEEDORES[[#This Row],[PROVEEDOR]],Terceros!$A:$D,4,FALSE)</f>
        <v>2,5% con base</v>
      </c>
      <c r="V678" s="98">
        <f>+YEAR(PROVEEDORES[[#This Row],[FECHA DE FACTURACIÓN]])</f>
        <v>2023</v>
      </c>
      <c r="W678" s="98">
        <f>+MATCH(PROVEEDORES[[#This Row],[año facturado]],Retenciones!$1:$1,0)</f>
        <v>6</v>
      </c>
      <c r="X678" s="99">
        <f>+VLOOKUP(PROVEEDORES[[#This Row],[ID RETENCION]],Retenciones!$A$1:$O$25,PROVEEDORES[[#This Row],[indicador de columna]],FALSE)</f>
        <v>1145000</v>
      </c>
      <c r="Y678" s="100">
        <f>+VLOOKUP(PROVEEDORES[[#This Row],[ID RETENCION]],Retenciones!$A$1:$O$25,2,FALSE)</f>
        <v>2.5000000000000001E-2</v>
      </c>
      <c r="Z678" s="103" t="b">
        <f>OR(COUNTIF(PROVEEDORES[[#This Row],[PROVEEDOR]],"*"&amp;'Palabra no opera'!$A$2&amp;"*"))</f>
        <v>0</v>
      </c>
    </row>
    <row r="679" spans="1:26" ht="22.35" customHeight="1" x14ac:dyDescent="0.25">
      <c r="A679" s="65" t="str">
        <f>+IF(PROVEEDORES[[#This Row],[FECHA DE PAGO]]=PROVEEDORES[[#This Row],[FECHA DE FACTURACIÓN]],"DE CONTADO","CRÉDITO")</f>
        <v>CRÉDITO</v>
      </c>
      <c r="B679" s="38" t="str">
        <f>+IF((PROVEEDORES[[#This Row],[FECHA DE PAGO]]-PROVEEDORES[[#This Row],[FECHA DE FACTURACIÓN]])&gt;PROVEEDORES[[#This Row],[PLAZO Días]],"PAGO VENCIDO")</f>
        <v>PAGO VENCIDO</v>
      </c>
      <c r="C679" s="20">
        <f>+VLOOKUP(PROVEEDORES[[#This Row],[PROVEEDOR]],TERCEROS_INFO[#All],2,FALSE)</f>
        <v>30</v>
      </c>
      <c r="D679" s="25">
        <f>+SUMIFS(PROVEEDORES[Total],PROVEEDORES[PROVEEDOR],PROVEEDORES[[#This Row],[PROVEEDOR]],PROVEEDORES[FECHA DE PAGO],"")</f>
        <v>0</v>
      </c>
      <c r="E679" s="25"/>
      <c r="F679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79" s="289">
        <v>45232</v>
      </c>
      <c r="H679" s="26" t="s">
        <v>24</v>
      </c>
      <c r="I679" s="289">
        <v>45162</v>
      </c>
      <c r="J679" s="35" t="s">
        <v>1048</v>
      </c>
      <c r="K679" s="21">
        <v>798720</v>
      </c>
      <c r="L679" s="21"/>
      <c r="M679" s="22">
        <f>(PROVEEDORES[[#This Row],[SUBTOTAL]]-PROVEEDORES[[#This Row],[descuento sobre subtotal]])*VLOOKUP(PROVEEDORES[[#This Row],[PROVEEDOR]],TERCEROS_INFO[#All],3,FALSE)</f>
        <v>151756.79999999999</v>
      </c>
      <c r="N679" s="23"/>
      <c r="O679" s="22">
        <f>+PROVEEDORES[[#This Row],[Descuento sobre subtotal %]]*(PROVEEDORES[[#This Row],[SUBTOTAL]]-PROVEEDORES[[#This Row],[descuento sobre subtotal]])</f>
        <v>0</v>
      </c>
      <c r="P679" s="72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950476.80000000005</v>
      </c>
      <c r="S6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1">
        <f ca="1">IF(PROVEEDORES[[#This Row],[FECHA DE PAGO]]=0,TODAY()-PROVEEDORES[[#This Row],[FECHA DE FACTURACIÓN]]-PROVEEDORES[[#This Row],[PLAZO Días]],0)</f>
        <v>0</v>
      </c>
      <c r="U679" s="97" t="str">
        <f>+VLOOKUP(PROVEEDORES[[#This Row],[PROVEEDOR]],Terceros!$A:$D,4,FALSE)</f>
        <v>2,5% con base</v>
      </c>
      <c r="V679" s="98">
        <f>+YEAR(PROVEEDORES[[#This Row],[FECHA DE FACTURACIÓN]])</f>
        <v>2023</v>
      </c>
      <c r="W679" s="98">
        <f>+MATCH(PROVEEDORES[[#This Row],[año facturado]],Retenciones!$1:$1,0)</f>
        <v>6</v>
      </c>
      <c r="X679" s="99">
        <f>+VLOOKUP(PROVEEDORES[[#This Row],[ID RETENCION]],Retenciones!$A$1:$O$25,PROVEEDORES[[#This Row],[indicador de columna]],FALSE)</f>
        <v>1145000</v>
      </c>
      <c r="Y679" s="100">
        <f>+VLOOKUP(PROVEEDORES[[#This Row],[ID RETENCION]],Retenciones!$A$1:$O$25,2,FALSE)</f>
        <v>2.5000000000000001E-2</v>
      </c>
      <c r="Z679" s="103" t="b">
        <f>OR(COUNTIF(PROVEEDORES[[#This Row],[PROVEEDOR]],"*"&amp;'Palabra no opera'!$A$2&amp;"*"))</f>
        <v>0</v>
      </c>
    </row>
    <row r="680" spans="1:26" ht="22.35" customHeight="1" x14ac:dyDescent="0.25">
      <c r="A680" s="65" t="str">
        <f>+IF(PROVEEDORES[[#This Row],[FECHA DE PAGO]]=PROVEEDORES[[#This Row],[FECHA DE FACTURACIÓN]],"DE CONTADO","CRÉDITO")</f>
        <v>CRÉDITO</v>
      </c>
      <c r="B680" s="38" t="str">
        <f>+IF((PROVEEDORES[[#This Row],[FECHA DE PAGO]]-PROVEEDORES[[#This Row],[FECHA DE FACTURACIÓN]])&gt;PROVEEDORES[[#This Row],[PLAZO Días]],"PAGO VENCIDO")</f>
        <v>PAGO VENCIDO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0" s="289">
        <v>45232</v>
      </c>
      <c r="H680" s="26" t="s">
        <v>24</v>
      </c>
      <c r="I680" s="289">
        <v>45174</v>
      </c>
      <c r="J680" s="35" t="s">
        <v>1101</v>
      </c>
      <c r="K680" s="21">
        <v>444528</v>
      </c>
      <c r="L680" s="21"/>
      <c r="M680" s="22">
        <f>(PROVEEDORES[[#This Row],[SUBTOTAL]]-PROVEEDORES[[#This Row],[descuento sobre subtotal]])*VLOOKUP(PROVEEDORES[[#This Row],[PROVEEDOR]],TERCEROS_INFO[#All],3,FALSE)</f>
        <v>84460.32</v>
      </c>
      <c r="N680" s="23"/>
      <c r="O680" s="22">
        <f>+PROVEEDORES[[#This Row],[Descuento sobre subtotal %]]*(PROVEEDORES[[#This Row],[SUBTOTAL]]-PROVEEDORES[[#This Row],[descuento sobre subtotal]])</f>
        <v>0</v>
      </c>
      <c r="P680" s="72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528988.32000000007</v>
      </c>
      <c r="S6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1">
        <f ca="1">IF(PROVEEDORES[[#This Row],[FECHA DE PAGO]]=0,TODAY()-PROVEEDORES[[#This Row],[FECHA DE FACTURACIÓN]]-PROVEEDORES[[#This Row],[PLAZO Días]],0)</f>
        <v>0</v>
      </c>
      <c r="U680" s="97" t="str">
        <f>+VLOOKUP(PROVEEDORES[[#This Row],[PROVEEDOR]],Terceros!$A:$D,4,FALSE)</f>
        <v>2,5% con base</v>
      </c>
      <c r="V680" s="98">
        <f>+YEAR(PROVEEDORES[[#This Row],[FECHA DE FACTURACIÓN]])</f>
        <v>2023</v>
      </c>
      <c r="W680" s="98">
        <f>+MATCH(PROVEEDORES[[#This Row],[año facturado]],Retenciones!$1:$1,0)</f>
        <v>6</v>
      </c>
      <c r="X680" s="99">
        <f>+VLOOKUP(PROVEEDORES[[#This Row],[ID RETENCION]],Retenciones!$A$1:$O$25,PROVEEDORES[[#This Row],[indicador de columna]],FALSE)</f>
        <v>1145000</v>
      </c>
      <c r="Y680" s="100">
        <f>+VLOOKUP(PROVEEDORES[[#This Row],[ID RETENCION]],Retenciones!$A$1:$O$25,2,FALSE)</f>
        <v>2.5000000000000001E-2</v>
      </c>
      <c r="Z680" s="103" t="b">
        <f>OR(COUNTIF(PROVEEDORES[[#This Row],[PROVEEDOR]],"*"&amp;'Palabra no opera'!$A$2&amp;"*"))</f>
        <v>0</v>
      </c>
    </row>
    <row r="681" spans="1:26" ht="22.35" customHeight="1" x14ac:dyDescent="0.25">
      <c r="A681" s="65" t="str">
        <f>+IF(PROVEEDORES[[#This Row],[FECHA DE PAGO]]=PROVEEDORES[[#This Row],[FECHA DE FACTURACIÓN]],"DE CONTADO","CRÉDITO")</f>
        <v>CRÉDITO</v>
      </c>
      <c r="B681" s="38" t="str">
        <f>+IF((PROVEEDORES[[#This Row],[FECHA DE PAGO]]-PROVEEDORES[[#This Row],[FECHA DE FACTURACIÓN]])&gt;PROVEEDORES[[#This Row],[PLAZO Días]],"PAGO VENCIDO")</f>
        <v>PAGO VENCIDO</v>
      </c>
      <c r="C681" s="20">
        <f>+VLOOKUP(PROVEEDORES[[#This Row],[PROVEEDOR]],TERCEROS_INFO[#All],2,FALSE)</f>
        <v>30</v>
      </c>
      <c r="D681" s="25">
        <f>+SUMIFS(PROVEEDORES[Total],PROVEEDORES[PROVEEDOR],PROVEEDORES[[#This Row],[PROVEEDOR]],PROVEEDORES[FECHA DE PAGO],"")</f>
        <v>0</v>
      </c>
      <c r="E681" s="25"/>
      <c r="F681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1" s="289">
        <v>45232</v>
      </c>
      <c r="H681" s="26" t="s">
        <v>24</v>
      </c>
      <c r="I681" s="289">
        <v>45185</v>
      </c>
      <c r="J681" s="35" t="s">
        <v>1100</v>
      </c>
      <c r="K681" s="21">
        <v>4376000</v>
      </c>
      <c r="L681" s="21"/>
      <c r="M681" s="22">
        <f>(PROVEEDORES[[#This Row],[SUBTOTAL]]-PROVEEDORES[[#This Row],[descuento sobre subtotal]])*VLOOKUP(PROVEEDORES[[#This Row],[PROVEEDOR]],TERCEROS_INFO[#All],3,FALSE)</f>
        <v>831440</v>
      </c>
      <c r="N681" s="23"/>
      <c r="O681" s="22">
        <f>+PROVEEDORES[[#This Row],[Descuento sobre subtotal %]]*(PROVEEDORES[[#This Row],[SUBTOTAL]]-PROVEEDORES[[#This Row],[descuento sobre subtotal]])</f>
        <v>0</v>
      </c>
      <c r="P681" s="72">
        <f>+IF(PROVEEDORES[[#This Row],[SUBTOTAL]]&lt;PROVEEDORES[[#This Row],[base retencion]],0,PROVEEDORES[[#This Row],[retención aplicada]])</f>
        <v>2.5000000000000001E-2</v>
      </c>
      <c r="Q681" s="22">
        <f>+PROVEEDORES[[#This Row],[Rete Fuente %]]*(PROVEEDORES[[#This Row],[SUBTOTAL]]-PROVEEDORES[[#This Row],[descuento sobre subtotal]])</f>
        <v>109400</v>
      </c>
      <c r="R681" s="21">
        <f>+PROVEEDORES[[#This Row],[SUBTOTAL]]+PROVEEDORES[[#This Row],[IVA 19%]]-PROVEEDORES[[#This Row],[descuento sobre subtotal]]-PROVEEDORES[[#This Row],[Descuento sobre subtotal $2]]-PROVEEDORES[[#This Row],[Rete Fuente $]]</f>
        <v>5098040</v>
      </c>
      <c r="S68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1">
        <f ca="1">IF(PROVEEDORES[[#This Row],[FECHA DE PAGO]]=0,TODAY()-PROVEEDORES[[#This Row],[FECHA DE FACTURACIÓN]]-PROVEEDORES[[#This Row],[PLAZO Días]],0)</f>
        <v>0</v>
      </c>
      <c r="U681" s="97" t="str">
        <f>+VLOOKUP(PROVEEDORES[[#This Row],[PROVEEDOR]],Terceros!$A:$D,4,FALSE)</f>
        <v>2,5% con base</v>
      </c>
      <c r="V681" s="98">
        <f>+YEAR(PROVEEDORES[[#This Row],[FECHA DE FACTURACIÓN]])</f>
        <v>2023</v>
      </c>
      <c r="W681" s="98">
        <f>+MATCH(PROVEEDORES[[#This Row],[año facturado]],Retenciones!$1:$1,0)</f>
        <v>6</v>
      </c>
      <c r="X681" s="99">
        <f>+VLOOKUP(PROVEEDORES[[#This Row],[ID RETENCION]],Retenciones!$A$1:$O$25,PROVEEDORES[[#This Row],[indicador de columna]],FALSE)</f>
        <v>1145000</v>
      </c>
      <c r="Y681" s="100">
        <f>+VLOOKUP(PROVEEDORES[[#This Row],[ID RETENCION]],Retenciones!$A$1:$O$25,2,FALSE)</f>
        <v>2.5000000000000001E-2</v>
      </c>
      <c r="Z681" s="103" t="b">
        <f>OR(COUNTIF(PROVEEDORES[[#This Row],[PROVEEDOR]],"*"&amp;'Palabra no opera'!$A$2&amp;"*"))</f>
        <v>0</v>
      </c>
    </row>
    <row r="682" spans="1:26" ht="22.35" customHeight="1" x14ac:dyDescent="0.25">
      <c r="A682" s="243" t="str">
        <f>+IF(PROVEEDORES[[#This Row],[FECHA DE PAGO]]=PROVEEDORES[[#This Row],[FECHA DE FACTURACIÓN]],"DE CONTADO","CRÉDITO")</f>
        <v>CRÉDITO</v>
      </c>
      <c r="B682" s="38" t="str">
        <f>+IF((PROVEEDORES[[#This Row],[FECHA DE PAGO]]-PROVEEDORES[[#This Row],[FECHA DE FACTURACIÓN]])&gt;PROVEEDORES[[#This Row],[PLAZO Días]],"PAGO VENCIDO")</f>
        <v>PAGO VENCIDO</v>
      </c>
      <c r="C682" s="20">
        <f>+VLOOKUP(PROVEEDORES[[#This Row],[PROVEEDOR]],TERCEROS_INFO[#All],2,FALSE)</f>
        <v>30</v>
      </c>
      <c r="D682" s="25">
        <f>+SUMIFS(PROVEEDORES[Total],PROVEEDORES[PROVEEDOR],PROVEEDORES[[#This Row],[PROVEEDOR]],PROVEEDORES[FECHA DE PAGO],"")</f>
        <v>0</v>
      </c>
      <c r="E682" s="25"/>
      <c r="F682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2" s="289">
        <v>45232</v>
      </c>
      <c r="H682" s="26" t="s">
        <v>24</v>
      </c>
      <c r="I682" s="289">
        <v>45187</v>
      </c>
      <c r="J682" s="35" t="s">
        <v>1143</v>
      </c>
      <c r="K682" s="21">
        <v>-354192</v>
      </c>
      <c r="L682" s="21"/>
      <c r="M682" s="22">
        <f>(PROVEEDORES[[#This Row],[SUBTOTAL]]-PROVEEDORES[[#This Row],[descuento sobre subtotal]])*VLOOKUP(PROVEEDORES[[#This Row],[PROVEEDOR]],TERCEROS_INFO[#All],3,FALSE)</f>
        <v>-67296.479999999996</v>
      </c>
      <c r="N682" s="23"/>
      <c r="O682" s="22">
        <f>+PROVEEDORES[[#This Row],[Descuento sobre subtotal %]]*(PROVEEDORES[[#This Row],[SUBTOTAL]]-PROVEEDORES[[#This Row],[descuento sobre subtotal]])</f>
        <v>0</v>
      </c>
      <c r="P682" s="72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f>+PROVEEDORES[[#This Row],[SUBTOTAL]]+PROVEEDORES[[#This Row],[IVA 19%]]-PROVEEDORES[[#This Row],[descuento sobre subtotal]]-PROVEEDORES[[#This Row],[Descuento sobre subtotal $2]]-PROVEEDORES[[#This Row],[Rete Fuente $]]</f>
        <v>-421488.48</v>
      </c>
      <c r="S682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1">
        <f ca="1">IF(PROVEEDORES[[#This Row],[FECHA DE PAGO]]=0,TODAY()-PROVEEDORES[[#This Row],[FECHA DE FACTURACIÓN]]-PROVEEDORES[[#This Row],[PLAZO Días]],0)</f>
        <v>0</v>
      </c>
      <c r="U682" s="97" t="str">
        <f>+VLOOKUP(PROVEEDORES[[#This Row],[PROVEEDOR]],Terceros!$A:$D,4,FALSE)</f>
        <v>2,5% con base</v>
      </c>
      <c r="V682" s="98">
        <f>+YEAR(PROVEEDORES[[#This Row],[FECHA DE FACTURACIÓN]])</f>
        <v>2023</v>
      </c>
      <c r="W682" s="98">
        <f>+MATCH(PROVEEDORES[[#This Row],[año facturado]],Retenciones!$1:$1,0)</f>
        <v>6</v>
      </c>
      <c r="X682" s="99">
        <f>+VLOOKUP(PROVEEDORES[[#This Row],[ID RETENCION]],Retenciones!$A$1:$O$25,PROVEEDORES[[#This Row],[indicador de columna]],FALSE)</f>
        <v>1145000</v>
      </c>
      <c r="Y682" s="100">
        <f>+VLOOKUP(PROVEEDORES[[#This Row],[ID RETENCION]],Retenciones!$A$1:$O$25,2,FALSE)</f>
        <v>2.5000000000000001E-2</v>
      </c>
      <c r="Z682" s="103" t="b">
        <f>OR(COUNTIF(PROVEEDORES[[#This Row],[PROVEEDOR]],"*"&amp;'Palabra no opera'!$A$2&amp;"*"))</f>
        <v>0</v>
      </c>
    </row>
    <row r="683" spans="1:26" ht="22.35" customHeight="1" x14ac:dyDescent="0.25">
      <c r="A683" s="65" t="str">
        <f>+IF(PROVEEDORES[[#This Row],[FECHA DE PAGO]]=PROVEEDORES[[#This Row],[FECHA DE FACTURACIÓN]],"DE CONTADO","CRÉDITO")</f>
        <v>CRÉDITO</v>
      </c>
      <c r="B683" s="38" t="str">
        <f>+IF((PROVEEDORES[[#This Row],[FECHA DE PAGO]]-PROVEEDORES[[#This Row],[FECHA DE FACTURACIÓN]])&gt;PROVEEDORES[[#This Row],[PLAZO Días]],"PAGO VENCIDO")</f>
        <v>PAGO VENCIDO</v>
      </c>
      <c r="C683" s="20">
        <f>+VLOOKUP(PROVEEDORES[[#This Row],[PROVEEDOR]],TERCEROS_INFO[#All],2,FALSE)</f>
        <v>30</v>
      </c>
      <c r="D683" s="25">
        <f>+SUMIFS(PROVEEDORES[Total],PROVEEDORES[PROVEEDOR],PROVEEDORES[[#This Row],[PROVEEDOR]],PROVEEDORES[FECHA DE PAGO],"")</f>
        <v>0</v>
      </c>
      <c r="E683" s="25"/>
      <c r="F683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3" s="289">
        <v>45232</v>
      </c>
      <c r="H683" s="26" t="s">
        <v>24</v>
      </c>
      <c r="I683" s="289">
        <v>45194</v>
      </c>
      <c r="J683" s="35" t="s">
        <v>1101</v>
      </c>
      <c r="K683" s="21">
        <v>5600000</v>
      </c>
      <c r="L683" s="21"/>
      <c r="M683" s="22">
        <f>(PROVEEDORES[[#This Row],[SUBTOTAL]]-PROVEEDORES[[#This Row],[descuento sobre subtotal]])*VLOOKUP(PROVEEDORES[[#This Row],[PROVEEDOR]],TERCEROS_INFO[#All],3,FALSE)</f>
        <v>1064000</v>
      </c>
      <c r="N683" s="23"/>
      <c r="O683" s="22">
        <f>+PROVEEDORES[[#This Row],[Descuento sobre subtotal %]]*(PROVEEDORES[[#This Row],[SUBTOTAL]]-PROVEEDORES[[#This Row],[descuento sobre subtotal]])</f>
        <v>0</v>
      </c>
      <c r="P683" s="72">
        <f>+IF(PROVEEDORES[[#This Row],[SUBTOTAL]]&lt;PROVEEDORES[[#This Row],[base retencion]],0,PROVEEDORES[[#This Row],[retención aplicada]])</f>
        <v>2.5000000000000001E-2</v>
      </c>
      <c r="Q683" s="22">
        <f>+PROVEEDORES[[#This Row],[Rete Fuente %]]*(PROVEEDORES[[#This Row],[SUBTOTAL]]-PROVEEDORES[[#This Row],[descuento sobre subtotal]])</f>
        <v>140000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6524000</v>
      </c>
      <c r="S6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1">
        <f ca="1">IF(PROVEEDORES[[#This Row],[FECHA DE PAGO]]=0,TODAY()-PROVEEDORES[[#This Row],[FECHA DE FACTURACIÓN]]-PROVEEDORES[[#This Row],[PLAZO Días]],0)</f>
        <v>0</v>
      </c>
      <c r="U683" s="97" t="str">
        <f>+VLOOKUP(PROVEEDORES[[#This Row],[PROVEEDOR]],Terceros!$A:$D,4,FALSE)</f>
        <v>2,5% con base</v>
      </c>
      <c r="V683" s="98">
        <f>+YEAR(PROVEEDORES[[#This Row],[FECHA DE FACTURACIÓN]])</f>
        <v>2023</v>
      </c>
      <c r="W683" s="98">
        <f>+MATCH(PROVEEDORES[[#This Row],[año facturado]],Retenciones!$1:$1,0)</f>
        <v>6</v>
      </c>
      <c r="X683" s="99">
        <f>+VLOOKUP(PROVEEDORES[[#This Row],[ID RETENCION]],Retenciones!$A$1:$O$25,PROVEEDORES[[#This Row],[indicador de columna]],FALSE)</f>
        <v>1145000</v>
      </c>
      <c r="Y683" s="100">
        <f>+VLOOKUP(PROVEEDORES[[#This Row],[ID RETENCION]],Retenciones!$A$1:$O$25,2,FALSE)</f>
        <v>2.5000000000000001E-2</v>
      </c>
      <c r="Z683" s="103" t="b">
        <f>OR(COUNTIF(PROVEEDORES[[#This Row],[PROVEEDOR]],"*"&amp;'Palabra no opera'!$A$2&amp;"*"))</f>
        <v>0</v>
      </c>
    </row>
    <row r="684" spans="1:26" ht="22.35" customHeight="1" x14ac:dyDescent="0.25">
      <c r="A684" s="262" t="str">
        <f>+IF(PROVEEDORES[[#This Row],[FECHA DE PAGO]]=PROVEEDORES[[#This Row],[FECHA DE FACTURACIÓN]],"DE CONTADO","CRÉDITO")</f>
        <v>CRÉDITO</v>
      </c>
      <c r="B684" s="38" t="str">
        <f>+IF((PROVEEDORES[[#This Row],[FECHA DE PAGO]]-PROVEEDORES[[#This Row],[FECHA DE FACTURACIÓN]])&gt;PROVEEDORES[[#This Row],[PLAZO Días]],"PAGO VENCIDO")</f>
        <v>PAGO VENCIDO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4" s="289">
        <v>45288</v>
      </c>
      <c r="H684" s="26" t="s">
        <v>24</v>
      </c>
      <c r="I684" s="289">
        <v>45254</v>
      </c>
      <c r="J684" s="35" t="s">
        <v>1312</v>
      </c>
      <c r="K684" s="21">
        <v>2695200</v>
      </c>
      <c r="L684" s="21"/>
      <c r="M684" s="22">
        <f>(PROVEEDORES[[#This Row],[SUBTOTAL]]-PROVEEDORES[[#This Row],[descuento sobre subtotal]])*VLOOKUP(PROVEEDORES[[#This Row],[PROVEEDOR]],TERCEROS_INFO[#All],3,FALSE)</f>
        <v>512088</v>
      </c>
      <c r="N684" s="23"/>
      <c r="O684" s="22">
        <f>+PROVEEDORES[[#This Row],[Descuento sobre subtotal %]]*(PROVEEDORES[[#This Row],[SUBTOTAL]]-PROVEEDORES[[#This Row],[descuento sobre subtotal]])</f>
        <v>0</v>
      </c>
      <c r="P684" s="72">
        <f>+IF(PROVEEDORES[[#This Row],[SUBTOTAL]]&lt;PROVEEDORES[[#This Row],[base retencion]],0,PROVEEDORES[[#This Row],[retención aplicada]])</f>
        <v>2.5000000000000001E-2</v>
      </c>
      <c r="Q684" s="22">
        <f>+PROVEEDORES[[#This Row],[Rete Fuente %]]*(PROVEEDORES[[#This Row],[SUBTOTAL]]-PROVEEDORES[[#This Row],[descuento sobre subtotal]])</f>
        <v>67380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3139908</v>
      </c>
      <c r="S68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1">
        <f ca="1">IF(PROVEEDORES[[#This Row],[FECHA DE PAGO]]=0,TODAY()-PROVEEDORES[[#This Row],[FECHA DE FACTURACIÓN]]-PROVEEDORES[[#This Row],[PLAZO Días]],0)</f>
        <v>0</v>
      </c>
      <c r="U684" s="97" t="str">
        <f>+VLOOKUP(PROVEEDORES[[#This Row],[PROVEEDOR]],Terceros!$A:$D,4,FALSE)</f>
        <v>2,5% con base</v>
      </c>
      <c r="V684" s="98">
        <f>+YEAR(PROVEEDORES[[#This Row],[FECHA DE FACTURACIÓN]])</f>
        <v>2023</v>
      </c>
      <c r="W684" s="98">
        <f>+MATCH(PROVEEDORES[[#This Row],[año facturado]],Retenciones!$1:$1,0)</f>
        <v>6</v>
      </c>
      <c r="X684" s="99">
        <f>+VLOOKUP(PROVEEDORES[[#This Row],[ID RETENCION]],Retenciones!$A$1:$O$25,PROVEEDORES[[#This Row],[indicador de columna]],FALSE)</f>
        <v>1145000</v>
      </c>
      <c r="Y684" s="100">
        <f>+VLOOKUP(PROVEEDORES[[#This Row],[ID RETENCION]],Retenciones!$A$1:$O$25,2,FALSE)</f>
        <v>2.5000000000000001E-2</v>
      </c>
      <c r="Z684" s="103" t="b">
        <f>OR(COUNTIF(PROVEEDORES[[#This Row],[PROVEEDOR]],"*"&amp;'Palabra no opera'!$A$2&amp;"*"))</f>
        <v>0</v>
      </c>
    </row>
    <row r="685" spans="1:26" ht="22.35" customHeight="1" x14ac:dyDescent="0.25">
      <c r="A685" s="262" t="str">
        <f>+IF(PROVEEDORES[[#This Row],[FECHA DE PAGO]]=PROVEEDORES[[#This Row],[FECHA DE FACTURACIÓN]],"DE CONTADO","CRÉDITO")</f>
        <v>CRÉDITO</v>
      </c>
      <c r="B685" s="38" t="b">
        <f>+IF((PROVEEDORES[[#This Row],[FECHA DE PAGO]]-PROVEEDORES[[#This Row],[FECHA DE FACTURACIÓN]])&gt;PROVEEDORES[[#This Row],[PLAZO Días]],"PAGO VENCIDO")</f>
        <v>0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0</v>
      </c>
      <c r="E685" s="25"/>
      <c r="F685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5" s="289">
        <v>45288</v>
      </c>
      <c r="H685" s="26" t="s">
        <v>24</v>
      </c>
      <c r="I685" s="289">
        <v>45258</v>
      </c>
      <c r="J685" s="35" t="s">
        <v>1311</v>
      </c>
      <c r="K685" s="21">
        <v>898400</v>
      </c>
      <c r="L685" s="21"/>
      <c r="M685" s="22">
        <f>(PROVEEDORES[[#This Row],[SUBTOTAL]]-PROVEEDORES[[#This Row],[descuento sobre subtotal]])*VLOOKUP(PROVEEDORES[[#This Row],[PROVEEDOR]],TERCEROS_INFO[#All],3,FALSE)</f>
        <v>170696</v>
      </c>
      <c r="N685" s="23"/>
      <c r="O685" s="22">
        <f>+PROVEEDORES[[#This Row],[Descuento sobre subtotal %]]*(PROVEEDORES[[#This Row],[SUBTOTAL]]-PROVEEDORES[[#This Row],[descuento sobre subtotal]])</f>
        <v>0</v>
      </c>
      <c r="P685" s="72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1069096</v>
      </c>
      <c r="S68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1">
        <f ca="1">IF(PROVEEDORES[[#This Row],[FECHA DE PAGO]]=0,TODAY()-PROVEEDORES[[#This Row],[FECHA DE FACTURACIÓN]]-PROVEEDORES[[#This Row],[PLAZO Días]],0)</f>
        <v>0</v>
      </c>
      <c r="U685" s="97" t="str">
        <f>+VLOOKUP(PROVEEDORES[[#This Row],[PROVEEDOR]],Terceros!$A:$D,4,FALSE)</f>
        <v>2,5% con base</v>
      </c>
      <c r="V685" s="98">
        <f>+YEAR(PROVEEDORES[[#This Row],[FECHA DE FACTURACIÓN]])</f>
        <v>2023</v>
      </c>
      <c r="W685" s="98">
        <f>+MATCH(PROVEEDORES[[#This Row],[año facturado]],Retenciones!$1:$1,0)</f>
        <v>6</v>
      </c>
      <c r="X685" s="99">
        <f>+VLOOKUP(PROVEEDORES[[#This Row],[ID RETENCION]],Retenciones!$A$1:$O$25,PROVEEDORES[[#This Row],[indicador de columna]],FALSE)</f>
        <v>1145000</v>
      </c>
      <c r="Y685" s="100">
        <f>+VLOOKUP(PROVEEDORES[[#This Row],[ID RETENCION]],Retenciones!$A$1:$O$25,2,FALSE)</f>
        <v>2.5000000000000001E-2</v>
      </c>
      <c r="Z685" s="103" t="b">
        <f>OR(COUNTIF(PROVEEDORES[[#This Row],[PROVEEDOR]],"*"&amp;'Palabra no opera'!$A$2&amp;"*"))</f>
        <v>0</v>
      </c>
    </row>
    <row r="686" spans="1:26" ht="22.35" customHeight="1" x14ac:dyDescent="0.25">
      <c r="A686" s="65" t="str">
        <f>+IF(PROVEEDORES[[#This Row],[FECHA DE PAGO]]=PROVEEDORES[[#This Row],[FECHA DE FACTURACIÓN]],"DE CONTADO","CRÉDITO")</f>
        <v>CRÉDITO</v>
      </c>
      <c r="B686" s="38" t="str">
        <f>+IF((PROVEEDORES[[#This Row],[FECHA DE PAGO]]-PROVEEDORES[[#This Row],[FECHA DE FACTURACIÓN]])&gt;PROVEEDORES[[#This Row],[PLAZO Días]],"PAGO VENCIDO")</f>
        <v>PAGO VENCIDO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0</v>
      </c>
      <c r="E686" s="25"/>
      <c r="F686" s="56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86" s="289">
        <v>45322</v>
      </c>
      <c r="H686" s="26" t="s">
        <v>24</v>
      </c>
      <c r="I686" s="289">
        <v>45274</v>
      </c>
      <c r="J686" s="35" t="s">
        <v>1417</v>
      </c>
      <c r="K686" s="21">
        <v>3150000</v>
      </c>
      <c r="L686" s="21"/>
      <c r="M686" s="22">
        <f>(PROVEEDORES[[#This Row],[SUBTOTAL]]-PROVEEDORES[[#This Row],[descuento sobre subtotal]])*VLOOKUP(PROVEEDORES[[#This Row],[PROVEEDOR]],TERCEROS_INFO[#All],3,FALSE)</f>
        <v>598500</v>
      </c>
      <c r="N686" s="23"/>
      <c r="O686" s="22">
        <f>+PROVEEDORES[[#This Row],[Descuento sobre subtotal %]]*(PROVEEDORES[[#This Row],[SUBTOTAL]]-PROVEEDORES[[#This Row],[descuento sobre subtotal]])</f>
        <v>0</v>
      </c>
      <c r="P686" s="72">
        <f>+IF(PROVEEDORES[[#This Row],[SUBTOTAL]]&lt;PROVEEDORES[[#This Row],[base retencion]],0,PROVEEDORES[[#This Row],[retención aplicada]])</f>
        <v>2.5000000000000001E-2</v>
      </c>
      <c r="Q686" s="22">
        <f>+PROVEEDORES[[#This Row],[Rete Fuente %]]*(PROVEEDORES[[#This Row],[SUBTOTAL]]-PROVEEDORES[[#This Row],[descuento sobre subtotal]])</f>
        <v>78750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3669750</v>
      </c>
      <c r="S68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1">
        <f ca="1">IF(PROVEEDORES[[#This Row],[FECHA DE PAGO]]=0,TODAY()-PROVEEDORES[[#This Row],[FECHA DE FACTURACIÓN]]-PROVEEDORES[[#This Row],[PLAZO Días]],0)</f>
        <v>0</v>
      </c>
      <c r="U686" s="97" t="str">
        <f>+VLOOKUP(PROVEEDORES[[#This Row],[PROVEEDOR]],Terceros!$A:$D,4,FALSE)</f>
        <v>2,5% con base</v>
      </c>
      <c r="V686" s="98">
        <f>+YEAR(PROVEEDORES[[#This Row],[FECHA DE FACTURACIÓN]])</f>
        <v>2023</v>
      </c>
      <c r="W686" s="98">
        <f>+MATCH(PROVEEDORES[[#This Row],[año facturado]],Retenciones!$1:$1,0)</f>
        <v>6</v>
      </c>
      <c r="X686" s="99">
        <f>+VLOOKUP(PROVEEDORES[[#This Row],[ID RETENCION]],Retenciones!$A$1:$O$25,PROVEEDORES[[#This Row],[indicador de columna]],FALSE)</f>
        <v>1145000</v>
      </c>
      <c r="Y686" s="100">
        <f>+VLOOKUP(PROVEEDORES[[#This Row],[ID RETENCION]],Retenciones!$A$1:$O$25,2,FALSE)</f>
        <v>2.5000000000000001E-2</v>
      </c>
      <c r="Z686" s="103" t="b">
        <f>OR(COUNTIF(PROVEEDORES[[#This Row],[PROVEEDOR]],"*"&amp;'Palabra no opera'!$A$2&amp;"*"))</f>
        <v>0</v>
      </c>
    </row>
    <row r="687" spans="1:26" ht="22.35" customHeight="1" x14ac:dyDescent="0.25">
      <c r="A687" s="65" t="str">
        <f>+IF(PROVEEDORES[[#This Row],[FECHA DE PAGO]]=PROVEEDORES[[#This Row],[FECHA DE FACTURACIÓN]],"DE CONTADO","CRÉDITO")</f>
        <v>CRÉDITO</v>
      </c>
      <c r="B687" s="38" t="str">
        <f>+IF((PROVEEDORES[[#This Row],[FECHA DE PAGO]]-PROVEEDORES[[#This Row],[FECHA DE FACTURACIÓN]])&gt;PROVEEDORES[[#This Row],[PLAZO Días]],"PAGO VENCIDO")</f>
        <v>PAGO VENCIDO</v>
      </c>
      <c r="C687" s="20">
        <f>+VLOOKUP(PROVEEDORES[[#This Row],[PROVEEDOR]],TERCEROS_INFO[#All],2,FALSE)</f>
        <v>90</v>
      </c>
      <c r="D687" s="25">
        <f>+SUMIFS(PROVEEDORES[Total],PROVEEDORES[PROVEEDOR],PROVEEDORES[[#This Row],[PROVEEDOR]],PROVEEDORES[FECHA DE PAGO],"")</f>
        <v>12030261.305</v>
      </c>
      <c r="E687" s="25"/>
      <c r="F687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87" s="289">
        <v>45099</v>
      </c>
      <c r="H687" s="26" t="s">
        <v>12</v>
      </c>
      <c r="I687" s="289">
        <v>45008</v>
      </c>
      <c r="J687" s="35" t="s">
        <v>747</v>
      </c>
      <c r="K687" s="21">
        <v>537815</v>
      </c>
      <c r="L687" s="21"/>
      <c r="M687" s="22">
        <f>(PROVEEDORES[[#This Row],[SUBTOTAL]]-PROVEEDORES[[#This Row],[descuento sobre subtotal]])*VLOOKUP(PROVEEDORES[[#This Row],[PROVEEDOR]],TERCEROS_INFO[#All],3,FALSE)</f>
        <v>102184.85</v>
      </c>
      <c r="N687" s="23"/>
      <c r="O687" s="22">
        <f>+PROVEEDORES[[#This Row],[Descuento sobre subtotal %]]*(PROVEEDORES[[#This Row],[SUBTOTAL]]-PROVEEDORES[[#This Row],[descuento sobre subtotal]])</f>
        <v>0</v>
      </c>
      <c r="P687" s="72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639999.85</v>
      </c>
      <c r="S6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1">
        <f ca="1">IF(PROVEEDORES[[#This Row],[FECHA DE PAGO]]=0,TODAY()-PROVEEDORES[[#This Row],[FECHA DE FACTURACIÓN]]-PROVEEDORES[[#This Row],[PLAZO Días]],0)</f>
        <v>0</v>
      </c>
      <c r="U687" s="97" t="str">
        <f>+VLOOKUP(PROVEEDORES[[#This Row],[PROVEEDOR]],Terceros!$A:$D,4,FALSE)</f>
        <v>2,5% con base</v>
      </c>
      <c r="V687" s="98">
        <f>+YEAR(PROVEEDORES[[#This Row],[FECHA DE FACTURACIÓN]])</f>
        <v>2023</v>
      </c>
      <c r="W687" s="98">
        <f>+MATCH(PROVEEDORES[[#This Row],[año facturado]],Retenciones!$1:$1,0)</f>
        <v>6</v>
      </c>
      <c r="X687" s="99">
        <f>+VLOOKUP(PROVEEDORES[[#This Row],[ID RETENCION]],Retenciones!$A$1:$O$25,PROVEEDORES[[#This Row],[indicador de columna]],FALSE)</f>
        <v>1145000</v>
      </c>
      <c r="Y687" s="100">
        <f>+VLOOKUP(PROVEEDORES[[#This Row],[ID RETENCION]],Retenciones!$A$1:$O$25,2,FALSE)</f>
        <v>2.5000000000000001E-2</v>
      </c>
      <c r="Z687" s="103" t="b">
        <f>OR(COUNTIF(PROVEEDORES[[#This Row],[PROVEEDOR]],"*"&amp;'Palabra no opera'!$A$2&amp;"*"))</f>
        <v>0</v>
      </c>
    </row>
    <row r="688" spans="1:26" ht="22.35" customHeight="1" x14ac:dyDescent="0.25">
      <c r="A688" s="65" t="str">
        <f>+IF(PROVEEDORES[[#This Row],[FECHA DE PAGO]]=PROVEEDORES[[#This Row],[FECHA DE FACTURACIÓN]],"DE CONTADO","CRÉDITO")</f>
        <v>CRÉDITO</v>
      </c>
      <c r="B688" s="38" t="b">
        <f>+IF((PROVEEDORES[[#This Row],[FECHA DE PAGO]]-PROVEEDORES[[#This Row],[FECHA DE FACTURACIÓN]])&gt;PROVEEDORES[[#This Row],[PLAZO Días]],"PAGO VENCIDO")</f>
        <v>0</v>
      </c>
      <c r="C688" s="20">
        <f>+VLOOKUP(PROVEEDORES[[#This Row],[PROVEEDOR]],TERCEROS_INFO[#All],2,FALSE)</f>
        <v>90</v>
      </c>
      <c r="D688" s="25">
        <f>+SUMIFS(PROVEEDORES[Total],PROVEEDORES[PROVEEDOR],PROVEEDORES[[#This Row],[PROVEEDOR]],PROVEEDORES[FECHA DE PAGO],"")</f>
        <v>12030261.305</v>
      </c>
      <c r="E688" s="25"/>
      <c r="F688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88" s="289">
        <v>45099</v>
      </c>
      <c r="H688" s="26" t="s">
        <v>12</v>
      </c>
      <c r="I688" s="289">
        <v>45030</v>
      </c>
      <c r="J688" s="35" t="s">
        <v>753</v>
      </c>
      <c r="K688" s="21">
        <v>10529411</v>
      </c>
      <c r="L688" s="21"/>
      <c r="M688" s="22">
        <f>(PROVEEDORES[[#This Row],[SUBTOTAL]]-PROVEEDORES[[#This Row],[descuento sobre subtotal]])*VLOOKUP(PROVEEDORES[[#This Row],[PROVEEDOR]],TERCEROS_INFO[#All],3,FALSE)</f>
        <v>2000588.09</v>
      </c>
      <c r="N688" s="23"/>
      <c r="O688" s="22">
        <f>+PROVEEDORES[[#This Row],[Descuento sobre subtotal %]]*(PROVEEDORES[[#This Row],[SUBTOTAL]]-PROVEEDORES[[#This Row],[descuento sobre subtotal]])</f>
        <v>0</v>
      </c>
      <c r="P688" s="72">
        <f>+IF(PROVEEDORES[[#This Row],[SUBTOTAL]]&lt;PROVEEDORES[[#This Row],[base retencion]],0,PROVEEDORES[[#This Row],[retención aplicada]])</f>
        <v>2.5000000000000001E-2</v>
      </c>
      <c r="Q688" s="22">
        <f>+PROVEEDORES[[#This Row],[Rete Fuente %]]*(PROVEEDORES[[#This Row],[SUBTOTAL]]-PROVEEDORES[[#This Row],[descuento sobre subtotal]])</f>
        <v>263235.27500000002</v>
      </c>
      <c r="R688" s="21">
        <f>+PROVEEDORES[[#This Row],[SUBTOTAL]]+PROVEEDORES[[#This Row],[IVA 19%]]-PROVEEDORES[[#This Row],[descuento sobre subtotal]]-PROVEEDORES[[#This Row],[Descuento sobre subtotal $2]]-PROVEEDORES[[#This Row],[Rete Fuente $]]</f>
        <v>12266763.814999999</v>
      </c>
      <c r="S6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1">
        <f ca="1">IF(PROVEEDORES[[#This Row],[FECHA DE PAGO]]=0,TODAY()-PROVEEDORES[[#This Row],[FECHA DE FACTURACIÓN]]-PROVEEDORES[[#This Row],[PLAZO Días]],0)</f>
        <v>0</v>
      </c>
      <c r="U688" s="97" t="str">
        <f>+VLOOKUP(PROVEEDORES[[#This Row],[PROVEEDOR]],Terceros!$A:$D,4,FALSE)</f>
        <v>2,5% con base</v>
      </c>
      <c r="V688" s="98">
        <f>+YEAR(PROVEEDORES[[#This Row],[FECHA DE FACTURACIÓN]])</f>
        <v>2023</v>
      </c>
      <c r="W688" s="98">
        <f>+MATCH(PROVEEDORES[[#This Row],[año facturado]],Retenciones!$1:$1,0)</f>
        <v>6</v>
      </c>
      <c r="X688" s="99">
        <f>+VLOOKUP(PROVEEDORES[[#This Row],[ID RETENCION]],Retenciones!$A$1:$O$25,PROVEEDORES[[#This Row],[indicador de columna]],FALSE)</f>
        <v>1145000</v>
      </c>
      <c r="Y688" s="100">
        <f>+VLOOKUP(PROVEEDORES[[#This Row],[ID RETENCION]],Retenciones!$A$1:$O$25,2,FALSE)</f>
        <v>2.5000000000000001E-2</v>
      </c>
      <c r="Z688" s="103" t="b">
        <f>OR(COUNTIF(PROVEEDORES[[#This Row],[PROVEEDOR]],"*"&amp;'Palabra no opera'!$A$2&amp;"*"))</f>
        <v>0</v>
      </c>
    </row>
    <row r="689" spans="1:26" ht="22.35" customHeight="1" x14ac:dyDescent="0.25">
      <c r="A689" s="65" t="str">
        <f>+IF(PROVEEDORES[[#This Row],[FECHA DE PAGO]]=PROVEEDORES[[#This Row],[FECHA DE FACTURACIÓN]],"DE CONTADO","CRÉDITO")</f>
        <v>CRÉDITO</v>
      </c>
      <c r="B689" s="38" t="str">
        <f>+IF((PROVEEDORES[[#This Row],[FECHA DE PAGO]]-PROVEEDORES[[#This Row],[FECHA DE FACTURACIÓN]])&gt;PROVEEDORES[[#This Row],[PLAZO Días]],"PAGO VENCIDO")</f>
        <v>PAGO VENCIDO</v>
      </c>
      <c r="C689" s="20">
        <f>+VLOOKUP(PROVEEDORES[[#This Row],[PROVEEDOR]],TERCEROS_INFO[#All],2,FALSE)</f>
        <v>90</v>
      </c>
      <c r="D689" s="25">
        <f>+SUMIFS(PROVEEDORES[Total],PROVEEDORES[PROVEEDOR],PROVEEDORES[[#This Row],[PROVEEDOR]],PROVEEDORES[FECHA DE PAGO],"")</f>
        <v>12030261.305</v>
      </c>
      <c r="E689" s="25"/>
      <c r="F689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89" s="289">
        <v>45140</v>
      </c>
      <c r="H689" s="26" t="s">
        <v>12</v>
      </c>
      <c r="I689" s="289">
        <v>45030</v>
      </c>
      <c r="J689" s="35" t="s">
        <v>751</v>
      </c>
      <c r="K689" s="21">
        <v>15915968</v>
      </c>
      <c r="L689" s="21"/>
      <c r="M689" s="22">
        <f>(PROVEEDORES[[#This Row],[SUBTOTAL]]-PROVEEDORES[[#This Row],[descuento sobre subtotal]])*VLOOKUP(PROVEEDORES[[#This Row],[PROVEEDOR]],TERCEROS_INFO[#All],3,FALSE)</f>
        <v>3024033.92</v>
      </c>
      <c r="N689" s="23"/>
      <c r="O689" s="22">
        <f>+PROVEEDORES[[#This Row],[Descuento sobre subtotal %]]*(PROVEEDORES[[#This Row],[SUBTOTAL]]-PROVEEDORES[[#This Row],[descuento sobre subtotal]])</f>
        <v>0</v>
      </c>
      <c r="P689" s="72">
        <f>+IF(PROVEEDORES[[#This Row],[SUBTOTAL]]&lt;PROVEEDORES[[#This Row],[base retencion]],0,PROVEEDORES[[#This Row],[retención aplicada]])</f>
        <v>2.5000000000000001E-2</v>
      </c>
      <c r="Q689" s="22">
        <f>+PROVEEDORES[[#This Row],[Rete Fuente %]]*(PROVEEDORES[[#This Row],[SUBTOTAL]]-PROVEEDORES[[#This Row],[descuento sobre subtotal]])</f>
        <v>397899.2</v>
      </c>
      <c r="R689" s="21">
        <f>+PROVEEDORES[[#This Row],[SUBTOTAL]]+PROVEEDORES[[#This Row],[IVA 19%]]-PROVEEDORES[[#This Row],[descuento sobre subtotal]]-PROVEEDORES[[#This Row],[Descuento sobre subtotal $2]]-PROVEEDORES[[#This Row],[Rete Fuente $]]</f>
        <v>18542102.720000003</v>
      </c>
      <c r="S6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1">
        <f ca="1">IF(PROVEEDORES[[#This Row],[FECHA DE PAGO]]=0,TODAY()-PROVEEDORES[[#This Row],[FECHA DE FACTURACIÓN]]-PROVEEDORES[[#This Row],[PLAZO Días]],0)</f>
        <v>0</v>
      </c>
      <c r="U689" s="97" t="str">
        <f>+VLOOKUP(PROVEEDORES[[#This Row],[PROVEEDOR]],Terceros!$A:$D,4,FALSE)</f>
        <v>2,5% con base</v>
      </c>
      <c r="V689" s="98">
        <f>+YEAR(PROVEEDORES[[#This Row],[FECHA DE FACTURACIÓN]])</f>
        <v>2023</v>
      </c>
      <c r="W689" s="98">
        <f>+MATCH(PROVEEDORES[[#This Row],[año facturado]],Retenciones!$1:$1,0)</f>
        <v>6</v>
      </c>
      <c r="X689" s="99">
        <f>+VLOOKUP(PROVEEDORES[[#This Row],[ID RETENCION]],Retenciones!$A$1:$O$25,PROVEEDORES[[#This Row],[indicador de columna]],FALSE)</f>
        <v>1145000</v>
      </c>
      <c r="Y689" s="100">
        <f>+VLOOKUP(PROVEEDORES[[#This Row],[ID RETENCION]],Retenciones!$A$1:$O$25,2,FALSE)</f>
        <v>2.5000000000000001E-2</v>
      </c>
      <c r="Z689" s="103" t="b">
        <f>OR(COUNTIF(PROVEEDORES[[#This Row],[PROVEEDOR]],"*"&amp;'Palabra no opera'!$A$2&amp;"*"))</f>
        <v>0</v>
      </c>
    </row>
    <row r="690" spans="1:26" ht="22.35" customHeight="1" x14ac:dyDescent="0.25">
      <c r="A690" s="65" t="str">
        <f>+IF(PROVEEDORES[[#This Row],[FECHA DE PAGO]]=PROVEEDORES[[#This Row],[FECHA DE FACTURACIÓN]],"DE CONTADO","CRÉDITO")</f>
        <v>CRÉDITO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90</v>
      </c>
      <c r="D690" s="25">
        <f>+SUMIFS(PROVEEDORES[Total],PROVEEDORES[PROVEEDOR],PROVEEDORES[[#This Row],[PROVEEDOR]],PROVEEDORES[FECHA DE PAGO],"")</f>
        <v>12030261.305</v>
      </c>
      <c r="E690" s="25"/>
      <c r="F690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0" s="289">
        <v>45232</v>
      </c>
      <c r="H690" s="26" t="s">
        <v>12</v>
      </c>
      <c r="I690" s="289">
        <v>45152</v>
      </c>
      <c r="J690" s="35" t="s">
        <v>1021</v>
      </c>
      <c r="K690" s="21">
        <v>-436975</v>
      </c>
      <c r="L690" s="21"/>
      <c r="M690" s="22">
        <f>(PROVEEDORES[[#This Row],[SUBTOTAL]]-PROVEEDORES[[#This Row],[descuento sobre subtotal]])*VLOOKUP(PROVEEDORES[[#This Row],[PROVEEDOR]],TERCEROS_INFO[#All],3,FALSE)</f>
        <v>-83025.25</v>
      </c>
      <c r="N690" s="23"/>
      <c r="O690" s="22">
        <f>+PROVEEDORES[[#This Row],[Descuento sobre subtotal %]]*(PROVEEDORES[[#This Row],[SUBTOTAL]]-PROVEEDORES[[#This Row],[descuento sobre subtotal]])</f>
        <v>0</v>
      </c>
      <c r="P690" s="72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f>+PROVEEDORES[[#This Row],[SUBTOTAL]]+PROVEEDORES[[#This Row],[IVA 19%]]-PROVEEDORES[[#This Row],[descuento sobre subtotal]]-PROVEEDORES[[#This Row],[Descuento sobre subtotal $2]]-PROVEEDORES[[#This Row],[Rete Fuente $]]</f>
        <v>-520000.25</v>
      </c>
      <c r="S6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1">
        <f ca="1">IF(PROVEEDORES[[#This Row],[FECHA DE PAGO]]=0,TODAY()-PROVEEDORES[[#This Row],[FECHA DE FACTURACIÓN]]-PROVEEDORES[[#This Row],[PLAZO Días]],0)</f>
        <v>0</v>
      </c>
      <c r="U690" s="97" t="str">
        <f>+VLOOKUP(PROVEEDORES[[#This Row],[PROVEEDOR]],Terceros!$A:$D,4,FALSE)</f>
        <v>2,5% con base</v>
      </c>
      <c r="V690" s="98">
        <f>+YEAR(PROVEEDORES[[#This Row],[FECHA DE FACTURACIÓN]])</f>
        <v>2023</v>
      </c>
      <c r="W690" s="98">
        <f>+MATCH(PROVEEDORES[[#This Row],[año facturado]],Retenciones!$1:$1,0)</f>
        <v>6</v>
      </c>
      <c r="X690" s="99">
        <f>+VLOOKUP(PROVEEDORES[[#This Row],[ID RETENCION]],Retenciones!$A$1:$O$25,PROVEEDORES[[#This Row],[indicador de columna]],FALSE)</f>
        <v>1145000</v>
      </c>
      <c r="Y690" s="100">
        <f>+VLOOKUP(PROVEEDORES[[#This Row],[ID RETENCION]],Retenciones!$A$1:$O$25,2,FALSE)</f>
        <v>2.5000000000000001E-2</v>
      </c>
      <c r="Z690" s="103" t="b">
        <f>OR(COUNTIF(PROVEEDORES[[#This Row],[PROVEEDOR]],"*"&amp;'Palabra no opera'!$A$2&amp;"*"))</f>
        <v>0</v>
      </c>
    </row>
    <row r="691" spans="1:26" ht="22.35" customHeight="1" x14ac:dyDescent="0.25">
      <c r="A691" s="65" t="str">
        <f>+IF(PROVEEDORES[[#This Row],[FECHA DE PAGO]]=PROVEEDORES[[#This Row],[FECHA DE FACTURACIÓN]],"DE CONTADO","CRÉDITO")</f>
        <v>CRÉDITO</v>
      </c>
      <c r="B691" s="38" t="b">
        <f>+IF((PROVEEDORES[[#This Row],[FECHA DE PAGO]]-PROVEEDORES[[#This Row],[FECHA DE FACTURACIÓN]])&gt;PROVEEDORES[[#This Row],[PLAZO Días]],"PAGO VENCIDO")</f>
        <v>0</v>
      </c>
      <c r="C691" s="20">
        <f>+VLOOKUP(PROVEEDORES[[#This Row],[PROVEEDOR]],TERCEROS_INFO[#All],2,FALSE)</f>
        <v>90</v>
      </c>
      <c r="D691" s="25">
        <f>+SUMIFS(PROVEEDORES[Total],PROVEEDORES[PROVEEDOR],PROVEEDORES[[#This Row],[PROVEEDOR]],PROVEEDORES[FECHA DE PAGO],"")</f>
        <v>12030261.305</v>
      </c>
      <c r="E691" s="25"/>
      <c r="F691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1" s="289">
        <v>45232</v>
      </c>
      <c r="H691" s="26" t="s">
        <v>12</v>
      </c>
      <c r="I691" s="289">
        <v>45155</v>
      </c>
      <c r="J691" s="35" t="s">
        <v>1049</v>
      </c>
      <c r="K691" s="21">
        <v>5567234</v>
      </c>
      <c r="L691" s="21"/>
      <c r="M691" s="22">
        <f>(PROVEEDORES[[#This Row],[SUBTOTAL]]-PROVEEDORES[[#This Row],[descuento sobre subtotal]])*VLOOKUP(PROVEEDORES[[#This Row],[PROVEEDOR]],TERCEROS_INFO[#All],3,FALSE)</f>
        <v>1057774.46</v>
      </c>
      <c r="N691" s="23"/>
      <c r="O691" s="22">
        <f>+PROVEEDORES[[#This Row],[Descuento sobre subtotal %]]*(PROVEEDORES[[#This Row],[SUBTOTAL]]-PROVEEDORES[[#This Row],[descuento sobre subtotal]])</f>
        <v>0</v>
      </c>
      <c r="P691" s="72">
        <f>+IF(PROVEEDORES[[#This Row],[SUBTOTAL]]&lt;PROVEEDORES[[#This Row],[base retencion]],0,PROVEEDORES[[#This Row],[retención aplicada]])</f>
        <v>2.5000000000000001E-2</v>
      </c>
      <c r="Q691" s="22">
        <f>+PROVEEDORES[[#This Row],[Rete Fuente %]]*(PROVEEDORES[[#This Row],[SUBTOTAL]]-PROVEEDORES[[#This Row],[descuento sobre subtotal]])</f>
        <v>139180.85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6485827.6100000003</v>
      </c>
      <c r="S6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1">
        <f ca="1">IF(PROVEEDORES[[#This Row],[FECHA DE PAGO]]=0,TODAY()-PROVEEDORES[[#This Row],[FECHA DE FACTURACIÓN]]-PROVEEDORES[[#This Row],[PLAZO Días]],0)</f>
        <v>0</v>
      </c>
      <c r="U691" s="97" t="str">
        <f>+VLOOKUP(PROVEEDORES[[#This Row],[PROVEEDOR]],Terceros!$A:$D,4,FALSE)</f>
        <v>2,5% con base</v>
      </c>
      <c r="V691" s="98">
        <f>+YEAR(PROVEEDORES[[#This Row],[FECHA DE FACTURACIÓN]])</f>
        <v>2023</v>
      </c>
      <c r="W691" s="98">
        <f>+MATCH(PROVEEDORES[[#This Row],[año facturado]],Retenciones!$1:$1,0)</f>
        <v>6</v>
      </c>
      <c r="X691" s="99">
        <f>+VLOOKUP(PROVEEDORES[[#This Row],[ID RETENCION]],Retenciones!$A$1:$O$25,PROVEEDORES[[#This Row],[indicador de columna]],FALSE)</f>
        <v>1145000</v>
      </c>
      <c r="Y691" s="100">
        <f>+VLOOKUP(PROVEEDORES[[#This Row],[ID RETENCION]],Retenciones!$A$1:$O$25,2,FALSE)</f>
        <v>2.5000000000000001E-2</v>
      </c>
      <c r="Z691" s="103" t="b">
        <f>OR(COUNTIF(PROVEEDORES[[#This Row],[PROVEEDOR]],"*"&amp;'Palabra no opera'!$A$2&amp;"*"))</f>
        <v>0</v>
      </c>
    </row>
    <row r="692" spans="1:26" ht="22.35" customHeight="1" x14ac:dyDescent="0.25">
      <c r="A692" s="262" t="str">
        <f>+IF(PROVEEDORES[[#This Row],[FECHA DE PAGO]]=PROVEEDORES[[#This Row],[FECHA DE FACTURACIÓN]],"DE CONTADO","CRÉDITO")</f>
        <v>CRÉDITO</v>
      </c>
      <c r="B692" s="38" t="b">
        <f>+IF((PROVEEDORES[[#This Row],[FECHA DE PAGO]]-PROVEEDORES[[#This Row],[FECHA DE FACTURACIÓN]])&gt;PROVEEDORES[[#This Row],[PLAZO Días]],"PAGO VENCIDO")</f>
        <v>0</v>
      </c>
      <c r="C692" s="20">
        <f>+VLOOKUP(PROVEEDORES[[#This Row],[PROVEEDOR]],TERCEROS_INFO[#All],2,FALSE)</f>
        <v>90</v>
      </c>
      <c r="D692" s="25">
        <f>+SUMIFS(PROVEEDORES[Total],PROVEEDORES[PROVEEDOR],PROVEEDORES[[#This Row],[PROVEEDOR]],PROVEEDORES[FECHA DE PAGO],"")</f>
        <v>12030261.305</v>
      </c>
      <c r="E692" s="25"/>
      <c r="F692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2" s="289">
        <v>45286</v>
      </c>
      <c r="H692" s="26" t="s">
        <v>12</v>
      </c>
      <c r="I692" s="289">
        <v>45254</v>
      </c>
      <c r="J692" s="35" t="s">
        <v>1308</v>
      </c>
      <c r="K692" s="21">
        <v>1260504</v>
      </c>
      <c r="L692" s="21"/>
      <c r="M692" s="22">
        <f>(PROVEEDORES[[#This Row],[SUBTOTAL]]-PROVEEDORES[[#This Row],[descuento sobre subtotal]])*VLOOKUP(PROVEEDORES[[#This Row],[PROVEEDOR]],TERCEROS_INFO[#All],3,FALSE)</f>
        <v>239495.76</v>
      </c>
      <c r="N692" s="23">
        <v>0.05</v>
      </c>
      <c r="O692" s="22">
        <f>+PROVEEDORES[[#This Row],[Descuento sobre subtotal %]]*(PROVEEDORES[[#This Row],[SUBTOTAL]]-PROVEEDORES[[#This Row],[descuento sobre subtotal]])</f>
        <v>63025.200000000004</v>
      </c>
      <c r="P692" s="72">
        <f>+IF(PROVEEDORES[[#This Row],[SUBTOTAL]]&lt;PROVEEDORES[[#This Row],[base retencion]],0,PROVEEDORES[[#This Row],[retención aplicada]])</f>
        <v>2.5000000000000001E-2</v>
      </c>
      <c r="Q692" s="22">
        <f>+PROVEEDORES[[#This Row],[Rete Fuente %]]*(PROVEEDORES[[#This Row],[SUBTOTAL]]-PROVEEDORES[[#This Row],[descuento sobre subtotal]])</f>
        <v>31512.600000000002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1405461.96</v>
      </c>
      <c r="S69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1">
        <f ca="1">IF(PROVEEDORES[[#This Row],[FECHA DE PAGO]]=0,TODAY()-PROVEEDORES[[#This Row],[FECHA DE FACTURACIÓN]]-PROVEEDORES[[#This Row],[PLAZO Días]],0)</f>
        <v>0</v>
      </c>
      <c r="U692" s="97" t="str">
        <f>+VLOOKUP(PROVEEDORES[[#This Row],[PROVEEDOR]],Terceros!$A:$D,4,FALSE)</f>
        <v>2,5% con base</v>
      </c>
      <c r="V692" s="98">
        <f>+YEAR(PROVEEDORES[[#This Row],[FECHA DE FACTURACIÓN]])</f>
        <v>2023</v>
      </c>
      <c r="W692" s="98">
        <f>+MATCH(PROVEEDORES[[#This Row],[año facturado]],Retenciones!$1:$1,0)</f>
        <v>6</v>
      </c>
      <c r="X692" s="99">
        <f>+VLOOKUP(PROVEEDORES[[#This Row],[ID RETENCION]],Retenciones!$A$1:$O$25,PROVEEDORES[[#This Row],[indicador de columna]],FALSE)</f>
        <v>1145000</v>
      </c>
      <c r="Y692" s="100">
        <f>+VLOOKUP(PROVEEDORES[[#This Row],[ID RETENCION]],Retenciones!$A$1:$O$25,2,FALSE)</f>
        <v>2.5000000000000001E-2</v>
      </c>
      <c r="Z692" s="103" t="b">
        <f>OR(COUNTIF(PROVEEDORES[[#This Row],[PROVEEDOR]],"*"&amp;'Palabra no opera'!$A$2&amp;"*"))</f>
        <v>0</v>
      </c>
    </row>
    <row r="693" spans="1:26" ht="22.35" customHeight="1" x14ac:dyDescent="0.25">
      <c r="A693" s="262" t="str">
        <f>+IF(PROVEEDORES[[#This Row],[FECHA DE PAGO]]=PROVEEDORES[[#This Row],[FECHA DE FACTURACIÓN]],"DE CONTADO","CRÉDITO")</f>
        <v>CRÉDITO</v>
      </c>
      <c r="B693" s="38" t="b">
        <f>+IF((PROVEEDORES[[#This Row],[FECHA DE PAGO]]-PROVEEDORES[[#This Row],[FECHA DE FACTURACIÓN]])&gt;PROVEEDORES[[#This Row],[PLAZO Días]],"PAGO VENCIDO")</f>
        <v>0</v>
      </c>
      <c r="C693" s="20">
        <f>+VLOOKUP(PROVEEDORES[[#This Row],[PROVEEDOR]],TERCEROS_INFO[#All],2,FALSE)</f>
        <v>90</v>
      </c>
      <c r="D693" s="25">
        <f>+SUMIFS(PROVEEDORES[Total],PROVEEDORES[PROVEEDOR],PROVEEDORES[[#This Row],[PROVEEDOR]],PROVEEDORES[FECHA DE PAGO],"")</f>
        <v>12030261.305</v>
      </c>
      <c r="E693" s="25"/>
      <c r="F693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3" s="289">
        <v>45286</v>
      </c>
      <c r="H693" s="26" t="s">
        <v>12</v>
      </c>
      <c r="I693" s="289">
        <v>45254</v>
      </c>
      <c r="J693" s="35" t="s">
        <v>1309</v>
      </c>
      <c r="K693" s="21">
        <v>21214285</v>
      </c>
      <c r="L693" s="21"/>
      <c r="M693" s="22">
        <f>(PROVEEDORES[[#This Row],[SUBTOTAL]]-PROVEEDORES[[#This Row],[descuento sobre subtotal]])*VLOOKUP(PROVEEDORES[[#This Row],[PROVEEDOR]],TERCEROS_INFO[#All],3,FALSE)</f>
        <v>4030714.15</v>
      </c>
      <c r="N693" s="23">
        <v>0.05</v>
      </c>
      <c r="O693" s="22">
        <f>+PROVEEDORES[[#This Row],[Descuento sobre subtotal %]]*(PROVEEDORES[[#This Row],[SUBTOTAL]]-PROVEEDORES[[#This Row],[descuento sobre subtotal]])</f>
        <v>1060714.25</v>
      </c>
      <c r="P693" s="72">
        <f>+IF(PROVEEDORES[[#This Row],[SUBTOTAL]]&lt;PROVEEDORES[[#This Row],[base retencion]],0,PROVEEDORES[[#This Row],[retención aplicada]])</f>
        <v>2.5000000000000001E-2</v>
      </c>
      <c r="Q693" s="22">
        <f>+PROVEEDORES[[#This Row],[Rete Fuente %]]*(PROVEEDORES[[#This Row],[SUBTOTAL]]-PROVEEDORES[[#This Row],[descuento sobre subtotal]])</f>
        <v>530357.125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23653927.774999999</v>
      </c>
      <c r="S69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1">
        <f ca="1">IF(PROVEEDORES[[#This Row],[FECHA DE PAGO]]=0,TODAY()-PROVEEDORES[[#This Row],[FECHA DE FACTURACIÓN]]-PROVEEDORES[[#This Row],[PLAZO Días]],0)</f>
        <v>0</v>
      </c>
      <c r="U693" s="97" t="str">
        <f>+VLOOKUP(PROVEEDORES[[#This Row],[PROVEEDOR]],Terceros!$A:$D,4,FALSE)</f>
        <v>2,5% con base</v>
      </c>
      <c r="V693" s="98">
        <f>+YEAR(PROVEEDORES[[#This Row],[FECHA DE FACTURACIÓN]])</f>
        <v>2023</v>
      </c>
      <c r="W693" s="98">
        <f>+MATCH(PROVEEDORES[[#This Row],[año facturado]],Retenciones!$1:$1,0)</f>
        <v>6</v>
      </c>
      <c r="X693" s="99">
        <f>+VLOOKUP(PROVEEDORES[[#This Row],[ID RETENCION]],Retenciones!$A$1:$O$25,PROVEEDORES[[#This Row],[indicador de columna]],FALSE)</f>
        <v>1145000</v>
      </c>
      <c r="Y693" s="100">
        <f>+VLOOKUP(PROVEEDORES[[#This Row],[ID RETENCION]],Retenciones!$A$1:$O$25,2,FALSE)</f>
        <v>2.5000000000000001E-2</v>
      </c>
      <c r="Z693" s="103" t="b">
        <f>OR(COUNTIF(PROVEEDORES[[#This Row],[PROVEEDOR]],"*"&amp;'Palabra no opera'!$A$2&amp;"*"))</f>
        <v>0</v>
      </c>
    </row>
    <row r="694" spans="1:26" ht="22.35" customHeight="1" x14ac:dyDescent="0.25">
      <c r="A694" s="262" t="str">
        <f>+IF(PROVEEDORES[[#This Row],[FECHA DE PAGO]]=PROVEEDORES[[#This Row],[FECHA DE FACTURACIÓN]],"DE CONTADO","CRÉDITO")</f>
        <v>CRÉDITO</v>
      </c>
      <c r="B694" s="38" t="b">
        <f>+IF((PROVEEDORES[[#This Row],[FECHA DE PAGO]]-PROVEEDORES[[#This Row],[FECHA DE FACTURACIÓN]])&gt;PROVEEDORES[[#This Row],[PLAZO Días]],"PAGO VENCIDO")</f>
        <v>0</v>
      </c>
      <c r="C694" s="20">
        <f>+VLOOKUP(PROVEEDORES[[#This Row],[PROVEEDOR]],TERCEROS_INFO[#All],2,FALSE)</f>
        <v>90</v>
      </c>
      <c r="D694" s="25">
        <f>+SUMIFS(PROVEEDORES[Total],PROVEEDORES[PROVEEDOR],PROVEEDORES[[#This Row],[PROVEEDOR]],PROVEEDORES[FECHA DE PAGO],"")</f>
        <v>12030261.305</v>
      </c>
      <c r="E694" s="25"/>
      <c r="F694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94" s="289">
        <v>45286</v>
      </c>
      <c r="H694" s="26" t="s">
        <v>12</v>
      </c>
      <c r="I694" s="289">
        <v>45254</v>
      </c>
      <c r="J694" s="35" t="s">
        <v>1310</v>
      </c>
      <c r="K694" s="21">
        <v>49989</v>
      </c>
      <c r="L694" s="21"/>
      <c r="M694" s="22">
        <v>0</v>
      </c>
      <c r="N694" s="23"/>
      <c r="O694" s="22">
        <f>+PROVEEDORES[[#This Row],[Descuento sobre subtotal %]]*(PROVEEDORES[[#This Row],[SUBTOTAL]]-PROVEEDORES[[#This Row],[descuento sobre subtotal]])</f>
        <v>0</v>
      </c>
      <c r="P694" s="72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f>+PROVEEDORES[[#This Row],[SUBTOTAL]]+PROVEEDORES[[#This Row],[IVA 19%]]-PROVEEDORES[[#This Row],[descuento sobre subtotal]]-PROVEEDORES[[#This Row],[Descuento sobre subtotal $2]]-PROVEEDORES[[#This Row],[Rete Fuente $]]</f>
        <v>49989</v>
      </c>
      <c r="S69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1">
        <f ca="1">IF(PROVEEDORES[[#This Row],[FECHA DE PAGO]]=0,TODAY()-PROVEEDORES[[#This Row],[FECHA DE FACTURACIÓN]]-PROVEEDORES[[#This Row],[PLAZO Días]],0)</f>
        <v>0</v>
      </c>
      <c r="U694" s="97" t="str">
        <f>+VLOOKUP(PROVEEDORES[[#This Row],[PROVEEDOR]],Terceros!$A:$D,4,FALSE)</f>
        <v>2,5% con base</v>
      </c>
      <c r="V694" s="98">
        <f>+YEAR(PROVEEDORES[[#This Row],[FECHA DE FACTURACIÓN]])</f>
        <v>2023</v>
      </c>
      <c r="W694" s="98">
        <f>+MATCH(PROVEEDORES[[#This Row],[año facturado]],Retenciones!$1:$1,0)</f>
        <v>6</v>
      </c>
      <c r="X694" s="99">
        <f>+VLOOKUP(PROVEEDORES[[#This Row],[ID RETENCION]],Retenciones!$A$1:$O$25,PROVEEDORES[[#This Row],[indicador de columna]],FALSE)</f>
        <v>1145000</v>
      </c>
      <c r="Y694" s="100">
        <f>+VLOOKUP(PROVEEDORES[[#This Row],[ID RETENCION]],Retenciones!$A$1:$O$25,2,FALSE)</f>
        <v>2.5000000000000001E-2</v>
      </c>
      <c r="Z694" s="103" t="b">
        <f>OR(COUNTIF(PROVEEDORES[[#This Row],[PROVEEDOR]],"*"&amp;'Palabra no opera'!$A$2&amp;"*"))</f>
        <v>0</v>
      </c>
    </row>
    <row r="695" spans="1:26" ht="22.35" customHeight="1" x14ac:dyDescent="0.25">
      <c r="A695" s="65" t="str">
        <f>+IF(PROVEEDORES[[#This Row],[FECHA DE PAGO]]=PROVEEDORES[[#This Row],[FECHA DE FACTURACIÓN]],"DE CONTADO","CRÉDITO")</f>
        <v>CRÉDITO</v>
      </c>
      <c r="B695" s="38" t="b">
        <f>+IF((PROVEEDORES[[#This Row],[FECHA DE PAGO]]-PROVEEDORES[[#This Row],[FECHA DE FACTURACIÓN]])&gt;PROVEEDORES[[#This Row],[PLAZO Días]],"PAGO VENCIDO")</f>
        <v>0</v>
      </c>
      <c r="C695" s="20">
        <f>+VLOOKUP(PROVEEDORES[[#This Row],[PROVEEDOR]],TERCEROS_INFO[#All],2,FALSE)</f>
        <v>90</v>
      </c>
      <c r="D695" s="25">
        <f>+SUMIFS(PROVEEDORES[Total],PROVEEDORES[PROVEEDOR],PROVEEDORES[[#This Row],[PROVEEDOR]],PROVEEDORES[FECHA DE PAGO],"")</f>
        <v>12030261.305</v>
      </c>
      <c r="E695" s="25"/>
      <c r="F695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695" s="26" t="s">
        <v>12</v>
      </c>
      <c r="I695" s="289">
        <v>45265</v>
      </c>
      <c r="J695" s="35" t="s">
        <v>1376</v>
      </c>
      <c r="K695" s="21">
        <v>10294117</v>
      </c>
      <c r="L695" s="21"/>
      <c r="M695" s="22">
        <f>(PROVEEDORES[[#This Row],[SUBTOTAL]]-PROVEEDORES[[#This Row],[descuento sobre subtotal]])*VLOOKUP(PROVEEDORES[[#This Row],[PROVEEDOR]],TERCEROS_INFO[#All],3,FALSE)</f>
        <v>1955882.23</v>
      </c>
      <c r="N695" s="23"/>
      <c r="O695" s="22">
        <f>+PROVEEDORES[[#This Row],[Descuento sobre subtotal %]]*(PROVEEDORES[[#This Row],[SUBTOTAL]]-PROVEEDORES[[#This Row],[descuento sobre subtotal]])</f>
        <v>0</v>
      </c>
      <c r="P695" s="72">
        <f>+IF(PROVEEDORES[[#This Row],[SUBTOTAL]]&lt;PROVEEDORES[[#This Row],[base retencion]],0,PROVEEDORES[[#This Row],[retención aplicada]])</f>
        <v>2.5000000000000001E-2</v>
      </c>
      <c r="Q695" s="22">
        <f>+PROVEEDORES[[#This Row],[Rete Fuente %]]*(PROVEEDORES[[#This Row],[SUBTOTAL]]-PROVEEDORES[[#This Row],[descuento sobre subtotal]])</f>
        <v>257352.92500000002</v>
      </c>
      <c r="R695" s="21">
        <f>+PROVEEDORES[[#This Row],[SUBTOTAL]]+PROVEEDORES[[#This Row],[IVA 19%]]-PROVEEDORES[[#This Row],[descuento sobre subtotal]]-PROVEEDORES[[#This Row],[Descuento sobre subtotal $2]]-PROVEEDORES[[#This Row],[Rete Fuente $]]</f>
        <v>11992646.305</v>
      </c>
      <c r="S695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95" s="61">
        <f ca="1">IF(PROVEEDORES[[#This Row],[FECHA DE PAGO]]=0,TODAY()-PROVEEDORES[[#This Row],[FECHA DE FACTURACIÓN]]-PROVEEDORES[[#This Row],[PLAZO Días]],0)</f>
        <v>-27</v>
      </c>
      <c r="U695" s="97" t="str">
        <f>+VLOOKUP(PROVEEDORES[[#This Row],[PROVEEDOR]],Terceros!$A:$D,4,FALSE)</f>
        <v>2,5% con base</v>
      </c>
      <c r="V695" s="98">
        <f>+YEAR(PROVEEDORES[[#This Row],[FECHA DE FACTURACIÓN]])</f>
        <v>2023</v>
      </c>
      <c r="W695" s="98">
        <f>+MATCH(PROVEEDORES[[#This Row],[año facturado]],Retenciones!$1:$1,0)</f>
        <v>6</v>
      </c>
      <c r="X695" s="99">
        <f>+VLOOKUP(PROVEEDORES[[#This Row],[ID RETENCION]],Retenciones!$A$1:$O$25,PROVEEDORES[[#This Row],[indicador de columna]],FALSE)</f>
        <v>1145000</v>
      </c>
      <c r="Y695" s="100">
        <f>+VLOOKUP(PROVEEDORES[[#This Row],[ID RETENCION]],Retenciones!$A$1:$O$25,2,FALSE)</f>
        <v>2.5000000000000001E-2</v>
      </c>
      <c r="Z695" s="103" t="b">
        <f>OR(COUNTIF(PROVEEDORES[[#This Row],[PROVEEDOR]],"*"&amp;'Palabra no opera'!$A$2&amp;"*"))</f>
        <v>0</v>
      </c>
    </row>
    <row r="696" spans="1:26" ht="22.35" customHeight="1" x14ac:dyDescent="0.25">
      <c r="A696" s="65" t="str">
        <f>+IF(PROVEEDORES[[#This Row],[FECHA DE PAGO]]=PROVEEDORES[[#This Row],[FECHA DE FACTURACIÓN]],"DE CONTADO","CRÉDITO")</f>
        <v>CRÉDITO</v>
      </c>
      <c r="B696" s="38" t="b">
        <f>+IF((PROVEEDORES[[#This Row],[FECHA DE PAGO]]-PROVEEDORES[[#This Row],[FECHA DE FACTURACIÓN]])&gt;PROVEEDORES[[#This Row],[PLAZO Días]],"PAGO VENCIDO")</f>
        <v>0</v>
      </c>
      <c r="C696" s="20">
        <f>+VLOOKUP(PROVEEDORES[[#This Row],[PROVEEDOR]],TERCEROS_INFO[#All],2,FALSE)</f>
        <v>90</v>
      </c>
      <c r="D696" s="25">
        <f>+SUMIFS(PROVEEDORES[Total],PROVEEDORES[PROVEEDOR],PROVEEDORES[[#This Row],[PROVEEDOR]],PROVEEDORES[FECHA DE PAGO],"")</f>
        <v>12030261.305</v>
      </c>
      <c r="E696" s="25"/>
      <c r="F696" s="56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696" s="26" t="s">
        <v>12</v>
      </c>
      <c r="I696" s="289">
        <v>45265</v>
      </c>
      <c r="J696" s="35" t="s">
        <v>1377</v>
      </c>
      <c r="K696" s="21">
        <v>37615</v>
      </c>
      <c r="L696" s="21"/>
      <c r="M696" s="22">
        <v>0</v>
      </c>
      <c r="N696" s="23"/>
      <c r="O696" s="22">
        <f>+PROVEEDORES[[#This Row],[Descuento sobre subtotal %]]*(PROVEEDORES[[#This Row],[SUBTOTAL]]-PROVEEDORES[[#This Row],[descuento sobre subtotal]])</f>
        <v>0</v>
      </c>
      <c r="P696" s="72">
        <f>+IF(PROVEEDORES[[#This Row],[SUBTOTAL]]&lt;PROVEEDORES[[#This Row],[base retencion]],0,PROVEEDORES[[#This Row],[retención aplicada]])</f>
        <v>0</v>
      </c>
      <c r="Q696" s="22">
        <f>+PROVEEDORES[[#This Row],[Rete Fuente %]]*(PROVEEDORES[[#This Row],[SUBTOTAL]]-PROVEEDORES[[#This Row],[descuento sobre subtotal]])</f>
        <v>0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37615</v>
      </c>
      <c r="S696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696" s="61">
        <f ca="1">IF(PROVEEDORES[[#This Row],[FECHA DE PAGO]]=0,TODAY()-PROVEEDORES[[#This Row],[FECHA DE FACTURACIÓN]]-PROVEEDORES[[#This Row],[PLAZO Días]],0)</f>
        <v>-27</v>
      </c>
      <c r="U696" s="97" t="str">
        <f>+VLOOKUP(PROVEEDORES[[#This Row],[PROVEEDOR]],Terceros!$A:$D,4,FALSE)</f>
        <v>2,5% con base</v>
      </c>
      <c r="V696" s="98">
        <f>+YEAR(PROVEEDORES[[#This Row],[FECHA DE FACTURACIÓN]])</f>
        <v>2023</v>
      </c>
      <c r="W696" s="98">
        <f>+MATCH(PROVEEDORES[[#This Row],[año facturado]],Retenciones!$1:$1,0)</f>
        <v>6</v>
      </c>
      <c r="X696" s="99">
        <f>+VLOOKUP(PROVEEDORES[[#This Row],[ID RETENCION]],Retenciones!$A$1:$O$25,PROVEEDORES[[#This Row],[indicador de columna]],FALSE)</f>
        <v>1145000</v>
      </c>
      <c r="Y696" s="100">
        <f>+VLOOKUP(PROVEEDORES[[#This Row],[ID RETENCION]],Retenciones!$A$1:$O$25,2,FALSE)</f>
        <v>2.5000000000000001E-2</v>
      </c>
      <c r="Z696" s="103" t="b">
        <f>OR(COUNTIF(PROVEEDORES[[#This Row],[PROVEEDOR]],"*"&amp;'Palabra no opera'!$A$2&amp;"*"))</f>
        <v>0</v>
      </c>
    </row>
    <row r="697" spans="1:26" ht="22.35" customHeight="1" x14ac:dyDescent="0.25">
      <c r="A697" s="65" t="str">
        <f>+IF(PROVEEDORES[[#This Row],[FECHA DE PAGO]]=PROVEEDORES[[#This Row],[FECHA DE FACTURACIÓN]],"DE CONTADO","CRÉDITO")</f>
        <v>CRÉDITO</v>
      </c>
      <c r="B697" s="38" t="str">
        <f>+IF((PROVEEDORES[[#This Row],[FECHA DE PAGO]]-PROVEEDORES[[#This Row],[FECHA DE FACTURACIÓN]])&gt;PROVEEDORES[[#This Row],[PLAZO Días]],"PAGO VENCIDO")</f>
        <v>PAGO VENCIDO</v>
      </c>
      <c r="C697" s="20">
        <f>+VLOOKUP(PROVEEDORES[[#This Row],[PROVEEDOR]],TERCEROS_INFO[#All],2,FALSE)</f>
        <v>30</v>
      </c>
      <c r="D697" s="25">
        <f>+SUMIFS(PROVEEDORES[Total],PROVEEDORES[PROVEEDOR],PROVEEDORES[[#This Row],[PROVEEDOR]],PROVEEDORES[FECHA DE PAGO],"")</f>
        <v>0</v>
      </c>
      <c r="E697" s="25"/>
      <c r="F697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697" s="289">
        <v>45082</v>
      </c>
      <c r="H697" s="26" t="s">
        <v>473</v>
      </c>
      <c r="I697" s="289">
        <v>44999</v>
      </c>
      <c r="J697" s="35" t="s">
        <v>662</v>
      </c>
      <c r="K697" s="21">
        <v>315126</v>
      </c>
      <c r="L697" s="21"/>
      <c r="M697" s="22">
        <f>(PROVEEDORES[[#This Row],[SUBTOTAL]]-PROVEEDORES[[#This Row],[descuento sobre subtotal]])*VLOOKUP(PROVEEDORES[[#This Row],[PROVEEDOR]],TERCEROS_INFO[#All],3,FALSE)</f>
        <v>59873.94</v>
      </c>
      <c r="N697" s="23"/>
      <c r="O697" s="22">
        <f>+PROVEEDORES[[#This Row],[Descuento sobre subtotal %]]*(PROVEEDORES[[#This Row],[SUBTOTAL]]-PROVEEDORES[[#This Row],[descuento sobre subtotal]])</f>
        <v>0</v>
      </c>
      <c r="P697" s="72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374999.94</v>
      </c>
      <c r="S6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1">
        <f ca="1">IF(PROVEEDORES[[#This Row],[FECHA DE PAGO]]=0,TODAY()-PROVEEDORES[[#This Row],[FECHA DE FACTURACIÓN]]-PROVEEDORES[[#This Row],[PLAZO Días]],0)</f>
        <v>0</v>
      </c>
      <c r="U697" s="97" t="str">
        <f>+VLOOKUP(PROVEEDORES[[#This Row],[PROVEEDOR]],Terceros!$A:$D,4,FALSE)</f>
        <v>2,5% con base</v>
      </c>
      <c r="V697" s="98">
        <f>+YEAR(PROVEEDORES[[#This Row],[FECHA DE FACTURACIÓN]])</f>
        <v>2023</v>
      </c>
      <c r="W697" s="98">
        <f>+MATCH(PROVEEDORES[[#This Row],[año facturado]],Retenciones!$1:$1,0)</f>
        <v>6</v>
      </c>
      <c r="X697" s="99">
        <f>+VLOOKUP(PROVEEDORES[[#This Row],[ID RETENCION]],Retenciones!$A$1:$O$25,PROVEEDORES[[#This Row],[indicador de columna]],FALSE)</f>
        <v>1145000</v>
      </c>
      <c r="Y697" s="100">
        <f>+VLOOKUP(PROVEEDORES[[#This Row],[ID RETENCION]],Retenciones!$A$1:$O$25,2,FALSE)</f>
        <v>2.5000000000000001E-2</v>
      </c>
      <c r="Z697" s="103" t="b">
        <f>OR(COUNTIF(PROVEEDORES[[#This Row],[PROVEEDOR]],"*"&amp;'Palabra no opera'!$A$2&amp;"*"))</f>
        <v>0</v>
      </c>
    </row>
    <row r="698" spans="1:26" ht="22.35" customHeight="1" x14ac:dyDescent="0.25">
      <c r="A698" s="65" t="str">
        <f>+IF(PROVEEDORES[[#This Row],[FECHA DE PAGO]]=PROVEEDORES[[#This Row],[FECHA DE FACTURACIÓN]],"DE CONTADO","CRÉDITO")</f>
        <v>CRÉDITO</v>
      </c>
      <c r="B698" s="38" t="str">
        <f>+IF((PROVEEDORES[[#This Row],[FECHA DE PAGO]]-PROVEEDORES[[#This Row],[FECHA DE FACTURACIÓN]])&gt;PROVEEDORES[[#This Row],[PLAZO Días]],"PAGO VENCIDO")</f>
        <v>PAGO VENCIDO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0</v>
      </c>
      <c r="E698" s="25"/>
      <c r="F698" s="56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698" s="289">
        <v>45082</v>
      </c>
      <c r="H698" s="26" t="s">
        <v>473</v>
      </c>
      <c r="I698" s="289">
        <v>45026</v>
      </c>
      <c r="J698" s="35" t="s">
        <v>860</v>
      </c>
      <c r="K698" s="21">
        <v>3108403</v>
      </c>
      <c r="L698" s="21"/>
      <c r="M698" s="22">
        <f>(PROVEEDORES[[#This Row],[SUBTOTAL]]-PROVEEDORES[[#This Row],[descuento sobre subtotal]])*VLOOKUP(PROVEEDORES[[#This Row],[PROVEEDOR]],TERCEROS_INFO[#All],3,FALSE)</f>
        <v>590596.56999999995</v>
      </c>
      <c r="N698" s="23"/>
      <c r="O698" s="22">
        <f>+PROVEEDORES[[#This Row],[Descuento sobre subtotal %]]*(PROVEEDORES[[#This Row],[SUBTOTAL]]-PROVEEDORES[[#This Row],[descuento sobre subtotal]])</f>
        <v>0</v>
      </c>
      <c r="P698" s="72">
        <f>+IF(PROVEEDORES[[#This Row],[SUBTOTAL]]&lt;PROVEEDORES[[#This Row],[base retencion]],0,PROVEEDORES[[#This Row],[retención aplicada]])</f>
        <v>2.5000000000000001E-2</v>
      </c>
      <c r="Q698" s="22">
        <f>+PROVEEDORES[[#This Row],[Rete Fuente %]]*(PROVEEDORES[[#This Row],[SUBTOTAL]]-PROVEEDORES[[#This Row],[descuento sobre subtotal]])</f>
        <v>77710.074999999997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3621289.4949999996</v>
      </c>
      <c r="S6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1">
        <f ca="1">IF(PROVEEDORES[[#This Row],[FECHA DE PAGO]]=0,TODAY()-PROVEEDORES[[#This Row],[FECHA DE FACTURACIÓN]]-PROVEEDORES[[#This Row],[PLAZO Días]],0)</f>
        <v>0</v>
      </c>
      <c r="U698" s="97" t="str">
        <f>+VLOOKUP(PROVEEDORES[[#This Row],[PROVEEDOR]],Terceros!$A:$D,4,FALSE)</f>
        <v>2,5% con base</v>
      </c>
      <c r="V698" s="98">
        <f>+YEAR(PROVEEDORES[[#This Row],[FECHA DE FACTURACIÓN]])</f>
        <v>2023</v>
      </c>
      <c r="W698" s="98">
        <f>+MATCH(PROVEEDORES[[#This Row],[año facturado]],Retenciones!$1:$1,0)</f>
        <v>6</v>
      </c>
      <c r="X698" s="99">
        <f>+VLOOKUP(PROVEEDORES[[#This Row],[ID RETENCION]],Retenciones!$A$1:$O$25,PROVEEDORES[[#This Row],[indicador de columna]],FALSE)</f>
        <v>1145000</v>
      </c>
      <c r="Y698" s="100">
        <f>+VLOOKUP(PROVEEDORES[[#This Row],[ID RETENCION]],Retenciones!$A$1:$O$25,2,FALSE)</f>
        <v>2.5000000000000001E-2</v>
      </c>
      <c r="Z698" s="103" t="b">
        <f>OR(COUNTIF(PROVEEDORES[[#This Row],[PROVEEDOR]],"*"&amp;'Palabra no opera'!$A$2&amp;"*"))</f>
        <v>0</v>
      </c>
    </row>
    <row r="699" spans="1:26" ht="22.35" customHeight="1" x14ac:dyDescent="0.25">
      <c r="A699" s="65" t="str">
        <f>+IF(PROVEEDORES[[#This Row],[FECHA DE PAGO]]=PROVEEDORES[[#This Row],[FECHA DE FACTURACIÓN]],"DE CONTADO","CRÉDITO")</f>
        <v>DE CONTADO</v>
      </c>
      <c r="B699" s="38" t="b">
        <f>+IF((PROVEEDORES[[#This Row],[FECHA DE PAGO]]-PROVEEDORES[[#This Row],[FECHA DE FACTURACIÓN]])&gt;PROVEEDORES[[#This Row],[PLAZO Días]],"PAGO VENCIDO")</f>
        <v>0</v>
      </c>
      <c r="C699" s="20">
        <f>+VLOOKUP(PROVEEDORES[[#This Row],[PROVEEDOR]],TERCEROS_INFO[#All],2,FALSE)</f>
        <v>30</v>
      </c>
      <c r="D699" s="25">
        <f>+SUMIFS(PROVEEDORES[Total],PROVEEDORES[PROVEEDOR],PROVEEDORES[[#This Row],[PROVEEDOR]],PROVEEDORES[FECHA DE PAGO],"")</f>
        <v>0</v>
      </c>
      <c r="E699" s="25"/>
      <c r="F699" s="56" t="str">
        <f>+VLOOKUP(PROVEEDORES[[#This Row],[PROVEEDOR]],
                       Terceros!$A:$F,
                       5,
                       FALSE)</f>
        <v/>
      </c>
      <c r="G699" s="289">
        <v>45063</v>
      </c>
      <c r="H699" s="26" t="s">
        <v>37</v>
      </c>
      <c r="I699" s="289">
        <v>45063</v>
      </c>
      <c r="J699" s="35" t="s">
        <v>828</v>
      </c>
      <c r="K699" s="21">
        <v>213958</v>
      </c>
      <c r="L699" s="21"/>
      <c r="M699" s="22">
        <f>(PROVEEDORES[[#This Row],[SUBTOTAL]]-PROVEEDORES[[#This Row],[descuento sobre subtotal]])*VLOOKUP(PROVEEDORES[[#This Row],[PROVEEDOR]],TERCEROS_INFO[#All],3,FALSE)</f>
        <v>40652.020000000004</v>
      </c>
      <c r="N699" s="23"/>
      <c r="O699" s="22">
        <f>+PROVEEDORES[[#This Row],[Descuento sobre subtotal %]]*(PROVEEDORES[[#This Row],[SUBTOTAL]]-PROVEEDORES[[#This Row],[descuento sobre subtotal]])</f>
        <v>0</v>
      </c>
      <c r="P699" s="72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254610.02000000002</v>
      </c>
      <c r="S6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1">
        <f ca="1">IF(PROVEEDORES[[#This Row],[FECHA DE PAGO]]=0,TODAY()-PROVEEDORES[[#This Row],[FECHA DE FACTURACIÓN]]-PROVEEDORES[[#This Row],[PLAZO Días]],0)</f>
        <v>0</v>
      </c>
      <c r="U699" s="97" t="str">
        <f>+VLOOKUP(PROVEEDORES[[#This Row],[PROVEEDOR]],Terceros!$A:$D,4,FALSE)</f>
        <v>2,5% con base</v>
      </c>
      <c r="V699" s="98">
        <f>+YEAR(PROVEEDORES[[#This Row],[FECHA DE FACTURACIÓN]])</f>
        <v>2023</v>
      </c>
      <c r="W699" s="98">
        <f>+MATCH(PROVEEDORES[[#This Row],[año facturado]],Retenciones!$1:$1,0)</f>
        <v>6</v>
      </c>
      <c r="X699" s="99">
        <f>+VLOOKUP(PROVEEDORES[[#This Row],[ID RETENCION]],Retenciones!$A$1:$O$25,PROVEEDORES[[#This Row],[indicador de columna]],FALSE)</f>
        <v>1145000</v>
      </c>
      <c r="Y699" s="100">
        <f>+VLOOKUP(PROVEEDORES[[#This Row],[ID RETENCION]],Retenciones!$A$1:$O$25,2,FALSE)</f>
        <v>2.5000000000000001E-2</v>
      </c>
      <c r="Z699" s="103" t="b">
        <f>OR(COUNTIF(PROVEEDORES[[#This Row],[PROVEEDOR]],"*"&amp;'Palabra no opera'!$A$2&amp;"*"))</f>
        <v>0</v>
      </c>
    </row>
    <row r="700" spans="1:26" ht="22.35" customHeight="1" x14ac:dyDescent="0.25">
      <c r="A700" s="65" t="str">
        <f>+IF(PROVEEDORES[[#This Row],[FECHA DE PAGO]]=PROVEEDORES[[#This Row],[FECHA DE FACTURACIÓN]],"DE CONTADO","CRÉDITO")</f>
        <v>DE CONTADO</v>
      </c>
      <c r="B700" s="38" t="b">
        <f>+IF((PROVEEDORES[[#This Row],[FECHA DE PAGO]]-PROVEEDORES[[#This Row],[FECHA DE FACTURACIÓN]])&gt;PROVEEDORES[[#This Row],[PLAZO Días]],"PAGO VENCIDO")</f>
        <v>0</v>
      </c>
      <c r="C700" s="20">
        <f>+VLOOKUP(PROVEEDORES[[#This Row],[PROVEEDOR]],TERCEROS_INFO[#All],2,FALSE)</f>
        <v>30</v>
      </c>
      <c r="D700" s="25">
        <f>+SUMIFS(PROVEEDORES[Total],PROVEEDORES[PROVEEDOR],PROVEEDORES[[#This Row],[PROVEEDOR]],PROVEEDORES[FECHA DE PAGO],"")</f>
        <v>0</v>
      </c>
      <c r="E700" s="25"/>
      <c r="F700" s="56" t="str">
        <f>+VLOOKUP(PROVEEDORES[[#This Row],[PROVEEDOR]],
                       Terceros!$A:$F,
                       5,
                       FALSE)</f>
        <v/>
      </c>
      <c r="G700" s="289">
        <v>45070</v>
      </c>
      <c r="H700" s="26" t="s">
        <v>37</v>
      </c>
      <c r="I700" s="289">
        <v>45070</v>
      </c>
      <c r="J700" s="35" t="s">
        <v>847</v>
      </c>
      <c r="K700" s="21">
        <v>1547900</v>
      </c>
      <c r="L700" s="21">
        <v>46437</v>
      </c>
      <c r="M700" s="22">
        <f>(PROVEEDORES[[#This Row],[SUBTOTAL]]-PROVEEDORES[[#This Row],[descuento sobre subtotal]])*VLOOKUP(PROVEEDORES[[#This Row],[PROVEEDOR]],TERCEROS_INFO[#All],3,FALSE)</f>
        <v>285277.97000000003</v>
      </c>
      <c r="N700" s="23"/>
      <c r="O700" s="22">
        <f>+PROVEEDORES[[#This Row],[Descuento sobre subtotal %]]*(PROVEEDORES[[#This Row],[SUBTOTAL]]-PROVEEDORES[[#This Row],[descuento sobre subtotal]])</f>
        <v>0</v>
      </c>
      <c r="P700" s="72">
        <f>+IF(PROVEEDORES[[#This Row],[SUBTOTAL]]&lt;PROVEEDORES[[#This Row],[base retencion]],0,PROVEEDORES[[#This Row],[retención aplicada]])</f>
        <v>2.5000000000000001E-2</v>
      </c>
      <c r="Q700" s="22">
        <f>+PROVEEDORES[[#This Row],[Rete Fuente %]]*(PROVEEDORES[[#This Row],[SUBTOTAL]]-PROVEEDORES[[#This Row],[descuento sobre subtotal]])</f>
        <v>37536.575000000004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1749204.395</v>
      </c>
      <c r="S70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1">
        <f ca="1">IF(PROVEEDORES[[#This Row],[FECHA DE PAGO]]=0,TODAY()-PROVEEDORES[[#This Row],[FECHA DE FACTURACIÓN]]-PROVEEDORES[[#This Row],[PLAZO Días]],0)</f>
        <v>0</v>
      </c>
      <c r="U700" s="97" t="str">
        <f>+VLOOKUP(PROVEEDORES[[#This Row],[PROVEEDOR]],Terceros!$A:$D,4,FALSE)</f>
        <v>2,5% con base</v>
      </c>
      <c r="V700" s="98">
        <f>+YEAR(PROVEEDORES[[#This Row],[FECHA DE FACTURACIÓN]])</f>
        <v>2023</v>
      </c>
      <c r="W700" s="98">
        <f>+MATCH(PROVEEDORES[[#This Row],[año facturado]],Retenciones!$1:$1,0)</f>
        <v>6</v>
      </c>
      <c r="X700" s="99">
        <f>+VLOOKUP(PROVEEDORES[[#This Row],[ID RETENCION]],Retenciones!$A$1:$O$25,PROVEEDORES[[#This Row],[indicador de columna]],FALSE)</f>
        <v>1145000</v>
      </c>
      <c r="Y700" s="100">
        <f>+VLOOKUP(PROVEEDORES[[#This Row],[ID RETENCION]],Retenciones!$A$1:$O$25,2,FALSE)</f>
        <v>2.5000000000000001E-2</v>
      </c>
      <c r="Z700" s="103" t="b">
        <f>OR(COUNTIF(PROVEEDORES[[#This Row],[PROVEEDOR]],"*"&amp;'Palabra no opera'!$A$2&amp;"*"))</f>
        <v>0</v>
      </c>
    </row>
    <row r="701" spans="1:26" ht="22.35" customHeight="1" x14ac:dyDescent="0.25">
      <c r="A701" s="219" t="str">
        <f>+IF(PROVEEDORES[[#This Row],[FECHA DE PAGO]]=PROVEEDORES[[#This Row],[FECHA DE FACTURACIÓN]],"DE CONTADO","CRÉDITO")</f>
        <v>DE CONTADO</v>
      </c>
      <c r="B701" s="38" t="b">
        <f>+IF((PROVEEDORES[[#This Row],[FECHA DE PAGO]]-PROVEEDORES[[#This Row],[FECHA DE FACTURACIÓN]])&gt;PROVEEDORES[[#This Row],[PLAZO Días]],"PAGO VENCIDO")</f>
        <v>0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6" t="str">
        <f>+VLOOKUP(PROVEEDORES[[#This Row],[PROVEEDOR]],
                       Terceros!$A:$F,
                       5,
                       FALSE)</f>
        <v/>
      </c>
      <c r="G701" s="289">
        <v>45140</v>
      </c>
      <c r="H701" s="26" t="s">
        <v>37</v>
      </c>
      <c r="I701" s="289">
        <v>45140</v>
      </c>
      <c r="J701" s="35" t="s">
        <v>993</v>
      </c>
      <c r="K701" s="21">
        <v>160710</v>
      </c>
      <c r="L701" s="21"/>
      <c r="M701" s="22">
        <f>(PROVEEDORES[[#This Row],[SUBTOTAL]]-PROVEEDORES[[#This Row],[descuento sobre subtotal]])*VLOOKUP(PROVEEDORES[[#This Row],[PROVEEDOR]],TERCEROS_INFO[#All],3,FALSE)</f>
        <v>30534.9</v>
      </c>
      <c r="N701" s="23"/>
      <c r="O701" s="22">
        <f>+PROVEEDORES[[#This Row],[Descuento sobre subtotal %]]*(PROVEEDORES[[#This Row],[SUBTOTAL]]-PROVEEDORES[[#This Row],[descuento sobre subtotal]])</f>
        <v>0</v>
      </c>
      <c r="P701" s="72">
        <f>+IF(PROVEEDORES[[#This Row],[SUBTOTAL]]&lt;PROVEEDORES[[#This Row],[base retencion]],0,PROVEEDORES[[#This Row],[retención aplicada]])</f>
        <v>0</v>
      </c>
      <c r="Q701" s="22">
        <f>+PROVEEDORES[[#This Row],[Rete Fuente %]]*(PROVEEDORES[[#This Row],[SUBTOTAL]]-PROVEEDORES[[#This Row],[descuento sobre subtotal]])</f>
        <v>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191244.9</v>
      </c>
      <c r="S701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1">
        <f ca="1">IF(PROVEEDORES[[#This Row],[FECHA DE PAGO]]=0,TODAY()-PROVEEDORES[[#This Row],[FECHA DE FACTURACIÓN]]-PROVEEDORES[[#This Row],[PLAZO Días]],0)</f>
        <v>0</v>
      </c>
      <c r="U701" s="97" t="str">
        <f>+VLOOKUP(PROVEEDORES[[#This Row],[PROVEEDOR]],Terceros!$A:$D,4,FALSE)</f>
        <v>2,5% con base</v>
      </c>
      <c r="V701" s="98">
        <f>+YEAR(PROVEEDORES[[#This Row],[FECHA DE FACTURACIÓN]])</f>
        <v>2023</v>
      </c>
      <c r="W701" s="98">
        <f>+MATCH(PROVEEDORES[[#This Row],[año facturado]],Retenciones!$1:$1,0)</f>
        <v>6</v>
      </c>
      <c r="X701" s="99">
        <f>+VLOOKUP(PROVEEDORES[[#This Row],[ID RETENCION]],Retenciones!$A$1:$O$25,PROVEEDORES[[#This Row],[indicador de columna]],FALSE)</f>
        <v>1145000</v>
      </c>
      <c r="Y701" s="100">
        <f>+VLOOKUP(PROVEEDORES[[#This Row],[ID RETENCION]],Retenciones!$A$1:$O$25,2,FALSE)</f>
        <v>2.5000000000000001E-2</v>
      </c>
      <c r="Z701" s="103" t="b">
        <f>OR(COUNTIF(PROVEEDORES[[#This Row],[PROVEEDOR]],"*"&amp;'Palabra no opera'!$A$2&amp;"*"))</f>
        <v>0</v>
      </c>
    </row>
    <row r="702" spans="1:26" ht="22.35" customHeight="1" x14ac:dyDescent="0.25">
      <c r="A702" s="65" t="str">
        <f>+IF(PROVEEDORES[[#This Row],[FECHA DE PAGO]]=PROVEEDORES[[#This Row],[FECHA DE FACTURACIÓN]],"DE CONTADO","CRÉDITO")</f>
        <v>DE CONTADO</v>
      </c>
      <c r="B702" s="38" t="b">
        <f>+IF((PROVEEDORES[[#This Row],[FECHA DE PAGO]]-PROVEEDORES[[#This Row],[FECHA DE FACTURACIÓN]])&gt;PROVEEDORES[[#This Row],[PLAZO Días]],"PAGO VENCIDO")</f>
        <v>0</v>
      </c>
      <c r="C702" s="20">
        <f>+VLOOKUP(PROVEEDORES[[#This Row],[PROVEEDOR]],TERCEROS_INFO[#All],2,FALSE)</f>
        <v>30</v>
      </c>
      <c r="D702" s="25">
        <f>+SUMIFS(PROVEEDORES[Total],PROVEEDORES[PROVEEDOR],PROVEEDORES[[#This Row],[PROVEEDOR]],PROVEEDORES[FECHA DE PAGO],"")</f>
        <v>0</v>
      </c>
      <c r="E702" s="25"/>
      <c r="F702" s="56" t="str">
        <f>+VLOOKUP(PROVEEDORES[[#This Row],[PROVEEDOR]],
                       Terceros!$A:$F,
                       5,
                       FALSE)</f>
        <v/>
      </c>
      <c r="G702" s="289">
        <v>45156</v>
      </c>
      <c r="H702" s="26" t="s">
        <v>37</v>
      </c>
      <c r="I702" s="289">
        <v>45156</v>
      </c>
      <c r="J702" s="35" t="s">
        <v>1046</v>
      </c>
      <c r="K702" s="21">
        <v>18513</v>
      </c>
      <c r="L702" s="21"/>
      <c r="M702" s="22">
        <f>(PROVEEDORES[[#This Row],[SUBTOTAL]]-PROVEEDORES[[#This Row],[descuento sobre subtotal]])*VLOOKUP(PROVEEDORES[[#This Row],[PROVEEDOR]],TERCEROS_INFO[#All],3,FALSE)</f>
        <v>3517.4700000000003</v>
      </c>
      <c r="N702" s="23"/>
      <c r="O702" s="22">
        <f>+PROVEEDORES[[#This Row],[Descuento sobre subtotal %]]*(PROVEEDORES[[#This Row],[SUBTOTAL]]-PROVEEDORES[[#This Row],[descuento sobre subtotal]])</f>
        <v>0</v>
      </c>
      <c r="P702" s="72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22030.47</v>
      </c>
      <c r="S70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1">
        <f ca="1">IF(PROVEEDORES[[#This Row],[FECHA DE PAGO]]=0,TODAY()-PROVEEDORES[[#This Row],[FECHA DE FACTURACIÓN]]-PROVEEDORES[[#This Row],[PLAZO Días]],0)</f>
        <v>0</v>
      </c>
      <c r="U702" s="97" t="str">
        <f>+VLOOKUP(PROVEEDORES[[#This Row],[PROVEEDOR]],Terceros!$A:$D,4,FALSE)</f>
        <v>2,5% con base</v>
      </c>
      <c r="V702" s="98">
        <f>+YEAR(PROVEEDORES[[#This Row],[FECHA DE FACTURACIÓN]])</f>
        <v>2023</v>
      </c>
      <c r="W702" s="98">
        <f>+MATCH(PROVEEDORES[[#This Row],[año facturado]],Retenciones!$1:$1,0)</f>
        <v>6</v>
      </c>
      <c r="X702" s="99">
        <f>+VLOOKUP(PROVEEDORES[[#This Row],[ID RETENCION]],Retenciones!$A$1:$O$25,PROVEEDORES[[#This Row],[indicador de columna]],FALSE)</f>
        <v>1145000</v>
      </c>
      <c r="Y702" s="100">
        <f>+VLOOKUP(PROVEEDORES[[#This Row],[ID RETENCION]],Retenciones!$A$1:$O$25,2,FALSE)</f>
        <v>2.5000000000000001E-2</v>
      </c>
      <c r="Z702" s="103" t="b">
        <f>OR(COUNTIF(PROVEEDORES[[#This Row],[PROVEEDOR]],"*"&amp;'Palabra no opera'!$A$2&amp;"*"))</f>
        <v>0</v>
      </c>
    </row>
    <row r="703" spans="1:26" ht="22.35" customHeight="1" x14ac:dyDescent="0.25">
      <c r="A703" s="65" t="str">
        <f>+IF(PROVEEDORES[[#This Row],[FECHA DE PAGO]]=PROVEEDORES[[#This Row],[FECHA DE FACTURACIÓN]],"DE CONTADO","CRÉDITO")</f>
        <v>CRÉDITO</v>
      </c>
      <c r="B703" s="38" t="b">
        <f>+IF((PROVEEDORES[[#This Row],[FECHA DE PAGO]]-PROVEEDORES[[#This Row],[FECHA DE FACTURACIÓN]])&gt;PROVEEDORES[[#This Row],[PLAZO Días]],"PAGO VENCIDO")</f>
        <v>0</v>
      </c>
      <c r="C703" s="20">
        <f>+VLOOKUP(PROVEEDORES[[#This Row],[PROVEEDOR]],TERCEROS_INFO[#All],2,FALSE)</f>
        <v>60</v>
      </c>
      <c r="D703" s="25">
        <f>+SUMIFS(PROVEEDORES[Total],PROVEEDORES[PROVEEDOR],PROVEEDORES[[#This Row],[PROVEEDOR]],PROVEEDORES[FECHA DE PAGO],"")</f>
        <v>0</v>
      </c>
      <c r="E703" s="25"/>
      <c r="F703" s="56">
        <f>+VLOOKUP(PROVEEDORES[[#This Row],[PROVEEDOR]],
                       Terceros!$A:$F,
                       5,
                       FALSE)</f>
        <v>0</v>
      </c>
      <c r="G703" s="289">
        <v>45016</v>
      </c>
      <c r="H703" s="26" t="s">
        <v>484</v>
      </c>
      <c r="I703" s="289">
        <v>44970</v>
      </c>
      <c r="J703" s="35" t="s">
        <v>640</v>
      </c>
      <c r="K703" s="21">
        <v>-2521008</v>
      </c>
      <c r="L703" s="21"/>
      <c r="M703" s="22">
        <f>(PROVEEDORES[[#This Row],[SUBTOTAL]]-PROVEEDORES[[#This Row],[descuento sobre subtotal]])*VLOOKUP(PROVEEDORES[[#This Row],[PROVEEDOR]],TERCEROS_INFO[#All],3,FALSE)</f>
        <v>-478991.52</v>
      </c>
      <c r="N703" s="23"/>
      <c r="O703" s="22">
        <f>+PROVEEDORES[[#This Row],[Descuento sobre subtotal %]]*(PROVEEDORES[[#This Row],[SUBTOTAL]]-PROVEEDORES[[#This Row],[descuento sobre subtotal]])</f>
        <v>0</v>
      </c>
      <c r="P703" s="72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f>+PROVEEDORES[[#This Row],[SUBTOTAL]]+PROVEEDORES[[#This Row],[IVA 19%]]-PROVEEDORES[[#This Row],[descuento sobre subtotal]]-PROVEEDORES[[#This Row],[Descuento sobre subtotal $2]]-PROVEEDORES[[#This Row],[Rete Fuente $]]</f>
        <v>-2999999.52</v>
      </c>
      <c r="S7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1">
        <f ca="1">IF(PROVEEDORES[[#This Row],[FECHA DE PAGO]]=0,TODAY()-PROVEEDORES[[#This Row],[FECHA DE FACTURACIÓN]]-PROVEEDORES[[#This Row],[PLAZO Días]],0)</f>
        <v>0</v>
      </c>
      <c r="U703" s="97">
        <f>+VLOOKUP(PROVEEDORES[[#This Row],[PROVEEDOR]],Terceros!$A:$D,4,FALSE)</f>
        <v>0</v>
      </c>
      <c r="V703" s="98">
        <f>+YEAR(PROVEEDORES[[#This Row],[FECHA DE FACTURACIÓN]])</f>
        <v>2023</v>
      </c>
      <c r="W703" s="98">
        <f>+MATCH(PROVEEDORES[[#This Row],[año facturado]],Retenciones!$1:$1,0)</f>
        <v>6</v>
      </c>
      <c r="X703" s="99">
        <f>+VLOOKUP(PROVEEDORES[[#This Row],[ID RETENCION]],Retenciones!$A$1:$O$25,PROVEEDORES[[#This Row],[indicador de columna]],FALSE)</f>
        <v>0</v>
      </c>
      <c r="Y703" s="100">
        <f>+VLOOKUP(PROVEEDORES[[#This Row],[ID RETENCION]],Retenciones!$A$1:$O$25,2,FALSE)</f>
        <v>0</v>
      </c>
      <c r="Z703" s="103" t="b">
        <f>OR(COUNTIF(PROVEEDORES[[#This Row],[PROVEEDOR]],"*"&amp;'Palabra no opera'!$A$2&amp;"*"))</f>
        <v>1</v>
      </c>
    </row>
    <row r="704" spans="1:26" ht="22.35" customHeight="1" x14ac:dyDescent="0.25">
      <c r="A704" s="155" t="str">
        <f>+IF(PROVEEDORES[[#This Row],[FECHA DE PAGO]]=PROVEEDORES[[#This Row],[FECHA DE FACTURACIÓN]],"DE CONTADO","CRÉDITO")</f>
        <v>CRÉDITO</v>
      </c>
      <c r="B704" s="38" t="b">
        <f>+IF((PROVEEDORES[[#This Row],[FECHA DE PAGO]]-PROVEEDORES[[#This Row],[FECHA DE FACTURACIÓN]])&gt;PROVEEDORES[[#This Row],[PLAZO Días]],"PAGO VENCIDO")</f>
        <v>0</v>
      </c>
      <c r="C704" s="20">
        <f>+VLOOKUP(PROVEEDORES[[#This Row],[PROVEEDOR]],TERCEROS_INFO[#All],2,FALSE)</f>
        <v>60</v>
      </c>
      <c r="D704" s="25">
        <f>+SUMIFS(PROVEEDORES[Total],PROVEEDORES[PROVEEDOR],PROVEEDORES[[#This Row],[PROVEEDOR]],PROVEEDORES[FECHA DE PAGO],"")</f>
        <v>0</v>
      </c>
      <c r="E704" s="25"/>
      <c r="F704" s="56">
        <f>+VLOOKUP(PROVEEDORES[[#This Row],[PROVEEDOR]],
                       Terceros!$A:$F,
                       5,
                       FALSE)</f>
        <v>0</v>
      </c>
      <c r="G704" s="289">
        <v>45016</v>
      </c>
      <c r="H704" s="26" t="s">
        <v>484</v>
      </c>
      <c r="I704" s="289">
        <v>44980</v>
      </c>
      <c r="J704" s="35" t="s">
        <v>640</v>
      </c>
      <c r="K704" s="134">
        <v>-2689076</v>
      </c>
      <c r="L704" s="21"/>
      <c r="M704" s="22">
        <f>(PROVEEDORES[[#This Row],[SUBTOTAL]]-PROVEEDORES[[#This Row],[descuento sobre subtotal]])*VLOOKUP(PROVEEDORES[[#This Row],[PROVEEDOR]],TERCEROS_INFO[#All],3,FALSE)</f>
        <v>-510924.44</v>
      </c>
      <c r="N704" s="23"/>
      <c r="O704" s="22">
        <f>+PROVEEDORES[[#This Row],[Descuento sobre subtotal %]]*(PROVEEDORES[[#This Row],[SUBTOTAL]]-PROVEEDORES[[#This Row],[descuento sobre subtotal]])</f>
        <v>0</v>
      </c>
      <c r="P704" s="72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-3200000.44</v>
      </c>
      <c r="S704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1">
        <f ca="1">IF(PROVEEDORES[[#This Row],[FECHA DE PAGO]]=0,TODAY()-PROVEEDORES[[#This Row],[FECHA DE FACTURACIÓN]]-PROVEEDORES[[#This Row],[PLAZO Días]],0)</f>
        <v>0</v>
      </c>
      <c r="U704" s="97">
        <f>+VLOOKUP(PROVEEDORES[[#This Row],[PROVEEDOR]],Terceros!$A:$D,4,FALSE)</f>
        <v>0</v>
      </c>
      <c r="V704" s="98">
        <f>+YEAR(PROVEEDORES[[#This Row],[FECHA DE FACTURACIÓN]])</f>
        <v>2023</v>
      </c>
      <c r="W704" s="98">
        <f>+MATCH(PROVEEDORES[[#This Row],[año facturado]],Retenciones!$1:$1,0)</f>
        <v>6</v>
      </c>
      <c r="X704" s="99">
        <f>+VLOOKUP(PROVEEDORES[[#This Row],[ID RETENCION]],Retenciones!$A$1:$O$25,PROVEEDORES[[#This Row],[indicador de columna]],FALSE)</f>
        <v>0</v>
      </c>
      <c r="Y704" s="100">
        <f>+VLOOKUP(PROVEEDORES[[#This Row],[ID RETENCION]],Retenciones!$A$1:$O$25,2,FALSE)</f>
        <v>0</v>
      </c>
      <c r="Z704" s="103" t="b">
        <f>OR(COUNTIF(PROVEEDORES[[#This Row],[PROVEEDOR]],"*"&amp;'Palabra no opera'!$A$2&amp;"*"))</f>
        <v>1</v>
      </c>
    </row>
    <row r="705" spans="1:26" ht="22.35" customHeight="1" x14ac:dyDescent="0.25">
      <c r="A705" s="65" t="str">
        <f>+IF(PROVEEDORES[[#This Row],[FECHA DE PAGO]]=PROVEEDORES[[#This Row],[FECHA DE FACTURACIÓN]],"DE CONTADO","CRÉDITO")</f>
        <v>CRÉDITO</v>
      </c>
      <c r="B705" s="38" t="b">
        <f>+IF((PROVEEDORES[[#This Row],[FECHA DE PAGO]]-PROVEEDORES[[#This Row],[FECHA DE FACTURACIÓN]])&gt;PROVEEDORES[[#This Row],[PLAZO Días]],"PAGO VENCIDO")</f>
        <v>0</v>
      </c>
      <c r="C705" s="20">
        <f>+VLOOKUP(PROVEEDORES[[#This Row],[PROVEEDOR]],TERCEROS_INFO[#All],2,FALSE)</f>
        <v>60</v>
      </c>
      <c r="D705" s="25">
        <f>+SUMIFS(PROVEEDORES[Total],PROVEEDORES[PROVEEDOR],PROVEEDORES[[#This Row],[PROVEEDOR]],PROVEEDORES[FECHA DE PAGO],"")</f>
        <v>0</v>
      </c>
      <c r="E705" s="25"/>
      <c r="F705" s="56">
        <f>+VLOOKUP(PROVEEDORES[[#This Row],[PROVEEDOR]],
                       Terceros!$A:$F,
                       5,
                       FALSE)</f>
        <v>0</v>
      </c>
      <c r="G705" s="289">
        <v>45016</v>
      </c>
      <c r="H705" s="26" t="s">
        <v>484</v>
      </c>
      <c r="I705" s="289">
        <v>44984</v>
      </c>
      <c r="J705" s="35" t="s">
        <v>640</v>
      </c>
      <c r="K705" s="134">
        <v>-840336</v>
      </c>
      <c r="L705" s="21"/>
      <c r="M705" s="22">
        <f>(PROVEEDORES[[#This Row],[SUBTOTAL]]-PROVEEDORES[[#This Row],[descuento sobre subtotal]])*VLOOKUP(PROVEEDORES[[#This Row],[PROVEEDOR]],TERCEROS_INFO[#All],3,FALSE)</f>
        <v>-159663.84</v>
      </c>
      <c r="N705" s="23"/>
      <c r="O705" s="22">
        <f>+PROVEEDORES[[#This Row],[Descuento sobre subtotal %]]*(PROVEEDORES[[#This Row],[SUBTOTAL]]-PROVEEDORES[[#This Row],[descuento sobre subtotal]])</f>
        <v>0</v>
      </c>
      <c r="P705" s="72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70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1">
        <f ca="1">IF(PROVEEDORES[[#This Row],[FECHA DE PAGO]]=0,TODAY()-PROVEEDORES[[#This Row],[FECHA DE FACTURACIÓN]]-PROVEEDORES[[#This Row],[PLAZO Días]],0)</f>
        <v>0</v>
      </c>
      <c r="U705" s="97">
        <f>+VLOOKUP(PROVEEDORES[[#This Row],[PROVEEDOR]],Terceros!$A:$D,4,FALSE)</f>
        <v>0</v>
      </c>
      <c r="V705" s="98">
        <f>+YEAR(PROVEEDORES[[#This Row],[FECHA DE FACTURACIÓN]])</f>
        <v>2023</v>
      </c>
      <c r="W705" s="98">
        <f>+MATCH(PROVEEDORES[[#This Row],[año facturado]],Retenciones!$1:$1,0)</f>
        <v>6</v>
      </c>
      <c r="X705" s="99">
        <f>+VLOOKUP(PROVEEDORES[[#This Row],[ID RETENCION]],Retenciones!$A$1:$O$25,PROVEEDORES[[#This Row],[indicador de columna]],FALSE)</f>
        <v>0</v>
      </c>
      <c r="Y705" s="100">
        <f>+VLOOKUP(PROVEEDORES[[#This Row],[ID RETENCION]],Retenciones!$A$1:$O$25,2,FALSE)</f>
        <v>0</v>
      </c>
      <c r="Z705" s="103" t="b">
        <f>OR(COUNTIF(PROVEEDORES[[#This Row],[PROVEEDOR]],"*"&amp;'Palabra no opera'!$A$2&amp;"*"))</f>
        <v>1</v>
      </c>
    </row>
    <row r="706" spans="1:26" ht="22.35" customHeight="1" x14ac:dyDescent="0.25">
      <c r="A706" s="65" t="str">
        <f>+IF(PROVEEDORES[[#This Row],[FECHA DE PAGO]]=PROVEEDORES[[#This Row],[FECHA DE FACTURACIÓN]],"DE CONTADO","CRÉDITO")</f>
        <v>CRÉDITO</v>
      </c>
      <c r="B706" s="38" t="b">
        <f>+IF((PROVEEDORES[[#This Row],[FECHA DE PAGO]]-PROVEEDORES[[#This Row],[FECHA DE FACTURACIÓN]])&gt;PROVEEDORES[[#This Row],[PLAZO Días]],"PAGO VENCIDO")</f>
        <v>0</v>
      </c>
      <c r="C706" s="20">
        <f>+VLOOKUP(PROVEEDORES[[#This Row],[PROVEEDOR]],TERCEROS_INFO[#All],2,FALSE)</f>
        <v>60</v>
      </c>
      <c r="D706" s="25">
        <f>+SUMIFS(PROVEEDORES[Total],PROVEEDORES[PROVEEDOR],PROVEEDORES[[#This Row],[PROVEEDOR]],PROVEEDORES[FECHA DE PAGO],"")</f>
        <v>0</v>
      </c>
      <c r="E706" s="25"/>
      <c r="F706" s="56">
        <f>+VLOOKUP(PROVEEDORES[[#This Row],[PROVEEDOR]],
                       Terceros!$A:$F,
                       5,
                       FALSE)</f>
        <v>0</v>
      </c>
      <c r="G706" s="289">
        <v>45016</v>
      </c>
      <c r="H706" s="26" t="s">
        <v>484</v>
      </c>
      <c r="I706" s="289">
        <v>44985</v>
      </c>
      <c r="J706" s="35" t="s">
        <v>640</v>
      </c>
      <c r="K706" s="134">
        <v>-840336</v>
      </c>
      <c r="L706" s="21"/>
      <c r="M706" s="22">
        <f>(PROVEEDORES[[#This Row],[SUBTOTAL]]-PROVEEDORES[[#This Row],[descuento sobre subtotal]])*VLOOKUP(PROVEEDORES[[#This Row],[PROVEEDOR]],TERCEROS_INFO[#All],3,FALSE)</f>
        <v>-159663.84</v>
      </c>
      <c r="N706" s="23"/>
      <c r="O706" s="22">
        <f>+PROVEEDORES[[#This Row],[Descuento sobre subtotal %]]*(PROVEEDORES[[#This Row],[SUBTOTAL]]-PROVEEDORES[[#This Row],[descuento sobre subtotal]])</f>
        <v>0</v>
      </c>
      <c r="P706" s="72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-999999.84</v>
      </c>
      <c r="S7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1">
        <f ca="1">IF(PROVEEDORES[[#This Row],[FECHA DE PAGO]]=0,TODAY()-PROVEEDORES[[#This Row],[FECHA DE FACTURACIÓN]]-PROVEEDORES[[#This Row],[PLAZO Días]],0)</f>
        <v>0</v>
      </c>
      <c r="U706" s="97">
        <f>+VLOOKUP(PROVEEDORES[[#This Row],[PROVEEDOR]],Terceros!$A:$D,4,FALSE)</f>
        <v>0</v>
      </c>
      <c r="V706" s="98">
        <f>+YEAR(PROVEEDORES[[#This Row],[FECHA DE FACTURACIÓN]])</f>
        <v>2023</v>
      </c>
      <c r="W706" s="98">
        <f>+MATCH(PROVEEDORES[[#This Row],[año facturado]],Retenciones!$1:$1,0)</f>
        <v>6</v>
      </c>
      <c r="X706" s="99">
        <f>+VLOOKUP(PROVEEDORES[[#This Row],[ID RETENCION]],Retenciones!$A$1:$O$25,PROVEEDORES[[#This Row],[indicador de columna]],FALSE)</f>
        <v>0</v>
      </c>
      <c r="Y706" s="100">
        <f>+VLOOKUP(PROVEEDORES[[#This Row],[ID RETENCION]],Retenciones!$A$1:$O$25,2,FALSE)</f>
        <v>0</v>
      </c>
      <c r="Z706" s="103" t="b">
        <f>OR(COUNTIF(PROVEEDORES[[#This Row],[PROVEEDOR]],"*"&amp;'Palabra no opera'!$A$2&amp;"*"))</f>
        <v>1</v>
      </c>
    </row>
    <row r="707" spans="1:26" ht="22.35" customHeight="1" x14ac:dyDescent="0.25">
      <c r="A707" s="65" t="str">
        <f>+IF(PROVEEDORES[[#This Row],[FECHA DE PAGO]]=PROVEEDORES[[#This Row],[FECHA DE FACTURACIÓN]],"DE CONTADO","CRÉDITO")</f>
        <v>CRÉDITO</v>
      </c>
      <c r="B707" s="38" t="b">
        <f>+IF((PROVEEDORES[[#This Row],[FECHA DE PAGO]]-PROVEEDORES[[#This Row],[FECHA DE FACTURACIÓN]])&gt;PROVEEDORES[[#This Row],[PLAZO Días]],"PAGO VENCIDO")</f>
        <v>0</v>
      </c>
      <c r="C707" s="20">
        <f>+VLOOKUP(PROVEEDORES[[#This Row],[PROVEEDOR]],TERCEROS_INFO[#All],2,FALSE)</f>
        <v>60</v>
      </c>
      <c r="D707" s="25">
        <f>+SUMIFS(PROVEEDORES[Total],PROVEEDORES[PROVEEDOR],PROVEEDORES[[#This Row],[PROVEEDOR]],PROVEEDORES[FECHA DE PAGO],"")</f>
        <v>0</v>
      </c>
      <c r="E707" s="25"/>
      <c r="F707" s="56">
        <f>+VLOOKUP(PROVEEDORES[[#This Row],[PROVEEDOR]],
                       Terceros!$A:$F,
                       5,
                       FALSE)</f>
        <v>0</v>
      </c>
      <c r="G707" s="289">
        <v>45016</v>
      </c>
      <c r="H707" s="26" t="s">
        <v>484</v>
      </c>
      <c r="I707" s="289">
        <v>45009</v>
      </c>
      <c r="J707" s="35" t="s">
        <v>640</v>
      </c>
      <c r="K707" s="166">
        <v>-1059244</v>
      </c>
      <c r="L707" s="21"/>
      <c r="M707" s="22">
        <f>(PROVEEDORES[[#This Row],[SUBTOTAL]]-PROVEEDORES[[#This Row],[descuento sobre subtotal]])*VLOOKUP(PROVEEDORES[[#This Row],[PROVEEDOR]],TERCEROS_INFO[#All],3,FALSE)</f>
        <v>-201256.36000000002</v>
      </c>
      <c r="N707" s="23"/>
      <c r="O707" s="22">
        <f>+PROVEEDORES[[#This Row],[Descuento sobre subtotal %]]*(PROVEEDORES[[#This Row],[SUBTOTAL]]-PROVEEDORES[[#This Row],[descuento sobre subtotal]])</f>
        <v>0</v>
      </c>
      <c r="P707" s="72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-1260500.3600000001</v>
      </c>
      <c r="S7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1">
        <f ca="1">IF(PROVEEDORES[[#This Row],[FECHA DE PAGO]]=0,TODAY()-PROVEEDORES[[#This Row],[FECHA DE FACTURACIÓN]]-PROVEEDORES[[#This Row],[PLAZO Días]],0)</f>
        <v>0</v>
      </c>
      <c r="U707" s="97">
        <f>+VLOOKUP(PROVEEDORES[[#This Row],[PROVEEDOR]],Terceros!$A:$D,4,FALSE)</f>
        <v>0</v>
      </c>
      <c r="V707" s="98">
        <f>+YEAR(PROVEEDORES[[#This Row],[FECHA DE FACTURACIÓN]])</f>
        <v>2023</v>
      </c>
      <c r="W707" s="98">
        <f>+MATCH(PROVEEDORES[[#This Row],[año facturado]],Retenciones!$1:$1,0)</f>
        <v>6</v>
      </c>
      <c r="X707" s="99">
        <f>+VLOOKUP(PROVEEDORES[[#This Row],[ID RETENCION]],Retenciones!$A$1:$O$25,PROVEEDORES[[#This Row],[indicador de columna]],FALSE)</f>
        <v>0</v>
      </c>
      <c r="Y707" s="100">
        <f>+VLOOKUP(PROVEEDORES[[#This Row],[ID RETENCION]],Retenciones!$A$1:$O$25,2,FALSE)</f>
        <v>0</v>
      </c>
      <c r="Z707" s="103" t="b">
        <f>OR(COUNTIF(PROVEEDORES[[#This Row],[PROVEEDOR]],"*"&amp;'Palabra no opera'!$A$2&amp;"*"))</f>
        <v>1</v>
      </c>
    </row>
    <row r="708" spans="1:26" ht="22.35" customHeight="1" x14ac:dyDescent="0.25">
      <c r="A708" s="65" t="str">
        <f>+IF(PROVEEDORES[[#This Row],[FECHA DE PAGO]]=PROVEEDORES[[#This Row],[FECHA DE FACTURACIÓN]],"DE CONTADO","CRÉDITO")</f>
        <v>DE CONTADO</v>
      </c>
      <c r="B708" s="38" t="b">
        <f>+IF((PROVEEDORES[[#This Row],[FECHA DE PAGO]]-PROVEEDORES[[#This Row],[FECHA DE FACTURACIÓN]])&gt;PROVEEDORES[[#This Row],[PLAZO Días]],"PAGO VENCIDO")</f>
        <v>0</v>
      </c>
      <c r="C708" s="20">
        <f>+VLOOKUP(PROVEEDORES[[#This Row],[PROVEEDOR]],TERCEROS_INFO[#All],2,FALSE)</f>
        <v>60</v>
      </c>
      <c r="D708" s="25">
        <f>+SUMIFS(PROVEEDORES[Total],PROVEEDORES[PROVEEDOR],PROVEEDORES[[#This Row],[PROVEEDOR]],PROVEEDORES[FECHA DE PAGO],"")</f>
        <v>0</v>
      </c>
      <c r="E708" s="25"/>
      <c r="F708" s="56">
        <f>+VLOOKUP(PROVEEDORES[[#This Row],[PROVEEDOR]],
                       Terceros!$A:$F,
                       5,
                       FALSE)</f>
        <v>0</v>
      </c>
      <c r="G708" s="289">
        <v>45016</v>
      </c>
      <c r="H708" s="26" t="s">
        <v>484</v>
      </c>
      <c r="I708" s="289">
        <v>45016</v>
      </c>
      <c r="J708" s="35" t="s">
        <v>710</v>
      </c>
      <c r="K708" s="166">
        <v>-4550000</v>
      </c>
      <c r="L708" s="21"/>
      <c r="M708" s="22">
        <f>(PROVEEDORES[[#This Row],[SUBTOTAL]]-PROVEEDORES[[#This Row],[descuento sobre subtotal]])*VLOOKUP(PROVEEDORES[[#This Row],[PROVEEDOR]],TERCEROS_INFO[#All],3,FALSE)</f>
        <v>-864500</v>
      </c>
      <c r="N708" s="23"/>
      <c r="O708" s="22">
        <f>+PROVEEDORES[[#This Row],[Descuento sobre subtotal %]]*(PROVEEDORES[[#This Row],[SUBTOTAL]]-PROVEEDORES[[#This Row],[descuento sobre subtotal]])</f>
        <v>0</v>
      </c>
      <c r="P708" s="72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-5414500</v>
      </c>
      <c r="S7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61">
        <f ca="1">IF(PROVEEDORES[[#This Row],[FECHA DE PAGO]]=0,TODAY()-PROVEEDORES[[#This Row],[FECHA DE FACTURACIÓN]]-PROVEEDORES[[#This Row],[PLAZO Días]],0)</f>
        <v>0</v>
      </c>
      <c r="U708" s="97">
        <f>+VLOOKUP(PROVEEDORES[[#This Row],[PROVEEDOR]],Terceros!$A:$D,4,FALSE)</f>
        <v>0</v>
      </c>
      <c r="V708" s="98">
        <f>+YEAR(PROVEEDORES[[#This Row],[FECHA DE FACTURACIÓN]])</f>
        <v>2023</v>
      </c>
      <c r="W708" s="98">
        <f>+MATCH(PROVEEDORES[[#This Row],[año facturado]],Retenciones!$1:$1,0)</f>
        <v>6</v>
      </c>
      <c r="X708" s="99">
        <f>+VLOOKUP(PROVEEDORES[[#This Row],[ID RETENCION]],Retenciones!$A$1:$O$25,PROVEEDORES[[#This Row],[indicador de columna]],FALSE)</f>
        <v>0</v>
      </c>
      <c r="Y708" s="100">
        <f>+VLOOKUP(PROVEEDORES[[#This Row],[ID RETENCION]],Retenciones!$A$1:$O$25,2,FALSE)</f>
        <v>0</v>
      </c>
      <c r="Z708" s="103" t="b">
        <f>OR(COUNTIF(PROVEEDORES[[#This Row],[PROVEEDOR]],"*"&amp;'Palabra no opera'!$A$2&amp;"*"))</f>
        <v>1</v>
      </c>
    </row>
    <row r="709" spans="1:26" ht="22.35" customHeight="1" x14ac:dyDescent="0.25">
      <c r="A709" s="65" t="str">
        <f>+IF(PROVEEDORES[[#This Row],[FECHA DE PAGO]]=PROVEEDORES[[#This Row],[FECHA DE FACTURACIÓN]],"DE CONTADO","CRÉDITO")</f>
        <v>CRÉDITO</v>
      </c>
      <c r="B709" s="38" t="str">
        <f>+IF((PROVEEDORES[[#This Row],[FECHA DE PAGO]]-PROVEEDORES[[#This Row],[FECHA DE FACTURACIÓN]])&gt;PROVEEDORES[[#This Row],[PLAZO Días]],"PAGO VENCIDO")</f>
        <v>PAGO VENCIDO</v>
      </c>
      <c r="C709" s="20">
        <f>+VLOOKUP(PROVEEDORES[[#This Row],[PROVEEDOR]],TERCEROS_INFO[#All],2,FALSE)</f>
        <v>60</v>
      </c>
      <c r="D709" s="25">
        <f>+SUMIFS(PROVEEDORES[Total],PROVEEDORES[PROVEEDOR],PROVEEDORES[[#This Row],[PROVEEDOR]],PROVEEDORES[FECHA DE PAGO],"")</f>
        <v>0</v>
      </c>
      <c r="E709" s="25"/>
      <c r="F709" s="56">
        <f>+VLOOKUP(PROVEEDORES[[#This Row],[PROVEEDOR]],
                       Terceros!$A:$F,
                       5,
                       FALSE)</f>
        <v>0</v>
      </c>
      <c r="G709" s="289">
        <v>45175</v>
      </c>
      <c r="H709" s="26" t="s">
        <v>484</v>
      </c>
      <c r="I709" s="289">
        <v>45097</v>
      </c>
      <c r="J709" s="35" t="s">
        <v>919</v>
      </c>
      <c r="K709" s="21">
        <v>2755600</v>
      </c>
      <c r="L709" s="21"/>
      <c r="M709" s="22">
        <f>(PROVEEDORES[[#This Row],[SUBTOTAL]]-PROVEEDORES[[#This Row],[descuento sobre subtotal]])*VLOOKUP(PROVEEDORES[[#This Row],[PROVEEDOR]],TERCEROS_INFO[#All],3,FALSE)</f>
        <v>523564</v>
      </c>
      <c r="N709" s="23"/>
      <c r="O709" s="22">
        <f>+PROVEEDORES[[#This Row],[Descuento sobre subtotal %]]*(PROVEEDORES[[#This Row],[SUBTOTAL]]-PROVEEDORES[[#This Row],[descuento sobre subtotal]])</f>
        <v>0</v>
      </c>
      <c r="P709" s="72">
        <f>+IF(PROVEEDORES[[#This Row],[SUBTOTAL]]&lt;PROVEEDORES[[#This Row],[base retencion]],0,PROVEEDORES[[#This Row],[retención aplicada]])</f>
        <v>0</v>
      </c>
      <c r="Q709" s="22">
        <f>+PROVEEDORES[[#This Row],[Rete Fuente %]]*(PROVEEDORES[[#This Row],[SUBTOTAL]]-PROVEEDORES[[#This Row],[descuento sobre subtotal]])</f>
        <v>0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3279164</v>
      </c>
      <c r="S70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1">
        <f ca="1">IF(PROVEEDORES[[#This Row],[FECHA DE PAGO]]=0,TODAY()-PROVEEDORES[[#This Row],[FECHA DE FACTURACIÓN]]-PROVEEDORES[[#This Row],[PLAZO Días]],0)</f>
        <v>0</v>
      </c>
      <c r="U709" s="97">
        <f>+VLOOKUP(PROVEEDORES[[#This Row],[PROVEEDOR]],Terceros!$A:$D,4,FALSE)</f>
        <v>0</v>
      </c>
      <c r="V709" s="98">
        <f>+YEAR(PROVEEDORES[[#This Row],[FECHA DE FACTURACIÓN]])</f>
        <v>2023</v>
      </c>
      <c r="W709" s="98">
        <f>+MATCH(PROVEEDORES[[#This Row],[año facturado]],Retenciones!$1:$1,0)</f>
        <v>6</v>
      </c>
      <c r="X709" s="99">
        <f>+VLOOKUP(PROVEEDORES[[#This Row],[ID RETENCION]],Retenciones!$A$1:$O$25,PROVEEDORES[[#This Row],[indicador de columna]],FALSE)</f>
        <v>0</v>
      </c>
      <c r="Y709" s="100">
        <f>+VLOOKUP(PROVEEDORES[[#This Row],[ID RETENCION]],Retenciones!$A$1:$O$25,2,FALSE)</f>
        <v>0</v>
      </c>
      <c r="Z709" s="103" t="b">
        <f>OR(COUNTIF(PROVEEDORES[[#This Row],[PROVEEDOR]],"*"&amp;'Palabra no opera'!$A$2&amp;"*"))</f>
        <v>1</v>
      </c>
    </row>
    <row r="710" spans="1:26" ht="22.35" customHeight="1" x14ac:dyDescent="0.25">
      <c r="A710" s="229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60</v>
      </c>
      <c r="D710" s="25">
        <f>+SUMIFS(PROVEEDORES[Total],PROVEEDORES[PROVEEDOR],PROVEEDORES[[#This Row],[PROVEEDOR]],PROVEEDORES[FECHA DE PAGO],"")</f>
        <v>0</v>
      </c>
      <c r="E710" s="25"/>
      <c r="F710" s="56">
        <f>+VLOOKUP(PROVEEDORES[[#This Row],[PROVEEDOR]],
                       Terceros!$A:$F,
                       5,
                       FALSE)</f>
        <v>0</v>
      </c>
      <c r="G710" s="289">
        <v>45247</v>
      </c>
      <c r="H710" s="26" t="s">
        <v>484</v>
      </c>
      <c r="I710" s="289">
        <v>45169</v>
      </c>
      <c r="J710" s="35" t="s">
        <v>1066</v>
      </c>
      <c r="K710" s="21">
        <v>4550503</v>
      </c>
      <c r="L710" s="21"/>
      <c r="M710" s="22">
        <f>(PROVEEDORES[[#This Row],[SUBTOTAL]]-PROVEEDORES[[#This Row],[descuento sobre subtotal]])*VLOOKUP(PROVEEDORES[[#This Row],[PROVEEDOR]],TERCEROS_INFO[#All],3,FALSE)</f>
        <v>864595.57000000007</v>
      </c>
      <c r="N710" s="23"/>
      <c r="O710" s="22">
        <f>+PROVEEDORES[[#This Row],[Descuento sobre subtotal %]]*(PROVEEDORES[[#This Row],[SUBTOTAL]]-PROVEEDORES[[#This Row],[descuento sobre subtotal]])</f>
        <v>0</v>
      </c>
      <c r="P710" s="72">
        <f>+IF(PROVEEDORES[[#This Row],[SUBTOTAL]]&lt;PROVEEDORES[[#This Row],[base retencion]],0,PROVEEDORES[[#This Row],[retención aplicada]])</f>
        <v>0</v>
      </c>
      <c r="Q710" s="22">
        <f>+PROVEEDORES[[#This Row],[Rete Fuente %]]*(PROVEEDORES[[#This Row],[SUBTOTAL]]-PROVEEDORES[[#This Row],[descuento sobre subtotal]])</f>
        <v>0</v>
      </c>
      <c r="R710" s="21">
        <f>+PROVEEDORES[[#This Row],[SUBTOTAL]]+PROVEEDORES[[#This Row],[IVA 19%]]-PROVEEDORES[[#This Row],[descuento sobre subtotal]]-PROVEEDORES[[#This Row],[Descuento sobre subtotal $2]]-PROVEEDORES[[#This Row],[Rete Fuente $]]</f>
        <v>5415098.5700000003</v>
      </c>
      <c r="S710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1">
        <f ca="1">IF(PROVEEDORES[[#This Row],[FECHA DE PAGO]]=0,TODAY()-PROVEEDORES[[#This Row],[FECHA DE FACTURACIÓN]]-PROVEEDORES[[#This Row],[PLAZO Días]],0)</f>
        <v>0</v>
      </c>
      <c r="U710" s="97">
        <f>+VLOOKUP(PROVEEDORES[[#This Row],[PROVEEDOR]],Terceros!$A:$D,4,FALSE)</f>
        <v>0</v>
      </c>
      <c r="V710" s="98">
        <f>+YEAR(PROVEEDORES[[#This Row],[FECHA DE FACTURACIÓN]])</f>
        <v>2023</v>
      </c>
      <c r="W710" s="98">
        <f>+MATCH(PROVEEDORES[[#This Row],[año facturado]],Retenciones!$1:$1,0)</f>
        <v>6</v>
      </c>
      <c r="X710" s="99">
        <f>+VLOOKUP(PROVEEDORES[[#This Row],[ID RETENCION]],Retenciones!$A$1:$O$25,PROVEEDORES[[#This Row],[indicador de columna]],FALSE)</f>
        <v>0</v>
      </c>
      <c r="Y710" s="100">
        <f>+VLOOKUP(PROVEEDORES[[#This Row],[ID RETENCION]],Retenciones!$A$1:$O$25,2,FALSE)</f>
        <v>0</v>
      </c>
      <c r="Z710" s="103" t="b">
        <f>OR(COUNTIF(PROVEEDORES[[#This Row],[PROVEEDOR]],"*"&amp;'Palabra no opera'!$A$2&amp;"*"))</f>
        <v>1</v>
      </c>
    </row>
    <row r="711" spans="1:26" ht="22.35" customHeight="1" x14ac:dyDescent="0.25">
      <c r="A711" s="229" t="str">
        <f>+IF(PROVEEDORES[[#This Row],[FECHA DE PAGO]]=PROVEEDORES[[#This Row],[FECHA DE FACTURACIÓN]],"DE CONTADO","CRÉDITO")</f>
        <v>CRÉDITO</v>
      </c>
      <c r="B711" s="38" t="str">
        <f>+IF((PROVEEDORES[[#This Row],[FECHA DE PAGO]]-PROVEEDORES[[#This Row],[FECHA DE FACTURACIÓN]])&gt;PROVEEDORES[[#This Row],[PLAZO Días]],"PAGO VENCIDO")</f>
        <v>PAGO VENCIDO</v>
      </c>
      <c r="C711" s="20">
        <f>+VLOOKUP(PROVEEDORES[[#This Row],[PROVEEDOR]],TERCEROS_INFO[#All],2,FALSE)</f>
        <v>60</v>
      </c>
      <c r="D711" s="25">
        <f>+SUMIFS(PROVEEDORES[Total],PROVEEDORES[PROVEEDOR],PROVEEDORES[[#This Row],[PROVEEDOR]],PROVEEDORES[FECHA DE PAGO],"")</f>
        <v>0</v>
      </c>
      <c r="E711" s="25"/>
      <c r="F711" s="56">
        <f>+VLOOKUP(PROVEEDORES[[#This Row],[PROVEEDOR]],
                       Terceros!$A:$F,
                       5,
                       FALSE)</f>
        <v>0</v>
      </c>
      <c r="G711" s="289">
        <v>45251</v>
      </c>
      <c r="H711" s="26" t="s">
        <v>484</v>
      </c>
      <c r="I711" s="289">
        <v>45169</v>
      </c>
      <c r="J711" s="35" t="s">
        <v>1067</v>
      </c>
      <c r="K711" s="21">
        <v>2318282</v>
      </c>
      <c r="L711" s="21"/>
      <c r="M711" s="22">
        <f>(PROVEEDORES[[#This Row],[SUBTOTAL]]-PROVEEDORES[[#This Row],[descuento sobre subtotal]])*VLOOKUP(PROVEEDORES[[#This Row],[PROVEEDOR]],TERCEROS_INFO[#All],3,FALSE)</f>
        <v>440473.58</v>
      </c>
      <c r="N711" s="23"/>
      <c r="O711" s="22">
        <f>+PROVEEDORES[[#This Row],[Descuento sobre subtotal %]]*(PROVEEDORES[[#This Row],[SUBTOTAL]]-PROVEEDORES[[#This Row],[descuento sobre subtotal]])</f>
        <v>0</v>
      </c>
      <c r="P711" s="72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2758755.58</v>
      </c>
      <c r="S711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1">
        <f ca="1">IF(PROVEEDORES[[#This Row],[FECHA DE PAGO]]=0,TODAY()-PROVEEDORES[[#This Row],[FECHA DE FACTURACIÓN]]-PROVEEDORES[[#This Row],[PLAZO Días]],0)</f>
        <v>0</v>
      </c>
      <c r="U711" s="97">
        <f>+VLOOKUP(PROVEEDORES[[#This Row],[PROVEEDOR]],Terceros!$A:$D,4,FALSE)</f>
        <v>0</v>
      </c>
      <c r="V711" s="98">
        <f>+YEAR(PROVEEDORES[[#This Row],[FECHA DE FACTURACIÓN]])</f>
        <v>2023</v>
      </c>
      <c r="W711" s="98">
        <f>+MATCH(PROVEEDORES[[#This Row],[año facturado]],Retenciones!$1:$1,0)</f>
        <v>6</v>
      </c>
      <c r="X711" s="99">
        <f>+VLOOKUP(PROVEEDORES[[#This Row],[ID RETENCION]],Retenciones!$A$1:$O$25,PROVEEDORES[[#This Row],[indicador de columna]],FALSE)</f>
        <v>0</v>
      </c>
      <c r="Y711" s="100">
        <f>+VLOOKUP(PROVEEDORES[[#This Row],[ID RETENCION]],Retenciones!$A$1:$O$25,2,FALSE)</f>
        <v>0</v>
      </c>
      <c r="Z711" s="103" t="b">
        <f>OR(COUNTIF(PROVEEDORES[[#This Row],[PROVEEDOR]],"*"&amp;'Palabra no opera'!$A$2&amp;"*"))</f>
        <v>1</v>
      </c>
    </row>
    <row r="712" spans="1:26" ht="22.35" customHeight="1" x14ac:dyDescent="0.25">
      <c r="A712" s="65" t="str">
        <f>+IF(PROVEEDORES[[#This Row],[FECHA DE PAGO]]=PROVEEDORES[[#This Row],[FECHA DE FACTURACIÓN]],"DE CONTADO","CRÉDITO")</f>
        <v>CRÉDITO</v>
      </c>
      <c r="B712" s="38" t="str">
        <f>+IF((PROVEEDORES[[#This Row],[FECHA DE PAGO]]-PROVEEDORES[[#This Row],[FECHA DE FACTURACIÓN]])&gt;PROVEEDORES[[#This Row],[PLAZO Días]],"PAGO VENCIDO")</f>
        <v>PAGO VENCIDO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2169355.9580000001</v>
      </c>
      <c r="E712" s="25"/>
      <c r="F71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2" s="289">
        <v>44988</v>
      </c>
      <c r="H712" s="26" t="s">
        <v>18</v>
      </c>
      <c r="I712" s="289">
        <v>44936</v>
      </c>
      <c r="J712" s="35" t="s">
        <v>578</v>
      </c>
      <c r="K712" s="21">
        <v>2030628</v>
      </c>
      <c r="L712" s="21"/>
      <c r="M712" s="22">
        <f>(PROVEEDORES[[#This Row],[SUBTOTAL]]-PROVEEDORES[[#This Row],[descuento sobre subtotal]])*VLOOKUP(PROVEEDORES[[#This Row],[PROVEEDOR]],TERCEROS_INFO[#All],3,FALSE)</f>
        <v>385819.32</v>
      </c>
      <c r="N712" s="23"/>
      <c r="O712" s="22">
        <f>+PROVEEDORES[[#This Row],[Descuento sobre subtotal %]]*(PROVEEDORES[[#This Row],[SUBTOTAL]]-PROVEEDORES[[#This Row],[descuento sobre subtotal]])</f>
        <v>0</v>
      </c>
      <c r="P712" s="72">
        <f>+IF(PROVEEDORES[[#This Row],[SUBTOTAL]]&lt;PROVEEDORES[[#This Row],[base retencion]],0,PROVEEDORES[[#This Row],[retención aplicada]])</f>
        <v>2.5000000000000001E-2</v>
      </c>
      <c r="Q712" s="22">
        <f>+PROVEEDORES[[#This Row],[Rete Fuente %]]*(PROVEEDORES[[#This Row],[SUBTOTAL]]-PROVEEDORES[[#This Row],[descuento sobre subtotal]])</f>
        <v>50765.700000000004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2365681.6199999996</v>
      </c>
      <c r="S7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1">
        <f ca="1">IF(PROVEEDORES[[#This Row],[FECHA DE PAGO]]=0,TODAY()-PROVEEDORES[[#This Row],[FECHA DE FACTURACIÓN]]-PROVEEDORES[[#This Row],[PLAZO Días]],0)</f>
        <v>0</v>
      </c>
      <c r="U712" s="97" t="str">
        <f>+VLOOKUP(PROVEEDORES[[#This Row],[PROVEEDOR]],Terceros!$A:$D,4,FALSE)</f>
        <v>2,5% con base</v>
      </c>
      <c r="V712" s="98">
        <f>+YEAR(PROVEEDORES[[#This Row],[FECHA DE FACTURACIÓN]])</f>
        <v>2023</v>
      </c>
      <c r="W712" s="98">
        <f>+MATCH(PROVEEDORES[[#This Row],[año facturado]],Retenciones!$1:$1,0)</f>
        <v>6</v>
      </c>
      <c r="X712" s="99">
        <f>+VLOOKUP(PROVEEDORES[[#This Row],[ID RETENCION]],Retenciones!$A$1:$O$25,PROVEEDORES[[#This Row],[indicador de columna]],FALSE)</f>
        <v>1145000</v>
      </c>
      <c r="Y712" s="100">
        <f>+VLOOKUP(PROVEEDORES[[#This Row],[ID RETENCION]],Retenciones!$A$1:$O$25,2,FALSE)</f>
        <v>2.5000000000000001E-2</v>
      </c>
      <c r="Z712" s="103" t="b">
        <f>OR(COUNTIF(PROVEEDORES[[#This Row],[PROVEEDOR]],"*"&amp;'Palabra no opera'!$A$2&amp;"*"))</f>
        <v>0</v>
      </c>
    </row>
    <row r="713" spans="1:26" ht="22.35" customHeight="1" x14ac:dyDescent="0.25">
      <c r="A713" s="65" t="str">
        <f>+IF(PROVEEDORES[[#This Row],[FECHA DE PAGO]]=PROVEEDORES[[#This Row],[FECHA DE FACTURACIÓN]],"DE CONTADO","CRÉDITO")</f>
        <v>CRÉDITO</v>
      </c>
      <c r="B713" s="38" t="str">
        <f>+IF((PROVEEDORES[[#This Row],[FECHA DE PAGO]]-PROVEEDORES[[#This Row],[FECHA DE FACTURACIÓN]])&gt;PROVEEDORES[[#This Row],[PLAZO Días]],"PAGO VENCIDO")</f>
        <v>PAGO VENCIDO</v>
      </c>
      <c r="C713" s="20">
        <f>+VLOOKUP(PROVEEDORES[[#This Row],[PROVEEDOR]],TERCEROS_INFO[#All],2,FALSE)</f>
        <v>30</v>
      </c>
      <c r="D713" s="25">
        <f>+SUMIFS(PROVEEDORES[Total],PROVEEDORES[PROVEEDOR],PROVEEDORES[[#This Row],[PROVEEDOR]],PROVEEDORES[FECHA DE PAGO],"")</f>
        <v>2169355.9580000001</v>
      </c>
      <c r="E713" s="25"/>
      <c r="F71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3" s="289">
        <v>44988</v>
      </c>
      <c r="H713" s="26" t="s">
        <v>18</v>
      </c>
      <c r="I713" s="289">
        <v>44937</v>
      </c>
      <c r="J713" s="35" t="s">
        <v>579</v>
      </c>
      <c r="K713" s="21">
        <v>703990</v>
      </c>
      <c r="L713" s="21"/>
      <c r="M713" s="22">
        <f>(PROVEEDORES[[#This Row],[SUBTOTAL]]-PROVEEDORES[[#This Row],[descuento sobre subtotal]])*VLOOKUP(PROVEEDORES[[#This Row],[PROVEEDOR]],TERCEROS_INFO[#All],3,FALSE)</f>
        <v>133758.1</v>
      </c>
      <c r="N713" s="23"/>
      <c r="O713" s="22">
        <f>+PROVEEDORES[[#This Row],[Descuento sobre subtotal %]]*(PROVEEDORES[[#This Row],[SUBTOTAL]]-PROVEEDORES[[#This Row],[descuento sobre subtotal]])</f>
        <v>0</v>
      </c>
      <c r="P713" s="72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837748.1</v>
      </c>
      <c r="S7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1">
        <f ca="1">IF(PROVEEDORES[[#This Row],[FECHA DE PAGO]]=0,TODAY()-PROVEEDORES[[#This Row],[FECHA DE FACTURACIÓN]]-PROVEEDORES[[#This Row],[PLAZO Días]],0)</f>
        <v>0</v>
      </c>
      <c r="U713" s="97" t="str">
        <f>+VLOOKUP(PROVEEDORES[[#This Row],[PROVEEDOR]],Terceros!$A:$D,4,FALSE)</f>
        <v>2,5% con base</v>
      </c>
      <c r="V713" s="98">
        <f>+YEAR(PROVEEDORES[[#This Row],[FECHA DE FACTURACIÓN]])</f>
        <v>2023</v>
      </c>
      <c r="W713" s="98">
        <f>+MATCH(PROVEEDORES[[#This Row],[año facturado]],Retenciones!$1:$1,0)</f>
        <v>6</v>
      </c>
      <c r="X713" s="99">
        <f>+VLOOKUP(PROVEEDORES[[#This Row],[ID RETENCION]],Retenciones!$A$1:$O$25,PROVEEDORES[[#This Row],[indicador de columna]],FALSE)</f>
        <v>1145000</v>
      </c>
      <c r="Y713" s="100">
        <f>+VLOOKUP(PROVEEDORES[[#This Row],[ID RETENCION]],Retenciones!$A$1:$O$25,2,FALSE)</f>
        <v>2.5000000000000001E-2</v>
      </c>
      <c r="Z713" s="103" t="b">
        <f>OR(COUNTIF(PROVEEDORES[[#This Row],[PROVEEDOR]],"*"&amp;'Palabra no opera'!$A$2&amp;"*"))</f>
        <v>0</v>
      </c>
    </row>
    <row r="714" spans="1:26" ht="22.35" customHeight="1" x14ac:dyDescent="0.25">
      <c r="A714" s="65" t="str">
        <f>+IF(PROVEEDORES[[#This Row],[FECHA DE PAGO]]=PROVEEDORES[[#This Row],[FECHA DE FACTURACIÓN]],"DE CONTADO","CRÉDITO")</f>
        <v>CRÉDITO</v>
      </c>
      <c r="B714" s="38" t="str">
        <f>+IF((PROVEEDORES[[#This Row],[FECHA DE PAGO]]-PROVEEDORES[[#This Row],[FECHA DE FACTURACIÓN]])&gt;PROVEEDORES[[#This Row],[PLAZO Días]],"PAGO VENCIDO")</f>
        <v>PAGO VENCIDO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2169355.9580000001</v>
      </c>
      <c r="E714" s="25"/>
      <c r="F71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4" s="289">
        <v>44988</v>
      </c>
      <c r="H714" s="26" t="s">
        <v>18</v>
      </c>
      <c r="I714" s="289">
        <v>44938</v>
      </c>
      <c r="J714" s="35" t="s">
        <v>577</v>
      </c>
      <c r="K714" s="21">
        <v>12580881</v>
      </c>
      <c r="L714" s="21"/>
      <c r="M714" s="22">
        <f>(PROVEEDORES[[#This Row],[SUBTOTAL]]-PROVEEDORES[[#This Row],[descuento sobre subtotal]])*VLOOKUP(PROVEEDORES[[#This Row],[PROVEEDOR]],TERCEROS_INFO[#All],3,FALSE)</f>
        <v>2390367.39</v>
      </c>
      <c r="N714" s="23"/>
      <c r="O714" s="22">
        <f>+PROVEEDORES[[#This Row],[Descuento sobre subtotal %]]*(PROVEEDORES[[#This Row],[SUBTOTAL]]-PROVEEDORES[[#This Row],[descuento sobre subtotal]])</f>
        <v>0</v>
      </c>
      <c r="P714" s="72">
        <f>+IF(PROVEEDORES[[#This Row],[SUBTOTAL]]&lt;PROVEEDORES[[#This Row],[base retencion]],0,PROVEEDORES[[#This Row],[retención aplicada]])</f>
        <v>2.5000000000000001E-2</v>
      </c>
      <c r="Q714" s="22">
        <f>+PROVEEDORES[[#This Row],[Rete Fuente %]]*(PROVEEDORES[[#This Row],[SUBTOTAL]]-PROVEEDORES[[#This Row],[descuento sobre subtotal]])</f>
        <v>314522.02500000002</v>
      </c>
      <c r="R714" s="21">
        <f>+PROVEEDORES[[#This Row],[SUBTOTAL]]+PROVEEDORES[[#This Row],[IVA 19%]]-PROVEEDORES[[#This Row],[descuento sobre subtotal]]-PROVEEDORES[[#This Row],[Descuento sobre subtotal $2]]-PROVEEDORES[[#This Row],[Rete Fuente $]]</f>
        <v>14656726.365</v>
      </c>
      <c r="S71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1">
        <f ca="1">IF(PROVEEDORES[[#This Row],[FECHA DE PAGO]]=0,TODAY()-PROVEEDORES[[#This Row],[FECHA DE FACTURACIÓN]]-PROVEEDORES[[#This Row],[PLAZO Días]],0)</f>
        <v>0</v>
      </c>
      <c r="U714" s="97" t="str">
        <f>+VLOOKUP(PROVEEDORES[[#This Row],[PROVEEDOR]],Terceros!$A:$D,4,FALSE)</f>
        <v>2,5% con base</v>
      </c>
      <c r="V714" s="98">
        <f>+YEAR(PROVEEDORES[[#This Row],[FECHA DE FACTURACIÓN]])</f>
        <v>2023</v>
      </c>
      <c r="W714" s="98">
        <f>+MATCH(PROVEEDORES[[#This Row],[año facturado]],Retenciones!$1:$1,0)</f>
        <v>6</v>
      </c>
      <c r="X714" s="99">
        <f>+VLOOKUP(PROVEEDORES[[#This Row],[ID RETENCION]],Retenciones!$A$1:$O$25,PROVEEDORES[[#This Row],[indicador de columna]],FALSE)</f>
        <v>1145000</v>
      </c>
      <c r="Y714" s="100">
        <f>+VLOOKUP(PROVEEDORES[[#This Row],[ID RETENCION]],Retenciones!$A$1:$O$25,2,FALSE)</f>
        <v>2.5000000000000001E-2</v>
      </c>
      <c r="Z714" s="103" t="b">
        <f>OR(COUNTIF(PROVEEDORES[[#This Row],[PROVEEDOR]],"*"&amp;'Palabra no opera'!$A$2&amp;"*"))</f>
        <v>0</v>
      </c>
    </row>
    <row r="715" spans="1:26" ht="22.35" customHeight="1" x14ac:dyDescent="0.25">
      <c r="A715" s="164" t="str">
        <f>+IF(PROVEEDORES[[#This Row],[FECHA DE PAGO]]=PROVEEDORES[[#This Row],[FECHA DE FACTURACIÓN]],"DE CONTADO","CRÉDITO")</f>
        <v>CRÉDITO</v>
      </c>
      <c r="B715" s="38" t="str">
        <f>+IF((PROVEEDORES[[#This Row],[FECHA DE PAGO]]-PROVEEDORES[[#This Row],[FECHA DE FACTURACIÓN]])&gt;PROVEEDORES[[#This Row],[PLAZO Días]],"PAGO VENCIDO")</f>
        <v>PAGO VENCIDO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2169355.9580000001</v>
      </c>
      <c r="E715" s="25"/>
      <c r="F71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5" s="289">
        <v>45035</v>
      </c>
      <c r="H715" s="26" t="s">
        <v>18</v>
      </c>
      <c r="I715" s="289">
        <v>44968</v>
      </c>
      <c r="J715" s="35" t="s">
        <v>691</v>
      </c>
      <c r="K715" s="21">
        <v>-327731</v>
      </c>
      <c r="L715" s="21"/>
      <c r="M715" s="22">
        <f>(PROVEEDORES[[#This Row],[SUBTOTAL]]-PROVEEDORES[[#This Row],[descuento sobre subtotal]])*VLOOKUP(PROVEEDORES[[#This Row],[PROVEEDOR]],TERCEROS_INFO[#All],3,FALSE)</f>
        <v>-62268.89</v>
      </c>
      <c r="N715" s="23"/>
      <c r="O715" s="22">
        <f>+PROVEEDORES[[#This Row],[Descuento sobre subtotal %]]*(PROVEEDORES[[#This Row],[SUBTOTAL]]-PROVEEDORES[[#This Row],[descuento sobre subtotal]])</f>
        <v>0</v>
      </c>
      <c r="P715" s="72">
        <f>+IF(PROVEEDORES[[#This Row],[SUBTOTAL]]&lt;PROVEEDORES[[#This Row],[base retencion]],0,PROVEEDORES[[#This Row],[retención aplicada]])</f>
        <v>0</v>
      </c>
      <c r="Q715" s="22">
        <f>+PROVEEDORES[[#This Row],[Rete Fuente %]]*(PROVEEDORES[[#This Row],[SUBTOTAL]]-PROVEEDORES[[#This Row],[descuento sobre subtotal]])</f>
        <v>0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-389999.89</v>
      </c>
      <c r="S715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1">
        <f ca="1">IF(PROVEEDORES[[#This Row],[FECHA DE PAGO]]=0,TODAY()-PROVEEDORES[[#This Row],[FECHA DE FACTURACIÓN]]-PROVEEDORES[[#This Row],[PLAZO Días]],0)</f>
        <v>0</v>
      </c>
      <c r="U715" s="97" t="str">
        <f>+VLOOKUP(PROVEEDORES[[#This Row],[PROVEEDOR]],Terceros!$A:$D,4,FALSE)</f>
        <v>2,5% con base</v>
      </c>
      <c r="V715" s="98">
        <f>+YEAR(PROVEEDORES[[#This Row],[FECHA DE FACTURACIÓN]])</f>
        <v>2023</v>
      </c>
      <c r="W715" s="98">
        <f>+MATCH(PROVEEDORES[[#This Row],[año facturado]],Retenciones!$1:$1,0)</f>
        <v>6</v>
      </c>
      <c r="X715" s="99">
        <f>+VLOOKUP(PROVEEDORES[[#This Row],[ID RETENCION]],Retenciones!$A$1:$O$25,PROVEEDORES[[#This Row],[indicador de columna]],FALSE)</f>
        <v>1145000</v>
      </c>
      <c r="Y715" s="100">
        <f>+VLOOKUP(PROVEEDORES[[#This Row],[ID RETENCION]],Retenciones!$A$1:$O$25,2,FALSE)</f>
        <v>2.5000000000000001E-2</v>
      </c>
      <c r="Z715" s="103" t="b">
        <f>OR(COUNTIF(PROVEEDORES[[#This Row],[PROVEEDOR]],"*"&amp;'Palabra no opera'!$A$2&amp;"*"))</f>
        <v>0</v>
      </c>
    </row>
    <row r="716" spans="1:26" ht="22.35" customHeight="1" x14ac:dyDescent="0.25">
      <c r="A716" s="65" t="str">
        <f>+IF(PROVEEDORES[[#This Row],[FECHA DE PAGO]]=PROVEEDORES[[#This Row],[FECHA DE FACTURACIÓN]],"DE CONTADO","CRÉDITO")</f>
        <v>CRÉDITO</v>
      </c>
      <c r="B716" s="38" t="str">
        <f>+IF((PROVEEDORES[[#This Row],[FECHA DE PAGO]]-PROVEEDORES[[#This Row],[FECHA DE FACTURACIÓN]])&gt;PROVEEDORES[[#This Row],[PLAZO Días]],"PAGO VENCIDO")</f>
        <v>PAGO VENCIDO</v>
      </c>
      <c r="C716" s="20">
        <f>+VLOOKUP(PROVEEDORES[[#This Row],[PROVEEDOR]],TERCEROS_INFO[#All],2,FALSE)</f>
        <v>30</v>
      </c>
      <c r="D716" s="25">
        <f>+SUMIFS(PROVEEDORES[Total],PROVEEDORES[PROVEEDOR],PROVEEDORES[[#This Row],[PROVEEDOR]],PROVEEDORES[FECHA DE PAGO],"")</f>
        <v>2169355.9580000001</v>
      </c>
      <c r="E716" s="25"/>
      <c r="F71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6" s="289">
        <v>45035</v>
      </c>
      <c r="H716" s="26" t="s">
        <v>18</v>
      </c>
      <c r="I716" s="289">
        <v>44993</v>
      </c>
      <c r="J716" s="35" t="s">
        <v>665</v>
      </c>
      <c r="K716" s="21">
        <v>1263526</v>
      </c>
      <c r="L716" s="21"/>
      <c r="M716" s="22">
        <f>(PROVEEDORES[[#This Row],[SUBTOTAL]]-PROVEEDORES[[#This Row],[descuento sobre subtotal]])*VLOOKUP(PROVEEDORES[[#This Row],[PROVEEDOR]],TERCEROS_INFO[#All],3,FALSE)</f>
        <v>240069.94</v>
      </c>
      <c r="N716" s="23"/>
      <c r="O716" s="22">
        <f>+PROVEEDORES[[#This Row],[Descuento sobre subtotal %]]*(PROVEEDORES[[#This Row],[SUBTOTAL]]-PROVEEDORES[[#This Row],[descuento sobre subtotal]])</f>
        <v>0</v>
      </c>
      <c r="P716" s="72">
        <f>+IF(PROVEEDORES[[#This Row],[SUBTOTAL]]&lt;PROVEEDORES[[#This Row],[base retencion]],0,PROVEEDORES[[#This Row],[retención aplicada]])</f>
        <v>2.5000000000000001E-2</v>
      </c>
      <c r="Q716" s="22">
        <f>+PROVEEDORES[[#This Row],[Rete Fuente %]]*(PROVEEDORES[[#This Row],[SUBTOTAL]]-PROVEEDORES[[#This Row],[descuento sobre subtotal]])</f>
        <v>31588.15</v>
      </c>
      <c r="R716" s="21">
        <f>+PROVEEDORES[[#This Row],[SUBTOTAL]]+PROVEEDORES[[#This Row],[IVA 19%]]-PROVEEDORES[[#This Row],[descuento sobre subtotal]]-PROVEEDORES[[#This Row],[Descuento sobre subtotal $2]]-PROVEEDORES[[#This Row],[Rete Fuente $]]</f>
        <v>1472007.79</v>
      </c>
      <c r="S71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1">
        <f ca="1">IF(PROVEEDORES[[#This Row],[FECHA DE PAGO]]=0,TODAY()-PROVEEDORES[[#This Row],[FECHA DE FACTURACIÓN]]-PROVEEDORES[[#This Row],[PLAZO Días]],0)</f>
        <v>0</v>
      </c>
      <c r="U716" s="97" t="str">
        <f>+VLOOKUP(PROVEEDORES[[#This Row],[PROVEEDOR]],Terceros!$A:$D,4,FALSE)</f>
        <v>2,5% con base</v>
      </c>
      <c r="V716" s="98">
        <f>+YEAR(PROVEEDORES[[#This Row],[FECHA DE FACTURACIÓN]])</f>
        <v>2023</v>
      </c>
      <c r="W716" s="98">
        <f>+MATCH(PROVEEDORES[[#This Row],[año facturado]],Retenciones!$1:$1,0)</f>
        <v>6</v>
      </c>
      <c r="X716" s="99">
        <f>+VLOOKUP(PROVEEDORES[[#This Row],[ID RETENCION]],Retenciones!$A$1:$O$25,PROVEEDORES[[#This Row],[indicador de columna]],FALSE)</f>
        <v>1145000</v>
      </c>
      <c r="Y716" s="100">
        <f>+VLOOKUP(PROVEEDORES[[#This Row],[ID RETENCION]],Retenciones!$A$1:$O$25,2,FALSE)</f>
        <v>2.5000000000000001E-2</v>
      </c>
      <c r="Z716" s="103" t="b">
        <f>OR(COUNTIF(PROVEEDORES[[#This Row],[PROVEEDOR]],"*"&amp;'Palabra no opera'!$A$2&amp;"*"))</f>
        <v>0</v>
      </c>
    </row>
    <row r="717" spans="1:26" ht="22.35" customHeight="1" x14ac:dyDescent="0.25">
      <c r="A717" s="65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2169355.9580000001</v>
      </c>
      <c r="E717" s="25"/>
      <c r="F71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7" s="289">
        <v>45035</v>
      </c>
      <c r="H717" s="26" t="s">
        <v>18</v>
      </c>
      <c r="I717" s="289">
        <v>44998</v>
      </c>
      <c r="J717" s="35" t="s">
        <v>663</v>
      </c>
      <c r="K717" s="21">
        <v>1306660</v>
      </c>
      <c r="L717" s="21"/>
      <c r="M717" s="22">
        <f>(PROVEEDORES[[#This Row],[SUBTOTAL]]-PROVEEDORES[[#This Row],[descuento sobre subtotal]])*VLOOKUP(PROVEEDORES[[#This Row],[PROVEEDOR]],TERCEROS_INFO[#All],3,FALSE)</f>
        <v>248265.4</v>
      </c>
      <c r="N717" s="23"/>
      <c r="O717" s="22">
        <f>+PROVEEDORES[[#This Row],[Descuento sobre subtotal %]]*(PROVEEDORES[[#This Row],[SUBTOTAL]]-PROVEEDORES[[#This Row],[descuento sobre subtotal]])</f>
        <v>0</v>
      </c>
      <c r="P717" s="72">
        <f>+IF(PROVEEDORES[[#This Row],[SUBTOTAL]]&lt;PROVEEDORES[[#This Row],[base retencion]],0,PROVEEDORES[[#This Row],[retención aplicada]])</f>
        <v>2.5000000000000001E-2</v>
      </c>
      <c r="Q717" s="22">
        <f>+PROVEEDORES[[#This Row],[Rete Fuente %]]*(PROVEEDORES[[#This Row],[SUBTOTAL]]-PROVEEDORES[[#This Row],[descuento sobre subtotal]])</f>
        <v>32666.5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1522258.9</v>
      </c>
      <c r="S71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1">
        <f ca="1">IF(PROVEEDORES[[#This Row],[FECHA DE PAGO]]=0,TODAY()-PROVEEDORES[[#This Row],[FECHA DE FACTURACIÓN]]-PROVEEDORES[[#This Row],[PLAZO Días]],0)</f>
        <v>0</v>
      </c>
      <c r="U717" s="97" t="str">
        <f>+VLOOKUP(PROVEEDORES[[#This Row],[PROVEEDOR]],Terceros!$A:$D,4,FALSE)</f>
        <v>2,5% con base</v>
      </c>
      <c r="V717" s="98">
        <f>+YEAR(PROVEEDORES[[#This Row],[FECHA DE FACTURACIÓN]])</f>
        <v>2023</v>
      </c>
      <c r="W717" s="98">
        <f>+MATCH(PROVEEDORES[[#This Row],[año facturado]],Retenciones!$1:$1,0)</f>
        <v>6</v>
      </c>
      <c r="X717" s="99">
        <f>+VLOOKUP(PROVEEDORES[[#This Row],[ID RETENCION]],Retenciones!$A$1:$O$25,PROVEEDORES[[#This Row],[indicador de columna]],FALSE)</f>
        <v>1145000</v>
      </c>
      <c r="Y717" s="100">
        <f>+VLOOKUP(PROVEEDORES[[#This Row],[ID RETENCION]],Retenciones!$A$1:$O$25,2,FALSE)</f>
        <v>2.5000000000000001E-2</v>
      </c>
      <c r="Z717" s="103" t="b">
        <f>OR(COUNTIF(PROVEEDORES[[#This Row],[PROVEEDOR]],"*"&amp;'Palabra no opera'!$A$2&amp;"*"))</f>
        <v>0</v>
      </c>
    </row>
    <row r="718" spans="1:26" ht="22.35" customHeight="1" x14ac:dyDescent="0.25">
      <c r="A718" s="65" t="str">
        <f>+IF(PROVEEDORES[[#This Row],[FECHA DE PAGO]]=PROVEEDORES[[#This Row],[FECHA DE FACTURACIÓN]],"DE CONTADO","CRÉDITO")</f>
        <v>CRÉDITO</v>
      </c>
      <c r="B718" s="38" t="str">
        <f>+IF((PROVEEDORES[[#This Row],[FECHA DE PAGO]]-PROVEEDORES[[#This Row],[FECHA DE FACTURACIÓN]])&gt;PROVEEDORES[[#This Row],[PLAZO Días]],"PAGO VENCIDO")</f>
        <v>PAGO VENCIDO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2169355.9580000001</v>
      </c>
      <c r="E718" s="25"/>
      <c r="F71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8" s="289">
        <v>45035</v>
      </c>
      <c r="H718" s="26" t="s">
        <v>18</v>
      </c>
      <c r="I718" s="289">
        <v>44998</v>
      </c>
      <c r="J718" s="35" t="s">
        <v>664</v>
      </c>
      <c r="K718" s="21">
        <v>922647</v>
      </c>
      <c r="L718" s="21"/>
      <c r="M718" s="22">
        <f>(PROVEEDORES[[#This Row],[SUBTOTAL]]-PROVEEDORES[[#This Row],[descuento sobre subtotal]])*VLOOKUP(PROVEEDORES[[#This Row],[PROVEEDOR]],TERCEROS_INFO[#All],3,FALSE)</f>
        <v>175302.93</v>
      </c>
      <c r="N718" s="23"/>
      <c r="O718" s="22">
        <f>+PROVEEDORES[[#This Row],[Descuento sobre subtotal %]]*(PROVEEDORES[[#This Row],[SUBTOTAL]]-PROVEEDORES[[#This Row],[descuento sobre subtotal]])</f>
        <v>0</v>
      </c>
      <c r="P718" s="72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1097949.93</v>
      </c>
      <c r="S7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1">
        <f ca="1">IF(PROVEEDORES[[#This Row],[FECHA DE PAGO]]=0,TODAY()-PROVEEDORES[[#This Row],[FECHA DE FACTURACIÓN]]-PROVEEDORES[[#This Row],[PLAZO Días]],0)</f>
        <v>0</v>
      </c>
      <c r="U718" s="97" t="str">
        <f>+VLOOKUP(PROVEEDORES[[#This Row],[PROVEEDOR]],Terceros!$A:$D,4,FALSE)</f>
        <v>2,5% con base</v>
      </c>
      <c r="V718" s="98">
        <f>+YEAR(PROVEEDORES[[#This Row],[FECHA DE FACTURACIÓN]])</f>
        <v>2023</v>
      </c>
      <c r="W718" s="98">
        <f>+MATCH(PROVEEDORES[[#This Row],[año facturado]],Retenciones!$1:$1,0)</f>
        <v>6</v>
      </c>
      <c r="X718" s="99">
        <f>+VLOOKUP(PROVEEDORES[[#This Row],[ID RETENCION]],Retenciones!$A$1:$O$25,PROVEEDORES[[#This Row],[indicador de columna]],FALSE)</f>
        <v>1145000</v>
      </c>
      <c r="Y718" s="100">
        <f>+VLOOKUP(PROVEEDORES[[#This Row],[ID RETENCION]],Retenciones!$A$1:$O$25,2,FALSE)</f>
        <v>2.5000000000000001E-2</v>
      </c>
      <c r="Z718" s="103" t="b">
        <f>OR(COUNTIF(PROVEEDORES[[#This Row],[PROVEEDOR]],"*"&amp;'Palabra no opera'!$A$2&amp;"*"))</f>
        <v>0</v>
      </c>
    </row>
    <row r="719" spans="1:26" ht="22.35" customHeight="1" x14ac:dyDescent="0.25">
      <c r="A719" s="65" t="str">
        <f>+IF(PROVEEDORES[[#This Row],[FECHA DE PAGO]]=PROVEEDORES[[#This Row],[FECHA DE FACTURACIÓN]],"DE CONTADO","CRÉDITO")</f>
        <v>CRÉDITO</v>
      </c>
      <c r="B719" s="38" t="str">
        <f>+IF((PROVEEDORES[[#This Row],[FECHA DE PAGO]]-PROVEEDORES[[#This Row],[FECHA DE FACTURACIÓN]])&gt;PROVEEDORES[[#This Row],[PLAZO Días]],"PAGO VENCIDO")</f>
        <v>PAGO VENCIDO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2169355.9580000001</v>
      </c>
      <c r="E719" s="25"/>
      <c r="F71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19" s="289">
        <v>45054</v>
      </c>
      <c r="H719" s="26" t="s">
        <v>18</v>
      </c>
      <c r="I719" s="289">
        <v>45006</v>
      </c>
      <c r="J719" s="35">
        <v>1067479</v>
      </c>
      <c r="K719" s="21">
        <v>3044342</v>
      </c>
      <c r="L719" s="21"/>
      <c r="M719" s="22">
        <f>(PROVEEDORES[[#This Row],[SUBTOTAL]]-PROVEEDORES[[#This Row],[descuento sobre subtotal]])*VLOOKUP(PROVEEDORES[[#This Row],[PROVEEDOR]],TERCEROS_INFO[#All],3,FALSE)</f>
        <v>578424.98</v>
      </c>
      <c r="N719" s="23"/>
      <c r="O719" s="22">
        <f>+PROVEEDORES[[#This Row],[Descuento sobre subtotal %]]*(PROVEEDORES[[#This Row],[SUBTOTAL]]-PROVEEDORES[[#This Row],[descuento sobre subtotal]])</f>
        <v>0</v>
      </c>
      <c r="P719" s="72">
        <f>+IF(PROVEEDORES[[#This Row],[SUBTOTAL]]&lt;PROVEEDORES[[#This Row],[base retencion]],0,PROVEEDORES[[#This Row],[retención aplicada]])</f>
        <v>2.5000000000000001E-2</v>
      </c>
      <c r="Q719" s="22">
        <f>+PROVEEDORES[[#This Row],[Rete Fuente %]]*(PROVEEDORES[[#This Row],[SUBTOTAL]]-PROVEEDORES[[#This Row],[descuento sobre subtotal]])</f>
        <v>76108.55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3546658.43</v>
      </c>
      <c r="S7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1">
        <f ca="1">IF(PROVEEDORES[[#This Row],[FECHA DE PAGO]]=0,TODAY()-PROVEEDORES[[#This Row],[FECHA DE FACTURACIÓN]]-PROVEEDORES[[#This Row],[PLAZO Días]],0)</f>
        <v>0</v>
      </c>
      <c r="U719" s="97" t="str">
        <f>+VLOOKUP(PROVEEDORES[[#This Row],[PROVEEDOR]],Terceros!$A:$D,4,FALSE)</f>
        <v>2,5% con base</v>
      </c>
      <c r="V719" s="98">
        <f>+YEAR(PROVEEDORES[[#This Row],[FECHA DE FACTURACIÓN]])</f>
        <v>2023</v>
      </c>
      <c r="W719" s="98">
        <f>+MATCH(PROVEEDORES[[#This Row],[año facturado]],Retenciones!$1:$1,0)</f>
        <v>6</v>
      </c>
      <c r="X719" s="99">
        <f>+VLOOKUP(PROVEEDORES[[#This Row],[ID RETENCION]],Retenciones!$A$1:$O$25,PROVEEDORES[[#This Row],[indicador de columna]],FALSE)</f>
        <v>1145000</v>
      </c>
      <c r="Y719" s="100">
        <f>+VLOOKUP(PROVEEDORES[[#This Row],[ID RETENCION]],Retenciones!$A$1:$O$25,2,FALSE)</f>
        <v>2.5000000000000001E-2</v>
      </c>
      <c r="Z719" s="103" t="b">
        <f>OR(COUNTIF(PROVEEDORES[[#This Row],[PROVEEDOR]],"*"&amp;'Palabra no opera'!$A$2&amp;"*"))</f>
        <v>0</v>
      </c>
    </row>
    <row r="720" spans="1:26" ht="22.35" customHeight="1" x14ac:dyDescent="0.25">
      <c r="A720" s="192" t="str">
        <f>+IF(PROVEEDORES[[#This Row],[FECHA DE PAGO]]=PROVEEDORES[[#This Row],[FECHA DE FACTURACIÓN]],"DE CONTADO","CRÉDITO")</f>
        <v>CRÉDITO</v>
      </c>
      <c r="B720" s="38" t="str">
        <f>+IF((PROVEEDORES[[#This Row],[FECHA DE PAGO]]-PROVEEDORES[[#This Row],[FECHA DE FACTURACIÓN]])&gt;PROVEEDORES[[#This Row],[PLAZO Días]],"PAGO VENCIDO")</f>
        <v>PAGO VENCIDO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2169355.9580000001</v>
      </c>
      <c r="E720" s="25"/>
      <c r="F72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0" s="289">
        <v>45092</v>
      </c>
      <c r="H720" s="26" t="s">
        <v>18</v>
      </c>
      <c r="I720" s="289">
        <v>45036</v>
      </c>
      <c r="J720" s="35" t="s">
        <v>783</v>
      </c>
      <c r="K720" s="21">
        <v>1692916</v>
      </c>
      <c r="L720" s="21"/>
      <c r="M720" s="22">
        <f>(PROVEEDORES[[#This Row],[SUBTOTAL]]-PROVEEDORES[[#This Row],[descuento sobre subtotal]])*VLOOKUP(PROVEEDORES[[#This Row],[PROVEEDOR]],TERCEROS_INFO[#All],3,FALSE)</f>
        <v>321654.03999999998</v>
      </c>
      <c r="N720" s="23"/>
      <c r="O720" s="22">
        <f>+PROVEEDORES[[#This Row],[Descuento sobre subtotal %]]*(PROVEEDORES[[#This Row],[SUBTOTAL]]-PROVEEDORES[[#This Row],[descuento sobre subtotal]])</f>
        <v>0</v>
      </c>
      <c r="P720" s="72">
        <f>+IF(PROVEEDORES[[#This Row],[SUBTOTAL]]&lt;PROVEEDORES[[#This Row],[base retencion]],0,PROVEEDORES[[#This Row],[retención aplicada]])</f>
        <v>2.5000000000000001E-2</v>
      </c>
      <c r="Q720" s="22">
        <f>+PROVEEDORES[[#This Row],[Rete Fuente %]]*(PROVEEDORES[[#This Row],[SUBTOTAL]]-PROVEEDORES[[#This Row],[descuento sobre subtotal]])</f>
        <v>42322.9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1972247.1400000001</v>
      </c>
      <c r="S72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61">
        <f ca="1">IF(PROVEEDORES[[#This Row],[FECHA DE PAGO]]=0,TODAY()-PROVEEDORES[[#This Row],[FECHA DE FACTURACIÓN]]-PROVEEDORES[[#This Row],[PLAZO Días]],0)</f>
        <v>0</v>
      </c>
      <c r="U720" s="97" t="str">
        <f>+VLOOKUP(PROVEEDORES[[#This Row],[PROVEEDOR]],Terceros!$A:$D,4,FALSE)</f>
        <v>2,5% con base</v>
      </c>
      <c r="V720" s="98">
        <f>+YEAR(PROVEEDORES[[#This Row],[FECHA DE FACTURACIÓN]])</f>
        <v>2023</v>
      </c>
      <c r="W720" s="98">
        <f>+MATCH(PROVEEDORES[[#This Row],[año facturado]],Retenciones!$1:$1,0)</f>
        <v>6</v>
      </c>
      <c r="X720" s="99">
        <f>+VLOOKUP(PROVEEDORES[[#This Row],[ID RETENCION]],Retenciones!$A$1:$O$25,PROVEEDORES[[#This Row],[indicador de columna]],FALSE)</f>
        <v>1145000</v>
      </c>
      <c r="Y720" s="100">
        <f>+VLOOKUP(PROVEEDORES[[#This Row],[ID RETENCION]],Retenciones!$A$1:$O$25,2,FALSE)</f>
        <v>2.5000000000000001E-2</v>
      </c>
      <c r="Z720" s="103" t="b">
        <f>OR(COUNTIF(PROVEEDORES[[#This Row],[PROVEEDOR]],"*"&amp;'Palabra no opera'!$A$2&amp;"*"))</f>
        <v>0</v>
      </c>
    </row>
    <row r="721" spans="1:26" ht="22.35" customHeight="1" x14ac:dyDescent="0.25">
      <c r="A721" s="192" t="str">
        <f>+IF(PROVEEDORES[[#This Row],[FECHA DE PAGO]]=PROVEEDORES[[#This Row],[FECHA DE FACTURACIÓN]],"DE CONTADO","CRÉDITO")</f>
        <v>CRÉDITO</v>
      </c>
      <c r="B721" s="38" t="str">
        <f>+IF((PROVEEDORES[[#This Row],[FECHA DE PAGO]]-PROVEEDORES[[#This Row],[FECHA DE FACTURACIÓN]])&gt;PROVEEDORES[[#This Row],[PLAZO Días]],"PAGO VENCIDO")</f>
        <v>PAGO VENCIDO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2169355.9580000001</v>
      </c>
      <c r="E721" s="25"/>
      <c r="F72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1" s="289">
        <v>45092</v>
      </c>
      <c r="H721" s="26" t="s">
        <v>18</v>
      </c>
      <c r="I721" s="289">
        <v>45042</v>
      </c>
      <c r="J721" s="35" t="s">
        <v>795</v>
      </c>
      <c r="K721" s="21">
        <v>376982</v>
      </c>
      <c r="L721" s="21"/>
      <c r="M721" s="22">
        <f>(PROVEEDORES[[#This Row],[SUBTOTAL]]-PROVEEDORES[[#This Row],[descuento sobre subtotal]])*VLOOKUP(PROVEEDORES[[#This Row],[PROVEEDOR]],TERCEROS_INFO[#All],3,FALSE)</f>
        <v>71626.58</v>
      </c>
      <c r="N721" s="23"/>
      <c r="O721" s="22">
        <f>+PROVEEDORES[[#This Row],[Descuento sobre subtotal %]]*(PROVEEDORES[[#This Row],[SUBTOTAL]]-PROVEEDORES[[#This Row],[descuento sobre subtotal]])</f>
        <v>0</v>
      </c>
      <c r="P721" s="72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448608.58</v>
      </c>
      <c r="S72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61">
        <f ca="1">IF(PROVEEDORES[[#This Row],[FECHA DE PAGO]]=0,TODAY()-PROVEEDORES[[#This Row],[FECHA DE FACTURACIÓN]]-PROVEEDORES[[#This Row],[PLAZO Días]],0)</f>
        <v>0</v>
      </c>
      <c r="U721" s="97" t="str">
        <f>+VLOOKUP(PROVEEDORES[[#This Row],[PROVEEDOR]],Terceros!$A:$D,4,FALSE)</f>
        <v>2,5% con base</v>
      </c>
      <c r="V721" s="98">
        <f>+YEAR(PROVEEDORES[[#This Row],[FECHA DE FACTURACIÓN]])</f>
        <v>2023</v>
      </c>
      <c r="W721" s="98">
        <f>+MATCH(PROVEEDORES[[#This Row],[año facturado]],Retenciones!$1:$1,0)</f>
        <v>6</v>
      </c>
      <c r="X721" s="99">
        <f>+VLOOKUP(PROVEEDORES[[#This Row],[ID RETENCION]],Retenciones!$A$1:$O$25,PROVEEDORES[[#This Row],[indicador de columna]],FALSE)</f>
        <v>1145000</v>
      </c>
      <c r="Y721" s="100">
        <f>+VLOOKUP(PROVEEDORES[[#This Row],[ID RETENCION]],Retenciones!$A$1:$O$25,2,FALSE)</f>
        <v>2.5000000000000001E-2</v>
      </c>
      <c r="Z721" s="103" t="b">
        <f>OR(COUNTIF(PROVEEDORES[[#This Row],[PROVEEDOR]],"*"&amp;'Palabra no opera'!$A$2&amp;"*"))</f>
        <v>0</v>
      </c>
    </row>
    <row r="722" spans="1:26" ht="22.35" customHeight="1" x14ac:dyDescent="0.25">
      <c r="A722" s="192" t="str">
        <f>+IF(PROVEEDORES[[#This Row],[FECHA DE PAGO]]=PROVEEDORES[[#This Row],[FECHA DE FACTURACIÓN]],"DE CONTADO","CRÉDITO")</f>
        <v>CRÉDITO</v>
      </c>
      <c r="B722" s="38" t="str">
        <f>+IF((PROVEEDORES[[#This Row],[FECHA DE PAGO]]-PROVEEDORES[[#This Row],[FECHA DE FACTURACIÓN]])&gt;PROVEEDORES[[#This Row],[PLAZO Días]],"PAGO VENCIDO")</f>
        <v>PAGO VENCIDO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2169355.9580000001</v>
      </c>
      <c r="E722" s="25"/>
      <c r="F72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2" s="289">
        <v>45092</v>
      </c>
      <c r="H722" s="26" t="s">
        <v>18</v>
      </c>
      <c r="I722" s="289">
        <v>45042</v>
      </c>
      <c r="J722" s="35" t="s">
        <v>796</v>
      </c>
      <c r="K722" s="21">
        <v>1354333</v>
      </c>
      <c r="L722" s="21"/>
      <c r="M722" s="22">
        <f>(PROVEEDORES[[#This Row],[SUBTOTAL]]-PROVEEDORES[[#This Row],[descuento sobre subtotal]])*VLOOKUP(PROVEEDORES[[#This Row],[PROVEEDOR]],TERCEROS_INFO[#All],3,FALSE)</f>
        <v>257323.27</v>
      </c>
      <c r="N722" s="23"/>
      <c r="O722" s="22">
        <f>+PROVEEDORES[[#This Row],[Descuento sobre subtotal %]]*(PROVEEDORES[[#This Row],[SUBTOTAL]]-PROVEEDORES[[#This Row],[descuento sobre subtotal]])</f>
        <v>0</v>
      </c>
      <c r="P722" s="72">
        <f>+IF(PROVEEDORES[[#This Row],[SUBTOTAL]]&lt;PROVEEDORES[[#This Row],[base retencion]],0,PROVEEDORES[[#This Row],[retención aplicada]])</f>
        <v>2.5000000000000001E-2</v>
      </c>
      <c r="Q722" s="22">
        <f>+PROVEEDORES[[#This Row],[Rete Fuente %]]*(PROVEEDORES[[#This Row],[SUBTOTAL]]-PROVEEDORES[[#This Row],[descuento sobre subtotal]])</f>
        <v>33858.325000000004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1577797.9450000001</v>
      </c>
      <c r="S72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1">
        <f ca="1">IF(PROVEEDORES[[#This Row],[FECHA DE PAGO]]=0,TODAY()-PROVEEDORES[[#This Row],[FECHA DE FACTURACIÓN]]-PROVEEDORES[[#This Row],[PLAZO Días]],0)</f>
        <v>0</v>
      </c>
      <c r="U722" s="97" t="str">
        <f>+VLOOKUP(PROVEEDORES[[#This Row],[PROVEEDOR]],Terceros!$A:$D,4,FALSE)</f>
        <v>2,5% con base</v>
      </c>
      <c r="V722" s="98">
        <f>+YEAR(PROVEEDORES[[#This Row],[FECHA DE FACTURACIÓN]])</f>
        <v>2023</v>
      </c>
      <c r="W722" s="98">
        <f>+MATCH(PROVEEDORES[[#This Row],[año facturado]],Retenciones!$1:$1,0)</f>
        <v>6</v>
      </c>
      <c r="X722" s="99">
        <f>+VLOOKUP(PROVEEDORES[[#This Row],[ID RETENCION]],Retenciones!$A$1:$O$25,PROVEEDORES[[#This Row],[indicador de columna]],FALSE)</f>
        <v>1145000</v>
      </c>
      <c r="Y722" s="100">
        <f>+VLOOKUP(PROVEEDORES[[#This Row],[ID RETENCION]],Retenciones!$A$1:$O$25,2,FALSE)</f>
        <v>2.5000000000000001E-2</v>
      </c>
      <c r="Z722" s="103" t="b">
        <f>OR(COUNTIF(PROVEEDORES[[#This Row],[PROVEEDOR]],"*"&amp;'Palabra no opera'!$A$2&amp;"*"))</f>
        <v>0</v>
      </c>
    </row>
    <row r="723" spans="1:26" ht="22.35" customHeight="1" x14ac:dyDescent="0.25">
      <c r="A723" s="192" t="str">
        <f>+IF(PROVEEDORES[[#This Row],[FECHA DE PAGO]]=PROVEEDORES[[#This Row],[FECHA DE FACTURACIÓN]],"DE CONTADO","CRÉDITO")</f>
        <v>CRÉDITO</v>
      </c>
      <c r="B723" s="38" t="str">
        <f>+IF((PROVEEDORES[[#This Row],[FECHA DE PAGO]]-PROVEEDORES[[#This Row],[FECHA DE FACTURACIÓN]])&gt;PROVEEDORES[[#This Row],[PLAZO Días]],"PAGO VENCIDO")</f>
        <v>PAGO VENCIDO</v>
      </c>
      <c r="C723" s="20">
        <f>+VLOOKUP(PROVEEDORES[[#This Row],[PROVEEDOR]],TERCEROS_INFO[#All],2,FALSE)</f>
        <v>30</v>
      </c>
      <c r="D723" s="25">
        <f>+SUMIFS(PROVEEDORES[Total],PROVEEDORES[PROVEEDOR],PROVEEDORES[[#This Row],[PROVEEDOR]],PROVEEDORES[FECHA DE PAGO],"")</f>
        <v>2169355.9580000001</v>
      </c>
      <c r="E723" s="25"/>
      <c r="F72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3" s="289">
        <v>45092</v>
      </c>
      <c r="H723" s="26" t="s">
        <v>18</v>
      </c>
      <c r="I723" s="289">
        <v>45042</v>
      </c>
      <c r="J723" s="35" t="s">
        <v>800</v>
      </c>
      <c r="K723" s="21">
        <v>1206027</v>
      </c>
      <c r="L723" s="21"/>
      <c r="M723" s="22">
        <f>(PROVEEDORES[[#This Row],[SUBTOTAL]]-PROVEEDORES[[#This Row],[descuento sobre subtotal]])*VLOOKUP(PROVEEDORES[[#This Row],[PROVEEDOR]],TERCEROS_INFO[#All],3,FALSE)</f>
        <v>229145.13</v>
      </c>
      <c r="N723" s="23"/>
      <c r="O723" s="22">
        <f>+PROVEEDORES[[#This Row],[Descuento sobre subtotal %]]*(PROVEEDORES[[#This Row],[SUBTOTAL]]-PROVEEDORES[[#This Row],[descuento sobre subtotal]])</f>
        <v>0</v>
      </c>
      <c r="P723" s="72">
        <f>+IF(PROVEEDORES[[#This Row],[SUBTOTAL]]&lt;PROVEEDORES[[#This Row],[base retencion]],0,PROVEEDORES[[#This Row],[retención aplicada]])</f>
        <v>2.5000000000000001E-2</v>
      </c>
      <c r="Q723" s="22">
        <f>+PROVEEDORES[[#This Row],[Rete Fuente %]]*(PROVEEDORES[[#This Row],[SUBTOTAL]]-PROVEEDORES[[#This Row],[descuento sobre subtotal]])</f>
        <v>30150.675000000003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1405021.4549999998</v>
      </c>
      <c r="S72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1">
        <f ca="1">IF(PROVEEDORES[[#This Row],[FECHA DE PAGO]]=0,TODAY()-PROVEEDORES[[#This Row],[FECHA DE FACTURACIÓN]]-PROVEEDORES[[#This Row],[PLAZO Días]],0)</f>
        <v>0</v>
      </c>
      <c r="U723" s="97" t="str">
        <f>+VLOOKUP(PROVEEDORES[[#This Row],[PROVEEDOR]],Terceros!$A:$D,4,FALSE)</f>
        <v>2,5% con base</v>
      </c>
      <c r="V723" s="98">
        <f>+YEAR(PROVEEDORES[[#This Row],[FECHA DE FACTURACIÓN]])</f>
        <v>2023</v>
      </c>
      <c r="W723" s="98">
        <f>+MATCH(PROVEEDORES[[#This Row],[año facturado]],Retenciones!$1:$1,0)</f>
        <v>6</v>
      </c>
      <c r="X723" s="99">
        <f>+VLOOKUP(PROVEEDORES[[#This Row],[ID RETENCION]],Retenciones!$A$1:$O$25,PROVEEDORES[[#This Row],[indicador de columna]],FALSE)</f>
        <v>1145000</v>
      </c>
      <c r="Y723" s="100">
        <f>+VLOOKUP(PROVEEDORES[[#This Row],[ID RETENCION]],Retenciones!$A$1:$O$25,2,FALSE)</f>
        <v>2.5000000000000001E-2</v>
      </c>
      <c r="Z723" s="103" t="b">
        <f>OR(COUNTIF(PROVEEDORES[[#This Row],[PROVEEDOR]],"*"&amp;'Palabra no opera'!$A$2&amp;"*"))</f>
        <v>0</v>
      </c>
    </row>
    <row r="724" spans="1:26" ht="22.35" customHeight="1" x14ac:dyDescent="0.25">
      <c r="A724" s="192" t="str">
        <f>+IF(PROVEEDORES[[#This Row],[FECHA DE PAGO]]=PROVEEDORES[[#This Row],[FECHA DE FACTURACIÓN]],"DE CONTADO","CRÉDITO")</f>
        <v>CRÉDITO</v>
      </c>
      <c r="B724" s="38" t="str">
        <f>+IF((PROVEEDORES[[#This Row],[FECHA DE PAGO]]-PROVEEDORES[[#This Row],[FECHA DE FACTURACIÓN]])&gt;PROVEEDORES[[#This Row],[PLAZO Días]],"PAGO VENCIDO")</f>
        <v>PAGO VENCIDO</v>
      </c>
      <c r="C724" s="20">
        <f>+VLOOKUP(PROVEEDORES[[#This Row],[PROVEEDOR]],TERCEROS_INFO[#All],2,FALSE)</f>
        <v>30</v>
      </c>
      <c r="D724" s="25">
        <f>+SUMIFS(PROVEEDORES[Total],PROVEEDORES[PROVEEDOR],PROVEEDORES[[#This Row],[PROVEEDOR]],PROVEEDORES[FECHA DE PAGO],"")</f>
        <v>2169355.9580000001</v>
      </c>
      <c r="E724" s="25"/>
      <c r="F72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4" s="289">
        <v>45092</v>
      </c>
      <c r="H724" s="26" t="s">
        <v>18</v>
      </c>
      <c r="I724" s="289">
        <v>45044</v>
      </c>
      <c r="J724" s="35" t="s">
        <v>870</v>
      </c>
      <c r="K724" s="21">
        <v>753964</v>
      </c>
      <c r="L724" s="21"/>
      <c r="M724" s="22">
        <f>(PROVEEDORES[[#This Row],[SUBTOTAL]]-PROVEEDORES[[#This Row],[descuento sobre subtotal]])*VLOOKUP(PROVEEDORES[[#This Row],[PROVEEDOR]],TERCEROS_INFO[#All],3,FALSE)</f>
        <v>143253.16</v>
      </c>
      <c r="N724" s="23"/>
      <c r="O724" s="22">
        <f>+PROVEEDORES[[#This Row],[Descuento sobre subtotal %]]*(PROVEEDORES[[#This Row],[SUBTOTAL]]-PROVEEDORES[[#This Row],[descuento sobre subtotal]])</f>
        <v>0</v>
      </c>
      <c r="P724" s="72">
        <f>+IF(PROVEEDORES[[#This Row],[SUBTOTAL]]&lt;PROVEEDORES[[#This Row],[base retencion]],0,PROVEEDORES[[#This Row],[retención aplicada]])</f>
        <v>0</v>
      </c>
      <c r="Q724" s="22">
        <f>+PROVEEDORES[[#This Row],[Rete Fuente %]]*(PROVEEDORES[[#This Row],[SUBTOTAL]]-PROVEEDORES[[#This Row],[descuento sobre subtotal]])</f>
        <v>0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897217.16</v>
      </c>
      <c r="S72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1">
        <f ca="1">IF(PROVEEDORES[[#This Row],[FECHA DE PAGO]]=0,TODAY()-PROVEEDORES[[#This Row],[FECHA DE FACTURACIÓN]]-PROVEEDORES[[#This Row],[PLAZO Días]],0)</f>
        <v>0</v>
      </c>
      <c r="U724" s="97" t="str">
        <f>+VLOOKUP(PROVEEDORES[[#This Row],[PROVEEDOR]],Terceros!$A:$D,4,FALSE)</f>
        <v>2,5% con base</v>
      </c>
      <c r="V724" s="98">
        <f>+YEAR(PROVEEDORES[[#This Row],[FECHA DE FACTURACIÓN]])</f>
        <v>2023</v>
      </c>
      <c r="W724" s="98">
        <f>+MATCH(PROVEEDORES[[#This Row],[año facturado]],Retenciones!$1:$1,0)</f>
        <v>6</v>
      </c>
      <c r="X724" s="99">
        <f>+VLOOKUP(PROVEEDORES[[#This Row],[ID RETENCION]],Retenciones!$A$1:$O$25,PROVEEDORES[[#This Row],[indicador de columna]],FALSE)</f>
        <v>1145000</v>
      </c>
      <c r="Y724" s="100">
        <f>+VLOOKUP(PROVEEDORES[[#This Row],[ID RETENCION]],Retenciones!$A$1:$O$25,2,FALSE)</f>
        <v>2.5000000000000001E-2</v>
      </c>
      <c r="Z724" s="103" t="b">
        <f>OR(COUNTIF(PROVEEDORES[[#This Row],[PROVEEDOR]],"*"&amp;'Palabra no opera'!$A$2&amp;"*"))</f>
        <v>0</v>
      </c>
    </row>
    <row r="725" spans="1:26" ht="22.35" customHeight="1" x14ac:dyDescent="0.25">
      <c r="A725" s="65" t="str">
        <f>+IF(PROVEEDORES[[#This Row],[FECHA DE PAGO]]=PROVEEDORES[[#This Row],[FECHA DE FACTURACIÓN]],"DE CONTADO","CRÉDITO")</f>
        <v>CRÉDITO</v>
      </c>
      <c r="B725" s="38" t="str">
        <f>+IF((PROVEEDORES[[#This Row],[FECHA DE PAGO]]-PROVEEDORES[[#This Row],[FECHA DE FACTURACIÓN]])&gt;PROVEEDORES[[#This Row],[PLAZO Días]],"PAGO VENCIDO")</f>
        <v>PAGO VENCIDO</v>
      </c>
      <c r="C725" s="20">
        <f>+VLOOKUP(PROVEEDORES[[#This Row],[PROVEEDOR]],TERCEROS_INFO[#All],2,FALSE)</f>
        <v>30</v>
      </c>
      <c r="D725" s="25">
        <f>+SUMIFS(PROVEEDORES[Total],PROVEEDORES[PROVEEDOR],PROVEEDORES[[#This Row],[PROVEEDOR]],PROVEEDORES[FECHA DE PAGO],"")</f>
        <v>2169355.9580000001</v>
      </c>
      <c r="E725" s="25"/>
      <c r="F72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5" s="289">
        <v>45104</v>
      </c>
      <c r="H725" s="26" t="s">
        <v>18</v>
      </c>
      <c r="I725" s="289">
        <v>45055</v>
      </c>
      <c r="J725" s="35" t="s">
        <v>830</v>
      </c>
      <c r="K725" s="21">
        <v>743608</v>
      </c>
      <c r="L725" s="21"/>
      <c r="M725" s="22">
        <f>(PROVEEDORES[[#This Row],[SUBTOTAL]]-PROVEEDORES[[#This Row],[descuento sobre subtotal]])*VLOOKUP(PROVEEDORES[[#This Row],[PROVEEDOR]],TERCEROS_INFO[#All],3,FALSE)</f>
        <v>141285.51999999999</v>
      </c>
      <c r="N725" s="23"/>
      <c r="O725" s="22">
        <f>+PROVEEDORES[[#This Row],[Descuento sobre subtotal %]]*(PROVEEDORES[[#This Row],[SUBTOTAL]]-PROVEEDORES[[#This Row],[descuento sobre subtotal]])</f>
        <v>0</v>
      </c>
      <c r="P725" s="72">
        <f>+IF(PROVEEDORES[[#This Row],[SUBTOTAL]]&lt;PROVEEDORES[[#This Row],[base retencion]],0,PROVEEDORES[[#This Row],[retención aplicada]])</f>
        <v>0</v>
      </c>
      <c r="Q725" s="22">
        <f>+PROVEEDORES[[#This Row],[Rete Fuente %]]*(PROVEEDORES[[#This Row],[SUBTOTAL]]-PROVEEDORES[[#This Row],[descuento sobre subtotal]])</f>
        <v>0</v>
      </c>
      <c r="R725" s="21">
        <f>+PROVEEDORES[[#This Row],[SUBTOTAL]]+PROVEEDORES[[#This Row],[IVA 19%]]-PROVEEDORES[[#This Row],[descuento sobre subtotal]]-PROVEEDORES[[#This Row],[Descuento sobre subtotal $2]]-PROVEEDORES[[#This Row],[Rete Fuente $]]</f>
        <v>884893.52</v>
      </c>
      <c r="S7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1">
        <f ca="1">IF(PROVEEDORES[[#This Row],[FECHA DE PAGO]]=0,TODAY()-PROVEEDORES[[#This Row],[FECHA DE FACTURACIÓN]]-PROVEEDORES[[#This Row],[PLAZO Días]],0)</f>
        <v>0</v>
      </c>
      <c r="U725" s="97" t="str">
        <f>+VLOOKUP(PROVEEDORES[[#This Row],[PROVEEDOR]],Terceros!$A:$D,4,FALSE)</f>
        <v>2,5% con base</v>
      </c>
      <c r="V725" s="98">
        <f>+YEAR(PROVEEDORES[[#This Row],[FECHA DE FACTURACIÓN]])</f>
        <v>2023</v>
      </c>
      <c r="W725" s="98">
        <f>+MATCH(PROVEEDORES[[#This Row],[año facturado]],Retenciones!$1:$1,0)</f>
        <v>6</v>
      </c>
      <c r="X725" s="99">
        <f>+VLOOKUP(PROVEEDORES[[#This Row],[ID RETENCION]],Retenciones!$A$1:$O$25,PROVEEDORES[[#This Row],[indicador de columna]],FALSE)</f>
        <v>1145000</v>
      </c>
      <c r="Y725" s="100">
        <f>+VLOOKUP(PROVEEDORES[[#This Row],[ID RETENCION]],Retenciones!$A$1:$O$25,2,FALSE)</f>
        <v>2.5000000000000001E-2</v>
      </c>
      <c r="Z725" s="103" t="b">
        <f>OR(COUNTIF(PROVEEDORES[[#This Row],[PROVEEDOR]],"*"&amp;'Palabra no opera'!$A$2&amp;"*"))</f>
        <v>0</v>
      </c>
    </row>
    <row r="726" spans="1:26" ht="22.35" customHeight="1" x14ac:dyDescent="0.25">
      <c r="A726" s="65" t="str">
        <f>+IF(PROVEEDORES[[#This Row],[FECHA DE PAGO]]=PROVEEDORES[[#This Row],[FECHA DE FACTURACIÓN]],"DE CONTADO","CRÉDITO")</f>
        <v>CRÉDITO</v>
      </c>
      <c r="B726" s="38" t="str">
        <f>+IF((PROVEEDORES[[#This Row],[FECHA DE PAGO]]-PROVEEDORES[[#This Row],[FECHA DE FACTURACIÓN]])&gt;PROVEEDORES[[#This Row],[PLAZO Días]],"PAGO VENCIDO")</f>
        <v>PAGO VENCIDO</v>
      </c>
      <c r="C726" s="20">
        <f>+VLOOKUP(PROVEEDORES[[#This Row],[PROVEEDOR]],TERCEROS_INFO[#All],2,FALSE)</f>
        <v>30</v>
      </c>
      <c r="D726" s="25">
        <f>+SUMIFS(PROVEEDORES[Total],PROVEEDORES[PROVEEDOR],PROVEEDORES[[#This Row],[PROVEEDOR]],PROVEEDORES[FECHA DE PAGO],"")</f>
        <v>2169355.9580000001</v>
      </c>
      <c r="E726" s="25"/>
      <c r="F72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6" s="289">
        <v>45104</v>
      </c>
      <c r="H726" s="26" t="s">
        <v>18</v>
      </c>
      <c r="I726" s="289">
        <v>45057</v>
      </c>
      <c r="J726" s="35" t="s">
        <v>831</v>
      </c>
      <c r="K726" s="21">
        <v>804018</v>
      </c>
      <c r="L726" s="21"/>
      <c r="M726" s="22">
        <f>(PROVEEDORES[[#This Row],[SUBTOTAL]]-PROVEEDORES[[#This Row],[descuento sobre subtotal]])*VLOOKUP(PROVEEDORES[[#This Row],[PROVEEDOR]],TERCEROS_INFO[#All],3,FALSE)</f>
        <v>152763.42000000001</v>
      </c>
      <c r="N726" s="23"/>
      <c r="O726" s="22">
        <f>+PROVEEDORES[[#This Row],[Descuento sobre subtotal %]]*(PROVEEDORES[[#This Row],[SUBTOTAL]]-PROVEEDORES[[#This Row],[descuento sobre subtotal]])</f>
        <v>0</v>
      </c>
      <c r="P726" s="72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956781.42</v>
      </c>
      <c r="S7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1">
        <f ca="1">IF(PROVEEDORES[[#This Row],[FECHA DE PAGO]]=0,TODAY()-PROVEEDORES[[#This Row],[FECHA DE FACTURACIÓN]]-PROVEEDORES[[#This Row],[PLAZO Días]],0)</f>
        <v>0</v>
      </c>
      <c r="U726" s="97" t="str">
        <f>+VLOOKUP(PROVEEDORES[[#This Row],[PROVEEDOR]],Terceros!$A:$D,4,FALSE)</f>
        <v>2,5% con base</v>
      </c>
      <c r="V726" s="98">
        <f>+YEAR(PROVEEDORES[[#This Row],[FECHA DE FACTURACIÓN]])</f>
        <v>2023</v>
      </c>
      <c r="W726" s="98">
        <f>+MATCH(PROVEEDORES[[#This Row],[año facturado]],Retenciones!$1:$1,0)</f>
        <v>6</v>
      </c>
      <c r="X726" s="99">
        <f>+VLOOKUP(PROVEEDORES[[#This Row],[ID RETENCION]],Retenciones!$A$1:$O$25,PROVEEDORES[[#This Row],[indicador de columna]],FALSE)</f>
        <v>1145000</v>
      </c>
      <c r="Y726" s="100">
        <f>+VLOOKUP(PROVEEDORES[[#This Row],[ID RETENCION]],Retenciones!$A$1:$O$25,2,FALSE)</f>
        <v>2.5000000000000001E-2</v>
      </c>
      <c r="Z726" s="103" t="b">
        <f>OR(COUNTIF(PROVEEDORES[[#This Row],[PROVEEDOR]],"*"&amp;'Palabra no opera'!$A$2&amp;"*"))</f>
        <v>0</v>
      </c>
    </row>
    <row r="727" spans="1:26" ht="22.35" customHeight="1" x14ac:dyDescent="0.25">
      <c r="A727" s="65" t="str">
        <f>+IF(PROVEEDORES[[#This Row],[FECHA DE PAGO]]=PROVEEDORES[[#This Row],[FECHA DE FACTURACIÓN]],"DE CONTADO","CRÉDITO")</f>
        <v>CRÉDITO</v>
      </c>
      <c r="B727" s="38" t="str">
        <f>+IF((PROVEEDORES[[#This Row],[FECHA DE PAGO]]-PROVEEDORES[[#This Row],[FECHA DE FACTURACIÓN]])&gt;PROVEEDORES[[#This Row],[PLAZO Días]],"PAGO VENCIDO")</f>
        <v>PAGO VENCIDO</v>
      </c>
      <c r="C727" s="20">
        <f>+VLOOKUP(PROVEEDORES[[#This Row],[PROVEEDOR]],TERCEROS_INFO[#All],2,FALSE)</f>
        <v>30</v>
      </c>
      <c r="D727" s="25">
        <f>+SUMIFS(PROVEEDORES[Total],PROVEEDORES[PROVEEDOR],PROVEEDORES[[#This Row],[PROVEEDOR]],PROVEEDORES[FECHA DE PAGO],"")</f>
        <v>2169355.9580000001</v>
      </c>
      <c r="E727" s="25"/>
      <c r="F72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7" s="289">
        <v>45117</v>
      </c>
      <c r="H727" s="26" t="s">
        <v>18</v>
      </c>
      <c r="I727" s="289">
        <v>45058</v>
      </c>
      <c r="J727" s="35" t="s">
        <v>832</v>
      </c>
      <c r="K727" s="21">
        <v>2115236</v>
      </c>
      <c r="L727" s="21"/>
      <c r="M727" s="22">
        <f>(PROVEEDORES[[#This Row],[SUBTOTAL]]-PROVEEDORES[[#This Row],[descuento sobre subtotal]])*VLOOKUP(PROVEEDORES[[#This Row],[PROVEEDOR]],TERCEROS_INFO[#All],3,FALSE)</f>
        <v>401894.84</v>
      </c>
      <c r="N727" s="23"/>
      <c r="O727" s="22">
        <f>+PROVEEDORES[[#This Row],[Descuento sobre subtotal %]]*(PROVEEDORES[[#This Row],[SUBTOTAL]]-PROVEEDORES[[#This Row],[descuento sobre subtotal]])</f>
        <v>0</v>
      </c>
      <c r="P727" s="72">
        <f>+IF(PROVEEDORES[[#This Row],[SUBTOTAL]]&lt;PROVEEDORES[[#This Row],[base retencion]],0,PROVEEDORES[[#This Row],[retención aplicada]])</f>
        <v>2.5000000000000001E-2</v>
      </c>
      <c r="Q727" s="22">
        <f>+PROVEEDORES[[#This Row],[Rete Fuente %]]*(PROVEEDORES[[#This Row],[SUBTOTAL]]-PROVEEDORES[[#This Row],[descuento sobre subtotal]])</f>
        <v>52880.9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2464249.94</v>
      </c>
      <c r="S7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1">
        <f ca="1">IF(PROVEEDORES[[#This Row],[FECHA DE PAGO]]=0,TODAY()-PROVEEDORES[[#This Row],[FECHA DE FACTURACIÓN]]-PROVEEDORES[[#This Row],[PLAZO Días]],0)</f>
        <v>0</v>
      </c>
      <c r="U727" s="97" t="str">
        <f>+VLOOKUP(PROVEEDORES[[#This Row],[PROVEEDOR]],Terceros!$A:$D,4,FALSE)</f>
        <v>2,5% con base</v>
      </c>
      <c r="V727" s="98">
        <f>+YEAR(PROVEEDORES[[#This Row],[FECHA DE FACTURACIÓN]])</f>
        <v>2023</v>
      </c>
      <c r="W727" s="98">
        <f>+MATCH(PROVEEDORES[[#This Row],[año facturado]],Retenciones!$1:$1,0)</f>
        <v>6</v>
      </c>
      <c r="X727" s="99">
        <f>+VLOOKUP(PROVEEDORES[[#This Row],[ID RETENCION]],Retenciones!$A$1:$O$25,PROVEEDORES[[#This Row],[indicador de columna]],FALSE)</f>
        <v>1145000</v>
      </c>
      <c r="Y727" s="100">
        <f>+VLOOKUP(PROVEEDORES[[#This Row],[ID RETENCION]],Retenciones!$A$1:$O$25,2,FALSE)</f>
        <v>2.5000000000000001E-2</v>
      </c>
      <c r="Z727" s="103" t="b">
        <f>OR(COUNTIF(PROVEEDORES[[#This Row],[PROVEEDOR]],"*"&amp;'Palabra no opera'!$A$2&amp;"*"))</f>
        <v>0</v>
      </c>
    </row>
    <row r="728" spans="1:26" ht="22.35" customHeight="1" x14ac:dyDescent="0.25">
      <c r="A728" s="198" t="str">
        <f>+IF(PROVEEDORES[[#This Row],[FECHA DE PAGO]]=PROVEEDORES[[#This Row],[FECHA DE FACTURACIÓN]],"DE CONTADO","CRÉDITO")</f>
        <v>CRÉDITO</v>
      </c>
      <c r="B728" s="38" t="str">
        <f>+IF((PROVEEDORES[[#This Row],[FECHA DE PAGO]]-PROVEEDORES[[#This Row],[FECHA DE FACTURACIÓN]])&gt;PROVEEDORES[[#This Row],[PLAZO Días]],"PAGO VENCIDO")</f>
        <v>PAGO VENCIDO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2169355.9580000001</v>
      </c>
      <c r="E728" s="25"/>
      <c r="F72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8" s="289">
        <v>45117</v>
      </c>
      <c r="H728" s="26" t="s">
        <v>18</v>
      </c>
      <c r="I728" s="289">
        <v>45071</v>
      </c>
      <c r="J728" s="35" t="s">
        <v>932</v>
      </c>
      <c r="K728" s="21">
        <v>2231250</v>
      </c>
      <c r="L728" s="21"/>
      <c r="M728" s="22">
        <f>(PROVEEDORES[[#This Row],[SUBTOTAL]]-PROVEEDORES[[#This Row],[descuento sobre subtotal]])*VLOOKUP(PROVEEDORES[[#This Row],[PROVEEDOR]],TERCEROS_INFO[#All],3,FALSE)</f>
        <v>423937.5</v>
      </c>
      <c r="N728" s="23"/>
      <c r="O728" s="22">
        <f>+PROVEEDORES[[#This Row],[Descuento sobre subtotal %]]*(PROVEEDORES[[#This Row],[SUBTOTAL]]-PROVEEDORES[[#This Row],[descuento sobre subtotal]])</f>
        <v>0</v>
      </c>
      <c r="P728" s="72">
        <f>+IF(PROVEEDORES[[#This Row],[SUBTOTAL]]&lt;PROVEEDORES[[#This Row],[base retencion]],0,PROVEEDORES[[#This Row],[retención aplicada]])</f>
        <v>2.5000000000000001E-2</v>
      </c>
      <c r="Q728" s="22">
        <f>+PROVEEDORES[[#This Row],[Rete Fuente %]]*(PROVEEDORES[[#This Row],[SUBTOTAL]]-PROVEEDORES[[#This Row],[descuento sobre subtotal]])</f>
        <v>55781.25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2599406.25</v>
      </c>
      <c r="S728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1">
        <f ca="1">IF(PROVEEDORES[[#This Row],[FECHA DE PAGO]]=0,TODAY()-PROVEEDORES[[#This Row],[FECHA DE FACTURACIÓN]]-PROVEEDORES[[#This Row],[PLAZO Días]],0)</f>
        <v>0</v>
      </c>
      <c r="U728" s="97" t="str">
        <f>+VLOOKUP(PROVEEDORES[[#This Row],[PROVEEDOR]],Terceros!$A:$D,4,FALSE)</f>
        <v>2,5% con base</v>
      </c>
      <c r="V728" s="98">
        <f>+YEAR(PROVEEDORES[[#This Row],[FECHA DE FACTURACIÓN]])</f>
        <v>2023</v>
      </c>
      <c r="W728" s="98">
        <f>+MATCH(PROVEEDORES[[#This Row],[año facturado]],Retenciones!$1:$1,0)</f>
        <v>6</v>
      </c>
      <c r="X728" s="99">
        <f>+VLOOKUP(PROVEEDORES[[#This Row],[ID RETENCION]],Retenciones!$A$1:$O$25,PROVEEDORES[[#This Row],[indicador de columna]],FALSE)</f>
        <v>1145000</v>
      </c>
      <c r="Y728" s="100">
        <f>+VLOOKUP(PROVEEDORES[[#This Row],[ID RETENCION]],Retenciones!$A$1:$O$25,2,FALSE)</f>
        <v>2.5000000000000001E-2</v>
      </c>
      <c r="Z728" s="103" t="b">
        <f>OR(COUNTIF(PROVEEDORES[[#This Row],[PROVEEDOR]],"*"&amp;'Palabra no opera'!$A$2&amp;"*"))</f>
        <v>0</v>
      </c>
    </row>
    <row r="729" spans="1:26" ht="22.35" customHeight="1" x14ac:dyDescent="0.25">
      <c r="A729" s="205" t="str">
        <f>+IF(PROVEEDORES[[#This Row],[FECHA DE PAGO]]=PROVEEDORES[[#This Row],[FECHA DE FACTURACIÓN]],"DE CONTADO","CRÉDITO")</f>
        <v>CRÉDITO</v>
      </c>
      <c r="B729" s="38" t="str">
        <f>+IF((PROVEEDORES[[#This Row],[FECHA DE PAGO]]-PROVEEDORES[[#This Row],[FECHA DE FACTURACIÓN]])&gt;PROVEEDORES[[#This Row],[PLAZO Días]],"PAGO VENCIDO")</f>
        <v>PAGO VENCIDO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2169355.9580000001</v>
      </c>
      <c r="E729" s="25"/>
      <c r="F72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29" s="289">
        <v>45128</v>
      </c>
      <c r="H729" s="26" t="s">
        <v>18</v>
      </c>
      <c r="I729" s="289">
        <v>45093</v>
      </c>
      <c r="J729" s="35" t="s">
        <v>900</v>
      </c>
      <c r="K729" s="21">
        <v>2002181</v>
      </c>
      <c r="L729" s="21"/>
      <c r="M729" s="22">
        <f>(PROVEEDORES[[#This Row],[SUBTOTAL]]-PROVEEDORES[[#This Row],[descuento sobre subtotal]])*VLOOKUP(PROVEEDORES[[#This Row],[PROVEEDOR]],TERCEROS_INFO[#All],3,FALSE)</f>
        <v>380414.39</v>
      </c>
      <c r="N729" s="23"/>
      <c r="O729" s="22">
        <f>+PROVEEDORES[[#This Row],[Descuento sobre subtotal %]]*(PROVEEDORES[[#This Row],[SUBTOTAL]]-PROVEEDORES[[#This Row],[descuento sobre subtotal]])</f>
        <v>0</v>
      </c>
      <c r="P729" s="72">
        <f>+IF(PROVEEDORES[[#This Row],[SUBTOTAL]]&lt;PROVEEDORES[[#This Row],[base retencion]],0,PROVEEDORES[[#This Row],[retención aplicada]])</f>
        <v>2.5000000000000001E-2</v>
      </c>
      <c r="Q729" s="22">
        <f>+PROVEEDORES[[#This Row],[Rete Fuente %]]*(PROVEEDORES[[#This Row],[SUBTOTAL]]-PROVEEDORES[[#This Row],[descuento sobre subtotal]])</f>
        <v>50054.525000000001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2332540.8650000002</v>
      </c>
      <c r="S729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1">
        <f ca="1">IF(PROVEEDORES[[#This Row],[FECHA DE PAGO]]=0,TODAY()-PROVEEDORES[[#This Row],[FECHA DE FACTURACIÓN]]-PROVEEDORES[[#This Row],[PLAZO Días]],0)</f>
        <v>0</v>
      </c>
      <c r="U729" s="97" t="str">
        <f>+VLOOKUP(PROVEEDORES[[#This Row],[PROVEEDOR]],Terceros!$A:$D,4,FALSE)</f>
        <v>2,5% con base</v>
      </c>
      <c r="V729" s="98">
        <f>+YEAR(PROVEEDORES[[#This Row],[FECHA DE FACTURACIÓN]])</f>
        <v>2023</v>
      </c>
      <c r="W729" s="98">
        <f>+MATCH(PROVEEDORES[[#This Row],[año facturado]],Retenciones!$1:$1,0)</f>
        <v>6</v>
      </c>
      <c r="X729" s="99">
        <f>+VLOOKUP(PROVEEDORES[[#This Row],[ID RETENCION]],Retenciones!$A$1:$O$25,PROVEEDORES[[#This Row],[indicador de columna]],FALSE)</f>
        <v>1145000</v>
      </c>
      <c r="Y729" s="100">
        <f>+VLOOKUP(PROVEEDORES[[#This Row],[ID RETENCION]],Retenciones!$A$1:$O$25,2,FALSE)</f>
        <v>2.5000000000000001E-2</v>
      </c>
      <c r="Z729" s="103" t="b">
        <f>OR(COUNTIF(PROVEEDORES[[#This Row],[PROVEEDOR]],"*"&amp;'Palabra no opera'!$A$2&amp;"*"))</f>
        <v>0</v>
      </c>
    </row>
    <row r="730" spans="1:26" ht="22.35" customHeight="1" x14ac:dyDescent="0.25">
      <c r="A730" s="65" t="str">
        <f>+IF(PROVEEDORES[[#This Row],[FECHA DE PAGO]]=PROVEEDORES[[#This Row],[FECHA DE FACTURACIÓN]],"DE CONTADO","CRÉDITO")</f>
        <v>CRÉDITO</v>
      </c>
      <c r="B730" s="38" t="str">
        <f>+IF((PROVEEDORES[[#This Row],[FECHA DE PAGO]]-PROVEEDORES[[#This Row],[FECHA DE FACTURACIÓN]])&gt;PROVEEDORES[[#This Row],[PLAZO Días]],"PAGO VENCIDO")</f>
        <v>PAGO VENCIDO</v>
      </c>
      <c r="C730" s="20">
        <f>+VLOOKUP(PROVEEDORES[[#This Row],[PROVEEDOR]],TERCEROS_INFO[#All],2,FALSE)</f>
        <v>30</v>
      </c>
      <c r="D730" s="25">
        <f>+SUMIFS(PROVEEDORES[Total],PROVEEDORES[PROVEEDOR],PROVEEDORES[[#This Row],[PROVEEDOR]],PROVEEDORES[FECHA DE PAGO],"")</f>
        <v>2169355.9580000001</v>
      </c>
      <c r="E730" s="25"/>
      <c r="F73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0" s="289">
        <v>45152</v>
      </c>
      <c r="H730" s="26" t="s">
        <v>18</v>
      </c>
      <c r="I730" s="289">
        <v>45105</v>
      </c>
      <c r="J730" s="35" t="s">
        <v>920</v>
      </c>
      <c r="K730" s="21">
        <v>3317231</v>
      </c>
      <c r="L730" s="21"/>
      <c r="M730" s="22">
        <f>(PROVEEDORES[[#This Row],[SUBTOTAL]]-PROVEEDORES[[#This Row],[descuento sobre subtotal]])*VLOOKUP(PROVEEDORES[[#This Row],[PROVEEDOR]],TERCEROS_INFO[#All],3,FALSE)</f>
        <v>630273.89</v>
      </c>
      <c r="N730" s="23"/>
      <c r="O730" s="22">
        <f>+PROVEEDORES[[#This Row],[Descuento sobre subtotal %]]*(PROVEEDORES[[#This Row],[SUBTOTAL]]-PROVEEDORES[[#This Row],[descuento sobre subtotal]])</f>
        <v>0</v>
      </c>
      <c r="P730" s="72">
        <f>+IF(PROVEEDORES[[#This Row],[SUBTOTAL]]&lt;PROVEEDORES[[#This Row],[base retencion]],0,PROVEEDORES[[#This Row],[retención aplicada]])</f>
        <v>2.5000000000000001E-2</v>
      </c>
      <c r="Q730" s="22">
        <f>+PROVEEDORES[[#This Row],[Rete Fuente %]]*(PROVEEDORES[[#This Row],[SUBTOTAL]]-PROVEEDORES[[#This Row],[descuento sobre subtotal]])</f>
        <v>82930.775000000009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3864574.1150000002</v>
      </c>
      <c r="S7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1">
        <f ca="1">IF(PROVEEDORES[[#This Row],[FECHA DE PAGO]]=0,TODAY()-PROVEEDORES[[#This Row],[FECHA DE FACTURACIÓN]]-PROVEEDORES[[#This Row],[PLAZO Días]],0)</f>
        <v>0</v>
      </c>
      <c r="U730" s="97" t="str">
        <f>+VLOOKUP(PROVEEDORES[[#This Row],[PROVEEDOR]],Terceros!$A:$D,4,FALSE)</f>
        <v>2,5% con base</v>
      </c>
      <c r="V730" s="98">
        <f>+YEAR(PROVEEDORES[[#This Row],[FECHA DE FACTURACIÓN]])</f>
        <v>2023</v>
      </c>
      <c r="W730" s="98">
        <f>+MATCH(PROVEEDORES[[#This Row],[año facturado]],Retenciones!$1:$1,0)</f>
        <v>6</v>
      </c>
      <c r="X730" s="99">
        <f>+VLOOKUP(PROVEEDORES[[#This Row],[ID RETENCION]],Retenciones!$A$1:$O$25,PROVEEDORES[[#This Row],[indicador de columna]],FALSE)</f>
        <v>1145000</v>
      </c>
      <c r="Y730" s="100">
        <f>+VLOOKUP(PROVEEDORES[[#This Row],[ID RETENCION]],Retenciones!$A$1:$O$25,2,FALSE)</f>
        <v>2.5000000000000001E-2</v>
      </c>
      <c r="Z730" s="103" t="b">
        <f>OR(COUNTIF(PROVEEDORES[[#This Row],[PROVEEDOR]],"*"&amp;'Palabra no opera'!$A$2&amp;"*"))</f>
        <v>0</v>
      </c>
    </row>
    <row r="731" spans="1:26" ht="22.35" customHeight="1" x14ac:dyDescent="0.25">
      <c r="A731" s="213" t="str">
        <f>+IF(PROVEEDORES[[#This Row],[FECHA DE PAGO]]=PROVEEDORES[[#This Row],[FECHA DE FACTURACIÓN]],"DE CONTADO","CRÉDITO")</f>
        <v>CRÉDITO</v>
      </c>
      <c r="B731" s="38" t="str">
        <f>+IF((PROVEEDORES[[#This Row],[FECHA DE PAGO]]-PROVEEDORES[[#This Row],[FECHA DE FACTURACIÓN]])&gt;PROVEEDORES[[#This Row],[PLAZO Días]],"PAGO VENCIDO")</f>
        <v>PAGO VENCIDO</v>
      </c>
      <c r="C731" s="20">
        <f>+VLOOKUP(PROVEEDORES[[#This Row],[PROVEEDOR]],TERCEROS_INFO[#All],2,FALSE)</f>
        <v>30</v>
      </c>
      <c r="D731" s="25">
        <f>+SUMIFS(PROVEEDORES[Total],PROVEEDORES[PROVEEDOR],PROVEEDORES[[#This Row],[PROVEEDOR]],PROVEEDORES[FECHA DE PAGO],"")</f>
        <v>2169355.9580000001</v>
      </c>
      <c r="E731" s="25"/>
      <c r="F73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1" s="289">
        <v>45189</v>
      </c>
      <c r="H731" s="26" t="s">
        <v>18</v>
      </c>
      <c r="I731" s="289">
        <v>45128</v>
      </c>
      <c r="J731" s="35" t="s">
        <v>956</v>
      </c>
      <c r="K731" s="21">
        <v>3393918</v>
      </c>
      <c r="L731" s="21"/>
      <c r="M731" s="22">
        <f>(PROVEEDORES[[#This Row],[SUBTOTAL]]-PROVEEDORES[[#This Row],[descuento sobre subtotal]])*VLOOKUP(PROVEEDORES[[#This Row],[PROVEEDOR]],TERCEROS_INFO[#All],3,FALSE)</f>
        <v>644844.42000000004</v>
      </c>
      <c r="N731" s="23"/>
      <c r="O731" s="22">
        <f>+PROVEEDORES[[#This Row],[Descuento sobre subtotal %]]*(PROVEEDORES[[#This Row],[SUBTOTAL]]-PROVEEDORES[[#This Row],[descuento sobre subtotal]])</f>
        <v>0</v>
      </c>
      <c r="P731" s="72">
        <f>+IF(PROVEEDORES[[#This Row],[SUBTOTAL]]&lt;PROVEEDORES[[#This Row],[base retencion]],0,PROVEEDORES[[#This Row],[retención aplicada]])</f>
        <v>2.5000000000000001E-2</v>
      </c>
      <c r="Q731" s="22">
        <f>+PROVEEDORES[[#This Row],[Rete Fuente %]]*(PROVEEDORES[[#This Row],[SUBTOTAL]]-PROVEEDORES[[#This Row],[descuento sobre subtotal]])</f>
        <v>84847.950000000012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3953914.4699999997</v>
      </c>
      <c r="S731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1">
        <f ca="1">IF(PROVEEDORES[[#This Row],[FECHA DE PAGO]]=0,TODAY()-PROVEEDORES[[#This Row],[FECHA DE FACTURACIÓN]]-PROVEEDORES[[#This Row],[PLAZO Días]],0)</f>
        <v>0</v>
      </c>
      <c r="U731" s="97" t="str">
        <f>+VLOOKUP(PROVEEDORES[[#This Row],[PROVEEDOR]],Terceros!$A:$D,4,FALSE)</f>
        <v>2,5% con base</v>
      </c>
      <c r="V731" s="98">
        <f>+YEAR(PROVEEDORES[[#This Row],[FECHA DE FACTURACIÓN]])</f>
        <v>2023</v>
      </c>
      <c r="W731" s="98">
        <f>+MATCH(PROVEEDORES[[#This Row],[año facturado]],Retenciones!$1:$1,0)</f>
        <v>6</v>
      </c>
      <c r="X731" s="99">
        <f>+VLOOKUP(PROVEEDORES[[#This Row],[ID RETENCION]],Retenciones!$A$1:$O$25,PROVEEDORES[[#This Row],[indicador de columna]],FALSE)</f>
        <v>1145000</v>
      </c>
      <c r="Y731" s="100">
        <f>+VLOOKUP(PROVEEDORES[[#This Row],[ID RETENCION]],Retenciones!$A$1:$O$25,2,FALSE)</f>
        <v>2.5000000000000001E-2</v>
      </c>
      <c r="Z731" s="103" t="b">
        <f>OR(COUNTIF(PROVEEDORES[[#This Row],[PROVEEDOR]],"*"&amp;'Palabra no opera'!$A$2&amp;"*"))</f>
        <v>0</v>
      </c>
    </row>
    <row r="732" spans="1:26" ht="22.35" customHeight="1" x14ac:dyDescent="0.25">
      <c r="A732" s="65" t="str">
        <f>+IF(PROVEEDORES[[#This Row],[FECHA DE PAGO]]=PROVEEDORES[[#This Row],[FECHA DE FACTURACIÓN]],"DE CONTADO","CRÉDITO")</f>
        <v>CRÉDITO</v>
      </c>
      <c r="B732" s="38" t="str">
        <f>+IF((PROVEEDORES[[#This Row],[FECHA DE PAGO]]-PROVEEDORES[[#This Row],[FECHA DE FACTURACIÓN]])&gt;PROVEEDORES[[#This Row],[PLAZO Días]],"PAGO VENCIDO")</f>
        <v>PAGO VENCIDO</v>
      </c>
      <c r="C732" s="20">
        <f>+VLOOKUP(PROVEEDORES[[#This Row],[PROVEEDOR]],TERCEROS_INFO[#All],2,FALSE)</f>
        <v>30</v>
      </c>
      <c r="D732" s="25">
        <f>+SUMIFS(PROVEEDORES[Total],PROVEEDORES[PROVEEDOR],PROVEEDORES[[#This Row],[PROVEEDOR]],PROVEEDORES[FECHA DE PAGO],"")</f>
        <v>2169355.9580000001</v>
      </c>
      <c r="E732" s="25"/>
      <c r="F73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2" s="289">
        <v>45189</v>
      </c>
      <c r="H732" s="26" t="s">
        <v>18</v>
      </c>
      <c r="I732" s="289">
        <v>45134</v>
      </c>
      <c r="J732" s="35" t="s">
        <v>1082</v>
      </c>
      <c r="K732" s="21">
        <v>8431200</v>
      </c>
      <c r="L732" s="21"/>
      <c r="M732" s="22">
        <f>(PROVEEDORES[[#This Row],[SUBTOTAL]]-PROVEEDORES[[#This Row],[descuento sobre subtotal]])*VLOOKUP(PROVEEDORES[[#This Row],[PROVEEDOR]],TERCEROS_INFO[#All],3,FALSE)</f>
        <v>1601928</v>
      </c>
      <c r="N732" s="23"/>
      <c r="O732" s="22">
        <f>+PROVEEDORES[[#This Row],[Descuento sobre subtotal %]]*(PROVEEDORES[[#This Row],[SUBTOTAL]]-PROVEEDORES[[#This Row],[descuento sobre subtotal]])</f>
        <v>0</v>
      </c>
      <c r="P732" s="72">
        <f>+IF(PROVEEDORES[[#This Row],[SUBTOTAL]]&lt;PROVEEDORES[[#This Row],[base retencion]],0,PROVEEDORES[[#This Row],[retención aplicada]])</f>
        <v>2.5000000000000001E-2</v>
      </c>
      <c r="Q732" s="22">
        <f>+PROVEEDORES[[#This Row],[Rete Fuente %]]*(PROVEEDORES[[#This Row],[SUBTOTAL]]-PROVEEDORES[[#This Row],[descuento sobre subtotal]])</f>
        <v>210780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9822348</v>
      </c>
      <c r="S7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1">
        <f ca="1">IF(PROVEEDORES[[#This Row],[FECHA DE PAGO]]=0,TODAY()-PROVEEDORES[[#This Row],[FECHA DE FACTURACIÓN]]-PROVEEDORES[[#This Row],[PLAZO Días]],0)</f>
        <v>0</v>
      </c>
      <c r="U732" s="97" t="str">
        <f>+VLOOKUP(PROVEEDORES[[#This Row],[PROVEEDOR]],Terceros!$A:$D,4,FALSE)</f>
        <v>2,5% con base</v>
      </c>
      <c r="V732" s="98">
        <f>+YEAR(PROVEEDORES[[#This Row],[FECHA DE FACTURACIÓN]])</f>
        <v>2023</v>
      </c>
      <c r="W732" s="98">
        <f>+MATCH(PROVEEDORES[[#This Row],[año facturado]],Retenciones!$1:$1,0)</f>
        <v>6</v>
      </c>
      <c r="X732" s="99">
        <f>+VLOOKUP(PROVEEDORES[[#This Row],[ID RETENCION]],Retenciones!$A$1:$O$25,PROVEEDORES[[#This Row],[indicador de columna]],FALSE)</f>
        <v>1145000</v>
      </c>
      <c r="Y732" s="100">
        <f>+VLOOKUP(PROVEEDORES[[#This Row],[ID RETENCION]],Retenciones!$A$1:$O$25,2,FALSE)</f>
        <v>2.5000000000000001E-2</v>
      </c>
      <c r="Z732" s="103" t="b">
        <f>OR(COUNTIF(PROVEEDORES[[#This Row],[PROVEEDOR]],"*"&amp;'Palabra no opera'!$A$2&amp;"*"))</f>
        <v>0</v>
      </c>
    </row>
    <row r="733" spans="1:26" ht="22.35" customHeight="1" x14ac:dyDescent="0.25">
      <c r="A733" s="65" t="str">
        <f>+IF(PROVEEDORES[[#This Row],[FECHA DE PAGO]]=PROVEEDORES[[#This Row],[FECHA DE FACTURACIÓN]],"DE CONTADO","CRÉDITO")</f>
        <v>CRÉDITO</v>
      </c>
      <c r="B733" s="38" t="str">
        <f>+IF((PROVEEDORES[[#This Row],[FECHA DE PAGO]]-PROVEEDORES[[#This Row],[FECHA DE FACTURACIÓN]])&gt;PROVEEDORES[[#This Row],[PLAZO Días]],"PAGO VENCIDO")</f>
        <v>PAGO VENCIDO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2169355.9580000001</v>
      </c>
      <c r="E733" s="25"/>
      <c r="F73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3" s="289">
        <v>45208</v>
      </c>
      <c r="H733" s="26" t="s">
        <v>18</v>
      </c>
      <c r="I733" s="289">
        <v>45146</v>
      </c>
      <c r="J733" s="35" t="s">
        <v>1015</v>
      </c>
      <c r="K733" s="21">
        <v>2539374</v>
      </c>
      <c r="L733" s="21"/>
      <c r="M733" s="22">
        <f>(PROVEEDORES[[#This Row],[SUBTOTAL]]-PROVEEDORES[[#This Row],[descuento sobre subtotal]])*VLOOKUP(PROVEEDORES[[#This Row],[PROVEEDOR]],TERCEROS_INFO[#All],3,FALSE)</f>
        <v>482481.06</v>
      </c>
      <c r="N733" s="23"/>
      <c r="O733" s="22">
        <f>+PROVEEDORES[[#This Row],[Descuento sobre subtotal %]]*(PROVEEDORES[[#This Row],[SUBTOTAL]]-PROVEEDORES[[#This Row],[descuento sobre subtotal]])</f>
        <v>0</v>
      </c>
      <c r="P733" s="72">
        <f>+IF(PROVEEDORES[[#This Row],[SUBTOTAL]]&lt;PROVEEDORES[[#This Row],[base retencion]],0,PROVEEDORES[[#This Row],[retención aplicada]])</f>
        <v>2.5000000000000001E-2</v>
      </c>
      <c r="Q733" s="22">
        <f>+PROVEEDORES[[#This Row],[Rete Fuente %]]*(PROVEEDORES[[#This Row],[SUBTOTAL]]-PROVEEDORES[[#This Row],[descuento sobre subtotal]])</f>
        <v>63484.350000000006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2958370.71</v>
      </c>
      <c r="S7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1">
        <f ca="1">IF(PROVEEDORES[[#This Row],[FECHA DE PAGO]]=0,TODAY()-PROVEEDORES[[#This Row],[FECHA DE FACTURACIÓN]]-PROVEEDORES[[#This Row],[PLAZO Días]],0)</f>
        <v>0</v>
      </c>
      <c r="U733" s="97" t="str">
        <f>+VLOOKUP(PROVEEDORES[[#This Row],[PROVEEDOR]],Terceros!$A:$D,4,FALSE)</f>
        <v>2,5% con base</v>
      </c>
      <c r="V733" s="98">
        <f>+YEAR(PROVEEDORES[[#This Row],[FECHA DE FACTURACIÓN]])</f>
        <v>2023</v>
      </c>
      <c r="W733" s="98">
        <f>+MATCH(PROVEEDORES[[#This Row],[año facturado]],Retenciones!$1:$1,0)</f>
        <v>6</v>
      </c>
      <c r="X733" s="99">
        <f>+VLOOKUP(PROVEEDORES[[#This Row],[ID RETENCION]],Retenciones!$A$1:$O$25,PROVEEDORES[[#This Row],[indicador de columna]],FALSE)</f>
        <v>1145000</v>
      </c>
      <c r="Y733" s="100">
        <f>+VLOOKUP(PROVEEDORES[[#This Row],[ID RETENCION]],Retenciones!$A$1:$O$25,2,FALSE)</f>
        <v>2.5000000000000001E-2</v>
      </c>
      <c r="Z733" s="103" t="b">
        <f>OR(COUNTIF(PROVEEDORES[[#This Row],[PROVEEDOR]],"*"&amp;'Palabra no opera'!$A$2&amp;"*"))</f>
        <v>0</v>
      </c>
    </row>
    <row r="734" spans="1:26" ht="22.35" customHeight="1" x14ac:dyDescent="0.25">
      <c r="A734" s="65" t="str">
        <f>+IF(PROVEEDORES[[#This Row],[FECHA DE PAGO]]=PROVEEDORES[[#This Row],[FECHA DE FACTURACIÓN]],"DE CONTADO","CRÉDITO")</f>
        <v>CRÉDITO</v>
      </c>
      <c r="B734" s="38" t="str">
        <f>+IF((PROVEEDORES[[#This Row],[FECHA DE PAGO]]-PROVEEDORES[[#This Row],[FECHA DE FACTURACIÓN]])&gt;PROVEEDORES[[#This Row],[PLAZO Días]],"PAGO VENCIDO")</f>
        <v>PAGO VENCIDO</v>
      </c>
      <c r="C734" s="20">
        <f>+VLOOKUP(PROVEEDORES[[#This Row],[PROVEEDOR]],TERCEROS_INFO[#All],2,FALSE)</f>
        <v>30</v>
      </c>
      <c r="D734" s="25">
        <f>+SUMIFS(PROVEEDORES[Total],PROVEEDORES[PROVEEDOR],PROVEEDORES[[#This Row],[PROVEEDOR]],PROVEEDORES[FECHA DE PAGO],"")</f>
        <v>2169355.9580000001</v>
      </c>
      <c r="E734" s="25"/>
      <c r="F73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4" s="289">
        <v>45208</v>
      </c>
      <c r="H734" s="26" t="s">
        <v>18</v>
      </c>
      <c r="I734" s="289">
        <v>45153</v>
      </c>
      <c r="J734" s="35" t="s">
        <v>1051</v>
      </c>
      <c r="K734" s="21">
        <v>3257262</v>
      </c>
      <c r="L734" s="21"/>
      <c r="M734" s="22">
        <f>(PROVEEDORES[[#This Row],[SUBTOTAL]]-PROVEEDORES[[#This Row],[descuento sobre subtotal]])*VLOOKUP(PROVEEDORES[[#This Row],[PROVEEDOR]],TERCEROS_INFO[#All],3,FALSE)</f>
        <v>618879.78</v>
      </c>
      <c r="N734" s="23"/>
      <c r="O734" s="22">
        <f>+PROVEEDORES[[#This Row],[Descuento sobre subtotal %]]*(PROVEEDORES[[#This Row],[SUBTOTAL]]-PROVEEDORES[[#This Row],[descuento sobre subtotal]])</f>
        <v>0</v>
      </c>
      <c r="P734" s="72">
        <f>+IF(PROVEEDORES[[#This Row],[SUBTOTAL]]&lt;PROVEEDORES[[#This Row],[base retencion]],0,PROVEEDORES[[#This Row],[retención aplicada]])</f>
        <v>2.5000000000000001E-2</v>
      </c>
      <c r="Q734" s="22">
        <f>+PROVEEDORES[[#This Row],[Rete Fuente %]]*(PROVEEDORES[[#This Row],[SUBTOTAL]]-PROVEEDORES[[#This Row],[descuento sobre subtotal]])</f>
        <v>81431.55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3794710.2300000004</v>
      </c>
      <c r="S7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1">
        <f ca="1">IF(PROVEEDORES[[#This Row],[FECHA DE PAGO]]=0,TODAY()-PROVEEDORES[[#This Row],[FECHA DE FACTURACIÓN]]-PROVEEDORES[[#This Row],[PLAZO Días]],0)</f>
        <v>0</v>
      </c>
      <c r="U734" s="97" t="str">
        <f>+VLOOKUP(PROVEEDORES[[#This Row],[PROVEEDOR]],Terceros!$A:$D,4,FALSE)</f>
        <v>2,5% con base</v>
      </c>
      <c r="V734" s="98">
        <f>+YEAR(PROVEEDORES[[#This Row],[FECHA DE FACTURACIÓN]])</f>
        <v>2023</v>
      </c>
      <c r="W734" s="98">
        <f>+MATCH(PROVEEDORES[[#This Row],[año facturado]],Retenciones!$1:$1,0)</f>
        <v>6</v>
      </c>
      <c r="X734" s="99">
        <f>+VLOOKUP(PROVEEDORES[[#This Row],[ID RETENCION]],Retenciones!$A$1:$O$25,PROVEEDORES[[#This Row],[indicador de columna]],FALSE)</f>
        <v>1145000</v>
      </c>
      <c r="Y734" s="100">
        <f>+VLOOKUP(PROVEEDORES[[#This Row],[ID RETENCION]],Retenciones!$A$1:$O$25,2,FALSE)</f>
        <v>2.5000000000000001E-2</v>
      </c>
      <c r="Z734" s="103" t="b">
        <f>OR(COUNTIF(PROVEEDORES[[#This Row],[PROVEEDOR]],"*"&amp;'Palabra no opera'!$A$2&amp;"*"))</f>
        <v>0</v>
      </c>
    </row>
    <row r="735" spans="1:26" ht="22.35" customHeight="1" x14ac:dyDescent="0.25">
      <c r="A735" s="65" t="str">
        <f>+IF(PROVEEDORES[[#This Row],[FECHA DE PAGO]]=PROVEEDORES[[#This Row],[FECHA DE FACTURACIÓN]],"DE CONTADO","CRÉDITO")</f>
        <v>CRÉDITO</v>
      </c>
      <c r="B735" s="38" t="str">
        <f>+IF((PROVEEDORES[[#This Row],[FECHA DE PAGO]]-PROVEEDORES[[#This Row],[FECHA DE FACTURACIÓN]])&gt;PROVEEDORES[[#This Row],[PLAZO Días]],"PAGO VENCIDO")</f>
        <v>PAGO VENCIDO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2169355.9580000001</v>
      </c>
      <c r="E735" s="25"/>
      <c r="F73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5" s="289">
        <v>45208</v>
      </c>
      <c r="H735" s="26" t="s">
        <v>18</v>
      </c>
      <c r="I735" s="289">
        <v>45161</v>
      </c>
      <c r="J735" s="35" t="s">
        <v>1052</v>
      </c>
      <c r="K735" s="21">
        <v>1809303</v>
      </c>
      <c r="L735" s="21"/>
      <c r="M735" s="22">
        <f>(PROVEEDORES[[#This Row],[SUBTOTAL]]-PROVEEDORES[[#This Row],[descuento sobre subtotal]])*VLOOKUP(PROVEEDORES[[#This Row],[PROVEEDOR]],TERCEROS_INFO[#All],3,FALSE)</f>
        <v>343767.57</v>
      </c>
      <c r="N735" s="23"/>
      <c r="O735" s="22">
        <f>+PROVEEDORES[[#This Row],[Descuento sobre subtotal %]]*(PROVEEDORES[[#This Row],[SUBTOTAL]]-PROVEEDORES[[#This Row],[descuento sobre subtotal]])</f>
        <v>0</v>
      </c>
      <c r="P735" s="72">
        <f>+IF(PROVEEDORES[[#This Row],[SUBTOTAL]]&lt;PROVEEDORES[[#This Row],[base retencion]],0,PROVEEDORES[[#This Row],[retención aplicada]])</f>
        <v>2.5000000000000001E-2</v>
      </c>
      <c r="Q735" s="22">
        <f>+PROVEEDORES[[#This Row],[Rete Fuente %]]*(PROVEEDORES[[#This Row],[SUBTOTAL]]-PROVEEDORES[[#This Row],[descuento sobre subtotal]])</f>
        <v>45232.575000000004</v>
      </c>
      <c r="R735" s="21">
        <f>+PROVEEDORES[[#This Row],[SUBTOTAL]]+PROVEEDORES[[#This Row],[IVA 19%]]-PROVEEDORES[[#This Row],[descuento sobre subtotal]]-PROVEEDORES[[#This Row],[Descuento sobre subtotal $2]]-PROVEEDORES[[#This Row],[Rete Fuente $]]</f>
        <v>2107837.9949999996</v>
      </c>
      <c r="S7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1">
        <f ca="1">IF(PROVEEDORES[[#This Row],[FECHA DE PAGO]]=0,TODAY()-PROVEEDORES[[#This Row],[FECHA DE FACTURACIÓN]]-PROVEEDORES[[#This Row],[PLAZO Días]],0)</f>
        <v>0</v>
      </c>
      <c r="U735" s="97" t="str">
        <f>+VLOOKUP(PROVEEDORES[[#This Row],[PROVEEDOR]],Terceros!$A:$D,4,FALSE)</f>
        <v>2,5% con base</v>
      </c>
      <c r="V735" s="98">
        <f>+YEAR(PROVEEDORES[[#This Row],[FECHA DE FACTURACIÓN]])</f>
        <v>2023</v>
      </c>
      <c r="W735" s="98">
        <f>+MATCH(PROVEEDORES[[#This Row],[año facturado]],Retenciones!$1:$1,0)</f>
        <v>6</v>
      </c>
      <c r="X735" s="99">
        <f>+VLOOKUP(PROVEEDORES[[#This Row],[ID RETENCION]],Retenciones!$A$1:$O$25,PROVEEDORES[[#This Row],[indicador de columna]],FALSE)</f>
        <v>1145000</v>
      </c>
      <c r="Y735" s="100">
        <f>+VLOOKUP(PROVEEDORES[[#This Row],[ID RETENCION]],Retenciones!$A$1:$O$25,2,FALSE)</f>
        <v>2.5000000000000001E-2</v>
      </c>
      <c r="Z735" s="103" t="b">
        <f>OR(COUNTIF(PROVEEDORES[[#This Row],[PROVEEDOR]],"*"&amp;'Palabra no opera'!$A$2&amp;"*"))</f>
        <v>0</v>
      </c>
    </row>
    <row r="736" spans="1:26" ht="22.35" customHeight="1" x14ac:dyDescent="0.25">
      <c r="A736" s="229" t="str">
        <f>+IF(PROVEEDORES[[#This Row],[FECHA DE PAGO]]=PROVEEDORES[[#This Row],[FECHA DE FACTURACIÓN]],"DE CONTADO","CRÉDITO")</f>
        <v>CRÉDITO</v>
      </c>
      <c r="B736" s="38" t="str">
        <f>+IF((PROVEEDORES[[#This Row],[FECHA DE PAGO]]-PROVEEDORES[[#This Row],[FECHA DE FACTURACIÓN]])&gt;PROVEEDORES[[#This Row],[PLAZO Días]],"PAGO VENCIDO")</f>
        <v>PAGO VENCIDO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2169355.9580000001</v>
      </c>
      <c r="E736" s="25"/>
      <c r="F73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6" s="289">
        <v>45208</v>
      </c>
      <c r="H736" s="26" t="s">
        <v>18</v>
      </c>
      <c r="I736" s="289">
        <v>45168</v>
      </c>
      <c r="J736" s="35" t="s">
        <v>1073</v>
      </c>
      <c r="K736" s="21">
        <v>1507927</v>
      </c>
      <c r="L736" s="21"/>
      <c r="M736" s="22">
        <f>(PROVEEDORES[[#This Row],[SUBTOTAL]]-PROVEEDORES[[#This Row],[descuento sobre subtotal]])*VLOOKUP(PROVEEDORES[[#This Row],[PROVEEDOR]],TERCEROS_INFO[#All],3,FALSE)</f>
        <v>286506.13</v>
      </c>
      <c r="N736" s="23"/>
      <c r="O736" s="22">
        <f>+PROVEEDORES[[#This Row],[Descuento sobre subtotal %]]*(PROVEEDORES[[#This Row],[SUBTOTAL]]-PROVEEDORES[[#This Row],[descuento sobre subtotal]])</f>
        <v>0</v>
      </c>
      <c r="P736" s="72">
        <f>+IF(PROVEEDORES[[#This Row],[SUBTOTAL]]&lt;PROVEEDORES[[#This Row],[base retencion]],0,PROVEEDORES[[#This Row],[retención aplicada]])</f>
        <v>2.5000000000000001E-2</v>
      </c>
      <c r="Q736" s="22">
        <f>+PROVEEDORES[[#This Row],[Rete Fuente %]]*(PROVEEDORES[[#This Row],[SUBTOTAL]]-PROVEEDORES[[#This Row],[descuento sobre subtotal]])</f>
        <v>37698.175000000003</v>
      </c>
      <c r="R736" s="21">
        <f>+PROVEEDORES[[#This Row],[SUBTOTAL]]+PROVEEDORES[[#This Row],[IVA 19%]]-PROVEEDORES[[#This Row],[descuento sobre subtotal]]-PROVEEDORES[[#This Row],[Descuento sobre subtotal $2]]-PROVEEDORES[[#This Row],[Rete Fuente $]]</f>
        <v>1756734.9549999998</v>
      </c>
      <c r="S73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1">
        <f ca="1">IF(PROVEEDORES[[#This Row],[FECHA DE PAGO]]=0,TODAY()-PROVEEDORES[[#This Row],[FECHA DE FACTURACIÓN]]-PROVEEDORES[[#This Row],[PLAZO Días]],0)</f>
        <v>0</v>
      </c>
      <c r="U736" s="97" t="str">
        <f>+VLOOKUP(PROVEEDORES[[#This Row],[PROVEEDOR]],Terceros!$A:$D,4,FALSE)</f>
        <v>2,5% con base</v>
      </c>
      <c r="V736" s="98">
        <f>+YEAR(PROVEEDORES[[#This Row],[FECHA DE FACTURACIÓN]])</f>
        <v>2023</v>
      </c>
      <c r="W736" s="98">
        <f>+MATCH(PROVEEDORES[[#This Row],[año facturado]],Retenciones!$1:$1,0)</f>
        <v>6</v>
      </c>
      <c r="X736" s="99">
        <f>+VLOOKUP(PROVEEDORES[[#This Row],[ID RETENCION]],Retenciones!$A$1:$O$25,PROVEEDORES[[#This Row],[indicador de columna]],FALSE)</f>
        <v>1145000</v>
      </c>
      <c r="Y736" s="100">
        <f>+VLOOKUP(PROVEEDORES[[#This Row],[ID RETENCION]],Retenciones!$A$1:$O$25,2,FALSE)</f>
        <v>2.5000000000000001E-2</v>
      </c>
      <c r="Z736" s="103" t="b">
        <f>OR(COUNTIF(PROVEEDORES[[#This Row],[PROVEEDOR]],"*"&amp;'Palabra no opera'!$A$2&amp;"*"))</f>
        <v>0</v>
      </c>
    </row>
    <row r="737" spans="1:26" ht="22.35" customHeight="1" x14ac:dyDescent="0.25">
      <c r="A737" s="229" t="str">
        <f>+IF(PROVEEDORES[[#This Row],[FECHA DE PAGO]]=PROVEEDORES[[#This Row],[FECHA DE FACTURACIÓN]],"DE CONTADO","CRÉDITO")</f>
        <v>CRÉDITO</v>
      </c>
      <c r="B737" s="38" t="str">
        <f>+IF((PROVEEDORES[[#This Row],[FECHA DE PAGO]]-PROVEEDORES[[#This Row],[FECHA DE FACTURACIÓN]])&gt;PROVEEDORES[[#This Row],[PLAZO Días]],"PAGO VENCIDO")</f>
        <v>PAGO VENCIDO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2169355.9580000001</v>
      </c>
      <c r="E737" s="25"/>
      <c r="F73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7" s="289">
        <v>45208</v>
      </c>
      <c r="H737" s="26" t="s">
        <v>18</v>
      </c>
      <c r="I737" s="289">
        <v>45169</v>
      </c>
      <c r="J737" s="35" t="s">
        <v>1072</v>
      </c>
      <c r="K737" s="21">
        <v>825295</v>
      </c>
      <c r="L737" s="21"/>
      <c r="M737" s="22">
        <f>(PROVEEDORES[[#This Row],[SUBTOTAL]]-PROVEEDORES[[#This Row],[descuento sobre subtotal]])*VLOOKUP(PROVEEDORES[[#This Row],[PROVEEDOR]],TERCEROS_INFO[#All],3,FALSE)</f>
        <v>156806.04999999999</v>
      </c>
      <c r="N737" s="23"/>
      <c r="O737" s="22">
        <f>+PROVEEDORES[[#This Row],[Descuento sobre subtotal %]]*(PROVEEDORES[[#This Row],[SUBTOTAL]]-PROVEEDORES[[#This Row],[descuento sobre subtotal]])</f>
        <v>0</v>
      </c>
      <c r="P737" s="72">
        <f>+IF(PROVEEDORES[[#This Row],[SUBTOTAL]]&lt;PROVEEDORES[[#This Row],[base retencion]],0,PROVEEDORES[[#This Row],[retención aplicada]])</f>
        <v>0</v>
      </c>
      <c r="Q737" s="22">
        <f>+PROVEEDORES[[#This Row],[Rete Fuente %]]*(PROVEEDORES[[#This Row],[SUBTOTAL]]-PROVEEDORES[[#This Row],[descuento sobre subtotal]])</f>
        <v>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982101.05</v>
      </c>
      <c r="S737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1">
        <f ca="1">IF(PROVEEDORES[[#This Row],[FECHA DE PAGO]]=0,TODAY()-PROVEEDORES[[#This Row],[FECHA DE FACTURACIÓN]]-PROVEEDORES[[#This Row],[PLAZO Días]],0)</f>
        <v>0</v>
      </c>
      <c r="U737" s="97" t="str">
        <f>+VLOOKUP(PROVEEDORES[[#This Row],[PROVEEDOR]],Terceros!$A:$D,4,FALSE)</f>
        <v>2,5% con base</v>
      </c>
      <c r="V737" s="98">
        <f>+YEAR(PROVEEDORES[[#This Row],[FECHA DE FACTURACIÓN]])</f>
        <v>2023</v>
      </c>
      <c r="W737" s="98">
        <f>+MATCH(PROVEEDORES[[#This Row],[año facturado]],Retenciones!$1:$1,0)</f>
        <v>6</v>
      </c>
      <c r="X737" s="99">
        <f>+VLOOKUP(PROVEEDORES[[#This Row],[ID RETENCION]],Retenciones!$A$1:$O$25,PROVEEDORES[[#This Row],[indicador de columna]],FALSE)</f>
        <v>1145000</v>
      </c>
      <c r="Y737" s="100">
        <f>+VLOOKUP(PROVEEDORES[[#This Row],[ID RETENCION]],Retenciones!$A$1:$O$25,2,FALSE)</f>
        <v>2.5000000000000001E-2</v>
      </c>
      <c r="Z737" s="103" t="b">
        <f>OR(COUNTIF(PROVEEDORES[[#This Row],[PROVEEDOR]],"*"&amp;'Palabra no opera'!$A$2&amp;"*"))</f>
        <v>0</v>
      </c>
    </row>
    <row r="738" spans="1:26" ht="22.35" customHeight="1" x14ac:dyDescent="0.25">
      <c r="A738" s="65" t="str">
        <f>+IF(PROVEEDORES[[#This Row],[FECHA DE PAGO]]=PROVEEDORES[[#This Row],[FECHA DE FACTURACIÓN]],"DE CONTADO","CRÉDITO")</f>
        <v>CRÉDITO</v>
      </c>
      <c r="B738" s="38" t="str">
        <f>+IF((PROVEEDORES[[#This Row],[FECHA DE PAGO]]-PROVEEDORES[[#This Row],[FECHA DE FACTURACIÓN]])&gt;PROVEEDORES[[#This Row],[PLAZO Días]],"PAGO VENCIDO")</f>
        <v>PAGO VENCIDO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2169355.9580000001</v>
      </c>
      <c r="E738" s="25"/>
      <c r="F73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8" s="289">
        <v>45208</v>
      </c>
      <c r="H738" s="26" t="s">
        <v>18</v>
      </c>
      <c r="I738" s="289">
        <v>45175</v>
      </c>
      <c r="J738" s="35" t="s">
        <v>1115</v>
      </c>
      <c r="K738" s="21">
        <v>884468</v>
      </c>
      <c r="L738" s="21"/>
      <c r="M738" s="22">
        <f>(PROVEEDORES[[#This Row],[SUBTOTAL]]-PROVEEDORES[[#This Row],[descuento sobre subtotal]])*VLOOKUP(PROVEEDORES[[#This Row],[PROVEEDOR]],TERCEROS_INFO[#All],3,FALSE)</f>
        <v>168048.92</v>
      </c>
      <c r="N738" s="23"/>
      <c r="O738" s="22">
        <f>+PROVEEDORES[[#This Row],[Descuento sobre subtotal %]]*(PROVEEDORES[[#This Row],[SUBTOTAL]]-PROVEEDORES[[#This Row],[descuento sobre subtotal]])</f>
        <v>0</v>
      </c>
      <c r="P738" s="72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1052516.92</v>
      </c>
      <c r="S7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1">
        <f ca="1">IF(PROVEEDORES[[#This Row],[FECHA DE PAGO]]=0,TODAY()-PROVEEDORES[[#This Row],[FECHA DE FACTURACIÓN]]-PROVEEDORES[[#This Row],[PLAZO Días]],0)</f>
        <v>0</v>
      </c>
      <c r="U738" s="97" t="str">
        <f>+VLOOKUP(PROVEEDORES[[#This Row],[PROVEEDOR]],Terceros!$A:$D,4,FALSE)</f>
        <v>2,5% con base</v>
      </c>
      <c r="V738" s="98">
        <f>+YEAR(PROVEEDORES[[#This Row],[FECHA DE FACTURACIÓN]])</f>
        <v>2023</v>
      </c>
      <c r="W738" s="98">
        <f>+MATCH(PROVEEDORES[[#This Row],[año facturado]],Retenciones!$1:$1,0)</f>
        <v>6</v>
      </c>
      <c r="X738" s="99">
        <f>+VLOOKUP(PROVEEDORES[[#This Row],[ID RETENCION]],Retenciones!$A$1:$O$25,PROVEEDORES[[#This Row],[indicador de columna]],FALSE)</f>
        <v>1145000</v>
      </c>
      <c r="Y738" s="100">
        <f>+VLOOKUP(PROVEEDORES[[#This Row],[ID RETENCION]],Retenciones!$A$1:$O$25,2,FALSE)</f>
        <v>2.5000000000000001E-2</v>
      </c>
      <c r="Z738" s="103" t="b">
        <f>OR(COUNTIF(PROVEEDORES[[#This Row],[PROVEEDOR]],"*"&amp;'Palabra no opera'!$A$2&amp;"*"))</f>
        <v>0</v>
      </c>
    </row>
    <row r="739" spans="1:26" ht="22.35" customHeight="1" x14ac:dyDescent="0.25">
      <c r="A739" s="65" t="str">
        <f>+IF(PROVEEDORES[[#This Row],[FECHA DE PAGO]]=PROVEEDORES[[#This Row],[FECHA DE FACTURACIÓN]],"DE CONTADO","CRÉDITO")</f>
        <v>CRÉDITO</v>
      </c>
      <c r="B739" s="38" t="str">
        <f>+IF((PROVEEDORES[[#This Row],[FECHA DE PAGO]]-PROVEEDORES[[#This Row],[FECHA DE FACTURACIÓN]])&gt;PROVEEDORES[[#This Row],[PLAZO Días]],"PAGO VENCIDO")</f>
        <v>PAGO VENCIDO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2169355.9580000001</v>
      </c>
      <c r="E739" s="25"/>
      <c r="F73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39" s="289">
        <v>45239</v>
      </c>
      <c r="H739" s="26" t="s">
        <v>18</v>
      </c>
      <c r="I739" s="289">
        <v>45190</v>
      </c>
      <c r="J739" s="35" t="s">
        <v>1116</v>
      </c>
      <c r="K739" s="21">
        <v>804018</v>
      </c>
      <c r="L739" s="21"/>
      <c r="M739" s="22">
        <f>(PROVEEDORES[[#This Row],[SUBTOTAL]]-PROVEEDORES[[#This Row],[descuento sobre subtotal]])*VLOOKUP(PROVEEDORES[[#This Row],[PROVEEDOR]],TERCEROS_INFO[#All],3,FALSE)</f>
        <v>152763.42000000001</v>
      </c>
      <c r="N739" s="23"/>
      <c r="O739" s="22">
        <f>+PROVEEDORES[[#This Row],[Descuento sobre subtotal %]]*(PROVEEDORES[[#This Row],[SUBTOTAL]]-PROVEEDORES[[#This Row],[descuento sobre subtotal]])</f>
        <v>0</v>
      </c>
      <c r="P739" s="72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f>+PROVEEDORES[[#This Row],[SUBTOTAL]]+PROVEEDORES[[#This Row],[IVA 19%]]-PROVEEDORES[[#This Row],[descuento sobre subtotal]]-PROVEEDORES[[#This Row],[Descuento sobre subtotal $2]]-PROVEEDORES[[#This Row],[Rete Fuente $]]</f>
        <v>956781.42</v>
      </c>
      <c r="S7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1">
        <f ca="1">IF(PROVEEDORES[[#This Row],[FECHA DE PAGO]]=0,TODAY()-PROVEEDORES[[#This Row],[FECHA DE FACTURACIÓN]]-PROVEEDORES[[#This Row],[PLAZO Días]],0)</f>
        <v>0</v>
      </c>
      <c r="U739" s="97" t="str">
        <f>+VLOOKUP(PROVEEDORES[[#This Row],[PROVEEDOR]],Terceros!$A:$D,4,FALSE)</f>
        <v>2,5% con base</v>
      </c>
      <c r="V739" s="98">
        <f>+YEAR(PROVEEDORES[[#This Row],[FECHA DE FACTURACIÓN]])</f>
        <v>2023</v>
      </c>
      <c r="W739" s="98">
        <f>+MATCH(PROVEEDORES[[#This Row],[año facturado]],Retenciones!$1:$1,0)</f>
        <v>6</v>
      </c>
      <c r="X739" s="99">
        <f>+VLOOKUP(PROVEEDORES[[#This Row],[ID RETENCION]],Retenciones!$A$1:$O$25,PROVEEDORES[[#This Row],[indicador de columna]],FALSE)</f>
        <v>1145000</v>
      </c>
      <c r="Y739" s="100">
        <f>+VLOOKUP(PROVEEDORES[[#This Row],[ID RETENCION]],Retenciones!$A$1:$O$25,2,FALSE)</f>
        <v>2.5000000000000001E-2</v>
      </c>
      <c r="Z739" s="103" t="b">
        <f>OR(COUNTIF(PROVEEDORES[[#This Row],[PROVEEDOR]],"*"&amp;'Palabra no opera'!$A$2&amp;"*"))</f>
        <v>0</v>
      </c>
    </row>
    <row r="740" spans="1:26" ht="22.35" customHeight="1" x14ac:dyDescent="0.25">
      <c r="A740" s="243" t="str">
        <f>+IF(PROVEEDORES[[#This Row],[FECHA DE PAGO]]=PROVEEDORES[[#This Row],[FECHA DE FACTURACIÓN]],"DE CONTADO","CRÉDITO")</f>
        <v>CRÉDITO</v>
      </c>
      <c r="B740" s="38" t="str">
        <f>+IF((PROVEEDORES[[#This Row],[FECHA DE PAGO]]-PROVEEDORES[[#This Row],[FECHA DE FACTURACIÓN]])&gt;PROVEEDORES[[#This Row],[PLAZO Días]],"PAGO VENCIDO")</f>
        <v>PAGO VENCIDO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2169355.9580000001</v>
      </c>
      <c r="E740" s="25"/>
      <c r="F74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0" s="289">
        <v>45239</v>
      </c>
      <c r="H740" s="26" t="s">
        <v>18</v>
      </c>
      <c r="I740" s="289">
        <v>45198</v>
      </c>
      <c r="J740" s="35" t="s">
        <v>1141</v>
      </c>
      <c r="K740" s="21">
        <v>2031499</v>
      </c>
      <c r="L740" s="21"/>
      <c r="M740" s="22">
        <f>(PROVEEDORES[[#This Row],[SUBTOTAL]]-PROVEEDORES[[#This Row],[descuento sobre subtotal]])*VLOOKUP(PROVEEDORES[[#This Row],[PROVEEDOR]],TERCEROS_INFO[#All],3,FALSE)</f>
        <v>385984.81</v>
      </c>
      <c r="N740" s="23"/>
      <c r="O740" s="22">
        <f>+PROVEEDORES[[#This Row],[Descuento sobre subtotal %]]*(PROVEEDORES[[#This Row],[SUBTOTAL]]-PROVEEDORES[[#This Row],[descuento sobre subtotal]])</f>
        <v>0</v>
      </c>
      <c r="P740" s="72">
        <f>+IF(PROVEEDORES[[#This Row],[SUBTOTAL]]&lt;PROVEEDORES[[#This Row],[base retencion]],0,PROVEEDORES[[#This Row],[retención aplicada]])</f>
        <v>2.5000000000000001E-2</v>
      </c>
      <c r="Q740" s="22">
        <f>+PROVEEDORES[[#This Row],[Rete Fuente %]]*(PROVEEDORES[[#This Row],[SUBTOTAL]]-PROVEEDORES[[#This Row],[descuento sobre subtotal]])</f>
        <v>50787.475000000006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2366696.335</v>
      </c>
      <c r="S740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1">
        <f ca="1">IF(PROVEEDORES[[#This Row],[FECHA DE PAGO]]=0,TODAY()-PROVEEDORES[[#This Row],[FECHA DE FACTURACIÓN]]-PROVEEDORES[[#This Row],[PLAZO Días]],0)</f>
        <v>0</v>
      </c>
      <c r="U740" s="97" t="str">
        <f>+VLOOKUP(PROVEEDORES[[#This Row],[PROVEEDOR]],Terceros!$A:$D,4,FALSE)</f>
        <v>2,5% con base</v>
      </c>
      <c r="V740" s="98">
        <f>+YEAR(PROVEEDORES[[#This Row],[FECHA DE FACTURACIÓN]])</f>
        <v>2023</v>
      </c>
      <c r="W740" s="98">
        <f>+MATCH(PROVEEDORES[[#This Row],[año facturado]],Retenciones!$1:$1,0)</f>
        <v>6</v>
      </c>
      <c r="X740" s="99">
        <f>+VLOOKUP(PROVEEDORES[[#This Row],[ID RETENCION]],Retenciones!$A$1:$O$25,PROVEEDORES[[#This Row],[indicador de columna]],FALSE)</f>
        <v>1145000</v>
      </c>
      <c r="Y740" s="100">
        <f>+VLOOKUP(PROVEEDORES[[#This Row],[ID RETENCION]],Retenciones!$A$1:$O$25,2,FALSE)</f>
        <v>2.5000000000000001E-2</v>
      </c>
      <c r="Z740" s="103" t="b">
        <f>OR(COUNTIF(PROVEEDORES[[#This Row],[PROVEEDOR]],"*"&amp;'Palabra no opera'!$A$2&amp;"*"))</f>
        <v>0</v>
      </c>
    </row>
    <row r="741" spans="1:26" ht="22.35" customHeight="1" x14ac:dyDescent="0.25">
      <c r="A741" s="243" t="str">
        <f>+IF(PROVEEDORES[[#This Row],[FECHA DE PAGO]]=PROVEEDORES[[#This Row],[FECHA DE FACTURACIÓN]],"DE CONTADO","CRÉDITO")</f>
        <v>CRÉDITO</v>
      </c>
      <c r="B741" s="38" t="str">
        <f>+IF((PROVEEDORES[[#This Row],[FECHA DE PAGO]]-PROVEEDORES[[#This Row],[FECHA DE FACTURACIÓN]])&gt;PROVEEDORES[[#This Row],[PLAZO Días]],"PAGO VENCIDO")</f>
        <v>PAGO VENCIDO</v>
      </c>
      <c r="C741" s="20">
        <f>+VLOOKUP(PROVEEDORES[[#This Row],[PROVEEDOR]],TERCEROS_INFO[#All],2,FALSE)</f>
        <v>30</v>
      </c>
      <c r="D741" s="25">
        <f>+SUMIFS(PROVEEDORES[Total],PROVEEDORES[PROVEEDOR],PROVEEDORES[[#This Row],[PROVEEDOR]],PROVEEDORES[FECHA DE PAGO],"")</f>
        <v>2169355.9580000001</v>
      </c>
      <c r="E741" s="25"/>
      <c r="F74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1" s="289">
        <v>45239</v>
      </c>
      <c r="H741" s="26" t="s">
        <v>18</v>
      </c>
      <c r="I741" s="289">
        <v>45203</v>
      </c>
      <c r="J741" s="35" t="s">
        <v>1140</v>
      </c>
      <c r="K741" s="21">
        <v>3099280</v>
      </c>
      <c r="L741" s="21"/>
      <c r="M741" s="22">
        <f>(PROVEEDORES[[#This Row],[SUBTOTAL]]-PROVEEDORES[[#This Row],[descuento sobre subtotal]])*VLOOKUP(PROVEEDORES[[#This Row],[PROVEEDOR]],TERCEROS_INFO[#All],3,FALSE)</f>
        <v>588863.19999999995</v>
      </c>
      <c r="N741" s="23"/>
      <c r="O741" s="22">
        <f>+PROVEEDORES[[#This Row],[Descuento sobre subtotal %]]*(PROVEEDORES[[#This Row],[SUBTOTAL]]-PROVEEDORES[[#This Row],[descuento sobre subtotal]])</f>
        <v>0</v>
      </c>
      <c r="P741" s="72">
        <f>+IF(PROVEEDORES[[#This Row],[SUBTOTAL]]&lt;PROVEEDORES[[#This Row],[base retencion]],0,PROVEEDORES[[#This Row],[retención aplicada]])</f>
        <v>2.5000000000000001E-2</v>
      </c>
      <c r="Q741" s="22">
        <f>+PROVEEDORES[[#This Row],[Rete Fuente %]]*(PROVEEDORES[[#This Row],[SUBTOTAL]]-PROVEEDORES[[#This Row],[descuento sobre subtotal]])</f>
        <v>77482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3610661.2</v>
      </c>
      <c r="S741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1">
        <f ca="1">IF(PROVEEDORES[[#This Row],[FECHA DE PAGO]]=0,TODAY()-PROVEEDORES[[#This Row],[FECHA DE FACTURACIÓN]]-PROVEEDORES[[#This Row],[PLAZO Días]],0)</f>
        <v>0</v>
      </c>
      <c r="U741" s="97" t="str">
        <f>+VLOOKUP(PROVEEDORES[[#This Row],[PROVEEDOR]],Terceros!$A:$D,4,FALSE)</f>
        <v>2,5% con base</v>
      </c>
      <c r="V741" s="98">
        <f>+YEAR(PROVEEDORES[[#This Row],[FECHA DE FACTURACIÓN]])</f>
        <v>2023</v>
      </c>
      <c r="W741" s="98">
        <f>+MATCH(PROVEEDORES[[#This Row],[año facturado]],Retenciones!$1:$1,0)</f>
        <v>6</v>
      </c>
      <c r="X741" s="99">
        <f>+VLOOKUP(PROVEEDORES[[#This Row],[ID RETENCION]],Retenciones!$A$1:$O$25,PROVEEDORES[[#This Row],[indicador de columna]],FALSE)</f>
        <v>1145000</v>
      </c>
      <c r="Y741" s="100">
        <f>+VLOOKUP(PROVEEDORES[[#This Row],[ID RETENCION]],Retenciones!$A$1:$O$25,2,FALSE)</f>
        <v>2.5000000000000001E-2</v>
      </c>
      <c r="Z741" s="103" t="b">
        <f>OR(COUNTIF(PROVEEDORES[[#This Row],[PROVEEDOR]],"*"&amp;'Palabra no opera'!$A$2&amp;"*"))</f>
        <v>0</v>
      </c>
    </row>
    <row r="742" spans="1:26" ht="22.35" customHeight="1" x14ac:dyDescent="0.25">
      <c r="A742" s="65" t="str">
        <f>+IF(PROVEEDORES[[#This Row],[FECHA DE PAGO]]=PROVEEDORES[[#This Row],[FECHA DE FACTURACIÓN]],"DE CONTADO","CRÉDITO")</f>
        <v>CRÉDITO</v>
      </c>
      <c r="B742" s="38" t="str">
        <f>+IF((PROVEEDORES[[#This Row],[FECHA DE PAGO]]-PROVEEDORES[[#This Row],[FECHA DE FACTURACIÓN]])&gt;PROVEEDORES[[#This Row],[PLAZO Días]],"PAGO VENCIDO")</f>
        <v>PAGO VENCIDO</v>
      </c>
      <c r="C742" s="20">
        <f>+VLOOKUP(PROVEEDORES[[#This Row],[PROVEEDOR]],TERCEROS_INFO[#All],2,FALSE)</f>
        <v>30</v>
      </c>
      <c r="D742" s="25">
        <f>+SUMIFS(PROVEEDORES[Total],PROVEEDORES[PROVEEDOR],PROVEEDORES[[#This Row],[PROVEEDOR]],PROVEEDORES[FECHA DE PAGO],"")</f>
        <v>2169355.9580000001</v>
      </c>
      <c r="E742" s="25"/>
      <c r="F74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2" s="289">
        <v>45264</v>
      </c>
      <c r="H742" s="26" t="s">
        <v>18</v>
      </c>
      <c r="I742" s="289">
        <v>45209</v>
      </c>
      <c r="J742" s="35" t="s">
        <v>1216</v>
      </c>
      <c r="K742" s="21">
        <v>631763</v>
      </c>
      <c r="L742" s="21"/>
      <c r="M742" s="22">
        <f>(PROVEEDORES[[#This Row],[SUBTOTAL]]-PROVEEDORES[[#This Row],[descuento sobre subtotal]])*VLOOKUP(PROVEEDORES[[#This Row],[PROVEEDOR]],TERCEROS_INFO[#All],3,FALSE)</f>
        <v>120034.97</v>
      </c>
      <c r="N742" s="23"/>
      <c r="O742" s="22">
        <f>+PROVEEDORES[[#This Row],[Descuento sobre subtotal %]]*(PROVEEDORES[[#This Row],[SUBTOTAL]]-PROVEEDORES[[#This Row],[descuento sobre subtotal]])</f>
        <v>0</v>
      </c>
      <c r="P742" s="72">
        <f>+IF(PROVEEDORES[[#This Row],[SUBTOTAL]]&lt;PROVEEDORES[[#This Row],[base retencion]],0,PROVEEDORES[[#This Row],[retención aplicada]])</f>
        <v>0</v>
      </c>
      <c r="Q742" s="22">
        <f>+PROVEEDORES[[#This Row],[Rete Fuente %]]*(PROVEEDORES[[#This Row],[SUBTOTAL]]-PROVEEDORES[[#This Row],[descuento sobre subtotal]])</f>
        <v>0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751797.97</v>
      </c>
      <c r="S7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1">
        <f ca="1">IF(PROVEEDORES[[#This Row],[FECHA DE PAGO]]=0,TODAY()-PROVEEDORES[[#This Row],[FECHA DE FACTURACIÓN]]-PROVEEDORES[[#This Row],[PLAZO Días]],0)</f>
        <v>0</v>
      </c>
      <c r="U742" s="97" t="str">
        <f>+VLOOKUP(PROVEEDORES[[#This Row],[PROVEEDOR]],Terceros!$A:$D,4,FALSE)</f>
        <v>2,5% con base</v>
      </c>
      <c r="V742" s="98">
        <f>+YEAR(PROVEEDORES[[#This Row],[FECHA DE FACTURACIÓN]])</f>
        <v>2023</v>
      </c>
      <c r="W742" s="98">
        <f>+MATCH(PROVEEDORES[[#This Row],[año facturado]],Retenciones!$1:$1,0)</f>
        <v>6</v>
      </c>
      <c r="X742" s="99">
        <f>+VLOOKUP(PROVEEDORES[[#This Row],[ID RETENCION]],Retenciones!$A$1:$O$25,PROVEEDORES[[#This Row],[indicador de columna]],FALSE)</f>
        <v>1145000</v>
      </c>
      <c r="Y742" s="100">
        <f>+VLOOKUP(PROVEEDORES[[#This Row],[ID RETENCION]],Retenciones!$A$1:$O$25,2,FALSE)</f>
        <v>2.5000000000000001E-2</v>
      </c>
      <c r="Z742" s="103" t="b">
        <f>OR(COUNTIF(PROVEEDORES[[#This Row],[PROVEEDOR]],"*"&amp;'Palabra no opera'!$A$2&amp;"*"))</f>
        <v>0</v>
      </c>
    </row>
    <row r="743" spans="1:26" ht="22.35" customHeight="1" x14ac:dyDescent="0.25">
      <c r="A743" s="65" t="str">
        <f>+IF(PROVEEDORES[[#This Row],[FECHA DE PAGO]]=PROVEEDORES[[#This Row],[FECHA DE FACTURACIÓN]],"DE CONTADO","CRÉDITO")</f>
        <v>CRÉDITO</v>
      </c>
      <c r="B743" s="38" t="str">
        <f>+IF((PROVEEDORES[[#This Row],[FECHA DE PAGO]]-PROVEEDORES[[#This Row],[FECHA DE FACTURACIÓN]])&gt;PROVEEDORES[[#This Row],[PLAZO Días]],"PAGO VENCIDO")</f>
        <v>PAGO VENCIDO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2169355.9580000001</v>
      </c>
      <c r="E743" s="25"/>
      <c r="F743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3" s="289">
        <v>45264</v>
      </c>
      <c r="H743" s="26" t="s">
        <v>18</v>
      </c>
      <c r="I743" s="289">
        <v>45219</v>
      </c>
      <c r="J743" s="35" t="s">
        <v>1217</v>
      </c>
      <c r="K743" s="21">
        <v>1633588</v>
      </c>
      <c r="L743" s="21"/>
      <c r="M743" s="22">
        <f>(PROVEEDORES[[#This Row],[SUBTOTAL]]-PROVEEDORES[[#This Row],[descuento sobre subtotal]])*VLOOKUP(PROVEEDORES[[#This Row],[PROVEEDOR]],TERCEROS_INFO[#All],3,FALSE)</f>
        <v>310381.72000000003</v>
      </c>
      <c r="N743" s="23"/>
      <c r="O743" s="22">
        <f>+PROVEEDORES[[#This Row],[Descuento sobre subtotal %]]*(PROVEEDORES[[#This Row],[SUBTOTAL]]-PROVEEDORES[[#This Row],[descuento sobre subtotal]])</f>
        <v>0</v>
      </c>
      <c r="P743" s="72">
        <f>+IF(PROVEEDORES[[#This Row],[SUBTOTAL]]&lt;PROVEEDORES[[#This Row],[base retencion]],0,PROVEEDORES[[#This Row],[retención aplicada]])</f>
        <v>2.5000000000000001E-2</v>
      </c>
      <c r="Q743" s="22">
        <f>+PROVEEDORES[[#This Row],[Rete Fuente %]]*(PROVEEDORES[[#This Row],[SUBTOTAL]]-PROVEEDORES[[#This Row],[descuento sobre subtotal]])</f>
        <v>40839.700000000004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1903130.02</v>
      </c>
      <c r="S74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1">
        <f ca="1">IF(PROVEEDORES[[#This Row],[FECHA DE PAGO]]=0,TODAY()-PROVEEDORES[[#This Row],[FECHA DE FACTURACIÓN]]-PROVEEDORES[[#This Row],[PLAZO Días]],0)</f>
        <v>0</v>
      </c>
      <c r="U743" s="97" t="str">
        <f>+VLOOKUP(PROVEEDORES[[#This Row],[PROVEEDOR]],Terceros!$A:$D,4,FALSE)</f>
        <v>2,5% con base</v>
      </c>
      <c r="V743" s="98">
        <f>+YEAR(PROVEEDORES[[#This Row],[FECHA DE FACTURACIÓN]])</f>
        <v>2023</v>
      </c>
      <c r="W743" s="98">
        <f>+MATCH(PROVEEDORES[[#This Row],[año facturado]],Retenciones!$1:$1,0)</f>
        <v>6</v>
      </c>
      <c r="X743" s="99">
        <f>+VLOOKUP(PROVEEDORES[[#This Row],[ID RETENCION]],Retenciones!$A$1:$O$25,PROVEEDORES[[#This Row],[indicador de columna]],FALSE)</f>
        <v>1145000</v>
      </c>
      <c r="Y743" s="100">
        <f>+VLOOKUP(PROVEEDORES[[#This Row],[ID RETENCION]],Retenciones!$A$1:$O$25,2,FALSE)</f>
        <v>2.5000000000000001E-2</v>
      </c>
      <c r="Z743" s="103" t="b">
        <f>OR(COUNTIF(PROVEEDORES[[#This Row],[PROVEEDOR]],"*"&amp;'Palabra no opera'!$A$2&amp;"*"))</f>
        <v>0</v>
      </c>
    </row>
    <row r="744" spans="1:26" ht="22.35" customHeight="1" x14ac:dyDescent="0.25">
      <c r="A744" s="65" t="str">
        <f>+IF(PROVEEDORES[[#This Row],[FECHA DE PAGO]]=PROVEEDORES[[#This Row],[FECHA DE FACTURACIÓN]],"DE CONTADO","CRÉDITO")</f>
        <v>CRÉDITO</v>
      </c>
      <c r="B744" s="38" t="str">
        <f>+IF((PROVEEDORES[[#This Row],[FECHA DE PAGO]]-PROVEEDORES[[#This Row],[FECHA DE FACTURACIÓN]])&gt;PROVEEDORES[[#This Row],[PLAZO Días]],"PAGO VENCIDO")</f>
        <v>PAGO VENCIDO</v>
      </c>
      <c r="C744" s="20">
        <f>+VLOOKUP(PROVEEDORES[[#This Row],[PROVEEDOR]],TERCEROS_INFO[#All],2,FALSE)</f>
        <v>30</v>
      </c>
      <c r="D744" s="25">
        <f>+SUMIFS(PROVEEDORES[Total],PROVEEDORES[PROVEEDOR],PROVEEDORES[[#This Row],[PROVEEDOR]],PROVEEDORES[FECHA DE PAGO],"")</f>
        <v>2169355.9580000001</v>
      </c>
      <c r="E744" s="25"/>
      <c r="F74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4" s="289">
        <v>45264</v>
      </c>
      <c r="H744" s="26" t="s">
        <v>18</v>
      </c>
      <c r="I744" s="289">
        <v>45232</v>
      </c>
      <c r="J744" s="35" t="s">
        <v>1272</v>
      </c>
      <c r="K744" s="21">
        <v>2284053</v>
      </c>
      <c r="L744" s="21"/>
      <c r="M744" s="22">
        <f>(PROVEEDORES[[#This Row],[SUBTOTAL]]-PROVEEDORES[[#This Row],[descuento sobre subtotal]])*VLOOKUP(PROVEEDORES[[#This Row],[PROVEEDOR]],TERCEROS_INFO[#All],3,FALSE)</f>
        <v>433970.07</v>
      </c>
      <c r="N744" s="23"/>
      <c r="O744" s="22">
        <f>+PROVEEDORES[[#This Row],[Descuento sobre subtotal %]]*(PROVEEDORES[[#This Row],[SUBTOTAL]]-PROVEEDORES[[#This Row],[descuento sobre subtotal]])</f>
        <v>0</v>
      </c>
      <c r="P744" s="72">
        <f>+IF(PROVEEDORES[[#This Row],[SUBTOTAL]]&lt;PROVEEDORES[[#This Row],[base retencion]],0,PROVEEDORES[[#This Row],[retención aplicada]])</f>
        <v>2.5000000000000001E-2</v>
      </c>
      <c r="Q744" s="22">
        <f>+PROVEEDORES[[#This Row],[Rete Fuente %]]*(PROVEEDORES[[#This Row],[SUBTOTAL]]-PROVEEDORES[[#This Row],[descuento sobre subtotal]])</f>
        <v>57101.325000000004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2660921.7449999996</v>
      </c>
      <c r="S74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1">
        <f ca="1">IF(PROVEEDORES[[#This Row],[FECHA DE PAGO]]=0,TODAY()-PROVEEDORES[[#This Row],[FECHA DE FACTURACIÓN]]-PROVEEDORES[[#This Row],[PLAZO Días]],0)</f>
        <v>0</v>
      </c>
      <c r="U744" s="97" t="str">
        <f>+VLOOKUP(PROVEEDORES[[#This Row],[PROVEEDOR]],Terceros!$A:$D,4,FALSE)</f>
        <v>2,5% con base</v>
      </c>
      <c r="V744" s="98">
        <f>+YEAR(PROVEEDORES[[#This Row],[FECHA DE FACTURACIÓN]])</f>
        <v>2023</v>
      </c>
      <c r="W744" s="98">
        <f>+MATCH(PROVEEDORES[[#This Row],[año facturado]],Retenciones!$1:$1,0)</f>
        <v>6</v>
      </c>
      <c r="X744" s="99">
        <f>+VLOOKUP(PROVEEDORES[[#This Row],[ID RETENCION]],Retenciones!$A$1:$O$25,PROVEEDORES[[#This Row],[indicador de columna]],FALSE)</f>
        <v>1145000</v>
      </c>
      <c r="Y744" s="100">
        <f>+VLOOKUP(PROVEEDORES[[#This Row],[ID RETENCION]],Retenciones!$A$1:$O$25,2,FALSE)</f>
        <v>2.5000000000000001E-2</v>
      </c>
      <c r="Z744" s="103" t="b">
        <f>OR(COUNTIF(PROVEEDORES[[#This Row],[PROVEEDOR]],"*"&amp;'Palabra no opera'!$A$2&amp;"*"))</f>
        <v>0</v>
      </c>
    </row>
    <row r="745" spans="1:26" ht="22.35" customHeight="1" x14ac:dyDescent="0.25">
      <c r="A745" s="65" t="str">
        <f>+IF(PROVEEDORES[[#This Row],[FECHA DE PAGO]]=PROVEEDORES[[#This Row],[FECHA DE FACTURACIÓN]],"DE CONTADO","CRÉDITO")</f>
        <v>CRÉDITO</v>
      </c>
      <c r="B745" s="38" t="str">
        <f>+IF((PROVEEDORES[[#This Row],[FECHA DE PAGO]]-PROVEEDORES[[#This Row],[FECHA DE FACTURACIÓN]])&gt;PROVEEDORES[[#This Row],[PLAZO Días]],"PAGO VENCIDO")</f>
        <v>PAGO VENCIDO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2169355.9580000001</v>
      </c>
      <c r="E745" s="25"/>
      <c r="F74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5" s="289">
        <v>45278</v>
      </c>
      <c r="H745" s="26" t="s">
        <v>18</v>
      </c>
      <c r="I745" s="289">
        <v>45237</v>
      </c>
      <c r="J745" s="35" t="s">
        <v>1271</v>
      </c>
      <c r="K745" s="21">
        <v>2007744</v>
      </c>
      <c r="L745" s="21"/>
      <c r="M745" s="22">
        <f>(PROVEEDORES[[#This Row],[SUBTOTAL]]-PROVEEDORES[[#This Row],[descuento sobre subtotal]])*VLOOKUP(PROVEEDORES[[#This Row],[PROVEEDOR]],TERCEROS_INFO[#All],3,FALSE)</f>
        <v>381471.36</v>
      </c>
      <c r="N745" s="23"/>
      <c r="O745" s="22">
        <f>+PROVEEDORES[[#This Row],[Descuento sobre subtotal %]]*(PROVEEDORES[[#This Row],[SUBTOTAL]]-PROVEEDORES[[#This Row],[descuento sobre subtotal]])</f>
        <v>0</v>
      </c>
      <c r="P745" s="72">
        <f>+IF(PROVEEDORES[[#This Row],[SUBTOTAL]]&lt;PROVEEDORES[[#This Row],[base retencion]],0,PROVEEDORES[[#This Row],[retención aplicada]])</f>
        <v>2.5000000000000001E-2</v>
      </c>
      <c r="Q745" s="22">
        <f>+PROVEEDORES[[#This Row],[Rete Fuente %]]*(PROVEEDORES[[#This Row],[SUBTOTAL]]-PROVEEDORES[[#This Row],[descuento sobre subtotal]])</f>
        <v>50193.600000000006</v>
      </c>
      <c r="R745" s="21">
        <f>+PROVEEDORES[[#This Row],[SUBTOTAL]]+PROVEEDORES[[#This Row],[IVA 19%]]-PROVEEDORES[[#This Row],[descuento sobre subtotal]]-PROVEEDORES[[#This Row],[Descuento sobre subtotal $2]]-PROVEEDORES[[#This Row],[Rete Fuente $]]</f>
        <v>2339021.7599999998</v>
      </c>
      <c r="S7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1">
        <f ca="1">IF(PROVEEDORES[[#This Row],[FECHA DE PAGO]]=0,TODAY()-PROVEEDORES[[#This Row],[FECHA DE FACTURACIÓN]]-PROVEEDORES[[#This Row],[PLAZO Días]],0)</f>
        <v>0</v>
      </c>
      <c r="U745" s="97" t="str">
        <f>+VLOOKUP(PROVEEDORES[[#This Row],[PROVEEDOR]],Terceros!$A:$D,4,FALSE)</f>
        <v>2,5% con base</v>
      </c>
      <c r="V745" s="98">
        <f>+YEAR(PROVEEDORES[[#This Row],[FECHA DE FACTURACIÓN]])</f>
        <v>2023</v>
      </c>
      <c r="W745" s="98">
        <f>+MATCH(PROVEEDORES[[#This Row],[año facturado]],Retenciones!$1:$1,0)</f>
        <v>6</v>
      </c>
      <c r="X745" s="99">
        <f>+VLOOKUP(PROVEEDORES[[#This Row],[ID RETENCION]],Retenciones!$A$1:$O$25,PROVEEDORES[[#This Row],[indicador de columna]],FALSE)</f>
        <v>1145000</v>
      </c>
      <c r="Y745" s="100">
        <f>+VLOOKUP(PROVEEDORES[[#This Row],[ID RETENCION]],Retenciones!$A$1:$O$25,2,FALSE)</f>
        <v>2.5000000000000001E-2</v>
      </c>
      <c r="Z745" s="103" t="b">
        <f>OR(COUNTIF(PROVEEDORES[[#This Row],[PROVEEDOR]],"*"&amp;'Palabra no opera'!$A$2&amp;"*"))</f>
        <v>0</v>
      </c>
    </row>
    <row r="746" spans="1:26" ht="22.35" customHeight="1" x14ac:dyDescent="0.25">
      <c r="A746" s="65" t="str">
        <f>+IF(PROVEEDORES[[#This Row],[FECHA DE PAGO]]=PROVEEDORES[[#This Row],[FECHA DE FACTURACIÓN]],"DE CONTADO","CRÉDITO")</f>
        <v>CRÉDITO</v>
      </c>
      <c r="B746" s="38" t="str">
        <f>+IF((PROVEEDORES[[#This Row],[FECHA DE PAGO]]-PROVEEDORES[[#This Row],[FECHA DE FACTURACIÓN]])&gt;PROVEEDORES[[#This Row],[PLAZO Días]],"PAGO VENCIDO")</f>
        <v>PAGO VENCIDO</v>
      </c>
      <c r="C746" s="20">
        <f>+VLOOKUP(PROVEEDORES[[#This Row],[PROVEEDOR]],TERCEROS_INFO[#All],2,FALSE)</f>
        <v>30</v>
      </c>
      <c r="D746" s="25">
        <f>+SUMIFS(PROVEEDORES[Total],PROVEEDORES[PROVEEDOR],PROVEEDORES[[#This Row],[PROVEEDOR]],PROVEEDORES[FECHA DE PAGO],"")</f>
        <v>2169355.9580000001</v>
      </c>
      <c r="E746" s="25"/>
      <c r="F746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6" s="289">
        <v>45278</v>
      </c>
      <c r="H746" s="26" t="s">
        <v>18</v>
      </c>
      <c r="I746" s="289">
        <v>45239</v>
      </c>
      <c r="J746" s="35" t="s">
        <v>1273</v>
      </c>
      <c r="K746" s="21">
        <v>10721534</v>
      </c>
      <c r="L746" s="21"/>
      <c r="M746" s="22">
        <f>(PROVEEDORES[[#This Row],[SUBTOTAL]]-PROVEEDORES[[#This Row],[descuento sobre subtotal]])*VLOOKUP(PROVEEDORES[[#This Row],[PROVEEDOR]],TERCEROS_INFO[#All],3,FALSE)</f>
        <v>2037091.46</v>
      </c>
      <c r="N746" s="23"/>
      <c r="O746" s="22">
        <f>+PROVEEDORES[[#This Row],[Descuento sobre subtotal %]]*(PROVEEDORES[[#This Row],[SUBTOTAL]]-PROVEEDORES[[#This Row],[descuento sobre subtotal]])</f>
        <v>0</v>
      </c>
      <c r="P746" s="72">
        <f>+IF(PROVEEDORES[[#This Row],[SUBTOTAL]]&lt;PROVEEDORES[[#This Row],[base retencion]],0,PROVEEDORES[[#This Row],[retención aplicada]])</f>
        <v>2.5000000000000001E-2</v>
      </c>
      <c r="Q746" s="22">
        <f>+PROVEEDORES[[#This Row],[Rete Fuente %]]*(PROVEEDORES[[#This Row],[SUBTOTAL]]-PROVEEDORES[[#This Row],[descuento sobre subtotal]])</f>
        <v>268038.35000000003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12490587.110000001</v>
      </c>
      <c r="S74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1">
        <f ca="1">IF(PROVEEDORES[[#This Row],[FECHA DE PAGO]]=0,TODAY()-PROVEEDORES[[#This Row],[FECHA DE FACTURACIÓN]]-PROVEEDORES[[#This Row],[PLAZO Días]],0)</f>
        <v>0</v>
      </c>
      <c r="U746" s="97" t="str">
        <f>+VLOOKUP(PROVEEDORES[[#This Row],[PROVEEDOR]],Terceros!$A:$D,4,FALSE)</f>
        <v>2,5% con base</v>
      </c>
      <c r="V746" s="98">
        <f>+YEAR(PROVEEDORES[[#This Row],[FECHA DE FACTURACIÓN]])</f>
        <v>2023</v>
      </c>
      <c r="W746" s="98">
        <f>+MATCH(PROVEEDORES[[#This Row],[año facturado]],Retenciones!$1:$1,0)</f>
        <v>6</v>
      </c>
      <c r="X746" s="99">
        <f>+VLOOKUP(PROVEEDORES[[#This Row],[ID RETENCION]],Retenciones!$A$1:$O$25,PROVEEDORES[[#This Row],[indicador de columna]],FALSE)</f>
        <v>1145000</v>
      </c>
      <c r="Y746" s="100">
        <f>+VLOOKUP(PROVEEDORES[[#This Row],[ID RETENCION]],Retenciones!$A$1:$O$25,2,FALSE)</f>
        <v>2.5000000000000001E-2</v>
      </c>
      <c r="Z746" s="103" t="b">
        <f>OR(COUNTIF(PROVEEDORES[[#This Row],[PROVEEDOR]],"*"&amp;'Palabra no opera'!$A$2&amp;"*"))</f>
        <v>0</v>
      </c>
    </row>
    <row r="747" spans="1:26" ht="22.35" customHeight="1" x14ac:dyDescent="0.25">
      <c r="A747" s="262" t="str">
        <f>+IF(PROVEEDORES[[#This Row],[FECHA DE PAGO]]=PROVEEDORES[[#This Row],[FECHA DE FACTURACIÓN]],"DE CONTADO","CRÉDITO")</f>
        <v>CRÉDITO</v>
      </c>
      <c r="B747" s="38" t="str">
        <f>+IF((PROVEEDORES[[#This Row],[FECHA DE PAGO]]-PROVEEDORES[[#This Row],[FECHA DE FACTURACIÓN]])&gt;PROVEEDORES[[#This Row],[PLAZO Días]],"PAGO VENCIDO")</f>
        <v>PAGO VENCIDO</v>
      </c>
      <c r="C747" s="20">
        <f>+VLOOKUP(PROVEEDORES[[#This Row],[PROVEEDOR]],TERCEROS_INFO[#All],2,FALSE)</f>
        <v>30</v>
      </c>
      <c r="D747" s="25">
        <f>+SUMIFS(PROVEEDORES[Total],PROVEEDORES[PROVEEDOR],PROVEEDORES[[#This Row],[PROVEEDOR]],PROVEEDORES[FECHA DE PAGO],"")</f>
        <v>2169355.9580000001</v>
      </c>
      <c r="E747" s="25"/>
      <c r="F74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7" s="289">
        <v>45278</v>
      </c>
      <c r="H747" s="26" t="s">
        <v>18</v>
      </c>
      <c r="I747" s="289">
        <v>45245</v>
      </c>
      <c r="J747" s="35" t="s">
        <v>1304</v>
      </c>
      <c r="K747" s="21">
        <v>1809303</v>
      </c>
      <c r="L747" s="21"/>
      <c r="M747" s="22">
        <f>(PROVEEDORES[[#This Row],[SUBTOTAL]]-PROVEEDORES[[#This Row],[descuento sobre subtotal]])*VLOOKUP(PROVEEDORES[[#This Row],[PROVEEDOR]],TERCEROS_INFO[#All],3,FALSE)</f>
        <v>343767.57</v>
      </c>
      <c r="N747" s="23"/>
      <c r="O747" s="22">
        <f>+PROVEEDORES[[#This Row],[Descuento sobre subtotal %]]*(PROVEEDORES[[#This Row],[SUBTOTAL]]-PROVEEDORES[[#This Row],[descuento sobre subtotal]])</f>
        <v>0</v>
      </c>
      <c r="P747" s="72">
        <f>+IF(PROVEEDORES[[#This Row],[SUBTOTAL]]&lt;PROVEEDORES[[#This Row],[base retencion]],0,PROVEEDORES[[#This Row],[retención aplicada]])</f>
        <v>2.5000000000000001E-2</v>
      </c>
      <c r="Q747" s="22">
        <f>+PROVEEDORES[[#This Row],[Rete Fuente %]]*(PROVEEDORES[[#This Row],[SUBTOTAL]]-PROVEEDORES[[#This Row],[descuento sobre subtotal]])</f>
        <v>45232.575000000004</v>
      </c>
      <c r="R747" s="21">
        <f>+PROVEEDORES[[#This Row],[SUBTOTAL]]+PROVEEDORES[[#This Row],[IVA 19%]]-PROVEEDORES[[#This Row],[descuento sobre subtotal]]-PROVEEDORES[[#This Row],[Descuento sobre subtotal $2]]-PROVEEDORES[[#This Row],[Rete Fuente $]]</f>
        <v>2107837.9949999996</v>
      </c>
      <c r="S74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1">
        <f ca="1">IF(PROVEEDORES[[#This Row],[FECHA DE PAGO]]=0,TODAY()-PROVEEDORES[[#This Row],[FECHA DE FACTURACIÓN]]-PROVEEDORES[[#This Row],[PLAZO Días]],0)</f>
        <v>0</v>
      </c>
      <c r="U747" s="97" t="str">
        <f>+VLOOKUP(PROVEEDORES[[#This Row],[PROVEEDOR]],Terceros!$A:$D,4,FALSE)</f>
        <v>2,5% con base</v>
      </c>
      <c r="V747" s="98">
        <f>+YEAR(PROVEEDORES[[#This Row],[FECHA DE FACTURACIÓN]])</f>
        <v>2023</v>
      </c>
      <c r="W747" s="98">
        <f>+MATCH(PROVEEDORES[[#This Row],[año facturado]],Retenciones!$1:$1,0)</f>
        <v>6</v>
      </c>
      <c r="X747" s="99">
        <f>+VLOOKUP(PROVEEDORES[[#This Row],[ID RETENCION]],Retenciones!$A$1:$O$25,PROVEEDORES[[#This Row],[indicador de columna]],FALSE)</f>
        <v>1145000</v>
      </c>
      <c r="Y747" s="100">
        <f>+VLOOKUP(PROVEEDORES[[#This Row],[ID RETENCION]],Retenciones!$A$1:$O$25,2,FALSE)</f>
        <v>2.5000000000000001E-2</v>
      </c>
      <c r="Z747" s="103" t="b">
        <f>OR(COUNTIF(PROVEEDORES[[#This Row],[PROVEEDOR]],"*"&amp;'Palabra no opera'!$A$2&amp;"*"))</f>
        <v>0</v>
      </c>
    </row>
    <row r="748" spans="1:26" ht="22.35" customHeight="1" x14ac:dyDescent="0.25">
      <c r="A748" s="262" t="str">
        <f>+IF(PROVEEDORES[[#This Row],[FECHA DE PAGO]]=PROVEEDORES[[#This Row],[FECHA DE FACTURACIÓN]],"DE CONTADO","CRÉDITO")</f>
        <v>CRÉDITO</v>
      </c>
      <c r="B748" s="38" t="str">
        <f>+IF((PROVEEDORES[[#This Row],[FECHA DE PAGO]]-PROVEEDORES[[#This Row],[FECHA DE FACTURACIÓN]])&gt;PROVEEDORES[[#This Row],[PLAZO Días]],"PAGO VENCIDO")</f>
        <v>PAGO VENCIDO</v>
      </c>
      <c r="C748" s="20">
        <f>+VLOOKUP(PROVEEDORES[[#This Row],[PROVEEDOR]],TERCEROS_INFO[#All],2,FALSE)</f>
        <v>30</v>
      </c>
      <c r="D748" s="25">
        <f>+SUMIFS(PROVEEDORES[Total],PROVEEDORES[PROVEEDOR],PROVEEDORES[[#This Row],[PROVEEDOR]],PROVEEDORES[FECHA DE PAGO],"")</f>
        <v>2169355.9580000001</v>
      </c>
      <c r="E748" s="25"/>
      <c r="F748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8" s="289">
        <v>45286</v>
      </c>
      <c r="H748" s="26" t="s">
        <v>18</v>
      </c>
      <c r="I748" s="289">
        <v>45252</v>
      </c>
      <c r="J748" s="35" t="s">
        <v>1303</v>
      </c>
      <c r="K748" s="21">
        <v>3851267</v>
      </c>
      <c r="L748" s="21"/>
      <c r="M748" s="22">
        <f>(PROVEEDORES[[#This Row],[SUBTOTAL]]-PROVEEDORES[[#This Row],[descuento sobre subtotal]])*VLOOKUP(PROVEEDORES[[#This Row],[PROVEEDOR]],TERCEROS_INFO[#All],3,FALSE)</f>
        <v>731740.73</v>
      </c>
      <c r="N748" s="23"/>
      <c r="O748" s="22">
        <f>+PROVEEDORES[[#This Row],[Descuento sobre subtotal %]]*(PROVEEDORES[[#This Row],[SUBTOTAL]]-PROVEEDORES[[#This Row],[descuento sobre subtotal]])</f>
        <v>0</v>
      </c>
      <c r="P748" s="72">
        <f>+IF(PROVEEDORES[[#This Row],[SUBTOTAL]]&lt;PROVEEDORES[[#This Row],[base retencion]],0,PROVEEDORES[[#This Row],[retención aplicada]])</f>
        <v>2.5000000000000001E-2</v>
      </c>
      <c r="Q748" s="22">
        <f>+PROVEEDORES[[#This Row],[Rete Fuente %]]*(PROVEEDORES[[#This Row],[SUBTOTAL]]-PROVEEDORES[[#This Row],[descuento sobre subtotal]])</f>
        <v>96281.675000000003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4486726.0550000006</v>
      </c>
      <c r="S748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1">
        <f ca="1">IF(PROVEEDORES[[#This Row],[FECHA DE PAGO]]=0,TODAY()-PROVEEDORES[[#This Row],[FECHA DE FACTURACIÓN]]-PROVEEDORES[[#This Row],[PLAZO Días]],0)</f>
        <v>0</v>
      </c>
      <c r="U748" s="97" t="str">
        <f>+VLOOKUP(PROVEEDORES[[#This Row],[PROVEEDOR]],Terceros!$A:$D,4,FALSE)</f>
        <v>2,5% con base</v>
      </c>
      <c r="V748" s="98">
        <f>+YEAR(PROVEEDORES[[#This Row],[FECHA DE FACTURACIÓN]])</f>
        <v>2023</v>
      </c>
      <c r="W748" s="98">
        <f>+MATCH(PROVEEDORES[[#This Row],[año facturado]],Retenciones!$1:$1,0)</f>
        <v>6</v>
      </c>
      <c r="X748" s="99">
        <f>+VLOOKUP(PROVEEDORES[[#This Row],[ID RETENCION]],Retenciones!$A$1:$O$25,PROVEEDORES[[#This Row],[indicador de columna]],FALSE)</f>
        <v>1145000</v>
      </c>
      <c r="Y748" s="100">
        <f>+VLOOKUP(PROVEEDORES[[#This Row],[ID RETENCION]],Retenciones!$A$1:$O$25,2,FALSE)</f>
        <v>2.5000000000000001E-2</v>
      </c>
      <c r="Z748" s="103" t="b">
        <f>OR(COUNTIF(PROVEEDORES[[#This Row],[PROVEEDOR]],"*"&amp;'Palabra no opera'!$A$2&amp;"*"))</f>
        <v>0</v>
      </c>
    </row>
    <row r="749" spans="1:26" ht="22.35" customHeight="1" x14ac:dyDescent="0.25">
      <c r="A749" s="262" t="str">
        <f>+IF(PROVEEDORES[[#This Row],[FECHA DE PAGO]]=PROVEEDORES[[#This Row],[FECHA DE FACTURACIÓN]],"DE CONTADO","CRÉDITO")</f>
        <v>CRÉDITO</v>
      </c>
      <c r="B749" s="38" t="str">
        <f>+IF((PROVEEDORES[[#This Row],[FECHA DE PAGO]]-PROVEEDORES[[#This Row],[FECHA DE FACTURACIÓN]])&gt;PROVEEDORES[[#This Row],[PLAZO Días]],"PAGO VENCIDO")</f>
        <v>PAGO VENCIDO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2169355.9580000001</v>
      </c>
      <c r="E749" s="25"/>
      <c r="F749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9" s="289">
        <v>45286</v>
      </c>
      <c r="H749" s="26" t="s">
        <v>18</v>
      </c>
      <c r="I749" s="289">
        <v>45254</v>
      </c>
      <c r="J749" s="35" t="s">
        <v>1305</v>
      </c>
      <c r="K749" s="21">
        <v>3212390</v>
      </c>
      <c r="L749" s="21"/>
      <c r="M749" s="22">
        <f>(PROVEEDORES[[#This Row],[SUBTOTAL]]-PROVEEDORES[[#This Row],[descuento sobre subtotal]])*VLOOKUP(PROVEEDORES[[#This Row],[PROVEEDOR]],TERCEROS_INFO[#All],3,FALSE)</f>
        <v>610354.1</v>
      </c>
      <c r="N749" s="23"/>
      <c r="O749" s="22">
        <f>+PROVEEDORES[[#This Row],[Descuento sobre subtotal %]]*(PROVEEDORES[[#This Row],[SUBTOTAL]]-PROVEEDORES[[#This Row],[descuento sobre subtotal]])</f>
        <v>0</v>
      </c>
      <c r="P749" s="72">
        <f>+IF(PROVEEDORES[[#This Row],[SUBTOTAL]]&lt;PROVEEDORES[[#This Row],[base retencion]],0,PROVEEDORES[[#This Row],[retención aplicada]])</f>
        <v>2.5000000000000001E-2</v>
      </c>
      <c r="Q749" s="22">
        <f>+PROVEEDORES[[#This Row],[Rete Fuente %]]*(PROVEEDORES[[#This Row],[SUBTOTAL]]-PROVEEDORES[[#This Row],[descuento sobre subtotal]])</f>
        <v>80309.75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3742434.35</v>
      </c>
      <c r="S74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1">
        <f ca="1">IF(PROVEEDORES[[#This Row],[FECHA DE PAGO]]=0,TODAY()-PROVEEDORES[[#This Row],[FECHA DE FACTURACIÓN]]-PROVEEDORES[[#This Row],[PLAZO Días]],0)</f>
        <v>0</v>
      </c>
      <c r="U749" s="97" t="str">
        <f>+VLOOKUP(PROVEEDORES[[#This Row],[PROVEEDOR]],Terceros!$A:$D,4,FALSE)</f>
        <v>2,5% con base</v>
      </c>
      <c r="V749" s="98">
        <f>+YEAR(PROVEEDORES[[#This Row],[FECHA DE FACTURACIÓN]])</f>
        <v>2023</v>
      </c>
      <c r="W749" s="98">
        <f>+MATCH(PROVEEDORES[[#This Row],[año facturado]],Retenciones!$1:$1,0)</f>
        <v>6</v>
      </c>
      <c r="X749" s="99">
        <f>+VLOOKUP(PROVEEDORES[[#This Row],[ID RETENCION]],Retenciones!$A$1:$O$25,PROVEEDORES[[#This Row],[indicador de columna]],FALSE)</f>
        <v>1145000</v>
      </c>
      <c r="Y749" s="100">
        <f>+VLOOKUP(PROVEEDORES[[#This Row],[ID RETENCION]],Retenciones!$A$1:$O$25,2,FALSE)</f>
        <v>2.5000000000000001E-2</v>
      </c>
      <c r="Z749" s="103" t="b">
        <f>OR(COUNTIF(PROVEEDORES[[#This Row],[PROVEEDOR]],"*"&amp;'Palabra no opera'!$A$2&amp;"*"))</f>
        <v>0</v>
      </c>
    </row>
    <row r="750" spans="1:26" ht="22.35" customHeight="1" x14ac:dyDescent="0.25">
      <c r="A750" s="65" t="str">
        <f>+IF(PROVEEDORES[[#This Row],[FECHA DE PAGO]]=PROVEEDORES[[#This Row],[FECHA DE FACTURACIÓN]],"DE CONTADO","CRÉDITO")</f>
        <v>CRÉDITO</v>
      </c>
      <c r="B750" s="38" t="str">
        <f>+IF((PROVEEDORES[[#This Row],[FECHA DE PAGO]]-PROVEEDORES[[#This Row],[FECHA DE FACTURACIÓN]])&gt;PROVEEDORES[[#This Row],[PLAZO Días]],"PAGO VENCIDO")</f>
        <v>PAGO VENCIDO</v>
      </c>
      <c r="C750" s="20">
        <f>+VLOOKUP(PROVEEDORES[[#This Row],[PROVEEDOR]],TERCEROS_INFO[#All],2,FALSE)</f>
        <v>30</v>
      </c>
      <c r="D750" s="25">
        <f>+SUMIFS(PROVEEDORES[Total],PROVEEDORES[PROVEEDOR],PROVEEDORES[[#This Row],[PROVEEDOR]],PROVEEDORES[FECHA DE PAGO],"")</f>
        <v>2169355.9580000001</v>
      </c>
      <c r="E750" s="25"/>
      <c r="F75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50" s="289">
        <v>45309</v>
      </c>
      <c r="H750" s="26" t="s">
        <v>18</v>
      </c>
      <c r="I750" s="289">
        <v>45266</v>
      </c>
      <c r="J750" s="35" t="s">
        <v>1379</v>
      </c>
      <c r="K750" s="21">
        <v>2050362</v>
      </c>
      <c r="L750" s="21"/>
      <c r="M750" s="22">
        <f>(PROVEEDORES[[#This Row],[SUBTOTAL]]-PROVEEDORES[[#This Row],[descuento sobre subtotal]])*VLOOKUP(PROVEEDORES[[#This Row],[PROVEEDOR]],TERCEROS_INFO[#All],3,FALSE)</f>
        <v>389568.78</v>
      </c>
      <c r="N750" s="23"/>
      <c r="O750" s="22">
        <f>+PROVEEDORES[[#This Row],[Descuento sobre subtotal %]]*(PROVEEDORES[[#This Row],[SUBTOTAL]]-PROVEEDORES[[#This Row],[descuento sobre subtotal]])</f>
        <v>0</v>
      </c>
      <c r="P750" s="72">
        <f>+IF(PROVEEDORES[[#This Row],[SUBTOTAL]]&lt;PROVEEDORES[[#This Row],[base retencion]],0,PROVEEDORES[[#This Row],[retención aplicada]])</f>
        <v>2.5000000000000001E-2</v>
      </c>
      <c r="Q750" s="22">
        <f>+PROVEEDORES[[#This Row],[Rete Fuente %]]*(PROVEEDORES[[#This Row],[SUBTOTAL]]-PROVEEDORES[[#This Row],[descuento sobre subtotal]])</f>
        <v>51259.05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2388671.7300000004</v>
      </c>
      <c r="S7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1">
        <f ca="1">IF(PROVEEDORES[[#This Row],[FECHA DE PAGO]]=0,TODAY()-PROVEEDORES[[#This Row],[FECHA DE FACTURACIÓN]]-PROVEEDORES[[#This Row],[PLAZO Días]],0)</f>
        <v>0</v>
      </c>
      <c r="U750" s="97" t="str">
        <f>+VLOOKUP(PROVEEDORES[[#This Row],[PROVEEDOR]],Terceros!$A:$D,4,FALSE)</f>
        <v>2,5% con base</v>
      </c>
      <c r="V750" s="98">
        <f>+YEAR(PROVEEDORES[[#This Row],[FECHA DE FACTURACIÓN]])</f>
        <v>2023</v>
      </c>
      <c r="W750" s="98">
        <f>+MATCH(PROVEEDORES[[#This Row],[año facturado]],Retenciones!$1:$1,0)</f>
        <v>6</v>
      </c>
      <c r="X750" s="99">
        <f>+VLOOKUP(PROVEEDORES[[#This Row],[ID RETENCION]],Retenciones!$A$1:$O$25,PROVEEDORES[[#This Row],[indicador de columna]],FALSE)</f>
        <v>1145000</v>
      </c>
      <c r="Y750" s="100">
        <f>+VLOOKUP(PROVEEDORES[[#This Row],[ID RETENCION]],Retenciones!$A$1:$O$25,2,FALSE)</f>
        <v>2.5000000000000001E-2</v>
      </c>
      <c r="Z750" s="103" t="b">
        <f>OR(COUNTIF(PROVEEDORES[[#This Row],[PROVEEDOR]],"*"&amp;'Palabra no opera'!$A$2&amp;"*"))</f>
        <v>0</v>
      </c>
    </row>
    <row r="751" spans="1:26" ht="22.35" customHeight="1" x14ac:dyDescent="0.25">
      <c r="A751" s="65" t="str">
        <f>+IF(PROVEEDORES[[#This Row],[FECHA DE PAGO]]=PROVEEDORES[[#This Row],[FECHA DE FACTURACIÓN]],"DE CONTADO","CRÉDITO")</f>
        <v>CRÉDITO</v>
      </c>
      <c r="B751" s="38" t="str">
        <f>+IF((PROVEEDORES[[#This Row],[FECHA DE PAGO]]-PROVEEDORES[[#This Row],[FECHA DE FACTURACIÓN]])&gt;PROVEEDORES[[#This Row],[PLAZO Días]],"PAGO VENCIDO")</f>
        <v>PAGO VENCIDO</v>
      </c>
      <c r="C751" s="20">
        <f>+VLOOKUP(PROVEEDORES[[#This Row],[PROVEEDOR]],TERCEROS_INFO[#All],2,FALSE)</f>
        <v>30</v>
      </c>
      <c r="D751" s="25">
        <f>+SUMIFS(PROVEEDORES[Total],PROVEEDORES[PROVEEDOR],PROVEEDORES[[#This Row],[PROVEEDOR]],PROVEEDORES[FECHA DE PAGO],"")</f>
        <v>2169355.9580000001</v>
      </c>
      <c r="E751" s="25"/>
      <c r="F751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51" s="289">
        <v>45309</v>
      </c>
      <c r="H751" s="26" t="s">
        <v>18</v>
      </c>
      <c r="I751" s="289">
        <v>45266</v>
      </c>
      <c r="J751" s="35" t="s">
        <v>1409</v>
      </c>
      <c r="K751" s="21">
        <v>1005285</v>
      </c>
      <c r="L751" s="21"/>
      <c r="M751" s="22">
        <f>(PROVEEDORES[[#This Row],[SUBTOTAL]]-PROVEEDORES[[#This Row],[descuento sobre subtotal]])*VLOOKUP(PROVEEDORES[[#This Row],[PROVEEDOR]],TERCEROS_INFO[#All],3,FALSE)</f>
        <v>191004.15</v>
      </c>
      <c r="N751" s="23"/>
      <c r="O751" s="22">
        <f>+PROVEEDORES[[#This Row],[Descuento sobre subtotal %]]*(PROVEEDORES[[#This Row],[SUBTOTAL]]-PROVEEDORES[[#This Row],[descuento sobre subtotal]])</f>
        <v>0</v>
      </c>
      <c r="P751" s="72">
        <f>+IF(PROVEEDORES[[#This Row],[SUBTOTAL]]&lt;PROVEEDORES[[#This Row],[base retencion]],0,PROVEEDORES[[#This Row],[retención aplicada]])</f>
        <v>0</v>
      </c>
      <c r="Q751" s="22">
        <f>+PROVEEDORES[[#This Row],[Rete Fuente %]]*(PROVEEDORES[[#This Row],[SUBTOTAL]]-PROVEEDORES[[#This Row],[descuento sobre subtotal]])</f>
        <v>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1196289.1499999999</v>
      </c>
      <c r="S7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1">
        <f ca="1">IF(PROVEEDORES[[#This Row],[FECHA DE PAGO]]=0,TODAY()-PROVEEDORES[[#This Row],[FECHA DE FACTURACIÓN]]-PROVEEDORES[[#This Row],[PLAZO Días]],0)</f>
        <v>0</v>
      </c>
      <c r="U751" s="97" t="str">
        <f>+VLOOKUP(PROVEEDORES[[#This Row],[PROVEEDOR]],Terceros!$A:$D,4,FALSE)</f>
        <v>2,5% con base</v>
      </c>
      <c r="V751" s="98">
        <f>+YEAR(PROVEEDORES[[#This Row],[FECHA DE FACTURACIÓN]])</f>
        <v>2023</v>
      </c>
      <c r="W751" s="98">
        <f>+MATCH(PROVEEDORES[[#This Row],[año facturado]],Retenciones!$1:$1,0)</f>
        <v>6</v>
      </c>
      <c r="X751" s="99">
        <f>+VLOOKUP(PROVEEDORES[[#This Row],[ID RETENCION]],Retenciones!$A$1:$O$25,PROVEEDORES[[#This Row],[indicador de columna]],FALSE)</f>
        <v>1145000</v>
      </c>
      <c r="Y751" s="100">
        <f>+VLOOKUP(PROVEEDORES[[#This Row],[ID RETENCION]],Retenciones!$A$1:$O$25,2,FALSE)</f>
        <v>2.5000000000000001E-2</v>
      </c>
      <c r="Z751" s="103" t="b">
        <f>OR(COUNTIF(PROVEEDORES[[#This Row],[PROVEEDOR]],"*"&amp;'Palabra no opera'!$A$2&amp;"*"))</f>
        <v>0</v>
      </c>
    </row>
    <row r="752" spans="1:26" ht="22.35" customHeight="1" x14ac:dyDescent="0.25">
      <c r="A752" s="65" t="str">
        <f>+IF(PROVEEDORES[[#This Row],[FECHA DE PAGO]]=PROVEEDORES[[#This Row],[FECHA DE FACTURACIÓN]],"DE CONTADO","CRÉDITO")</f>
        <v>CRÉDITO</v>
      </c>
      <c r="B752" s="38" t="str">
        <f>+IF((PROVEEDORES[[#This Row],[FECHA DE PAGO]]-PROVEEDORES[[#This Row],[FECHA DE FACTURACIÓN]])&gt;PROVEEDORES[[#This Row],[PLAZO Días]],"PAGO VENCIDO")</f>
        <v>PAGO VENCIDO</v>
      </c>
      <c r="C752" s="20">
        <f>+VLOOKUP(PROVEEDORES[[#This Row],[PROVEEDOR]],TERCEROS_INFO[#All],2,FALSE)</f>
        <v>30</v>
      </c>
      <c r="D752" s="25">
        <f>+SUMIFS(PROVEEDORES[Total],PROVEEDORES[PROVEEDOR],PROVEEDORES[[#This Row],[PROVEEDOR]],PROVEEDORES[FECHA DE PAGO],"")</f>
        <v>2169355.9580000001</v>
      </c>
      <c r="E752" s="25"/>
      <c r="F752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52" s="289">
        <v>45317</v>
      </c>
      <c r="H752" s="26" t="s">
        <v>18</v>
      </c>
      <c r="I752" s="289">
        <v>45275</v>
      </c>
      <c r="J752" s="35" t="s">
        <v>1408</v>
      </c>
      <c r="K752" s="21">
        <v>5597576</v>
      </c>
      <c r="L752" s="21"/>
      <c r="M752" s="22">
        <f>(PROVEEDORES[[#This Row],[SUBTOTAL]]-PROVEEDORES[[#This Row],[descuento sobre subtotal]])*VLOOKUP(PROVEEDORES[[#This Row],[PROVEEDOR]],TERCEROS_INFO[#All],3,FALSE)</f>
        <v>1063539.44</v>
      </c>
      <c r="N752" s="23"/>
      <c r="O752" s="22">
        <f>+PROVEEDORES[[#This Row],[Descuento sobre subtotal %]]*(PROVEEDORES[[#This Row],[SUBTOTAL]]-PROVEEDORES[[#This Row],[descuento sobre subtotal]])</f>
        <v>0</v>
      </c>
      <c r="P752" s="72">
        <f>+IF(PROVEEDORES[[#This Row],[SUBTOTAL]]&lt;PROVEEDORES[[#This Row],[base retencion]],0,PROVEEDORES[[#This Row],[retención aplicada]])</f>
        <v>2.5000000000000001E-2</v>
      </c>
      <c r="Q752" s="22">
        <f>+PROVEEDORES[[#This Row],[Rete Fuente %]]*(PROVEEDORES[[#This Row],[SUBTOTAL]]-PROVEEDORES[[#This Row],[descuento sobre subtotal]])</f>
        <v>139939.4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6521176.0399999991</v>
      </c>
      <c r="S7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1">
        <f ca="1">IF(PROVEEDORES[[#This Row],[FECHA DE PAGO]]=0,TODAY()-PROVEEDORES[[#This Row],[FECHA DE FACTURACIÓN]]-PROVEEDORES[[#This Row],[PLAZO Días]],0)</f>
        <v>0</v>
      </c>
      <c r="U752" s="97" t="str">
        <f>+VLOOKUP(PROVEEDORES[[#This Row],[PROVEEDOR]],Terceros!$A:$D,4,FALSE)</f>
        <v>2,5% con base</v>
      </c>
      <c r="V752" s="98">
        <f>+YEAR(PROVEEDORES[[#This Row],[FECHA DE FACTURACIÓN]])</f>
        <v>2023</v>
      </c>
      <c r="W752" s="98">
        <f>+MATCH(PROVEEDORES[[#This Row],[año facturado]],Retenciones!$1:$1,0)</f>
        <v>6</v>
      </c>
      <c r="X752" s="99">
        <f>+VLOOKUP(PROVEEDORES[[#This Row],[ID RETENCION]],Retenciones!$A$1:$O$25,PROVEEDORES[[#This Row],[indicador de columna]],FALSE)</f>
        <v>1145000</v>
      </c>
      <c r="Y752" s="100">
        <f>+VLOOKUP(PROVEEDORES[[#This Row],[ID RETENCION]],Retenciones!$A$1:$O$25,2,FALSE)</f>
        <v>2.5000000000000001E-2</v>
      </c>
      <c r="Z752" s="103" t="b">
        <f>OR(COUNTIF(PROVEEDORES[[#This Row],[PROVEEDOR]],"*"&amp;'Palabra no opera'!$A$2&amp;"*"))</f>
        <v>0</v>
      </c>
    </row>
    <row r="753" spans="1:26" ht="22.35" customHeight="1" x14ac:dyDescent="0.25">
      <c r="A753" s="65" t="str">
        <f>+IF(PROVEEDORES[[#This Row],[FECHA DE PAGO]]=PROVEEDORES[[#This Row],[FECHA DE FACTURACIÓN]],"DE CONTADO","CRÉDITO")</f>
        <v>CRÉDITO</v>
      </c>
      <c r="B753" s="38" t="str">
        <f>+IF((PROVEEDORES[[#This Row],[FECHA DE PAGO]]-PROVEEDORES[[#This Row],[FECHA DE FACTURACIÓN]])&gt;PROVEEDORES[[#This Row],[PLAZO Días]],"PAGO VENCIDO")</f>
        <v>PAGO VENCIDO</v>
      </c>
      <c r="C753" s="20">
        <f>+VLOOKUP(PROVEEDORES[[#This Row],[PROVEEDOR]],TERCEROS_INFO[#All],2,FALSE)</f>
        <v>30</v>
      </c>
      <c r="D753" s="25">
        <f>+SUMIFS(PROVEEDORES[Total],PROVEEDORES[PROVEEDOR],PROVEEDORES[[#This Row],[PROVEEDOR]],PROVEEDORES[FECHA DE PAGO],"")</f>
        <v>0</v>
      </c>
      <c r="E753" s="25"/>
      <c r="F753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753" s="289">
        <v>45322</v>
      </c>
      <c r="H753" s="26" t="s">
        <v>93</v>
      </c>
      <c r="I753" s="289">
        <v>45261</v>
      </c>
      <c r="J753" s="35" t="s">
        <v>1528</v>
      </c>
      <c r="K753" s="21">
        <v>229206</v>
      </c>
      <c r="L753" s="21"/>
      <c r="M753" s="22">
        <f>(PROVEEDORES[[#This Row],[SUBTOTAL]]-PROVEEDORES[[#This Row],[descuento sobre subtotal]])*VLOOKUP(PROVEEDORES[[#This Row],[PROVEEDOR]],TERCEROS_INFO[#All],3,FALSE)</f>
        <v>0</v>
      </c>
      <c r="N753" s="23"/>
      <c r="O753" s="22">
        <f>+PROVEEDORES[[#This Row],[Descuento sobre subtotal %]]*(PROVEEDORES[[#This Row],[SUBTOTAL]]-PROVEEDORES[[#This Row],[descuento sobre subtotal]])</f>
        <v>0</v>
      </c>
      <c r="P753" s="72">
        <f>+IF(PROVEEDORES[[#This Row],[SUBTOTAL]]&lt;PROVEEDORES[[#This Row],[base retencion]],0,PROVEEDORES[[#This Row],[retención aplicada]])</f>
        <v>0</v>
      </c>
      <c r="Q753" s="22">
        <f>+PROVEEDORES[[#This Row],[Rete Fuente %]]*(PROVEEDORES[[#This Row],[SUBTOTAL]]-PROVEEDORES[[#This Row],[descuento sobre subtotal]])</f>
        <v>0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229206</v>
      </c>
      <c r="S75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1">
        <f ca="1">IF(PROVEEDORES[[#This Row],[FECHA DE PAGO]]=0,TODAY()-PROVEEDORES[[#This Row],[FECHA DE FACTURACIÓN]]-PROVEEDORES[[#This Row],[PLAZO Días]],0)</f>
        <v>0</v>
      </c>
      <c r="U753" s="97">
        <f>+VLOOKUP(PROVEEDORES[[#This Row],[PROVEEDOR]],Terceros!$A:$D,4,FALSE)</f>
        <v>0</v>
      </c>
      <c r="V753" s="98">
        <f>+YEAR(PROVEEDORES[[#This Row],[FECHA DE FACTURACIÓN]])</f>
        <v>2023</v>
      </c>
      <c r="W753" s="98">
        <f>+MATCH(PROVEEDORES[[#This Row],[año facturado]],Retenciones!$1:$1,0)</f>
        <v>6</v>
      </c>
      <c r="X753" s="99">
        <f>+VLOOKUP(PROVEEDORES[[#This Row],[ID RETENCION]],Retenciones!$A$1:$O$25,PROVEEDORES[[#This Row],[indicador de columna]],FALSE)</f>
        <v>0</v>
      </c>
      <c r="Y753" s="100">
        <f>+VLOOKUP(PROVEEDORES[[#This Row],[ID RETENCION]],Retenciones!$A$1:$O$25,2,FALSE)</f>
        <v>0</v>
      </c>
      <c r="Z753" s="103" t="b">
        <f>OR(COUNTIF(PROVEEDORES[[#This Row],[PROVEEDOR]],"*"&amp;'Palabra no opera'!$A$2&amp;"*"))</f>
        <v>0</v>
      </c>
    </row>
    <row r="754" spans="1:26" ht="22.35" customHeight="1" x14ac:dyDescent="0.25">
      <c r="A754" s="310" t="str">
        <f>+IF(PROVEEDORES[[#This Row],[FECHA DE PAGO]]=PROVEEDORES[[#This Row],[FECHA DE FACTURACIÓN]],"DE CONTADO","CRÉDITO")</f>
        <v>CRÉDITO</v>
      </c>
      <c r="B754" s="38" t="str">
        <f>+IF((PROVEEDORES[[#This Row],[FECHA DE PAGO]]-PROVEEDORES[[#This Row],[FECHA DE FACTURACIÓN]])&gt;PROVEEDORES[[#This Row],[PLAZO Días]],"PAGO VENCIDO")</f>
        <v>PAGO VENCIDO</v>
      </c>
      <c r="C754" s="20">
        <f>+VLOOKUP(PROVEEDORES[[#This Row],[PROVEEDOR]],TERCEROS_INFO[#All],2,FALSE)</f>
        <v>30</v>
      </c>
      <c r="D754" s="25">
        <f>+SUMIFS(PROVEEDORES[Total],PROVEEDORES[PROVEEDOR],PROVEEDORES[[#This Row],[PROVEEDOR]],PROVEEDORES[FECHA DE PAGO],"")</f>
        <v>2169355.9580000001</v>
      </c>
      <c r="E754" s="25"/>
      <c r="F754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54" s="289">
        <v>45327</v>
      </c>
      <c r="H754" s="26" t="s">
        <v>18</v>
      </c>
      <c r="I754" s="289">
        <v>45295</v>
      </c>
      <c r="J754" s="35" t="s">
        <v>1492</v>
      </c>
      <c r="K754" s="21">
        <v>1895289</v>
      </c>
      <c r="L754" s="21"/>
      <c r="M754" s="22">
        <f>(PROVEEDORES[[#This Row],[SUBTOTAL]]-PROVEEDORES[[#This Row],[descuento sobre subtotal]])*VLOOKUP(PROVEEDORES[[#This Row],[PROVEEDOR]],TERCEROS_INFO[#All],3,FALSE)</f>
        <v>360104.91000000003</v>
      </c>
      <c r="N754" s="23"/>
      <c r="O754" s="22">
        <f>+PROVEEDORES[[#This Row],[Descuento sobre subtotal %]]*(PROVEEDORES[[#This Row],[SUBTOTAL]]-PROVEEDORES[[#This Row],[descuento sobre subtotal]])</f>
        <v>0</v>
      </c>
      <c r="P754" s="72">
        <f>+IF(PROVEEDORES[[#This Row],[SUBTOTAL]]&lt;PROVEEDORES[[#This Row],[base retencion]],0,PROVEEDORES[[#This Row],[retención aplicada]])</f>
        <v>2.5000000000000001E-2</v>
      </c>
      <c r="Q754" s="22">
        <f>+PROVEEDORES[[#This Row],[Rete Fuente %]]*(PROVEEDORES[[#This Row],[SUBTOTAL]]-PROVEEDORES[[#This Row],[descuento sobre subtotal]])</f>
        <v>47382.225000000006</v>
      </c>
      <c r="R754" s="21">
        <f>+PROVEEDORES[[#This Row],[SUBTOTAL]]+PROVEEDORES[[#This Row],[IVA 19%]]-PROVEEDORES[[#This Row],[descuento sobre subtotal]]-PROVEEDORES[[#This Row],[Descuento sobre subtotal $2]]-PROVEEDORES[[#This Row],[Rete Fuente $]]</f>
        <v>2208011.6850000001</v>
      </c>
      <c r="S754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1">
        <f ca="1">IF(PROVEEDORES[[#This Row],[FECHA DE PAGO]]=0,TODAY()-PROVEEDORES[[#This Row],[FECHA DE FACTURACIÓN]]-PROVEEDORES[[#This Row],[PLAZO Días]],0)</f>
        <v>0</v>
      </c>
      <c r="U754" s="97" t="str">
        <f>+VLOOKUP(PROVEEDORES[[#This Row],[PROVEEDOR]],Terceros!$A:$D,4,FALSE)</f>
        <v>2,5% con base</v>
      </c>
      <c r="V754" s="98">
        <f>+YEAR(PROVEEDORES[[#This Row],[FECHA DE FACTURACIÓN]])</f>
        <v>2024</v>
      </c>
      <c r="W754" s="98">
        <f>+MATCH(PROVEEDORES[[#This Row],[año facturado]],Retenciones!$1:$1,0)</f>
        <v>7</v>
      </c>
      <c r="X754" s="99">
        <f>+VLOOKUP(PROVEEDORES[[#This Row],[ID RETENCION]],Retenciones!$A$1:$O$25,PROVEEDORES[[#This Row],[indicador de columna]],FALSE)</f>
        <v>1271000</v>
      </c>
      <c r="Y754" s="100">
        <f>+VLOOKUP(PROVEEDORES[[#This Row],[ID RETENCION]],Retenciones!$A$1:$O$25,2,FALSE)</f>
        <v>2.5000000000000001E-2</v>
      </c>
      <c r="Z754" s="103" t="b">
        <f>OR(COUNTIF(PROVEEDORES[[#This Row],[PROVEEDOR]],"*"&amp;'Palabra no opera'!$A$2&amp;"*"))</f>
        <v>0</v>
      </c>
    </row>
    <row r="755" spans="1:26" ht="22.35" customHeight="1" x14ac:dyDescent="0.25">
      <c r="A755" s="314" t="str">
        <f>+IF(PROVEEDORES[[#This Row],[FECHA DE PAGO]]=PROVEEDORES[[#This Row],[FECHA DE FACTURACIÓN]],"DE CONTADO","CRÉDITO")</f>
        <v>CRÉDITO</v>
      </c>
      <c r="B755" s="38" t="b">
        <f>+IF((PROVEEDORES[[#This Row],[FECHA DE PAGO]]-PROVEEDORES[[#This Row],[FECHA DE FACTURACIÓN]])&gt;PROVEEDORES[[#This Row],[PLAZO Días]],"PAGO VENCIDO")</f>
        <v>0</v>
      </c>
      <c r="C755" s="20">
        <f>+VLOOKUP(PROVEEDORES[[#This Row],[PROVEEDOR]],TERCEROS_INFO[#All],2,FALSE)</f>
        <v>30</v>
      </c>
      <c r="D755" s="25">
        <f>+SUMIFS(PROVEEDORES[Total],PROVEEDORES[PROVEEDOR],PROVEEDORES[[#This Row],[PROVEEDOR]],PROVEEDORES[FECHA DE PAGO],"")</f>
        <v>2169355.9580000001</v>
      </c>
      <c r="E755" s="25"/>
      <c r="F755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755" s="26" t="s">
        <v>18</v>
      </c>
      <c r="I755" s="289">
        <v>45310</v>
      </c>
      <c r="J755" s="35" t="s">
        <v>1525</v>
      </c>
      <c r="K755" s="21">
        <v>628303</v>
      </c>
      <c r="L755" s="21"/>
      <c r="M755" s="22">
        <f>(PROVEEDORES[[#This Row],[SUBTOTAL]]-PROVEEDORES[[#This Row],[descuento sobre subtotal]])*VLOOKUP(PROVEEDORES[[#This Row],[PROVEEDOR]],TERCEROS_INFO[#All],3,FALSE)</f>
        <v>119377.57</v>
      </c>
      <c r="N755" s="23"/>
      <c r="O755" s="22">
        <f>+PROVEEDORES[[#This Row],[Descuento sobre subtotal %]]*(PROVEEDORES[[#This Row],[SUBTOTAL]]-PROVEEDORES[[#This Row],[descuento sobre subtotal]])</f>
        <v>0</v>
      </c>
      <c r="P755" s="72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747680.57000000007</v>
      </c>
      <c r="S755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755" s="61">
        <f ca="1">IF(PROVEEDORES[[#This Row],[FECHA DE PAGO]]=0,TODAY()-PROVEEDORES[[#This Row],[FECHA DE FACTURACIÓN]]-PROVEEDORES[[#This Row],[PLAZO Días]],0)</f>
        <v>-12</v>
      </c>
      <c r="U755" s="97" t="str">
        <f>+VLOOKUP(PROVEEDORES[[#This Row],[PROVEEDOR]],Terceros!$A:$D,4,FALSE)</f>
        <v>2,5% con base</v>
      </c>
      <c r="V755" s="98">
        <f>+YEAR(PROVEEDORES[[#This Row],[FECHA DE FACTURACIÓN]])</f>
        <v>2024</v>
      </c>
      <c r="W755" s="98">
        <f>+MATCH(PROVEEDORES[[#This Row],[año facturado]],Retenciones!$1:$1,0)</f>
        <v>7</v>
      </c>
      <c r="X755" s="99">
        <f>+VLOOKUP(PROVEEDORES[[#This Row],[ID RETENCION]],Retenciones!$A$1:$O$25,PROVEEDORES[[#This Row],[indicador de columna]],FALSE)</f>
        <v>1271000</v>
      </c>
      <c r="Y755" s="100">
        <f>+VLOOKUP(PROVEEDORES[[#This Row],[ID RETENCION]],Retenciones!$A$1:$O$25,2,FALSE)</f>
        <v>2.5000000000000001E-2</v>
      </c>
      <c r="Z755" s="103" t="b">
        <f>OR(COUNTIF(PROVEEDORES[[#This Row],[PROVEEDOR]],"*"&amp;'Palabra no opera'!$A$2&amp;"*"))</f>
        <v>0</v>
      </c>
    </row>
    <row r="756" spans="1:26" ht="22.35" customHeight="1" x14ac:dyDescent="0.25">
      <c r="A756" s="65" t="str">
        <f>+IF(PROVEEDORES[[#This Row],[FECHA DE PAGO]]=PROVEEDORES[[#This Row],[FECHA DE FACTURACIÓN]],"DE CONTADO","CRÉDITO")</f>
        <v>DE CONTADO</v>
      </c>
      <c r="B756" s="38" t="b">
        <f>+IF((PROVEEDORES[[#This Row],[FECHA DE PAGO]]-PROVEEDORES[[#This Row],[FECHA DE FACTURACIÓN]])&gt;PROVEEDORES[[#This Row],[PLAZO Días]],"PAGO VENCIDO")</f>
        <v>0</v>
      </c>
      <c r="C756" s="20">
        <f>+VLOOKUP(PROVEEDORES[[#This Row],[PROVEEDOR]],TERCEROS_INFO[#All],2,FALSE)</f>
        <v>30</v>
      </c>
      <c r="D756" s="25">
        <f>+SUMIFS(PROVEEDORES[Total],PROVEEDORES[PROVEEDOR],PROVEEDORES[[#This Row],[PROVEEDOR]],PROVEEDORES[FECHA DE PAGO],"")</f>
        <v>0</v>
      </c>
      <c r="E756" s="25"/>
      <c r="F756" s="56" t="str">
        <f>+VLOOKUP(PROVEEDORES[[#This Row],[PROVEEDOR]],
                       Terceros!$A:$F,
                       5,
                       FALSE)</f>
        <v>icelectronicsmedellin@hotmail.com</v>
      </c>
      <c r="G756" s="289">
        <v>45278</v>
      </c>
      <c r="H756" s="26" t="s">
        <v>1397</v>
      </c>
      <c r="I756" s="289">
        <v>45278</v>
      </c>
      <c r="J756" s="35" t="s">
        <v>1400</v>
      </c>
      <c r="K756" s="21">
        <v>630252</v>
      </c>
      <c r="L756" s="21"/>
      <c r="M756" s="22">
        <f>(PROVEEDORES[[#This Row],[SUBTOTAL]]-PROVEEDORES[[#This Row],[descuento sobre subtotal]])*VLOOKUP(PROVEEDORES[[#This Row],[PROVEEDOR]],TERCEROS_INFO[#All],3,FALSE)</f>
        <v>119747.88</v>
      </c>
      <c r="N756" s="23"/>
      <c r="O756" s="22">
        <f>+PROVEEDORES[[#This Row],[Descuento sobre subtotal %]]*(PROVEEDORES[[#This Row],[SUBTOTAL]]-PROVEEDORES[[#This Row],[descuento sobre subtotal]])</f>
        <v>0</v>
      </c>
      <c r="P756" s="72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7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1">
        <f ca="1">IF(PROVEEDORES[[#This Row],[FECHA DE PAGO]]=0,TODAY()-PROVEEDORES[[#This Row],[FECHA DE FACTURACIÓN]]-PROVEEDORES[[#This Row],[PLAZO Días]],0)</f>
        <v>0</v>
      </c>
      <c r="U756" s="97" t="str">
        <f>+VLOOKUP(PROVEEDORES[[#This Row],[PROVEEDOR]],Terceros!$A:$D,4,FALSE)</f>
        <v>2,5% con base</v>
      </c>
      <c r="V756" s="98">
        <f>+YEAR(PROVEEDORES[[#This Row],[FECHA DE FACTURACIÓN]])</f>
        <v>2023</v>
      </c>
      <c r="W756" s="98">
        <f>+MATCH(PROVEEDORES[[#This Row],[año facturado]],Retenciones!$1:$1,0)</f>
        <v>6</v>
      </c>
      <c r="X756" s="99">
        <f>+VLOOKUP(PROVEEDORES[[#This Row],[ID RETENCION]],Retenciones!$A$1:$O$25,PROVEEDORES[[#This Row],[indicador de columna]],FALSE)</f>
        <v>1145000</v>
      </c>
      <c r="Y756" s="100">
        <f>+VLOOKUP(PROVEEDORES[[#This Row],[ID RETENCION]],Retenciones!$A$1:$O$25,2,FALSE)</f>
        <v>2.5000000000000001E-2</v>
      </c>
      <c r="Z756" s="103" t="b">
        <f>OR(COUNTIF(PROVEEDORES[[#This Row],[PROVEEDOR]],"*"&amp;'Palabra no opera'!$A$2&amp;"*"))</f>
        <v>0</v>
      </c>
    </row>
    <row r="757" spans="1:26" ht="22.35" customHeight="1" x14ac:dyDescent="0.25">
      <c r="A757" s="65" t="str">
        <f>+IF(PROVEEDORES[[#This Row],[FECHA DE PAGO]]=PROVEEDORES[[#This Row],[FECHA DE FACTURACIÓN]],"DE CONTADO","CRÉDITO")</f>
        <v>CRÉDITO</v>
      </c>
      <c r="B757" s="38" t="str">
        <f>+IF((PROVEEDORES[[#This Row],[FECHA DE PAGO]]-PROVEEDORES[[#This Row],[FECHA DE FACTURACIÓN]])&gt;PROVEEDORES[[#This Row],[PLAZO Días]],"PAGO VENCIDO")</f>
        <v>PAGO VENCIDO</v>
      </c>
      <c r="C757" s="20">
        <f>+VLOOKUP(PROVEEDORES[[#This Row],[PROVEEDOR]],TERCEROS_INFO[#All],2,FALSE)</f>
        <v>0</v>
      </c>
      <c r="D757" s="25">
        <f>+SUMIFS(PROVEEDORES[Total],PROVEEDORES[PROVEEDOR],PROVEEDORES[[#This Row],[PROVEEDOR]],PROVEEDORES[FECHA DE PAGO],"")</f>
        <v>0</v>
      </c>
      <c r="E757" s="25"/>
      <c r="F757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757" s="289">
        <v>45250</v>
      </c>
      <c r="H757" s="26" t="s">
        <v>1172</v>
      </c>
      <c r="I757" s="289">
        <v>45210</v>
      </c>
      <c r="J757" s="35" t="s">
        <v>1252</v>
      </c>
      <c r="K757" s="21">
        <v>-1168669</v>
      </c>
      <c r="L757" s="21"/>
      <c r="M757" s="22">
        <v>0</v>
      </c>
      <c r="N757" s="23"/>
      <c r="O757" s="22">
        <f>+PROVEEDORES[[#This Row],[Descuento sobre subtotal %]]*(PROVEEDORES[[#This Row],[SUBTOTAL]]-PROVEEDORES[[#This Row],[descuento sobre subtotal]])</f>
        <v>0</v>
      </c>
      <c r="P757" s="72">
        <v>0</v>
      </c>
      <c r="Q757" s="22">
        <f>+PROVEEDORES[[#This Row],[Rete Fuente %]]*(PROVEEDORES[[#This Row],[SUBTOTAL]]-PROVEEDORES[[#This Row],[descuento sobre subtotal]])</f>
        <v>0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-1168669</v>
      </c>
      <c r="S7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1">
        <f ca="1">IF(PROVEEDORES[[#This Row],[FECHA DE PAGO]]=0,TODAY()-PROVEEDORES[[#This Row],[FECHA DE FACTURACIÓN]]-PROVEEDORES[[#This Row],[PLAZO Días]],0)</f>
        <v>0</v>
      </c>
      <c r="U757" s="97" t="str">
        <f>+VLOOKUP(PROVEEDORES[[#This Row],[PROVEEDOR]],Terceros!$A:$D,4,FALSE)</f>
        <v>4% con base</v>
      </c>
      <c r="V757" s="98">
        <f>+YEAR(PROVEEDORES[[#This Row],[FECHA DE FACTURACIÓN]])</f>
        <v>2023</v>
      </c>
      <c r="W757" s="98">
        <f>+MATCH(PROVEEDORES[[#This Row],[año facturado]],Retenciones!$1:$1,0)</f>
        <v>6</v>
      </c>
      <c r="X757" s="99">
        <f>+VLOOKUP(PROVEEDORES[[#This Row],[ID RETENCION]],Retenciones!$A$1:$O$25,PROVEEDORES[[#This Row],[indicador de columna]],FALSE)</f>
        <v>170000</v>
      </c>
      <c r="Y757" s="100">
        <f>+VLOOKUP(PROVEEDORES[[#This Row],[ID RETENCION]],Retenciones!$A$1:$O$25,2,FALSE)</f>
        <v>0.04</v>
      </c>
      <c r="Z757" s="103" t="b">
        <f>OR(COUNTIF(PROVEEDORES[[#This Row],[PROVEEDOR]],"*"&amp;'Palabra no opera'!$A$2&amp;"*"))</f>
        <v>0</v>
      </c>
    </row>
    <row r="758" spans="1:26" ht="22.35" customHeight="1" x14ac:dyDescent="0.25">
      <c r="A758" s="65" t="str">
        <f>+IF(PROVEEDORES[[#This Row],[FECHA DE PAGO]]=PROVEEDORES[[#This Row],[FECHA DE FACTURACIÓN]],"DE CONTADO","CRÉDITO")</f>
        <v>CRÉDITO</v>
      </c>
      <c r="B758" s="38" t="str">
        <f>+IF((PROVEEDORES[[#This Row],[FECHA DE PAGO]]-PROVEEDORES[[#This Row],[FECHA DE FACTURACIÓN]])&gt;PROVEEDORES[[#This Row],[PLAZO Días]],"PAGO VENCIDO")</f>
        <v>PAGO VENCIDO</v>
      </c>
      <c r="C758" s="20">
        <f>+VLOOKUP(PROVEEDORES[[#This Row],[PROVEEDOR]],TERCEROS_INFO[#All],2,FALSE)</f>
        <v>0</v>
      </c>
      <c r="D758" s="25">
        <f>+SUMIFS(PROVEEDORES[Total],PROVEEDORES[PROVEEDOR],PROVEEDORES[[#This Row],[PROVEEDOR]],PROVEEDORES[FECHA DE PAGO],"")</f>
        <v>0</v>
      </c>
      <c r="E758" s="25"/>
      <c r="F758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758" s="289">
        <v>45250</v>
      </c>
      <c r="H758" s="26" t="s">
        <v>1172</v>
      </c>
      <c r="I758" s="289">
        <v>45210</v>
      </c>
      <c r="J758" s="35" t="s">
        <v>1251</v>
      </c>
      <c r="K758" s="21">
        <v>-759339</v>
      </c>
      <c r="L758" s="21"/>
      <c r="M758" s="22">
        <v>0</v>
      </c>
      <c r="N758" s="23"/>
      <c r="O758" s="22">
        <f>+PROVEEDORES[[#This Row],[Descuento sobre subtotal %]]*(PROVEEDORES[[#This Row],[SUBTOTAL]]-PROVEEDORES[[#This Row],[descuento sobre subtotal]])</f>
        <v>0</v>
      </c>
      <c r="P758" s="72"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-759339</v>
      </c>
      <c r="S7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1">
        <f ca="1">IF(PROVEEDORES[[#This Row],[FECHA DE PAGO]]=0,TODAY()-PROVEEDORES[[#This Row],[FECHA DE FACTURACIÓN]]-PROVEEDORES[[#This Row],[PLAZO Días]],0)</f>
        <v>0</v>
      </c>
      <c r="U758" s="97" t="str">
        <f>+VLOOKUP(PROVEEDORES[[#This Row],[PROVEEDOR]],Terceros!$A:$D,4,FALSE)</f>
        <v>4% con base</v>
      </c>
      <c r="V758" s="98">
        <f>+YEAR(PROVEEDORES[[#This Row],[FECHA DE FACTURACIÓN]])</f>
        <v>2023</v>
      </c>
      <c r="W758" s="98">
        <f>+MATCH(PROVEEDORES[[#This Row],[año facturado]],Retenciones!$1:$1,0)</f>
        <v>6</v>
      </c>
      <c r="X758" s="99">
        <f>+VLOOKUP(PROVEEDORES[[#This Row],[ID RETENCION]],Retenciones!$A$1:$O$25,PROVEEDORES[[#This Row],[indicador de columna]],FALSE)</f>
        <v>170000</v>
      </c>
      <c r="Y758" s="100">
        <f>+VLOOKUP(PROVEEDORES[[#This Row],[ID RETENCION]],Retenciones!$A$1:$O$25,2,FALSE)</f>
        <v>0.04</v>
      </c>
      <c r="Z758" s="103" t="b">
        <f>OR(COUNTIF(PROVEEDORES[[#This Row],[PROVEEDOR]],"*"&amp;'Palabra no opera'!$A$2&amp;"*"))</f>
        <v>0</v>
      </c>
    </row>
    <row r="759" spans="1:26" ht="22.35" customHeight="1" x14ac:dyDescent="0.25">
      <c r="A759" s="65" t="str">
        <f>+IF(PROVEEDORES[[#This Row],[FECHA DE PAGO]]=PROVEEDORES[[#This Row],[FECHA DE FACTURACIÓN]],"DE CONTADO","CRÉDITO")</f>
        <v>DE CONTADO</v>
      </c>
      <c r="B759" s="38" t="b">
        <f>+IF((PROVEEDORES[[#This Row],[FECHA DE PAGO]]-PROVEEDORES[[#This Row],[FECHA DE FACTURACIÓN]])&gt;PROVEEDORES[[#This Row],[PLAZO Días]],"PAGO VENCIDO")</f>
        <v>0</v>
      </c>
      <c r="C759" s="20">
        <f>+VLOOKUP(PROVEEDORES[[#This Row],[PROVEEDOR]],TERCEROS_INFO[#All],2,FALSE)</f>
        <v>0</v>
      </c>
      <c r="D759" s="25">
        <f>+SUMIFS(PROVEEDORES[Total],PROVEEDORES[PROVEEDOR],PROVEEDORES[[#This Row],[PROVEEDOR]],PROVEEDORES[FECHA DE PAGO],"")</f>
        <v>0</v>
      </c>
      <c r="E759" s="25"/>
      <c r="F759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759" s="289">
        <v>45250</v>
      </c>
      <c r="H759" s="26" t="s">
        <v>1172</v>
      </c>
      <c r="I759" s="289">
        <v>45250</v>
      </c>
      <c r="J759" s="35" t="s">
        <v>1253</v>
      </c>
      <c r="K759" s="21">
        <v>1964150</v>
      </c>
      <c r="L759" s="21"/>
      <c r="M759" s="22">
        <f>(PROVEEDORES[[#This Row],[SUBTOTAL]]-PROVEEDORES[[#This Row],[descuento sobre subtotal]])*VLOOKUP(PROVEEDORES[[#This Row],[PROVEEDOR]],TERCEROS_INFO[#All],3,FALSE)</f>
        <v>373188.5</v>
      </c>
      <c r="N759" s="23"/>
      <c r="O759" s="22">
        <f>+PROVEEDORES[[#This Row],[Descuento sobre subtotal %]]*(PROVEEDORES[[#This Row],[SUBTOTAL]]-PROVEEDORES[[#This Row],[descuento sobre subtotal]])</f>
        <v>0</v>
      </c>
      <c r="P759" s="72">
        <f>+IF(PROVEEDORES[[#This Row],[SUBTOTAL]]&lt;PROVEEDORES[[#This Row],[base retencion]],0,PROVEEDORES[[#This Row],[retención aplicada]])</f>
        <v>0.04</v>
      </c>
      <c r="Q759" s="22">
        <f>+PROVEEDORES[[#This Row],[Rete Fuente %]]*(PROVEEDORES[[#This Row],[SUBTOTAL]]-PROVEEDORES[[#This Row],[descuento sobre subtotal]])</f>
        <v>78566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2258772.5</v>
      </c>
      <c r="S7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1">
        <f ca="1">IF(PROVEEDORES[[#This Row],[FECHA DE PAGO]]=0,TODAY()-PROVEEDORES[[#This Row],[FECHA DE FACTURACIÓN]]-PROVEEDORES[[#This Row],[PLAZO Días]],0)</f>
        <v>0</v>
      </c>
      <c r="U759" s="97" t="str">
        <f>+VLOOKUP(PROVEEDORES[[#This Row],[PROVEEDOR]],Terceros!$A:$D,4,FALSE)</f>
        <v>4% con base</v>
      </c>
      <c r="V759" s="98">
        <f>+YEAR(PROVEEDORES[[#This Row],[FECHA DE FACTURACIÓN]])</f>
        <v>2023</v>
      </c>
      <c r="W759" s="98">
        <f>+MATCH(PROVEEDORES[[#This Row],[año facturado]],Retenciones!$1:$1,0)</f>
        <v>6</v>
      </c>
      <c r="X759" s="99">
        <f>+VLOOKUP(PROVEEDORES[[#This Row],[ID RETENCION]],Retenciones!$A$1:$O$25,PROVEEDORES[[#This Row],[indicador de columna]],FALSE)</f>
        <v>170000</v>
      </c>
      <c r="Y759" s="100">
        <f>+VLOOKUP(PROVEEDORES[[#This Row],[ID RETENCION]],Retenciones!$A$1:$O$25,2,FALSE)</f>
        <v>0.04</v>
      </c>
      <c r="Z759" s="103" t="b">
        <f>OR(COUNTIF(PROVEEDORES[[#This Row],[PROVEEDOR]],"*"&amp;'Palabra no opera'!$A$2&amp;"*"))</f>
        <v>0</v>
      </c>
    </row>
    <row r="760" spans="1:26" ht="22.35" customHeight="1" x14ac:dyDescent="0.25">
      <c r="A760" s="65" t="str">
        <f>+IF(PROVEEDORES[[#This Row],[FECHA DE PAGO]]=PROVEEDORES[[#This Row],[FECHA DE FACTURACIÓN]],"DE CONTADO","CRÉDITO")</f>
        <v>DE CONTADO</v>
      </c>
      <c r="B760" s="38" t="b">
        <f>+IF((PROVEEDORES[[#This Row],[FECHA DE PAGO]]-PROVEEDORES[[#This Row],[FECHA DE FACTURACIÓN]])&gt;PROVEEDORES[[#This Row],[PLAZO Días]],"PAGO VENCIDO")</f>
        <v>0</v>
      </c>
      <c r="C760" s="20">
        <f>+VLOOKUP(PROVEEDORES[[#This Row],[PROVEEDOR]],TERCEROS_INFO[#All],2,FALSE)</f>
        <v>0</v>
      </c>
      <c r="D760" s="25">
        <f>+SUMIFS(PROVEEDORES[Total],PROVEEDORES[PROVEEDOR],PROVEEDORES[[#This Row],[PROVEEDOR]],PROVEEDORES[FECHA DE PAGO],"")</f>
        <v>0</v>
      </c>
      <c r="E760" s="25"/>
      <c r="F760" s="56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760" s="289">
        <v>45250</v>
      </c>
      <c r="H760" s="26" t="s">
        <v>1172</v>
      </c>
      <c r="I760" s="289">
        <v>45250</v>
      </c>
      <c r="J760" s="35" t="s">
        <v>1254</v>
      </c>
      <c r="K760" s="21">
        <v>1276200</v>
      </c>
      <c r="L760" s="21"/>
      <c r="M760" s="22">
        <f>(PROVEEDORES[[#This Row],[SUBTOTAL]]-PROVEEDORES[[#This Row],[descuento sobre subtotal]])*VLOOKUP(PROVEEDORES[[#This Row],[PROVEEDOR]],TERCEROS_INFO[#All],3,FALSE)</f>
        <v>242478</v>
      </c>
      <c r="N760" s="23"/>
      <c r="O760" s="22">
        <f>+PROVEEDORES[[#This Row],[Descuento sobre subtotal %]]*(PROVEEDORES[[#This Row],[SUBTOTAL]]-PROVEEDORES[[#This Row],[descuento sobre subtotal]])</f>
        <v>0</v>
      </c>
      <c r="P760" s="72">
        <f>+IF(PROVEEDORES[[#This Row],[SUBTOTAL]]&lt;PROVEEDORES[[#This Row],[base retencion]],0,PROVEEDORES[[#This Row],[retención aplicada]])</f>
        <v>0.04</v>
      </c>
      <c r="Q760" s="22">
        <f>+PROVEEDORES[[#This Row],[Rete Fuente %]]*(PROVEEDORES[[#This Row],[SUBTOTAL]]-PROVEEDORES[[#This Row],[descuento sobre subtotal]])</f>
        <v>51048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1467630</v>
      </c>
      <c r="S7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1">
        <f ca="1">IF(PROVEEDORES[[#This Row],[FECHA DE PAGO]]=0,TODAY()-PROVEEDORES[[#This Row],[FECHA DE FACTURACIÓN]]-PROVEEDORES[[#This Row],[PLAZO Días]],0)</f>
        <v>0</v>
      </c>
      <c r="U760" s="97" t="str">
        <f>+VLOOKUP(PROVEEDORES[[#This Row],[PROVEEDOR]],Terceros!$A:$D,4,FALSE)</f>
        <v>4% con base</v>
      </c>
      <c r="V760" s="98">
        <f>+YEAR(PROVEEDORES[[#This Row],[FECHA DE FACTURACIÓN]])</f>
        <v>2023</v>
      </c>
      <c r="W760" s="98">
        <f>+MATCH(PROVEEDORES[[#This Row],[año facturado]],Retenciones!$1:$1,0)</f>
        <v>6</v>
      </c>
      <c r="X760" s="99">
        <f>+VLOOKUP(PROVEEDORES[[#This Row],[ID RETENCION]],Retenciones!$A$1:$O$25,PROVEEDORES[[#This Row],[indicador de columna]],FALSE)</f>
        <v>170000</v>
      </c>
      <c r="Y760" s="100">
        <f>+VLOOKUP(PROVEEDORES[[#This Row],[ID RETENCION]],Retenciones!$A$1:$O$25,2,FALSE)</f>
        <v>0.04</v>
      </c>
      <c r="Z760" s="103" t="b">
        <f>OR(COUNTIF(PROVEEDORES[[#This Row],[PROVEEDOR]],"*"&amp;'Palabra no opera'!$A$2&amp;"*"))</f>
        <v>0</v>
      </c>
    </row>
    <row r="761" spans="1:26" ht="22.35" customHeight="1" x14ac:dyDescent="0.25">
      <c r="A761" s="219" t="str">
        <f>+IF(PROVEEDORES[[#This Row],[FECHA DE PAGO]]=PROVEEDORES[[#This Row],[FECHA DE FACTURACIÓN]],"DE CONTADO","CRÉDITO")</f>
        <v>CRÉDITO</v>
      </c>
      <c r="B761" s="38" t="str">
        <f>+IF((PROVEEDORES[[#This Row],[FECHA DE PAGO]]-PROVEEDORES[[#This Row],[FECHA DE FACTURACIÓN]])&gt;PROVEEDORES[[#This Row],[PLAZO Días]],"PAGO VENCIDO")</f>
        <v>PAGO VENCIDO</v>
      </c>
      <c r="C761" s="20">
        <f>+VLOOKUP(PROVEEDORES[[#This Row],[PROVEEDOR]],TERCEROS_INFO[#All],2,FALSE)</f>
        <v>30</v>
      </c>
      <c r="D761" s="25">
        <f>+SUMIFS(PROVEEDORES[Total],PROVEEDORES[PROVEEDOR],PROVEEDORES[[#This Row],[PROVEEDOR]],PROVEEDORES[FECHA DE PAGO],"")</f>
        <v>0</v>
      </c>
      <c r="E761" s="25"/>
      <c r="F76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61" s="289">
        <v>45208</v>
      </c>
      <c r="H761" s="26" t="s">
        <v>994</v>
      </c>
      <c r="I761" s="289">
        <v>45140</v>
      </c>
      <c r="J761" s="35" t="s">
        <v>996</v>
      </c>
      <c r="K761" s="21">
        <v>3115967</v>
      </c>
      <c r="L761" s="21"/>
      <c r="M761" s="22">
        <f>(PROVEEDORES[[#This Row],[SUBTOTAL]]-PROVEEDORES[[#This Row],[descuento sobre subtotal]])*VLOOKUP(PROVEEDORES[[#This Row],[PROVEEDOR]],TERCEROS_INFO[#All],3,FALSE)</f>
        <v>592033.73</v>
      </c>
      <c r="N761" s="23"/>
      <c r="O761" s="22">
        <f>+PROVEEDORES[[#This Row],[Descuento sobre subtotal %]]*(PROVEEDORES[[#This Row],[SUBTOTAL]]-PROVEEDORES[[#This Row],[descuento sobre subtotal]])</f>
        <v>0</v>
      </c>
      <c r="P761" s="72">
        <f>+IF(PROVEEDORES[[#This Row],[SUBTOTAL]]&lt;PROVEEDORES[[#This Row],[base retencion]],0,PROVEEDORES[[#This Row],[retención aplicada]])</f>
        <v>2.5000000000000001E-2</v>
      </c>
      <c r="Q761" s="22">
        <f>+PROVEEDORES[[#This Row],[Rete Fuente %]]*(PROVEEDORES[[#This Row],[SUBTOTAL]]-PROVEEDORES[[#This Row],[descuento sobre subtotal]])</f>
        <v>77899.175000000003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3630101.5550000002</v>
      </c>
      <c r="S761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1">
        <f ca="1">IF(PROVEEDORES[[#This Row],[FECHA DE PAGO]]=0,TODAY()-PROVEEDORES[[#This Row],[FECHA DE FACTURACIÓN]]-PROVEEDORES[[#This Row],[PLAZO Días]],0)</f>
        <v>0</v>
      </c>
      <c r="U761" s="97" t="str">
        <f>+VLOOKUP(PROVEEDORES[[#This Row],[PROVEEDOR]],Terceros!$A:$D,4,FALSE)</f>
        <v>2,5% con base</v>
      </c>
      <c r="V761" s="98">
        <f>+YEAR(PROVEEDORES[[#This Row],[FECHA DE FACTURACIÓN]])</f>
        <v>2023</v>
      </c>
      <c r="W761" s="98">
        <f>+MATCH(PROVEEDORES[[#This Row],[año facturado]],Retenciones!$1:$1,0)</f>
        <v>6</v>
      </c>
      <c r="X761" s="99">
        <f>+VLOOKUP(PROVEEDORES[[#This Row],[ID RETENCION]],Retenciones!$A$1:$O$25,PROVEEDORES[[#This Row],[indicador de columna]],FALSE)</f>
        <v>1145000</v>
      </c>
      <c r="Y761" s="100">
        <f>+VLOOKUP(PROVEEDORES[[#This Row],[ID RETENCION]],Retenciones!$A$1:$O$25,2,FALSE)</f>
        <v>2.5000000000000001E-2</v>
      </c>
      <c r="Z761" s="103" t="b">
        <f>OR(COUNTIF(PROVEEDORES[[#This Row],[PROVEEDOR]],"*"&amp;'Palabra no opera'!$A$2&amp;"*"))</f>
        <v>0</v>
      </c>
    </row>
    <row r="762" spans="1:26" ht="22.35" customHeight="1" x14ac:dyDescent="0.25">
      <c r="A762" s="65" t="str">
        <f>+IF(PROVEEDORES[[#This Row],[FECHA DE PAGO]]=PROVEEDORES[[#This Row],[FECHA DE FACTURACIÓN]],"DE CONTADO","CRÉDITO")</f>
        <v>CRÉDITO</v>
      </c>
      <c r="B762" s="38" t="str">
        <f>+IF((PROVEEDORES[[#This Row],[FECHA DE PAGO]]-PROVEEDORES[[#This Row],[FECHA DE FACTURACIÓN]])&gt;PROVEEDORES[[#This Row],[PLAZO Días]],"PAGO VENCIDO")</f>
        <v>PAGO VENCIDO</v>
      </c>
      <c r="C762" s="20">
        <f>+VLOOKUP(PROVEEDORES[[#This Row],[PROVEEDOR]],TERCEROS_INFO[#All],2,FALSE)</f>
        <v>30</v>
      </c>
      <c r="D762" s="25">
        <f>+SUMIFS(PROVEEDORES[Total],PROVEEDORES[PROVEEDOR],PROVEEDORES[[#This Row],[PROVEEDOR]],PROVEEDORES[FECHA DE PAGO],"")</f>
        <v>0</v>
      </c>
      <c r="E762" s="25"/>
      <c r="F76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62" s="289">
        <v>45208</v>
      </c>
      <c r="H762" s="26" t="s">
        <v>994</v>
      </c>
      <c r="I762" s="289">
        <v>45153</v>
      </c>
      <c r="J762" s="35" t="s">
        <v>1050</v>
      </c>
      <c r="K762" s="21">
        <v>327731</v>
      </c>
      <c r="L762" s="21"/>
      <c r="M762" s="22">
        <f>(PROVEEDORES[[#This Row],[SUBTOTAL]]-PROVEEDORES[[#This Row],[descuento sobre subtotal]])*VLOOKUP(PROVEEDORES[[#This Row],[PROVEEDOR]],TERCEROS_INFO[#All],3,FALSE)</f>
        <v>62268.89</v>
      </c>
      <c r="N762" s="23"/>
      <c r="O762" s="22">
        <f>+PROVEEDORES[[#This Row],[Descuento sobre subtotal %]]*(PROVEEDORES[[#This Row],[SUBTOTAL]]-PROVEEDORES[[#This Row],[descuento sobre subtotal]])</f>
        <v>0</v>
      </c>
      <c r="P762" s="72">
        <f>+IF(PROVEEDORES[[#This Row],[SUBTOTAL]]&lt;PROVEEDORES[[#This Row],[base retencion]],0,PROVEEDORES[[#This Row],[retención aplicada]])</f>
        <v>0</v>
      </c>
      <c r="Q762" s="22">
        <f>+PROVEEDORES[[#This Row],[Rete Fuente %]]*(PROVEEDORES[[#This Row],[SUBTOTAL]]-PROVEEDORES[[#This Row],[descuento sobre subtotal]])</f>
        <v>0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389999.89</v>
      </c>
      <c r="S7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1">
        <f ca="1">IF(PROVEEDORES[[#This Row],[FECHA DE PAGO]]=0,TODAY()-PROVEEDORES[[#This Row],[FECHA DE FACTURACIÓN]]-PROVEEDORES[[#This Row],[PLAZO Días]],0)</f>
        <v>0</v>
      </c>
      <c r="U762" s="97" t="str">
        <f>+VLOOKUP(PROVEEDORES[[#This Row],[PROVEEDOR]],Terceros!$A:$D,4,FALSE)</f>
        <v>2,5% con base</v>
      </c>
      <c r="V762" s="98">
        <f>+YEAR(PROVEEDORES[[#This Row],[FECHA DE FACTURACIÓN]])</f>
        <v>2023</v>
      </c>
      <c r="W762" s="98">
        <f>+MATCH(PROVEEDORES[[#This Row],[año facturado]],Retenciones!$1:$1,0)</f>
        <v>6</v>
      </c>
      <c r="X762" s="99">
        <f>+VLOOKUP(PROVEEDORES[[#This Row],[ID RETENCION]],Retenciones!$A$1:$O$25,PROVEEDORES[[#This Row],[indicador de columna]],FALSE)</f>
        <v>1145000</v>
      </c>
      <c r="Y762" s="100">
        <f>+VLOOKUP(PROVEEDORES[[#This Row],[ID RETENCION]],Retenciones!$A$1:$O$25,2,FALSE)</f>
        <v>2.5000000000000001E-2</v>
      </c>
      <c r="Z762" s="103" t="b">
        <f>OR(COUNTIF(PROVEEDORES[[#This Row],[PROVEEDOR]],"*"&amp;'Palabra no opera'!$A$2&amp;"*"))</f>
        <v>0</v>
      </c>
    </row>
    <row r="763" spans="1:26" ht="22.35" customHeight="1" x14ac:dyDescent="0.25">
      <c r="A763" s="65" t="str">
        <f>+IF(PROVEEDORES[[#This Row],[FECHA DE PAGO]]=PROVEEDORES[[#This Row],[FECHA DE FACTURACIÓN]],"DE CONTADO","CRÉDITO")</f>
        <v>CRÉDITO</v>
      </c>
      <c r="B763" s="38" t="str">
        <f>+IF((PROVEEDORES[[#This Row],[FECHA DE PAGO]]-PROVEEDORES[[#This Row],[FECHA DE FACTURACIÓN]])&gt;PROVEEDORES[[#This Row],[PLAZO Días]],"PAGO VENCIDO")</f>
        <v>PAGO VENCIDO</v>
      </c>
      <c r="C763" s="20">
        <f>+VLOOKUP(PROVEEDORES[[#This Row],[PROVEEDOR]],TERCEROS_INFO[#All],2,FALSE)</f>
        <v>30</v>
      </c>
      <c r="D763" s="25">
        <f>+SUMIFS(PROVEEDORES[Total],PROVEEDORES[PROVEEDOR],PROVEEDORES[[#This Row],[PROVEEDOR]],PROVEEDORES[FECHA DE PAGO],"")</f>
        <v>0</v>
      </c>
      <c r="E763" s="25"/>
      <c r="F76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63" s="289">
        <v>45246</v>
      </c>
      <c r="H763" s="26" t="s">
        <v>994</v>
      </c>
      <c r="I763" s="289">
        <v>45178</v>
      </c>
      <c r="J763" s="35" t="s">
        <v>1114</v>
      </c>
      <c r="K763" s="21">
        <v>1157983</v>
      </c>
      <c r="L763" s="21"/>
      <c r="M763" s="22">
        <f>(PROVEEDORES[[#This Row],[SUBTOTAL]]-PROVEEDORES[[#This Row],[descuento sobre subtotal]])*VLOOKUP(PROVEEDORES[[#This Row],[PROVEEDOR]],TERCEROS_INFO[#All],3,FALSE)</f>
        <v>220016.77</v>
      </c>
      <c r="N763" s="23"/>
      <c r="O763" s="22">
        <f>+PROVEEDORES[[#This Row],[Descuento sobre subtotal %]]*(PROVEEDORES[[#This Row],[SUBTOTAL]]-PROVEEDORES[[#This Row],[descuento sobre subtotal]])</f>
        <v>0</v>
      </c>
      <c r="P763" s="72">
        <f>+IF(PROVEEDORES[[#This Row],[SUBTOTAL]]&lt;PROVEEDORES[[#This Row],[base retencion]],0,PROVEEDORES[[#This Row],[retención aplicada]])</f>
        <v>2.5000000000000001E-2</v>
      </c>
      <c r="Q763" s="22">
        <f>+PROVEEDORES[[#This Row],[Rete Fuente %]]*(PROVEEDORES[[#This Row],[SUBTOTAL]]-PROVEEDORES[[#This Row],[descuento sobre subtotal]])</f>
        <v>28949.575000000001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1349050.1950000001</v>
      </c>
      <c r="S7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1">
        <f ca="1">IF(PROVEEDORES[[#This Row],[FECHA DE PAGO]]=0,TODAY()-PROVEEDORES[[#This Row],[FECHA DE FACTURACIÓN]]-PROVEEDORES[[#This Row],[PLAZO Días]],0)</f>
        <v>0</v>
      </c>
      <c r="U763" s="97" t="str">
        <f>+VLOOKUP(PROVEEDORES[[#This Row],[PROVEEDOR]],Terceros!$A:$D,4,FALSE)</f>
        <v>2,5% con base</v>
      </c>
      <c r="V763" s="98">
        <f>+YEAR(PROVEEDORES[[#This Row],[FECHA DE FACTURACIÓN]])</f>
        <v>2023</v>
      </c>
      <c r="W763" s="98">
        <f>+MATCH(PROVEEDORES[[#This Row],[año facturado]],Retenciones!$1:$1,0)</f>
        <v>6</v>
      </c>
      <c r="X763" s="99">
        <f>+VLOOKUP(PROVEEDORES[[#This Row],[ID RETENCION]],Retenciones!$A$1:$O$25,PROVEEDORES[[#This Row],[indicador de columna]],FALSE)</f>
        <v>1145000</v>
      </c>
      <c r="Y763" s="100">
        <f>+VLOOKUP(PROVEEDORES[[#This Row],[ID RETENCION]],Retenciones!$A$1:$O$25,2,FALSE)</f>
        <v>2.5000000000000001E-2</v>
      </c>
      <c r="Z763" s="103" t="b">
        <f>OR(COUNTIF(PROVEEDORES[[#This Row],[PROVEEDOR]],"*"&amp;'Palabra no opera'!$A$2&amp;"*"))</f>
        <v>0</v>
      </c>
    </row>
    <row r="764" spans="1:26" ht="22.35" customHeight="1" x14ac:dyDescent="0.25">
      <c r="A764" s="65" t="str">
        <f>+IF(PROVEEDORES[[#This Row],[FECHA DE PAGO]]=PROVEEDORES[[#This Row],[FECHA DE FACTURACIÓN]],"DE CONTADO","CRÉDITO")</f>
        <v>CRÉDITO</v>
      </c>
      <c r="B764" s="38" t="str">
        <f>+IF((PROVEEDORES[[#This Row],[FECHA DE PAGO]]-PROVEEDORES[[#This Row],[FECHA DE FACTURACIÓN]])&gt;PROVEEDORES[[#This Row],[PLAZO Días]],"PAGO VENCIDO")</f>
        <v>PAGO VENCIDO</v>
      </c>
      <c r="C764" s="20">
        <f>+VLOOKUP(PROVEEDORES[[#This Row],[PROVEEDOR]],TERCEROS_INFO[#All],2,FALSE)</f>
        <v>30</v>
      </c>
      <c r="D764" s="25">
        <f>+SUMIFS(PROVEEDORES[Total],PROVEEDORES[PROVEEDOR],PROVEEDORES[[#This Row],[PROVEEDOR]],PROVEEDORES[FECHA DE PAGO],"")</f>
        <v>0</v>
      </c>
      <c r="E764" s="25"/>
      <c r="F76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64" s="289">
        <v>45278</v>
      </c>
      <c r="H764" s="26" t="s">
        <v>994</v>
      </c>
      <c r="I764" s="289">
        <v>45239</v>
      </c>
      <c r="J764" s="35" t="s">
        <v>1270</v>
      </c>
      <c r="K764" s="21">
        <v>1593276</v>
      </c>
      <c r="L764" s="21"/>
      <c r="M764" s="22">
        <f>(PROVEEDORES[[#This Row],[SUBTOTAL]]-PROVEEDORES[[#This Row],[descuento sobre subtotal]])*VLOOKUP(PROVEEDORES[[#This Row],[PROVEEDOR]],TERCEROS_INFO[#All],3,FALSE)</f>
        <v>302722.44</v>
      </c>
      <c r="N764" s="23"/>
      <c r="O764" s="22">
        <f>+PROVEEDORES[[#This Row],[Descuento sobre subtotal %]]*(PROVEEDORES[[#This Row],[SUBTOTAL]]-PROVEEDORES[[#This Row],[descuento sobre subtotal]])</f>
        <v>0</v>
      </c>
      <c r="P764" s="72">
        <f>+IF(PROVEEDORES[[#This Row],[SUBTOTAL]]&lt;PROVEEDORES[[#This Row],[base retencion]],0,PROVEEDORES[[#This Row],[retención aplicada]])</f>
        <v>2.5000000000000001E-2</v>
      </c>
      <c r="Q764" s="22">
        <f>+PROVEEDORES[[#This Row],[Rete Fuente %]]*(PROVEEDORES[[#This Row],[SUBTOTAL]]-PROVEEDORES[[#This Row],[descuento sobre subtotal]])</f>
        <v>39831.9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1856166.54</v>
      </c>
      <c r="S7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1">
        <f ca="1">IF(PROVEEDORES[[#This Row],[FECHA DE PAGO]]=0,TODAY()-PROVEEDORES[[#This Row],[FECHA DE FACTURACIÓN]]-PROVEEDORES[[#This Row],[PLAZO Días]],0)</f>
        <v>0</v>
      </c>
      <c r="U764" s="97" t="str">
        <f>+VLOOKUP(PROVEEDORES[[#This Row],[PROVEEDOR]],Terceros!$A:$D,4,FALSE)</f>
        <v>2,5% con base</v>
      </c>
      <c r="V764" s="98">
        <f>+YEAR(PROVEEDORES[[#This Row],[FECHA DE FACTURACIÓN]])</f>
        <v>2023</v>
      </c>
      <c r="W764" s="98">
        <f>+MATCH(PROVEEDORES[[#This Row],[año facturado]],Retenciones!$1:$1,0)</f>
        <v>6</v>
      </c>
      <c r="X764" s="99">
        <f>+VLOOKUP(PROVEEDORES[[#This Row],[ID RETENCION]],Retenciones!$A$1:$O$25,PROVEEDORES[[#This Row],[indicador de columna]],FALSE)</f>
        <v>1145000</v>
      </c>
      <c r="Y764" s="100">
        <f>+VLOOKUP(PROVEEDORES[[#This Row],[ID RETENCION]],Retenciones!$A$1:$O$25,2,FALSE)</f>
        <v>2.5000000000000001E-2</v>
      </c>
      <c r="Z764" s="103" t="b">
        <f>OR(COUNTIF(PROVEEDORES[[#This Row],[PROVEEDOR]],"*"&amp;'Palabra no opera'!$A$2&amp;"*"))</f>
        <v>0</v>
      </c>
    </row>
    <row r="765" spans="1:26" ht="22.35" customHeight="1" x14ac:dyDescent="0.25">
      <c r="A765" s="262" t="str">
        <f>+IF(PROVEEDORES[[#This Row],[FECHA DE PAGO]]=PROVEEDORES[[#This Row],[FECHA DE FACTURACIÓN]],"DE CONTADO","CRÉDITO")</f>
        <v>CRÉDITO</v>
      </c>
      <c r="B765" s="38" t="str">
        <f>+IF((PROVEEDORES[[#This Row],[FECHA DE PAGO]]-PROVEEDORES[[#This Row],[FECHA DE FACTURACIÓN]])&gt;PROVEEDORES[[#This Row],[PLAZO Días]],"PAGO VENCIDO")</f>
        <v>PAGO VENCIDO</v>
      </c>
      <c r="C765" s="20">
        <f>+VLOOKUP(PROVEEDORES[[#This Row],[PROVEEDOR]],TERCEROS_INFO[#All],2,FALSE)</f>
        <v>30</v>
      </c>
      <c r="D765" s="25">
        <f>+SUMIFS(PROVEEDORES[Total],PROVEEDORES[PROVEEDOR],PROVEEDORES[[#This Row],[PROVEEDOR]],PROVEEDORES[FECHA DE PAGO],"")</f>
        <v>0</v>
      </c>
      <c r="E765" s="25"/>
      <c r="F76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65" s="289">
        <v>45288</v>
      </c>
      <c r="H765" s="26" t="s">
        <v>994</v>
      </c>
      <c r="I765" s="289">
        <v>45251</v>
      </c>
      <c r="J765" s="35" t="s">
        <v>1307</v>
      </c>
      <c r="K765" s="21">
        <v>756303</v>
      </c>
      <c r="L765" s="21"/>
      <c r="M765" s="22">
        <f>(PROVEEDORES[[#This Row],[SUBTOTAL]]-PROVEEDORES[[#This Row],[descuento sobre subtotal]])*VLOOKUP(PROVEEDORES[[#This Row],[PROVEEDOR]],TERCEROS_INFO[#All],3,FALSE)</f>
        <v>143697.57</v>
      </c>
      <c r="N765" s="23"/>
      <c r="O765" s="22">
        <f>+PROVEEDORES[[#This Row],[Descuento sobre subtotal %]]*(PROVEEDORES[[#This Row],[SUBTOTAL]]-PROVEEDORES[[#This Row],[descuento sobre subtotal]])</f>
        <v>0</v>
      </c>
      <c r="P765" s="72">
        <f>+IF(PROVEEDORES[[#This Row],[SUBTOTAL]]&lt;PROVEEDORES[[#This Row],[base retencion]],0,PROVEEDORES[[#This Row],[retención aplicada]])</f>
        <v>0</v>
      </c>
      <c r="Q765" s="22">
        <f>+PROVEEDORES[[#This Row],[Rete Fuente %]]*(PROVEEDORES[[#This Row],[SUBTOTAL]]-PROVEEDORES[[#This Row],[descuento sobre subtotal]])</f>
        <v>0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900000.57000000007</v>
      </c>
      <c r="S76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1">
        <f ca="1">IF(PROVEEDORES[[#This Row],[FECHA DE PAGO]]=0,TODAY()-PROVEEDORES[[#This Row],[FECHA DE FACTURACIÓN]]-PROVEEDORES[[#This Row],[PLAZO Días]],0)</f>
        <v>0</v>
      </c>
      <c r="U765" s="97" t="str">
        <f>+VLOOKUP(PROVEEDORES[[#This Row],[PROVEEDOR]],Terceros!$A:$D,4,FALSE)</f>
        <v>2,5% con base</v>
      </c>
      <c r="V765" s="98">
        <f>+YEAR(PROVEEDORES[[#This Row],[FECHA DE FACTURACIÓN]])</f>
        <v>2023</v>
      </c>
      <c r="W765" s="98">
        <f>+MATCH(PROVEEDORES[[#This Row],[año facturado]],Retenciones!$1:$1,0)</f>
        <v>6</v>
      </c>
      <c r="X765" s="99">
        <f>+VLOOKUP(PROVEEDORES[[#This Row],[ID RETENCION]],Retenciones!$A$1:$O$25,PROVEEDORES[[#This Row],[indicador de columna]],FALSE)</f>
        <v>1145000</v>
      </c>
      <c r="Y765" s="100">
        <f>+VLOOKUP(PROVEEDORES[[#This Row],[ID RETENCION]],Retenciones!$A$1:$O$25,2,FALSE)</f>
        <v>2.5000000000000001E-2</v>
      </c>
      <c r="Z765" s="103" t="b">
        <f>OR(COUNTIF(PROVEEDORES[[#This Row],[PROVEEDOR]],"*"&amp;'Palabra no opera'!$A$2&amp;"*"))</f>
        <v>0</v>
      </c>
    </row>
    <row r="766" spans="1:26" ht="22.35" customHeight="1" x14ac:dyDescent="0.25">
      <c r="A766" s="155" t="str">
        <f>+IF(PROVEEDORES[[#This Row],[FECHA DE PAGO]]=PROVEEDORES[[#This Row],[FECHA DE FACTURACIÓN]],"DE CONTADO","CRÉDITO")</f>
        <v>DE CONTADO</v>
      </c>
      <c r="B766" s="38" t="b">
        <f>+IF((PROVEEDORES[[#This Row],[FECHA DE PAGO]]-PROVEEDORES[[#This Row],[FECHA DE FACTURACIÓN]])&gt;PROVEEDORES[[#This Row],[PLAZO Días]],"PAGO VENCIDO")</f>
        <v>0</v>
      </c>
      <c r="C766" s="20">
        <f>+VLOOKUP(PROVEEDORES[[#This Row],[PROVEEDOR]],TERCEROS_INFO[#All],2,FALSE)</f>
        <v>30</v>
      </c>
      <c r="D766" s="25">
        <f>+SUMIFS(PROVEEDORES[Total],PROVEEDORES[PROVEEDOR],PROVEEDORES[[#This Row],[PROVEEDOR]],PROVEEDORES[FECHA DE PAGO],"")</f>
        <v>0</v>
      </c>
      <c r="E766" s="25"/>
      <c r="F766" s="56">
        <f>+VLOOKUP(PROVEEDORES[[#This Row],[PROVEEDOR]],
                       Terceros!$A:$F,
                       5,
                       FALSE)</f>
        <v>0</v>
      </c>
      <c r="G766" s="289">
        <v>44973</v>
      </c>
      <c r="H766" s="26" t="s">
        <v>537</v>
      </c>
      <c r="I766" s="289">
        <v>44973</v>
      </c>
      <c r="J766" s="35">
        <v>1378</v>
      </c>
      <c r="K766" s="21">
        <v>361345</v>
      </c>
      <c r="L766" s="21"/>
      <c r="M766" s="22">
        <f>(PROVEEDORES[[#This Row],[SUBTOTAL]]-PROVEEDORES[[#This Row],[descuento sobre subtotal]])*VLOOKUP(PROVEEDORES[[#This Row],[PROVEEDOR]],TERCEROS_INFO[#All],3,FALSE)</f>
        <v>68655.55</v>
      </c>
      <c r="N766" s="23"/>
      <c r="O766" s="22">
        <f>+PROVEEDORES[[#This Row],[Descuento sobre subtotal %]]*(PROVEEDORES[[#This Row],[SUBTOTAL]]-PROVEEDORES[[#This Row],[descuento sobre subtotal]])</f>
        <v>0</v>
      </c>
      <c r="P766" s="72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430000.55</v>
      </c>
      <c r="S766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1">
        <f ca="1">IF(PROVEEDORES[[#This Row],[FECHA DE PAGO]]=0,TODAY()-PROVEEDORES[[#This Row],[FECHA DE FACTURACIÓN]]-PROVEEDORES[[#This Row],[PLAZO Días]],0)</f>
        <v>0</v>
      </c>
      <c r="U766" s="97">
        <f>+VLOOKUP(PROVEEDORES[[#This Row],[PROVEEDOR]],Terceros!$A:$D,4,FALSE)</f>
        <v>0</v>
      </c>
      <c r="V766" s="98">
        <f>+YEAR(PROVEEDORES[[#This Row],[FECHA DE FACTURACIÓN]])</f>
        <v>2023</v>
      </c>
      <c r="W766" s="98">
        <f>+MATCH(PROVEEDORES[[#This Row],[año facturado]],Retenciones!$1:$1,0)</f>
        <v>6</v>
      </c>
      <c r="X766" s="99">
        <f>+VLOOKUP(PROVEEDORES[[#This Row],[ID RETENCION]],Retenciones!$A$1:$O$25,PROVEEDORES[[#This Row],[indicador de columna]],FALSE)</f>
        <v>0</v>
      </c>
      <c r="Y766" s="100">
        <f>+VLOOKUP(PROVEEDORES[[#This Row],[ID RETENCION]],Retenciones!$A$1:$O$25,2,FALSE)</f>
        <v>0</v>
      </c>
      <c r="Z766" s="103" t="b">
        <f>OR(COUNTIF(PROVEEDORES[[#This Row],[PROVEEDOR]],"*"&amp;'Palabra no opera'!$A$2&amp;"*"))</f>
        <v>0</v>
      </c>
    </row>
    <row r="767" spans="1:26" ht="22.35" customHeight="1" x14ac:dyDescent="0.25">
      <c r="A767" s="65" t="str">
        <f>+IF(PROVEEDORES[[#This Row],[FECHA DE PAGO]]=PROVEEDORES[[#This Row],[FECHA DE FACTURACIÓN]],"DE CONTADO","CRÉDITO")</f>
        <v>DE CONTADO</v>
      </c>
      <c r="B767" s="38" t="b">
        <f>+IF((PROVEEDORES[[#This Row],[FECHA DE PAGO]]-PROVEEDORES[[#This Row],[FECHA DE FACTURACIÓN]])&gt;PROVEEDORES[[#This Row],[PLAZO Días]],"PAGO VENCIDO")</f>
        <v>0</v>
      </c>
      <c r="C767" s="20">
        <f>+VLOOKUP(PROVEEDORES[[#This Row],[PROVEEDOR]],TERCEROS_INFO[#All],2,FALSE)</f>
        <v>30</v>
      </c>
      <c r="D767" s="25">
        <f>+SUMIFS(PROVEEDORES[Total],PROVEEDORES[PROVEEDOR],PROVEEDORES[[#This Row],[PROVEEDOR]],PROVEEDORES[FECHA DE PAGO],"")</f>
        <v>0</v>
      </c>
      <c r="E767" s="25"/>
      <c r="F767" s="56" t="str">
        <f>+VLOOKUP(PROVEEDORES[[#This Row],[PROVEEDOR]],
                       Terceros!$A:$F,
                       5,
                       FALSE)</f>
        <v/>
      </c>
      <c r="G767" s="289">
        <v>45259</v>
      </c>
      <c r="H767" s="26" t="s">
        <v>55</v>
      </c>
      <c r="I767" s="289">
        <v>45259</v>
      </c>
      <c r="J767" s="35" t="s">
        <v>1339</v>
      </c>
      <c r="K767" s="21">
        <v>247000</v>
      </c>
      <c r="L767" s="21"/>
      <c r="M767" s="22">
        <f>(PROVEEDORES[[#This Row],[SUBTOTAL]]-PROVEEDORES[[#This Row],[descuento sobre subtotal]])*VLOOKUP(PROVEEDORES[[#This Row],[PROVEEDOR]],TERCEROS_INFO[#All],3,FALSE)</f>
        <v>0</v>
      </c>
      <c r="N767" s="23"/>
      <c r="O767" s="22">
        <f>+PROVEEDORES[[#This Row],[Descuento sobre subtotal %]]*(PROVEEDORES[[#This Row],[SUBTOTAL]]-PROVEEDORES[[#This Row],[descuento sobre subtotal]])</f>
        <v>0</v>
      </c>
      <c r="P767" s="72">
        <f>+IF(PROVEEDORES[[#This Row],[SUBTOTAL]]&lt;PROVEEDORES[[#This Row],[base retencion]],0,PROVEEDORES[[#This Row],[retención aplicada]])</f>
        <v>0</v>
      </c>
      <c r="Q767" s="22">
        <f>+PROVEEDORES[[#This Row],[Rete Fuente %]]*(PROVEEDORES[[#This Row],[SUBTOTAL]]-PROVEEDORES[[#This Row],[descuento sobre subtotal]])</f>
        <v>0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247000</v>
      </c>
      <c r="S7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1">
        <f ca="1">IF(PROVEEDORES[[#This Row],[FECHA DE PAGO]]=0,TODAY()-PROVEEDORES[[#This Row],[FECHA DE FACTURACIÓN]]-PROVEEDORES[[#This Row],[PLAZO Días]],0)</f>
        <v>0</v>
      </c>
      <c r="U767" s="97">
        <f>+VLOOKUP(PROVEEDORES[[#This Row],[PROVEEDOR]],Terceros!$A:$D,4,FALSE)</f>
        <v>0</v>
      </c>
      <c r="V767" s="98">
        <f>+YEAR(PROVEEDORES[[#This Row],[FECHA DE FACTURACIÓN]])</f>
        <v>2023</v>
      </c>
      <c r="W767" s="98">
        <f>+MATCH(PROVEEDORES[[#This Row],[año facturado]],Retenciones!$1:$1,0)</f>
        <v>6</v>
      </c>
      <c r="X767" s="99">
        <f>+VLOOKUP(PROVEEDORES[[#This Row],[ID RETENCION]],Retenciones!$A$1:$O$25,PROVEEDORES[[#This Row],[indicador de columna]],FALSE)</f>
        <v>0</v>
      </c>
      <c r="Y767" s="100">
        <f>+VLOOKUP(PROVEEDORES[[#This Row],[ID RETENCION]],Retenciones!$A$1:$O$25,2,FALSE)</f>
        <v>0</v>
      </c>
      <c r="Z767" s="103" t="b">
        <f>OR(COUNTIF(PROVEEDORES[[#This Row],[PROVEEDOR]],"*"&amp;'Palabra no opera'!$A$2&amp;"*"))</f>
        <v>0</v>
      </c>
    </row>
    <row r="768" spans="1:26" ht="22.35" customHeight="1" x14ac:dyDescent="0.25">
      <c r="A768" s="65" t="str">
        <f>+IF(PROVEEDORES[[#This Row],[FECHA DE PAGO]]=PROVEEDORES[[#This Row],[FECHA DE FACTURACIÓN]],"DE CONTADO","CRÉDITO")</f>
        <v>DE CONTADO</v>
      </c>
      <c r="B768" s="38" t="b">
        <f>+IF((PROVEEDORES[[#This Row],[FECHA DE PAGO]]-PROVEEDORES[[#This Row],[FECHA DE FACTURACIÓN]])&gt;PROVEEDORES[[#This Row],[PLAZO Días]],"PAGO VENCIDO")</f>
        <v>0</v>
      </c>
      <c r="C768" s="20">
        <f>+VLOOKUP(PROVEEDORES[[#This Row],[PROVEEDOR]],TERCEROS_INFO[#All],2,FALSE)</f>
        <v>30</v>
      </c>
      <c r="D768" s="25">
        <f>+SUMIFS(PROVEEDORES[Total],PROVEEDORES[PROVEEDOR],PROVEEDORES[[#This Row],[PROVEEDOR]],PROVEEDORES[FECHA DE PAGO],"")</f>
        <v>0</v>
      </c>
      <c r="E768" s="25"/>
      <c r="F768" s="56" t="str">
        <f>+VLOOKUP(PROVEEDORES[[#This Row],[PROVEEDOR]],
                       Terceros!$A:$F,
                       5,
                       FALSE)</f>
        <v/>
      </c>
      <c r="G768" s="289">
        <v>45259</v>
      </c>
      <c r="H768" s="26" t="s">
        <v>55</v>
      </c>
      <c r="I768" s="289">
        <v>45259</v>
      </c>
      <c r="J768" s="35" t="s">
        <v>1339</v>
      </c>
      <c r="K768" s="21">
        <v>25180000</v>
      </c>
      <c r="L768" s="21"/>
      <c r="M768" s="22">
        <f>(PROVEEDORES[[#This Row],[SUBTOTAL]]-PROVEEDORES[[#This Row],[descuento sobre subtotal]])*VLOOKUP(PROVEEDORES[[#This Row],[PROVEEDOR]],TERCEROS_INFO[#All],3,FALSE)</f>
        <v>0</v>
      </c>
      <c r="N768" s="23"/>
      <c r="O768" s="22">
        <f>+PROVEEDORES[[#This Row],[Descuento sobre subtotal %]]*(PROVEEDORES[[#This Row],[SUBTOTAL]]-PROVEEDORES[[#This Row],[descuento sobre subtotal]])</f>
        <v>0</v>
      </c>
      <c r="P768" s="72">
        <f>+IF(PROVEEDORES[[#This Row],[SUBTOTAL]]&lt;PROVEEDORES[[#This Row],[base retencion]],0,PROVEEDORES[[#This Row],[retención aplicada]])</f>
        <v>0</v>
      </c>
      <c r="Q768" s="22">
        <f>+PROVEEDORES[[#This Row],[Rete Fuente %]]*(PROVEEDORES[[#This Row],[SUBTOTAL]]-PROVEEDORES[[#This Row],[descuento sobre subtotal]])</f>
        <v>0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25180000</v>
      </c>
      <c r="S7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1">
        <f ca="1">IF(PROVEEDORES[[#This Row],[FECHA DE PAGO]]=0,TODAY()-PROVEEDORES[[#This Row],[FECHA DE FACTURACIÓN]]-PROVEEDORES[[#This Row],[PLAZO Días]],0)</f>
        <v>0</v>
      </c>
      <c r="U768" s="97">
        <f>+VLOOKUP(PROVEEDORES[[#This Row],[PROVEEDOR]],Terceros!$A:$D,4,FALSE)</f>
        <v>0</v>
      </c>
      <c r="V768" s="98">
        <f>+YEAR(PROVEEDORES[[#This Row],[FECHA DE FACTURACIÓN]])</f>
        <v>2023</v>
      </c>
      <c r="W768" s="98">
        <f>+MATCH(PROVEEDORES[[#This Row],[año facturado]],Retenciones!$1:$1,0)</f>
        <v>6</v>
      </c>
      <c r="X768" s="99">
        <f>+VLOOKUP(PROVEEDORES[[#This Row],[ID RETENCION]],Retenciones!$A$1:$O$25,PROVEEDORES[[#This Row],[indicador de columna]],FALSE)</f>
        <v>0</v>
      </c>
      <c r="Y768" s="100">
        <f>+VLOOKUP(PROVEEDORES[[#This Row],[ID RETENCION]],Retenciones!$A$1:$O$25,2,FALSE)</f>
        <v>0</v>
      </c>
      <c r="Z768" s="103" t="b">
        <f>OR(COUNTIF(PROVEEDORES[[#This Row],[PROVEEDOR]],"*"&amp;'Palabra no opera'!$A$2&amp;"*"))</f>
        <v>0</v>
      </c>
    </row>
    <row r="769" spans="1:26" ht="22.35" customHeight="1" x14ac:dyDescent="0.25">
      <c r="A769" s="65" t="str">
        <f>+IF(PROVEEDORES[[#This Row],[FECHA DE PAGO]]=PROVEEDORES[[#This Row],[FECHA DE FACTURACIÓN]],"DE CONTADO","CRÉDITO")</f>
        <v>DE CONTADO</v>
      </c>
      <c r="B769" s="38" t="b">
        <f>+IF((PROVEEDORES[[#This Row],[FECHA DE PAGO]]-PROVEEDORES[[#This Row],[FECHA DE FACTURACIÓN]])&gt;PROVEEDORES[[#This Row],[PLAZO Días]],"PAGO VENCIDO")</f>
        <v>0</v>
      </c>
      <c r="C769" s="20">
        <f>+VLOOKUP(PROVEEDORES[[#This Row],[PROVEEDOR]],TERCEROS_INFO[#All],2,FALSE)</f>
        <v>30</v>
      </c>
      <c r="D769" s="25">
        <f>+SUMIFS(PROVEEDORES[Total],PROVEEDORES[PROVEEDOR],PROVEEDORES[[#This Row],[PROVEEDOR]],PROVEEDORES[FECHA DE PAGO],"")</f>
        <v>0</v>
      </c>
      <c r="E769" s="25"/>
      <c r="F769" s="56" t="str">
        <f>+VLOOKUP(PROVEEDORES[[#This Row],[PROVEEDOR]],
                       Terceros!$A:$F,
                       5,
                       FALSE)</f>
        <v/>
      </c>
      <c r="G769" s="289">
        <v>45259</v>
      </c>
      <c r="H769" s="26" t="s">
        <v>55</v>
      </c>
      <c r="I769" s="289">
        <v>45259</v>
      </c>
      <c r="J769" s="35" t="s">
        <v>1339</v>
      </c>
      <c r="K769" s="21">
        <v>437000</v>
      </c>
      <c r="L769" s="21"/>
      <c r="M769" s="22">
        <f>(PROVEEDORES[[#This Row],[SUBTOTAL]]-PROVEEDORES[[#This Row],[descuento sobre subtotal]])*VLOOKUP(PROVEEDORES[[#This Row],[PROVEEDOR]],TERCEROS_INFO[#All],3,FALSE)</f>
        <v>0</v>
      </c>
      <c r="N769" s="23"/>
      <c r="O769" s="22">
        <f>+PROVEEDORES[[#This Row],[Descuento sobre subtotal %]]*(PROVEEDORES[[#This Row],[SUBTOTAL]]-PROVEEDORES[[#This Row],[descuento sobre subtotal]])</f>
        <v>0</v>
      </c>
      <c r="P769" s="72">
        <f>+IF(PROVEEDORES[[#This Row],[SUBTOTAL]]&lt;PROVEEDORES[[#This Row],[base retencion]],0,PROVEEDORES[[#This Row],[retención aplicada]])</f>
        <v>0</v>
      </c>
      <c r="Q769" s="22">
        <f>+PROVEEDORES[[#This Row],[Rete Fuente %]]*(PROVEEDORES[[#This Row],[SUBTOTAL]]-PROVEEDORES[[#This Row],[descuento sobre subtotal]])</f>
        <v>0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76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1">
        <f ca="1">IF(PROVEEDORES[[#This Row],[FECHA DE PAGO]]=0,TODAY()-PROVEEDORES[[#This Row],[FECHA DE FACTURACIÓN]]-PROVEEDORES[[#This Row],[PLAZO Días]],0)</f>
        <v>0</v>
      </c>
      <c r="U769" s="97">
        <f>+VLOOKUP(PROVEEDORES[[#This Row],[PROVEEDOR]],Terceros!$A:$D,4,FALSE)</f>
        <v>0</v>
      </c>
      <c r="V769" s="98">
        <f>+YEAR(PROVEEDORES[[#This Row],[FECHA DE FACTURACIÓN]])</f>
        <v>2023</v>
      </c>
      <c r="W769" s="98">
        <f>+MATCH(PROVEEDORES[[#This Row],[año facturado]],Retenciones!$1:$1,0)</f>
        <v>6</v>
      </c>
      <c r="X769" s="99">
        <f>+VLOOKUP(PROVEEDORES[[#This Row],[ID RETENCION]],Retenciones!$A$1:$O$25,PROVEEDORES[[#This Row],[indicador de columna]],FALSE)</f>
        <v>0</v>
      </c>
      <c r="Y769" s="100">
        <f>+VLOOKUP(PROVEEDORES[[#This Row],[ID RETENCION]],Retenciones!$A$1:$O$25,2,FALSE)</f>
        <v>0</v>
      </c>
      <c r="Z769" s="103" t="b">
        <f>OR(COUNTIF(PROVEEDORES[[#This Row],[PROVEEDOR]],"*"&amp;'Palabra no opera'!$A$2&amp;"*"))</f>
        <v>0</v>
      </c>
    </row>
    <row r="770" spans="1:26" ht="22.35" customHeight="1" x14ac:dyDescent="0.25">
      <c r="A770" s="65" t="str">
        <f>+IF(PROVEEDORES[[#This Row],[FECHA DE PAGO]]=PROVEEDORES[[#This Row],[FECHA DE FACTURACIÓN]],"DE CONTADO","CRÉDITO")</f>
        <v>DE CONTADO</v>
      </c>
      <c r="B770" s="38" t="b">
        <f>+IF((PROVEEDORES[[#This Row],[FECHA DE PAGO]]-PROVEEDORES[[#This Row],[FECHA DE FACTURACIÓN]])&gt;PROVEEDORES[[#This Row],[PLAZO Días]],"PAGO VENCIDO")</f>
        <v>0</v>
      </c>
      <c r="C770" s="20">
        <f>+VLOOKUP(PROVEEDORES[[#This Row],[PROVEEDOR]],TERCEROS_INFO[#All],2,FALSE)</f>
        <v>30</v>
      </c>
      <c r="D770" s="25">
        <f>+SUMIFS(PROVEEDORES[Total],PROVEEDORES[PROVEEDOR],PROVEEDORES[[#This Row],[PROVEEDOR]],PROVEEDORES[FECHA DE PAGO],"")</f>
        <v>0</v>
      </c>
      <c r="E770" s="25"/>
      <c r="F770" s="56" t="str">
        <f>+VLOOKUP(PROVEEDORES[[#This Row],[PROVEEDOR]],
                       Terceros!$A:$F,
                       5,
                       FALSE)</f>
        <v/>
      </c>
      <c r="G770" s="289">
        <v>45259</v>
      </c>
      <c r="H770" s="26" t="s">
        <v>55</v>
      </c>
      <c r="I770" s="289">
        <v>45259</v>
      </c>
      <c r="J770" s="35" t="s">
        <v>1339</v>
      </c>
      <c r="K770" s="21">
        <v>2974000</v>
      </c>
      <c r="L770" s="21"/>
      <c r="M770" s="22">
        <f>(PROVEEDORES[[#This Row],[SUBTOTAL]]-PROVEEDORES[[#This Row],[descuento sobre subtotal]])*VLOOKUP(PROVEEDORES[[#This Row],[PROVEEDOR]],TERCEROS_INFO[#All],3,FALSE)</f>
        <v>0</v>
      </c>
      <c r="N770" s="23"/>
      <c r="O770" s="22">
        <f>+PROVEEDORES[[#This Row],[Descuento sobre subtotal %]]*(PROVEEDORES[[#This Row],[SUBTOTAL]]-PROVEEDORES[[#This Row],[descuento sobre subtotal]])</f>
        <v>0</v>
      </c>
      <c r="P770" s="72">
        <f>+IF(PROVEEDORES[[#This Row],[SUBTOTAL]]&lt;PROVEEDORES[[#This Row],[base retencion]],0,PROVEEDORES[[#This Row],[retención aplicada]])</f>
        <v>0</v>
      </c>
      <c r="Q770" s="22">
        <f>+PROVEEDORES[[#This Row],[Rete Fuente %]]*(PROVEEDORES[[#This Row],[SUBTOTAL]]-PROVEEDORES[[#This Row],[descuento sobre subtotal]])</f>
        <v>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2974000</v>
      </c>
      <c r="S7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1">
        <f ca="1">IF(PROVEEDORES[[#This Row],[FECHA DE PAGO]]=0,TODAY()-PROVEEDORES[[#This Row],[FECHA DE FACTURACIÓN]]-PROVEEDORES[[#This Row],[PLAZO Días]],0)</f>
        <v>0</v>
      </c>
      <c r="U770" s="97">
        <f>+VLOOKUP(PROVEEDORES[[#This Row],[PROVEEDOR]],Terceros!$A:$D,4,FALSE)</f>
        <v>0</v>
      </c>
      <c r="V770" s="98">
        <f>+YEAR(PROVEEDORES[[#This Row],[FECHA DE FACTURACIÓN]])</f>
        <v>2023</v>
      </c>
      <c r="W770" s="98">
        <f>+MATCH(PROVEEDORES[[#This Row],[año facturado]],Retenciones!$1:$1,0)</f>
        <v>6</v>
      </c>
      <c r="X770" s="99">
        <f>+VLOOKUP(PROVEEDORES[[#This Row],[ID RETENCION]],Retenciones!$A$1:$O$25,PROVEEDORES[[#This Row],[indicador de columna]],FALSE)</f>
        <v>0</v>
      </c>
      <c r="Y770" s="100">
        <f>+VLOOKUP(PROVEEDORES[[#This Row],[ID RETENCION]],Retenciones!$A$1:$O$25,2,FALSE)</f>
        <v>0</v>
      </c>
      <c r="Z770" s="103" t="b">
        <f>OR(COUNTIF(PROVEEDORES[[#This Row],[PROVEEDOR]],"*"&amp;'Palabra no opera'!$A$2&amp;"*"))</f>
        <v>0</v>
      </c>
    </row>
    <row r="771" spans="1:26" ht="22.35" customHeight="1" x14ac:dyDescent="0.25">
      <c r="A771" s="65" t="str">
        <f>+IF(PROVEEDORES[[#This Row],[FECHA DE PAGO]]=PROVEEDORES[[#This Row],[FECHA DE FACTURACIÓN]],"DE CONTADO","CRÉDITO")</f>
        <v>DE CONTADO</v>
      </c>
      <c r="B771" s="38" t="b">
        <f>+IF((PROVEEDORES[[#This Row],[FECHA DE PAGO]]-PROVEEDORES[[#This Row],[FECHA DE FACTURACIÓN]])&gt;PROVEEDORES[[#This Row],[PLAZO Días]],"PAGO VENCIDO")</f>
        <v>0</v>
      </c>
      <c r="C771" s="20">
        <f>+VLOOKUP(PROVEEDORES[[#This Row],[PROVEEDOR]],TERCEROS_INFO[#All],2,FALSE)</f>
        <v>30</v>
      </c>
      <c r="D771" s="25">
        <f>+SUMIFS(PROVEEDORES[Total],PROVEEDORES[PROVEEDOR],PROVEEDORES[[#This Row],[PROVEEDOR]],PROVEEDORES[FECHA DE PAGO],"")</f>
        <v>0</v>
      </c>
      <c r="E771" s="25"/>
      <c r="F771" s="56" t="str">
        <f>+VLOOKUP(PROVEEDORES[[#This Row],[PROVEEDOR]],
                       Terceros!$A:$F,
                       5,
                       FALSE)</f>
        <v/>
      </c>
      <c r="G771" s="289">
        <v>45230</v>
      </c>
      <c r="H771" s="26" t="s">
        <v>53</v>
      </c>
      <c r="I771" s="289">
        <v>45230</v>
      </c>
      <c r="J771" s="35">
        <v>313196</v>
      </c>
      <c r="K771" s="21">
        <v>2262000</v>
      </c>
      <c r="L771" s="21"/>
      <c r="M771" s="22">
        <f>(PROVEEDORES[[#This Row],[SUBTOTAL]]-PROVEEDORES[[#This Row],[descuento sobre subtotal]])*VLOOKUP(PROVEEDORES[[#This Row],[PROVEEDOR]],TERCEROS_INFO[#All],3,FALSE)</f>
        <v>0</v>
      </c>
      <c r="N771" s="23"/>
      <c r="O771" s="22">
        <f>+PROVEEDORES[[#This Row],[Descuento sobre subtotal %]]*(PROVEEDORES[[#This Row],[SUBTOTAL]]-PROVEEDORES[[#This Row],[descuento sobre subtotal]])</f>
        <v>0</v>
      </c>
      <c r="P771" s="72">
        <f>+IF(PROVEEDORES[[#This Row],[SUBTOTAL]]&lt;PROVEEDORES[[#This Row],[base retencion]],0,PROVEEDORES[[#This Row],[retención aplicada]])</f>
        <v>0</v>
      </c>
      <c r="Q771" s="22">
        <f>+PROVEEDORES[[#This Row],[Rete Fuente %]]*(PROVEEDORES[[#This Row],[SUBTOTAL]]-PROVEEDORES[[#This Row],[descuento sobre subtotal]])</f>
        <v>0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2262000</v>
      </c>
      <c r="S7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1">
        <f ca="1">IF(PROVEEDORES[[#This Row],[FECHA DE PAGO]]=0,TODAY()-PROVEEDORES[[#This Row],[FECHA DE FACTURACIÓN]]-PROVEEDORES[[#This Row],[PLAZO Días]],0)</f>
        <v>0</v>
      </c>
      <c r="U771" s="97">
        <f>+VLOOKUP(PROVEEDORES[[#This Row],[PROVEEDOR]],Terceros!$A:$D,4,FALSE)</f>
        <v>0</v>
      </c>
      <c r="V771" s="98">
        <f>+YEAR(PROVEEDORES[[#This Row],[FECHA DE FACTURACIÓN]])</f>
        <v>2023</v>
      </c>
      <c r="W771" s="98">
        <f>+MATCH(PROVEEDORES[[#This Row],[año facturado]],Retenciones!$1:$1,0)</f>
        <v>6</v>
      </c>
      <c r="X771" s="99">
        <f>+VLOOKUP(PROVEEDORES[[#This Row],[ID RETENCION]],Retenciones!$A$1:$O$25,PROVEEDORES[[#This Row],[indicador de columna]],FALSE)</f>
        <v>0</v>
      </c>
      <c r="Y771" s="100">
        <f>+VLOOKUP(PROVEEDORES[[#This Row],[ID RETENCION]],Retenciones!$A$1:$O$25,2,FALSE)</f>
        <v>0</v>
      </c>
      <c r="Z771" s="103" t="b">
        <f>OR(COUNTIF(PROVEEDORES[[#This Row],[PROVEEDOR]],"*"&amp;'Palabra no opera'!$A$2&amp;"*"))</f>
        <v>0</v>
      </c>
    </row>
    <row r="772" spans="1:26" ht="22.35" customHeight="1" x14ac:dyDescent="0.25">
      <c r="A772" s="65" t="str">
        <f>+IF(PROVEEDORES[[#This Row],[FECHA DE PAGO]]=PROVEEDORES[[#This Row],[FECHA DE FACTURACIÓN]],"DE CONTADO","CRÉDITO")</f>
        <v>DE CONTADO</v>
      </c>
      <c r="B772" s="38" t="b">
        <f>+IF((PROVEEDORES[[#This Row],[FECHA DE PAGO]]-PROVEEDORES[[#This Row],[FECHA DE FACTURACIÓN]])&gt;PROVEEDORES[[#This Row],[PLAZO Días]],"PAGO VENCIDO")</f>
        <v>0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0</v>
      </c>
      <c r="E772" s="25"/>
      <c r="F772" s="56" t="str">
        <f>+VLOOKUP(PROVEEDORES[[#This Row],[PROVEEDOR]],
                       Terceros!$A:$F,
                       5,
                       FALSE)</f>
        <v/>
      </c>
      <c r="G772" s="289">
        <v>45244</v>
      </c>
      <c r="H772" s="26" t="s">
        <v>53</v>
      </c>
      <c r="I772" s="289">
        <v>45244</v>
      </c>
      <c r="J772" s="35">
        <v>310278</v>
      </c>
      <c r="K772" s="21">
        <v>2296000</v>
      </c>
      <c r="L772" s="21"/>
      <c r="M772" s="22">
        <f>(PROVEEDORES[[#This Row],[SUBTOTAL]]-PROVEEDORES[[#This Row],[descuento sobre subtotal]])*VLOOKUP(PROVEEDORES[[#This Row],[PROVEEDOR]],TERCEROS_INFO[#All],3,FALSE)</f>
        <v>0</v>
      </c>
      <c r="N772" s="23"/>
      <c r="O772" s="22">
        <f>+PROVEEDORES[[#This Row],[Descuento sobre subtotal %]]*(PROVEEDORES[[#This Row],[SUBTOTAL]]-PROVEEDORES[[#This Row],[descuento sobre subtotal]])</f>
        <v>0</v>
      </c>
      <c r="P772" s="72">
        <f>+IF(PROVEEDORES[[#This Row],[SUBTOTAL]]&lt;PROVEEDORES[[#This Row],[base retencion]],0,PROVEEDORES[[#This Row],[retención aplicada]])</f>
        <v>0</v>
      </c>
      <c r="Q772" s="22">
        <f>+PROVEEDORES[[#This Row],[Rete Fuente %]]*(PROVEEDORES[[#This Row],[SUBTOTAL]]-PROVEEDORES[[#This Row],[descuento sobre subtotal]])</f>
        <v>0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2296000</v>
      </c>
      <c r="S7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1">
        <f ca="1">IF(PROVEEDORES[[#This Row],[FECHA DE PAGO]]=0,TODAY()-PROVEEDORES[[#This Row],[FECHA DE FACTURACIÓN]]-PROVEEDORES[[#This Row],[PLAZO Días]],0)</f>
        <v>0</v>
      </c>
      <c r="U772" s="97">
        <f>+VLOOKUP(PROVEEDORES[[#This Row],[PROVEEDOR]],Terceros!$A:$D,4,FALSE)</f>
        <v>0</v>
      </c>
      <c r="V772" s="98">
        <f>+YEAR(PROVEEDORES[[#This Row],[FECHA DE FACTURACIÓN]])</f>
        <v>2023</v>
      </c>
      <c r="W772" s="98">
        <f>+MATCH(PROVEEDORES[[#This Row],[año facturado]],Retenciones!$1:$1,0)</f>
        <v>6</v>
      </c>
      <c r="X772" s="99">
        <f>+VLOOKUP(PROVEEDORES[[#This Row],[ID RETENCION]],Retenciones!$A$1:$O$25,PROVEEDORES[[#This Row],[indicador de columna]],FALSE)</f>
        <v>0</v>
      </c>
      <c r="Y772" s="100">
        <f>+VLOOKUP(PROVEEDORES[[#This Row],[ID RETENCION]],Retenciones!$A$1:$O$25,2,FALSE)</f>
        <v>0</v>
      </c>
      <c r="Z772" s="103" t="b">
        <f>OR(COUNTIF(PROVEEDORES[[#This Row],[PROVEEDOR]],"*"&amp;'Palabra no opera'!$A$2&amp;"*"))</f>
        <v>0</v>
      </c>
    </row>
    <row r="773" spans="1:26" ht="22.35" customHeight="1" x14ac:dyDescent="0.25">
      <c r="A773" s="65" t="str">
        <f>+IF(PROVEEDORES[[#This Row],[FECHA DE PAGO]]=PROVEEDORES[[#This Row],[FECHA DE FACTURACIÓN]],"DE CONTADO","CRÉDITO")</f>
        <v>DE CONTADO</v>
      </c>
      <c r="B773" s="38" t="b">
        <f>+IF((PROVEEDORES[[#This Row],[FECHA DE PAGO]]-PROVEEDORES[[#This Row],[FECHA DE FACTURACIÓN]])&gt;PROVEEDORES[[#This Row],[PLAZO Días]],"PAGO VENCIDO")</f>
        <v>0</v>
      </c>
      <c r="C773" s="20">
        <f>+VLOOKUP(PROVEEDORES[[#This Row],[PROVEEDOR]],TERCEROS_INFO[#All],2,FALSE)</f>
        <v>30</v>
      </c>
      <c r="D773" s="25">
        <f>+SUMIFS(PROVEEDORES[Total],PROVEEDORES[PROVEEDOR],PROVEEDORES[[#This Row],[PROVEEDOR]],PROVEEDORES[FECHA DE PAGO],"")</f>
        <v>0</v>
      </c>
      <c r="E773" s="25"/>
      <c r="F773" s="56" t="str">
        <f>+VLOOKUP(PROVEEDORES[[#This Row],[PROVEEDOR]],
                       Terceros!$A:$F,
                       5,
                       FALSE)</f>
        <v/>
      </c>
      <c r="G773" s="289">
        <v>45244</v>
      </c>
      <c r="H773" s="26" t="s">
        <v>53</v>
      </c>
      <c r="I773" s="289">
        <v>45244</v>
      </c>
      <c r="J773" s="35">
        <v>310278</v>
      </c>
      <c r="K773" s="21">
        <v>1036000</v>
      </c>
      <c r="L773" s="21"/>
      <c r="M773" s="22">
        <f>(PROVEEDORES[[#This Row],[SUBTOTAL]]-PROVEEDORES[[#This Row],[descuento sobre subtotal]])*VLOOKUP(PROVEEDORES[[#This Row],[PROVEEDOR]],TERCEROS_INFO[#All],3,FALSE)</f>
        <v>0</v>
      </c>
      <c r="N773" s="23"/>
      <c r="O773" s="22">
        <f>+PROVEEDORES[[#This Row],[Descuento sobre subtotal %]]*(PROVEEDORES[[#This Row],[SUBTOTAL]]-PROVEEDORES[[#This Row],[descuento sobre subtotal]])</f>
        <v>0</v>
      </c>
      <c r="P773" s="72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1036000</v>
      </c>
      <c r="S7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1">
        <f ca="1">IF(PROVEEDORES[[#This Row],[FECHA DE PAGO]]=0,TODAY()-PROVEEDORES[[#This Row],[FECHA DE FACTURACIÓN]]-PROVEEDORES[[#This Row],[PLAZO Días]],0)</f>
        <v>0</v>
      </c>
      <c r="U773" s="97">
        <f>+VLOOKUP(PROVEEDORES[[#This Row],[PROVEEDOR]],Terceros!$A:$D,4,FALSE)</f>
        <v>0</v>
      </c>
      <c r="V773" s="98">
        <f>+YEAR(PROVEEDORES[[#This Row],[FECHA DE FACTURACIÓN]])</f>
        <v>2023</v>
      </c>
      <c r="W773" s="98">
        <f>+MATCH(PROVEEDORES[[#This Row],[año facturado]],Retenciones!$1:$1,0)</f>
        <v>6</v>
      </c>
      <c r="X773" s="99">
        <f>+VLOOKUP(PROVEEDORES[[#This Row],[ID RETENCION]],Retenciones!$A$1:$O$25,PROVEEDORES[[#This Row],[indicador de columna]],FALSE)</f>
        <v>0</v>
      </c>
      <c r="Y773" s="100">
        <f>+VLOOKUP(PROVEEDORES[[#This Row],[ID RETENCION]],Retenciones!$A$1:$O$25,2,FALSE)</f>
        <v>0</v>
      </c>
      <c r="Z773" s="103" t="b">
        <f>OR(COUNTIF(PROVEEDORES[[#This Row],[PROVEEDOR]],"*"&amp;'Palabra no opera'!$A$2&amp;"*"))</f>
        <v>0</v>
      </c>
    </row>
    <row r="774" spans="1:26" ht="22.35" customHeight="1" x14ac:dyDescent="0.25">
      <c r="A774" s="270" t="str">
        <f>+IF(PROVEEDORES[[#This Row],[FECHA DE PAGO]]=PROVEEDORES[[#This Row],[FECHA DE FACTURACIÓN]],"DE CONTADO","CRÉDITO")</f>
        <v>DE CONTADO</v>
      </c>
      <c r="B774" s="38" t="b">
        <f>+IF((PROVEEDORES[[#This Row],[FECHA DE PAGO]]-PROVEEDORES[[#This Row],[FECHA DE FACTURACIÓN]])&gt;PROVEEDORES[[#This Row],[PLAZO Días]],"PAGO VENCIDO")</f>
        <v>0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0</v>
      </c>
      <c r="E774" s="25"/>
      <c r="F774" s="56" t="str">
        <f>+VLOOKUP(PROVEEDORES[[#This Row],[PROVEEDOR]],
                       Terceros!$A:$F,
                       5,
                       FALSE)</f>
        <v/>
      </c>
      <c r="G774" s="289">
        <v>45293</v>
      </c>
      <c r="H774" s="26" t="s">
        <v>53</v>
      </c>
      <c r="I774" s="289">
        <v>45293</v>
      </c>
      <c r="J774" s="35">
        <v>315688</v>
      </c>
      <c r="K774" s="21">
        <v>3555000</v>
      </c>
      <c r="L774" s="21"/>
      <c r="M774" s="22">
        <f>(PROVEEDORES[[#This Row],[SUBTOTAL]]-PROVEEDORES[[#This Row],[descuento sobre subtotal]])*VLOOKUP(PROVEEDORES[[#This Row],[PROVEEDOR]],TERCEROS_INFO[#All],3,FALSE)</f>
        <v>0</v>
      </c>
      <c r="N774" s="23"/>
      <c r="O774" s="22">
        <f>+PROVEEDORES[[#This Row],[Descuento sobre subtotal %]]*(PROVEEDORES[[#This Row],[SUBTOTAL]]-PROVEEDORES[[#This Row],[descuento sobre subtotal]])</f>
        <v>0</v>
      </c>
      <c r="P774" s="72">
        <f>+IF(PROVEEDORES[[#This Row],[SUBTOTAL]]&lt;PROVEEDORES[[#This Row],[base retencion]],0,PROVEEDORES[[#This Row],[retención aplicada]])</f>
        <v>0</v>
      </c>
      <c r="Q774" s="22">
        <f>+PROVEEDORES[[#This Row],[Rete Fuente %]]*(PROVEEDORES[[#This Row],[SUBTOTAL]]-PROVEEDORES[[#This Row],[descuento sobre subtotal]])</f>
        <v>0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3555000</v>
      </c>
      <c r="S774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1">
        <f ca="1">IF(PROVEEDORES[[#This Row],[FECHA DE PAGO]]=0,TODAY()-PROVEEDORES[[#This Row],[FECHA DE FACTURACIÓN]]-PROVEEDORES[[#This Row],[PLAZO Días]],0)</f>
        <v>0</v>
      </c>
      <c r="U774" s="97">
        <f>+VLOOKUP(PROVEEDORES[[#This Row],[PROVEEDOR]],Terceros!$A:$D,4,FALSE)</f>
        <v>0</v>
      </c>
      <c r="V774" s="98">
        <f>+YEAR(PROVEEDORES[[#This Row],[FECHA DE FACTURACIÓN]])</f>
        <v>2024</v>
      </c>
      <c r="W774" s="98">
        <f>+MATCH(PROVEEDORES[[#This Row],[año facturado]],Retenciones!$1:$1,0)</f>
        <v>7</v>
      </c>
      <c r="X774" s="99">
        <f>+VLOOKUP(PROVEEDORES[[#This Row],[ID RETENCION]],Retenciones!$A$1:$O$25,PROVEEDORES[[#This Row],[indicador de columna]],FALSE)</f>
        <v>0</v>
      </c>
      <c r="Y774" s="100">
        <f>+VLOOKUP(PROVEEDORES[[#This Row],[ID RETENCION]],Retenciones!$A$1:$O$25,2,FALSE)</f>
        <v>0</v>
      </c>
      <c r="Z774" s="103" t="b">
        <f>OR(COUNTIF(PROVEEDORES[[#This Row],[PROVEEDOR]],"*"&amp;'Palabra no opera'!$A$2&amp;"*"))</f>
        <v>0</v>
      </c>
    </row>
    <row r="775" spans="1:26" ht="22.35" customHeight="1" x14ac:dyDescent="0.25">
      <c r="A775" s="65" t="str">
        <f>+IF(PROVEEDORES[[#This Row],[FECHA DE PAGO]]=PROVEEDORES[[#This Row],[FECHA DE FACTURACIÓN]],"DE CONTADO","CRÉDITO")</f>
        <v>CRÉDITO</v>
      </c>
      <c r="B775" s="38" t="b">
        <f>+IF((PROVEEDORES[[#This Row],[FECHA DE PAGO]]-PROVEEDORES[[#This Row],[FECHA DE FACTURACIÓN]])&gt;PROVEEDORES[[#This Row],[PLAZO Días]],"PAGO VENCIDO")</f>
        <v>0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6" t="str">
        <f>+VLOOKUP(PROVEEDORES[[#This Row],[PROVEEDOR]],
                       Terceros!$A:$F,
                       5,
                       FALSE)</f>
        <v/>
      </c>
      <c r="G775" s="289">
        <v>45308</v>
      </c>
      <c r="H775" s="26" t="s">
        <v>53</v>
      </c>
      <c r="I775" s="289">
        <v>45307</v>
      </c>
      <c r="J775" s="35"/>
      <c r="K775" s="21">
        <f>770000+792000</f>
        <v>1562000</v>
      </c>
      <c r="L775" s="21"/>
      <c r="M775" s="22">
        <f>(PROVEEDORES[[#This Row],[SUBTOTAL]]-PROVEEDORES[[#This Row],[descuento sobre subtotal]])*VLOOKUP(PROVEEDORES[[#This Row],[PROVEEDOR]],TERCEROS_INFO[#All],3,FALSE)</f>
        <v>0</v>
      </c>
      <c r="N775" s="23"/>
      <c r="O775" s="22">
        <f>+PROVEEDORES[[#This Row],[Descuento sobre subtotal %]]*(PROVEEDORES[[#This Row],[SUBTOTAL]]-PROVEEDORES[[#This Row],[descuento sobre subtotal]])</f>
        <v>0</v>
      </c>
      <c r="P775" s="72">
        <f>+IF(PROVEEDORES[[#This Row],[SUBTOTAL]]&lt;PROVEEDORES[[#This Row],[base retencion]],0,PROVEEDORES[[#This Row],[retención aplicada]])</f>
        <v>0</v>
      </c>
      <c r="Q775" s="22">
        <f>+PROVEEDORES[[#This Row],[Rete Fuente %]]*(PROVEEDORES[[#This Row],[SUBTOTAL]]-PROVEEDORES[[#This Row],[descuento sobre subtotal]])</f>
        <v>0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1562000</v>
      </c>
      <c r="S7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1">
        <f ca="1">IF(PROVEEDORES[[#This Row],[FECHA DE PAGO]]=0,TODAY()-PROVEEDORES[[#This Row],[FECHA DE FACTURACIÓN]]-PROVEEDORES[[#This Row],[PLAZO Días]],0)</f>
        <v>0</v>
      </c>
      <c r="U775" s="97">
        <f>+VLOOKUP(PROVEEDORES[[#This Row],[PROVEEDOR]],Terceros!$A:$D,4,FALSE)</f>
        <v>0</v>
      </c>
      <c r="V775" s="98">
        <f>+YEAR(PROVEEDORES[[#This Row],[FECHA DE FACTURACIÓN]])</f>
        <v>2024</v>
      </c>
      <c r="W775" s="98">
        <f>+MATCH(PROVEEDORES[[#This Row],[año facturado]],Retenciones!$1:$1,0)</f>
        <v>7</v>
      </c>
      <c r="X775" s="99">
        <f>+VLOOKUP(PROVEEDORES[[#This Row],[ID RETENCION]],Retenciones!$A$1:$O$25,PROVEEDORES[[#This Row],[indicador de columna]],FALSE)</f>
        <v>0</v>
      </c>
      <c r="Y775" s="100">
        <f>+VLOOKUP(PROVEEDORES[[#This Row],[ID RETENCION]],Retenciones!$A$1:$O$25,2,FALSE)</f>
        <v>0</v>
      </c>
      <c r="Z775" s="103" t="b">
        <f>OR(COUNTIF(PROVEEDORES[[#This Row],[PROVEEDOR]],"*"&amp;'Palabra no opera'!$A$2&amp;"*"))</f>
        <v>0</v>
      </c>
    </row>
    <row r="776" spans="1:26" ht="22.35" customHeight="1" x14ac:dyDescent="0.25">
      <c r="A776" s="65" t="str">
        <f>+IF(PROVEEDORES[[#This Row],[FECHA DE PAGO]]=PROVEEDORES[[#This Row],[FECHA DE FACTURACIÓN]],"DE CONTADO","CRÉDITO")</f>
        <v>CRÉDITO</v>
      </c>
      <c r="B776" s="38" t="str">
        <f>+IF((PROVEEDORES[[#This Row],[FECHA DE PAGO]]-PROVEEDORES[[#This Row],[FECHA DE FACTURACIÓN]])&gt;PROVEEDORES[[#This Row],[PLAZO Días]],"PAGO VENCIDO")</f>
        <v>PAGO VENCIDO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12328400</v>
      </c>
      <c r="E776" s="25"/>
      <c r="F776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76" s="289">
        <v>44988</v>
      </c>
      <c r="H776" s="26" t="s">
        <v>485</v>
      </c>
      <c r="I776" s="289">
        <v>44953</v>
      </c>
      <c r="J776" s="35">
        <v>40466</v>
      </c>
      <c r="K776" s="21">
        <v>1636800</v>
      </c>
      <c r="L776" s="21"/>
      <c r="M776" s="22">
        <f>(PROVEEDORES[[#This Row],[SUBTOTAL]]-PROVEEDORES[[#This Row],[descuento sobre subtotal]])*VLOOKUP(PROVEEDORES[[#This Row],[PROVEEDOR]],TERCEROS_INFO[#All],3,FALSE)</f>
        <v>310992</v>
      </c>
      <c r="N776" s="23"/>
      <c r="O776" s="22">
        <f>+PROVEEDORES[[#This Row],[Descuento sobre subtotal %]]*(PROVEEDORES[[#This Row],[SUBTOTAL]]-PROVEEDORES[[#This Row],[descuento sobre subtotal]])</f>
        <v>0</v>
      </c>
      <c r="P776" s="72">
        <f>+IF(PROVEEDORES[[#This Row],[SUBTOTAL]]&lt;PROVEEDORES[[#This Row],[base retencion]],0,PROVEEDORES[[#This Row],[retención aplicada]])</f>
        <v>0</v>
      </c>
      <c r="Q776" s="22">
        <f>+PROVEEDORES[[#This Row],[Rete Fuente %]]*(PROVEEDORES[[#This Row],[SUBTOTAL]]-PROVEEDORES[[#This Row],[descuento sobre subtotal]])</f>
        <v>0</v>
      </c>
      <c r="R776" s="21">
        <f>+PROVEEDORES[[#This Row],[SUBTOTAL]]+PROVEEDORES[[#This Row],[IVA 19%]]-PROVEEDORES[[#This Row],[descuento sobre subtotal]]-PROVEEDORES[[#This Row],[Descuento sobre subtotal $2]]-PROVEEDORES[[#This Row],[Rete Fuente $]]</f>
        <v>1947792</v>
      </c>
      <c r="S7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1">
        <f ca="1">IF(PROVEEDORES[[#This Row],[FECHA DE PAGO]]=0,TODAY()-PROVEEDORES[[#This Row],[FECHA DE FACTURACIÓN]]-PROVEEDORES[[#This Row],[PLAZO Días]],0)</f>
        <v>0</v>
      </c>
      <c r="U776" s="97">
        <f>+VLOOKUP(PROVEEDORES[[#This Row],[PROVEEDOR]],Terceros!$A:$D,4,FALSE)</f>
        <v>0</v>
      </c>
      <c r="V776" s="98">
        <f>+YEAR(PROVEEDORES[[#This Row],[FECHA DE FACTURACIÓN]])</f>
        <v>2023</v>
      </c>
      <c r="W776" s="98">
        <f>+MATCH(PROVEEDORES[[#This Row],[año facturado]],Retenciones!$1:$1,0)</f>
        <v>6</v>
      </c>
      <c r="X776" s="99">
        <f>+VLOOKUP(PROVEEDORES[[#This Row],[ID RETENCION]],Retenciones!$A$1:$O$25,PROVEEDORES[[#This Row],[indicador de columna]],FALSE)</f>
        <v>0</v>
      </c>
      <c r="Y776" s="100">
        <f>+VLOOKUP(PROVEEDORES[[#This Row],[ID RETENCION]],Retenciones!$A$1:$O$25,2,FALSE)</f>
        <v>0</v>
      </c>
      <c r="Z776" s="103" t="b">
        <f>OR(COUNTIF(PROVEEDORES[[#This Row],[PROVEEDOR]],"*"&amp;'Palabra no opera'!$A$2&amp;"*"))</f>
        <v>0</v>
      </c>
    </row>
    <row r="777" spans="1:26" ht="22.35" customHeight="1" x14ac:dyDescent="0.25">
      <c r="A777" s="65" t="str">
        <f>+IF(PROVEEDORES[[#This Row],[FECHA DE PAGO]]=PROVEEDORES[[#This Row],[FECHA DE FACTURACIÓN]],"DE CONTADO","CRÉDITO")</f>
        <v>CRÉDITO</v>
      </c>
      <c r="B777" s="38" t="str">
        <f>+IF((PROVEEDORES[[#This Row],[FECHA DE PAGO]]-PROVEEDORES[[#This Row],[FECHA DE FACTURACIÓN]])&gt;PROVEEDORES[[#This Row],[PLAZO Días]],"PAGO VENCIDO")</f>
        <v>PAGO VENCIDO</v>
      </c>
      <c r="C777" s="20">
        <f>+VLOOKUP(PROVEEDORES[[#This Row],[PROVEEDOR]],TERCEROS_INFO[#All],2,FALSE)</f>
        <v>30</v>
      </c>
      <c r="D777" s="25">
        <f>+SUMIFS(PROVEEDORES[Total],PROVEEDORES[PROVEEDOR],PROVEEDORES[[#This Row],[PROVEEDOR]],PROVEEDORES[FECHA DE PAGO],"")</f>
        <v>12328400</v>
      </c>
      <c r="E777" s="25"/>
      <c r="F777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77" s="289">
        <v>45035</v>
      </c>
      <c r="H777" s="26" t="s">
        <v>485</v>
      </c>
      <c r="I777" s="289">
        <v>44994</v>
      </c>
      <c r="J777" s="35" t="s">
        <v>659</v>
      </c>
      <c r="K777" s="21">
        <v>6944000</v>
      </c>
      <c r="L777" s="21"/>
      <c r="M777" s="22">
        <f>(PROVEEDORES[[#This Row],[SUBTOTAL]]-PROVEEDORES[[#This Row],[descuento sobre subtotal]])*VLOOKUP(PROVEEDORES[[#This Row],[PROVEEDOR]],TERCEROS_INFO[#All],3,FALSE)</f>
        <v>1319360</v>
      </c>
      <c r="N777" s="23"/>
      <c r="O777" s="22">
        <f>+PROVEEDORES[[#This Row],[Descuento sobre subtotal %]]*(PROVEEDORES[[#This Row],[SUBTOTAL]]-PROVEEDORES[[#This Row],[descuento sobre subtotal]])</f>
        <v>0</v>
      </c>
      <c r="P777" s="72">
        <f>+IF(PROVEEDORES[[#This Row],[SUBTOTAL]]&lt;PROVEEDORES[[#This Row],[base retencion]],0,PROVEEDORES[[#This Row],[retención aplicada]])</f>
        <v>0</v>
      </c>
      <c r="Q777" s="22">
        <f>+PROVEEDORES[[#This Row],[Rete Fuente %]]*(PROVEEDORES[[#This Row],[SUBTOTAL]]-PROVEEDORES[[#This Row],[descuento sobre subtotal]])</f>
        <v>0</v>
      </c>
      <c r="R777" s="21">
        <f>+PROVEEDORES[[#This Row],[SUBTOTAL]]+PROVEEDORES[[#This Row],[IVA 19%]]-PROVEEDORES[[#This Row],[descuento sobre subtotal]]-PROVEEDORES[[#This Row],[Descuento sobre subtotal $2]]-PROVEEDORES[[#This Row],[Rete Fuente $]]</f>
        <v>8263360</v>
      </c>
      <c r="S7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1">
        <f ca="1">IF(PROVEEDORES[[#This Row],[FECHA DE PAGO]]=0,TODAY()-PROVEEDORES[[#This Row],[FECHA DE FACTURACIÓN]]-PROVEEDORES[[#This Row],[PLAZO Días]],0)</f>
        <v>0</v>
      </c>
      <c r="U777" s="97">
        <f>+VLOOKUP(PROVEEDORES[[#This Row],[PROVEEDOR]],Terceros!$A:$D,4,FALSE)</f>
        <v>0</v>
      </c>
      <c r="V777" s="98">
        <f>+YEAR(PROVEEDORES[[#This Row],[FECHA DE FACTURACIÓN]])</f>
        <v>2023</v>
      </c>
      <c r="W777" s="98">
        <f>+MATCH(PROVEEDORES[[#This Row],[año facturado]],Retenciones!$1:$1,0)</f>
        <v>6</v>
      </c>
      <c r="X777" s="99">
        <f>+VLOOKUP(PROVEEDORES[[#This Row],[ID RETENCION]],Retenciones!$A$1:$O$25,PROVEEDORES[[#This Row],[indicador de columna]],FALSE)</f>
        <v>0</v>
      </c>
      <c r="Y777" s="100">
        <f>+VLOOKUP(PROVEEDORES[[#This Row],[ID RETENCION]],Retenciones!$A$1:$O$25,2,FALSE)</f>
        <v>0</v>
      </c>
      <c r="Z777" s="103" t="b">
        <f>OR(COUNTIF(PROVEEDORES[[#This Row],[PROVEEDOR]],"*"&amp;'Palabra no opera'!$A$2&amp;"*"))</f>
        <v>0</v>
      </c>
    </row>
    <row r="778" spans="1:26" ht="22.35" customHeight="1" x14ac:dyDescent="0.25">
      <c r="A778" s="192" t="str">
        <f>+IF(PROVEEDORES[[#This Row],[FECHA DE PAGO]]=PROVEEDORES[[#This Row],[FECHA DE FACTURACIÓN]],"DE CONTADO","CRÉDITO")</f>
        <v>CRÉDITO</v>
      </c>
      <c r="B778" s="38" t="str">
        <f>+IF((PROVEEDORES[[#This Row],[FECHA DE PAGO]]-PROVEEDORES[[#This Row],[FECHA DE FACTURACIÓN]])&gt;PROVEEDORES[[#This Row],[PLAZO Días]],"PAGO VENCIDO")</f>
        <v>PAGO VENCIDO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12328400</v>
      </c>
      <c r="E778" s="25"/>
      <c r="F778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78" s="289">
        <v>45075</v>
      </c>
      <c r="H778" s="26" t="s">
        <v>485</v>
      </c>
      <c r="I778" s="289">
        <v>45035</v>
      </c>
      <c r="J778" s="35" t="s">
        <v>784</v>
      </c>
      <c r="K778" s="21">
        <v>5040000</v>
      </c>
      <c r="L778" s="21"/>
      <c r="M778" s="22">
        <f>(PROVEEDORES[[#This Row],[SUBTOTAL]]-PROVEEDORES[[#This Row],[descuento sobre subtotal]])*VLOOKUP(PROVEEDORES[[#This Row],[PROVEEDOR]],TERCEROS_INFO[#All],3,FALSE)</f>
        <v>957600</v>
      </c>
      <c r="N778" s="23"/>
      <c r="O778" s="22">
        <f>+PROVEEDORES[[#This Row],[Descuento sobre subtotal %]]*(PROVEEDORES[[#This Row],[SUBTOTAL]]-PROVEEDORES[[#This Row],[descuento sobre subtotal]])</f>
        <v>0</v>
      </c>
      <c r="P778" s="72">
        <f>+IF(PROVEEDORES[[#This Row],[SUBTOTAL]]&lt;PROVEEDORES[[#This Row],[base retencion]],0,PROVEEDORES[[#This Row],[retención aplicada]])</f>
        <v>0</v>
      </c>
      <c r="Q778" s="22">
        <f>+PROVEEDORES[[#This Row],[Rete Fuente %]]*(PROVEEDORES[[#This Row],[SUBTOTAL]]-PROVEEDORES[[#This Row],[descuento sobre subtotal]])</f>
        <v>0</v>
      </c>
      <c r="R778" s="21">
        <f>+PROVEEDORES[[#This Row],[SUBTOTAL]]+PROVEEDORES[[#This Row],[IVA 19%]]-PROVEEDORES[[#This Row],[descuento sobre subtotal]]-PROVEEDORES[[#This Row],[Descuento sobre subtotal $2]]-PROVEEDORES[[#This Row],[Rete Fuente $]]</f>
        <v>5997600</v>
      </c>
      <c r="S77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1">
        <f ca="1">IF(PROVEEDORES[[#This Row],[FECHA DE PAGO]]=0,TODAY()-PROVEEDORES[[#This Row],[FECHA DE FACTURACIÓN]]-PROVEEDORES[[#This Row],[PLAZO Días]],0)</f>
        <v>0</v>
      </c>
      <c r="U778" s="97">
        <f>+VLOOKUP(PROVEEDORES[[#This Row],[PROVEEDOR]],Terceros!$A:$D,4,FALSE)</f>
        <v>0</v>
      </c>
      <c r="V778" s="98">
        <f>+YEAR(PROVEEDORES[[#This Row],[FECHA DE FACTURACIÓN]])</f>
        <v>2023</v>
      </c>
      <c r="W778" s="98">
        <f>+MATCH(PROVEEDORES[[#This Row],[año facturado]],Retenciones!$1:$1,0)</f>
        <v>6</v>
      </c>
      <c r="X778" s="99">
        <f>+VLOOKUP(PROVEEDORES[[#This Row],[ID RETENCION]],Retenciones!$A$1:$O$25,PROVEEDORES[[#This Row],[indicador de columna]],FALSE)</f>
        <v>0</v>
      </c>
      <c r="Y778" s="100">
        <f>+VLOOKUP(PROVEEDORES[[#This Row],[ID RETENCION]],Retenciones!$A$1:$O$25,2,FALSE)</f>
        <v>0</v>
      </c>
      <c r="Z778" s="103" t="b">
        <f>OR(COUNTIF(PROVEEDORES[[#This Row],[PROVEEDOR]],"*"&amp;'Palabra no opera'!$A$2&amp;"*"))</f>
        <v>0</v>
      </c>
    </row>
    <row r="779" spans="1:26" ht="22.35" customHeight="1" x14ac:dyDescent="0.25">
      <c r="A779" s="65" t="str">
        <f>+IF(PROVEEDORES[[#This Row],[FECHA DE PAGO]]=PROVEEDORES[[#This Row],[FECHA DE FACTURACIÓN]],"DE CONTADO","CRÉDITO")</f>
        <v>CRÉDITO</v>
      </c>
      <c r="B779" s="38" t="str">
        <f>+IF((PROVEEDORES[[#This Row],[FECHA DE PAGO]]-PROVEEDORES[[#This Row],[FECHA DE FACTURACIÓN]])&gt;PROVEEDORES[[#This Row],[PLAZO Días]],"PAGO VENCIDO")</f>
        <v>PAGO VENCIDO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12328400</v>
      </c>
      <c r="E779" s="25"/>
      <c r="F779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79" s="289">
        <v>45099</v>
      </c>
      <c r="H779" s="26" t="s">
        <v>485</v>
      </c>
      <c r="I779" s="289">
        <v>45058</v>
      </c>
      <c r="J779" s="35" t="s">
        <v>833</v>
      </c>
      <c r="K779" s="21">
        <v>2352000</v>
      </c>
      <c r="L779" s="21"/>
      <c r="M779" s="22">
        <f>(PROVEEDORES[[#This Row],[SUBTOTAL]]-PROVEEDORES[[#This Row],[descuento sobre subtotal]])*VLOOKUP(PROVEEDORES[[#This Row],[PROVEEDOR]],TERCEROS_INFO[#All],3,FALSE)</f>
        <v>446880</v>
      </c>
      <c r="N779" s="23"/>
      <c r="O779" s="22">
        <f>+PROVEEDORES[[#This Row],[Descuento sobre subtotal %]]*(PROVEEDORES[[#This Row],[SUBTOTAL]]-PROVEEDORES[[#This Row],[descuento sobre subtotal]])</f>
        <v>0</v>
      </c>
      <c r="P779" s="72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f>+PROVEEDORES[[#This Row],[SUBTOTAL]]+PROVEEDORES[[#This Row],[IVA 19%]]-PROVEEDORES[[#This Row],[descuento sobre subtotal]]-PROVEEDORES[[#This Row],[Descuento sobre subtotal $2]]-PROVEEDORES[[#This Row],[Rete Fuente $]]</f>
        <v>2798880</v>
      </c>
      <c r="S7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1">
        <f ca="1">IF(PROVEEDORES[[#This Row],[FECHA DE PAGO]]=0,TODAY()-PROVEEDORES[[#This Row],[FECHA DE FACTURACIÓN]]-PROVEEDORES[[#This Row],[PLAZO Días]],0)</f>
        <v>0</v>
      </c>
      <c r="U779" s="97">
        <f>+VLOOKUP(PROVEEDORES[[#This Row],[PROVEEDOR]],Terceros!$A:$D,4,FALSE)</f>
        <v>0</v>
      </c>
      <c r="V779" s="98">
        <f>+YEAR(PROVEEDORES[[#This Row],[FECHA DE FACTURACIÓN]])</f>
        <v>2023</v>
      </c>
      <c r="W779" s="98">
        <f>+MATCH(PROVEEDORES[[#This Row],[año facturado]],Retenciones!$1:$1,0)</f>
        <v>6</v>
      </c>
      <c r="X779" s="99">
        <f>+VLOOKUP(PROVEEDORES[[#This Row],[ID RETENCION]],Retenciones!$A$1:$O$25,PROVEEDORES[[#This Row],[indicador de columna]],FALSE)</f>
        <v>0</v>
      </c>
      <c r="Y779" s="100">
        <f>+VLOOKUP(PROVEEDORES[[#This Row],[ID RETENCION]],Retenciones!$A$1:$O$25,2,FALSE)</f>
        <v>0</v>
      </c>
      <c r="Z779" s="103" t="b">
        <f>OR(COUNTIF(PROVEEDORES[[#This Row],[PROVEEDOR]],"*"&amp;'Palabra no opera'!$A$2&amp;"*"))</f>
        <v>0</v>
      </c>
    </row>
    <row r="780" spans="1:26" ht="22.35" customHeight="1" x14ac:dyDescent="0.25">
      <c r="A780" s="65" t="str">
        <f>+IF(PROVEEDORES[[#This Row],[FECHA DE PAGO]]=PROVEEDORES[[#This Row],[FECHA DE FACTURACIÓN]],"DE CONTADO","CRÉDITO")</f>
        <v>CRÉDITO</v>
      </c>
      <c r="B780" s="38" t="str">
        <f>+IF((PROVEEDORES[[#This Row],[FECHA DE PAGO]]-PROVEEDORES[[#This Row],[FECHA DE FACTURACIÓN]])&gt;PROVEEDORES[[#This Row],[PLAZO Días]],"PAGO VENCIDO")</f>
        <v>PAGO VENCIDO</v>
      </c>
      <c r="C780" s="20">
        <f>+VLOOKUP(PROVEEDORES[[#This Row],[PROVEEDOR]],TERCEROS_INFO[#All],2,FALSE)</f>
        <v>30</v>
      </c>
      <c r="D780" s="25">
        <f>+SUMIFS(PROVEEDORES[Total],PROVEEDORES[PROVEEDOR],PROVEEDORES[[#This Row],[PROVEEDOR]],PROVEEDORES[FECHA DE PAGO],"")</f>
        <v>12328400</v>
      </c>
      <c r="E780" s="25"/>
      <c r="F780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0" s="289">
        <v>45124</v>
      </c>
      <c r="H780" s="26" t="s">
        <v>485</v>
      </c>
      <c r="I780" s="289">
        <v>45078</v>
      </c>
      <c r="J780" s="35" t="s">
        <v>875</v>
      </c>
      <c r="K780" s="21">
        <v>4512000</v>
      </c>
      <c r="L780" s="21"/>
      <c r="M780" s="22">
        <f>(PROVEEDORES[[#This Row],[SUBTOTAL]]-PROVEEDORES[[#This Row],[descuento sobre subtotal]])*VLOOKUP(PROVEEDORES[[#This Row],[PROVEEDOR]],TERCEROS_INFO[#All],3,FALSE)</f>
        <v>857280</v>
      </c>
      <c r="N780" s="23"/>
      <c r="O780" s="22">
        <f>+PROVEEDORES[[#This Row],[Descuento sobre subtotal %]]*(PROVEEDORES[[#This Row],[SUBTOTAL]]-PROVEEDORES[[#This Row],[descuento sobre subtotal]])</f>
        <v>0</v>
      </c>
      <c r="P780" s="72">
        <f>+IF(PROVEEDORES[[#This Row],[SUBTOTAL]]&lt;PROVEEDORES[[#This Row],[base retencion]],0,PROVEEDORES[[#This Row],[retención aplicada]])</f>
        <v>0</v>
      </c>
      <c r="Q780" s="22">
        <f>+PROVEEDORES[[#This Row],[Rete Fuente %]]*(PROVEEDORES[[#This Row],[SUBTOTAL]]-PROVEEDORES[[#This Row],[descuento sobre subtotal]])</f>
        <v>0</v>
      </c>
      <c r="R780" s="21">
        <f>+PROVEEDORES[[#This Row],[SUBTOTAL]]+PROVEEDORES[[#This Row],[IVA 19%]]-PROVEEDORES[[#This Row],[descuento sobre subtotal]]-PROVEEDORES[[#This Row],[Descuento sobre subtotal $2]]-PROVEEDORES[[#This Row],[Rete Fuente $]]</f>
        <v>5369280</v>
      </c>
      <c r="S78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1">
        <f ca="1">IF(PROVEEDORES[[#This Row],[FECHA DE PAGO]]=0,TODAY()-PROVEEDORES[[#This Row],[FECHA DE FACTURACIÓN]]-PROVEEDORES[[#This Row],[PLAZO Días]],0)</f>
        <v>0</v>
      </c>
      <c r="U780" s="97">
        <f>+VLOOKUP(PROVEEDORES[[#This Row],[PROVEEDOR]],Terceros!$A:$D,4,FALSE)</f>
        <v>0</v>
      </c>
      <c r="V780" s="98">
        <f>+YEAR(PROVEEDORES[[#This Row],[FECHA DE FACTURACIÓN]])</f>
        <v>2023</v>
      </c>
      <c r="W780" s="98">
        <f>+MATCH(PROVEEDORES[[#This Row],[año facturado]],Retenciones!$1:$1,0)</f>
        <v>6</v>
      </c>
      <c r="X780" s="99">
        <f>+VLOOKUP(PROVEEDORES[[#This Row],[ID RETENCION]],Retenciones!$A$1:$O$25,PROVEEDORES[[#This Row],[indicador de columna]],FALSE)</f>
        <v>0</v>
      </c>
      <c r="Y780" s="100">
        <f>+VLOOKUP(PROVEEDORES[[#This Row],[ID RETENCION]],Retenciones!$A$1:$O$25,2,FALSE)</f>
        <v>0</v>
      </c>
      <c r="Z780" s="103" t="b">
        <f>OR(COUNTIF(PROVEEDORES[[#This Row],[PROVEEDOR]],"*"&amp;'Palabra no opera'!$A$2&amp;"*"))</f>
        <v>0</v>
      </c>
    </row>
    <row r="781" spans="1:26" ht="22.35" customHeight="1" x14ac:dyDescent="0.25">
      <c r="A781" s="205" t="str">
        <f>+IF(PROVEEDORES[[#This Row],[FECHA DE PAGO]]=PROVEEDORES[[#This Row],[FECHA DE FACTURACIÓN]],"DE CONTADO","CRÉDITO")</f>
        <v>CRÉDITO</v>
      </c>
      <c r="B781" s="38" t="str">
        <f>+IF((PROVEEDORES[[#This Row],[FECHA DE PAGO]]-PROVEEDORES[[#This Row],[FECHA DE FACTURACIÓN]])&gt;PROVEEDORES[[#This Row],[PLAZO Días]],"PAGO VENCIDO")</f>
        <v>PAGO VENCIDO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12328400</v>
      </c>
      <c r="E781" s="25"/>
      <c r="F78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1" s="289">
        <v>45124</v>
      </c>
      <c r="H781" s="26" t="s">
        <v>485</v>
      </c>
      <c r="I781" s="289">
        <v>45086</v>
      </c>
      <c r="J781" s="35" t="s">
        <v>899</v>
      </c>
      <c r="K781" s="21">
        <v>7056000</v>
      </c>
      <c r="L781" s="21"/>
      <c r="M781" s="22">
        <f>(PROVEEDORES[[#This Row],[SUBTOTAL]]-PROVEEDORES[[#This Row],[descuento sobre subtotal]])*VLOOKUP(PROVEEDORES[[#This Row],[PROVEEDOR]],TERCEROS_INFO[#All],3,FALSE)</f>
        <v>1340640</v>
      </c>
      <c r="N781" s="23"/>
      <c r="O781" s="22">
        <f>+PROVEEDORES[[#This Row],[Descuento sobre subtotal %]]*(PROVEEDORES[[#This Row],[SUBTOTAL]]-PROVEEDORES[[#This Row],[descuento sobre subtotal]])</f>
        <v>0</v>
      </c>
      <c r="P781" s="72">
        <f>+IF(PROVEEDORES[[#This Row],[SUBTOTAL]]&lt;PROVEEDORES[[#This Row],[base retencion]],0,PROVEEDORES[[#This Row],[retención aplicada]])</f>
        <v>0</v>
      </c>
      <c r="Q781" s="22">
        <f>+PROVEEDORES[[#This Row],[Rete Fuente %]]*(PROVEEDORES[[#This Row],[SUBTOTAL]]-PROVEEDORES[[#This Row],[descuento sobre subtotal]])</f>
        <v>0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8396640</v>
      </c>
      <c r="S781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1">
        <f ca="1">IF(PROVEEDORES[[#This Row],[FECHA DE PAGO]]=0,TODAY()-PROVEEDORES[[#This Row],[FECHA DE FACTURACIÓN]]-PROVEEDORES[[#This Row],[PLAZO Días]],0)</f>
        <v>0</v>
      </c>
      <c r="U781" s="97">
        <f>+VLOOKUP(PROVEEDORES[[#This Row],[PROVEEDOR]],Terceros!$A:$D,4,FALSE)</f>
        <v>0</v>
      </c>
      <c r="V781" s="98">
        <f>+YEAR(PROVEEDORES[[#This Row],[FECHA DE FACTURACIÓN]])</f>
        <v>2023</v>
      </c>
      <c r="W781" s="98">
        <f>+MATCH(PROVEEDORES[[#This Row],[año facturado]],Retenciones!$1:$1,0)</f>
        <v>6</v>
      </c>
      <c r="X781" s="99">
        <f>+VLOOKUP(PROVEEDORES[[#This Row],[ID RETENCION]],Retenciones!$A$1:$O$25,PROVEEDORES[[#This Row],[indicador de columna]],FALSE)</f>
        <v>0</v>
      </c>
      <c r="Y781" s="100">
        <f>+VLOOKUP(PROVEEDORES[[#This Row],[ID RETENCION]],Retenciones!$A$1:$O$25,2,FALSE)</f>
        <v>0</v>
      </c>
      <c r="Z781" s="103" t="b">
        <f>OR(COUNTIF(PROVEEDORES[[#This Row],[PROVEEDOR]],"*"&amp;'Palabra no opera'!$A$2&amp;"*"))</f>
        <v>0</v>
      </c>
    </row>
    <row r="782" spans="1:26" ht="22.35" customHeight="1" x14ac:dyDescent="0.25">
      <c r="A782" s="65" t="str">
        <f>+IF(PROVEEDORES[[#This Row],[FECHA DE PAGO]]=PROVEEDORES[[#This Row],[FECHA DE FACTURACIÓN]],"DE CONTADO","CRÉDITO")</f>
        <v>CRÉDITO</v>
      </c>
      <c r="B782" s="38" t="str">
        <f>+IF((PROVEEDORES[[#This Row],[FECHA DE PAGO]]-PROVEEDORES[[#This Row],[FECHA DE FACTURACIÓN]])&gt;PROVEEDORES[[#This Row],[PLAZO Días]],"PAGO VENCIDO")</f>
        <v>PAGO VENCIDO</v>
      </c>
      <c r="C782" s="20">
        <f>+VLOOKUP(PROVEEDORES[[#This Row],[PROVEEDOR]],TERCEROS_INFO[#All],2,FALSE)</f>
        <v>30</v>
      </c>
      <c r="D782" s="25">
        <f>+SUMIFS(PROVEEDORES[Total],PROVEEDORES[PROVEEDOR],PROVEEDORES[[#This Row],[PROVEEDOR]],PROVEEDORES[FECHA DE PAGO],"")</f>
        <v>12328400</v>
      </c>
      <c r="E782" s="25"/>
      <c r="F782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2" s="289">
        <v>45124</v>
      </c>
      <c r="H782" s="26" t="s">
        <v>485</v>
      </c>
      <c r="I782" s="289">
        <v>45091</v>
      </c>
      <c r="J782" s="35" t="s">
        <v>921</v>
      </c>
      <c r="K782" s="21">
        <v>930000</v>
      </c>
      <c r="L782" s="21"/>
      <c r="M782" s="22">
        <f>(PROVEEDORES[[#This Row],[SUBTOTAL]]-PROVEEDORES[[#This Row],[descuento sobre subtotal]])*VLOOKUP(PROVEEDORES[[#This Row],[PROVEEDOR]],TERCEROS_INFO[#All],3,FALSE)</f>
        <v>176700</v>
      </c>
      <c r="N782" s="23"/>
      <c r="O782" s="22">
        <f>+PROVEEDORES[[#This Row],[Descuento sobre subtotal %]]*(PROVEEDORES[[#This Row],[SUBTOTAL]]-PROVEEDORES[[#This Row],[descuento sobre subtotal]])</f>
        <v>0</v>
      </c>
      <c r="P782" s="72">
        <f>+IF(PROVEEDORES[[#This Row],[SUBTOTAL]]&lt;PROVEEDORES[[#This Row],[base retencion]],0,PROVEEDORES[[#This Row],[retención aplicada]])</f>
        <v>0</v>
      </c>
      <c r="Q782" s="22">
        <f>+PROVEEDORES[[#This Row],[Rete Fuente %]]*(PROVEEDORES[[#This Row],[SUBTOTAL]]-PROVEEDORES[[#This Row],[descuento sobre subtotal]])</f>
        <v>0</v>
      </c>
      <c r="R782" s="21">
        <f>+PROVEEDORES[[#This Row],[SUBTOTAL]]+PROVEEDORES[[#This Row],[IVA 19%]]-PROVEEDORES[[#This Row],[descuento sobre subtotal]]-PROVEEDORES[[#This Row],[Descuento sobre subtotal $2]]-PROVEEDORES[[#This Row],[Rete Fuente $]]</f>
        <v>1106700</v>
      </c>
      <c r="S7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61">
        <f ca="1">IF(PROVEEDORES[[#This Row],[FECHA DE PAGO]]=0,TODAY()-PROVEEDORES[[#This Row],[FECHA DE FACTURACIÓN]]-PROVEEDORES[[#This Row],[PLAZO Días]],0)</f>
        <v>0</v>
      </c>
      <c r="U782" s="97">
        <f>+VLOOKUP(PROVEEDORES[[#This Row],[PROVEEDOR]],Terceros!$A:$D,4,FALSE)</f>
        <v>0</v>
      </c>
      <c r="V782" s="98">
        <f>+YEAR(PROVEEDORES[[#This Row],[FECHA DE FACTURACIÓN]])</f>
        <v>2023</v>
      </c>
      <c r="W782" s="98">
        <f>+MATCH(PROVEEDORES[[#This Row],[año facturado]],Retenciones!$1:$1,0)</f>
        <v>6</v>
      </c>
      <c r="X782" s="99">
        <f>+VLOOKUP(PROVEEDORES[[#This Row],[ID RETENCION]],Retenciones!$A$1:$O$25,PROVEEDORES[[#This Row],[indicador de columna]],FALSE)</f>
        <v>0</v>
      </c>
      <c r="Y782" s="100">
        <f>+VLOOKUP(PROVEEDORES[[#This Row],[ID RETENCION]],Retenciones!$A$1:$O$25,2,FALSE)</f>
        <v>0</v>
      </c>
      <c r="Z782" s="103" t="b">
        <f>OR(COUNTIF(PROVEEDORES[[#This Row],[PROVEEDOR]],"*"&amp;'Palabra no opera'!$A$2&amp;"*"))</f>
        <v>0</v>
      </c>
    </row>
    <row r="783" spans="1:26" ht="22.35" customHeight="1" x14ac:dyDescent="0.25">
      <c r="A783" s="65" t="str">
        <f>+IF(PROVEEDORES[[#This Row],[FECHA DE PAGO]]=PROVEEDORES[[#This Row],[FECHA DE FACTURACIÓN]],"DE CONTADO","CRÉDITO")</f>
        <v>CRÉDITO</v>
      </c>
      <c r="B783" s="38" t="str">
        <f>+IF((PROVEEDORES[[#This Row],[FECHA DE PAGO]]-PROVEEDORES[[#This Row],[FECHA DE FACTURACIÓN]])&gt;PROVEEDORES[[#This Row],[PLAZO Días]],"PAGO VENCIDO")</f>
        <v>PAGO VENCIDO</v>
      </c>
      <c r="C783" s="20">
        <f>+VLOOKUP(PROVEEDORES[[#This Row],[PROVEEDOR]],TERCEROS_INFO[#All],2,FALSE)</f>
        <v>30</v>
      </c>
      <c r="D783" s="25">
        <f>+SUMIFS(PROVEEDORES[Total],PROVEEDORES[PROVEEDOR],PROVEEDORES[[#This Row],[PROVEEDOR]],PROVEEDORES[FECHA DE PAGO],"")</f>
        <v>12328400</v>
      </c>
      <c r="E783" s="25"/>
      <c r="F783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3" s="289">
        <v>45124</v>
      </c>
      <c r="H783" s="26" t="s">
        <v>485</v>
      </c>
      <c r="I783" s="289">
        <v>45093</v>
      </c>
      <c r="J783" s="35" t="s">
        <v>922</v>
      </c>
      <c r="K783" s="21">
        <v>420000</v>
      </c>
      <c r="L783" s="21"/>
      <c r="M783" s="22">
        <f>(PROVEEDORES[[#This Row],[SUBTOTAL]]-PROVEEDORES[[#This Row],[descuento sobre subtotal]])*VLOOKUP(PROVEEDORES[[#This Row],[PROVEEDOR]],TERCEROS_INFO[#All],3,FALSE)</f>
        <v>79800</v>
      </c>
      <c r="N783" s="23"/>
      <c r="O783" s="22">
        <f>+PROVEEDORES[[#This Row],[Descuento sobre subtotal %]]*(PROVEEDORES[[#This Row],[SUBTOTAL]]-PROVEEDORES[[#This Row],[descuento sobre subtotal]])</f>
        <v>0</v>
      </c>
      <c r="P783" s="72">
        <f>+IF(PROVEEDORES[[#This Row],[SUBTOTAL]]&lt;PROVEEDORES[[#This Row],[base retencion]],0,PROVEEDORES[[#This Row],[retención aplicada]])</f>
        <v>0</v>
      </c>
      <c r="Q783" s="22">
        <f>+PROVEEDORES[[#This Row],[Rete Fuente %]]*(PROVEEDORES[[#This Row],[SUBTOTAL]]-PROVEEDORES[[#This Row],[descuento sobre subtotal]])</f>
        <v>0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7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1">
        <f ca="1">IF(PROVEEDORES[[#This Row],[FECHA DE PAGO]]=0,TODAY()-PROVEEDORES[[#This Row],[FECHA DE FACTURACIÓN]]-PROVEEDORES[[#This Row],[PLAZO Días]],0)</f>
        <v>0</v>
      </c>
      <c r="U783" s="97">
        <f>+VLOOKUP(PROVEEDORES[[#This Row],[PROVEEDOR]],Terceros!$A:$D,4,FALSE)</f>
        <v>0</v>
      </c>
      <c r="V783" s="98">
        <f>+YEAR(PROVEEDORES[[#This Row],[FECHA DE FACTURACIÓN]])</f>
        <v>2023</v>
      </c>
      <c r="W783" s="98">
        <f>+MATCH(PROVEEDORES[[#This Row],[año facturado]],Retenciones!$1:$1,0)</f>
        <v>6</v>
      </c>
      <c r="X783" s="99">
        <f>+VLOOKUP(PROVEEDORES[[#This Row],[ID RETENCION]],Retenciones!$A$1:$O$25,PROVEEDORES[[#This Row],[indicador de columna]],FALSE)</f>
        <v>0</v>
      </c>
      <c r="Y783" s="100">
        <f>+VLOOKUP(PROVEEDORES[[#This Row],[ID RETENCION]],Retenciones!$A$1:$O$25,2,FALSE)</f>
        <v>0</v>
      </c>
      <c r="Z783" s="103" t="b">
        <f>OR(COUNTIF(PROVEEDORES[[#This Row],[PROVEEDOR]],"*"&amp;'Palabra no opera'!$A$2&amp;"*"))</f>
        <v>0</v>
      </c>
    </row>
    <row r="784" spans="1:26" ht="22.35" customHeight="1" x14ac:dyDescent="0.25">
      <c r="A784" s="65" t="str">
        <f>+IF(PROVEEDORES[[#This Row],[FECHA DE PAGO]]=PROVEEDORES[[#This Row],[FECHA DE FACTURACIÓN]],"DE CONTADO","CRÉDITO")</f>
        <v>CRÉDITO</v>
      </c>
      <c r="B784" s="38" t="str">
        <f>+IF((PROVEEDORES[[#This Row],[FECHA DE PAGO]]-PROVEEDORES[[#This Row],[FECHA DE FACTURACIÓN]])&gt;PROVEEDORES[[#This Row],[PLAZO Días]],"PAGO VENCIDO")</f>
        <v>PAGO VENCIDO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12328400</v>
      </c>
      <c r="E784" s="25"/>
      <c r="F784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4" s="289">
        <v>45142</v>
      </c>
      <c r="H784" s="26" t="s">
        <v>485</v>
      </c>
      <c r="I784" s="289">
        <v>45101</v>
      </c>
      <c r="J784" s="35" t="s">
        <v>924</v>
      </c>
      <c r="K784" s="21">
        <v>7560000</v>
      </c>
      <c r="L784" s="21"/>
      <c r="M784" s="22">
        <f>(PROVEEDORES[[#This Row],[SUBTOTAL]]-PROVEEDORES[[#This Row],[descuento sobre subtotal]])*VLOOKUP(PROVEEDORES[[#This Row],[PROVEEDOR]],TERCEROS_INFO[#All],3,FALSE)</f>
        <v>1436400</v>
      </c>
      <c r="N784" s="23"/>
      <c r="O784" s="22">
        <f>+PROVEEDORES[[#This Row],[Descuento sobre subtotal %]]*(PROVEEDORES[[#This Row],[SUBTOTAL]]-PROVEEDORES[[#This Row],[descuento sobre subtotal]])</f>
        <v>0</v>
      </c>
      <c r="P784" s="72">
        <f>+IF(PROVEEDORES[[#This Row],[SUBTOTAL]]&lt;PROVEEDORES[[#This Row],[base retencion]],0,PROVEEDORES[[#This Row],[retención aplicada]])</f>
        <v>0</v>
      </c>
      <c r="Q784" s="22">
        <f>+PROVEEDORES[[#This Row],[Rete Fuente %]]*(PROVEEDORES[[#This Row],[SUBTOTAL]]-PROVEEDORES[[#This Row],[descuento sobre subtotal]])</f>
        <v>0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8996400</v>
      </c>
      <c r="S7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1">
        <f ca="1">IF(PROVEEDORES[[#This Row],[FECHA DE PAGO]]=0,TODAY()-PROVEEDORES[[#This Row],[FECHA DE FACTURACIÓN]]-PROVEEDORES[[#This Row],[PLAZO Días]],0)</f>
        <v>0</v>
      </c>
      <c r="U784" s="97">
        <f>+VLOOKUP(PROVEEDORES[[#This Row],[PROVEEDOR]],Terceros!$A:$D,4,FALSE)</f>
        <v>0</v>
      </c>
      <c r="V784" s="98">
        <f>+YEAR(PROVEEDORES[[#This Row],[FECHA DE FACTURACIÓN]])</f>
        <v>2023</v>
      </c>
      <c r="W784" s="98">
        <f>+MATCH(PROVEEDORES[[#This Row],[año facturado]],Retenciones!$1:$1,0)</f>
        <v>6</v>
      </c>
      <c r="X784" s="99">
        <f>+VLOOKUP(PROVEEDORES[[#This Row],[ID RETENCION]],Retenciones!$A$1:$O$25,PROVEEDORES[[#This Row],[indicador de columna]],FALSE)</f>
        <v>0</v>
      </c>
      <c r="Y784" s="100">
        <f>+VLOOKUP(PROVEEDORES[[#This Row],[ID RETENCION]],Retenciones!$A$1:$O$25,2,FALSE)</f>
        <v>0</v>
      </c>
      <c r="Z784" s="103" t="b">
        <f>OR(COUNTIF(PROVEEDORES[[#This Row],[PROVEEDOR]],"*"&amp;'Palabra no opera'!$A$2&amp;"*"))</f>
        <v>0</v>
      </c>
    </row>
    <row r="785" spans="1:26" ht="22.35" customHeight="1" x14ac:dyDescent="0.25">
      <c r="A785" s="65" t="str">
        <f>+IF(PROVEEDORES[[#This Row],[FECHA DE PAGO]]=PROVEEDORES[[#This Row],[FECHA DE FACTURACIÓN]],"DE CONTADO","CRÉDITO")</f>
        <v>CRÉDITO</v>
      </c>
      <c r="B785" s="38" t="str">
        <f>+IF((PROVEEDORES[[#This Row],[FECHA DE PAGO]]-PROVEEDORES[[#This Row],[FECHA DE FACTURACIÓN]])&gt;PROVEEDORES[[#This Row],[PLAZO Días]],"PAGO VENCIDO")</f>
        <v>PAGO VENCIDO</v>
      </c>
      <c r="C785" s="20">
        <f>+VLOOKUP(PROVEEDORES[[#This Row],[PROVEEDOR]],TERCEROS_INFO[#All],2,FALSE)</f>
        <v>30</v>
      </c>
      <c r="D785" s="25">
        <f>+SUMIFS(PROVEEDORES[Total],PROVEEDORES[PROVEEDOR],PROVEEDORES[[#This Row],[PROVEEDOR]],PROVEEDORES[FECHA DE PAGO],"")</f>
        <v>12328400</v>
      </c>
      <c r="E785" s="25"/>
      <c r="F785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5" s="289">
        <v>45142</v>
      </c>
      <c r="H785" s="26" t="s">
        <v>485</v>
      </c>
      <c r="I785" s="289">
        <v>45104</v>
      </c>
      <c r="J785" s="35" t="s">
        <v>923</v>
      </c>
      <c r="K785" s="21">
        <v>3240000</v>
      </c>
      <c r="L785" s="21"/>
      <c r="M785" s="22">
        <f>(PROVEEDORES[[#This Row],[SUBTOTAL]]-PROVEEDORES[[#This Row],[descuento sobre subtotal]])*VLOOKUP(PROVEEDORES[[#This Row],[PROVEEDOR]],TERCEROS_INFO[#All],3,FALSE)</f>
        <v>615600</v>
      </c>
      <c r="N785" s="23"/>
      <c r="O785" s="22">
        <f>+PROVEEDORES[[#This Row],[Descuento sobre subtotal %]]*(PROVEEDORES[[#This Row],[SUBTOTAL]]-PROVEEDORES[[#This Row],[descuento sobre subtotal]])</f>
        <v>0</v>
      </c>
      <c r="P785" s="72">
        <f>+IF(PROVEEDORES[[#This Row],[SUBTOTAL]]&lt;PROVEEDORES[[#This Row],[base retencion]],0,PROVEEDORES[[#This Row],[retención aplicada]])</f>
        <v>0</v>
      </c>
      <c r="Q785" s="22">
        <f>+PROVEEDORES[[#This Row],[Rete Fuente %]]*(PROVEEDORES[[#This Row],[SUBTOTAL]]-PROVEEDORES[[#This Row],[descuento sobre subtotal]])</f>
        <v>0</v>
      </c>
      <c r="R785" s="21">
        <f>+PROVEEDORES[[#This Row],[SUBTOTAL]]+PROVEEDORES[[#This Row],[IVA 19%]]-PROVEEDORES[[#This Row],[descuento sobre subtotal]]-PROVEEDORES[[#This Row],[Descuento sobre subtotal $2]]-PROVEEDORES[[#This Row],[Rete Fuente $]]</f>
        <v>3855600</v>
      </c>
      <c r="S7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1">
        <f ca="1">IF(PROVEEDORES[[#This Row],[FECHA DE PAGO]]=0,TODAY()-PROVEEDORES[[#This Row],[FECHA DE FACTURACIÓN]]-PROVEEDORES[[#This Row],[PLAZO Días]],0)</f>
        <v>0</v>
      </c>
      <c r="U785" s="97">
        <f>+VLOOKUP(PROVEEDORES[[#This Row],[PROVEEDOR]],Terceros!$A:$D,4,FALSE)</f>
        <v>0</v>
      </c>
      <c r="V785" s="98">
        <f>+YEAR(PROVEEDORES[[#This Row],[FECHA DE FACTURACIÓN]])</f>
        <v>2023</v>
      </c>
      <c r="W785" s="98">
        <f>+MATCH(PROVEEDORES[[#This Row],[año facturado]],Retenciones!$1:$1,0)</f>
        <v>6</v>
      </c>
      <c r="X785" s="99">
        <f>+VLOOKUP(PROVEEDORES[[#This Row],[ID RETENCION]],Retenciones!$A$1:$O$25,PROVEEDORES[[#This Row],[indicador de columna]],FALSE)</f>
        <v>0</v>
      </c>
      <c r="Y785" s="100">
        <f>+VLOOKUP(PROVEEDORES[[#This Row],[ID RETENCION]],Retenciones!$A$1:$O$25,2,FALSE)</f>
        <v>0</v>
      </c>
      <c r="Z785" s="103" t="b">
        <f>OR(COUNTIF(PROVEEDORES[[#This Row],[PROVEEDOR]],"*"&amp;'Palabra no opera'!$A$2&amp;"*"))</f>
        <v>0</v>
      </c>
    </row>
    <row r="786" spans="1:26" ht="22.35" customHeight="1" x14ac:dyDescent="0.25">
      <c r="A786" s="213" t="str">
        <f>+IF(PROVEEDORES[[#This Row],[FECHA DE PAGO]]=PROVEEDORES[[#This Row],[FECHA DE FACTURACIÓN]],"DE CONTADO","CRÉDITO")</f>
        <v>CRÉDITO</v>
      </c>
      <c r="B786" s="38" t="str">
        <f>+IF((PROVEEDORES[[#This Row],[FECHA DE PAGO]]-PROVEEDORES[[#This Row],[FECHA DE FACTURACIÓN]])&gt;PROVEEDORES[[#This Row],[PLAZO Días]],"PAGO VENCIDO")</f>
        <v>PAGO VENCIDO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12328400</v>
      </c>
      <c r="E786" s="25"/>
      <c r="F786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6" s="289">
        <v>45166</v>
      </c>
      <c r="H786" s="26" t="s">
        <v>485</v>
      </c>
      <c r="I786" s="289">
        <v>45124</v>
      </c>
      <c r="J786" s="35" t="s">
        <v>958</v>
      </c>
      <c r="K786" s="21">
        <v>1710000</v>
      </c>
      <c r="L786" s="21"/>
      <c r="M786" s="22">
        <f>(PROVEEDORES[[#This Row],[SUBTOTAL]]-PROVEEDORES[[#This Row],[descuento sobre subtotal]])*VLOOKUP(PROVEEDORES[[#This Row],[PROVEEDOR]],TERCEROS_INFO[#All],3,FALSE)</f>
        <v>324900</v>
      </c>
      <c r="N786" s="23"/>
      <c r="O786" s="22">
        <f>+PROVEEDORES[[#This Row],[Descuento sobre subtotal %]]*(PROVEEDORES[[#This Row],[SUBTOTAL]]-PROVEEDORES[[#This Row],[descuento sobre subtotal]])</f>
        <v>0</v>
      </c>
      <c r="P786" s="72">
        <f>+IF(PROVEEDORES[[#This Row],[SUBTOTAL]]&lt;PROVEEDORES[[#This Row],[base retencion]],0,PROVEEDORES[[#This Row],[retención aplicada]])</f>
        <v>0</v>
      </c>
      <c r="Q786" s="22">
        <f>+PROVEEDORES[[#This Row],[Rete Fuente %]]*(PROVEEDORES[[#This Row],[SUBTOTAL]]-PROVEEDORES[[#This Row],[descuento sobre subtotal]])</f>
        <v>0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2034900</v>
      </c>
      <c r="S786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1">
        <f ca="1">IF(PROVEEDORES[[#This Row],[FECHA DE PAGO]]=0,TODAY()-PROVEEDORES[[#This Row],[FECHA DE FACTURACIÓN]]-PROVEEDORES[[#This Row],[PLAZO Días]],0)</f>
        <v>0</v>
      </c>
      <c r="U786" s="97">
        <f>+VLOOKUP(PROVEEDORES[[#This Row],[PROVEEDOR]],Terceros!$A:$D,4,FALSE)</f>
        <v>0</v>
      </c>
      <c r="V786" s="98">
        <f>+YEAR(PROVEEDORES[[#This Row],[FECHA DE FACTURACIÓN]])</f>
        <v>2023</v>
      </c>
      <c r="W786" s="98">
        <f>+MATCH(PROVEEDORES[[#This Row],[año facturado]],Retenciones!$1:$1,0)</f>
        <v>6</v>
      </c>
      <c r="X786" s="99">
        <f>+VLOOKUP(PROVEEDORES[[#This Row],[ID RETENCION]],Retenciones!$A$1:$O$25,PROVEEDORES[[#This Row],[indicador de columna]],FALSE)</f>
        <v>0</v>
      </c>
      <c r="Y786" s="100">
        <f>+VLOOKUP(PROVEEDORES[[#This Row],[ID RETENCION]],Retenciones!$A$1:$O$25,2,FALSE)</f>
        <v>0</v>
      </c>
      <c r="Z786" s="103" t="b">
        <f>OR(COUNTIF(PROVEEDORES[[#This Row],[PROVEEDOR]],"*"&amp;'Palabra no opera'!$A$2&amp;"*"))</f>
        <v>0</v>
      </c>
    </row>
    <row r="787" spans="1:26" ht="22.35" customHeight="1" x14ac:dyDescent="0.25">
      <c r="A787" s="65" t="str">
        <f>+IF(PROVEEDORES[[#This Row],[FECHA DE PAGO]]=PROVEEDORES[[#This Row],[FECHA DE FACTURACIÓN]],"DE CONTADO","CRÉDITO")</f>
        <v>CRÉDITO</v>
      </c>
      <c r="B787" s="38" t="str">
        <f>+IF((PROVEEDORES[[#This Row],[FECHA DE PAGO]]-PROVEEDORES[[#This Row],[FECHA DE FACTURACIÓN]])&gt;PROVEEDORES[[#This Row],[PLAZO Días]],"PAGO VENCIDO")</f>
        <v>PAGO VENCIDO</v>
      </c>
      <c r="C787" s="20">
        <f>+VLOOKUP(PROVEEDORES[[#This Row],[PROVEEDOR]],TERCEROS_INFO[#All],2,FALSE)</f>
        <v>30</v>
      </c>
      <c r="D787" s="25">
        <f>+SUMIFS(PROVEEDORES[Total],PROVEEDORES[PROVEEDOR],PROVEEDORES[[#This Row],[PROVEEDOR]],PROVEEDORES[FECHA DE PAGO],"")</f>
        <v>12328400</v>
      </c>
      <c r="E787" s="25"/>
      <c r="F787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7" s="289">
        <v>45264</v>
      </c>
      <c r="H787" s="26" t="s">
        <v>485</v>
      </c>
      <c r="I787" s="289">
        <v>45225</v>
      </c>
      <c r="J787" s="35" t="s">
        <v>1236</v>
      </c>
      <c r="K787" s="21">
        <v>2263000</v>
      </c>
      <c r="L787" s="21"/>
      <c r="M787" s="22">
        <f>(PROVEEDORES[[#This Row],[SUBTOTAL]]-PROVEEDORES[[#This Row],[descuento sobre subtotal]])*VLOOKUP(PROVEEDORES[[#This Row],[PROVEEDOR]],TERCEROS_INFO[#All],3,FALSE)</f>
        <v>429970</v>
      </c>
      <c r="N787" s="23"/>
      <c r="O787" s="22">
        <f>+PROVEEDORES[[#This Row],[Descuento sobre subtotal %]]*(PROVEEDORES[[#This Row],[SUBTOTAL]]-PROVEEDORES[[#This Row],[descuento sobre subtotal]])</f>
        <v>0</v>
      </c>
      <c r="P787" s="72">
        <f>+IF(PROVEEDORES[[#This Row],[SUBTOTAL]]&lt;PROVEEDORES[[#This Row],[base retencion]],0,PROVEEDORES[[#This Row],[retención aplicada]])</f>
        <v>0</v>
      </c>
      <c r="Q787" s="22">
        <f>+PROVEEDORES[[#This Row],[Rete Fuente %]]*(PROVEEDORES[[#This Row],[SUBTOTAL]]-PROVEEDORES[[#This Row],[descuento sobre subtotal]])</f>
        <v>0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2692970</v>
      </c>
      <c r="S7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1">
        <f ca="1">IF(PROVEEDORES[[#This Row],[FECHA DE PAGO]]=0,TODAY()-PROVEEDORES[[#This Row],[FECHA DE FACTURACIÓN]]-PROVEEDORES[[#This Row],[PLAZO Días]],0)</f>
        <v>0</v>
      </c>
      <c r="U787" s="97">
        <f>+VLOOKUP(PROVEEDORES[[#This Row],[PROVEEDOR]],Terceros!$A:$D,4,FALSE)</f>
        <v>0</v>
      </c>
      <c r="V787" s="98">
        <f>+YEAR(PROVEEDORES[[#This Row],[FECHA DE FACTURACIÓN]])</f>
        <v>2023</v>
      </c>
      <c r="W787" s="98">
        <f>+MATCH(PROVEEDORES[[#This Row],[año facturado]],Retenciones!$1:$1,0)</f>
        <v>6</v>
      </c>
      <c r="X787" s="99">
        <f>+VLOOKUP(PROVEEDORES[[#This Row],[ID RETENCION]],Retenciones!$A$1:$O$25,PROVEEDORES[[#This Row],[indicador de columna]],FALSE)</f>
        <v>0</v>
      </c>
      <c r="Y787" s="100">
        <f>+VLOOKUP(PROVEEDORES[[#This Row],[ID RETENCION]],Retenciones!$A$1:$O$25,2,FALSE)</f>
        <v>0</v>
      </c>
      <c r="Z787" s="103" t="b">
        <f>OR(COUNTIF(PROVEEDORES[[#This Row],[PROVEEDOR]],"*"&amp;'Palabra no opera'!$A$2&amp;"*"))</f>
        <v>0</v>
      </c>
    </row>
    <row r="788" spans="1:26" ht="22.35" customHeight="1" x14ac:dyDescent="0.25">
      <c r="A788" s="65" t="str">
        <f>+IF(PROVEEDORES[[#This Row],[FECHA DE PAGO]]=PROVEEDORES[[#This Row],[FECHA DE FACTURACIÓN]],"DE CONTADO","CRÉDITO")</f>
        <v>CRÉDITO</v>
      </c>
      <c r="B788" s="38" t="str">
        <f>+IF((PROVEEDORES[[#This Row],[FECHA DE PAGO]]-PROVEEDORES[[#This Row],[FECHA DE FACTURACIÓN]])&gt;PROVEEDORES[[#This Row],[PLAZO Días]],"PAGO VENCIDO")</f>
        <v>PAGO VENCIDO</v>
      </c>
      <c r="C788" s="20">
        <f>+VLOOKUP(PROVEEDORES[[#This Row],[PROVEEDOR]],TERCEROS_INFO[#All],2,FALSE)</f>
        <v>30</v>
      </c>
      <c r="D788" s="25">
        <f>+SUMIFS(PROVEEDORES[Total],PROVEEDORES[PROVEEDOR],PROVEEDORES[[#This Row],[PROVEEDOR]],PROVEEDORES[FECHA DE PAGO],"")</f>
        <v>12328400</v>
      </c>
      <c r="E788" s="25"/>
      <c r="F788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788" s="289">
        <v>45272</v>
      </c>
      <c r="H788" s="26" t="s">
        <v>485</v>
      </c>
      <c r="I788" s="289">
        <v>45234</v>
      </c>
      <c r="J788" s="35" t="s">
        <v>1268</v>
      </c>
      <c r="K788" s="21">
        <v>4908000</v>
      </c>
      <c r="L788" s="21"/>
      <c r="M788" s="22">
        <f>(PROVEEDORES[[#This Row],[SUBTOTAL]]-PROVEEDORES[[#This Row],[descuento sobre subtotal]])*VLOOKUP(PROVEEDORES[[#This Row],[PROVEEDOR]],TERCEROS_INFO[#All],3,FALSE)</f>
        <v>932520</v>
      </c>
      <c r="N788" s="23"/>
      <c r="O788" s="22">
        <f>+PROVEEDORES[[#This Row],[Descuento sobre subtotal %]]*(PROVEEDORES[[#This Row],[SUBTOTAL]]-PROVEEDORES[[#This Row],[descuento sobre subtotal]])</f>
        <v>0</v>
      </c>
      <c r="P788" s="72">
        <f>+IF(PROVEEDORES[[#This Row],[SUBTOTAL]]&lt;PROVEEDORES[[#This Row],[base retencion]],0,PROVEEDORES[[#This Row],[retención aplicada]])</f>
        <v>0</v>
      </c>
      <c r="Q788" s="22">
        <f>+PROVEEDORES[[#This Row],[Rete Fuente %]]*(PROVEEDORES[[#This Row],[SUBTOTAL]]-PROVEEDORES[[#This Row],[descuento sobre subtotal]])</f>
        <v>0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5840520</v>
      </c>
      <c r="S7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1">
        <f ca="1">IF(PROVEEDORES[[#This Row],[FECHA DE PAGO]]=0,TODAY()-PROVEEDORES[[#This Row],[FECHA DE FACTURACIÓN]]-PROVEEDORES[[#This Row],[PLAZO Días]],0)</f>
        <v>0</v>
      </c>
      <c r="U788" s="97">
        <f>+VLOOKUP(PROVEEDORES[[#This Row],[PROVEEDOR]],Terceros!$A:$D,4,FALSE)</f>
        <v>0</v>
      </c>
      <c r="V788" s="98">
        <f>+YEAR(PROVEEDORES[[#This Row],[FECHA DE FACTURACIÓN]])</f>
        <v>2023</v>
      </c>
      <c r="W788" s="98">
        <f>+MATCH(PROVEEDORES[[#This Row],[año facturado]],Retenciones!$1:$1,0)</f>
        <v>6</v>
      </c>
      <c r="X788" s="99">
        <f>+VLOOKUP(PROVEEDORES[[#This Row],[ID RETENCION]],Retenciones!$A$1:$O$25,PROVEEDORES[[#This Row],[indicador de columna]],FALSE)</f>
        <v>0</v>
      </c>
      <c r="Y788" s="100">
        <f>+VLOOKUP(PROVEEDORES[[#This Row],[ID RETENCION]],Retenciones!$A$1:$O$25,2,FALSE)</f>
        <v>0</v>
      </c>
      <c r="Z788" s="103" t="b">
        <f>OR(COUNTIF(PROVEEDORES[[#This Row],[PROVEEDOR]],"*"&amp;'Palabra no opera'!$A$2&amp;"*"))</f>
        <v>0</v>
      </c>
    </row>
    <row r="789" spans="1:26" ht="22.35" customHeight="1" x14ac:dyDescent="0.25">
      <c r="A789" s="192" t="str">
        <f>+IF(PROVEEDORES[[#This Row],[FECHA DE PAGO]]=PROVEEDORES[[#This Row],[FECHA DE FACTURACIÓN]],"DE CONTADO","CRÉDITO")</f>
        <v>CRÉDITO</v>
      </c>
      <c r="B789" s="38" t="b">
        <f>+IF((PROVEEDORES[[#This Row],[FECHA DE PAGO]]-PROVEEDORES[[#This Row],[FECHA DE FACTURACIÓN]])&gt;PROVEEDORES[[#This Row],[PLAZO Días]],"PAGO VENCIDO")</f>
        <v>0</v>
      </c>
      <c r="C789" s="20">
        <f>+VLOOKUP(PROVEEDORES[[#This Row],[PROVEEDOR]],TERCEROS_INFO[#All],2,FALSE)</f>
        <v>30</v>
      </c>
      <c r="D789" s="25">
        <f>+SUMIFS(PROVEEDORES[Total],PROVEEDORES[PROVEEDOR],PROVEEDORES[[#This Row],[PROVEEDOR]],PROVEEDORES[FECHA DE PAGO],"")</f>
        <v>0</v>
      </c>
      <c r="E789" s="25"/>
      <c r="F789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89" s="289">
        <v>45057</v>
      </c>
      <c r="H789" s="26" t="s">
        <v>65</v>
      </c>
      <c r="I789" s="289">
        <v>45033</v>
      </c>
      <c r="J789" s="35" t="s">
        <v>803</v>
      </c>
      <c r="K789" s="21">
        <v>882353</v>
      </c>
      <c r="L789" s="21"/>
      <c r="M789" s="22">
        <f>(PROVEEDORES[[#This Row],[SUBTOTAL]]-PROVEEDORES[[#This Row],[descuento sobre subtotal]])*VLOOKUP(PROVEEDORES[[#This Row],[PROVEEDOR]],TERCEROS_INFO[#All],3,FALSE)</f>
        <v>167647.07</v>
      </c>
      <c r="N789" s="23"/>
      <c r="O789" s="22">
        <f>+PROVEEDORES[[#This Row],[Descuento sobre subtotal %]]*(PROVEEDORES[[#This Row],[SUBTOTAL]]-PROVEEDORES[[#This Row],[descuento sobre subtotal]])</f>
        <v>0</v>
      </c>
      <c r="P789" s="72">
        <f>+IF(PROVEEDORES[[#This Row],[SUBTOTAL]]&lt;PROVEEDORES[[#This Row],[base retencion]],0,PROVEEDORES[[#This Row],[retención aplicada]])</f>
        <v>0</v>
      </c>
      <c r="Q789" s="22">
        <f>+PROVEEDORES[[#This Row],[Rete Fuente %]]*(PROVEEDORES[[#This Row],[SUBTOTAL]]-PROVEEDORES[[#This Row],[descuento sobre subtotal]])</f>
        <v>0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1050000.07</v>
      </c>
      <c r="S78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1">
        <f ca="1">IF(PROVEEDORES[[#This Row],[FECHA DE PAGO]]=0,TODAY()-PROVEEDORES[[#This Row],[FECHA DE FACTURACIÓN]]-PROVEEDORES[[#This Row],[PLAZO Días]],0)</f>
        <v>0</v>
      </c>
      <c r="U789" s="97" t="str">
        <f>+VLOOKUP(PROVEEDORES[[#This Row],[PROVEEDOR]],Terceros!$A:$D,4,FALSE)</f>
        <v>2,5% con base</v>
      </c>
      <c r="V789" s="98">
        <f>+YEAR(PROVEEDORES[[#This Row],[FECHA DE FACTURACIÓN]])</f>
        <v>2023</v>
      </c>
      <c r="W789" s="98">
        <f>+MATCH(PROVEEDORES[[#This Row],[año facturado]],Retenciones!$1:$1,0)</f>
        <v>6</v>
      </c>
      <c r="X789" s="99">
        <f>+VLOOKUP(PROVEEDORES[[#This Row],[ID RETENCION]],Retenciones!$A$1:$O$25,PROVEEDORES[[#This Row],[indicador de columna]],FALSE)</f>
        <v>1145000</v>
      </c>
      <c r="Y789" s="100">
        <f>+VLOOKUP(PROVEEDORES[[#This Row],[ID RETENCION]],Retenciones!$A$1:$O$25,2,FALSE)</f>
        <v>2.5000000000000001E-2</v>
      </c>
      <c r="Z789" s="103" t="b">
        <f>OR(COUNTIF(PROVEEDORES[[#This Row],[PROVEEDOR]],"*"&amp;'Palabra no opera'!$A$2&amp;"*"))</f>
        <v>0</v>
      </c>
    </row>
    <row r="790" spans="1:26" ht="22.35" customHeight="1" x14ac:dyDescent="0.25">
      <c r="A790" s="221" t="str">
        <f>+IF(PROVEEDORES[[#This Row],[FECHA DE PAGO]]=PROVEEDORES[[#This Row],[FECHA DE FACTURACIÓN]],"DE CONTADO","CRÉDITO")</f>
        <v>CRÉDITO</v>
      </c>
      <c r="B790" s="38" t="b">
        <f>+IF((PROVEEDORES[[#This Row],[FECHA DE PAGO]]-PROVEEDORES[[#This Row],[FECHA DE FACTURACIÓN]])&gt;PROVEEDORES[[#This Row],[PLAZO Días]],"PAGO VENCIDO")</f>
        <v>0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0</v>
      </c>
      <c r="E790" s="25"/>
      <c r="F790" s="56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90" s="289">
        <v>45175</v>
      </c>
      <c r="H790" s="26" t="s">
        <v>65</v>
      </c>
      <c r="I790" s="289">
        <v>45148</v>
      </c>
      <c r="J790" s="35" t="s">
        <v>1020</v>
      </c>
      <c r="K790" s="21">
        <v>831933</v>
      </c>
      <c r="L790" s="21"/>
      <c r="M790" s="22">
        <f>(PROVEEDORES[[#This Row],[SUBTOTAL]]-PROVEEDORES[[#This Row],[descuento sobre subtotal]])*VLOOKUP(PROVEEDORES[[#This Row],[PROVEEDOR]],TERCEROS_INFO[#All],3,FALSE)</f>
        <v>158067.26999999999</v>
      </c>
      <c r="N790" s="23"/>
      <c r="O790" s="22">
        <v>87000</v>
      </c>
      <c r="P790" s="72">
        <f>+IF(PROVEEDORES[[#This Row],[SUBTOTAL]]&lt;PROVEEDORES[[#This Row],[base retencion]],0,PROVEEDORES[[#This Row],[retención aplicada]])</f>
        <v>0</v>
      </c>
      <c r="Q790" s="22">
        <f>+PROVEEDORES[[#This Row],[Rete Fuente %]]*(PROVEEDORES[[#This Row],[SUBTOTAL]]-PROVEEDORES[[#This Row],[descuento sobre subtotal]])</f>
        <v>0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903000.27</v>
      </c>
      <c r="S790" s="2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1">
        <f ca="1">IF(PROVEEDORES[[#This Row],[FECHA DE PAGO]]=0,TODAY()-PROVEEDORES[[#This Row],[FECHA DE FACTURACIÓN]]-PROVEEDORES[[#This Row],[PLAZO Días]],0)</f>
        <v>0</v>
      </c>
      <c r="U790" s="97" t="str">
        <f>+VLOOKUP(PROVEEDORES[[#This Row],[PROVEEDOR]],Terceros!$A:$D,4,FALSE)</f>
        <v>2,5% con base</v>
      </c>
      <c r="V790" s="98">
        <f>+YEAR(PROVEEDORES[[#This Row],[FECHA DE FACTURACIÓN]])</f>
        <v>2023</v>
      </c>
      <c r="W790" s="98">
        <f>+MATCH(PROVEEDORES[[#This Row],[año facturado]],Retenciones!$1:$1,0)</f>
        <v>6</v>
      </c>
      <c r="X790" s="99">
        <f>+VLOOKUP(PROVEEDORES[[#This Row],[ID RETENCION]],Retenciones!$A$1:$O$25,PROVEEDORES[[#This Row],[indicador de columna]],FALSE)</f>
        <v>1145000</v>
      </c>
      <c r="Y790" s="100">
        <f>+VLOOKUP(PROVEEDORES[[#This Row],[ID RETENCION]],Retenciones!$A$1:$O$25,2,FALSE)</f>
        <v>2.5000000000000001E-2</v>
      </c>
      <c r="Z790" s="103" t="b">
        <f>OR(COUNTIF(PROVEEDORES[[#This Row],[PROVEEDOR]],"*"&amp;'Palabra no opera'!$A$2&amp;"*"))</f>
        <v>0</v>
      </c>
    </row>
    <row r="791" spans="1:26" ht="22.35" customHeight="1" x14ac:dyDescent="0.25">
      <c r="A791" s="65" t="str">
        <f>+IF(PROVEEDORES[[#This Row],[FECHA DE PAGO]]=PROVEEDORES[[#This Row],[FECHA DE FACTURACIÓN]],"DE CONTADO","CRÉDITO")</f>
        <v>CRÉDITO</v>
      </c>
      <c r="B791" s="38" t="b">
        <f>+IF((PROVEEDORES[[#This Row],[FECHA DE PAGO]]-PROVEEDORES[[#This Row],[FECHA DE FACTURACIÓN]])&gt;PROVEEDORES[[#This Row],[PLAZO Días]],"PAGO VENCIDO")</f>
        <v>0</v>
      </c>
      <c r="C791" s="20">
        <f>+VLOOKUP(PROVEEDORES[[#This Row],[PROVEEDOR]],TERCEROS_INFO[#All],2,FALSE)</f>
        <v>30</v>
      </c>
      <c r="D791" s="25">
        <f>+SUMIFS(PROVEEDORES[Total],PROVEEDORES[PROVEEDOR],PROVEEDORES[[#This Row],[PROVEEDOR]],PROVEEDORES[FECHA DE PAGO],"")</f>
        <v>0</v>
      </c>
      <c r="E791" s="25"/>
      <c r="F791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1" s="289">
        <v>44952</v>
      </c>
      <c r="H791" s="26" t="s">
        <v>487</v>
      </c>
      <c r="I791" s="289">
        <v>44945</v>
      </c>
      <c r="J791" s="35" t="s">
        <v>555</v>
      </c>
      <c r="K791" s="21">
        <v>276000</v>
      </c>
      <c r="L791" s="21"/>
      <c r="M791" s="22">
        <f>(PROVEEDORES[[#This Row],[SUBTOTAL]]-PROVEEDORES[[#This Row],[descuento sobre subtotal]])*VLOOKUP(PROVEEDORES[[#This Row],[PROVEEDOR]],TERCEROS_INFO[#All],3,FALSE)</f>
        <v>0</v>
      </c>
      <c r="N791" s="23"/>
      <c r="O791" s="22">
        <f>+PROVEEDORES[[#This Row],[Descuento sobre subtotal %]]*(PROVEEDORES[[#This Row],[SUBTOTAL]]-PROVEEDORES[[#This Row],[descuento sobre subtotal]])</f>
        <v>0</v>
      </c>
      <c r="P791" s="72">
        <f>+IF(PROVEEDORES[[#This Row],[SUBTOTAL]]&lt;PROVEEDORES[[#This Row],[base retencion]],0,PROVEEDORES[[#This Row],[retención aplicada]])</f>
        <v>0.01</v>
      </c>
      <c r="Q791" s="22">
        <f>+PROVEEDORES[[#This Row],[Rete Fuente %]]*(PROVEEDORES[[#This Row],[SUBTOTAL]]-PROVEEDORES[[#This Row],[descuento sobre subtotal]])</f>
        <v>2760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273240</v>
      </c>
      <c r="S7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1">
        <f ca="1">IF(PROVEEDORES[[#This Row],[FECHA DE PAGO]]=0,TODAY()-PROVEEDORES[[#This Row],[FECHA DE FACTURACIÓN]]-PROVEEDORES[[#This Row],[PLAZO Días]],0)</f>
        <v>0</v>
      </c>
      <c r="U791" s="97" t="str">
        <f>+VLOOKUP(PROVEEDORES[[#This Row],[PROVEEDOR]],Terceros!$A:$D,4,FALSE)</f>
        <v>1% con base</v>
      </c>
      <c r="V791" s="98">
        <f>+YEAR(PROVEEDORES[[#This Row],[FECHA DE FACTURACIÓN]])</f>
        <v>2023</v>
      </c>
      <c r="W791" s="98">
        <f>+MATCH(PROVEEDORES[[#This Row],[año facturado]],Retenciones!$1:$1,0)</f>
        <v>6</v>
      </c>
      <c r="X791" s="99">
        <f>+VLOOKUP(PROVEEDORES[[#This Row],[ID RETENCION]],Retenciones!$A$1:$O$25,PROVEEDORES[[#This Row],[indicador de columna]],FALSE)</f>
        <v>170000</v>
      </c>
      <c r="Y791" s="100">
        <f>+VLOOKUP(PROVEEDORES[[#This Row],[ID RETENCION]],Retenciones!$A$1:$O$25,2,FALSE)</f>
        <v>0.01</v>
      </c>
      <c r="Z791" s="103" t="b">
        <f>OR(COUNTIF(PROVEEDORES[[#This Row],[PROVEEDOR]],"*"&amp;'Palabra no opera'!$A$2&amp;"*"))</f>
        <v>0</v>
      </c>
    </row>
    <row r="792" spans="1:26" ht="22.35" customHeight="1" x14ac:dyDescent="0.25">
      <c r="A792" s="155" t="str">
        <f>+IF(PROVEEDORES[[#This Row],[FECHA DE PAGO]]=PROVEEDORES[[#This Row],[FECHA DE FACTURACIÓN]],"DE CONTADO","CRÉDITO")</f>
        <v>CRÉDITO</v>
      </c>
      <c r="B792" s="38" t="b">
        <f>+IF((PROVEEDORES[[#This Row],[FECHA DE PAGO]]-PROVEEDORES[[#This Row],[FECHA DE FACTURACIÓN]])&gt;PROVEEDORES[[#This Row],[PLAZO Días]],"PAGO VENCIDO")</f>
        <v>0</v>
      </c>
      <c r="C792" s="20">
        <f>+VLOOKUP(PROVEEDORES[[#This Row],[PROVEEDOR]],TERCEROS_INFO[#All],2,FALSE)</f>
        <v>30</v>
      </c>
      <c r="D792" s="25">
        <f>+SUMIFS(PROVEEDORES[Total],PROVEEDORES[PROVEEDOR],PROVEEDORES[[#This Row],[PROVEEDOR]],PROVEEDORES[FECHA DE PAGO],"")</f>
        <v>0</v>
      </c>
      <c r="E792" s="25"/>
      <c r="F792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2" s="289">
        <v>44953</v>
      </c>
      <c r="H792" s="26" t="s">
        <v>487</v>
      </c>
      <c r="I792" s="289">
        <v>44976</v>
      </c>
      <c r="J792" s="35" t="s">
        <v>627</v>
      </c>
      <c r="K792" s="21">
        <v>330000</v>
      </c>
      <c r="L792" s="21"/>
      <c r="M792" s="22">
        <f>(PROVEEDORES[[#This Row],[SUBTOTAL]]-PROVEEDORES[[#This Row],[descuento sobre subtotal]])*VLOOKUP(PROVEEDORES[[#This Row],[PROVEEDOR]],TERCEROS_INFO[#All],3,FALSE)</f>
        <v>0</v>
      </c>
      <c r="N792" s="23"/>
      <c r="O792" s="22">
        <f>+PROVEEDORES[[#This Row],[Descuento sobre subtotal %]]*(PROVEEDORES[[#This Row],[SUBTOTAL]]-PROVEEDORES[[#This Row],[descuento sobre subtotal]])</f>
        <v>0</v>
      </c>
      <c r="P792" s="72">
        <f>+IF(PROVEEDORES[[#This Row],[SUBTOTAL]]&lt;PROVEEDORES[[#This Row],[base retencion]],0,PROVEEDORES[[#This Row],[retención aplicada]])</f>
        <v>0.01</v>
      </c>
      <c r="Q792" s="22">
        <f>+PROVEEDORES[[#This Row],[Rete Fuente %]]*(PROVEEDORES[[#This Row],[SUBTOTAL]]-PROVEEDORES[[#This Row],[descuento sobre subtotal]])</f>
        <v>3300</v>
      </c>
      <c r="R792" s="21">
        <f>+PROVEEDORES[[#This Row],[SUBTOTAL]]+PROVEEDORES[[#This Row],[IVA 19%]]-PROVEEDORES[[#This Row],[descuento sobre subtotal]]-PROVEEDORES[[#This Row],[Descuento sobre subtotal $2]]-PROVEEDORES[[#This Row],[Rete Fuente $]]</f>
        <v>326700</v>
      </c>
      <c r="S792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1">
        <f ca="1">IF(PROVEEDORES[[#This Row],[FECHA DE PAGO]]=0,TODAY()-PROVEEDORES[[#This Row],[FECHA DE FACTURACIÓN]]-PROVEEDORES[[#This Row],[PLAZO Días]],0)</f>
        <v>0</v>
      </c>
      <c r="U792" s="97" t="str">
        <f>+VLOOKUP(PROVEEDORES[[#This Row],[PROVEEDOR]],Terceros!$A:$D,4,FALSE)</f>
        <v>1% con base</v>
      </c>
      <c r="V792" s="98">
        <f>+YEAR(PROVEEDORES[[#This Row],[FECHA DE FACTURACIÓN]])</f>
        <v>2023</v>
      </c>
      <c r="W792" s="98">
        <f>+MATCH(PROVEEDORES[[#This Row],[año facturado]],Retenciones!$1:$1,0)</f>
        <v>6</v>
      </c>
      <c r="X792" s="99">
        <f>+VLOOKUP(PROVEEDORES[[#This Row],[ID RETENCION]],Retenciones!$A$1:$O$25,PROVEEDORES[[#This Row],[indicador de columna]],FALSE)</f>
        <v>170000</v>
      </c>
      <c r="Y792" s="100">
        <f>+VLOOKUP(PROVEEDORES[[#This Row],[ID RETENCION]],Retenciones!$A$1:$O$25,2,FALSE)</f>
        <v>0.01</v>
      </c>
      <c r="Z792" s="103" t="b">
        <f>OR(COUNTIF(PROVEEDORES[[#This Row],[PROVEEDOR]],"*"&amp;'Palabra no opera'!$A$2&amp;"*"))</f>
        <v>0</v>
      </c>
    </row>
    <row r="793" spans="1:26" ht="22.35" customHeight="1" x14ac:dyDescent="0.25">
      <c r="A793" s="164" t="str">
        <f>+IF(PROVEEDORES[[#This Row],[FECHA DE PAGO]]=PROVEEDORES[[#This Row],[FECHA DE FACTURACIÓN]],"DE CONTADO","CRÉDITO")</f>
        <v>CRÉDITO</v>
      </c>
      <c r="B793" s="38" t="b">
        <f>+IF((PROVEEDORES[[#This Row],[FECHA DE PAGO]]-PROVEEDORES[[#This Row],[FECHA DE FACTURACIÓN]])&gt;PROVEEDORES[[#This Row],[PLAZO Días]],"PAGO VENCIDO")</f>
        <v>0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3" s="289">
        <v>45012</v>
      </c>
      <c r="H793" s="26" t="s">
        <v>487</v>
      </c>
      <c r="I793" s="289">
        <v>44993</v>
      </c>
      <c r="J793" s="35" t="s">
        <v>682</v>
      </c>
      <c r="K793" s="21">
        <v>290000</v>
      </c>
      <c r="L793" s="21"/>
      <c r="M793" s="22">
        <f>(PROVEEDORES[[#This Row],[SUBTOTAL]]-PROVEEDORES[[#This Row],[descuento sobre subtotal]])*VLOOKUP(PROVEEDORES[[#This Row],[PROVEEDOR]],TERCEROS_INFO[#All],3,FALSE)</f>
        <v>0</v>
      </c>
      <c r="N793" s="23"/>
      <c r="O793" s="22">
        <f>+PROVEEDORES[[#This Row],[Descuento sobre subtotal %]]*(PROVEEDORES[[#This Row],[SUBTOTAL]]-PROVEEDORES[[#This Row],[descuento sobre subtotal]])</f>
        <v>0</v>
      </c>
      <c r="P793" s="72">
        <f>+IF(PROVEEDORES[[#This Row],[SUBTOTAL]]&lt;PROVEEDORES[[#This Row],[base retencion]],0,PROVEEDORES[[#This Row],[retención aplicada]])</f>
        <v>0.01</v>
      </c>
      <c r="Q793" s="22">
        <f>+PROVEEDORES[[#This Row],[Rete Fuente %]]*(PROVEEDORES[[#This Row],[SUBTOTAL]]-PROVEEDORES[[#This Row],[descuento sobre subtotal]])</f>
        <v>2900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287100</v>
      </c>
      <c r="S793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1">
        <f ca="1">IF(PROVEEDORES[[#This Row],[FECHA DE PAGO]]=0,TODAY()-PROVEEDORES[[#This Row],[FECHA DE FACTURACIÓN]]-PROVEEDORES[[#This Row],[PLAZO Días]],0)</f>
        <v>0</v>
      </c>
      <c r="U793" s="97" t="str">
        <f>+VLOOKUP(PROVEEDORES[[#This Row],[PROVEEDOR]],Terceros!$A:$D,4,FALSE)</f>
        <v>1% con base</v>
      </c>
      <c r="V793" s="98">
        <f>+YEAR(PROVEEDORES[[#This Row],[FECHA DE FACTURACIÓN]])</f>
        <v>2023</v>
      </c>
      <c r="W793" s="98">
        <f>+MATCH(PROVEEDORES[[#This Row],[año facturado]],Retenciones!$1:$1,0)</f>
        <v>6</v>
      </c>
      <c r="X793" s="99">
        <f>+VLOOKUP(PROVEEDORES[[#This Row],[ID RETENCION]],Retenciones!$A$1:$O$25,PROVEEDORES[[#This Row],[indicador de columna]],FALSE)</f>
        <v>170000</v>
      </c>
      <c r="Y793" s="100">
        <f>+VLOOKUP(PROVEEDORES[[#This Row],[ID RETENCION]],Retenciones!$A$1:$O$25,2,FALSE)</f>
        <v>0.01</v>
      </c>
      <c r="Z793" s="103" t="b">
        <f>OR(COUNTIF(PROVEEDORES[[#This Row],[PROVEEDOR]],"*"&amp;'Palabra no opera'!$A$2&amp;"*"))</f>
        <v>0</v>
      </c>
    </row>
    <row r="794" spans="1:26" ht="22.35" customHeight="1" x14ac:dyDescent="0.25">
      <c r="A794" s="65" t="str">
        <f>+IF(PROVEEDORES[[#This Row],[FECHA DE PAGO]]=PROVEEDORES[[#This Row],[FECHA DE FACTURACIÓN]],"DE CONTADO","CRÉDITO")</f>
        <v>CRÉDITO</v>
      </c>
      <c r="B794" s="38" t="b">
        <f>+IF((PROVEEDORES[[#This Row],[FECHA DE PAGO]]-PROVEEDORES[[#This Row],[FECHA DE FACTURACIÓN]])&gt;PROVEEDORES[[#This Row],[PLAZO Días]],"PAGO VENCIDO")</f>
        <v>0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0</v>
      </c>
      <c r="E794" s="25"/>
      <c r="F794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4" s="289">
        <v>45027</v>
      </c>
      <c r="H794" s="26" t="s">
        <v>487</v>
      </c>
      <c r="I794" s="289">
        <v>45026</v>
      </c>
      <c r="J794" s="35" t="s">
        <v>735</v>
      </c>
      <c r="K794" s="21">
        <v>300000</v>
      </c>
      <c r="L794" s="21"/>
      <c r="M794" s="22">
        <f>(PROVEEDORES[[#This Row],[SUBTOTAL]]-PROVEEDORES[[#This Row],[descuento sobre subtotal]])*VLOOKUP(PROVEEDORES[[#This Row],[PROVEEDOR]],TERCEROS_INFO[#All],3,FALSE)</f>
        <v>0</v>
      </c>
      <c r="N794" s="23"/>
      <c r="O794" s="22">
        <f>+PROVEEDORES[[#This Row],[Descuento sobre subtotal %]]*(PROVEEDORES[[#This Row],[SUBTOTAL]]-PROVEEDORES[[#This Row],[descuento sobre subtotal]])</f>
        <v>0</v>
      </c>
      <c r="P794" s="72">
        <v>0.01</v>
      </c>
      <c r="Q794" s="22">
        <v>3000</v>
      </c>
      <c r="R794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79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1">
        <f ca="1">IF(PROVEEDORES[[#This Row],[FECHA DE PAGO]]=0,TODAY()-PROVEEDORES[[#This Row],[FECHA DE FACTURACIÓN]]-PROVEEDORES[[#This Row],[PLAZO Días]],0)</f>
        <v>0</v>
      </c>
      <c r="U794" s="97" t="str">
        <f>+VLOOKUP(PROVEEDORES[[#This Row],[PROVEEDOR]],Terceros!$A:$D,4,FALSE)</f>
        <v>1% con base</v>
      </c>
      <c r="V794" s="98">
        <f>+YEAR(PROVEEDORES[[#This Row],[FECHA DE FACTURACIÓN]])</f>
        <v>2023</v>
      </c>
      <c r="W794" s="98">
        <f>+MATCH(PROVEEDORES[[#This Row],[año facturado]],Retenciones!$1:$1,0)</f>
        <v>6</v>
      </c>
      <c r="X794" s="99">
        <f>+VLOOKUP(PROVEEDORES[[#This Row],[ID RETENCION]],Retenciones!$A$1:$O$25,PROVEEDORES[[#This Row],[indicador de columna]],FALSE)</f>
        <v>170000</v>
      </c>
      <c r="Y794" s="100">
        <f>+VLOOKUP(PROVEEDORES[[#This Row],[ID RETENCION]],Retenciones!$A$1:$O$25,2,FALSE)</f>
        <v>0.01</v>
      </c>
      <c r="Z794" s="103" t="b">
        <f>OR(COUNTIF(PROVEEDORES[[#This Row],[PROVEEDOR]],"*"&amp;'Palabra no opera'!$A$2&amp;"*"))</f>
        <v>0</v>
      </c>
    </row>
    <row r="795" spans="1:26" ht="22.35" customHeight="1" x14ac:dyDescent="0.25">
      <c r="A795" s="65" t="str">
        <f>+IF(PROVEEDORES[[#This Row],[FECHA DE PAGO]]=PROVEEDORES[[#This Row],[FECHA DE FACTURACIÓN]],"DE CONTADO","CRÉDITO")</f>
        <v>CRÉDITO</v>
      </c>
      <c r="B795" s="38" t="b">
        <f>+IF((PROVEEDORES[[#This Row],[FECHA DE PAGO]]-PROVEEDORES[[#This Row],[FECHA DE FACTURACIÓN]])&gt;PROVEEDORES[[#This Row],[PLAZO Días]],"PAGO VENCIDO")</f>
        <v>0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0</v>
      </c>
      <c r="E795" s="25"/>
      <c r="F795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5" s="289">
        <v>45056</v>
      </c>
      <c r="H795" s="26" t="s">
        <v>487</v>
      </c>
      <c r="I795" s="289">
        <v>45057</v>
      </c>
      <c r="J795" s="35" t="s">
        <v>818</v>
      </c>
      <c r="K795" s="21">
        <v>300000</v>
      </c>
      <c r="L795" s="21"/>
      <c r="M795" s="22">
        <f>(PROVEEDORES[[#This Row],[SUBTOTAL]]-PROVEEDORES[[#This Row],[descuento sobre subtotal]])*VLOOKUP(PROVEEDORES[[#This Row],[PROVEEDOR]],TERCEROS_INFO[#All],3,FALSE)</f>
        <v>0</v>
      </c>
      <c r="N795" s="23"/>
      <c r="O795" s="22">
        <f>+PROVEEDORES[[#This Row],[Descuento sobre subtotal %]]*(PROVEEDORES[[#This Row],[SUBTOTAL]]-PROVEEDORES[[#This Row],[descuento sobre subtotal]])</f>
        <v>0</v>
      </c>
      <c r="P795" s="72">
        <f>+IF(PROVEEDORES[[#This Row],[SUBTOTAL]]&lt;PROVEEDORES[[#This Row],[base retencion]],0,PROVEEDORES[[#This Row],[retención aplicada]])</f>
        <v>0.01</v>
      </c>
      <c r="Q795" s="22">
        <f>+PROVEEDORES[[#This Row],[Rete Fuente %]]*(PROVEEDORES[[#This Row],[SUBTOTAL]]-PROVEEDORES[[#This Row],[descuento sobre subtotal]])</f>
        <v>3000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7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1">
        <f ca="1">IF(PROVEEDORES[[#This Row],[FECHA DE PAGO]]=0,TODAY()-PROVEEDORES[[#This Row],[FECHA DE FACTURACIÓN]]-PROVEEDORES[[#This Row],[PLAZO Días]],0)</f>
        <v>0</v>
      </c>
      <c r="U795" s="97" t="str">
        <f>+VLOOKUP(PROVEEDORES[[#This Row],[PROVEEDOR]],Terceros!$A:$D,4,FALSE)</f>
        <v>1% con base</v>
      </c>
      <c r="V795" s="98">
        <f>+YEAR(PROVEEDORES[[#This Row],[FECHA DE FACTURACIÓN]])</f>
        <v>2023</v>
      </c>
      <c r="W795" s="98">
        <f>+MATCH(PROVEEDORES[[#This Row],[año facturado]],Retenciones!$1:$1,0)</f>
        <v>6</v>
      </c>
      <c r="X795" s="99">
        <f>+VLOOKUP(PROVEEDORES[[#This Row],[ID RETENCION]],Retenciones!$A$1:$O$25,PROVEEDORES[[#This Row],[indicador de columna]],FALSE)</f>
        <v>170000</v>
      </c>
      <c r="Y795" s="100">
        <f>+VLOOKUP(PROVEEDORES[[#This Row],[ID RETENCION]],Retenciones!$A$1:$O$25,2,FALSE)</f>
        <v>0.01</v>
      </c>
      <c r="Z795" s="103" t="b">
        <f>OR(COUNTIF(PROVEEDORES[[#This Row],[PROVEEDOR]],"*"&amp;'Palabra no opera'!$A$2&amp;"*"))</f>
        <v>0</v>
      </c>
    </row>
    <row r="796" spans="1:26" ht="22.35" customHeight="1" x14ac:dyDescent="0.25">
      <c r="A796" s="203" t="str">
        <f>+IF(PROVEEDORES[[#This Row],[FECHA DE PAGO]]=PROVEEDORES[[#This Row],[FECHA DE FACTURACIÓN]],"DE CONTADO","CRÉDITO")</f>
        <v>CRÉDITO</v>
      </c>
      <c r="B796" s="38" t="b">
        <f>+IF((PROVEEDORES[[#This Row],[FECHA DE PAGO]]-PROVEEDORES[[#This Row],[FECHA DE FACTURACIÓN]])&gt;PROVEEDORES[[#This Row],[PLAZO Días]],"PAGO VENCIDO")</f>
        <v>0</v>
      </c>
      <c r="C796" s="20">
        <f>+VLOOKUP(PROVEEDORES[[#This Row],[PROVEEDOR]],TERCEROS_INFO[#All],2,FALSE)</f>
        <v>30</v>
      </c>
      <c r="D796" s="25">
        <f>+SUMIFS(PROVEEDORES[Total],PROVEEDORES[PROVEEDOR],PROVEEDORES[[#This Row],[PROVEEDOR]],PROVEEDORES[FECHA DE PAGO],"")</f>
        <v>0</v>
      </c>
      <c r="E796" s="25"/>
      <c r="F796" s="56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6" s="289">
        <v>45094</v>
      </c>
      <c r="H796" s="26" t="s">
        <v>487</v>
      </c>
      <c r="I796" s="289">
        <v>45085</v>
      </c>
      <c r="J796" s="35" t="s">
        <v>880</v>
      </c>
      <c r="K796" s="21">
        <v>400000</v>
      </c>
      <c r="L796" s="21"/>
      <c r="M796" s="22">
        <f>(PROVEEDORES[[#This Row],[SUBTOTAL]]-PROVEEDORES[[#This Row],[descuento sobre subtotal]])*VLOOKUP(PROVEEDORES[[#This Row],[PROVEEDOR]],TERCEROS_INFO[#All],3,FALSE)</f>
        <v>0</v>
      </c>
      <c r="N796" s="23"/>
      <c r="O796" s="22">
        <f>+PROVEEDORES[[#This Row],[Descuento sobre subtotal %]]*(PROVEEDORES[[#This Row],[SUBTOTAL]]-PROVEEDORES[[#This Row],[descuento sobre subtotal]])</f>
        <v>0</v>
      </c>
      <c r="P796" s="72">
        <f>+IF(PROVEEDORES[[#This Row],[SUBTOTAL]]&lt;PROVEEDORES[[#This Row],[base retencion]],0,PROVEEDORES[[#This Row],[retención aplicada]])</f>
        <v>0.01</v>
      </c>
      <c r="Q796" s="22">
        <f>+PROVEEDORES[[#This Row],[Rete Fuente %]]*(PROVEEDORES[[#This Row],[SUBTOTAL]]-PROVEEDORES[[#This Row],[descuento sobre subtotal]])</f>
        <v>4000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396000</v>
      </c>
      <c r="S796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1">
        <f ca="1">IF(PROVEEDORES[[#This Row],[FECHA DE PAGO]]=0,TODAY()-PROVEEDORES[[#This Row],[FECHA DE FACTURACIÓN]]-PROVEEDORES[[#This Row],[PLAZO Días]],0)</f>
        <v>0</v>
      </c>
      <c r="U796" s="97" t="str">
        <f>+VLOOKUP(PROVEEDORES[[#This Row],[PROVEEDOR]],Terceros!$A:$D,4,FALSE)</f>
        <v>1% con base</v>
      </c>
      <c r="V796" s="98">
        <f>+YEAR(PROVEEDORES[[#This Row],[FECHA DE FACTURACIÓN]])</f>
        <v>2023</v>
      </c>
      <c r="W796" s="98">
        <f>+MATCH(PROVEEDORES[[#This Row],[año facturado]],Retenciones!$1:$1,0)</f>
        <v>6</v>
      </c>
      <c r="X796" s="99">
        <f>+VLOOKUP(PROVEEDORES[[#This Row],[ID RETENCION]],Retenciones!$A$1:$O$25,PROVEEDORES[[#This Row],[indicador de columna]],FALSE)</f>
        <v>170000</v>
      </c>
      <c r="Y796" s="100">
        <f>+VLOOKUP(PROVEEDORES[[#This Row],[ID RETENCION]],Retenciones!$A$1:$O$25,2,FALSE)</f>
        <v>0.01</v>
      </c>
      <c r="Z796" s="103" t="b">
        <f>OR(COUNTIF(PROVEEDORES[[#This Row],[PROVEEDOR]],"*"&amp;'Palabra no opera'!$A$2&amp;"*"))</f>
        <v>0</v>
      </c>
    </row>
    <row r="797" spans="1:26" ht="22.35" customHeight="1" x14ac:dyDescent="0.25">
      <c r="A797" s="153" t="str">
        <f>+IF(PROVEEDORES[[#This Row],[FECHA DE PAGO]]=PROVEEDORES[[#This Row],[FECHA DE FACTURACIÓN]],"DE CONTADO","CRÉDITO")</f>
        <v>CRÉDITO</v>
      </c>
      <c r="B797" s="38" t="str">
        <f>+IF((PROVEEDORES[[#This Row],[FECHA DE PAGO]]-PROVEEDORES[[#This Row],[FECHA DE FACTURACIÓN]])&gt;PROVEEDORES[[#This Row],[PLAZO Días]],"PAGO VENCIDO")</f>
        <v>PAGO VENCIDO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97" s="289">
        <v>44999</v>
      </c>
      <c r="H797" s="26" t="s">
        <v>47</v>
      </c>
      <c r="I797" s="289">
        <v>44965</v>
      </c>
      <c r="J797" s="35" t="s">
        <v>606</v>
      </c>
      <c r="K797" s="21">
        <v>1123137</v>
      </c>
      <c r="L797" s="21">
        <v>56157</v>
      </c>
      <c r="M797" s="22">
        <f>(PROVEEDORES[[#This Row],[SUBTOTAL]]-PROVEEDORES[[#This Row],[descuento sobre subtotal]])*VLOOKUP(PROVEEDORES[[#This Row],[PROVEEDOR]],TERCEROS_INFO[#All],3,FALSE)</f>
        <v>202726.2</v>
      </c>
      <c r="N797" s="23"/>
      <c r="O797" s="22">
        <f>+PROVEEDORES[[#This Row],[Descuento sobre subtotal %]]*(PROVEEDORES[[#This Row],[SUBTOTAL]]-PROVEEDORES[[#This Row],[descuento sobre subtotal]])</f>
        <v>0</v>
      </c>
      <c r="P797" s="72">
        <f>+IF(PROVEEDORES[[#This Row],[SUBTOTAL]]&lt;PROVEEDORES[[#This Row],[base retencion]],0,PROVEEDORES[[#This Row],[retención aplicada]])</f>
        <v>0</v>
      </c>
      <c r="Q797" s="22">
        <f>+PROVEEDORES[[#This Row],[Rete Fuente %]]*(PROVEEDORES[[#This Row],[SUBTOTAL]]-PROVEEDORES[[#This Row],[descuento sobre subtotal]])</f>
        <v>0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1269706.2</v>
      </c>
      <c r="S797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1">
        <f ca="1">IF(PROVEEDORES[[#This Row],[FECHA DE PAGO]]=0,TODAY()-PROVEEDORES[[#This Row],[FECHA DE FACTURACIÓN]]-PROVEEDORES[[#This Row],[PLAZO Días]],0)</f>
        <v>0</v>
      </c>
      <c r="U797" s="97" t="str">
        <f>+VLOOKUP(PROVEEDORES[[#This Row],[PROVEEDOR]],Terceros!$A:$D,4,FALSE)</f>
        <v>2,5% con base</v>
      </c>
      <c r="V797" s="98">
        <f>+YEAR(PROVEEDORES[[#This Row],[FECHA DE FACTURACIÓN]])</f>
        <v>2023</v>
      </c>
      <c r="W797" s="98">
        <f>+MATCH(PROVEEDORES[[#This Row],[año facturado]],Retenciones!$1:$1,0)</f>
        <v>6</v>
      </c>
      <c r="X797" s="99">
        <f>+VLOOKUP(PROVEEDORES[[#This Row],[ID RETENCION]],Retenciones!$A$1:$O$25,PROVEEDORES[[#This Row],[indicador de columna]],FALSE)</f>
        <v>1145000</v>
      </c>
      <c r="Y797" s="100">
        <f>+VLOOKUP(PROVEEDORES[[#This Row],[ID RETENCION]],Retenciones!$A$1:$O$25,2,FALSE)</f>
        <v>2.5000000000000001E-2</v>
      </c>
      <c r="Z797" s="103" t="b">
        <f>OR(COUNTIF(PROVEEDORES[[#This Row],[PROVEEDOR]],"*"&amp;'Palabra no opera'!$A$2&amp;"*"))</f>
        <v>0</v>
      </c>
    </row>
    <row r="798" spans="1:26" ht="22.35" customHeight="1" x14ac:dyDescent="0.25">
      <c r="A798" s="243" t="str">
        <f>+IF(PROVEEDORES[[#This Row],[FECHA DE PAGO]]=PROVEEDORES[[#This Row],[FECHA DE FACTURACIÓN]],"DE CONTADO","CRÉDITO")</f>
        <v>CRÉDITO</v>
      </c>
      <c r="B798" s="38" t="str">
        <f>+IF((PROVEEDORES[[#This Row],[FECHA DE PAGO]]-PROVEEDORES[[#This Row],[FECHA DE FACTURACIÓN]])&gt;PROVEEDORES[[#This Row],[PLAZO Días]],"PAGO VENCIDO")</f>
        <v>PAGO VENCIDO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0</v>
      </c>
      <c r="E798" s="25"/>
      <c r="F798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98" s="289">
        <v>45251</v>
      </c>
      <c r="H798" s="26" t="s">
        <v>47</v>
      </c>
      <c r="I798" s="289">
        <v>45196</v>
      </c>
      <c r="J798" s="35" t="s">
        <v>1138</v>
      </c>
      <c r="K798" s="21">
        <v>3669700</v>
      </c>
      <c r="L798" s="21"/>
      <c r="M798" s="22">
        <f>(PROVEEDORES[[#This Row],[SUBTOTAL]]-PROVEEDORES[[#This Row],[descuento sobre subtotal]])*VLOOKUP(PROVEEDORES[[#This Row],[PROVEEDOR]],TERCEROS_INFO[#All],3,FALSE)</f>
        <v>697243</v>
      </c>
      <c r="N798" s="23"/>
      <c r="O798" s="22">
        <f>+PROVEEDORES[[#This Row],[Descuento sobre subtotal %]]*(PROVEEDORES[[#This Row],[SUBTOTAL]]-PROVEEDORES[[#This Row],[descuento sobre subtotal]])</f>
        <v>0</v>
      </c>
      <c r="P798" s="72">
        <f>+IF(PROVEEDORES[[#This Row],[SUBTOTAL]]&lt;PROVEEDORES[[#This Row],[base retencion]],0,PROVEEDORES[[#This Row],[retención aplicada]])</f>
        <v>2.5000000000000001E-2</v>
      </c>
      <c r="Q798" s="22">
        <f>+PROVEEDORES[[#This Row],[Rete Fuente %]]*(PROVEEDORES[[#This Row],[SUBTOTAL]]-PROVEEDORES[[#This Row],[descuento sobre subtotal]])</f>
        <v>91742.5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4275200.5</v>
      </c>
      <c r="S798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1">
        <f ca="1">IF(PROVEEDORES[[#This Row],[FECHA DE PAGO]]=0,TODAY()-PROVEEDORES[[#This Row],[FECHA DE FACTURACIÓN]]-PROVEEDORES[[#This Row],[PLAZO Días]],0)</f>
        <v>0</v>
      </c>
      <c r="U798" s="97" t="str">
        <f>+VLOOKUP(PROVEEDORES[[#This Row],[PROVEEDOR]],Terceros!$A:$D,4,FALSE)</f>
        <v>2,5% con base</v>
      </c>
      <c r="V798" s="98">
        <f>+YEAR(PROVEEDORES[[#This Row],[FECHA DE FACTURACIÓN]])</f>
        <v>2023</v>
      </c>
      <c r="W798" s="98">
        <f>+MATCH(PROVEEDORES[[#This Row],[año facturado]],Retenciones!$1:$1,0)</f>
        <v>6</v>
      </c>
      <c r="X798" s="99">
        <f>+VLOOKUP(PROVEEDORES[[#This Row],[ID RETENCION]],Retenciones!$A$1:$O$25,PROVEEDORES[[#This Row],[indicador de columna]],FALSE)</f>
        <v>1145000</v>
      </c>
      <c r="Y798" s="100">
        <f>+VLOOKUP(PROVEEDORES[[#This Row],[ID RETENCION]],Retenciones!$A$1:$O$25,2,FALSE)</f>
        <v>2.5000000000000001E-2</v>
      </c>
      <c r="Z798" s="103" t="b">
        <f>OR(COUNTIF(PROVEEDORES[[#This Row],[PROVEEDOR]],"*"&amp;'Palabra no opera'!$A$2&amp;"*"))</f>
        <v>0</v>
      </c>
    </row>
    <row r="799" spans="1:26" ht="22.35" customHeight="1" x14ac:dyDescent="0.25">
      <c r="A799" s="243" t="str">
        <f>+IF(PROVEEDORES[[#This Row],[FECHA DE PAGO]]=PROVEEDORES[[#This Row],[FECHA DE FACTURACIÓN]],"DE CONTADO","CRÉDITO")</f>
        <v>CRÉDITO</v>
      </c>
      <c r="B799" s="38" t="str">
        <f>+IF((PROVEEDORES[[#This Row],[FECHA DE PAGO]]-PROVEEDORES[[#This Row],[FECHA DE FACTURACIÓN]])&gt;PROVEEDORES[[#This Row],[PLAZO Días]],"PAGO VENCIDO")</f>
        <v>PAGO VENCIDO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0</v>
      </c>
      <c r="E799" s="25"/>
      <c r="F799" s="56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99" s="289">
        <v>45251</v>
      </c>
      <c r="H799" s="26" t="s">
        <v>47</v>
      </c>
      <c r="I799" s="289">
        <v>45201</v>
      </c>
      <c r="J799" s="35" t="s">
        <v>1139</v>
      </c>
      <c r="K799" s="21">
        <v>1664650</v>
      </c>
      <c r="L799" s="21"/>
      <c r="M799" s="22">
        <f>(PROVEEDORES[[#This Row],[SUBTOTAL]]-PROVEEDORES[[#This Row],[descuento sobre subtotal]])*VLOOKUP(PROVEEDORES[[#This Row],[PROVEEDOR]],TERCEROS_INFO[#All],3,FALSE)</f>
        <v>316283.5</v>
      </c>
      <c r="N799" s="23"/>
      <c r="O799" s="22">
        <f>+PROVEEDORES[[#This Row],[Descuento sobre subtotal %]]*(PROVEEDORES[[#This Row],[SUBTOTAL]]-PROVEEDORES[[#This Row],[descuento sobre subtotal]])</f>
        <v>0</v>
      </c>
      <c r="P799" s="72">
        <f>+IF(PROVEEDORES[[#This Row],[SUBTOTAL]]&lt;PROVEEDORES[[#This Row],[base retencion]],0,PROVEEDORES[[#This Row],[retención aplicada]])</f>
        <v>2.5000000000000001E-2</v>
      </c>
      <c r="Q799" s="22">
        <f>+PROVEEDORES[[#This Row],[Rete Fuente %]]*(PROVEEDORES[[#This Row],[SUBTOTAL]]-PROVEEDORES[[#This Row],[descuento sobre subtotal]])</f>
        <v>41616.25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1939317.25</v>
      </c>
      <c r="S799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1">
        <f ca="1">IF(PROVEEDORES[[#This Row],[FECHA DE PAGO]]=0,TODAY()-PROVEEDORES[[#This Row],[FECHA DE FACTURACIÓN]]-PROVEEDORES[[#This Row],[PLAZO Días]],0)</f>
        <v>0</v>
      </c>
      <c r="U799" s="97" t="str">
        <f>+VLOOKUP(PROVEEDORES[[#This Row],[PROVEEDOR]],Terceros!$A:$D,4,FALSE)</f>
        <v>2,5% con base</v>
      </c>
      <c r="V799" s="98">
        <f>+YEAR(PROVEEDORES[[#This Row],[FECHA DE FACTURACIÓN]])</f>
        <v>2023</v>
      </c>
      <c r="W799" s="98">
        <f>+MATCH(PROVEEDORES[[#This Row],[año facturado]],Retenciones!$1:$1,0)</f>
        <v>6</v>
      </c>
      <c r="X799" s="99">
        <f>+VLOOKUP(PROVEEDORES[[#This Row],[ID RETENCION]],Retenciones!$A$1:$O$25,PROVEEDORES[[#This Row],[indicador de columna]],FALSE)</f>
        <v>1145000</v>
      </c>
      <c r="Y799" s="100">
        <f>+VLOOKUP(PROVEEDORES[[#This Row],[ID RETENCION]],Retenciones!$A$1:$O$25,2,FALSE)</f>
        <v>2.5000000000000001E-2</v>
      </c>
      <c r="Z799" s="103" t="b">
        <f>OR(COUNTIF(PROVEEDORES[[#This Row],[PROVEEDOR]],"*"&amp;'Palabra no opera'!$A$2&amp;"*"))</f>
        <v>0</v>
      </c>
    </row>
    <row r="800" spans="1:26" ht="22.35" customHeight="1" x14ac:dyDescent="0.25">
      <c r="A800" s="65" t="str">
        <f>+IF(PROVEEDORES[[#This Row],[FECHA DE PAGO]]=PROVEEDORES[[#This Row],[FECHA DE FACTURACIÓN]],"DE CONTADO","CRÉDITO")</f>
        <v>CRÉDITO</v>
      </c>
      <c r="B800" s="38" t="b">
        <f>+IF((PROVEEDORES[[#This Row],[FECHA DE PAGO]]-PROVEEDORES[[#This Row],[FECHA DE FACTURACIÓN]])&gt;PROVEEDORES[[#This Row],[PLAZO Días]],"PAGO VENCIDO")</f>
        <v>0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0" s="289">
        <v>45222</v>
      </c>
      <c r="H800" s="26" t="s">
        <v>1178</v>
      </c>
      <c r="I800" s="289">
        <v>45220</v>
      </c>
      <c r="J800" s="35" t="s">
        <v>1179</v>
      </c>
      <c r="K800" s="21">
        <v>973672</v>
      </c>
      <c r="L800" s="21"/>
      <c r="M800" s="22">
        <v>178538</v>
      </c>
      <c r="N800" s="23"/>
      <c r="O800" s="22">
        <f>+PROVEEDORES[[#This Row],[Descuento sobre subtotal %]]*(PROVEEDORES[[#This Row],[SUBTOTAL]]-PROVEEDORES[[#This Row],[descuento sobre subtotal]])</f>
        <v>0</v>
      </c>
      <c r="P800" s="72">
        <f>+IF(PROVEEDORES[[#This Row],[SUBTOTAL]]&lt;PROVEEDORES[[#This Row],[base retencion]],0,PROVEEDORES[[#This Row],[retención aplicada]])</f>
        <v>0</v>
      </c>
      <c r="Q800" s="22">
        <f>+PROVEEDORES[[#This Row],[Rete Fuente %]]*(PROVEEDORES[[#This Row],[SUBTOTAL]]-PROVEEDORES[[#This Row],[descuento sobre subtotal]])</f>
        <v>0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1152210</v>
      </c>
      <c r="S80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1">
        <f ca="1">IF(PROVEEDORES[[#This Row],[FECHA DE PAGO]]=0,TODAY()-PROVEEDORES[[#This Row],[FECHA DE FACTURACIÓN]]-PROVEEDORES[[#This Row],[PLAZO Días]],0)</f>
        <v>0</v>
      </c>
      <c r="U800" s="97" t="str">
        <f>+VLOOKUP(PROVEEDORES[[#This Row],[PROVEEDOR]],Terceros!$A:$D,4,FALSE)</f>
        <v>2,5% con base</v>
      </c>
      <c r="V800" s="98">
        <f>+YEAR(PROVEEDORES[[#This Row],[FECHA DE FACTURACIÓN]])</f>
        <v>2023</v>
      </c>
      <c r="W800" s="98">
        <f>+MATCH(PROVEEDORES[[#This Row],[año facturado]],Retenciones!$1:$1,0)</f>
        <v>6</v>
      </c>
      <c r="X800" s="99">
        <f>+VLOOKUP(PROVEEDORES[[#This Row],[ID RETENCION]],Retenciones!$A$1:$O$25,PROVEEDORES[[#This Row],[indicador de columna]],FALSE)</f>
        <v>1145000</v>
      </c>
      <c r="Y800" s="100">
        <f>+VLOOKUP(PROVEEDORES[[#This Row],[ID RETENCION]],Retenciones!$A$1:$O$25,2,FALSE)</f>
        <v>2.5000000000000001E-2</v>
      </c>
      <c r="Z800" s="103" t="b">
        <f>OR(COUNTIF(PROVEEDORES[[#This Row],[PROVEEDOR]],"*"&amp;'Palabra no opera'!$A$2&amp;"*"))</f>
        <v>0</v>
      </c>
    </row>
    <row r="801" spans="1:26" ht="22.35" customHeight="1" x14ac:dyDescent="0.25">
      <c r="A801" s="65" t="str">
        <f>+IF(PROVEEDORES[[#This Row],[FECHA DE PAGO]]=PROVEEDORES[[#This Row],[FECHA DE FACTURACIÓN]],"DE CONTADO","CRÉDITO")</f>
        <v>CRÉDITO</v>
      </c>
      <c r="B801" s="38" t="b">
        <f>+IF((PROVEEDORES[[#This Row],[FECHA DE PAGO]]-PROVEEDORES[[#This Row],[FECHA DE FACTURACIÓN]])&gt;PROVEEDORES[[#This Row],[PLAZO Días]],"PAGO VENCIDO")</f>
        <v>0</v>
      </c>
      <c r="C801" s="20">
        <f>+VLOOKUP(PROVEEDORES[[#This Row],[PROVEEDOR]],TERCEROS_INFO[#All],2,FALSE)</f>
        <v>30</v>
      </c>
      <c r="D801" s="25">
        <f>+SUMIFS(PROVEEDORES[Total],PROVEEDORES[PROVEEDOR],PROVEEDORES[[#This Row],[PROVEEDOR]],PROVEEDORES[FECHA DE PAGO],"")</f>
        <v>0</v>
      </c>
      <c r="E801" s="25"/>
      <c r="F801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1" s="289">
        <v>45253</v>
      </c>
      <c r="H801" s="26" t="s">
        <v>1178</v>
      </c>
      <c r="I801" s="289">
        <v>45252</v>
      </c>
      <c r="J801" s="35" t="s">
        <v>1286</v>
      </c>
      <c r="K801" s="21">
        <v>897647</v>
      </c>
      <c r="L801" s="21"/>
      <c r="M801" s="22">
        <f>(PROVEEDORES[[#This Row],[SUBTOTAL]]-PROVEEDORES[[#This Row],[descuento sobre subtotal]])*VLOOKUP(PROVEEDORES[[#This Row],[PROVEEDOR]],TERCEROS_INFO[#All],3,FALSE)</f>
        <v>170552.93</v>
      </c>
      <c r="N801" s="23"/>
      <c r="O801" s="22">
        <f>+PROVEEDORES[[#This Row],[Descuento sobre subtotal %]]*(PROVEEDORES[[#This Row],[SUBTOTAL]]-PROVEEDORES[[#This Row],[descuento sobre subtotal]])</f>
        <v>0</v>
      </c>
      <c r="P801" s="72">
        <f>+IF(PROVEEDORES[[#This Row],[SUBTOTAL]]&lt;PROVEEDORES[[#This Row],[base retencion]],0,PROVEEDORES[[#This Row],[retención aplicada]])</f>
        <v>0</v>
      </c>
      <c r="Q801" s="22">
        <f>+PROVEEDORES[[#This Row],[Rete Fuente %]]*(PROVEEDORES[[#This Row],[SUBTOTAL]]-PROVEEDORES[[#This Row],[descuento sobre subtotal]])</f>
        <v>0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1068199.93</v>
      </c>
      <c r="S8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1">
        <f ca="1">IF(PROVEEDORES[[#This Row],[FECHA DE PAGO]]=0,TODAY()-PROVEEDORES[[#This Row],[FECHA DE FACTURACIÓN]]-PROVEEDORES[[#This Row],[PLAZO Días]],0)</f>
        <v>0</v>
      </c>
      <c r="U801" s="97" t="str">
        <f>+VLOOKUP(PROVEEDORES[[#This Row],[PROVEEDOR]],Terceros!$A:$D,4,FALSE)</f>
        <v>2,5% con base</v>
      </c>
      <c r="V801" s="98">
        <f>+YEAR(PROVEEDORES[[#This Row],[FECHA DE FACTURACIÓN]])</f>
        <v>2023</v>
      </c>
      <c r="W801" s="98">
        <f>+MATCH(PROVEEDORES[[#This Row],[año facturado]],Retenciones!$1:$1,0)</f>
        <v>6</v>
      </c>
      <c r="X801" s="99">
        <f>+VLOOKUP(PROVEEDORES[[#This Row],[ID RETENCION]],Retenciones!$A$1:$O$25,PROVEEDORES[[#This Row],[indicador de columna]],FALSE)</f>
        <v>1145000</v>
      </c>
      <c r="Y801" s="100">
        <f>+VLOOKUP(PROVEEDORES[[#This Row],[ID RETENCION]],Retenciones!$A$1:$O$25,2,FALSE)</f>
        <v>2.5000000000000001E-2</v>
      </c>
      <c r="Z801" s="103" t="b">
        <f>OR(COUNTIF(PROVEEDORES[[#This Row],[PROVEEDOR]],"*"&amp;'Palabra no opera'!$A$2&amp;"*"))</f>
        <v>0</v>
      </c>
    </row>
    <row r="802" spans="1:26" ht="22.35" customHeight="1" x14ac:dyDescent="0.25">
      <c r="A802" s="65" t="str">
        <f>+IF(PROVEEDORES[[#This Row],[FECHA DE PAGO]]=PROVEEDORES[[#This Row],[FECHA DE FACTURACIÓN]],"DE CONTADO","CRÉDITO")</f>
        <v>CRÉDITO</v>
      </c>
      <c r="B802" s="38" t="b">
        <f>+IF((PROVEEDORES[[#This Row],[FECHA DE PAGO]]-PROVEEDORES[[#This Row],[FECHA DE FACTURACIÓN]])&gt;PROVEEDORES[[#This Row],[PLAZO Días]],"PAGO VENCIDO")</f>
        <v>0</v>
      </c>
      <c r="C802" s="20">
        <f>+VLOOKUP(PROVEEDORES[[#This Row],[PROVEEDOR]],TERCEROS_INFO[#All],2,FALSE)</f>
        <v>30</v>
      </c>
      <c r="D802" s="25">
        <f>+SUMIFS(PROVEEDORES[Total],PROVEEDORES[PROVEEDOR],PROVEEDORES[[#This Row],[PROVEEDOR]],PROVEEDORES[FECHA DE PAGO],"")</f>
        <v>0</v>
      </c>
      <c r="E802" s="25"/>
      <c r="F802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2" s="289">
        <v>45253</v>
      </c>
      <c r="H802" s="26" t="s">
        <v>1178</v>
      </c>
      <c r="I802" s="289">
        <v>45252</v>
      </c>
      <c r="J802" s="35" t="s">
        <v>1287</v>
      </c>
      <c r="K802" s="21">
        <v>41008</v>
      </c>
      <c r="L802" s="21"/>
      <c r="M802" s="22">
        <f>(PROVEEDORES[[#This Row],[SUBTOTAL]]-PROVEEDORES[[#This Row],[descuento sobre subtotal]])*VLOOKUP(PROVEEDORES[[#This Row],[PROVEEDOR]],TERCEROS_INFO[#All],3,FALSE)</f>
        <v>7791.52</v>
      </c>
      <c r="N802" s="23"/>
      <c r="O802" s="22">
        <f>+PROVEEDORES[[#This Row],[Descuento sobre subtotal %]]*(PROVEEDORES[[#This Row],[SUBTOTAL]]-PROVEEDORES[[#This Row],[descuento sobre subtotal]])</f>
        <v>0</v>
      </c>
      <c r="P802" s="72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48799.520000000004</v>
      </c>
      <c r="S80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1">
        <f ca="1">IF(PROVEEDORES[[#This Row],[FECHA DE PAGO]]=0,TODAY()-PROVEEDORES[[#This Row],[FECHA DE FACTURACIÓN]]-PROVEEDORES[[#This Row],[PLAZO Días]],0)</f>
        <v>0</v>
      </c>
      <c r="U802" s="97" t="str">
        <f>+VLOOKUP(PROVEEDORES[[#This Row],[PROVEEDOR]],Terceros!$A:$D,4,FALSE)</f>
        <v>2,5% con base</v>
      </c>
      <c r="V802" s="98">
        <f>+YEAR(PROVEEDORES[[#This Row],[FECHA DE FACTURACIÓN]])</f>
        <v>2023</v>
      </c>
      <c r="W802" s="98">
        <f>+MATCH(PROVEEDORES[[#This Row],[año facturado]],Retenciones!$1:$1,0)</f>
        <v>6</v>
      </c>
      <c r="X802" s="99">
        <f>+VLOOKUP(PROVEEDORES[[#This Row],[ID RETENCION]],Retenciones!$A$1:$O$25,PROVEEDORES[[#This Row],[indicador de columna]],FALSE)</f>
        <v>1145000</v>
      </c>
      <c r="Y802" s="100">
        <f>+VLOOKUP(PROVEEDORES[[#This Row],[ID RETENCION]],Retenciones!$A$1:$O$25,2,FALSE)</f>
        <v>2.5000000000000001E-2</v>
      </c>
      <c r="Z802" s="103" t="b">
        <f>OR(COUNTIF(PROVEEDORES[[#This Row],[PROVEEDOR]],"*"&amp;'Palabra no opera'!$A$2&amp;"*"))</f>
        <v>0</v>
      </c>
    </row>
    <row r="803" spans="1:26" ht="22.35" customHeight="1" x14ac:dyDescent="0.25">
      <c r="A803" s="65" t="str">
        <f>+IF(PROVEEDORES[[#This Row],[FECHA DE PAGO]]=PROVEEDORES[[#This Row],[FECHA DE FACTURACIÓN]],"DE CONTADO","CRÉDITO")</f>
        <v>CRÉDITO</v>
      </c>
      <c r="B803" s="38" t="b">
        <f>+IF((PROVEEDORES[[#This Row],[FECHA DE PAGO]]-PROVEEDORES[[#This Row],[FECHA DE FACTURACIÓN]])&gt;PROVEEDORES[[#This Row],[PLAZO Días]],"PAGO VENCIDO")</f>
        <v>0</v>
      </c>
      <c r="C803" s="20">
        <f>+VLOOKUP(PROVEEDORES[[#This Row],[PROVEEDOR]],TERCEROS_INFO[#All],2,FALSE)</f>
        <v>30</v>
      </c>
      <c r="D803" s="25">
        <f>+SUMIFS(PROVEEDORES[Total],PROVEEDORES[PROVEEDOR],PROVEEDORES[[#This Row],[PROVEEDOR]],PROVEEDORES[FECHA DE PAGO],"")</f>
        <v>0</v>
      </c>
      <c r="E803" s="25"/>
      <c r="F803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3" s="289">
        <v>45281</v>
      </c>
      <c r="H803" s="26" t="s">
        <v>1178</v>
      </c>
      <c r="I803" s="289">
        <v>45274</v>
      </c>
      <c r="J803" s="35" t="s">
        <v>1390</v>
      </c>
      <c r="K803" s="21">
        <v>649719</v>
      </c>
      <c r="L803" s="21"/>
      <c r="M803" s="22">
        <f>(PROVEEDORES[[#This Row],[SUBTOTAL]]-PROVEEDORES[[#This Row],[descuento sobre subtotal]])*VLOOKUP(PROVEEDORES[[#This Row],[PROVEEDOR]],TERCEROS_INFO[#All],3,FALSE)</f>
        <v>123446.61</v>
      </c>
      <c r="N803" s="23">
        <v>0.1</v>
      </c>
      <c r="O803" s="22">
        <f>+PROVEEDORES[[#This Row],[Descuento sobre subtotal %]]*(PROVEEDORES[[#This Row],[SUBTOTAL]]-PROVEEDORES[[#This Row],[descuento sobre subtotal]])</f>
        <v>64971.9</v>
      </c>
      <c r="P803" s="72">
        <f>+IF(PROVEEDORES[[#This Row],[SUBTOTAL]]&lt;PROVEEDORES[[#This Row],[base retencion]],0,PROVEEDORES[[#This Row],[retención aplicada]])</f>
        <v>0</v>
      </c>
      <c r="Q803" s="22">
        <f>+PROVEEDORES[[#This Row],[Rete Fuente %]]*(PROVEEDORES[[#This Row],[SUBTOTAL]]-PROVEEDORES[[#This Row],[descuento sobre subtotal]])</f>
        <v>0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708193.71</v>
      </c>
      <c r="S8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1">
        <f ca="1">IF(PROVEEDORES[[#This Row],[FECHA DE PAGO]]=0,TODAY()-PROVEEDORES[[#This Row],[FECHA DE FACTURACIÓN]]-PROVEEDORES[[#This Row],[PLAZO Días]],0)</f>
        <v>0</v>
      </c>
      <c r="U803" s="97" t="str">
        <f>+VLOOKUP(PROVEEDORES[[#This Row],[PROVEEDOR]],Terceros!$A:$D,4,FALSE)</f>
        <v>2,5% con base</v>
      </c>
      <c r="V803" s="98">
        <f>+YEAR(PROVEEDORES[[#This Row],[FECHA DE FACTURACIÓN]])</f>
        <v>2023</v>
      </c>
      <c r="W803" s="98">
        <f>+MATCH(PROVEEDORES[[#This Row],[año facturado]],Retenciones!$1:$1,0)</f>
        <v>6</v>
      </c>
      <c r="X803" s="99">
        <f>+VLOOKUP(PROVEEDORES[[#This Row],[ID RETENCION]],Retenciones!$A$1:$O$25,PROVEEDORES[[#This Row],[indicador de columna]],FALSE)</f>
        <v>1145000</v>
      </c>
      <c r="Y803" s="100">
        <f>+VLOOKUP(PROVEEDORES[[#This Row],[ID RETENCION]],Retenciones!$A$1:$O$25,2,FALSE)</f>
        <v>2.5000000000000001E-2</v>
      </c>
      <c r="Z803" s="103" t="b">
        <f>OR(COUNTIF(PROVEEDORES[[#This Row],[PROVEEDOR]],"*"&amp;'Palabra no opera'!$A$2&amp;"*"))</f>
        <v>0</v>
      </c>
    </row>
    <row r="804" spans="1:26" ht="22.35" customHeight="1" x14ac:dyDescent="0.25">
      <c r="A804" s="65" t="str">
        <f>+IF(PROVEEDORES[[#This Row],[FECHA DE PAGO]]=PROVEEDORES[[#This Row],[FECHA DE FACTURACIÓN]],"DE CONTADO","CRÉDITO")</f>
        <v>CRÉDITO</v>
      </c>
      <c r="B804" s="38" t="b">
        <f>+IF((PROVEEDORES[[#This Row],[FECHA DE PAGO]]-PROVEEDORES[[#This Row],[FECHA DE FACTURACIÓN]])&gt;PROVEEDORES[[#This Row],[PLAZO Días]],"PAGO VENCIDO")</f>
        <v>0</v>
      </c>
      <c r="C804" s="20">
        <f>+VLOOKUP(PROVEEDORES[[#This Row],[PROVEEDOR]],TERCEROS_INFO[#All],2,FALSE)</f>
        <v>30</v>
      </c>
      <c r="D804" s="25">
        <f>+SUMIFS(PROVEEDORES[Total],PROVEEDORES[PROVEEDOR],PROVEEDORES[[#This Row],[PROVEEDOR]],PROVEEDORES[FECHA DE PAGO],"")</f>
        <v>0</v>
      </c>
      <c r="E804" s="25"/>
      <c r="F804" s="56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4" s="289">
        <v>45281</v>
      </c>
      <c r="H804" s="26" t="s">
        <v>1178</v>
      </c>
      <c r="I804" s="289">
        <v>45274</v>
      </c>
      <c r="J804" s="35" t="s">
        <v>1391</v>
      </c>
      <c r="K804" s="21">
        <v>-26639</v>
      </c>
      <c r="L804" s="21"/>
      <c r="M804" s="22">
        <f>(PROVEEDORES[[#This Row],[SUBTOTAL]]-PROVEEDORES[[#This Row],[descuento sobre subtotal]])*VLOOKUP(PROVEEDORES[[#This Row],[PROVEEDOR]],TERCEROS_INFO[#All],3,FALSE)</f>
        <v>-5061.41</v>
      </c>
      <c r="N804" s="23"/>
      <c r="O804" s="22">
        <f>+PROVEEDORES[[#This Row],[Descuento sobre subtotal %]]*(PROVEEDORES[[#This Row],[SUBTOTAL]]-PROVEEDORES[[#This Row],[descuento sobre subtotal]])</f>
        <v>0</v>
      </c>
      <c r="P804" s="72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-31700.41</v>
      </c>
      <c r="S8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1">
        <f ca="1">IF(PROVEEDORES[[#This Row],[FECHA DE PAGO]]=0,TODAY()-PROVEEDORES[[#This Row],[FECHA DE FACTURACIÓN]]-PROVEEDORES[[#This Row],[PLAZO Días]],0)</f>
        <v>0</v>
      </c>
      <c r="U804" s="97" t="str">
        <f>+VLOOKUP(PROVEEDORES[[#This Row],[PROVEEDOR]],Terceros!$A:$D,4,FALSE)</f>
        <v>2,5% con base</v>
      </c>
      <c r="V804" s="98">
        <f>+YEAR(PROVEEDORES[[#This Row],[FECHA DE FACTURACIÓN]])</f>
        <v>2023</v>
      </c>
      <c r="W804" s="98">
        <f>+MATCH(PROVEEDORES[[#This Row],[año facturado]],Retenciones!$1:$1,0)</f>
        <v>6</v>
      </c>
      <c r="X804" s="99">
        <f>+VLOOKUP(PROVEEDORES[[#This Row],[ID RETENCION]],Retenciones!$A$1:$O$25,PROVEEDORES[[#This Row],[indicador de columna]],FALSE)</f>
        <v>1145000</v>
      </c>
      <c r="Y804" s="100">
        <f>+VLOOKUP(PROVEEDORES[[#This Row],[ID RETENCION]],Retenciones!$A$1:$O$25,2,FALSE)</f>
        <v>2.5000000000000001E-2</v>
      </c>
      <c r="Z804" s="103" t="b">
        <f>OR(COUNTIF(PROVEEDORES[[#This Row],[PROVEEDOR]],"*"&amp;'Palabra no opera'!$A$2&amp;"*"))</f>
        <v>0</v>
      </c>
    </row>
    <row r="805" spans="1:26" ht="22.35" customHeight="1" x14ac:dyDescent="0.25">
      <c r="A805" s="243" t="str">
        <f>+IF(PROVEEDORES[[#This Row],[FECHA DE PAGO]]=PROVEEDORES[[#This Row],[FECHA DE FACTURACIÓN]],"DE CONTADO","CRÉDITO")</f>
        <v>CRÉDITO</v>
      </c>
      <c r="B805" s="38" t="str">
        <f>+IF((PROVEEDORES[[#This Row],[FECHA DE PAGO]]-PROVEEDORES[[#This Row],[FECHA DE FACTURACIÓN]])&gt;PROVEEDORES[[#This Row],[PLAZO Días]],"PAGO VENCIDO")</f>
        <v>PAGO VENCIDO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0</v>
      </c>
      <c r="E805" s="25"/>
      <c r="F805" s="56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05" s="289">
        <v>45251</v>
      </c>
      <c r="H805" s="26" t="s">
        <v>220</v>
      </c>
      <c r="I805" s="289">
        <v>45197</v>
      </c>
      <c r="J805" s="35" t="s">
        <v>1137</v>
      </c>
      <c r="K805" s="21">
        <v>2637500</v>
      </c>
      <c r="L805" s="21"/>
      <c r="M805" s="22">
        <f>(PROVEEDORES[[#This Row],[SUBTOTAL]]-PROVEEDORES[[#This Row],[descuento sobre subtotal]])*VLOOKUP(PROVEEDORES[[#This Row],[PROVEEDOR]],TERCEROS_INFO[#All],3,FALSE)</f>
        <v>501125</v>
      </c>
      <c r="N805" s="23"/>
      <c r="O805" s="22">
        <f>+PROVEEDORES[[#This Row],[Descuento sobre subtotal %]]*(PROVEEDORES[[#This Row],[SUBTOTAL]]-PROVEEDORES[[#This Row],[descuento sobre subtotal]])</f>
        <v>0</v>
      </c>
      <c r="P805" s="72">
        <f>+IF(PROVEEDORES[[#This Row],[SUBTOTAL]]&lt;PROVEEDORES[[#This Row],[base retencion]],0,PROVEEDORES[[#This Row],[retención aplicada]])</f>
        <v>2.5000000000000001E-2</v>
      </c>
      <c r="Q805" s="22">
        <f>+PROVEEDORES[[#This Row],[Rete Fuente %]]*(PROVEEDORES[[#This Row],[SUBTOTAL]]-PROVEEDORES[[#This Row],[descuento sobre subtotal]])</f>
        <v>65937.5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3072687.5</v>
      </c>
      <c r="S80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1">
        <f ca="1">IF(PROVEEDORES[[#This Row],[FECHA DE PAGO]]=0,TODAY()-PROVEEDORES[[#This Row],[FECHA DE FACTURACIÓN]]-PROVEEDORES[[#This Row],[PLAZO Días]],0)</f>
        <v>0</v>
      </c>
      <c r="U805" s="97" t="str">
        <f>+VLOOKUP(PROVEEDORES[[#This Row],[PROVEEDOR]],Terceros!$A:$D,4,FALSE)</f>
        <v>2,5% con base</v>
      </c>
      <c r="V805" s="98">
        <f>+YEAR(PROVEEDORES[[#This Row],[FECHA DE FACTURACIÓN]])</f>
        <v>2023</v>
      </c>
      <c r="W805" s="98">
        <f>+MATCH(PROVEEDORES[[#This Row],[año facturado]],Retenciones!$1:$1,0)</f>
        <v>6</v>
      </c>
      <c r="X805" s="99">
        <f>+VLOOKUP(PROVEEDORES[[#This Row],[ID RETENCION]],Retenciones!$A$1:$O$25,PROVEEDORES[[#This Row],[indicador de columna]],FALSE)</f>
        <v>1145000</v>
      </c>
      <c r="Y805" s="100">
        <f>+VLOOKUP(PROVEEDORES[[#This Row],[ID RETENCION]],Retenciones!$A$1:$O$25,2,FALSE)</f>
        <v>2.5000000000000001E-2</v>
      </c>
      <c r="Z805" s="103" t="b">
        <f>OR(COUNTIF(PROVEEDORES[[#This Row],[PROVEEDOR]],"*"&amp;'Palabra no opera'!$A$2&amp;"*"))</f>
        <v>0</v>
      </c>
    </row>
    <row r="806" spans="1:26" ht="22.35" customHeight="1" x14ac:dyDescent="0.25">
      <c r="A806" s="65" t="str">
        <f>+IF(PROVEEDORES[[#This Row],[FECHA DE PAGO]]=PROVEEDORES[[#This Row],[FECHA DE FACTURACIÓN]],"DE CONTADO","CRÉDITO")</f>
        <v>CRÉDITO</v>
      </c>
      <c r="B806" s="38" t="str">
        <f>+IF((PROVEEDORES[[#This Row],[FECHA DE PAGO]]-PROVEEDORES[[#This Row],[FECHA DE FACTURACIÓN]])&gt;PROVEEDORES[[#This Row],[PLAZO Días]],"PAGO VENCIDO")</f>
        <v>PAGO VENCIDO</v>
      </c>
      <c r="C806" s="20">
        <f>+VLOOKUP(PROVEEDORES[[#This Row],[PROVEEDOR]],TERCEROS_INFO[#All],2,FALSE)</f>
        <v>30</v>
      </c>
      <c r="D806" s="25">
        <f>+SUMIFS(PROVEEDORES[Total],PROVEEDORES[PROVEEDOR],PROVEEDORES[[#This Row],[PROVEEDOR]],PROVEEDORES[FECHA DE PAGO],"")</f>
        <v>-100999.9886</v>
      </c>
      <c r="E806" s="25"/>
      <c r="F806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06" s="289">
        <v>45055</v>
      </c>
      <c r="H806" s="26" t="s">
        <v>246</v>
      </c>
      <c r="I806" s="289">
        <v>45006</v>
      </c>
      <c r="J806" s="35" t="s">
        <v>743</v>
      </c>
      <c r="K806" s="21">
        <v>532437</v>
      </c>
      <c r="L806" s="21"/>
      <c r="M806" s="22">
        <f>(PROVEEDORES[[#This Row],[SUBTOTAL]]-PROVEEDORES[[#This Row],[descuento sobre subtotal]])*VLOOKUP(PROVEEDORES[[#This Row],[PROVEEDOR]],TERCEROS_INFO[#All],3,FALSE)</f>
        <v>101163.03</v>
      </c>
      <c r="N806" s="23"/>
      <c r="O806" s="22">
        <f>+PROVEEDORES[[#This Row],[Descuento sobre subtotal %]]*(PROVEEDORES[[#This Row],[SUBTOTAL]]-PROVEEDORES[[#This Row],[descuento sobre subtotal]])</f>
        <v>0</v>
      </c>
      <c r="P806" s="72">
        <f>+IF(PROVEEDORES[[#This Row],[SUBTOTAL]]&lt;PROVEEDORES[[#This Row],[base retencion]],0,PROVEEDORES[[#This Row],[retención aplicada]])</f>
        <v>0</v>
      </c>
      <c r="Q806" s="22">
        <f>+PROVEEDORES[[#This Row],[Rete Fuente %]]*(PROVEEDORES[[#This Row],[SUBTOTAL]]-PROVEEDORES[[#This Row],[descuento sobre subtotal]])</f>
        <v>0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633600.03</v>
      </c>
      <c r="S8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1">
        <f ca="1">IF(PROVEEDORES[[#This Row],[FECHA DE PAGO]]=0,TODAY()-PROVEEDORES[[#This Row],[FECHA DE FACTURACIÓN]]-PROVEEDORES[[#This Row],[PLAZO Días]],0)</f>
        <v>0</v>
      </c>
      <c r="U806" s="97" t="str">
        <f>+VLOOKUP(PROVEEDORES[[#This Row],[PROVEEDOR]],Terceros!$A:$D,4,FALSE)</f>
        <v>2,5% con base</v>
      </c>
      <c r="V806" s="98">
        <f>+YEAR(PROVEEDORES[[#This Row],[FECHA DE FACTURACIÓN]])</f>
        <v>2023</v>
      </c>
      <c r="W806" s="98">
        <f>+MATCH(PROVEEDORES[[#This Row],[año facturado]],Retenciones!$1:$1,0)</f>
        <v>6</v>
      </c>
      <c r="X806" s="99">
        <f>+VLOOKUP(PROVEEDORES[[#This Row],[ID RETENCION]],Retenciones!$A$1:$O$25,PROVEEDORES[[#This Row],[indicador de columna]],FALSE)</f>
        <v>1145000</v>
      </c>
      <c r="Y806" s="100">
        <f>+VLOOKUP(PROVEEDORES[[#This Row],[ID RETENCION]],Retenciones!$A$1:$O$25,2,FALSE)</f>
        <v>2.5000000000000001E-2</v>
      </c>
      <c r="Z806" s="103" t="b">
        <f>OR(COUNTIF(PROVEEDORES[[#This Row],[PROVEEDOR]],"*"&amp;'Palabra no opera'!$A$2&amp;"*"))</f>
        <v>0</v>
      </c>
    </row>
    <row r="807" spans="1:26" ht="22.35" customHeight="1" x14ac:dyDescent="0.25">
      <c r="A807" s="65" t="str">
        <f>+IF(PROVEEDORES[[#This Row],[FECHA DE PAGO]]=PROVEEDORES[[#This Row],[FECHA DE FACTURACIÓN]],"DE CONTADO","CRÉDITO")</f>
        <v>CRÉDITO</v>
      </c>
      <c r="B807" s="38" t="str">
        <f>+IF((PROVEEDORES[[#This Row],[FECHA DE PAGO]]-PROVEEDORES[[#This Row],[FECHA DE FACTURACIÓN]])&gt;PROVEEDORES[[#This Row],[PLAZO Días]],"PAGO VENCIDO")</f>
        <v>PAGO VENCIDO</v>
      </c>
      <c r="C807" s="20">
        <f>+VLOOKUP(PROVEEDORES[[#This Row],[PROVEEDOR]],TERCEROS_INFO[#All],2,FALSE)</f>
        <v>30</v>
      </c>
      <c r="D807" s="25">
        <f>+SUMIFS(PROVEEDORES[Total],PROVEEDORES[PROVEEDOR],PROVEEDORES[[#This Row],[PROVEEDOR]],PROVEEDORES[FECHA DE PAGO],"")</f>
        <v>-100999.9886</v>
      </c>
      <c r="E807" s="25"/>
      <c r="F807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07" s="289">
        <v>45099</v>
      </c>
      <c r="H807" s="26" t="s">
        <v>246</v>
      </c>
      <c r="I807" s="289">
        <v>45055</v>
      </c>
      <c r="J807" s="35" t="s">
        <v>829</v>
      </c>
      <c r="K807" s="21">
        <v>709916</v>
      </c>
      <c r="L807" s="21"/>
      <c r="M807" s="22">
        <f>(PROVEEDORES[[#This Row],[SUBTOTAL]]-PROVEEDORES[[#This Row],[descuento sobre subtotal]])*VLOOKUP(PROVEEDORES[[#This Row],[PROVEEDOR]],TERCEROS_INFO[#All],3,FALSE)</f>
        <v>134884.04</v>
      </c>
      <c r="N807" s="23"/>
      <c r="O807" s="22">
        <f>+PROVEEDORES[[#This Row],[Descuento sobre subtotal %]]*(PROVEEDORES[[#This Row],[SUBTOTAL]]-PROVEEDORES[[#This Row],[descuento sobre subtotal]])</f>
        <v>0</v>
      </c>
      <c r="P807" s="72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f>+PROVEEDORES[[#This Row],[SUBTOTAL]]+PROVEEDORES[[#This Row],[IVA 19%]]-PROVEEDORES[[#This Row],[descuento sobre subtotal]]-PROVEEDORES[[#This Row],[Descuento sobre subtotal $2]]-PROVEEDORES[[#This Row],[Rete Fuente $]]</f>
        <v>844800.04</v>
      </c>
      <c r="S8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1">
        <f ca="1">IF(PROVEEDORES[[#This Row],[FECHA DE PAGO]]=0,TODAY()-PROVEEDORES[[#This Row],[FECHA DE FACTURACIÓN]]-PROVEEDORES[[#This Row],[PLAZO Días]],0)</f>
        <v>0</v>
      </c>
      <c r="U807" s="97" t="str">
        <f>+VLOOKUP(PROVEEDORES[[#This Row],[PROVEEDOR]],Terceros!$A:$D,4,FALSE)</f>
        <v>2,5% con base</v>
      </c>
      <c r="V807" s="98">
        <f>+YEAR(PROVEEDORES[[#This Row],[FECHA DE FACTURACIÓN]])</f>
        <v>2023</v>
      </c>
      <c r="W807" s="98">
        <f>+MATCH(PROVEEDORES[[#This Row],[año facturado]],Retenciones!$1:$1,0)</f>
        <v>6</v>
      </c>
      <c r="X807" s="99">
        <f>+VLOOKUP(PROVEEDORES[[#This Row],[ID RETENCION]],Retenciones!$A$1:$O$25,PROVEEDORES[[#This Row],[indicador de columna]],FALSE)</f>
        <v>1145000</v>
      </c>
      <c r="Y807" s="100">
        <f>+VLOOKUP(PROVEEDORES[[#This Row],[ID RETENCION]],Retenciones!$A$1:$O$25,2,FALSE)</f>
        <v>2.5000000000000001E-2</v>
      </c>
      <c r="Z807" s="103" t="b">
        <f>OR(COUNTIF(PROVEEDORES[[#This Row],[PROVEEDOR]],"*"&amp;'Palabra no opera'!$A$2&amp;"*"))</f>
        <v>0</v>
      </c>
    </row>
    <row r="808" spans="1:26" ht="22.35" customHeight="1" x14ac:dyDescent="0.25">
      <c r="A808" s="65" t="str">
        <f>+IF(PROVEEDORES[[#This Row],[FECHA DE PAGO]]=PROVEEDORES[[#This Row],[FECHA DE FACTURACIÓN]],"DE CONTADO","CRÉDITO")</f>
        <v>CRÉDITO</v>
      </c>
      <c r="B808" s="38" t="str">
        <f>+IF((PROVEEDORES[[#This Row],[FECHA DE PAGO]]-PROVEEDORES[[#This Row],[FECHA DE FACTURACIÓN]])&gt;PROVEEDORES[[#This Row],[PLAZO Días]],"PAGO VENCIDO")</f>
        <v>PAGO VENCIDO</v>
      </c>
      <c r="C808" s="20">
        <f>+VLOOKUP(PROVEEDORES[[#This Row],[PROVEEDOR]],TERCEROS_INFO[#All],2,FALSE)</f>
        <v>30</v>
      </c>
      <c r="D808" s="25">
        <f>+SUMIFS(PROVEEDORES[Total],PROVEEDORES[PROVEEDOR],PROVEEDORES[[#This Row],[PROVEEDOR]],PROVEEDORES[FECHA DE PAGO],"")</f>
        <v>-100999.9886</v>
      </c>
      <c r="E808" s="25"/>
      <c r="F808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08" s="289">
        <v>45195</v>
      </c>
      <c r="H808" s="26" t="s">
        <v>246</v>
      </c>
      <c r="I808" s="289">
        <v>45132</v>
      </c>
      <c r="J808" s="35" t="s">
        <v>983</v>
      </c>
      <c r="K808" s="21">
        <v>887394</v>
      </c>
      <c r="L808" s="21"/>
      <c r="M808" s="22">
        <f>(PROVEEDORES[[#This Row],[SUBTOTAL]]-PROVEEDORES[[#This Row],[descuento sobre subtotal]])*VLOOKUP(PROVEEDORES[[#This Row],[PROVEEDOR]],TERCEROS_INFO[#All],3,FALSE)</f>
        <v>168604.86000000002</v>
      </c>
      <c r="N808" s="23"/>
      <c r="O808" s="22">
        <f>+PROVEEDORES[[#This Row],[Descuento sobre subtotal %]]*(PROVEEDORES[[#This Row],[SUBTOTAL]]-PROVEEDORES[[#This Row],[descuento sobre subtotal]])</f>
        <v>0</v>
      </c>
      <c r="P808" s="72">
        <f>+IF(PROVEEDORES[[#This Row],[SUBTOTAL]]&lt;PROVEEDORES[[#This Row],[base retencion]],0,PROVEEDORES[[#This Row],[retención aplicada]])</f>
        <v>0</v>
      </c>
      <c r="Q808" s="22">
        <f>+PROVEEDORES[[#This Row],[Rete Fuente %]]*(PROVEEDORES[[#This Row],[SUBTOTAL]]-PROVEEDORES[[#This Row],[descuento sobre subtotal]])</f>
        <v>0</v>
      </c>
      <c r="R808" s="21">
        <f>+PROVEEDORES[[#This Row],[SUBTOTAL]]+PROVEEDORES[[#This Row],[IVA 19%]]-PROVEEDORES[[#This Row],[descuento sobre subtotal]]-PROVEEDORES[[#This Row],[Descuento sobre subtotal $2]]-PROVEEDORES[[#This Row],[Rete Fuente $]]</f>
        <v>1055998.8600000001</v>
      </c>
      <c r="S8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1">
        <f ca="1">IF(PROVEEDORES[[#This Row],[FECHA DE PAGO]]=0,TODAY()-PROVEEDORES[[#This Row],[FECHA DE FACTURACIÓN]]-PROVEEDORES[[#This Row],[PLAZO Días]],0)</f>
        <v>0</v>
      </c>
      <c r="U808" s="97" t="str">
        <f>+VLOOKUP(PROVEEDORES[[#This Row],[PROVEEDOR]],Terceros!$A:$D,4,FALSE)</f>
        <v>2,5% con base</v>
      </c>
      <c r="V808" s="98">
        <f>+YEAR(PROVEEDORES[[#This Row],[FECHA DE FACTURACIÓN]])</f>
        <v>2023</v>
      </c>
      <c r="W808" s="98">
        <f>+MATCH(PROVEEDORES[[#This Row],[año facturado]],Retenciones!$1:$1,0)</f>
        <v>6</v>
      </c>
      <c r="X808" s="99">
        <f>+VLOOKUP(PROVEEDORES[[#This Row],[ID RETENCION]],Retenciones!$A$1:$O$25,PROVEEDORES[[#This Row],[indicador de columna]],FALSE)</f>
        <v>1145000</v>
      </c>
      <c r="Y808" s="100">
        <f>+VLOOKUP(PROVEEDORES[[#This Row],[ID RETENCION]],Retenciones!$A$1:$O$25,2,FALSE)</f>
        <v>2.5000000000000001E-2</v>
      </c>
      <c r="Z808" s="103" t="b">
        <f>OR(COUNTIF(PROVEEDORES[[#This Row],[PROVEEDOR]],"*"&amp;'Palabra no opera'!$A$2&amp;"*"))</f>
        <v>0</v>
      </c>
    </row>
    <row r="809" spans="1:26" ht="22.35" customHeight="1" x14ac:dyDescent="0.25">
      <c r="A809" s="229" t="str">
        <f>+IF(PROVEEDORES[[#This Row],[FECHA DE PAGO]]=PROVEEDORES[[#This Row],[FECHA DE FACTURACIÓN]],"DE CONTADO","CRÉDITO")</f>
        <v>CRÉDITO</v>
      </c>
      <c r="B809" s="38" t="str">
        <f>+IF((PROVEEDORES[[#This Row],[FECHA DE PAGO]]-PROVEEDORES[[#This Row],[FECHA DE FACTURACIÓN]])&gt;PROVEEDORES[[#This Row],[PLAZO Días]],"PAGO VENCIDO")</f>
        <v>PAGO VENCIDO</v>
      </c>
      <c r="C809" s="20">
        <f>+VLOOKUP(PROVEEDORES[[#This Row],[PROVEEDOR]],TERCEROS_INFO[#All],2,FALSE)</f>
        <v>30</v>
      </c>
      <c r="D809" s="25">
        <f>+SUMIFS(PROVEEDORES[Total],PROVEEDORES[PROVEEDOR],PROVEEDORES[[#This Row],[PROVEEDOR]],PROVEEDORES[FECHA DE PAGO],"")</f>
        <v>-100999.9886</v>
      </c>
      <c r="E809" s="25"/>
      <c r="F809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09" s="289">
        <v>45218</v>
      </c>
      <c r="H809" s="26" t="s">
        <v>246</v>
      </c>
      <c r="I809" s="289">
        <v>45169</v>
      </c>
      <c r="J809" s="35" t="s">
        <v>1074</v>
      </c>
      <c r="K809" s="21">
        <v>1181915</v>
      </c>
      <c r="L809" s="21"/>
      <c r="M809" s="22">
        <f>(PROVEEDORES[[#This Row],[SUBTOTAL]]-PROVEEDORES[[#This Row],[descuento sobre subtotal]])*VLOOKUP(PROVEEDORES[[#This Row],[PROVEEDOR]],TERCEROS_INFO[#All],3,FALSE)</f>
        <v>224563.85</v>
      </c>
      <c r="N809" s="23"/>
      <c r="O809" s="22">
        <f>+PROVEEDORES[[#This Row],[Descuento sobre subtotal %]]*(PROVEEDORES[[#This Row],[SUBTOTAL]]-PROVEEDORES[[#This Row],[descuento sobre subtotal]])</f>
        <v>0</v>
      </c>
      <c r="P809" s="72">
        <f>+IF(PROVEEDORES[[#This Row],[SUBTOTAL]]&lt;PROVEEDORES[[#This Row],[base retencion]],0,PROVEEDORES[[#This Row],[retención aplicada]])</f>
        <v>2.5000000000000001E-2</v>
      </c>
      <c r="Q809" s="22">
        <f>+PROVEEDORES[[#This Row],[Rete Fuente %]]*(PROVEEDORES[[#This Row],[SUBTOTAL]]-PROVEEDORES[[#This Row],[descuento sobre subtotal]])</f>
        <v>29547.875</v>
      </c>
      <c r="R809" s="21">
        <f>+PROVEEDORES[[#This Row],[SUBTOTAL]]+PROVEEDORES[[#This Row],[IVA 19%]]-PROVEEDORES[[#This Row],[descuento sobre subtotal]]-PROVEEDORES[[#This Row],[Descuento sobre subtotal $2]]-PROVEEDORES[[#This Row],[Rete Fuente $]]</f>
        <v>1376930.9750000001</v>
      </c>
      <c r="S809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1">
        <f ca="1">IF(PROVEEDORES[[#This Row],[FECHA DE PAGO]]=0,TODAY()-PROVEEDORES[[#This Row],[FECHA DE FACTURACIÓN]]-PROVEEDORES[[#This Row],[PLAZO Días]],0)</f>
        <v>0</v>
      </c>
      <c r="U809" s="97" t="str">
        <f>+VLOOKUP(PROVEEDORES[[#This Row],[PROVEEDOR]],Terceros!$A:$D,4,FALSE)</f>
        <v>2,5% con base</v>
      </c>
      <c r="V809" s="98">
        <f>+YEAR(PROVEEDORES[[#This Row],[FECHA DE FACTURACIÓN]])</f>
        <v>2023</v>
      </c>
      <c r="W809" s="98">
        <f>+MATCH(PROVEEDORES[[#This Row],[año facturado]],Retenciones!$1:$1,0)</f>
        <v>6</v>
      </c>
      <c r="X809" s="99">
        <f>+VLOOKUP(PROVEEDORES[[#This Row],[ID RETENCION]],Retenciones!$A$1:$O$25,PROVEEDORES[[#This Row],[indicador de columna]],FALSE)</f>
        <v>1145000</v>
      </c>
      <c r="Y809" s="100">
        <f>+VLOOKUP(PROVEEDORES[[#This Row],[ID RETENCION]],Retenciones!$A$1:$O$25,2,FALSE)</f>
        <v>2.5000000000000001E-2</v>
      </c>
      <c r="Z809" s="103" t="b">
        <f>OR(COUNTIF(PROVEEDORES[[#This Row],[PROVEEDOR]],"*"&amp;'Palabra no opera'!$A$2&amp;"*"))</f>
        <v>0</v>
      </c>
    </row>
    <row r="810" spans="1:26" ht="22.35" customHeight="1" x14ac:dyDescent="0.25">
      <c r="A810" s="65" t="str">
        <f>+IF(PROVEEDORES[[#This Row],[FECHA DE PAGO]]=PROVEEDORES[[#This Row],[FECHA DE FACTURACIÓN]],"DE CONTADO","CRÉDITO")</f>
        <v>CRÉDITO</v>
      </c>
      <c r="B810" s="38" t="str">
        <f>+IF((PROVEEDORES[[#This Row],[FECHA DE PAGO]]-PROVEEDORES[[#This Row],[FECHA DE FACTURACIÓN]])&gt;PROVEEDORES[[#This Row],[PLAZO Días]],"PAGO VENCIDO")</f>
        <v>PAGO VENCIDO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-100999.9886</v>
      </c>
      <c r="E810" s="25"/>
      <c r="F810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10" s="289">
        <v>45317</v>
      </c>
      <c r="H810" s="26" t="s">
        <v>246</v>
      </c>
      <c r="I810" s="289">
        <v>45271</v>
      </c>
      <c r="J810" s="35" t="s">
        <v>1378</v>
      </c>
      <c r="K810" s="21">
        <v>866151</v>
      </c>
      <c r="L810" s="21"/>
      <c r="M810" s="22">
        <f>(PROVEEDORES[[#This Row],[SUBTOTAL]]-PROVEEDORES[[#This Row],[descuento sobre subtotal]])*VLOOKUP(PROVEEDORES[[#This Row],[PROVEEDOR]],TERCEROS_INFO[#All],3,FALSE)</f>
        <v>164568.69</v>
      </c>
      <c r="N810" s="23"/>
      <c r="O810" s="22">
        <f>+PROVEEDORES[[#This Row],[Descuento sobre subtotal %]]*(PROVEEDORES[[#This Row],[SUBTOTAL]]-PROVEEDORES[[#This Row],[descuento sobre subtotal]])</f>
        <v>0</v>
      </c>
      <c r="P810" s="72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f>+PROVEEDORES[[#This Row],[SUBTOTAL]]+PROVEEDORES[[#This Row],[IVA 19%]]-PROVEEDORES[[#This Row],[descuento sobre subtotal]]-PROVEEDORES[[#This Row],[Descuento sobre subtotal $2]]-PROVEEDORES[[#This Row],[Rete Fuente $]]</f>
        <v>1030719.69</v>
      </c>
      <c r="S8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1">
        <f ca="1">IF(PROVEEDORES[[#This Row],[FECHA DE PAGO]]=0,TODAY()-PROVEEDORES[[#This Row],[FECHA DE FACTURACIÓN]]-PROVEEDORES[[#This Row],[PLAZO Días]],0)</f>
        <v>0</v>
      </c>
      <c r="U810" s="97" t="str">
        <f>+VLOOKUP(PROVEEDORES[[#This Row],[PROVEEDOR]],Terceros!$A:$D,4,FALSE)</f>
        <v>2,5% con base</v>
      </c>
      <c r="V810" s="98">
        <f>+YEAR(PROVEEDORES[[#This Row],[FECHA DE FACTURACIÓN]])</f>
        <v>2023</v>
      </c>
      <c r="W810" s="98">
        <f>+MATCH(PROVEEDORES[[#This Row],[año facturado]],Retenciones!$1:$1,0)</f>
        <v>6</v>
      </c>
      <c r="X810" s="99">
        <f>+VLOOKUP(PROVEEDORES[[#This Row],[ID RETENCION]],Retenciones!$A$1:$O$25,PROVEEDORES[[#This Row],[indicador de columna]],FALSE)</f>
        <v>1145000</v>
      </c>
      <c r="Y810" s="100">
        <f>+VLOOKUP(PROVEEDORES[[#This Row],[ID RETENCION]],Retenciones!$A$1:$O$25,2,FALSE)</f>
        <v>2.5000000000000001E-2</v>
      </c>
      <c r="Z810" s="103" t="b">
        <f>OR(COUNTIF(PROVEEDORES[[#This Row],[PROVEEDOR]],"*"&amp;'Palabra no opera'!$A$2&amp;"*"))</f>
        <v>0</v>
      </c>
    </row>
    <row r="811" spans="1:26" ht="22.35" customHeight="1" x14ac:dyDescent="0.25">
      <c r="A811" s="65" t="str">
        <f>+IF(PROVEEDORES[[#This Row],[FECHA DE PAGO]]=PROVEEDORES[[#This Row],[FECHA DE FACTURACIÓN]],"DE CONTADO","CRÉDITO")</f>
        <v>CRÉDITO</v>
      </c>
      <c r="B811" s="38" t="str">
        <f>+IF((PROVEEDORES[[#This Row],[FECHA DE PAGO]]-PROVEEDORES[[#This Row],[FECHA DE FACTURACIÓN]])&gt;PROVEEDORES[[#This Row],[PLAZO Días]],"PAGO VENCIDO")</f>
        <v>PAGO VENCIDO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-100999.9886</v>
      </c>
      <c r="E811" s="25"/>
      <c r="F811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811" s="289">
        <v>45317</v>
      </c>
      <c r="H811" s="26" t="s">
        <v>246</v>
      </c>
      <c r="I811" s="289">
        <v>45274</v>
      </c>
      <c r="J811" s="35" t="s">
        <v>1410</v>
      </c>
      <c r="K811" s="21">
        <v>79327</v>
      </c>
      <c r="L811" s="21"/>
      <c r="M811" s="22">
        <f>(PROVEEDORES[[#This Row],[SUBTOTAL]]-PROVEEDORES[[#This Row],[descuento sobre subtotal]])*VLOOKUP(PROVEEDORES[[#This Row],[PROVEEDOR]],TERCEROS_INFO[#All],3,FALSE)</f>
        <v>15072.130000000001</v>
      </c>
      <c r="N811" s="23"/>
      <c r="O811" s="22">
        <f>+PROVEEDORES[[#This Row],[Descuento sobre subtotal %]]*(PROVEEDORES[[#This Row],[SUBTOTAL]]-PROVEEDORES[[#This Row],[descuento sobre subtotal]])</f>
        <v>0</v>
      </c>
      <c r="P811" s="72">
        <f>+IF(PROVEEDORES[[#This Row],[SUBTOTAL]]&lt;PROVEEDORES[[#This Row],[base retencion]],0,PROVEEDORES[[#This Row],[retención aplicada]])</f>
        <v>0</v>
      </c>
      <c r="Q811" s="22">
        <f>+PROVEEDORES[[#This Row],[Rete Fuente %]]*(PROVEEDORES[[#This Row],[SUBTOTAL]]-PROVEEDORES[[#This Row],[descuento sobre subtotal]])</f>
        <v>0</v>
      </c>
      <c r="R811" s="21">
        <f>+PROVEEDORES[[#This Row],[SUBTOTAL]]+PROVEEDORES[[#This Row],[IVA 19%]]-PROVEEDORES[[#This Row],[descuento sobre subtotal]]-PROVEEDORES[[#This Row],[Descuento sobre subtotal $2]]-PROVEEDORES[[#This Row],[Rete Fuente $]]</f>
        <v>94399.13</v>
      </c>
      <c r="S8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1">
        <f ca="1">IF(PROVEEDORES[[#This Row],[FECHA DE PAGO]]=0,TODAY()-PROVEEDORES[[#This Row],[FECHA DE FACTURACIÓN]]-PROVEEDORES[[#This Row],[PLAZO Días]],0)</f>
        <v>0</v>
      </c>
      <c r="U811" s="97" t="str">
        <f>+VLOOKUP(PROVEEDORES[[#This Row],[PROVEEDOR]],Terceros!$A:$D,4,FALSE)</f>
        <v>2,5% con base</v>
      </c>
      <c r="V811" s="98">
        <f>+YEAR(PROVEEDORES[[#This Row],[FECHA DE FACTURACIÓN]])</f>
        <v>2023</v>
      </c>
      <c r="W811" s="98">
        <f>+MATCH(PROVEEDORES[[#This Row],[año facturado]],Retenciones!$1:$1,0)</f>
        <v>6</v>
      </c>
      <c r="X811" s="99">
        <f>+VLOOKUP(PROVEEDORES[[#This Row],[ID RETENCION]],Retenciones!$A$1:$O$25,PROVEEDORES[[#This Row],[indicador de columna]],FALSE)</f>
        <v>1145000</v>
      </c>
      <c r="Y811" s="100">
        <f>+VLOOKUP(PROVEEDORES[[#This Row],[ID RETENCION]],Retenciones!$A$1:$O$25,2,FALSE)</f>
        <v>2.5000000000000001E-2</v>
      </c>
      <c r="Z811" s="103" t="b">
        <f>OR(COUNTIF(PROVEEDORES[[#This Row],[PROVEEDOR]],"*"&amp;'Palabra no opera'!$A$2&amp;"*"))</f>
        <v>0</v>
      </c>
    </row>
    <row r="812" spans="1:26" ht="22.35" customHeight="1" x14ac:dyDescent="0.25">
      <c r="A812" s="65" t="str">
        <f>+IF(PROVEEDORES[[#This Row],[FECHA DE PAGO]]=PROVEEDORES[[#This Row],[FECHA DE FACTURACIÓN]],"DE CONTADO","CRÉDITO")</f>
        <v>CRÉDITO</v>
      </c>
      <c r="B812" s="38" t="str">
        <f>+IF((PROVEEDORES[[#This Row],[FECHA DE PAGO]]-PROVEEDORES[[#This Row],[FECHA DE FACTURACIÓN]])&gt;PROVEEDORES[[#This Row],[PLAZO Días]],"PAGO VENCIDO")</f>
        <v>PAGO VENCIDO</v>
      </c>
      <c r="C812" s="20">
        <f>+VLOOKUP(PROVEEDORES[[#This Row],[PROVEEDOR]],TERCEROS_INFO[#All],2,FALSE)</f>
        <v>30</v>
      </c>
      <c r="D812" s="25">
        <f>+SUMIFS(PROVEEDORES[Total],PROVEEDORES[PROVEEDOR],PROVEEDORES[[#This Row],[PROVEEDOR]],PROVEEDORES[FECHA DE PAGO],"")</f>
        <v>0</v>
      </c>
      <c r="E812" s="25"/>
      <c r="F812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12" s="289">
        <v>45071</v>
      </c>
      <c r="H812" s="26" t="s">
        <v>31</v>
      </c>
      <c r="I812" s="289">
        <v>45002</v>
      </c>
      <c r="J812" s="35">
        <v>58569</v>
      </c>
      <c r="K812" s="21">
        <f>54492080.8-4493927</f>
        <v>49998153.799999997</v>
      </c>
      <c r="L812" s="21"/>
      <c r="M812" s="22">
        <f>(PROVEEDORES[[#This Row],[SUBTOTAL]]-PROVEEDORES[[#This Row],[descuento sobre subtotal]])*VLOOKUP(PROVEEDORES[[#This Row],[PROVEEDOR]],TERCEROS_INFO[#All],3,FALSE)</f>
        <v>0</v>
      </c>
      <c r="N812" s="23"/>
      <c r="O812" s="22">
        <f>+PROVEEDORES[[#This Row],[Descuento sobre subtotal %]]*(PROVEEDORES[[#This Row],[SUBTOTAL]]-PROVEEDORES[[#This Row],[descuento sobre subtotal]])</f>
        <v>0</v>
      </c>
      <c r="P812" s="72">
        <f>+IF(PROVEEDORES[[#This Row],[SUBTOTAL]]&lt;PROVEEDORES[[#This Row],[base retencion]],0,PROVEEDORES[[#This Row],[retención aplicada]])</f>
        <v>0</v>
      </c>
      <c r="Q812" s="22">
        <f>+PROVEEDORES[[#This Row],[Rete Fuente %]]*(PROVEEDORES[[#This Row],[SUBTOTAL]]-PROVEEDORES[[#This Row],[descuento sobre subtotal]])</f>
        <v>0</v>
      </c>
      <c r="R812" s="21">
        <f>+PROVEEDORES[[#This Row],[SUBTOTAL]]+PROVEEDORES[[#This Row],[IVA 19%]]-PROVEEDORES[[#This Row],[descuento sobre subtotal]]-PROVEEDORES[[#This Row],[Descuento sobre subtotal $2]]-PROVEEDORES[[#This Row],[Rete Fuente $]]</f>
        <v>49998153.799999997</v>
      </c>
      <c r="S8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1">
        <f ca="1">IF(PROVEEDORES[[#This Row],[FECHA DE PAGO]]=0,TODAY()-PROVEEDORES[[#This Row],[FECHA DE FACTURACIÓN]]-PROVEEDORES[[#This Row],[PLAZO Días]],0)</f>
        <v>0</v>
      </c>
      <c r="U812" s="97">
        <f>+VLOOKUP(PROVEEDORES[[#This Row],[PROVEEDOR]],Terceros!$A:$D,4,FALSE)</f>
        <v>0</v>
      </c>
      <c r="V812" s="98">
        <f>+YEAR(PROVEEDORES[[#This Row],[FECHA DE FACTURACIÓN]])</f>
        <v>2023</v>
      </c>
      <c r="W812" s="98">
        <f>+MATCH(PROVEEDORES[[#This Row],[año facturado]],Retenciones!$1:$1,0)</f>
        <v>6</v>
      </c>
      <c r="X812" s="99">
        <f>+VLOOKUP(PROVEEDORES[[#This Row],[ID RETENCION]],Retenciones!$A$1:$O$25,PROVEEDORES[[#This Row],[indicador de columna]],FALSE)</f>
        <v>0</v>
      </c>
      <c r="Y812" s="100">
        <f>+VLOOKUP(PROVEEDORES[[#This Row],[ID RETENCION]],Retenciones!$A$1:$O$25,2,FALSE)</f>
        <v>0</v>
      </c>
      <c r="Z812" s="103" t="b">
        <f>OR(COUNTIF(PROVEEDORES[[#This Row],[PROVEEDOR]],"*"&amp;'Palabra no opera'!$A$2&amp;"*"))</f>
        <v>0</v>
      </c>
    </row>
    <row r="813" spans="1:26" ht="22.35" customHeight="1" x14ac:dyDescent="0.25">
      <c r="A813" s="65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30</v>
      </c>
      <c r="D813" s="25">
        <f>+SUMIFS(PROVEEDORES[Total],PROVEEDORES[PROVEEDOR],PROVEEDORES[[#This Row],[PROVEEDOR]],PROVEEDORES[FECHA DE PAGO],"")</f>
        <v>0</v>
      </c>
      <c r="E813" s="25"/>
      <c r="F813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13" s="289">
        <v>45175</v>
      </c>
      <c r="H813" s="26" t="s">
        <v>31</v>
      </c>
      <c r="I813" s="289">
        <v>45082</v>
      </c>
      <c r="J813" s="35">
        <v>59276</v>
      </c>
      <c r="K813" s="21">
        <v>27072616.5</v>
      </c>
      <c r="L813" s="21"/>
      <c r="M813" s="22">
        <f>(PROVEEDORES[[#This Row],[SUBTOTAL]]-PROVEEDORES[[#This Row],[descuento sobre subtotal]])*VLOOKUP(PROVEEDORES[[#This Row],[PROVEEDOR]],TERCEROS_INFO[#All],3,FALSE)</f>
        <v>0</v>
      </c>
      <c r="N813" s="23"/>
      <c r="O813" s="22">
        <f>+PROVEEDORES[[#This Row],[Descuento sobre subtotal %]]*(PROVEEDORES[[#This Row],[SUBTOTAL]]-PROVEEDORES[[#This Row],[descuento sobre subtotal]])</f>
        <v>0</v>
      </c>
      <c r="P813" s="72">
        <f>+IF(PROVEEDORES[[#This Row],[SUBTOTAL]]&lt;PROVEEDORES[[#This Row],[base retencion]],0,PROVEEDORES[[#This Row],[retención aplicada]])</f>
        <v>0</v>
      </c>
      <c r="Q813" s="22">
        <f>+PROVEEDORES[[#This Row],[Rete Fuente %]]*(PROVEEDORES[[#This Row],[SUBTOTAL]]-PROVEEDORES[[#This Row],[descuento sobre subtotal]])</f>
        <v>0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27072616.5</v>
      </c>
      <c r="S8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1">
        <f ca="1">IF(PROVEEDORES[[#This Row],[FECHA DE PAGO]]=0,TODAY()-PROVEEDORES[[#This Row],[FECHA DE FACTURACIÓN]]-PROVEEDORES[[#This Row],[PLAZO Días]],0)</f>
        <v>0</v>
      </c>
      <c r="U813" s="97">
        <f>+VLOOKUP(PROVEEDORES[[#This Row],[PROVEEDOR]],Terceros!$A:$D,4,FALSE)</f>
        <v>0</v>
      </c>
      <c r="V813" s="98">
        <f>+YEAR(PROVEEDORES[[#This Row],[FECHA DE FACTURACIÓN]])</f>
        <v>2023</v>
      </c>
      <c r="W813" s="98">
        <f>+MATCH(PROVEEDORES[[#This Row],[año facturado]],Retenciones!$1:$1,0)</f>
        <v>6</v>
      </c>
      <c r="X813" s="99">
        <f>+VLOOKUP(PROVEEDORES[[#This Row],[ID RETENCION]],Retenciones!$A$1:$O$25,PROVEEDORES[[#This Row],[indicador de columna]],FALSE)</f>
        <v>0</v>
      </c>
      <c r="Y813" s="100">
        <f>+VLOOKUP(PROVEEDORES[[#This Row],[ID RETENCION]],Retenciones!$A$1:$O$25,2,FALSE)</f>
        <v>0</v>
      </c>
      <c r="Z813" s="103" t="b">
        <f>OR(COUNTIF(PROVEEDORES[[#This Row],[PROVEEDOR]],"*"&amp;'Palabra no opera'!$A$2&amp;"*"))</f>
        <v>0</v>
      </c>
    </row>
    <row r="814" spans="1:26" ht="22.35" customHeight="1" x14ac:dyDescent="0.25">
      <c r="A814" s="262" t="str">
        <f>+IF(PROVEEDORES[[#This Row],[FECHA DE PAGO]]=PROVEEDORES[[#This Row],[FECHA DE FACTURACIÓN]],"DE CONTADO","CRÉDITO")</f>
        <v>CRÉDITO</v>
      </c>
      <c r="B814" s="38" t="str">
        <f>+IF((PROVEEDORES[[#This Row],[FECHA DE PAGO]]-PROVEEDORES[[#This Row],[FECHA DE FACTURACIÓN]])&gt;PROVEEDORES[[#This Row],[PLAZO Días]],"PAGO VENCIDO")</f>
        <v>PAGO VENCIDO</v>
      </c>
      <c r="C814" s="20">
        <f>+VLOOKUP(PROVEEDORES[[#This Row],[PROVEEDOR]],TERCEROS_INFO[#All],2,FALSE)</f>
        <v>30</v>
      </c>
      <c r="D814" s="25">
        <f>+SUMIFS(PROVEEDORES[Total],PROVEEDORES[PROVEEDOR],PROVEEDORES[[#This Row],[PROVEEDOR]],PROVEEDORES[FECHA DE PAGO],"")</f>
        <v>0</v>
      </c>
      <c r="E814" s="25"/>
      <c r="F814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14" s="289">
        <v>45314</v>
      </c>
      <c r="H814" s="26" t="s">
        <v>31</v>
      </c>
      <c r="I814" s="289">
        <v>45247</v>
      </c>
      <c r="J814" s="35" t="s">
        <v>1530</v>
      </c>
      <c r="K814" s="21">
        <v>14553283</v>
      </c>
      <c r="L814" s="21">
        <v>405840</v>
      </c>
      <c r="M814" s="22">
        <f>(PROVEEDORES[[#This Row],[SUBTOTAL]]-PROVEEDORES[[#This Row],[descuento sobre subtotal]])*VLOOKUP(PROVEEDORES[[#This Row],[PROVEEDOR]],TERCEROS_INFO[#All],3,FALSE)</f>
        <v>0</v>
      </c>
      <c r="N814" s="23"/>
      <c r="O814" s="22">
        <f>+PROVEEDORES[[#This Row],[Descuento sobre subtotal %]]*(PROVEEDORES[[#This Row],[SUBTOTAL]]-PROVEEDORES[[#This Row],[descuento sobre subtotal]])</f>
        <v>0</v>
      </c>
      <c r="P814" s="72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f>+PROVEEDORES[[#This Row],[SUBTOTAL]]+PROVEEDORES[[#This Row],[IVA 19%]]-PROVEEDORES[[#This Row],[descuento sobre subtotal]]-PROVEEDORES[[#This Row],[Descuento sobre subtotal $2]]-PROVEEDORES[[#This Row],[Rete Fuente $]]</f>
        <v>14147443</v>
      </c>
      <c r="S814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1">
        <f ca="1">IF(PROVEEDORES[[#This Row],[FECHA DE PAGO]]=0,TODAY()-PROVEEDORES[[#This Row],[FECHA DE FACTURACIÓN]]-PROVEEDORES[[#This Row],[PLAZO Días]],0)</f>
        <v>0</v>
      </c>
      <c r="U814" s="97">
        <f>+VLOOKUP(PROVEEDORES[[#This Row],[PROVEEDOR]],Terceros!$A:$D,4,FALSE)</f>
        <v>0</v>
      </c>
      <c r="V814" s="98">
        <f>+YEAR(PROVEEDORES[[#This Row],[FECHA DE FACTURACIÓN]])</f>
        <v>2023</v>
      </c>
      <c r="W814" s="98">
        <f>+MATCH(PROVEEDORES[[#This Row],[año facturado]],Retenciones!$1:$1,0)</f>
        <v>6</v>
      </c>
      <c r="X814" s="99">
        <f>+VLOOKUP(PROVEEDORES[[#This Row],[ID RETENCION]],Retenciones!$A$1:$O$25,PROVEEDORES[[#This Row],[indicador de columna]],FALSE)</f>
        <v>0</v>
      </c>
      <c r="Y814" s="100">
        <f>+VLOOKUP(PROVEEDORES[[#This Row],[ID RETENCION]],Retenciones!$A$1:$O$25,2,FALSE)</f>
        <v>0</v>
      </c>
      <c r="Z814" s="103" t="b">
        <f>OR(COUNTIF(PROVEEDORES[[#This Row],[PROVEEDOR]],"*"&amp;'Palabra no opera'!$A$2&amp;"*"))</f>
        <v>0</v>
      </c>
    </row>
    <row r="815" spans="1:26" ht="22.35" customHeight="1" x14ac:dyDescent="0.25">
      <c r="A815" s="262" t="str">
        <f>+IF(PROVEEDORES[[#This Row],[FECHA DE PAGO]]=PROVEEDORES[[#This Row],[FECHA DE FACTURACIÓN]],"DE CONTADO","CRÉDITO")</f>
        <v>CRÉDITO</v>
      </c>
      <c r="B815" s="38" t="str">
        <f>+IF((PROVEEDORES[[#This Row],[FECHA DE PAGO]]-PROVEEDORES[[#This Row],[FECHA DE FACTURACIÓN]])&gt;PROVEEDORES[[#This Row],[PLAZO Días]],"PAGO VENCIDO")</f>
        <v>PAGO VENCIDO</v>
      </c>
      <c r="C815" s="20">
        <f>+VLOOKUP(PROVEEDORES[[#This Row],[PROVEEDOR]],TERCEROS_INFO[#All],2,FALSE)</f>
        <v>30</v>
      </c>
      <c r="D815" s="25">
        <f>+SUMIFS(PROVEEDORES[Total],PROVEEDORES[PROVEEDOR],PROVEEDORES[[#This Row],[PROVEEDOR]],PROVEEDORES[FECHA DE PAGO],"")</f>
        <v>0</v>
      </c>
      <c r="E815" s="25"/>
      <c r="F815" s="56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815" s="289">
        <v>45310</v>
      </c>
      <c r="H815" s="26" t="s">
        <v>31</v>
      </c>
      <c r="I815" s="289">
        <v>45250</v>
      </c>
      <c r="J815" s="35" t="s">
        <v>1531</v>
      </c>
      <c r="K815" s="21">
        <v>98075240</v>
      </c>
      <c r="L815" s="21"/>
      <c r="M815" s="22">
        <f>(PROVEEDORES[[#This Row],[SUBTOTAL]]-PROVEEDORES[[#This Row],[descuento sobre subtotal]])*VLOOKUP(PROVEEDORES[[#This Row],[PROVEEDOR]],TERCEROS_INFO[#All],3,FALSE)</f>
        <v>0</v>
      </c>
      <c r="N815" s="23"/>
      <c r="O815" s="22">
        <f>+PROVEEDORES[[#This Row],[Descuento sobre subtotal %]]*(PROVEEDORES[[#This Row],[SUBTOTAL]]-PROVEEDORES[[#This Row],[descuento sobre subtotal]])</f>
        <v>0</v>
      </c>
      <c r="P815" s="72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f>+PROVEEDORES[[#This Row],[SUBTOTAL]]+PROVEEDORES[[#This Row],[IVA 19%]]-PROVEEDORES[[#This Row],[descuento sobre subtotal]]-PROVEEDORES[[#This Row],[Descuento sobre subtotal $2]]-PROVEEDORES[[#This Row],[Rete Fuente $]]</f>
        <v>98075240</v>
      </c>
      <c r="S81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1">
        <f ca="1">IF(PROVEEDORES[[#This Row],[FECHA DE PAGO]]=0,TODAY()-PROVEEDORES[[#This Row],[FECHA DE FACTURACIÓN]]-PROVEEDORES[[#This Row],[PLAZO Días]],0)</f>
        <v>0</v>
      </c>
      <c r="U815" s="97">
        <f>+VLOOKUP(PROVEEDORES[[#This Row],[PROVEEDOR]],Terceros!$A:$D,4,FALSE)</f>
        <v>0</v>
      </c>
      <c r="V815" s="98">
        <f>+YEAR(PROVEEDORES[[#This Row],[FECHA DE FACTURACIÓN]])</f>
        <v>2023</v>
      </c>
      <c r="W815" s="98">
        <f>+MATCH(PROVEEDORES[[#This Row],[año facturado]],Retenciones!$1:$1,0)</f>
        <v>6</v>
      </c>
      <c r="X815" s="99">
        <f>+VLOOKUP(PROVEEDORES[[#This Row],[ID RETENCION]],Retenciones!$A$1:$O$25,PROVEEDORES[[#This Row],[indicador de columna]],FALSE)</f>
        <v>0</v>
      </c>
      <c r="Y815" s="100">
        <f>+VLOOKUP(PROVEEDORES[[#This Row],[ID RETENCION]],Retenciones!$A$1:$O$25,2,FALSE)</f>
        <v>0</v>
      </c>
      <c r="Z815" s="103" t="b">
        <f>OR(COUNTIF(PROVEEDORES[[#This Row],[PROVEEDOR]],"*"&amp;'Palabra no opera'!$A$2&amp;"*"))</f>
        <v>0</v>
      </c>
    </row>
    <row r="816" spans="1:26" ht="22.35" customHeight="1" x14ac:dyDescent="0.25">
      <c r="A816" s="192" t="str">
        <f>+IF(PROVEEDORES[[#This Row],[FECHA DE PAGO]]=PROVEEDORES[[#This Row],[FECHA DE FACTURACIÓN]],"DE CONTADO","CRÉDITO")</f>
        <v>CRÉDITO</v>
      </c>
      <c r="B816" s="38" t="b">
        <f>+IF((PROVEEDORES[[#This Row],[FECHA DE PAGO]]-PROVEEDORES[[#This Row],[FECHA DE FACTURACIÓN]])&gt;PROVEEDORES[[#This Row],[PLAZO Días]],"PAGO VENCIDO")</f>
        <v>0</v>
      </c>
      <c r="C816" s="20">
        <f>+VLOOKUP(PROVEEDORES[[#This Row],[PROVEEDOR]],TERCEROS_INFO[#All],2,FALSE)</f>
        <v>30</v>
      </c>
      <c r="D816" s="25">
        <f>+SUMIFS(PROVEEDORES[Total],PROVEEDORES[PROVEEDOR],PROVEEDORES[[#This Row],[PROVEEDOR]],PROVEEDORES[FECHA DE PAGO],"")</f>
        <v>0</v>
      </c>
      <c r="E816" s="25"/>
      <c r="F816" s="56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816" s="289">
        <v>45052</v>
      </c>
      <c r="H816" s="26" t="s">
        <v>804</v>
      </c>
      <c r="I816" s="289">
        <v>45044</v>
      </c>
      <c r="J816" s="35" t="s">
        <v>805</v>
      </c>
      <c r="K816" s="21">
        <v>800000</v>
      </c>
      <c r="L816" s="21"/>
      <c r="M816" s="22">
        <f>(PROVEEDORES[[#This Row],[SUBTOTAL]]-PROVEEDORES[[#This Row],[descuento sobre subtotal]])*VLOOKUP(PROVEEDORES[[#This Row],[PROVEEDOR]],TERCEROS_INFO[#All],3,FALSE)</f>
        <v>152000</v>
      </c>
      <c r="N816" s="23"/>
      <c r="O816" s="22">
        <f>+PROVEEDORES[[#This Row],[Descuento sobre subtotal %]]*(PROVEEDORES[[#This Row],[SUBTOTAL]]-PROVEEDORES[[#This Row],[descuento sobre subtotal]])</f>
        <v>0</v>
      </c>
      <c r="P816" s="72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81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1">
        <f ca="1">IF(PROVEEDORES[[#This Row],[FECHA DE PAGO]]=0,TODAY()-PROVEEDORES[[#This Row],[FECHA DE FACTURACIÓN]]-PROVEEDORES[[#This Row],[PLAZO Días]],0)</f>
        <v>0</v>
      </c>
      <c r="U816" s="97" t="str">
        <f>+VLOOKUP(PROVEEDORES[[#This Row],[PROVEEDOR]],Terceros!$A:$D,4,FALSE)</f>
        <v>2,5% con base</v>
      </c>
      <c r="V816" s="98">
        <f>+YEAR(PROVEEDORES[[#This Row],[FECHA DE FACTURACIÓN]])</f>
        <v>2023</v>
      </c>
      <c r="W816" s="98">
        <f>+MATCH(PROVEEDORES[[#This Row],[año facturado]],Retenciones!$1:$1,0)</f>
        <v>6</v>
      </c>
      <c r="X816" s="99">
        <f>+VLOOKUP(PROVEEDORES[[#This Row],[ID RETENCION]],Retenciones!$A$1:$O$25,PROVEEDORES[[#This Row],[indicador de columna]],FALSE)</f>
        <v>1145000</v>
      </c>
      <c r="Y816" s="100">
        <f>+VLOOKUP(PROVEEDORES[[#This Row],[ID RETENCION]],Retenciones!$A$1:$O$25,2,FALSE)</f>
        <v>2.5000000000000001E-2</v>
      </c>
      <c r="Z816" s="103" t="b">
        <f>OR(COUNTIF(PROVEEDORES[[#This Row],[PROVEEDOR]],"*"&amp;'Palabra no opera'!$A$2&amp;"*"))</f>
        <v>0</v>
      </c>
    </row>
    <row r="817" spans="1:26" ht="22.35" customHeight="1" x14ac:dyDescent="0.25">
      <c r="A817" s="153" t="str">
        <f>+IF(PROVEEDORES[[#This Row],[FECHA DE PAGO]]=PROVEEDORES[[#This Row],[FECHA DE FACTURACIÓN]],"DE CONTADO","CRÉDITO")</f>
        <v>CRÉDITO</v>
      </c>
      <c r="B817" s="38" t="str">
        <f>+IF((PROVEEDORES[[#This Row],[FECHA DE PAGO]]-PROVEEDORES[[#This Row],[FECHA DE FACTURACIÓN]])&gt;PROVEEDORES[[#This Row],[PLAZO Días]],"PAGO VENCIDO")</f>
        <v>PAGO VENCIDO</v>
      </c>
      <c r="C817" s="20">
        <f>+VLOOKUP(PROVEEDORES[[#This Row],[PROVEEDOR]],TERCEROS_INFO[#All],2,FALSE)</f>
        <v>30</v>
      </c>
      <c r="D817" s="25">
        <f>+SUMIFS(PROVEEDORES[Total],PROVEEDORES[PROVEEDOR],PROVEEDORES[[#This Row],[PROVEEDOR]],PROVEEDORES[FECHA DE PAGO],"")</f>
        <v>609280</v>
      </c>
      <c r="E817" s="25"/>
      <c r="F817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17" s="289">
        <v>45030</v>
      </c>
      <c r="H817" s="26" t="s">
        <v>33</v>
      </c>
      <c r="I817" s="289">
        <v>44964</v>
      </c>
      <c r="J817" s="35" t="s">
        <v>607</v>
      </c>
      <c r="K817" s="21">
        <v>8898000</v>
      </c>
      <c r="L817" s="21"/>
      <c r="M817" s="22">
        <f>(PROVEEDORES[[#This Row],[SUBTOTAL]]-PROVEEDORES[[#This Row],[descuento sobre subtotal]])*VLOOKUP(PROVEEDORES[[#This Row],[PROVEEDOR]],TERCEROS_INFO[#All],3,FALSE)</f>
        <v>1690620</v>
      </c>
      <c r="N817" s="23"/>
      <c r="O817" s="22">
        <f>+PROVEEDORES[[#This Row],[Descuento sobre subtotal %]]*(PROVEEDORES[[#This Row],[SUBTOTAL]]-PROVEEDORES[[#This Row],[descuento sobre subtotal]])</f>
        <v>0</v>
      </c>
      <c r="P817" s="72">
        <f>+IF(PROVEEDORES[[#This Row],[SUBTOTAL]]&lt;PROVEEDORES[[#This Row],[base retencion]],0,PROVEEDORES[[#This Row],[retención aplicada]])</f>
        <v>2.5000000000000001E-2</v>
      </c>
      <c r="Q817" s="22">
        <f>+PROVEEDORES[[#This Row],[Rete Fuente %]]*(PROVEEDORES[[#This Row],[SUBTOTAL]]-PROVEEDORES[[#This Row],[descuento sobre subtotal]])</f>
        <v>222450</v>
      </c>
      <c r="R817" s="21">
        <f>+PROVEEDORES[[#This Row],[SUBTOTAL]]+PROVEEDORES[[#This Row],[IVA 19%]]-PROVEEDORES[[#This Row],[descuento sobre subtotal]]-PROVEEDORES[[#This Row],[Descuento sobre subtotal $2]]-PROVEEDORES[[#This Row],[Rete Fuente $]]</f>
        <v>10366170</v>
      </c>
      <c r="S817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1">
        <f ca="1">IF(PROVEEDORES[[#This Row],[FECHA DE PAGO]]=0,TODAY()-PROVEEDORES[[#This Row],[FECHA DE FACTURACIÓN]]-PROVEEDORES[[#This Row],[PLAZO Días]],0)</f>
        <v>0</v>
      </c>
      <c r="U817" s="97" t="str">
        <f>+VLOOKUP(PROVEEDORES[[#This Row],[PROVEEDOR]],Terceros!$A:$D,4,FALSE)</f>
        <v>2,5% con base</v>
      </c>
      <c r="V817" s="98">
        <f>+YEAR(PROVEEDORES[[#This Row],[FECHA DE FACTURACIÓN]])</f>
        <v>2023</v>
      </c>
      <c r="W817" s="98">
        <f>+MATCH(PROVEEDORES[[#This Row],[año facturado]],Retenciones!$1:$1,0)</f>
        <v>6</v>
      </c>
      <c r="X817" s="99">
        <f>+VLOOKUP(PROVEEDORES[[#This Row],[ID RETENCION]],Retenciones!$A$1:$O$25,PROVEEDORES[[#This Row],[indicador de columna]],FALSE)</f>
        <v>1145000</v>
      </c>
      <c r="Y817" s="100">
        <f>+VLOOKUP(PROVEEDORES[[#This Row],[ID RETENCION]],Retenciones!$A$1:$O$25,2,FALSE)</f>
        <v>2.5000000000000001E-2</v>
      </c>
      <c r="Z817" s="103" t="b">
        <f>OR(COUNTIF(PROVEEDORES[[#This Row],[PROVEEDOR]],"*"&amp;'Palabra no opera'!$A$2&amp;"*"))</f>
        <v>0</v>
      </c>
    </row>
    <row r="818" spans="1:26" ht="22.35" customHeight="1" x14ac:dyDescent="0.25">
      <c r="A818" s="65" t="str">
        <f>+IF(PROVEEDORES[[#This Row],[FECHA DE PAGO]]=PROVEEDORES[[#This Row],[FECHA DE FACTURACIÓN]],"DE CONTADO","CRÉDITO")</f>
        <v>CRÉDITO</v>
      </c>
      <c r="B818" s="38" t="str">
        <f>+IF((PROVEEDORES[[#This Row],[FECHA DE PAGO]]-PROVEEDORES[[#This Row],[FECHA DE FACTURACIÓN]])&gt;PROVEEDORES[[#This Row],[PLAZO Días]],"PAGO VENCIDO")</f>
        <v>PAGO VENCIDO</v>
      </c>
      <c r="C818" s="20">
        <f>+VLOOKUP(PROVEEDORES[[#This Row],[PROVEEDOR]],TERCEROS_INFO[#All],2,FALSE)</f>
        <v>30</v>
      </c>
      <c r="D818" s="25">
        <f>+SUMIFS(PROVEEDORES[Total],PROVEEDORES[PROVEEDOR],PROVEEDORES[[#This Row],[PROVEEDOR]],PROVEEDORES[FECHA DE PAGO],"")</f>
        <v>609280</v>
      </c>
      <c r="E818" s="25"/>
      <c r="F818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18" s="289">
        <v>45232</v>
      </c>
      <c r="H818" s="26" t="s">
        <v>33</v>
      </c>
      <c r="I818" s="289">
        <v>45146</v>
      </c>
      <c r="J818" s="35" t="s">
        <v>1019</v>
      </c>
      <c r="K818" s="21">
        <v>4565000</v>
      </c>
      <c r="L818" s="21"/>
      <c r="M818" s="22">
        <f>(PROVEEDORES[[#This Row],[SUBTOTAL]]-PROVEEDORES[[#This Row],[descuento sobre subtotal]])*VLOOKUP(PROVEEDORES[[#This Row],[PROVEEDOR]],TERCEROS_INFO[#All],3,FALSE)</f>
        <v>867350</v>
      </c>
      <c r="N818" s="23"/>
      <c r="O818" s="22">
        <f>+PROVEEDORES[[#This Row],[Descuento sobre subtotal %]]*(PROVEEDORES[[#This Row],[SUBTOTAL]]-PROVEEDORES[[#This Row],[descuento sobre subtotal]])</f>
        <v>0</v>
      </c>
      <c r="P818" s="72">
        <f>+IF(PROVEEDORES[[#This Row],[SUBTOTAL]]&lt;PROVEEDORES[[#This Row],[base retencion]],0,PROVEEDORES[[#This Row],[retención aplicada]])</f>
        <v>2.5000000000000001E-2</v>
      </c>
      <c r="Q818" s="22">
        <f>+PROVEEDORES[[#This Row],[Rete Fuente %]]*(PROVEEDORES[[#This Row],[SUBTOTAL]]-PROVEEDORES[[#This Row],[descuento sobre subtotal]])</f>
        <v>114125</v>
      </c>
      <c r="R818" s="21">
        <f>+PROVEEDORES[[#This Row],[SUBTOTAL]]+PROVEEDORES[[#This Row],[IVA 19%]]-PROVEEDORES[[#This Row],[descuento sobre subtotal]]-PROVEEDORES[[#This Row],[Descuento sobre subtotal $2]]-PROVEEDORES[[#This Row],[Rete Fuente $]]</f>
        <v>5318225</v>
      </c>
      <c r="S8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1">
        <f ca="1">IF(PROVEEDORES[[#This Row],[FECHA DE PAGO]]=0,TODAY()-PROVEEDORES[[#This Row],[FECHA DE FACTURACIÓN]]-PROVEEDORES[[#This Row],[PLAZO Días]],0)</f>
        <v>0</v>
      </c>
      <c r="U818" s="97" t="str">
        <f>+VLOOKUP(PROVEEDORES[[#This Row],[PROVEEDOR]],Terceros!$A:$D,4,FALSE)</f>
        <v>2,5% con base</v>
      </c>
      <c r="V818" s="98">
        <f>+YEAR(PROVEEDORES[[#This Row],[FECHA DE FACTURACIÓN]])</f>
        <v>2023</v>
      </c>
      <c r="W818" s="98">
        <f>+MATCH(PROVEEDORES[[#This Row],[año facturado]],Retenciones!$1:$1,0)</f>
        <v>6</v>
      </c>
      <c r="X818" s="99">
        <f>+VLOOKUP(PROVEEDORES[[#This Row],[ID RETENCION]],Retenciones!$A$1:$O$25,PROVEEDORES[[#This Row],[indicador de columna]],FALSE)</f>
        <v>1145000</v>
      </c>
      <c r="Y818" s="100">
        <f>+VLOOKUP(PROVEEDORES[[#This Row],[ID RETENCION]],Retenciones!$A$1:$O$25,2,FALSE)</f>
        <v>2.5000000000000001E-2</v>
      </c>
      <c r="Z818" s="103" t="b">
        <f>OR(COUNTIF(PROVEEDORES[[#This Row],[PROVEEDOR]],"*"&amp;'Palabra no opera'!$A$2&amp;"*"))</f>
        <v>0</v>
      </c>
    </row>
    <row r="819" spans="1:26" ht="22.35" customHeight="1" x14ac:dyDescent="0.25">
      <c r="A819" s="229" t="str">
        <f>+IF(PROVEEDORES[[#This Row],[FECHA DE PAGO]]=PROVEEDORES[[#This Row],[FECHA DE FACTURACIÓN]],"DE CONTADO","CRÉDITO")</f>
        <v>CRÉDITO</v>
      </c>
      <c r="B819" s="38" t="str">
        <f>+IF((PROVEEDORES[[#This Row],[FECHA DE PAGO]]-PROVEEDORES[[#This Row],[FECHA DE FACTURACIÓN]])&gt;PROVEEDORES[[#This Row],[PLAZO Días]],"PAGO VENCIDO")</f>
        <v>PAGO VENCIDO</v>
      </c>
      <c r="C819" s="20">
        <f>+VLOOKUP(PROVEEDORES[[#This Row],[PROVEEDOR]],TERCEROS_INFO[#All],2,FALSE)</f>
        <v>30</v>
      </c>
      <c r="D819" s="25">
        <f>+SUMIFS(PROVEEDORES[Total],PROVEEDORES[PROVEEDOR],PROVEEDORES[[#This Row],[PROVEEDOR]],PROVEEDORES[FECHA DE PAGO],"")</f>
        <v>609280</v>
      </c>
      <c r="E819" s="25"/>
      <c r="F819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19" s="289">
        <v>45232</v>
      </c>
      <c r="H819" s="26" t="s">
        <v>33</v>
      </c>
      <c r="I819" s="289">
        <v>45167</v>
      </c>
      <c r="J819" s="35" t="s">
        <v>1070</v>
      </c>
      <c r="K819" s="21">
        <v>6926500</v>
      </c>
      <c r="L819" s="21"/>
      <c r="M819" s="22">
        <f>(PROVEEDORES[[#This Row],[SUBTOTAL]]-PROVEEDORES[[#This Row],[descuento sobre subtotal]])*VLOOKUP(PROVEEDORES[[#This Row],[PROVEEDOR]],TERCEROS_INFO[#All],3,FALSE)</f>
        <v>1316035</v>
      </c>
      <c r="N819" s="23"/>
      <c r="O819" s="22">
        <f>+PROVEEDORES[[#This Row],[Descuento sobre subtotal %]]*(PROVEEDORES[[#This Row],[SUBTOTAL]]-PROVEEDORES[[#This Row],[descuento sobre subtotal]])</f>
        <v>0</v>
      </c>
      <c r="P819" s="72">
        <f>+IF(PROVEEDORES[[#This Row],[SUBTOTAL]]&lt;PROVEEDORES[[#This Row],[base retencion]],0,PROVEEDORES[[#This Row],[retención aplicada]])</f>
        <v>2.5000000000000001E-2</v>
      </c>
      <c r="Q819" s="22">
        <f>+PROVEEDORES[[#This Row],[Rete Fuente %]]*(PROVEEDORES[[#This Row],[SUBTOTAL]]-PROVEEDORES[[#This Row],[descuento sobre subtotal]])</f>
        <v>173162.5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8069372.5</v>
      </c>
      <c r="S819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1">
        <f ca="1">IF(PROVEEDORES[[#This Row],[FECHA DE PAGO]]=0,TODAY()-PROVEEDORES[[#This Row],[FECHA DE FACTURACIÓN]]-PROVEEDORES[[#This Row],[PLAZO Días]],0)</f>
        <v>0</v>
      </c>
      <c r="U819" s="97" t="str">
        <f>+VLOOKUP(PROVEEDORES[[#This Row],[PROVEEDOR]],Terceros!$A:$D,4,FALSE)</f>
        <v>2,5% con base</v>
      </c>
      <c r="V819" s="98">
        <f>+YEAR(PROVEEDORES[[#This Row],[FECHA DE FACTURACIÓN]])</f>
        <v>2023</v>
      </c>
      <c r="W819" s="98">
        <f>+MATCH(PROVEEDORES[[#This Row],[año facturado]],Retenciones!$1:$1,0)</f>
        <v>6</v>
      </c>
      <c r="X819" s="99">
        <f>+VLOOKUP(PROVEEDORES[[#This Row],[ID RETENCION]],Retenciones!$A$1:$O$25,PROVEEDORES[[#This Row],[indicador de columna]],FALSE)</f>
        <v>1145000</v>
      </c>
      <c r="Y819" s="100">
        <f>+VLOOKUP(PROVEEDORES[[#This Row],[ID RETENCION]],Retenciones!$A$1:$O$25,2,FALSE)</f>
        <v>2.5000000000000001E-2</v>
      </c>
      <c r="Z819" s="103" t="b">
        <f>OR(COUNTIF(PROVEEDORES[[#This Row],[PROVEEDOR]],"*"&amp;'Palabra no opera'!$A$2&amp;"*"))</f>
        <v>0</v>
      </c>
    </row>
    <row r="820" spans="1:26" ht="22.35" customHeight="1" x14ac:dyDescent="0.25">
      <c r="A820" s="310" t="str">
        <f>+IF(PROVEEDORES[[#This Row],[FECHA DE PAGO]]=PROVEEDORES[[#This Row],[FECHA DE FACTURACIÓN]],"DE CONTADO","CRÉDITO")</f>
        <v>CRÉDITO</v>
      </c>
      <c r="B820" s="38" t="b">
        <f>+IF((PROVEEDORES[[#This Row],[FECHA DE PAGO]]-PROVEEDORES[[#This Row],[FECHA DE FACTURACIÓN]])&gt;PROVEEDORES[[#This Row],[PLAZO Días]],"PAGO VENCIDO")</f>
        <v>0</v>
      </c>
      <c r="C820" s="20">
        <f>+VLOOKUP(PROVEEDORES[[#This Row],[PROVEEDOR]],TERCEROS_INFO[#All],2,FALSE)</f>
        <v>30</v>
      </c>
      <c r="D820" s="25">
        <f>+SUMIFS(PROVEEDORES[Total],PROVEEDORES[PROVEEDOR],PROVEEDORES[[#This Row],[PROVEEDOR]],PROVEEDORES[FECHA DE PAGO],"")</f>
        <v>609280</v>
      </c>
      <c r="E820" s="25"/>
      <c r="F820" s="56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H820" s="26" t="s">
        <v>33</v>
      </c>
      <c r="I820" s="289">
        <v>45303</v>
      </c>
      <c r="J820" s="35" t="s">
        <v>1494</v>
      </c>
      <c r="K820" s="21">
        <v>512000</v>
      </c>
      <c r="L820" s="21"/>
      <c r="M820" s="22">
        <f>(PROVEEDORES[[#This Row],[SUBTOTAL]]-PROVEEDORES[[#This Row],[descuento sobre subtotal]])*VLOOKUP(PROVEEDORES[[#This Row],[PROVEEDOR]],TERCEROS_INFO[#All],3,FALSE)</f>
        <v>97280</v>
      </c>
      <c r="N820" s="23"/>
      <c r="O820" s="22">
        <f>+PROVEEDORES[[#This Row],[Descuento sobre subtotal %]]*(PROVEEDORES[[#This Row],[SUBTOTAL]]-PROVEEDORES[[#This Row],[descuento sobre subtotal]])</f>
        <v>0</v>
      </c>
      <c r="P820" s="72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609280</v>
      </c>
      <c r="S820" s="31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820" s="61">
        <f ca="1">IF(PROVEEDORES[[#This Row],[FECHA DE PAGO]]=0,TODAY()-PROVEEDORES[[#This Row],[FECHA DE FACTURACIÓN]]-PROVEEDORES[[#This Row],[PLAZO Días]],0)</f>
        <v>-5</v>
      </c>
      <c r="U820" s="97" t="str">
        <f>+VLOOKUP(PROVEEDORES[[#This Row],[PROVEEDOR]],Terceros!$A:$D,4,FALSE)</f>
        <v>2,5% con base</v>
      </c>
      <c r="V820" s="98">
        <f>+YEAR(PROVEEDORES[[#This Row],[FECHA DE FACTURACIÓN]])</f>
        <v>2024</v>
      </c>
      <c r="W820" s="98">
        <f>+MATCH(PROVEEDORES[[#This Row],[año facturado]],Retenciones!$1:$1,0)</f>
        <v>7</v>
      </c>
      <c r="X820" s="99">
        <f>+VLOOKUP(PROVEEDORES[[#This Row],[ID RETENCION]],Retenciones!$A$1:$O$25,PROVEEDORES[[#This Row],[indicador de columna]],FALSE)</f>
        <v>1271000</v>
      </c>
      <c r="Y820" s="100">
        <f>+VLOOKUP(PROVEEDORES[[#This Row],[ID RETENCION]],Retenciones!$A$1:$O$25,2,FALSE)</f>
        <v>2.5000000000000001E-2</v>
      </c>
      <c r="Z820" s="103" t="b">
        <f>OR(COUNTIF(PROVEEDORES[[#This Row],[PROVEEDOR]],"*"&amp;'Palabra no opera'!$A$2&amp;"*"))</f>
        <v>0</v>
      </c>
    </row>
    <row r="821" spans="1:26" ht="22.35" customHeight="1" x14ac:dyDescent="0.25">
      <c r="A821" s="143" t="str">
        <f>+IF(PROVEEDORES[[#This Row],[FECHA DE PAGO]]=PROVEEDORES[[#This Row],[FECHA DE FACTURACIÓN]],"DE CONTADO","CRÉDITO")</f>
        <v>CRÉDITO</v>
      </c>
      <c r="B821" s="38" t="b">
        <f>+IF((PROVEEDORES[[#This Row],[FECHA DE PAGO]]-PROVEEDORES[[#This Row],[FECHA DE FACTURACIÓN]])&gt;PROVEEDORES[[#This Row],[PLAZO Días]],"PAGO VENCIDO")</f>
        <v>0</v>
      </c>
      <c r="C821" s="20">
        <f>+VLOOKUP(PROVEEDORES[[#This Row],[PROVEEDOR]],TERCEROS_INFO[#All],2,FALSE)</f>
        <v>30</v>
      </c>
      <c r="D821" s="25">
        <f>+SUMIFS(PROVEEDORES[Total],PROVEEDORES[PROVEEDOR],PROVEEDORES[[#This Row],[PROVEEDOR]],PROVEEDORES[FECHA DE PAGO],"")</f>
        <v>0</v>
      </c>
      <c r="E821" s="25"/>
      <c r="F821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1" s="289">
        <v>44942</v>
      </c>
      <c r="H821" s="26" t="s">
        <v>406</v>
      </c>
      <c r="I821" s="289">
        <v>44928</v>
      </c>
      <c r="J821" s="35" t="s">
        <v>547</v>
      </c>
      <c r="K821" s="21">
        <v>1866320</v>
      </c>
      <c r="L821" s="21"/>
      <c r="M821" s="22">
        <f>(PROVEEDORES[[#This Row],[SUBTOTAL]]-PROVEEDORES[[#This Row],[descuento sobre subtotal]])*VLOOKUP(PROVEEDORES[[#This Row],[PROVEEDOR]],TERCEROS_INFO[#All],3,FALSE)</f>
        <v>0</v>
      </c>
      <c r="N821" s="23">
        <v>4.8871499999999998E-2</v>
      </c>
      <c r="O821" s="22">
        <f>+PROVEEDORES[[#This Row],[Descuento sobre subtotal %]]*(PROVEEDORES[[#This Row],[SUBTOTAL]]-PROVEEDORES[[#This Row],[descuento sobre subtotal]])</f>
        <v>91209.857879999996</v>
      </c>
      <c r="P821" s="72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821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1">
        <f ca="1">IF(PROVEEDORES[[#This Row],[FECHA DE PAGO]]=0,TODAY()-PROVEEDORES[[#This Row],[FECHA DE FACTURACIÓN]]-PROVEEDORES[[#This Row],[PLAZO Días]],0)</f>
        <v>0</v>
      </c>
      <c r="U821" s="97">
        <f>+VLOOKUP(PROVEEDORES[[#This Row],[PROVEEDOR]],Terceros!$A:$D,4,FALSE)</f>
        <v>0</v>
      </c>
      <c r="V821" s="98">
        <f>+YEAR(PROVEEDORES[[#This Row],[FECHA DE FACTURACIÓN]])</f>
        <v>2023</v>
      </c>
      <c r="W821" s="98">
        <f>+MATCH(PROVEEDORES[[#This Row],[año facturado]],Retenciones!$1:$1,0)</f>
        <v>6</v>
      </c>
      <c r="X821" s="99">
        <f>+VLOOKUP(PROVEEDORES[[#This Row],[ID RETENCION]],Retenciones!$A$1:$O$25,PROVEEDORES[[#This Row],[indicador de columna]],FALSE)</f>
        <v>0</v>
      </c>
      <c r="Y821" s="100">
        <f>+VLOOKUP(PROVEEDORES[[#This Row],[ID RETENCION]],Retenciones!$A$1:$O$25,2,FALSE)</f>
        <v>0</v>
      </c>
      <c r="Z821" s="103" t="b">
        <f>OR(COUNTIF(PROVEEDORES[[#This Row],[PROVEEDOR]],"*"&amp;'Palabra no opera'!$A$2&amp;"*"))</f>
        <v>1</v>
      </c>
    </row>
    <row r="822" spans="1:26" ht="22.35" customHeight="1" x14ac:dyDescent="0.25">
      <c r="A822" s="153" t="str">
        <f>+IF(PROVEEDORES[[#This Row],[FECHA DE PAGO]]=PROVEEDORES[[#This Row],[FECHA DE FACTURACIÓN]],"DE CONTADO","CRÉDITO")</f>
        <v>CRÉDITO</v>
      </c>
      <c r="B822" s="38" t="b">
        <f>+IF((PROVEEDORES[[#This Row],[FECHA DE PAGO]]-PROVEEDORES[[#This Row],[FECHA DE FACTURACIÓN]])&gt;PROVEEDORES[[#This Row],[PLAZO Días]],"PAGO VENCIDO")</f>
        <v>0</v>
      </c>
      <c r="C822" s="20">
        <f>+VLOOKUP(PROVEEDORES[[#This Row],[PROVEEDOR]],TERCEROS_INFO[#All],2,FALSE)</f>
        <v>30</v>
      </c>
      <c r="D822" s="25">
        <f>+SUMIFS(PROVEEDORES[Total],PROVEEDORES[PROVEEDOR],PROVEEDORES[[#This Row],[PROVEEDOR]],PROVEEDORES[FECHA DE PAGO],"")</f>
        <v>0</v>
      </c>
      <c r="E822" s="25"/>
      <c r="F822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2" s="289">
        <v>44977</v>
      </c>
      <c r="H822" s="26" t="s">
        <v>406</v>
      </c>
      <c r="I822" s="289">
        <v>44963</v>
      </c>
      <c r="J822" s="35" t="s">
        <v>612</v>
      </c>
      <c r="K822" s="21">
        <v>1866320</v>
      </c>
      <c r="L822" s="21"/>
      <c r="M822" s="22">
        <f>(PROVEEDORES[[#This Row],[SUBTOTAL]]-PROVEEDORES[[#This Row],[descuento sobre subtotal]])*VLOOKUP(PROVEEDORES[[#This Row],[PROVEEDOR]],TERCEROS_INFO[#All],3,FALSE)</f>
        <v>0</v>
      </c>
      <c r="N822" s="23">
        <v>4.8871499999999998E-2</v>
      </c>
      <c r="O822" s="22">
        <f>+PROVEEDORES[[#This Row],[Descuento sobre subtotal %]]*(PROVEEDORES[[#This Row],[SUBTOTAL]]-PROVEEDORES[[#This Row],[descuento sobre subtotal]])</f>
        <v>91209.857879999996</v>
      </c>
      <c r="P822" s="72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1775110.14212</v>
      </c>
      <c r="S822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61">
        <f ca="1">IF(PROVEEDORES[[#This Row],[FECHA DE PAGO]]=0,TODAY()-PROVEEDORES[[#This Row],[FECHA DE FACTURACIÓN]]-PROVEEDORES[[#This Row],[PLAZO Días]],0)</f>
        <v>0</v>
      </c>
      <c r="U822" s="97">
        <f>+VLOOKUP(PROVEEDORES[[#This Row],[PROVEEDOR]],Terceros!$A:$D,4,FALSE)</f>
        <v>0</v>
      </c>
      <c r="V822" s="98">
        <f>+YEAR(PROVEEDORES[[#This Row],[FECHA DE FACTURACIÓN]])</f>
        <v>2023</v>
      </c>
      <c r="W822" s="98">
        <f>+MATCH(PROVEEDORES[[#This Row],[año facturado]],Retenciones!$1:$1,0)</f>
        <v>6</v>
      </c>
      <c r="X822" s="99">
        <f>+VLOOKUP(PROVEEDORES[[#This Row],[ID RETENCION]],Retenciones!$A$1:$O$25,PROVEEDORES[[#This Row],[indicador de columna]],FALSE)</f>
        <v>0</v>
      </c>
      <c r="Y822" s="100">
        <f>+VLOOKUP(PROVEEDORES[[#This Row],[ID RETENCION]],Retenciones!$A$1:$O$25,2,FALSE)</f>
        <v>0</v>
      </c>
      <c r="Z822" s="103" t="b">
        <f>OR(COUNTIF(PROVEEDORES[[#This Row],[PROVEEDOR]],"*"&amp;'Palabra no opera'!$A$2&amp;"*"))</f>
        <v>1</v>
      </c>
    </row>
    <row r="823" spans="1:26" ht="22.35" customHeight="1" x14ac:dyDescent="0.25">
      <c r="A823" s="164" t="str">
        <f>+IF(PROVEEDORES[[#This Row],[FECHA DE PAGO]]=PROVEEDORES[[#This Row],[FECHA DE FACTURACIÓN]],"DE CONTADO","CRÉDITO")</f>
        <v>CRÉDITO</v>
      </c>
      <c r="B823" s="38" t="b">
        <f>+IF((PROVEEDORES[[#This Row],[FECHA DE PAGO]]-PROVEEDORES[[#This Row],[FECHA DE FACTURACIÓN]])&gt;PROVEEDORES[[#This Row],[PLAZO Días]],"PAGO VENCIDO")</f>
        <v>0</v>
      </c>
      <c r="C823" s="20">
        <f>+VLOOKUP(PROVEEDORES[[#This Row],[PROVEEDOR]],TERCEROS_INFO[#All],2,FALSE)</f>
        <v>30</v>
      </c>
      <c r="D823" s="25">
        <f>+SUMIFS(PROVEEDORES[Total],PROVEEDORES[PROVEEDOR],PROVEEDORES[[#This Row],[PROVEEDOR]],PROVEEDORES[FECHA DE PAGO],"")</f>
        <v>0</v>
      </c>
      <c r="E823" s="25"/>
      <c r="F823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3" s="289">
        <v>45014</v>
      </c>
      <c r="H823" s="26" t="s">
        <v>406</v>
      </c>
      <c r="I823" s="289">
        <v>44988</v>
      </c>
      <c r="J823" s="35" t="s">
        <v>684</v>
      </c>
      <c r="K823" s="21">
        <v>1840056</v>
      </c>
      <c r="L823" s="21"/>
      <c r="M823" s="22">
        <f>(PROVEEDORES[[#This Row],[SUBTOTAL]]-PROVEEDORES[[#This Row],[descuento sobre subtotal]])*VLOOKUP(PROVEEDORES[[#This Row],[PROVEEDOR]],TERCEROS_INFO[#All],3,FALSE)</f>
        <v>0</v>
      </c>
      <c r="N823" s="23"/>
      <c r="O823" s="22">
        <f>+PROVEEDORES[[#This Row],[Descuento sobre subtotal %]]*(PROVEEDORES[[#This Row],[SUBTOTAL]]-PROVEEDORES[[#This Row],[descuento sobre subtotal]])</f>
        <v>0</v>
      </c>
      <c r="P823" s="72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1840056</v>
      </c>
      <c r="S823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1">
        <f ca="1">IF(PROVEEDORES[[#This Row],[FECHA DE PAGO]]=0,TODAY()-PROVEEDORES[[#This Row],[FECHA DE FACTURACIÓN]]-PROVEEDORES[[#This Row],[PLAZO Días]],0)</f>
        <v>0</v>
      </c>
      <c r="U823" s="97">
        <f>+VLOOKUP(PROVEEDORES[[#This Row],[PROVEEDOR]],Terceros!$A:$D,4,FALSE)</f>
        <v>0</v>
      </c>
      <c r="V823" s="98">
        <f>+YEAR(PROVEEDORES[[#This Row],[FECHA DE FACTURACIÓN]])</f>
        <v>2023</v>
      </c>
      <c r="W823" s="98">
        <f>+MATCH(PROVEEDORES[[#This Row],[año facturado]],Retenciones!$1:$1,0)</f>
        <v>6</v>
      </c>
      <c r="X823" s="99">
        <f>+VLOOKUP(PROVEEDORES[[#This Row],[ID RETENCION]],Retenciones!$A$1:$O$25,PROVEEDORES[[#This Row],[indicador de columna]],FALSE)</f>
        <v>0</v>
      </c>
      <c r="Y823" s="100">
        <f>+VLOOKUP(PROVEEDORES[[#This Row],[ID RETENCION]],Retenciones!$A$1:$O$25,2,FALSE)</f>
        <v>0</v>
      </c>
      <c r="Z823" s="103" t="b">
        <f>OR(COUNTIF(PROVEEDORES[[#This Row],[PROVEEDOR]],"*"&amp;'Palabra no opera'!$A$2&amp;"*"))</f>
        <v>1</v>
      </c>
    </row>
    <row r="824" spans="1:26" ht="22.35" customHeight="1" x14ac:dyDescent="0.25">
      <c r="A824" s="65" t="str">
        <f>+IF(PROVEEDORES[[#This Row],[FECHA DE PAGO]]=PROVEEDORES[[#This Row],[FECHA DE FACTURACIÓN]],"DE CONTADO","CRÉDITO")</f>
        <v>CRÉDITO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30</v>
      </c>
      <c r="D824" s="25">
        <f>+SUMIFS(PROVEEDORES[Total],PROVEEDORES[PROVEEDOR],PROVEEDORES[[#This Row],[PROVEEDOR]],PROVEEDORES[FECHA DE PAGO],"")</f>
        <v>0</v>
      </c>
      <c r="E824" s="25"/>
      <c r="F824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4" s="289">
        <v>45030</v>
      </c>
      <c r="H824" s="26" t="s">
        <v>406</v>
      </c>
      <c r="I824" s="289">
        <v>45019</v>
      </c>
      <c r="J824" s="35" t="s">
        <v>730</v>
      </c>
      <c r="K824" s="21">
        <v>1840056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v>105097</v>
      </c>
      <c r="P824" s="72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1">
        <f ca="1">IF(PROVEEDORES[[#This Row],[FECHA DE PAGO]]=0,TODAY()-PROVEEDORES[[#This Row],[FECHA DE FACTURACIÓN]]-PROVEEDORES[[#This Row],[PLAZO Días]],0)</f>
        <v>0</v>
      </c>
      <c r="U824" s="97">
        <f>+VLOOKUP(PROVEEDORES[[#This Row],[PROVEEDOR]],Terceros!$A:$D,4,FALSE)</f>
        <v>0</v>
      </c>
      <c r="V824" s="98">
        <f>+YEAR(PROVEEDORES[[#This Row],[FECHA DE FACTURACIÓN]])</f>
        <v>2023</v>
      </c>
      <c r="W824" s="98">
        <f>+MATCH(PROVEEDORES[[#This Row],[año facturado]],Retenciones!$1:$1,0)</f>
        <v>6</v>
      </c>
      <c r="X824" s="99">
        <f>+VLOOKUP(PROVEEDORES[[#This Row],[ID RETENCION]],Retenciones!$A$1:$O$25,PROVEEDORES[[#This Row],[indicador de columna]],FALSE)</f>
        <v>0</v>
      </c>
      <c r="Y824" s="100">
        <f>+VLOOKUP(PROVEEDORES[[#This Row],[ID RETENCION]],Retenciones!$A$1:$O$25,2,FALSE)</f>
        <v>0</v>
      </c>
      <c r="Z824" s="103" t="b">
        <f>OR(COUNTIF(PROVEEDORES[[#This Row],[PROVEEDOR]],"*"&amp;'Palabra no opera'!$A$2&amp;"*"))</f>
        <v>1</v>
      </c>
    </row>
    <row r="825" spans="1:26" ht="22.35" customHeight="1" x14ac:dyDescent="0.25">
      <c r="A825" s="194" t="str">
        <f>+IF(PROVEEDORES[[#This Row],[FECHA DE PAGO]]=PROVEEDORES[[#This Row],[FECHA DE FACTURACIÓN]],"DE CONTADO","CRÉDITO")</f>
        <v>CRÉDITO</v>
      </c>
      <c r="B825" s="38" t="b">
        <f>+IF((PROVEEDORES[[#This Row],[FECHA DE PAGO]]-PROVEEDORES[[#This Row],[FECHA DE FACTURACIÓN]])&gt;PROVEEDORES[[#This Row],[PLAZO Días]],"PAGO VENCIDO")</f>
        <v>0</v>
      </c>
      <c r="C825" s="20">
        <f>+VLOOKUP(PROVEEDORES[[#This Row],[PROVEEDOR]],TERCEROS_INFO[#All],2,FALSE)</f>
        <v>30</v>
      </c>
      <c r="D825" s="25">
        <f>+SUMIFS(PROVEEDORES[Total],PROVEEDORES[PROVEEDOR],PROVEEDORES[[#This Row],[PROVEEDOR]],PROVEEDORES[FECHA DE PAGO],"")</f>
        <v>0</v>
      </c>
      <c r="E825" s="25"/>
      <c r="F825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5" s="289">
        <v>45061</v>
      </c>
      <c r="H825" s="26" t="s">
        <v>406</v>
      </c>
      <c r="I825" s="289">
        <v>45047</v>
      </c>
      <c r="J825" s="35" t="s">
        <v>814</v>
      </c>
      <c r="K825" s="21">
        <v>1840056</v>
      </c>
      <c r="L825" s="21"/>
      <c r="M825" s="22">
        <f>(PROVEEDORES[[#This Row],[SUBTOTAL]]-PROVEEDORES[[#This Row],[descuento sobre subtotal]])*VLOOKUP(PROVEEDORES[[#This Row],[PROVEEDOR]],TERCEROS_INFO[#All],3,FALSE)</f>
        <v>0</v>
      </c>
      <c r="N825" s="23"/>
      <c r="O825" s="22">
        <v>105097</v>
      </c>
      <c r="P825" s="72">
        <f>+IF(PROVEEDORES[[#This Row],[SUBTOTAL]]&lt;PROVEEDORES[[#This Row],[base retencion]],0,PROVEEDORES[[#This Row],[retención aplicada]])</f>
        <v>0</v>
      </c>
      <c r="Q825" s="22">
        <f>+PROVEEDORES[[#This Row],[Rete Fuente %]]*(PROVEEDORES[[#This Row],[SUBTOTAL]]-PROVEEDORES[[#This Row],[descuento sobre subtotal]])</f>
        <v>0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5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1">
        <f ca="1">IF(PROVEEDORES[[#This Row],[FECHA DE PAGO]]=0,TODAY()-PROVEEDORES[[#This Row],[FECHA DE FACTURACIÓN]]-PROVEEDORES[[#This Row],[PLAZO Días]],0)</f>
        <v>0</v>
      </c>
      <c r="U825" s="97">
        <f>+VLOOKUP(PROVEEDORES[[#This Row],[PROVEEDOR]],Terceros!$A:$D,4,FALSE)</f>
        <v>0</v>
      </c>
      <c r="V825" s="98">
        <f>+YEAR(PROVEEDORES[[#This Row],[FECHA DE FACTURACIÓN]])</f>
        <v>2023</v>
      </c>
      <c r="W825" s="98">
        <f>+MATCH(PROVEEDORES[[#This Row],[año facturado]],Retenciones!$1:$1,0)</f>
        <v>6</v>
      </c>
      <c r="X825" s="99">
        <f>+VLOOKUP(PROVEEDORES[[#This Row],[ID RETENCION]],Retenciones!$A$1:$O$25,PROVEEDORES[[#This Row],[indicador de columna]],FALSE)</f>
        <v>0</v>
      </c>
      <c r="Y825" s="100">
        <f>+VLOOKUP(PROVEEDORES[[#This Row],[ID RETENCION]],Retenciones!$A$1:$O$25,2,FALSE)</f>
        <v>0</v>
      </c>
      <c r="Z825" s="103" t="b">
        <f>OR(COUNTIF(PROVEEDORES[[#This Row],[PROVEEDOR]],"*"&amp;'Palabra no opera'!$A$2&amp;"*"))</f>
        <v>1</v>
      </c>
    </row>
    <row r="826" spans="1:26" ht="22.35" customHeight="1" x14ac:dyDescent="0.25">
      <c r="A826" s="203" t="str">
        <f>+IF(PROVEEDORES[[#This Row],[FECHA DE PAGO]]=PROVEEDORES[[#This Row],[FECHA DE FACTURACIÓN]],"DE CONTADO","CRÉDITO")</f>
        <v>CRÉDITO</v>
      </c>
      <c r="B826" s="38" t="b">
        <f>+IF((PROVEEDORES[[#This Row],[FECHA DE PAGO]]-PROVEEDORES[[#This Row],[FECHA DE FACTURACIÓN]])&gt;PROVEEDORES[[#This Row],[PLAZO Días]],"PAGO VENCIDO")</f>
        <v>0</v>
      </c>
      <c r="C826" s="20">
        <f>+VLOOKUP(PROVEEDORES[[#This Row],[PROVEEDOR]],TERCEROS_INFO[#All],2,FALSE)</f>
        <v>30</v>
      </c>
      <c r="D826" s="25">
        <f>+SUMIFS(PROVEEDORES[Total],PROVEEDORES[PROVEEDOR],PROVEEDORES[[#This Row],[PROVEEDOR]],PROVEEDORES[FECHA DE PAGO],"")</f>
        <v>0</v>
      </c>
      <c r="E826" s="25"/>
      <c r="F826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6" s="289">
        <v>45093</v>
      </c>
      <c r="H826" s="26" t="s">
        <v>406</v>
      </c>
      <c r="I826" s="289">
        <v>45079</v>
      </c>
      <c r="J826" s="35" t="s">
        <v>877</v>
      </c>
      <c r="K826" s="21">
        <v>1840056</v>
      </c>
      <c r="L826" s="21"/>
      <c r="M826" s="22">
        <f>(PROVEEDORES[[#This Row],[SUBTOTAL]]-PROVEEDORES[[#This Row],[descuento sobre subtotal]])*VLOOKUP(PROVEEDORES[[#This Row],[PROVEEDOR]],TERCEROS_INFO[#All],3,FALSE)</f>
        <v>0</v>
      </c>
      <c r="N826" s="23"/>
      <c r="O826" s="22">
        <v>105097</v>
      </c>
      <c r="P826" s="72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6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1">
        <f ca="1">IF(PROVEEDORES[[#This Row],[FECHA DE PAGO]]=0,TODAY()-PROVEEDORES[[#This Row],[FECHA DE FACTURACIÓN]]-PROVEEDORES[[#This Row],[PLAZO Días]],0)</f>
        <v>0</v>
      </c>
      <c r="U826" s="97">
        <f>+VLOOKUP(PROVEEDORES[[#This Row],[PROVEEDOR]],Terceros!$A:$D,4,FALSE)</f>
        <v>0</v>
      </c>
      <c r="V826" s="98">
        <f>+YEAR(PROVEEDORES[[#This Row],[FECHA DE FACTURACIÓN]])</f>
        <v>2023</v>
      </c>
      <c r="W826" s="98">
        <f>+MATCH(PROVEEDORES[[#This Row],[año facturado]],Retenciones!$1:$1,0)</f>
        <v>6</v>
      </c>
      <c r="X826" s="99">
        <f>+VLOOKUP(PROVEEDORES[[#This Row],[ID RETENCION]],Retenciones!$A$1:$O$25,PROVEEDORES[[#This Row],[indicador de columna]],FALSE)</f>
        <v>0</v>
      </c>
      <c r="Y826" s="100">
        <f>+VLOOKUP(PROVEEDORES[[#This Row],[ID RETENCION]],Retenciones!$A$1:$O$25,2,FALSE)</f>
        <v>0</v>
      </c>
      <c r="Z826" s="103" t="b">
        <f>OR(COUNTIF(PROVEEDORES[[#This Row],[PROVEEDOR]],"*"&amp;'Palabra no opera'!$A$2&amp;"*"))</f>
        <v>1</v>
      </c>
    </row>
    <row r="827" spans="1:26" ht="22.35" customHeight="1" x14ac:dyDescent="0.25">
      <c r="A827" s="211" t="str">
        <f>+IF(PROVEEDORES[[#This Row],[FECHA DE PAGO]]=PROVEEDORES[[#This Row],[FECHA DE FACTURACIÓN]],"DE CONTADO","CRÉDITO")</f>
        <v>CRÉDITO</v>
      </c>
      <c r="B827" s="38" t="b">
        <f>+IF((PROVEEDORES[[#This Row],[FECHA DE PAGO]]-PROVEEDORES[[#This Row],[FECHA DE FACTURACIÓN]])&gt;PROVEEDORES[[#This Row],[PLAZO Días]],"PAGO VENCIDO")</f>
        <v>0</v>
      </c>
      <c r="C827" s="20">
        <f>+VLOOKUP(PROVEEDORES[[#This Row],[PROVEEDOR]],TERCEROS_INFO[#All],2,FALSE)</f>
        <v>30</v>
      </c>
      <c r="D827" s="25">
        <f>+SUMIFS(PROVEEDORES[Total],PROVEEDORES[PROVEEDOR],PROVEEDORES[[#This Row],[PROVEEDOR]],PROVEEDORES[FECHA DE PAGO],"")</f>
        <v>0</v>
      </c>
      <c r="E827" s="25"/>
      <c r="F827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7" s="289">
        <v>45124</v>
      </c>
      <c r="H827" s="26" t="s">
        <v>406</v>
      </c>
      <c r="I827" s="289">
        <v>45109</v>
      </c>
      <c r="J827" s="35" t="s">
        <v>938</v>
      </c>
      <c r="K827" s="21">
        <v>1840056</v>
      </c>
      <c r="L827" s="21"/>
      <c r="M827" s="22">
        <f>(PROVEEDORES[[#This Row],[SUBTOTAL]]-PROVEEDORES[[#This Row],[descuento sobre subtotal]])*VLOOKUP(PROVEEDORES[[#This Row],[PROVEEDOR]],TERCEROS_INFO[#All],3,FALSE)</f>
        <v>0</v>
      </c>
      <c r="N827" s="23"/>
      <c r="O827" s="22">
        <v>105097</v>
      </c>
      <c r="P827" s="72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7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1">
        <f ca="1">IF(PROVEEDORES[[#This Row],[FECHA DE PAGO]]=0,TODAY()-PROVEEDORES[[#This Row],[FECHA DE FACTURACIÓN]]-PROVEEDORES[[#This Row],[PLAZO Días]],0)</f>
        <v>0</v>
      </c>
      <c r="U827" s="97">
        <f>+VLOOKUP(PROVEEDORES[[#This Row],[PROVEEDOR]],Terceros!$A:$D,4,FALSE)</f>
        <v>0</v>
      </c>
      <c r="V827" s="98">
        <f>+YEAR(PROVEEDORES[[#This Row],[FECHA DE FACTURACIÓN]])</f>
        <v>2023</v>
      </c>
      <c r="W827" s="98">
        <f>+MATCH(PROVEEDORES[[#This Row],[año facturado]],Retenciones!$1:$1,0)</f>
        <v>6</v>
      </c>
      <c r="X827" s="99">
        <f>+VLOOKUP(PROVEEDORES[[#This Row],[ID RETENCION]],Retenciones!$A$1:$O$25,PROVEEDORES[[#This Row],[indicador de columna]],FALSE)</f>
        <v>0</v>
      </c>
      <c r="Y827" s="100">
        <f>+VLOOKUP(PROVEEDORES[[#This Row],[ID RETENCION]],Retenciones!$A$1:$O$25,2,FALSE)</f>
        <v>0</v>
      </c>
      <c r="Z827" s="103" t="b">
        <f>OR(COUNTIF(PROVEEDORES[[#This Row],[PROVEEDOR]],"*"&amp;'Palabra no opera'!$A$2&amp;"*"))</f>
        <v>1</v>
      </c>
    </row>
    <row r="828" spans="1:26" ht="22.35" customHeight="1" x14ac:dyDescent="0.25">
      <c r="A828" s="223" t="str">
        <f>+IF(PROVEEDORES[[#This Row],[FECHA DE PAGO]]=PROVEEDORES[[#This Row],[FECHA DE FACTURACIÓN]],"DE CONTADO","CRÉDITO")</f>
        <v>CRÉDITO</v>
      </c>
      <c r="B828" s="38" t="b">
        <f>+IF((PROVEEDORES[[#This Row],[FECHA DE PAGO]]-PROVEEDORES[[#This Row],[FECHA DE FACTURACIÓN]])&gt;PROVEEDORES[[#This Row],[PLAZO Días]],"PAGO VENCIDO")</f>
        <v>0</v>
      </c>
      <c r="C828" s="20">
        <f>+VLOOKUP(PROVEEDORES[[#This Row],[PROVEEDOR]],TERCEROS_INFO[#All],2,FALSE)</f>
        <v>30</v>
      </c>
      <c r="D828" s="25">
        <f>+SUMIFS(PROVEEDORES[Total],PROVEEDORES[PROVEEDOR],PROVEEDORES[[#This Row],[PROVEEDOR]],PROVEEDORES[FECHA DE PAGO],"")</f>
        <v>0</v>
      </c>
      <c r="E828" s="25"/>
      <c r="F828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8" s="289">
        <v>45154</v>
      </c>
      <c r="H828" s="26" t="s">
        <v>406</v>
      </c>
      <c r="I828" s="289">
        <v>45140</v>
      </c>
      <c r="J828" s="35" t="s">
        <v>1023</v>
      </c>
      <c r="K828" s="21">
        <v>1840056</v>
      </c>
      <c r="L828" s="21"/>
      <c r="M828" s="22">
        <f>(PROVEEDORES[[#This Row],[SUBTOTAL]]-PROVEEDORES[[#This Row],[descuento sobre subtotal]])*VLOOKUP(PROVEEDORES[[#This Row],[PROVEEDOR]],TERCEROS_INFO[#All],3,FALSE)</f>
        <v>0</v>
      </c>
      <c r="N828" s="23"/>
      <c r="O828" s="22">
        <v>105097</v>
      </c>
      <c r="P828" s="72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8" s="22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1">
        <f ca="1">IF(PROVEEDORES[[#This Row],[FECHA DE PAGO]]=0,TODAY()-PROVEEDORES[[#This Row],[FECHA DE FACTURACIÓN]]-PROVEEDORES[[#This Row],[PLAZO Días]],0)</f>
        <v>0</v>
      </c>
      <c r="U828" s="97">
        <f>+VLOOKUP(PROVEEDORES[[#This Row],[PROVEEDOR]],Terceros!$A:$D,4,FALSE)</f>
        <v>0</v>
      </c>
      <c r="V828" s="98">
        <f>+YEAR(PROVEEDORES[[#This Row],[FECHA DE FACTURACIÓN]])</f>
        <v>2023</v>
      </c>
      <c r="W828" s="98">
        <f>+MATCH(PROVEEDORES[[#This Row],[año facturado]],Retenciones!$1:$1,0)</f>
        <v>6</v>
      </c>
      <c r="X828" s="99">
        <f>+VLOOKUP(PROVEEDORES[[#This Row],[ID RETENCION]],Retenciones!$A$1:$O$25,PROVEEDORES[[#This Row],[indicador de columna]],FALSE)</f>
        <v>0</v>
      </c>
      <c r="Y828" s="100">
        <f>+VLOOKUP(PROVEEDORES[[#This Row],[ID RETENCION]],Retenciones!$A$1:$O$25,2,FALSE)</f>
        <v>0</v>
      </c>
      <c r="Z828" s="103" t="b">
        <f>OR(COUNTIF(PROVEEDORES[[#This Row],[PROVEEDOR]],"*"&amp;'Palabra no opera'!$A$2&amp;"*"))</f>
        <v>1</v>
      </c>
    </row>
    <row r="829" spans="1:26" ht="22.35" customHeight="1" x14ac:dyDescent="0.25">
      <c r="A829" s="231" t="str">
        <f>+IF(PROVEEDORES[[#This Row],[FECHA DE PAGO]]=PROVEEDORES[[#This Row],[FECHA DE FACTURACIÓN]],"DE CONTADO","CRÉDITO")</f>
        <v>CRÉDITO</v>
      </c>
      <c r="B829" s="38" t="b">
        <f>+IF((PROVEEDORES[[#This Row],[FECHA DE PAGO]]-PROVEEDORES[[#This Row],[FECHA DE FACTURACIÓN]])&gt;PROVEEDORES[[#This Row],[PLAZO Días]],"PAGO VENCIDO")</f>
        <v>0</v>
      </c>
      <c r="C829" s="20">
        <f>+VLOOKUP(PROVEEDORES[[#This Row],[PROVEEDOR]],TERCEROS_INFO[#All],2,FALSE)</f>
        <v>30</v>
      </c>
      <c r="D829" s="25">
        <f>+SUMIFS(PROVEEDORES[Total],PROVEEDORES[PROVEEDOR],PROVEEDORES[[#This Row],[PROVEEDOR]],PROVEEDORES[FECHA DE PAGO],"")</f>
        <v>0</v>
      </c>
      <c r="E829" s="25"/>
      <c r="F829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29" s="289">
        <v>45187</v>
      </c>
      <c r="H829" s="26" t="s">
        <v>406</v>
      </c>
      <c r="I829" s="289">
        <v>45171</v>
      </c>
      <c r="J829" s="35" t="s">
        <v>1086</v>
      </c>
      <c r="K829" s="21">
        <v>1840056</v>
      </c>
      <c r="L829" s="21"/>
      <c r="M829" s="22">
        <f>(PROVEEDORES[[#This Row],[SUBTOTAL]]-PROVEEDORES[[#This Row],[descuento sobre subtotal]])*VLOOKUP(PROVEEDORES[[#This Row],[PROVEEDOR]],TERCEROS_INFO[#All],3,FALSE)</f>
        <v>0</v>
      </c>
      <c r="N829" s="23"/>
      <c r="O829" s="22">
        <v>105097</v>
      </c>
      <c r="P829" s="72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29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1">
        <f ca="1">IF(PROVEEDORES[[#This Row],[FECHA DE PAGO]]=0,TODAY()-PROVEEDORES[[#This Row],[FECHA DE FACTURACIÓN]]-PROVEEDORES[[#This Row],[PLAZO Días]],0)</f>
        <v>0</v>
      </c>
      <c r="U829" s="97">
        <f>+VLOOKUP(PROVEEDORES[[#This Row],[PROVEEDOR]],Terceros!$A:$D,4,FALSE)</f>
        <v>0</v>
      </c>
      <c r="V829" s="98">
        <f>+YEAR(PROVEEDORES[[#This Row],[FECHA DE FACTURACIÓN]])</f>
        <v>2023</v>
      </c>
      <c r="W829" s="98">
        <f>+MATCH(PROVEEDORES[[#This Row],[año facturado]],Retenciones!$1:$1,0)</f>
        <v>6</v>
      </c>
      <c r="X829" s="99">
        <f>+VLOOKUP(PROVEEDORES[[#This Row],[ID RETENCION]],Retenciones!$A$1:$O$25,PROVEEDORES[[#This Row],[indicador de columna]],FALSE)</f>
        <v>0</v>
      </c>
      <c r="Y829" s="100">
        <f>+VLOOKUP(PROVEEDORES[[#This Row],[ID RETENCION]],Retenciones!$A$1:$O$25,2,FALSE)</f>
        <v>0</v>
      </c>
      <c r="Z829" s="103" t="b">
        <f>OR(COUNTIF(PROVEEDORES[[#This Row],[PROVEEDOR]],"*"&amp;'Palabra no opera'!$A$2&amp;"*"))</f>
        <v>1</v>
      </c>
    </row>
    <row r="830" spans="1:26" ht="22.35" customHeight="1" x14ac:dyDescent="0.25">
      <c r="A830" s="245" t="str">
        <f>+IF(PROVEEDORES[[#This Row],[FECHA DE PAGO]]=PROVEEDORES[[#This Row],[FECHA DE FACTURACIÓN]],"DE CONTADO","CRÉDITO")</f>
        <v>CRÉDITO</v>
      </c>
      <c r="B830" s="38" t="b">
        <f>+IF((PROVEEDORES[[#This Row],[FECHA DE PAGO]]-PROVEEDORES[[#This Row],[FECHA DE FACTURACIÓN]])&gt;PROVEEDORES[[#This Row],[PLAZO Días]],"PAGO VENCIDO")</f>
        <v>0</v>
      </c>
      <c r="C830" s="20">
        <f>+VLOOKUP(PROVEEDORES[[#This Row],[PROVEEDOR]],TERCEROS_INFO[#All],2,FALSE)</f>
        <v>30</v>
      </c>
      <c r="D830" s="25">
        <f>+SUMIFS(PROVEEDORES[Total],PROVEEDORES[PROVEEDOR],PROVEEDORES[[#This Row],[PROVEEDOR]],PROVEEDORES[FECHA DE PAGO],"")</f>
        <v>0</v>
      </c>
      <c r="E830" s="25"/>
      <c r="F830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30" s="289">
        <v>45218</v>
      </c>
      <c r="H830" s="26" t="s">
        <v>406</v>
      </c>
      <c r="I830" s="289">
        <v>45201</v>
      </c>
      <c r="J830" s="35" t="s">
        <v>1165</v>
      </c>
      <c r="K830" s="21">
        <v>1840056</v>
      </c>
      <c r="L830" s="21"/>
      <c r="M830" s="22">
        <f>(PROVEEDORES[[#This Row],[SUBTOTAL]]-PROVEEDORES[[#This Row],[descuento sobre subtotal]])*VLOOKUP(PROVEEDORES[[#This Row],[PROVEEDOR]],TERCEROS_INFO[#All],3,FALSE)</f>
        <v>0</v>
      </c>
      <c r="N830" s="23"/>
      <c r="O830" s="22">
        <v>105097</v>
      </c>
      <c r="P830" s="72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30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1">
        <f ca="1">IF(PROVEEDORES[[#This Row],[FECHA DE PAGO]]=0,TODAY()-PROVEEDORES[[#This Row],[FECHA DE FACTURACIÓN]]-PROVEEDORES[[#This Row],[PLAZO Días]],0)</f>
        <v>0</v>
      </c>
      <c r="U830" s="97">
        <f>+VLOOKUP(PROVEEDORES[[#This Row],[PROVEEDOR]],Terceros!$A:$D,4,FALSE)</f>
        <v>0</v>
      </c>
      <c r="V830" s="98">
        <f>+YEAR(PROVEEDORES[[#This Row],[FECHA DE FACTURACIÓN]])</f>
        <v>2023</v>
      </c>
      <c r="W830" s="98">
        <f>+MATCH(PROVEEDORES[[#This Row],[año facturado]],Retenciones!$1:$1,0)</f>
        <v>6</v>
      </c>
      <c r="X830" s="99">
        <f>+VLOOKUP(PROVEEDORES[[#This Row],[ID RETENCION]],Retenciones!$A$1:$O$25,PROVEEDORES[[#This Row],[indicador de columna]],FALSE)</f>
        <v>0</v>
      </c>
      <c r="Y830" s="100">
        <f>+VLOOKUP(PROVEEDORES[[#This Row],[ID RETENCION]],Retenciones!$A$1:$O$25,2,FALSE)</f>
        <v>0</v>
      </c>
      <c r="Z830" s="103" t="b">
        <f>OR(COUNTIF(PROVEEDORES[[#This Row],[PROVEEDOR]],"*"&amp;'Palabra no opera'!$A$2&amp;"*"))</f>
        <v>1</v>
      </c>
    </row>
    <row r="831" spans="1:26" ht="22.35" customHeight="1" x14ac:dyDescent="0.25">
      <c r="A831" s="245" t="str">
        <f>+IF(PROVEEDORES[[#This Row],[FECHA DE PAGO]]=PROVEEDORES[[#This Row],[FECHA DE FACTURACIÓN]],"DE CONTADO","CRÉDITO")</f>
        <v>DE CONTADO</v>
      </c>
      <c r="B831" s="38" t="b">
        <f>+IF((PROVEEDORES[[#This Row],[FECHA DE PAGO]]-PROVEEDORES[[#This Row],[FECHA DE FACTURACIÓN]])&gt;PROVEEDORES[[#This Row],[PLAZO Días]],"PAGO VENCIDO")</f>
        <v>0</v>
      </c>
      <c r="C831" s="20">
        <f>+VLOOKUP(PROVEEDORES[[#This Row],[PROVEEDOR]],TERCEROS_INFO[#All],2,FALSE)</f>
        <v>30</v>
      </c>
      <c r="D831" s="25">
        <f>+SUMIFS(PROVEEDORES[Total],PROVEEDORES[PROVEEDOR],PROVEEDORES[[#This Row],[PROVEEDOR]],PROVEEDORES[FECHA DE PAGO],"")</f>
        <v>0</v>
      </c>
      <c r="E831" s="25"/>
      <c r="F831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31" s="289">
        <v>45219</v>
      </c>
      <c r="H831" s="26" t="s">
        <v>406</v>
      </c>
      <c r="I831" s="289">
        <v>45219</v>
      </c>
      <c r="J831" s="35" t="s">
        <v>1176</v>
      </c>
      <c r="K831" s="21">
        <v>196317</v>
      </c>
      <c r="L831" s="21"/>
      <c r="M831" s="22">
        <f>(PROVEEDORES[[#This Row],[SUBTOTAL]]-PROVEEDORES[[#This Row],[descuento sobre subtotal]])*VLOOKUP(PROVEEDORES[[#This Row],[PROVEEDOR]],TERCEROS_INFO[#All],3,FALSE)</f>
        <v>0</v>
      </c>
      <c r="N831" s="23"/>
      <c r="O831" s="22">
        <f>+PROVEEDORES[[#This Row],[Descuento sobre subtotal %]]*(PROVEEDORES[[#This Row],[SUBTOTAL]]-PROVEEDORES[[#This Row],[descuento sobre subtotal]])</f>
        <v>0</v>
      </c>
      <c r="P831" s="72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196317</v>
      </c>
      <c r="S831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1">
        <f ca="1">IF(PROVEEDORES[[#This Row],[FECHA DE PAGO]]=0,TODAY()-PROVEEDORES[[#This Row],[FECHA DE FACTURACIÓN]]-PROVEEDORES[[#This Row],[PLAZO Días]],0)</f>
        <v>0</v>
      </c>
      <c r="U831" s="97">
        <f>+VLOOKUP(PROVEEDORES[[#This Row],[PROVEEDOR]],Terceros!$A:$D,4,FALSE)</f>
        <v>0</v>
      </c>
      <c r="V831" s="98">
        <f>+YEAR(PROVEEDORES[[#This Row],[FECHA DE FACTURACIÓN]])</f>
        <v>2023</v>
      </c>
      <c r="W831" s="98">
        <f>+MATCH(PROVEEDORES[[#This Row],[año facturado]],Retenciones!$1:$1,0)</f>
        <v>6</v>
      </c>
      <c r="X831" s="99">
        <f>+VLOOKUP(PROVEEDORES[[#This Row],[ID RETENCION]],Retenciones!$A$1:$O$25,PROVEEDORES[[#This Row],[indicador de columna]],FALSE)</f>
        <v>0</v>
      </c>
      <c r="Y831" s="100">
        <f>+VLOOKUP(PROVEEDORES[[#This Row],[ID RETENCION]],Retenciones!$A$1:$O$25,2,FALSE)</f>
        <v>0</v>
      </c>
      <c r="Z831" s="103" t="b">
        <f>OR(COUNTIF(PROVEEDORES[[#This Row],[PROVEEDOR]],"*"&amp;'Palabra no opera'!$A$2&amp;"*"))</f>
        <v>1</v>
      </c>
    </row>
    <row r="832" spans="1:26" ht="22.35" customHeight="1" x14ac:dyDescent="0.25">
      <c r="A832" s="65" t="str">
        <f>+IF(PROVEEDORES[[#This Row],[FECHA DE PAGO]]=PROVEEDORES[[#This Row],[FECHA DE FACTURACIÓN]],"DE CONTADO","CRÉDITO")</f>
        <v>CRÉDITO</v>
      </c>
      <c r="B832" s="38" t="b">
        <f>+IF((PROVEEDORES[[#This Row],[FECHA DE PAGO]]-PROVEEDORES[[#This Row],[FECHA DE FACTURACIÓN]])&gt;PROVEEDORES[[#This Row],[PLAZO Días]],"PAGO VENCIDO")</f>
        <v>0</v>
      </c>
      <c r="C832" s="20">
        <f>+VLOOKUP(PROVEEDORES[[#This Row],[PROVEEDOR]],TERCEROS_INFO[#All],2,FALSE)</f>
        <v>30</v>
      </c>
      <c r="D832" s="25">
        <f>+SUMIFS(PROVEEDORES[Total],PROVEEDORES[PROVEEDOR],PROVEEDORES[[#This Row],[PROVEEDOR]],PROVEEDORES[FECHA DE PAGO],"")</f>
        <v>0</v>
      </c>
      <c r="E832" s="25"/>
      <c r="F832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32" s="289">
        <v>45246</v>
      </c>
      <c r="H832" s="26" t="s">
        <v>406</v>
      </c>
      <c r="I832" s="289">
        <v>45232</v>
      </c>
      <c r="J832" s="35" t="s">
        <v>1250</v>
      </c>
      <c r="K832" s="21">
        <v>1840056</v>
      </c>
      <c r="L832" s="21"/>
      <c r="M832" s="22">
        <f>(PROVEEDORES[[#This Row],[SUBTOTAL]]-PROVEEDORES[[#This Row],[descuento sobre subtotal]])*VLOOKUP(PROVEEDORES[[#This Row],[PROVEEDOR]],TERCEROS_INFO[#All],3,FALSE)</f>
        <v>0</v>
      </c>
      <c r="N832" s="23"/>
      <c r="O832" s="22">
        <v>105097</v>
      </c>
      <c r="P832" s="72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1">
        <f ca="1">IF(PROVEEDORES[[#This Row],[FECHA DE PAGO]]=0,TODAY()-PROVEEDORES[[#This Row],[FECHA DE FACTURACIÓN]]-PROVEEDORES[[#This Row],[PLAZO Días]],0)</f>
        <v>0</v>
      </c>
      <c r="U832" s="97">
        <f>+VLOOKUP(PROVEEDORES[[#This Row],[PROVEEDOR]],Terceros!$A:$D,4,FALSE)</f>
        <v>0</v>
      </c>
      <c r="V832" s="98">
        <f>+YEAR(PROVEEDORES[[#This Row],[FECHA DE FACTURACIÓN]])</f>
        <v>2023</v>
      </c>
      <c r="W832" s="98">
        <f>+MATCH(PROVEEDORES[[#This Row],[año facturado]],Retenciones!$1:$1,0)</f>
        <v>6</v>
      </c>
      <c r="X832" s="99">
        <f>+VLOOKUP(PROVEEDORES[[#This Row],[ID RETENCION]],Retenciones!$A$1:$O$25,PROVEEDORES[[#This Row],[indicador de columna]],FALSE)</f>
        <v>0</v>
      </c>
      <c r="Y832" s="100">
        <f>+VLOOKUP(PROVEEDORES[[#This Row],[ID RETENCION]],Retenciones!$A$1:$O$25,2,FALSE)</f>
        <v>0</v>
      </c>
      <c r="Z832" s="103" t="b">
        <f>OR(COUNTIF(PROVEEDORES[[#This Row],[PROVEEDOR]],"*"&amp;'Palabra no opera'!$A$2&amp;"*"))</f>
        <v>1</v>
      </c>
    </row>
    <row r="833" spans="1:26" ht="22.35" customHeight="1" x14ac:dyDescent="0.25">
      <c r="A833" s="65" t="str">
        <f>+IF(PROVEEDORES[[#This Row],[FECHA DE PAGO]]=PROVEEDORES[[#This Row],[FECHA DE FACTURACIÓN]],"DE CONTADO","CRÉDITO")</f>
        <v>CRÉDITO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30</v>
      </c>
      <c r="D833" s="25">
        <f>+SUMIFS(PROVEEDORES[Total],PROVEEDORES[PROVEEDOR],PROVEEDORES[[#This Row],[PROVEEDOR]],PROVEEDORES[FECHA DE PAGO],"")</f>
        <v>0</v>
      </c>
      <c r="E833" s="25"/>
      <c r="F833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33" s="289">
        <v>45271</v>
      </c>
      <c r="H833" s="26" t="s">
        <v>406</v>
      </c>
      <c r="I833" s="289">
        <v>45261</v>
      </c>
      <c r="J833" s="35" t="s">
        <v>1363</v>
      </c>
      <c r="K833" s="21">
        <v>1840056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v>105097</v>
      </c>
      <c r="P833" s="72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1734959</v>
      </c>
      <c r="S8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1">
        <f ca="1">IF(PROVEEDORES[[#This Row],[FECHA DE PAGO]]=0,TODAY()-PROVEEDORES[[#This Row],[FECHA DE FACTURACIÓN]]-PROVEEDORES[[#This Row],[PLAZO Días]],0)</f>
        <v>0</v>
      </c>
      <c r="U833" s="97">
        <f>+VLOOKUP(PROVEEDORES[[#This Row],[PROVEEDOR]],Terceros!$A:$D,4,FALSE)</f>
        <v>0</v>
      </c>
      <c r="V833" s="98">
        <f>+YEAR(PROVEEDORES[[#This Row],[FECHA DE FACTURACIÓN]])</f>
        <v>2023</v>
      </c>
      <c r="W833" s="98">
        <f>+MATCH(PROVEEDORES[[#This Row],[año facturado]],Retenciones!$1:$1,0)</f>
        <v>6</v>
      </c>
      <c r="X833" s="99">
        <f>+VLOOKUP(PROVEEDORES[[#This Row],[ID RETENCION]],Retenciones!$A$1:$O$25,PROVEEDORES[[#This Row],[indicador de columna]],FALSE)</f>
        <v>0</v>
      </c>
      <c r="Y833" s="100">
        <f>+VLOOKUP(PROVEEDORES[[#This Row],[ID RETENCION]],Retenciones!$A$1:$O$25,2,FALSE)</f>
        <v>0</v>
      </c>
      <c r="Z833" s="103" t="b">
        <f>OR(COUNTIF(PROVEEDORES[[#This Row],[PROVEEDOR]],"*"&amp;'Palabra no opera'!$A$2&amp;"*"))</f>
        <v>1</v>
      </c>
    </row>
    <row r="834" spans="1:26" ht="22.35" customHeight="1" x14ac:dyDescent="0.25">
      <c r="A834" s="304" t="str">
        <f>+IF(PROVEEDORES[[#This Row],[FECHA DE PAGO]]=PROVEEDORES[[#This Row],[FECHA DE FACTURACIÓN]],"DE CONTADO","CRÉDITO")</f>
        <v>CRÉDITO</v>
      </c>
      <c r="B834" s="38" t="b">
        <f>+IF((PROVEEDORES[[#This Row],[FECHA DE PAGO]]-PROVEEDORES[[#This Row],[FECHA DE FACTURACIÓN]])&gt;PROVEEDORES[[#This Row],[PLAZO Días]],"PAGO VENCIDO")</f>
        <v>0</v>
      </c>
      <c r="C834" s="20">
        <f>+VLOOKUP(PROVEEDORES[[#This Row],[PROVEEDOR]],TERCEROS_INFO[#All],2,FALSE)</f>
        <v>30</v>
      </c>
      <c r="D834" s="25">
        <f>+SUMIFS(PROVEEDORES[Total],PROVEEDORES[PROVEEDOR],PROVEEDORES[[#This Row],[PROVEEDOR]],PROVEEDORES[FECHA DE PAGO],"")</f>
        <v>0</v>
      </c>
      <c r="E834" s="25"/>
      <c r="F834" s="56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34" s="289">
        <v>45307</v>
      </c>
      <c r="H834" s="26" t="s">
        <v>406</v>
      </c>
      <c r="I834" s="289">
        <v>45292</v>
      </c>
      <c r="J834" s="35" t="s">
        <v>1485</v>
      </c>
      <c r="K834" s="21">
        <v>2202761</v>
      </c>
      <c r="L834" s="21">
        <f>107886+311056</f>
        <v>418942</v>
      </c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72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1783819</v>
      </c>
      <c r="S834" s="3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1">
        <f ca="1">IF(PROVEEDORES[[#This Row],[FECHA DE PAGO]]=0,TODAY()-PROVEEDORES[[#This Row],[FECHA DE FACTURACIÓN]]-PROVEEDORES[[#This Row],[PLAZO Días]],0)</f>
        <v>0</v>
      </c>
      <c r="U834" s="97">
        <f>+VLOOKUP(PROVEEDORES[[#This Row],[PROVEEDOR]],Terceros!$A:$D,4,FALSE)</f>
        <v>0</v>
      </c>
      <c r="V834" s="98">
        <f>+YEAR(PROVEEDORES[[#This Row],[FECHA DE FACTURACIÓN]])</f>
        <v>2024</v>
      </c>
      <c r="W834" s="98">
        <f>+MATCH(PROVEEDORES[[#This Row],[año facturado]],Retenciones!$1:$1,0)</f>
        <v>7</v>
      </c>
      <c r="X834" s="99">
        <f>+VLOOKUP(PROVEEDORES[[#This Row],[ID RETENCION]],Retenciones!$A$1:$O$25,PROVEEDORES[[#This Row],[indicador de columna]],FALSE)</f>
        <v>0</v>
      </c>
      <c r="Y834" s="100">
        <f>+VLOOKUP(PROVEEDORES[[#This Row],[ID RETENCION]],Retenciones!$A$1:$O$25,2,FALSE)</f>
        <v>0</v>
      </c>
      <c r="Z834" s="103" t="b">
        <f>OR(COUNTIF(PROVEEDORES[[#This Row],[PROVEEDOR]],"*"&amp;'Palabra no opera'!$A$2&amp;"*"))</f>
        <v>1</v>
      </c>
    </row>
    <row r="835" spans="1:26" ht="22.35" customHeight="1" x14ac:dyDescent="0.25">
      <c r="A835" s="65" t="str">
        <f>+IF(PROVEEDORES[[#This Row],[FECHA DE PAGO]]=PROVEEDORES[[#This Row],[FECHA DE FACTURACIÓN]],"DE CONTADO","CRÉDITO")</f>
        <v>DE CONTADO</v>
      </c>
      <c r="B835" s="38" t="b">
        <f>+IF((PROVEEDORES[[#This Row],[FECHA DE PAGO]]-PROVEEDORES[[#This Row],[FECHA DE FACTURACIÓN]])&gt;PROVEEDORES[[#This Row],[PLAZO Días]],"PAGO VENCIDO")</f>
        <v>0</v>
      </c>
      <c r="C835" s="20">
        <f>+VLOOKUP(PROVEEDORES[[#This Row],[PROVEEDOR]],TERCEROS_INFO[#All],2,FALSE)</f>
        <v>0</v>
      </c>
      <c r="D835" s="25">
        <f>+SUMIFS(PROVEEDORES[Total],PROVEEDORES[PROVEEDOR],PROVEEDORES[[#This Row],[PROVEEDOR]],PROVEEDORES[FECHA DE PAGO],"")</f>
        <v>0</v>
      </c>
      <c r="E835" s="25"/>
      <c r="F835" s="56" t="str">
        <f>+VLOOKUP(PROVEEDORES[[#This Row],[PROVEEDOR]],
                       Terceros!$A:$F,
                       5,
                       FALSE)</f>
        <v>liauribe@une.net.co;girlesa.ruiz@servipilas.com;joriescobar64@gmail.com</v>
      </c>
      <c r="G835" s="289">
        <v>45273</v>
      </c>
      <c r="H835" s="26" t="s">
        <v>498</v>
      </c>
      <c r="I835" s="289">
        <v>45273</v>
      </c>
      <c r="J835" s="35" t="s">
        <v>501</v>
      </c>
      <c r="K835" s="21">
        <v>1500000</v>
      </c>
      <c r="L835" s="21"/>
      <c r="M835" s="22">
        <f>(PROVEEDORES[[#This Row],[SUBTOTAL]]-PROVEEDORES[[#This Row],[descuento sobre subtotal]])*VLOOKUP(PROVEEDORES[[#This Row],[PROVEEDOR]],TERCEROS_INFO[#All],3,FALSE)</f>
        <v>0</v>
      </c>
      <c r="N835" s="23"/>
      <c r="O835" s="22">
        <f>+PROVEEDORES[[#This Row],[Descuento sobre subtotal %]]*(PROVEEDORES[[#This Row],[SUBTOTAL]]-PROVEEDORES[[#This Row],[descuento sobre subtotal]])</f>
        <v>0</v>
      </c>
      <c r="P835" s="72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8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1">
        <f ca="1">IF(PROVEEDORES[[#This Row],[FECHA DE PAGO]]=0,TODAY()-PROVEEDORES[[#This Row],[FECHA DE FACTURACIÓN]]-PROVEEDORES[[#This Row],[PLAZO Días]],0)</f>
        <v>0</v>
      </c>
      <c r="U835" s="97">
        <f>+VLOOKUP(PROVEEDORES[[#This Row],[PROVEEDOR]],Terceros!$A:$D,4,FALSE)</f>
        <v>0</v>
      </c>
      <c r="V835" s="98">
        <f>+YEAR(PROVEEDORES[[#This Row],[FECHA DE FACTURACIÓN]])</f>
        <v>2023</v>
      </c>
      <c r="W835" s="98">
        <f>+MATCH(PROVEEDORES[[#This Row],[año facturado]],Retenciones!$1:$1,0)</f>
        <v>6</v>
      </c>
      <c r="X835" s="99">
        <f>+VLOOKUP(PROVEEDORES[[#This Row],[ID RETENCION]],Retenciones!$A$1:$O$25,PROVEEDORES[[#This Row],[indicador de columna]],FALSE)</f>
        <v>0</v>
      </c>
      <c r="Y835" s="100">
        <f>+VLOOKUP(PROVEEDORES[[#This Row],[ID RETENCION]],Retenciones!$A$1:$O$25,2,FALSE)</f>
        <v>0</v>
      </c>
      <c r="Z835" s="103" t="b">
        <f>OR(COUNTIF(PROVEEDORES[[#This Row],[PROVEEDOR]],"*"&amp;'Palabra no opera'!$A$2&amp;"*"))</f>
        <v>1</v>
      </c>
    </row>
    <row r="836" spans="1:26" ht="22.35" customHeight="1" x14ac:dyDescent="0.25">
      <c r="A836" s="65" t="str">
        <f>+IF(PROVEEDORES[[#This Row],[FECHA DE PAGO]]=PROVEEDORES[[#This Row],[FECHA DE FACTURACIÓN]],"DE CONTADO","CRÉDITO")</f>
        <v>DE CONTADO</v>
      </c>
      <c r="B836" s="38" t="b">
        <f>+IF((PROVEEDORES[[#This Row],[FECHA DE PAGO]]-PROVEEDORES[[#This Row],[FECHA DE FACTURACIÓN]])&gt;PROVEEDORES[[#This Row],[PLAZO Días]],"PAGO VENCIDO")</f>
        <v>0</v>
      </c>
      <c r="C836" s="20">
        <f>+VLOOKUP(PROVEEDORES[[#This Row],[PROVEEDOR]],TERCEROS_INFO[#All],2,FALSE)</f>
        <v>30</v>
      </c>
      <c r="D836" s="25">
        <f>+SUMIFS(PROVEEDORES[Total],PROVEEDORES[PROVEEDOR],PROVEEDORES[[#This Row],[PROVEEDOR]],PROVEEDORES[FECHA DE PAGO],"")</f>
        <v>0</v>
      </c>
      <c r="E836" s="25"/>
      <c r="F83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36" s="289">
        <v>44991</v>
      </c>
      <c r="H836" s="26" t="s">
        <v>93</v>
      </c>
      <c r="I836" s="289">
        <v>44991</v>
      </c>
      <c r="J836" s="35" t="s">
        <v>731</v>
      </c>
      <c r="K836" s="21">
        <v>1930000</v>
      </c>
      <c r="L836" s="21"/>
      <c r="M836" s="22">
        <f>(PROVEEDORES[[#This Row],[SUBTOTAL]]-PROVEEDORES[[#This Row],[descuento sobre subtotal]])*VLOOKUP(PROVEEDORES[[#This Row],[PROVEEDOR]],TERCEROS_INFO[#All],3,FALSE)</f>
        <v>0</v>
      </c>
      <c r="N836" s="23"/>
      <c r="O836" s="22">
        <f>+PROVEEDORES[[#This Row],[Descuento sobre subtotal %]]*(PROVEEDORES[[#This Row],[SUBTOTAL]]-PROVEEDORES[[#This Row],[descuento sobre subtotal]])</f>
        <v>0</v>
      </c>
      <c r="P836" s="72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1930000</v>
      </c>
      <c r="S8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1">
        <f ca="1">IF(PROVEEDORES[[#This Row],[FECHA DE PAGO]]=0,TODAY()-PROVEEDORES[[#This Row],[FECHA DE FACTURACIÓN]]-PROVEEDORES[[#This Row],[PLAZO Días]],0)</f>
        <v>0</v>
      </c>
      <c r="U836" s="97">
        <f>+VLOOKUP(PROVEEDORES[[#This Row],[PROVEEDOR]],Terceros!$A:$D,4,FALSE)</f>
        <v>0</v>
      </c>
      <c r="V836" s="98">
        <f>+YEAR(PROVEEDORES[[#This Row],[FECHA DE FACTURACIÓN]])</f>
        <v>2023</v>
      </c>
      <c r="W836" s="98">
        <f>+MATCH(PROVEEDORES[[#This Row],[año facturado]],Retenciones!$1:$1,0)</f>
        <v>6</v>
      </c>
      <c r="X836" s="99">
        <f>+VLOOKUP(PROVEEDORES[[#This Row],[ID RETENCION]],Retenciones!$A$1:$O$25,PROVEEDORES[[#This Row],[indicador de columna]],FALSE)</f>
        <v>0</v>
      </c>
      <c r="Y836" s="100">
        <f>+VLOOKUP(PROVEEDORES[[#This Row],[ID RETENCION]],Retenciones!$A$1:$O$25,2,FALSE)</f>
        <v>0</v>
      </c>
      <c r="Z836" s="103" t="b">
        <f>OR(COUNTIF(PROVEEDORES[[#This Row],[PROVEEDOR]],"*"&amp;'Palabra no opera'!$A$2&amp;"*"))</f>
        <v>0</v>
      </c>
    </row>
    <row r="837" spans="1:26" ht="22.35" customHeight="1" x14ac:dyDescent="0.25">
      <c r="A837" s="65" t="str">
        <f>+IF(PROVEEDORES[[#This Row],[FECHA DE PAGO]]=PROVEEDORES[[#This Row],[FECHA DE FACTURACIÓN]],"DE CONTADO","CRÉDITO")</f>
        <v>CRÉDITO</v>
      </c>
      <c r="B837" s="38" t="b">
        <f>+IF((PROVEEDORES[[#This Row],[FECHA DE PAGO]]-PROVEEDORES[[#This Row],[FECHA DE FACTURACIÓN]])&gt;PROVEEDORES[[#This Row],[PLAZO Días]],"PAGO VENCIDO")</f>
        <v>0</v>
      </c>
      <c r="C837" s="20">
        <f>+VLOOKUP(PROVEEDORES[[#This Row],[PROVEEDOR]],TERCEROS_INFO[#All],2,FALSE)</f>
        <v>30</v>
      </c>
      <c r="D837" s="25">
        <f>+SUMIFS(PROVEEDORES[Total],PROVEEDORES[PROVEEDOR],PROVEEDORES[[#This Row],[PROVEEDOR]],PROVEEDORES[FECHA DE PAGO],"")</f>
        <v>0</v>
      </c>
      <c r="E837" s="25"/>
      <c r="F837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37" s="289">
        <v>45031</v>
      </c>
      <c r="H837" s="26" t="s">
        <v>93</v>
      </c>
      <c r="I837" s="289">
        <v>45026</v>
      </c>
      <c r="J837" s="35" t="s">
        <v>732</v>
      </c>
      <c r="K837" s="21">
        <v>0</v>
      </c>
      <c r="L837" s="21"/>
      <c r="M837" s="22">
        <f>(PROVEEDORES[[#This Row],[SUBTOTAL]]-PROVEEDORES[[#This Row],[descuento sobre subtotal]])*VLOOKUP(PROVEEDORES[[#This Row],[PROVEEDOR]],TERCEROS_INFO[#All],3,FALSE)</f>
        <v>0</v>
      </c>
      <c r="N837" s="23"/>
      <c r="O837" s="22">
        <f>+PROVEEDORES[[#This Row],[Descuento sobre subtotal %]]*(PROVEEDORES[[#This Row],[SUBTOTAL]]-PROVEEDORES[[#This Row],[descuento sobre subtotal]])</f>
        <v>0</v>
      </c>
      <c r="P837" s="72">
        <f>+IF(PROVEEDORES[[#This Row],[SUBTOTAL]]&lt;PROVEEDORES[[#This Row],[base retencion]],0,PROVEEDORES[[#This Row],[retención aplicada]])</f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3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1">
        <f ca="1">IF(PROVEEDORES[[#This Row],[FECHA DE PAGO]]=0,TODAY()-PROVEEDORES[[#This Row],[FECHA DE FACTURACIÓN]]-PROVEEDORES[[#This Row],[PLAZO Días]],0)</f>
        <v>0</v>
      </c>
      <c r="U837" s="97">
        <f>+VLOOKUP(PROVEEDORES[[#This Row],[PROVEEDOR]],Terceros!$A:$D,4,FALSE)</f>
        <v>0</v>
      </c>
      <c r="V837" s="98">
        <f>+YEAR(PROVEEDORES[[#This Row],[FECHA DE FACTURACIÓN]])</f>
        <v>2023</v>
      </c>
      <c r="W837" s="98">
        <f>+MATCH(PROVEEDORES[[#This Row],[año facturado]],Retenciones!$1:$1,0)</f>
        <v>6</v>
      </c>
      <c r="X837" s="99">
        <f>+VLOOKUP(PROVEEDORES[[#This Row],[ID RETENCION]],Retenciones!$A$1:$O$25,PROVEEDORES[[#This Row],[indicador de columna]],FALSE)</f>
        <v>0</v>
      </c>
      <c r="Y837" s="100">
        <f>+VLOOKUP(PROVEEDORES[[#This Row],[ID RETENCION]],Retenciones!$A$1:$O$25,2,FALSE)</f>
        <v>0</v>
      </c>
      <c r="Z837" s="103" t="b">
        <f>OR(COUNTIF(PROVEEDORES[[#This Row],[PROVEEDOR]],"*"&amp;'Palabra no opera'!$A$2&amp;"*"))</f>
        <v>0</v>
      </c>
    </row>
    <row r="838" spans="1:26" ht="22.35" customHeight="1" x14ac:dyDescent="0.25">
      <c r="A838" s="65" t="str">
        <f>+IF(PROVEEDORES[[#This Row],[FECHA DE PAGO]]=PROVEEDORES[[#This Row],[FECHA DE FACTURACIÓN]],"DE CONTADO","CRÉDITO")</f>
        <v>CRÉDITO</v>
      </c>
      <c r="B838" s="38" t="b">
        <f>+IF((PROVEEDORES[[#This Row],[FECHA DE PAGO]]-PROVEEDORES[[#This Row],[FECHA DE FACTURACIÓN]])&gt;PROVEEDORES[[#This Row],[PLAZO Días]],"PAGO VENCIDO")</f>
        <v>0</v>
      </c>
      <c r="C838" s="20">
        <f>+VLOOKUP(PROVEEDORES[[#This Row],[PROVEEDOR]],TERCEROS_INFO[#All],2,FALSE)</f>
        <v>30</v>
      </c>
      <c r="D838" s="25">
        <f>+SUMIFS(PROVEEDORES[Total],PROVEEDORES[PROVEEDOR],PROVEEDORES[[#This Row],[PROVEEDOR]],PROVEEDORES[FECHA DE PAGO],"")</f>
        <v>0</v>
      </c>
      <c r="E838" s="25"/>
      <c r="F838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38" s="289">
        <v>45031</v>
      </c>
      <c r="H838" s="26" t="s">
        <v>93</v>
      </c>
      <c r="I838" s="289">
        <v>45026</v>
      </c>
      <c r="J838" s="35" t="s">
        <v>733</v>
      </c>
      <c r="K838" s="21">
        <v>16984</v>
      </c>
      <c r="L838" s="21"/>
      <c r="M838" s="22">
        <f>(PROVEEDORES[[#This Row],[SUBTOTAL]]-PROVEEDORES[[#This Row],[descuento sobre subtotal]])*VLOOKUP(PROVEEDORES[[#This Row],[PROVEEDOR]],TERCEROS_INFO[#All],3,FALSE)</f>
        <v>0</v>
      </c>
      <c r="N838" s="23"/>
      <c r="O838" s="22">
        <f>+PROVEEDORES[[#This Row],[Descuento sobre subtotal %]]*(PROVEEDORES[[#This Row],[SUBTOTAL]]-PROVEEDORES[[#This Row],[descuento sobre subtotal]])</f>
        <v>0</v>
      </c>
      <c r="P838" s="72">
        <f>+IF(PROVEEDORES[[#This Row],[SUBTOTAL]]&lt;PROVEEDORES[[#This Row],[base retencion]],0,PROVEEDORES[[#This Row],[retención aplicada]])</f>
        <v>0</v>
      </c>
      <c r="Q838" s="22">
        <f>+PROVEEDORES[[#This Row],[Rete Fuente %]]*(PROVEEDORES[[#This Row],[SUBTOTAL]]-PROVEEDORES[[#This Row],[descuento sobre subtotal]])</f>
        <v>0</v>
      </c>
      <c r="R838" s="21">
        <f>+PROVEEDORES[[#This Row],[SUBTOTAL]]+PROVEEDORES[[#This Row],[IVA 19%]]-PROVEEDORES[[#This Row],[descuento sobre subtotal]]-PROVEEDORES[[#This Row],[Descuento sobre subtotal $2]]-PROVEEDORES[[#This Row],[Rete Fuente $]]</f>
        <v>16984</v>
      </c>
      <c r="S8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1">
        <f ca="1">IF(PROVEEDORES[[#This Row],[FECHA DE PAGO]]=0,TODAY()-PROVEEDORES[[#This Row],[FECHA DE FACTURACIÓN]]-PROVEEDORES[[#This Row],[PLAZO Días]],0)</f>
        <v>0</v>
      </c>
      <c r="U838" s="97">
        <f>+VLOOKUP(PROVEEDORES[[#This Row],[PROVEEDOR]],Terceros!$A:$D,4,FALSE)</f>
        <v>0</v>
      </c>
      <c r="V838" s="98">
        <f>+YEAR(PROVEEDORES[[#This Row],[FECHA DE FACTURACIÓN]])</f>
        <v>2023</v>
      </c>
      <c r="W838" s="98">
        <f>+MATCH(PROVEEDORES[[#This Row],[año facturado]],Retenciones!$1:$1,0)</f>
        <v>6</v>
      </c>
      <c r="X838" s="99">
        <f>+VLOOKUP(PROVEEDORES[[#This Row],[ID RETENCION]],Retenciones!$A$1:$O$25,PROVEEDORES[[#This Row],[indicador de columna]],FALSE)</f>
        <v>0</v>
      </c>
      <c r="Y838" s="100">
        <f>+VLOOKUP(PROVEEDORES[[#This Row],[ID RETENCION]],Retenciones!$A$1:$O$25,2,FALSE)</f>
        <v>0</v>
      </c>
      <c r="Z838" s="103" t="b">
        <f>OR(COUNTIF(PROVEEDORES[[#This Row],[PROVEEDOR]],"*"&amp;'Palabra no opera'!$A$2&amp;"*"))</f>
        <v>0</v>
      </c>
    </row>
    <row r="839" spans="1:26" ht="22.35" customHeight="1" x14ac:dyDescent="0.25">
      <c r="A839" s="65" t="str">
        <f>+IF(PROVEEDORES[[#This Row],[FECHA DE PAGO]]=PROVEEDORES[[#This Row],[FECHA DE FACTURACIÓN]],"DE CONTADO","CRÉDITO")</f>
        <v>DE CONTADO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30</v>
      </c>
      <c r="D839" s="25">
        <f>+SUMIFS(PROVEEDORES[Total],PROVEEDORES[PROVEEDOR],PROVEEDORES[[#This Row],[PROVEEDOR]],PROVEEDORES[FECHA DE PAGO],"")</f>
        <v>0</v>
      </c>
      <c r="E839" s="25"/>
      <c r="F839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39" s="289">
        <v>45090</v>
      </c>
      <c r="H839" s="26" t="s">
        <v>93</v>
      </c>
      <c r="I839" s="289">
        <v>45090</v>
      </c>
      <c r="J839" s="35" t="s">
        <v>890</v>
      </c>
      <c r="K839" s="21">
        <v>1830000</v>
      </c>
      <c r="L839" s="21"/>
      <c r="M839" s="22">
        <f>(PROVEEDORES[[#This Row],[SUBTOTAL]]-PROVEEDORES[[#This Row],[descuento sobre subtotal]])*VLOOKUP(PROVEEDORES[[#This Row],[PROVEEDOR]],TERCEROS_INFO[#All],3,FALSE)</f>
        <v>0</v>
      </c>
      <c r="N839" s="23"/>
      <c r="O839" s="22">
        <f>+PROVEEDORES[[#This Row],[Descuento sobre subtotal %]]*(PROVEEDORES[[#This Row],[SUBTOTAL]]-PROVEEDORES[[#This Row],[descuento sobre subtotal]])</f>
        <v>0</v>
      </c>
      <c r="P839" s="72">
        <f>+IF(PROVEEDORES[[#This Row],[SUBTOTAL]]&lt;PROVEEDORES[[#This Row],[base retencion]],0,PROVEEDORES[[#This Row],[retención aplicada]])</f>
        <v>0</v>
      </c>
      <c r="Q839" s="22">
        <f>+PROVEEDORES[[#This Row],[Rete Fuente %]]*(PROVEEDORES[[#This Row],[SUBTOTAL]]-PROVEEDORES[[#This Row],[descuento sobre subtotal]])</f>
        <v>0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1830000</v>
      </c>
      <c r="S8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1">
        <f ca="1">IF(PROVEEDORES[[#This Row],[FECHA DE PAGO]]=0,TODAY()-PROVEEDORES[[#This Row],[FECHA DE FACTURACIÓN]]-PROVEEDORES[[#This Row],[PLAZO Días]],0)</f>
        <v>0</v>
      </c>
      <c r="U839" s="97">
        <f>+VLOOKUP(PROVEEDORES[[#This Row],[PROVEEDOR]],Terceros!$A:$D,4,FALSE)</f>
        <v>0</v>
      </c>
      <c r="V839" s="98">
        <f>+YEAR(PROVEEDORES[[#This Row],[FECHA DE FACTURACIÓN]])</f>
        <v>2023</v>
      </c>
      <c r="W839" s="98">
        <f>+MATCH(PROVEEDORES[[#This Row],[año facturado]],Retenciones!$1:$1,0)</f>
        <v>6</v>
      </c>
      <c r="X839" s="99">
        <f>+VLOOKUP(PROVEEDORES[[#This Row],[ID RETENCION]],Retenciones!$A$1:$O$25,PROVEEDORES[[#This Row],[indicador de columna]],FALSE)</f>
        <v>0</v>
      </c>
      <c r="Y839" s="100">
        <f>+VLOOKUP(PROVEEDORES[[#This Row],[ID RETENCION]],Retenciones!$A$1:$O$25,2,FALSE)</f>
        <v>0</v>
      </c>
      <c r="Z839" s="103" t="b">
        <f>OR(COUNTIF(PROVEEDORES[[#This Row],[PROVEEDOR]],"*"&amp;'Palabra no opera'!$A$2&amp;"*"))</f>
        <v>0</v>
      </c>
    </row>
    <row r="840" spans="1:26" ht="22.35" customHeight="1" x14ac:dyDescent="0.25">
      <c r="A840" s="203" t="str">
        <f>+IF(PROVEEDORES[[#This Row],[FECHA DE PAGO]]=PROVEEDORES[[#This Row],[FECHA DE FACTURACIÓN]],"DE CONTADO","CRÉDITO")</f>
        <v>CRÉDITO</v>
      </c>
      <c r="B840" s="38" t="str">
        <f>+IF((PROVEEDORES[[#This Row],[FECHA DE PAGO]]-PROVEEDORES[[#This Row],[FECHA DE FACTURACIÓN]])&gt;PROVEEDORES[[#This Row],[PLAZO Días]],"PAGO VENCIDO")</f>
        <v>PAGO VENCIDO</v>
      </c>
      <c r="C840" s="20">
        <f>+VLOOKUP(PROVEEDORES[[#This Row],[PROVEEDOR]],TERCEROS_INFO[#All],2,FALSE)</f>
        <v>30</v>
      </c>
      <c r="D840" s="25">
        <f>+SUMIFS(PROVEEDORES[Total],PROVEEDORES[PROVEEDOR],PROVEEDORES[[#This Row],[PROVEEDOR]],PROVEEDORES[FECHA DE PAGO],"")</f>
        <v>0</v>
      </c>
      <c r="E840" s="25"/>
      <c r="F840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0" s="289">
        <v>45133</v>
      </c>
      <c r="H840" s="26" t="s">
        <v>93</v>
      </c>
      <c r="I840" s="289">
        <v>45099</v>
      </c>
      <c r="J840" s="35" t="s">
        <v>891</v>
      </c>
      <c r="K840" s="21">
        <v>0</v>
      </c>
      <c r="L840" s="21"/>
      <c r="M840" s="22">
        <f>(PROVEEDORES[[#This Row],[SUBTOTAL]]-PROVEEDORES[[#This Row],[descuento sobre subtotal]])*VLOOKUP(PROVEEDORES[[#This Row],[PROVEEDOR]],TERCEROS_INFO[#All],3,FALSE)</f>
        <v>0</v>
      </c>
      <c r="N840" s="23"/>
      <c r="O840" s="22">
        <f>+PROVEEDORES[[#This Row],[Descuento sobre subtotal %]]*(PROVEEDORES[[#This Row],[SUBTOTAL]]-PROVEEDORES[[#This Row],[descuento sobre subtotal]])</f>
        <v>0</v>
      </c>
      <c r="P840" s="72">
        <f>+IF(PROVEEDORES[[#This Row],[SUBTOTAL]]&lt;PROVEEDORES[[#This Row],[base retencion]],0,PROVEEDORES[[#This Row],[retención aplicada]])</f>
        <v>0</v>
      </c>
      <c r="Q840" s="22">
        <f>+PROVEEDORES[[#This Row],[Rete Fuente %]]*(PROVEEDORES[[#This Row],[SUBTOTAL]]-PROVEEDORES[[#This Row],[descuento sobre subtotal]])</f>
        <v>0</v>
      </c>
      <c r="R84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40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1">
        <f ca="1">IF(PROVEEDORES[[#This Row],[FECHA DE PAGO]]=0,TODAY()-PROVEEDORES[[#This Row],[FECHA DE FACTURACIÓN]]-PROVEEDORES[[#This Row],[PLAZO Días]],0)</f>
        <v>0</v>
      </c>
      <c r="U840" s="97">
        <f>+VLOOKUP(PROVEEDORES[[#This Row],[PROVEEDOR]],Terceros!$A:$D,4,FALSE)</f>
        <v>0</v>
      </c>
      <c r="V840" s="98">
        <f>+YEAR(PROVEEDORES[[#This Row],[FECHA DE FACTURACIÓN]])</f>
        <v>2023</v>
      </c>
      <c r="W840" s="98">
        <f>+MATCH(PROVEEDORES[[#This Row],[año facturado]],Retenciones!$1:$1,0)</f>
        <v>6</v>
      </c>
      <c r="X840" s="99">
        <f>+VLOOKUP(PROVEEDORES[[#This Row],[ID RETENCION]],Retenciones!$A$1:$O$25,PROVEEDORES[[#This Row],[indicador de columna]],FALSE)</f>
        <v>0</v>
      </c>
      <c r="Y840" s="100">
        <f>+VLOOKUP(PROVEEDORES[[#This Row],[ID RETENCION]],Retenciones!$A$1:$O$25,2,FALSE)</f>
        <v>0</v>
      </c>
      <c r="Z840" s="103" t="b">
        <f>OR(COUNTIF(PROVEEDORES[[#This Row],[PROVEEDOR]],"*"&amp;'Palabra no opera'!$A$2&amp;"*"))</f>
        <v>0</v>
      </c>
    </row>
    <row r="841" spans="1:26" ht="22.35" customHeight="1" x14ac:dyDescent="0.25">
      <c r="A841" s="203" t="str">
        <f>+IF(PROVEEDORES[[#This Row],[FECHA DE PAGO]]=PROVEEDORES[[#This Row],[FECHA DE FACTURACIÓN]],"DE CONTADO","CRÉDITO")</f>
        <v>CRÉDITO</v>
      </c>
      <c r="B841" s="38" t="str">
        <f>+IF((PROVEEDORES[[#This Row],[FECHA DE PAGO]]-PROVEEDORES[[#This Row],[FECHA DE FACTURACIÓN]])&gt;PROVEEDORES[[#This Row],[PLAZO Días]],"PAGO VENCIDO")</f>
        <v>PAGO VENCIDO</v>
      </c>
      <c r="C841" s="20">
        <f>+VLOOKUP(PROVEEDORES[[#This Row],[PROVEEDOR]],TERCEROS_INFO[#All],2,FALSE)</f>
        <v>30</v>
      </c>
      <c r="D841" s="25">
        <f>+SUMIFS(PROVEEDORES[Total],PROVEEDORES[PROVEEDOR],PROVEEDORES[[#This Row],[PROVEEDOR]],PROVEEDORES[FECHA DE PAGO],"")</f>
        <v>0</v>
      </c>
      <c r="E841" s="25"/>
      <c r="F841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1" s="289">
        <v>45133</v>
      </c>
      <c r="H841" s="26" t="s">
        <v>93</v>
      </c>
      <c r="I841" s="289">
        <v>45099</v>
      </c>
      <c r="J841" s="35" t="s">
        <v>892</v>
      </c>
      <c r="K841" s="21">
        <v>116984</v>
      </c>
      <c r="L841" s="21"/>
      <c r="M841" s="22">
        <f>(PROVEEDORES[[#This Row],[SUBTOTAL]]-PROVEEDORES[[#This Row],[descuento sobre subtotal]])*VLOOKUP(PROVEEDORES[[#This Row],[PROVEEDOR]],TERCEROS_INFO[#All],3,FALSE)</f>
        <v>0</v>
      </c>
      <c r="N841" s="23"/>
      <c r="O841" s="22">
        <f>+PROVEEDORES[[#This Row],[Descuento sobre subtotal %]]*(PROVEEDORES[[#This Row],[SUBTOTAL]]-PROVEEDORES[[#This Row],[descuento sobre subtotal]])</f>
        <v>0</v>
      </c>
      <c r="P841" s="72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116984</v>
      </c>
      <c r="S841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1">
        <f ca="1">IF(PROVEEDORES[[#This Row],[FECHA DE PAGO]]=0,TODAY()-PROVEEDORES[[#This Row],[FECHA DE FACTURACIÓN]]-PROVEEDORES[[#This Row],[PLAZO Días]],0)</f>
        <v>0</v>
      </c>
      <c r="U841" s="97">
        <f>+VLOOKUP(PROVEEDORES[[#This Row],[PROVEEDOR]],Terceros!$A:$D,4,FALSE)</f>
        <v>0</v>
      </c>
      <c r="V841" s="98">
        <f>+YEAR(PROVEEDORES[[#This Row],[FECHA DE FACTURACIÓN]])</f>
        <v>2023</v>
      </c>
      <c r="W841" s="98">
        <f>+MATCH(PROVEEDORES[[#This Row],[año facturado]],Retenciones!$1:$1,0)</f>
        <v>6</v>
      </c>
      <c r="X841" s="99">
        <f>+VLOOKUP(PROVEEDORES[[#This Row],[ID RETENCION]],Retenciones!$A$1:$O$25,PROVEEDORES[[#This Row],[indicador de columna]],FALSE)</f>
        <v>0</v>
      </c>
      <c r="Y841" s="100">
        <f>+VLOOKUP(PROVEEDORES[[#This Row],[ID RETENCION]],Retenciones!$A$1:$O$25,2,FALSE)</f>
        <v>0</v>
      </c>
      <c r="Z841" s="103" t="b">
        <f>OR(COUNTIF(PROVEEDORES[[#This Row],[PROVEEDOR]],"*"&amp;'Palabra no opera'!$A$2&amp;"*"))</f>
        <v>0</v>
      </c>
    </row>
    <row r="842" spans="1:26" ht="22.35" customHeight="1" x14ac:dyDescent="0.25">
      <c r="A842" s="65" t="str">
        <f>+IF(PROVEEDORES[[#This Row],[FECHA DE PAGO]]=PROVEEDORES[[#This Row],[FECHA DE FACTURACIÓN]],"DE CONTADO","CRÉDITO")</f>
        <v>DE CONTADO</v>
      </c>
      <c r="B842" s="38" t="b">
        <f>+IF((PROVEEDORES[[#This Row],[FECHA DE PAGO]]-PROVEEDORES[[#This Row],[FECHA DE FACTURACIÓN]])&gt;PROVEEDORES[[#This Row],[PLAZO Días]],"PAGO VENCIDO")</f>
        <v>0</v>
      </c>
      <c r="C842" s="20">
        <f>+VLOOKUP(PROVEEDORES[[#This Row],[PROVEEDOR]],TERCEROS_INFO[#All],2,FALSE)</f>
        <v>30</v>
      </c>
      <c r="D842" s="25">
        <f>+SUMIFS(PROVEEDORES[Total],PROVEEDORES[PROVEEDOR],PROVEEDORES[[#This Row],[PROVEEDOR]],PROVEEDORES[FECHA DE PAGO],"")</f>
        <v>0</v>
      </c>
      <c r="E842" s="25"/>
      <c r="F842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2" s="289">
        <v>45259</v>
      </c>
      <c r="H842" s="26" t="s">
        <v>93</v>
      </c>
      <c r="I842" s="289">
        <v>45259</v>
      </c>
      <c r="J842" s="35" t="s">
        <v>1338</v>
      </c>
      <c r="K842" s="21">
        <v>2992242</v>
      </c>
      <c r="L842" s="21"/>
      <c r="M842" s="22">
        <f>(PROVEEDORES[[#This Row],[SUBTOTAL]]-PROVEEDORES[[#This Row],[descuento sobre subtotal]])*VLOOKUP(PROVEEDORES[[#This Row],[PROVEEDOR]],TERCEROS_INFO[#All],3,FALSE)</f>
        <v>0</v>
      </c>
      <c r="N842" s="23"/>
      <c r="O842" s="22">
        <f>+PROVEEDORES[[#This Row],[Descuento sobre subtotal %]]*(PROVEEDORES[[#This Row],[SUBTOTAL]]-PROVEEDORES[[#This Row],[descuento sobre subtotal]])</f>
        <v>0</v>
      </c>
      <c r="P842" s="72">
        <f>+IF(PROVEEDORES[[#This Row],[SUBTOTAL]]&lt;PROVEEDORES[[#This Row],[base retencion]],0,PROVEEDORES[[#This Row],[retención aplicada]])</f>
        <v>0</v>
      </c>
      <c r="Q842" s="22">
        <f>+PROVEEDORES[[#This Row],[Rete Fuente %]]*(PROVEEDORES[[#This Row],[SUBTOTAL]]-PROVEEDORES[[#This Row],[descuento sobre subtotal]])</f>
        <v>0</v>
      </c>
      <c r="R842" s="21">
        <f>+PROVEEDORES[[#This Row],[SUBTOTAL]]+PROVEEDORES[[#This Row],[IVA 19%]]-PROVEEDORES[[#This Row],[descuento sobre subtotal]]-PROVEEDORES[[#This Row],[Descuento sobre subtotal $2]]-PROVEEDORES[[#This Row],[Rete Fuente $]]</f>
        <v>2992242</v>
      </c>
      <c r="S84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1">
        <f ca="1">IF(PROVEEDORES[[#This Row],[FECHA DE PAGO]]=0,TODAY()-PROVEEDORES[[#This Row],[FECHA DE FACTURACIÓN]]-PROVEEDORES[[#This Row],[PLAZO Días]],0)</f>
        <v>0</v>
      </c>
      <c r="U842" s="97">
        <f>+VLOOKUP(PROVEEDORES[[#This Row],[PROVEEDOR]],Terceros!$A:$D,4,FALSE)</f>
        <v>0</v>
      </c>
      <c r="V842" s="98">
        <f>+YEAR(PROVEEDORES[[#This Row],[FECHA DE FACTURACIÓN]])</f>
        <v>2023</v>
      </c>
      <c r="W842" s="98">
        <f>+MATCH(PROVEEDORES[[#This Row],[año facturado]],Retenciones!$1:$1,0)</f>
        <v>6</v>
      </c>
      <c r="X842" s="99">
        <f>+VLOOKUP(PROVEEDORES[[#This Row],[ID RETENCION]],Retenciones!$A$1:$O$25,PROVEEDORES[[#This Row],[indicador de columna]],FALSE)</f>
        <v>0</v>
      </c>
      <c r="Y842" s="100">
        <f>+VLOOKUP(PROVEEDORES[[#This Row],[ID RETENCION]],Retenciones!$A$1:$O$25,2,FALSE)</f>
        <v>0</v>
      </c>
      <c r="Z842" s="103" t="b">
        <f>OR(COUNTIF(PROVEEDORES[[#This Row],[PROVEEDOR]],"*"&amp;'Palabra no opera'!$A$2&amp;"*"))</f>
        <v>0</v>
      </c>
    </row>
    <row r="843" spans="1:26" ht="22.35" customHeight="1" x14ac:dyDescent="0.25">
      <c r="A843" s="314" t="str">
        <f>+IF(PROVEEDORES[[#This Row],[FECHA DE PAGO]]=PROVEEDORES[[#This Row],[FECHA DE FACTURACIÓN]],"DE CONTADO","CRÉDITO")</f>
        <v>CRÉDITO</v>
      </c>
      <c r="B843" s="38" t="b">
        <f>+IF((PROVEEDORES[[#This Row],[FECHA DE PAGO]]-PROVEEDORES[[#This Row],[FECHA DE FACTURACIÓN]])&gt;PROVEEDORES[[#This Row],[PLAZO Días]],"PAGO VENCIDO")</f>
        <v>0</v>
      </c>
      <c r="C843" s="20">
        <f>+VLOOKUP(PROVEEDORES[[#This Row],[PROVEEDOR]],TERCEROS_INFO[#All],2,FALSE)</f>
        <v>30</v>
      </c>
      <c r="D843" s="25">
        <f>+SUMIFS(PROVEEDORES[Total],PROVEEDORES[PROVEEDOR],PROVEEDORES[[#This Row],[PROVEEDOR]],PROVEEDORES[FECHA DE PAGO],"")</f>
        <v>0</v>
      </c>
      <c r="E843" s="25"/>
      <c r="F843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3" s="289">
        <v>45322</v>
      </c>
      <c r="H843" s="26" t="s">
        <v>203</v>
      </c>
      <c r="I843" s="289">
        <v>45309</v>
      </c>
      <c r="J843" s="35" t="s">
        <v>1558</v>
      </c>
      <c r="K843" s="21">
        <v>209750</v>
      </c>
      <c r="L843" s="21"/>
      <c r="M843" s="22">
        <f>(PROVEEDORES[[#This Row],[SUBTOTAL]]-PROVEEDORES[[#This Row],[descuento sobre subtotal]])*VLOOKUP(PROVEEDORES[[#This Row],[PROVEEDOR]],TERCEROS_INFO[#All],3,FALSE)</f>
        <v>0</v>
      </c>
      <c r="N843" s="23"/>
      <c r="O843" s="22">
        <f>+PROVEEDORES[[#This Row],[Descuento sobre subtotal %]]*(PROVEEDORES[[#This Row],[SUBTOTAL]]-PROVEEDORES[[#This Row],[descuento sobre subtotal]])</f>
        <v>0</v>
      </c>
      <c r="P843" s="72">
        <f>+IF(PROVEEDORES[[#This Row],[SUBTOTAL]]&lt;PROVEEDORES[[#This Row],[base retencion]],0,PROVEEDORES[[#This Row],[retención aplicada]])</f>
        <v>0</v>
      </c>
      <c r="Q843" s="22">
        <f>+PROVEEDORES[[#This Row],[Rete Fuente %]]*(PROVEEDORES[[#This Row],[SUBTOTAL]]-PROVEEDORES[[#This Row],[descuento sobre subtotal]])</f>
        <v>0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209750</v>
      </c>
      <c r="S843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1">
        <f ca="1">IF(PROVEEDORES[[#This Row],[FECHA DE PAGO]]=0,TODAY()-PROVEEDORES[[#This Row],[FECHA DE FACTURACIÓN]]-PROVEEDORES[[#This Row],[PLAZO Días]],0)</f>
        <v>0</v>
      </c>
      <c r="U843" s="97">
        <f>+VLOOKUP(PROVEEDORES[[#This Row],[PROVEEDOR]],Terceros!$A:$D,4,FALSE)</f>
        <v>0</v>
      </c>
      <c r="V843" s="98">
        <f>+YEAR(PROVEEDORES[[#This Row],[FECHA DE FACTURACIÓN]])</f>
        <v>2024</v>
      </c>
      <c r="W843" s="98">
        <f>+MATCH(PROVEEDORES[[#This Row],[año facturado]],Retenciones!$1:$1,0)</f>
        <v>7</v>
      </c>
      <c r="X843" s="99">
        <f>+VLOOKUP(PROVEEDORES[[#This Row],[ID RETENCION]],Retenciones!$A$1:$O$25,PROVEEDORES[[#This Row],[indicador de columna]],FALSE)</f>
        <v>0</v>
      </c>
      <c r="Y843" s="100">
        <f>+VLOOKUP(PROVEEDORES[[#This Row],[ID RETENCION]],Retenciones!$A$1:$O$25,2,FALSE)</f>
        <v>0</v>
      </c>
      <c r="Z843" s="103" t="b">
        <f>OR(COUNTIF(PROVEEDORES[[#This Row],[PROVEEDOR]],"*"&amp;'Palabra no opera'!$A$2&amp;"*"))</f>
        <v>0</v>
      </c>
    </row>
    <row r="844" spans="1:26" ht="22.35" customHeight="1" x14ac:dyDescent="0.25">
      <c r="A844" s="65" t="str">
        <f>+IF(PROVEEDORES[[#This Row],[FECHA DE PAGO]]=PROVEEDORES[[#This Row],[FECHA DE FACTURACIÓN]],"DE CONTADO","CRÉDITO")</f>
        <v>DE CONTADO</v>
      </c>
      <c r="B844" s="38" t="b">
        <f>+IF((PROVEEDORES[[#This Row],[FECHA DE PAGO]]-PROVEEDORES[[#This Row],[FECHA DE FACTURACIÓN]])&gt;PROVEEDORES[[#This Row],[PLAZO Días]],"PAGO VENCIDO")</f>
        <v>0</v>
      </c>
      <c r="C844" s="20">
        <f>+VLOOKUP(PROVEEDORES[[#This Row],[PROVEEDOR]],TERCEROS_INFO[#All],2,FALSE)</f>
        <v>30</v>
      </c>
      <c r="D844" s="25">
        <f>+SUMIFS(PROVEEDORES[Total],PROVEEDORES[PROVEEDOR],PROVEEDORES[[#This Row],[PROVEEDOR]],PROVEEDORES[FECHA DE PAGO],"")</f>
        <v>0</v>
      </c>
      <c r="E844" s="25"/>
      <c r="F844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4" s="289">
        <v>44949</v>
      </c>
      <c r="H844" s="26" t="s">
        <v>203</v>
      </c>
      <c r="I844" s="289">
        <v>44949</v>
      </c>
      <c r="J844" s="35" t="s">
        <v>561</v>
      </c>
      <c r="K844" s="21">
        <v>2110000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72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2110000</v>
      </c>
      <c r="S84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1">
        <f ca="1">IF(PROVEEDORES[[#This Row],[FECHA DE PAGO]]=0,TODAY()-PROVEEDORES[[#This Row],[FECHA DE FACTURACIÓN]]-PROVEEDORES[[#This Row],[PLAZO Días]],0)</f>
        <v>0</v>
      </c>
      <c r="U844" s="97">
        <f>+VLOOKUP(PROVEEDORES[[#This Row],[PROVEEDOR]],Terceros!$A:$D,4,FALSE)</f>
        <v>0</v>
      </c>
      <c r="V844" s="98">
        <f>+YEAR(PROVEEDORES[[#This Row],[FECHA DE FACTURACIÓN]])</f>
        <v>2023</v>
      </c>
      <c r="W844" s="98">
        <f>+MATCH(PROVEEDORES[[#This Row],[año facturado]],Retenciones!$1:$1,0)</f>
        <v>6</v>
      </c>
      <c r="X844" s="99">
        <f>+VLOOKUP(PROVEEDORES[[#This Row],[ID RETENCION]],Retenciones!$A$1:$O$25,PROVEEDORES[[#This Row],[indicador de columna]],FALSE)</f>
        <v>0</v>
      </c>
      <c r="Y844" s="100">
        <f>+VLOOKUP(PROVEEDORES[[#This Row],[ID RETENCION]],Retenciones!$A$1:$O$25,2,FALSE)</f>
        <v>0</v>
      </c>
      <c r="Z844" s="103" t="b">
        <f>OR(COUNTIF(PROVEEDORES[[#This Row],[PROVEEDOR]],"*"&amp;'Palabra no opera'!$A$2&amp;"*"))</f>
        <v>0</v>
      </c>
    </row>
    <row r="845" spans="1:26" ht="22.35" customHeight="1" x14ac:dyDescent="0.25">
      <c r="A845" s="65" t="str">
        <f>+IF(PROVEEDORES[[#This Row],[FECHA DE PAGO]]=PROVEEDORES[[#This Row],[FECHA DE FACTURACIÓN]],"DE CONTADO","CRÉDITO")</f>
        <v>CRÉDITO</v>
      </c>
      <c r="B845" s="38" t="str">
        <f>+IF((PROVEEDORES[[#This Row],[FECHA DE PAGO]]-PROVEEDORES[[#This Row],[FECHA DE FACTURACIÓN]])&gt;PROVEEDORES[[#This Row],[PLAZO Días]],"PAGO VENCIDO")</f>
        <v>PAGO VENCIDO</v>
      </c>
      <c r="C845" s="20">
        <f>+VLOOKUP(PROVEEDORES[[#This Row],[PROVEEDOR]],TERCEROS_INFO[#All],2,FALSE)</f>
        <v>30</v>
      </c>
      <c r="D845" s="25">
        <f>+SUMIFS(PROVEEDORES[Total],PROVEEDORES[PROVEEDOR],PROVEEDORES[[#This Row],[PROVEEDOR]],PROVEEDORES[FECHA DE PAGO],"")</f>
        <v>0</v>
      </c>
      <c r="E845" s="25"/>
      <c r="F845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5" s="289">
        <v>45031</v>
      </c>
      <c r="H845" s="26" t="s">
        <v>203</v>
      </c>
      <c r="I845" s="289">
        <v>44957</v>
      </c>
      <c r="J845" s="35">
        <v>532</v>
      </c>
      <c r="K845" s="21">
        <v>67538</v>
      </c>
      <c r="L845" s="21"/>
      <c r="M845" s="22">
        <f>(PROVEEDORES[[#This Row],[SUBTOTAL]]-PROVEEDORES[[#This Row],[descuento sobre subtotal]])*VLOOKUP(PROVEEDORES[[#This Row],[PROVEEDOR]],TERCEROS_INFO[#All],3,FALSE)</f>
        <v>0</v>
      </c>
      <c r="N845" s="23"/>
      <c r="O845" s="22">
        <f>+PROVEEDORES[[#This Row],[Descuento sobre subtotal %]]*(PROVEEDORES[[#This Row],[SUBTOTAL]]-PROVEEDORES[[#This Row],[descuento sobre subtotal]])</f>
        <v>0</v>
      </c>
      <c r="P845" s="72">
        <f>+IF(PROVEEDORES[[#This Row],[SUBTOTAL]]&lt;PROVEEDORES[[#This Row],[base retencion]],0,PROVEEDORES[[#This Row],[retención aplicada]])</f>
        <v>0</v>
      </c>
      <c r="Q845" s="22">
        <f>+PROVEEDORES[[#This Row],[Rete Fuente %]]*(PROVEEDORES[[#This Row],[SUBTOTAL]]-PROVEEDORES[[#This Row],[descuento sobre subtotal]])</f>
        <v>0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67538</v>
      </c>
      <c r="S8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1">
        <f ca="1">IF(PROVEEDORES[[#This Row],[FECHA DE PAGO]]=0,TODAY()-PROVEEDORES[[#This Row],[FECHA DE FACTURACIÓN]]-PROVEEDORES[[#This Row],[PLAZO Días]],0)</f>
        <v>0</v>
      </c>
      <c r="U845" s="97">
        <f>+VLOOKUP(PROVEEDORES[[#This Row],[PROVEEDOR]],Terceros!$A:$D,4,FALSE)</f>
        <v>0</v>
      </c>
      <c r="V845" s="98">
        <f>+YEAR(PROVEEDORES[[#This Row],[FECHA DE FACTURACIÓN]])</f>
        <v>2023</v>
      </c>
      <c r="W845" s="98">
        <f>+MATCH(PROVEEDORES[[#This Row],[año facturado]],Retenciones!$1:$1,0)</f>
        <v>6</v>
      </c>
      <c r="X845" s="99">
        <f>+VLOOKUP(PROVEEDORES[[#This Row],[ID RETENCION]],Retenciones!$A$1:$O$25,PROVEEDORES[[#This Row],[indicador de columna]],FALSE)</f>
        <v>0</v>
      </c>
      <c r="Y845" s="100">
        <f>+VLOOKUP(PROVEEDORES[[#This Row],[ID RETENCION]],Retenciones!$A$1:$O$25,2,FALSE)</f>
        <v>0</v>
      </c>
      <c r="Z845" s="103" t="b">
        <f>OR(COUNTIF(PROVEEDORES[[#This Row],[PROVEEDOR]],"*"&amp;'Palabra no opera'!$A$2&amp;"*"))</f>
        <v>0</v>
      </c>
    </row>
    <row r="846" spans="1:26" ht="22.35" customHeight="1" x14ac:dyDescent="0.25">
      <c r="A846" s="164" t="str">
        <f>+IF(PROVEEDORES[[#This Row],[FECHA DE PAGO]]=PROVEEDORES[[#This Row],[FECHA DE FACTURACIÓN]],"DE CONTADO","CRÉDITO")</f>
        <v>DE CONTADO</v>
      </c>
      <c r="B846" s="38" t="b">
        <f>+IF((PROVEEDORES[[#This Row],[FECHA DE PAGO]]-PROVEEDORES[[#This Row],[FECHA DE FACTURACIÓN]])&gt;PROVEEDORES[[#This Row],[PLAZO Días]],"PAGO VENCIDO")</f>
        <v>0</v>
      </c>
      <c r="C846" s="20">
        <f>+VLOOKUP(PROVEEDORES[[#This Row],[PROVEEDOR]],TERCEROS_INFO[#All],2,FALSE)</f>
        <v>30</v>
      </c>
      <c r="D846" s="25">
        <f>+SUMIFS(PROVEEDORES[Total],PROVEEDORES[PROVEEDOR],PROVEEDORES[[#This Row],[PROVEEDOR]],PROVEEDORES[FECHA DE PAGO],"")</f>
        <v>0</v>
      </c>
      <c r="E846" s="25"/>
      <c r="F84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6" s="289">
        <v>45008</v>
      </c>
      <c r="H846" s="26" t="s">
        <v>203</v>
      </c>
      <c r="I846" s="289">
        <v>45008</v>
      </c>
      <c r="J846" s="35" t="s">
        <v>692</v>
      </c>
      <c r="K846" s="21">
        <v>1690000</v>
      </c>
      <c r="L846" s="21"/>
      <c r="M846" s="22">
        <f>(PROVEEDORES[[#This Row],[SUBTOTAL]]-PROVEEDORES[[#This Row],[descuento sobre subtotal]])*VLOOKUP(PROVEEDORES[[#This Row],[PROVEEDOR]],TERCEROS_INFO[#All],3,FALSE)</f>
        <v>0</v>
      </c>
      <c r="N846" s="23"/>
      <c r="O846" s="22">
        <f>+PROVEEDORES[[#This Row],[Descuento sobre subtotal %]]*(PROVEEDORES[[#This Row],[SUBTOTAL]]-PROVEEDORES[[#This Row],[descuento sobre subtotal]])</f>
        <v>0</v>
      </c>
      <c r="P846" s="72">
        <f>+IF(PROVEEDORES[[#This Row],[SUBTOTAL]]&lt;PROVEEDORES[[#This Row],[base retencion]],0,PROVEEDORES[[#This Row],[retención aplicada]])</f>
        <v>0</v>
      </c>
      <c r="Q846" s="22">
        <f>+PROVEEDORES[[#This Row],[Rete Fuente %]]*(PROVEEDORES[[#This Row],[SUBTOTAL]]-PROVEEDORES[[#This Row],[descuento sobre subtotal]])</f>
        <v>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1690000</v>
      </c>
      <c r="S846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1">
        <f ca="1">IF(PROVEEDORES[[#This Row],[FECHA DE PAGO]]=0,TODAY()-PROVEEDORES[[#This Row],[FECHA DE FACTURACIÓN]]-PROVEEDORES[[#This Row],[PLAZO Días]],0)</f>
        <v>0</v>
      </c>
      <c r="U846" s="97">
        <f>+VLOOKUP(PROVEEDORES[[#This Row],[PROVEEDOR]],Terceros!$A:$D,4,FALSE)</f>
        <v>0</v>
      </c>
      <c r="V846" s="98">
        <f>+YEAR(PROVEEDORES[[#This Row],[FECHA DE FACTURACIÓN]])</f>
        <v>2023</v>
      </c>
      <c r="W846" s="98">
        <f>+MATCH(PROVEEDORES[[#This Row],[año facturado]],Retenciones!$1:$1,0)</f>
        <v>6</v>
      </c>
      <c r="X846" s="99">
        <f>+VLOOKUP(PROVEEDORES[[#This Row],[ID RETENCION]],Retenciones!$A$1:$O$25,PROVEEDORES[[#This Row],[indicador de columna]],FALSE)</f>
        <v>0</v>
      </c>
      <c r="Y846" s="100">
        <f>+VLOOKUP(PROVEEDORES[[#This Row],[ID RETENCION]],Retenciones!$A$1:$O$25,2,FALSE)</f>
        <v>0</v>
      </c>
      <c r="Z846" s="103" t="b">
        <f>OR(COUNTIF(PROVEEDORES[[#This Row],[PROVEEDOR]],"*"&amp;'Palabra no opera'!$A$2&amp;"*"))</f>
        <v>0</v>
      </c>
    </row>
    <row r="847" spans="1:26" ht="22.35" customHeight="1" x14ac:dyDescent="0.25">
      <c r="A847" s="164" t="str">
        <f>+IF(PROVEEDORES[[#This Row],[FECHA DE PAGO]]=PROVEEDORES[[#This Row],[FECHA DE FACTURACIÓN]],"DE CONTADO","CRÉDITO")</f>
        <v>CRÉDITO</v>
      </c>
      <c r="B847" s="38" t="b">
        <f>+IF((PROVEEDORES[[#This Row],[FECHA DE PAGO]]-PROVEEDORES[[#This Row],[FECHA DE FACTURACIÓN]])&gt;PROVEEDORES[[#This Row],[PLAZO Días]],"PAGO VENCIDO")</f>
        <v>0</v>
      </c>
      <c r="C847" s="20">
        <f>+VLOOKUP(PROVEEDORES[[#This Row],[PROVEEDOR]],TERCEROS_INFO[#All],2,FALSE)</f>
        <v>30</v>
      </c>
      <c r="D847" s="25">
        <f>+SUMIFS(PROVEEDORES[Total],PROVEEDORES[PROVEEDOR],PROVEEDORES[[#This Row],[PROVEEDOR]],PROVEEDORES[FECHA DE PAGO],"")</f>
        <v>0</v>
      </c>
      <c r="E847" s="25"/>
      <c r="F847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7" s="289">
        <v>45031</v>
      </c>
      <c r="H847" s="26" t="s">
        <v>203</v>
      </c>
      <c r="I847" s="289">
        <v>45008</v>
      </c>
      <c r="J847" s="35">
        <v>559</v>
      </c>
      <c r="K847" s="21">
        <v>0</v>
      </c>
      <c r="L847" s="21"/>
      <c r="M847" s="22">
        <f>(PROVEEDORES[[#This Row],[SUBTOTAL]]-PROVEEDORES[[#This Row],[descuento sobre subtotal]])*VLOOKUP(PROVEEDORES[[#This Row],[PROVEEDOR]],TERCEROS_INFO[#All],3,FALSE)</f>
        <v>0</v>
      </c>
      <c r="N847" s="23"/>
      <c r="O847" s="22">
        <f>+PROVEEDORES[[#This Row],[Descuento sobre subtotal %]]*(PROVEEDORES[[#This Row],[SUBTOTAL]]-PROVEEDORES[[#This Row],[descuento sobre subtotal]])</f>
        <v>0</v>
      </c>
      <c r="P847" s="72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47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1">
        <f ca="1">IF(PROVEEDORES[[#This Row],[FECHA DE PAGO]]=0,TODAY()-PROVEEDORES[[#This Row],[FECHA DE FACTURACIÓN]]-PROVEEDORES[[#This Row],[PLAZO Días]],0)</f>
        <v>0</v>
      </c>
      <c r="U847" s="97">
        <f>+VLOOKUP(PROVEEDORES[[#This Row],[PROVEEDOR]],Terceros!$A:$D,4,FALSE)</f>
        <v>0</v>
      </c>
      <c r="V847" s="98">
        <f>+YEAR(PROVEEDORES[[#This Row],[FECHA DE FACTURACIÓN]])</f>
        <v>2023</v>
      </c>
      <c r="W847" s="98">
        <f>+MATCH(PROVEEDORES[[#This Row],[año facturado]],Retenciones!$1:$1,0)</f>
        <v>6</v>
      </c>
      <c r="X847" s="99">
        <f>+VLOOKUP(PROVEEDORES[[#This Row],[ID RETENCION]],Retenciones!$A$1:$O$25,PROVEEDORES[[#This Row],[indicador de columna]],FALSE)</f>
        <v>0</v>
      </c>
      <c r="Y847" s="100">
        <f>+VLOOKUP(PROVEEDORES[[#This Row],[ID RETENCION]],Retenciones!$A$1:$O$25,2,FALSE)</f>
        <v>0</v>
      </c>
      <c r="Z847" s="103" t="b">
        <f>OR(COUNTIF(PROVEEDORES[[#This Row],[PROVEEDOR]],"*"&amp;'Palabra no opera'!$A$2&amp;"*"))</f>
        <v>0</v>
      </c>
    </row>
    <row r="848" spans="1:26" ht="22.35" customHeight="1" x14ac:dyDescent="0.25">
      <c r="A848" s="164" t="str">
        <f>+IF(PROVEEDORES[[#This Row],[FECHA DE PAGO]]=PROVEEDORES[[#This Row],[FECHA DE FACTURACIÓN]],"DE CONTADO","CRÉDITO")</f>
        <v>CRÉDITO</v>
      </c>
      <c r="B848" s="38" t="b">
        <f>+IF((PROVEEDORES[[#This Row],[FECHA DE PAGO]]-PROVEEDORES[[#This Row],[FECHA DE FACTURACIÓN]])&gt;PROVEEDORES[[#This Row],[PLAZO Días]],"PAGO VENCIDO")</f>
        <v>0</v>
      </c>
      <c r="C848" s="20">
        <f>+VLOOKUP(PROVEEDORES[[#This Row],[PROVEEDOR]],TERCEROS_INFO[#All],2,FALSE)</f>
        <v>30</v>
      </c>
      <c r="D848" s="25">
        <f>+SUMIFS(PROVEEDORES[Total],PROVEEDORES[PROVEEDOR],PROVEEDORES[[#This Row],[PROVEEDOR]],PROVEEDORES[FECHA DE PAGO],"")</f>
        <v>0</v>
      </c>
      <c r="E848" s="25"/>
      <c r="F848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8" s="289">
        <v>45031</v>
      </c>
      <c r="H848" s="26" t="s">
        <v>203</v>
      </c>
      <c r="I848" s="289">
        <v>45009</v>
      </c>
      <c r="J848" s="35">
        <v>560</v>
      </c>
      <c r="K848" s="21">
        <v>32039</v>
      </c>
      <c r="L848" s="21"/>
      <c r="M848" s="22">
        <f>(PROVEEDORES[[#This Row],[SUBTOTAL]]-PROVEEDORES[[#This Row],[descuento sobre subtotal]])*VLOOKUP(PROVEEDORES[[#This Row],[PROVEEDOR]],TERCEROS_INFO[#All],3,FALSE)</f>
        <v>0</v>
      </c>
      <c r="N848" s="23"/>
      <c r="O848" s="22">
        <f>+PROVEEDORES[[#This Row],[Descuento sobre subtotal %]]*(PROVEEDORES[[#This Row],[SUBTOTAL]]-PROVEEDORES[[#This Row],[descuento sobre subtotal]])</f>
        <v>0</v>
      </c>
      <c r="P848" s="72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32039</v>
      </c>
      <c r="S848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1">
        <f ca="1">IF(PROVEEDORES[[#This Row],[FECHA DE PAGO]]=0,TODAY()-PROVEEDORES[[#This Row],[FECHA DE FACTURACIÓN]]-PROVEEDORES[[#This Row],[PLAZO Días]],0)</f>
        <v>0</v>
      </c>
      <c r="U848" s="97">
        <f>+VLOOKUP(PROVEEDORES[[#This Row],[PROVEEDOR]],Terceros!$A:$D,4,FALSE)</f>
        <v>0</v>
      </c>
      <c r="V848" s="98">
        <f>+YEAR(PROVEEDORES[[#This Row],[FECHA DE FACTURACIÓN]])</f>
        <v>2023</v>
      </c>
      <c r="W848" s="98">
        <f>+MATCH(PROVEEDORES[[#This Row],[año facturado]],Retenciones!$1:$1,0)</f>
        <v>6</v>
      </c>
      <c r="X848" s="99">
        <f>+VLOOKUP(PROVEEDORES[[#This Row],[ID RETENCION]],Retenciones!$A$1:$O$25,PROVEEDORES[[#This Row],[indicador de columna]],FALSE)</f>
        <v>0</v>
      </c>
      <c r="Y848" s="100">
        <f>+VLOOKUP(PROVEEDORES[[#This Row],[ID RETENCION]],Retenciones!$A$1:$O$25,2,FALSE)</f>
        <v>0</v>
      </c>
      <c r="Z848" s="103" t="b">
        <f>OR(COUNTIF(PROVEEDORES[[#This Row],[PROVEEDOR]],"*"&amp;'Palabra no opera'!$A$2&amp;"*"))</f>
        <v>0</v>
      </c>
    </row>
    <row r="849" spans="1:26" ht="22.35" customHeight="1" x14ac:dyDescent="0.25">
      <c r="A849" s="164" t="str">
        <f>+IF(PROVEEDORES[[#This Row],[FECHA DE PAGO]]=PROVEEDORES[[#This Row],[FECHA DE FACTURACIÓN]],"DE CONTADO","CRÉDITO")</f>
        <v>DE CONTADO</v>
      </c>
      <c r="B849" s="38" t="b">
        <f>+IF((PROVEEDORES[[#This Row],[FECHA DE PAGO]]-PROVEEDORES[[#This Row],[FECHA DE FACTURACIÓN]])&gt;PROVEEDORES[[#This Row],[PLAZO Días]],"PAGO VENCIDO")</f>
        <v>0</v>
      </c>
      <c r="C849" s="20">
        <f>+VLOOKUP(PROVEEDORES[[#This Row],[PROVEEDOR]],TERCEROS_INFO[#All],2,FALSE)</f>
        <v>30</v>
      </c>
      <c r="D849" s="25">
        <f>+SUMIFS(PROVEEDORES[Total],PROVEEDORES[PROVEEDOR],PROVEEDORES[[#This Row],[PROVEEDOR]],PROVEEDORES[FECHA DE PAGO],"")</f>
        <v>0</v>
      </c>
      <c r="E849" s="25"/>
      <c r="F849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49" s="289">
        <v>45020</v>
      </c>
      <c r="H849" s="26" t="s">
        <v>203</v>
      </c>
      <c r="I849" s="289">
        <v>45020</v>
      </c>
      <c r="J849" s="35" t="s">
        <v>725</v>
      </c>
      <c r="K849" s="21">
        <v>1800000</v>
      </c>
      <c r="L849" s="21"/>
      <c r="M849" s="22">
        <f>(PROVEEDORES[[#This Row],[SUBTOTAL]]-PROVEEDORES[[#This Row],[descuento sobre subtotal]])*VLOOKUP(PROVEEDORES[[#This Row],[PROVEEDOR]],TERCEROS_INFO[#All],3,FALSE)</f>
        <v>0</v>
      </c>
      <c r="N849" s="23"/>
      <c r="O849" s="22">
        <f>+PROVEEDORES[[#This Row],[Descuento sobre subtotal %]]*(PROVEEDORES[[#This Row],[SUBTOTAL]]-PROVEEDORES[[#This Row],[descuento sobre subtotal]])</f>
        <v>0</v>
      </c>
      <c r="P849" s="72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1800000</v>
      </c>
      <c r="S849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1">
        <f ca="1">IF(PROVEEDORES[[#This Row],[FECHA DE PAGO]]=0,TODAY()-PROVEEDORES[[#This Row],[FECHA DE FACTURACIÓN]]-PROVEEDORES[[#This Row],[PLAZO Días]],0)</f>
        <v>0</v>
      </c>
      <c r="U849" s="97">
        <f>+VLOOKUP(PROVEEDORES[[#This Row],[PROVEEDOR]],Terceros!$A:$D,4,FALSE)</f>
        <v>0</v>
      </c>
      <c r="V849" s="98">
        <f>+YEAR(PROVEEDORES[[#This Row],[FECHA DE FACTURACIÓN]])</f>
        <v>2023</v>
      </c>
      <c r="W849" s="98">
        <f>+MATCH(PROVEEDORES[[#This Row],[año facturado]],Retenciones!$1:$1,0)</f>
        <v>6</v>
      </c>
      <c r="X849" s="99">
        <f>+VLOOKUP(PROVEEDORES[[#This Row],[ID RETENCION]],Retenciones!$A$1:$O$25,PROVEEDORES[[#This Row],[indicador de columna]],FALSE)</f>
        <v>0</v>
      </c>
      <c r="Y849" s="100">
        <f>+VLOOKUP(PROVEEDORES[[#This Row],[ID RETENCION]],Retenciones!$A$1:$O$25,2,FALSE)</f>
        <v>0</v>
      </c>
      <c r="Z849" s="103" t="b">
        <f>OR(COUNTIF(PROVEEDORES[[#This Row],[PROVEEDOR]],"*"&amp;'Palabra no opera'!$A$2&amp;"*"))</f>
        <v>0</v>
      </c>
    </row>
    <row r="850" spans="1:26" ht="22.35" customHeight="1" x14ac:dyDescent="0.25">
      <c r="A850" s="65" t="str">
        <f>+IF(PROVEEDORES[[#This Row],[FECHA DE PAGO]]=PROVEEDORES[[#This Row],[FECHA DE FACTURACIÓN]],"DE CONTADO","CRÉDITO")</f>
        <v>CRÉDITO</v>
      </c>
      <c r="B850" s="38" t="b">
        <f>+IF((PROVEEDORES[[#This Row],[FECHA DE PAGO]]-PROVEEDORES[[#This Row],[FECHA DE FACTURACIÓN]])&gt;PROVEEDORES[[#This Row],[PLAZO Días]],"PAGO VENCIDO")</f>
        <v>0</v>
      </c>
      <c r="C850" s="20">
        <f>+VLOOKUP(PROVEEDORES[[#This Row],[PROVEEDOR]],TERCEROS_INFO[#All],2,FALSE)</f>
        <v>30</v>
      </c>
      <c r="D850" s="25">
        <f>+SUMIFS(PROVEEDORES[Total],PROVEEDORES[PROVEEDOR],PROVEEDORES[[#This Row],[PROVEEDOR]],PROVEEDORES[FECHA DE PAGO],"")</f>
        <v>0</v>
      </c>
      <c r="E850" s="25"/>
      <c r="F850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0" s="289">
        <v>45031</v>
      </c>
      <c r="H850" s="26" t="s">
        <v>203</v>
      </c>
      <c r="I850" s="289">
        <v>45022</v>
      </c>
      <c r="J850" s="135" t="s">
        <v>532</v>
      </c>
      <c r="K850" s="21">
        <v>-1008779</v>
      </c>
      <c r="L850" s="21"/>
      <c r="M850" s="22">
        <f>(PROVEEDORES[[#This Row],[SUBTOTAL]]-PROVEEDORES[[#This Row],[descuento sobre subtotal]])*VLOOKUP(PROVEEDORES[[#This Row],[PROVEEDOR]],TERCEROS_INFO[#All],3,FALSE)</f>
        <v>0</v>
      </c>
      <c r="N850" s="23"/>
      <c r="O850" s="22">
        <f>+PROVEEDORES[[#This Row],[Descuento sobre subtotal %]]*(PROVEEDORES[[#This Row],[SUBTOTAL]]-PROVEEDORES[[#This Row],[descuento sobre subtotal]])</f>
        <v>0</v>
      </c>
      <c r="P850" s="72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-1008779</v>
      </c>
      <c r="S8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1">
        <f ca="1">IF(PROVEEDORES[[#This Row],[FECHA DE PAGO]]=0,TODAY()-PROVEEDORES[[#This Row],[FECHA DE FACTURACIÓN]]-PROVEEDORES[[#This Row],[PLAZO Días]],0)</f>
        <v>0</v>
      </c>
      <c r="U850" s="97">
        <f>+VLOOKUP(PROVEEDORES[[#This Row],[PROVEEDOR]],Terceros!$A:$D,4,FALSE)</f>
        <v>0</v>
      </c>
      <c r="V850" s="98">
        <f>+YEAR(PROVEEDORES[[#This Row],[FECHA DE FACTURACIÓN]])</f>
        <v>2023</v>
      </c>
      <c r="W850" s="98">
        <f>+MATCH(PROVEEDORES[[#This Row],[año facturado]],Retenciones!$1:$1,0)</f>
        <v>6</v>
      </c>
      <c r="X850" s="99">
        <f>+VLOOKUP(PROVEEDORES[[#This Row],[ID RETENCION]],Retenciones!$A$1:$O$25,PROVEEDORES[[#This Row],[indicador de columna]],FALSE)</f>
        <v>0</v>
      </c>
      <c r="Y850" s="100">
        <f>+VLOOKUP(PROVEEDORES[[#This Row],[ID RETENCION]],Retenciones!$A$1:$O$25,2,FALSE)</f>
        <v>0</v>
      </c>
      <c r="Z850" s="103" t="b">
        <f>OR(COUNTIF(PROVEEDORES[[#This Row],[PROVEEDOR]],"*"&amp;'Palabra no opera'!$A$2&amp;"*"))</f>
        <v>0</v>
      </c>
    </row>
    <row r="851" spans="1:26" ht="22.35" customHeight="1" x14ac:dyDescent="0.25">
      <c r="A851" s="190" t="str">
        <f>+IF(PROVEEDORES[[#This Row],[FECHA DE PAGO]]=PROVEEDORES[[#This Row],[FECHA DE FACTURACIÓN]],"DE CONTADO","CRÉDITO")</f>
        <v>CRÉDITO</v>
      </c>
      <c r="B851" s="38" t="b">
        <f>+IF((PROVEEDORES[[#This Row],[FECHA DE PAGO]]-PROVEEDORES[[#This Row],[FECHA DE FACTURACIÓN]])&gt;PROVEEDORES[[#This Row],[PLAZO Días]],"PAGO VENCIDO")</f>
        <v>0</v>
      </c>
      <c r="C851" s="20">
        <f>+VLOOKUP(PROVEEDORES[[#This Row],[PROVEEDOR]],TERCEROS_INFO[#All],2,FALSE)</f>
        <v>30</v>
      </c>
      <c r="D851" s="25">
        <f>+SUMIFS(PROVEEDORES[Total],PROVEEDORES[PROVEEDOR],PROVEEDORES[[#This Row],[PROVEEDOR]],PROVEEDORES[FECHA DE PAGO],"")</f>
        <v>0</v>
      </c>
      <c r="E851" s="25"/>
      <c r="F851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1" s="289">
        <v>45031</v>
      </c>
      <c r="H851" s="26" t="s">
        <v>203</v>
      </c>
      <c r="I851" s="289">
        <v>45027</v>
      </c>
      <c r="J851" s="35" t="s">
        <v>723</v>
      </c>
      <c r="K851" s="21">
        <v>0</v>
      </c>
      <c r="L851" s="21"/>
      <c r="M851" s="22">
        <f>(PROVEEDORES[[#This Row],[SUBTOTAL]]-PROVEEDORES[[#This Row],[descuento sobre subtotal]])*VLOOKUP(PROVEEDORES[[#This Row],[PROVEEDOR]],TERCEROS_INFO[#All],3,FALSE)</f>
        <v>0</v>
      </c>
      <c r="N851" s="23"/>
      <c r="O851" s="22">
        <f>+PROVEEDORES[[#This Row],[Descuento sobre subtotal %]]*(PROVEEDORES[[#This Row],[SUBTOTAL]]-PROVEEDORES[[#This Row],[descuento sobre subtotal]])</f>
        <v>0</v>
      </c>
      <c r="P851" s="72">
        <f>+IF(PROVEEDORES[[#This Row],[SUBTOTAL]]&lt;PROVEEDORES[[#This Row],[base retencion]],0,PROVEEDORES[[#This Row],[retención aplicada]])</f>
        <v>0</v>
      </c>
      <c r="Q851" s="22">
        <f>+PROVEEDORES[[#This Row],[Rete Fuente %]]*(PROVEEDORES[[#This Row],[SUBTOTAL]]-PROVEEDORES[[#This Row],[descuento sobre subtotal]])</f>
        <v>0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51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1">
        <f ca="1">IF(PROVEEDORES[[#This Row],[FECHA DE PAGO]]=0,TODAY()-PROVEEDORES[[#This Row],[FECHA DE FACTURACIÓN]]-PROVEEDORES[[#This Row],[PLAZO Días]],0)</f>
        <v>0</v>
      </c>
      <c r="U851" s="97">
        <f>+VLOOKUP(PROVEEDORES[[#This Row],[PROVEEDOR]],Terceros!$A:$D,4,FALSE)</f>
        <v>0</v>
      </c>
      <c r="V851" s="98">
        <f>+YEAR(PROVEEDORES[[#This Row],[FECHA DE FACTURACIÓN]])</f>
        <v>2023</v>
      </c>
      <c r="W851" s="98">
        <f>+MATCH(PROVEEDORES[[#This Row],[año facturado]],Retenciones!$1:$1,0)</f>
        <v>6</v>
      </c>
      <c r="X851" s="99">
        <f>+VLOOKUP(PROVEEDORES[[#This Row],[ID RETENCION]],Retenciones!$A$1:$O$25,PROVEEDORES[[#This Row],[indicador de columna]],FALSE)</f>
        <v>0</v>
      </c>
      <c r="Y851" s="100">
        <f>+VLOOKUP(PROVEEDORES[[#This Row],[ID RETENCION]],Retenciones!$A$1:$O$25,2,FALSE)</f>
        <v>0</v>
      </c>
      <c r="Z851" s="103" t="b">
        <f>OR(COUNTIF(PROVEEDORES[[#This Row],[PROVEEDOR]],"*"&amp;'Palabra no opera'!$A$2&amp;"*"))</f>
        <v>0</v>
      </c>
    </row>
    <row r="852" spans="1:26" ht="22.35" customHeight="1" x14ac:dyDescent="0.25">
      <c r="A852" s="65" t="str">
        <f>+IF(PROVEEDORES[[#This Row],[FECHA DE PAGO]]=PROVEEDORES[[#This Row],[FECHA DE FACTURACIÓN]],"DE CONTADO","CRÉDITO")</f>
        <v>CRÉDITO</v>
      </c>
      <c r="B852" s="38" t="b">
        <f>+IF((PROVEEDORES[[#This Row],[FECHA DE PAGO]]-PROVEEDORES[[#This Row],[FECHA DE FACTURACIÓN]])&gt;PROVEEDORES[[#This Row],[PLAZO Días]],"PAGO VENCIDO")</f>
        <v>0</v>
      </c>
      <c r="C852" s="20">
        <f>+VLOOKUP(PROVEEDORES[[#This Row],[PROVEEDOR]],TERCEROS_INFO[#All],2,FALSE)</f>
        <v>30</v>
      </c>
      <c r="D852" s="25">
        <f>+SUMIFS(PROVEEDORES[Total],PROVEEDORES[PROVEEDOR],PROVEEDORES[[#This Row],[PROVEEDOR]],PROVEEDORES[FECHA DE PAGO],"")</f>
        <v>0</v>
      </c>
      <c r="E852" s="25"/>
      <c r="F852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2" s="289">
        <v>45031</v>
      </c>
      <c r="H852" s="26" t="s">
        <v>203</v>
      </c>
      <c r="I852" s="289">
        <v>45027</v>
      </c>
      <c r="J852" s="35" t="s">
        <v>724</v>
      </c>
      <c r="K852" s="21">
        <v>146984</v>
      </c>
      <c r="L852" s="21"/>
      <c r="M852" s="22">
        <f>(PROVEEDORES[[#This Row],[SUBTOTAL]]-PROVEEDORES[[#This Row],[descuento sobre subtotal]])*VLOOKUP(PROVEEDORES[[#This Row],[PROVEEDOR]],TERCEROS_INFO[#All],3,FALSE)</f>
        <v>0</v>
      </c>
      <c r="N852" s="23"/>
      <c r="O852" s="22">
        <f>+PROVEEDORES[[#This Row],[Descuento sobre subtotal %]]*(PROVEEDORES[[#This Row],[SUBTOTAL]]-PROVEEDORES[[#This Row],[descuento sobre subtotal]])</f>
        <v>0</v>
      </c>
      <c r="P852" s="72">
        <f>+IF(PROVEEDORES[[#This Row],[SUBTOTAL]]&lt;PROVEEDORES[[#This Row],[base retencion]],0,PROVEEDORES[[#This Row],[retención aplicada]])</f>
        <v>0</v>
      </c>
      <c r="Q852" s="22">
        <f>+PROVEEDORES[[#This Row],[Rete Fuente %]]*(PROVEEDORES[[#This Row],[SUBTOTAL]]-PROVEEDORES[[#This Row],[descuento sobre subtotal]])</f>
        <v>0</v>
      </c>
      <c r="R852" s="21">
        <f>+PROVEEDORES[[#This Row],[SUBTOTAL]]+PROVEEDORES[[#This Row],[IVA 19%]]-PROVEEDORES[[#This Row],[descuento sobre subtotal]]-PROVEEDORES[[#This Row],[Descuento sobre subtotal $2]]-PROVEEDORES[[#This Row],[Rete Fuente $]]</f>
        <v>146984</v>
      </c>
      <c r="S85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1">
        <f ca="1">IF(PROVEEDORES[[#This Row],[FECHA DE PAGO]]=0,TODAY()-PROVEEDORES[[#This Row],[FECHA DE FACTURACIÓN]]-PROVEEDORES[[#This Row],[PLAZO Días]],0)</f>
        <v>0</v>
      </c>
      <c r="U852" s="97">
        <f>+VLOOKUP(PROVEEDORES[[#This Row],[PROVEEDOR]],Terceros!$A:$D,4,FALSE)</f>
        <v>0</v>
      </c>
      <c r="V852" s="98">
        <f>+YEAR(PROVEEDORES[[#This Row],[FECHA DE FACTURACIÓN]])</f>
        <v>2023</v>
      </c>
      <c r="W852" s="98">
        <f>+MATCH(PROVEEDORES[[#This Row],[año facturado]],Retenciones!$1:$1,0)</f>
        <v>6</v>
      </c>
      <c r="X852" s="99">
        <f>+VLOOKUP(PROVEEDORES[[#This Row],[ID RETENCION]],Retenciones!$A$1:$O$25,PROVEEDORES[[#This Row],[indicador de columna]],FALSE)</f>
        <v>0</v>
      </c>
      <c r="Y852" s="100">
        <f>+VLOOKUP(PROVEEDORES[[#This Row],[ID RETENCION]],Retenciones!$A$1:$O$25,2,FALSE)</f>
        <v>0</v>
      </c>
      <c r="Z852" s="103" t="b">
        <f>OR(COUNTIF(PROVEEDORES[[#This Row],[PROVEEDOR]],"*"&amp;'Palabra no opera'!$A$2&amp;"*"))</f>
        <v>0</v>
      </c>
    </row>
    <row r="853" spans="1:26" ht="22.35" customHeight="1" x14ac:dyDescent="0.25">
      <c r="A853" s="192" t="str">
        <f>+IF(PROVEEDORES[[#This Row],[FECHA DE PAGO]]=PROVEEDORES[[#This Row],[FECHA DE FACTURACIÓN]],"DE CONTADO","CRÉDITO")</f>
        <v>DE CONTADO</v>
      </c>
      <c r="B853" s="38" t="b">
        <f>+IF((PROVEEDORES[[#This Row],[FECHA DE PAGO]]-PROVEEDORES[[#This Row],[FECHA DE FACTURACIÓN]])&gt;PROVEEDORES[[#This Row],[PLAZO Días]],"PAGO VENCIDO")</f>
        <v>0</v>
      </c>
      <c r="C853" s="20">
        <f>+VLOOKUP(PROVEEDORES[[#This Row],[PROVEEDOR]],TERCEROS_INFO[#All],2,FALSE)</f>
        <v>30</v>
      </c>
      <c r="D853" s="25">
        <f>+SUMIFS(PROVEEDORES[Total],PROVEEDORES[PROVEEDOR],PROVEEDORES[[#This Row],[PROVEEDOR]],PROVEEDORES[FECHA DE PAGO],"")</f>
        <v>0</v>
      </c>
      <c r="E853" s="25"/>
      <c r="F853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3" s="289">
        <v>45044</v>
      </c>
      <c r="H853" s="26" t="s">
        <v>203</v>
      </c>
      <c r="I853" s="289">
        <v>45044</v>
      </c>
      <c r="J853" s="35" t="s">
        <v>819</v>
      </c>
      <c r="K853" s="21">
        <v>1615000</v>
      </c>
      <c r="L853" s="21"/>
      <c r="M853" s="22">
        <f>(PROVEEDORES[[#This Row],[SUBTOTAL]]-PROVEEDORES[[#This Row],[descuento sobre subtotal]])*VLOOKUP(PROVEEDORES[[#This Row],[PROVEEDOR]],TERCEROS_INFO[#All],3,FALSE)</f>
        <v>0</v>
      </c>
      <c r="N853" s="23"/>
      <c r="O853" s="22">
        <f>+PROVEEDORES[[#This Row],[Descuento sobre subtotal %]]*(PROVEEDORES[[#This Row],[SUBTOTAL]]-PROVEEDORES[[#This Row],[descuento sobre subtotal]])</f>
        <v>0</v>
      </c>
      <c r="P853" s="72">
        <f>+IF(PROVEEDORES[[#This Row],[SUBTOTAL]]&lt;PROVEEDORES[[#This Row],[base retencion]],0,PROVEEDORES[[#This Row],[retención aplicada]])</f>
        <v>0</v>
      </c>
      <c r="Q853" s="22">
        <f>+PROVEEDORES[[#This Row],[Rete Fuente %]]*(PROVEEDORES[[#This Row],[SUBTOTAL]]-PROVEEDORES[[#This Row],[descuento sobre subtotal]])</f>
        <v>0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1615000</v>
      </c>
      <c r="S85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1">
        <f ca="1">IF(PROVEEDORES[[#This Row],[FECHA DE PAGO]]=0,TODAY()-PROVEEDORES[[#This Row],[FECHA DE FACTURACIÓN]]-PROVEEDORES[[#This Row],[PLAZO Días]],0)</f>
        <v>0</v>
      </c>
      <c r="U853" s="97">
        <f>+VLOOKUP(PROVEEDORES[[#This Row],[PROVEEDOR]],Terceros!$A:$D,4,FALSE)</f>
        <v>0</v>
      </c>
      <c r="V853" s="98">
        <f>+YEAR(PROVEEDORES[[#This Row],[FECHA DE FACTURACIÓN]])</f>
        <v>2023</v>
      </c>
      <c r="W853" s="98">
        <f>+MATCH(PROVEEDORES[[#This Row],[año facturado]],Retenciones!$1:$1,0)</f>
        <v>6</v>
      </c>
      <c r="X853" s="99">
        <f>+VLOOKUP(PROVEEDORES[[#This Row],[ID RETENCION]],Retenciones!$A$1:$O$25,PROVEEDORES[[#This Row],[indicador de columna]],FALSE)</f>
        <v>0</v>
      </c>
      <c r="Y853" s="100">
        <f>+VLOOKUP(PROVEEDORES[[#This Row],[ID RETENCION]],Retenciones!$A$1:$O$25,2,FALSE)</f>
        <v>0</v>
      </c>
      <c r="Z853" s="103" t="b">
        <f>OR(COUNTIF(PROVEEDORES[[#This Row],[PROVEEDOR]],"*"&amp;'Palabra no opera'!$A$2&amp;"*"))</f>
        <v>0</v>
      </c>
    </row>
    <row r="854" spans="1:26" ht="22.35" customHeight="1" x14ac:dyDescent="0.25">
      <c r="A854" s="192" t="str">
        <f>+IF(PROVEEDORES[[#This Row],[FECHA DE PAGO]]=PROVEEDORES[[#This Row],[FECHA DE FACTURACIÓN]],"DE CONTADO","CRÉDITO")</f>
        <v>DE CONTADO</v>
      </c>
      <c r="B854" s="38" t="b">
        <f>+IF((PROVEEDORES[[#This Row],[FECHA DE PAGO]]-PROVEEDORES[[#This Row],[FECHA DE FACTURACIÓN]])&gt;PROVEEDORES[[#This Row],[PLAZO Días]],"PAGO VENCIDO")</f>
        <v>0</v>
      </c>
      <c r="C854" s="20">
        <f>+VLOOKUP(PROVEEDORES[[#This Row],[PROVEEDOR]],TERCEROS_INFO[#All],2,FALSE)</f>
        <v>30</v>
      </c>
      <c r="D854" s="25">
        <f>+SUMIFS(PROVEEDORES[Total],PROVEEDORES[PROVEEDOR],PROVEEDORES[[#This Row],[PROVEEDOR]],PROVEEDORES[FECHA DE PAGO],"")</f>
        <v>0</v>
      </c>
      <c r="E854" s="25"/>
      <c r="F854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4" s="289">
        <v>45049</v>
      </c>
      <c r="H854" s="26" t="s">
        <v>203</v>
      </c>
      <c r="I854" s="289">
        <v>45049</v>
      </c>
      <c r="J854" s="35" t="s">
        <v>834</v>
      </c>
      <c r="K854" s="21">
        <v>1740000</v>
      </c>
      <c r="L854" s="21"/>
      <c r="M854" s="22">
        <f>(PROVEEDORES[[#This Row],[SUBTOTAL]]-PROVEEDORES[[#This Row],[descuento sobre subtotal]])*VLOOKUP(PROVEEDORES[[#This Row],[PROVEEDOR]],TERCEROS_INFO[#All],3,FALSE)</f>
        <v>0</v>
      </c>
      <c r="N854" s="23"/>
      <c r="O854" s="22">
        <f>+PROVEEDORES[[#This Row],[Descuento sobre subtotal %]]*(PROVEEDORES[[#This Row],[SUBTOTAL]]-PROVEEDORES[[#This Row],[descuento sobre subtotal]])</f>
        <v>0</v>
      </c>
      <c r="P854" s="72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1740000</v>
      </c>
      <c r="S85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1">
        <f ca="1">IF(PROVEEDORES[[#This Row],[FECHA DE PAGO]]=0,TODAY()-PROVEEDORES[[#This Row],[FECHA DE FACTURACIÓN]]-PROVEEDORES[[#This Row],[PLAZO Días]],0)</f>
        <v>0</v>
      </c>
      <c r="U854" s="97">
        <f>+VLOOKUP(PROVEEDORES[[#This Row],[PROVEEDOR]],Terceros!$A:$D,4,FALSE)</f>
        <v>0</v>
      </c>
      <c r="V854" s="98">
        <f>+YEAR(PROVEEDORES[[#This Row],[FECHA DE FACTURACIÓN]])</f>
        <v>2023</v>
      </c>
      <c r="W854" s="98">
        <f>+MATCH(PROVEEDORES[[#This Row],[año facturado]],Retenciones!$1:$1,0)</f>
        <v>6</v>
      </c>
      <c r="X854" s="99">
        <f>+VLOOKUP(PROVEEDORES[[#This Row],[ID RETENCION]],Retenciones!$A$1:$O$25,PROVEEDORES[[#This Row],[indicador de columna]],FALSE)</f>
        <v>0</v>
      </c>
      <c r="Y854" s="100">
        <f>+VLOOKUP(PROVEEDORES[[#This Row],[ID RETENCION]],Retenciones!$A$1:$O$25,2,FALSE)</f>
        <v>0</v>
      </c>
      <c r="Z854" s="103" t="b">
        <f>OR(COUNTIF(PROVEEDORES[[#This Row],[PROVEEDOR]],"*"&amp;'Palabra no opera'!$A$2&amp;"*"))</f>
        <v>0</v>
      </c>
    </row>
    <row r="855" spans="1:26" ht="22.35" customHeight="1" x14ac:dyDescent="0.25">
      <c r="A855" s="65" t="str">
        <f>+IF(PROVEEDORES[[#This Row],[FECHA DE PAGO]]=PROVEEDORES[[#This Row],[FECHA DE FACTURACIÓN]],"DE CONTADO","CRÉDITO")</f>
        <v>CRÉDITO</v>
      </c>
      <c r="B855" s="38" t="str">
        <f>+IF((PROVEEDORES[[#This Row],[FECHA DE PAGO]]-PROVEEDORES[[#This Row],[FECHA DE FACTURACIÓN]])&gt;PROVEEDORES[[#This Row],[PLAZO Días]],"PAGO VENCIDO")</f>
        <v>PAGO VENCIDO</v>
      </c>
      <c r="C855" s="20">
        <f>+VLOOKUP(PROVEEDORES[[#This Row],[PROVEEDOR]],TERCEROS_INFO[#All],2,FALSE)</f>
        <v>30</v>
      </c>
      <c r="D855" s="25">
        <f>+SUMIFS(PROVEEDORES[Total],PROVEEDORES[PROVEEDOR],PROVEEDORES[[#This Row],[PROVEEDOR]],PROVEEDORES[FECHA DE PAGO],"")</f>
        <v>0</v>
      </c>
      <c r="E855" s="25"/>
      <c r="F855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5" s="289">
        <v>45133</v>
      </c>
      <c r="H855" s="26" t="s">
        <v>203</v>
      </c>
      <c r="I855" s="289">
        <v>45056</v>
      </c>
      <c r="J855" s="35" t="s">
        <v>820</v>
      </c>
      <c r="K855" s="21">
        <v>0</v>
      </c>
      <c r="L855" s="21"/>
      <c r="M855" s="22">
        <f>(PROVEEDORES[[#This Row],[SUBTOTAL]]-PROVEEDORES[[#This Row],[descuento sobre subtotal]])*VLOOKUP(PROVEEDORES[[#This Row],[PROVEEDOR]],TERCEROS_INFO[#All],3,FALSE)</f>
        <v>0</v>
      </c>
      <c r="N855" s="23"/>
      <c r="O855" s="22">
        <f>+PROVEEDORES[[#This Row],[Descuento sobre subtotal %]]*(PROVEEDORES[[#This Row],[SUBTOTAL]]-PROVEEDORES[[#This Row],[descuento sobre subtotal]])</f>
        <v>0</v>
      </c>
      <c r="P855" s="72">
        <f>+IF(PROVEEDORES[[#This Row],[SUBTOTAL]]&lt;PROVEEDORES[[#This Row],[base retencion]],0,PROVEEDORES[[#This Row],[retención aplicada]])</f>
        <v>0</v>
      </c>
      <c r="Q855" s="22">
        <f>+PROVEEDORES[[#This Row],[Rete Fuente %]]*(PROVEEDORES[[#This Row],[SUBTOTAL]]-PROVEEDORES[[#This Row],[descuento sobre subtotal]])</f>
        <v>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5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1">
        <f ca="1">IF(PROVEEDORES[[#This Row],[FECHA DE PAGO]]=0,TODAY()-PROVEEDORES[[#This Row],[FECHA DE FACTURACIÓN]]-PROVEEDORES[[#This Row],[PLAZO Días]],0)</f>
        <v>0</v>
      </c>
      <c r="U855" s="97">
        <f>+VLOOKUP(PROVEEDORES[[#This Row],[PROVEEDOR]],Terceros!$A:$D,4,FALSE)</f>
        <v>0</v>
      </c>
      <c r="V855" s="98">
        <f>+YEAR(PROVEEDORES[[#This Row],[FECHA DE FACTURACIÓN]])</f>
        <v>2023</v>
      </c>
      <c r="W855" s="98">
        <f>+MATCH(PROVEEDORES[[#This Row],[año facturado]],Retenciones!$1:$1,0)</f>
        <v>6</v>
      </c>
      <c r="X855" s="99">
        <f>+VLOOKUP(PROVEEDORES[[#This Row],[ID RETENCION]],Retenciones!$A$1:$O$25,PROVEEDORES[[#This Row],[indicador de columna]],FALSE)</f>
        <v>0</v>
      </c>
      <c r="Y855" s="100">
        <f>+VLOOKUP(PROVEEDORES[[#This Row],[ID RETENCION]],Retenciones!$A$1:$O$25,2,FALSE)</f>
        <v>0</v>
      </c>
      <c r="Z855" s="103" t="b">
        <f>OR(COUNTIF(PROVEEDORES[[#This Row],[PROVEEDOR]],"*"&amp;'Palabra no opera'!$A$2&amp;"*"))</f>
        <v>0</v>
      </c>
    </row>
    <row r="856" spans="1:26" ht="22.35" customHeight="1" x14ac:dyDescent="0.25">
      <c r="A856" s="65" t="str">
        <f>+IF(PROVEEDORES[[#This Row],[FECHA DE PAGO]]=PROVEEDORES[[#This Row],[FECHA DE FACTURACIÓN]],"DE CONTADO","CRÉDITO")</f>
        <v>CRÉDITO</v>
      </c>
      <c r="B856" s="38" t="str">
        <f>+IF((PROVEEDORES[[#This Row],[FECHA DE PAGO]]-PROVEEDORES[[#This Row],[FECHA DE FACTURACIÓN]])&gt;PROVEEDORES[[#This Row],[PLAZO Días]],"PAGO VENCIDO")</f>
        <v>PAGO VENCIDO</v>
      </c>
      <c r="C856" s="20">
        <f>+VLOOKUP(PROVEEDORES[[#This Row],[PROVEEDOR]],TERCEROS_INFO[#All],2,FALSE)</f>
        <v>30</v>
      </c>
      <c r="D856" s="25">
        <f>+SUMIFS(PROVEEDORES[Total],PROVEEDORES[PROVEEDOR],PROVEEDORES[[#This Row],[PROVEEDOR]],PROVEEDORES[FECHA DE PAGO],"")</f>
        <v>0</v>
      </c>
      <c r="E856" s="25"/>
      <c r="F85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6" s="289">
        <v>45133</v>
      </c>
      <c r="H856" s="26" t="s">
        <v>203</v>
      </c>
      <c r="I856" s="289">
        <v>45056</v>
      </c>
      <c r="J856" s="35" t="s">
        <v>821</v>
      </c>
      <c r="K856" s="21">
        <v>216983</v>
      </c>
      <c r="L856" s="21"/>
      <c r="M856" s="22">
        <f>(PROVEEDORES[[#This Row],[SUBTOTAL]]-PROVEEDORES[[#This Row],[descuento sobre subtotal]])*VLOOKUP(PROVEEDORES[[#This Row],[PROVEEDOR]],TERCEROS_INFO[#All],3,FALSE)</f>
        <v>0</v>
      </c>
      <c r="N856" s="23"/>
      <c r="O856" s="22">
        <f>+PROVEEDORES[[#This Row],[Descuento sobre subtotal %]]*(PROVEEDORES[[#This Row],[SUBTOTAL]]-PROVEEDORES[[#This Row],[descuento sobre subtotal]])</f>
        <v>0</v>
      </c>
      <c r="P856" s="72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f>+PROVEEDORES[[#This Row],[SUBTOTAL]]+PROVEEDORES[[#This Row],[IVA 19%]]-PROVEEDORES[[#This Row],[descuento sobre subtotal]]-PROVEEDORES[[#This Row],[Descuento sobre subtotal $2]]-PROVEEDORES[[#This Row],[Rete Fuente $]]</f>
        <v>216983</v>
      </c>
      <c r="S85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1">
        <f ca="1">IF(PROVEEDORES[[#This Row],[FECHA DE PAGO]]=0,TODAY()-PROVEEDORES[[#This Row],[FECHA DE FACTURACIÓN]]-PROVEEDORES[[#This Row],[PLAZO Días]],0)</f>
        <v>0</v>
      </c>
      <c r="U856" s="97">
        <f>+VLOOKUP(PROVEEDORES[[#This Row],[PROVEEDOR]],Terceros!$A:$D,4,FALSE)</f>
        <v>0</v>
      </c>
      <c r="V856" s="98">
        <f>+YEAR(PROVEEDORES[[#This Row],[FECHA DE FACTURACIÓN]])</f>
        <v>2023</v>
      </c>
      <c r="W856" s="98">
        <f>+MATCH(PROVEEDORES[[#This Row],[año facturado]],Retenciones!$1:$1,0)</f>
        <v>6</v>
      </c>
      <c r="X856" s="99">
        <f>+VLOOKUP(PROVEEDORES[[#This Row],[ID RETENCION]],Retenciones!$A$1:$O$25,PROVEEDORES[[#This Row],[indicador de columna]],FALSE)</f>
        <v>0</v>
      </c>
      <c r="Y856" s="100">
        <f>+VLOOKUP(PROVEEDORES[[#This Row],[ID RETENCION]],Retenciones!$A$1:$O$25,2,FALSE)</f>
        <v>0</v>
      </c>
      <c r="Z856" s="103" t="b">
        <f>OR(COUNTIF(PROVEEDORES[[#This Row],[PROVEEDOR]],"*"&amp;'Palabra no opera'!$A$2&amp;"*"))</f>
        <v>0</v>
      </c>
    </row>
    <row r="857" spans="1:26" ht="22.35" customHeight="1" x14ac:dyDescent="0.25">
      <c r="A857" s="65" t="str">
        <f>+IF(PROVEEDORES[[#This Row],[FECHA DE PAGO]]=PROVEEDORES[[#This Row],[FECHA DE FACTURACIÓN]],"DE CONTADO","CRÉDITO")</f>
        <v>CRÉDITO</v>
      </c>
      <c r="B857" s="38" t="str">
        <f>+IF((PROVEEDORES[[#This Row],[FECHA DE PAGO]]-PROVEEDORES[[#This Row],[FECHA DE FACTURACIÓN]])&gt;PROVEEDORES[[#This Row],[PLAZO Días]],"PAGO VENCIDO")</f>
        <v>PAGO VENCIDO</v>
      </c>
      <c r="C857" s="20">
        <f>+VLOOKUP(PROVEEDORES[[#This Row],[PROVEEDOR]],TERCEROS_INFO[#All],2,FALSE)</f>
        <v>30</v>
      </c>
      <c r="D857" s="25">
        <f>+SUMIFS(PROVEEDORES[Total],PROVEEDORES[PROVEEDOR],PROVEEDORES[[#This Row],[PROVEEDOR]],PROVEEDORES[FECHA DE PAGO],"")</f>
        <v>0</v>
      </c>
      <c r="E857" s="25"/>
      <c r="F857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7" s="289">
        <v>45133</v>
      </c>
      <c r="H857" s="26" t="s">
        <v>203</v>
      </c>
      <c r="I857" s="289">
        <v>45061</v>
      </c>
      <c r="J857" s="35" t="s">
        <v>835</v>
      </c>
      <c r="K857" s="21">
        <v>0</v>
      </c>
      <c r="L857" s="21"/>
      <c r="M857" s="22">
        <f>(PROVEEDORES[[#This Row],[SUBTOTAL]]-PROVEEDORES[[#This Row],[descuento sobre subtotal]])*VLOOKUP(PROVEEDORES[[#This Row],[PROVEEDOR]],TERCEROS_INFO[#All],3,FALSE)</f>
        <v>0</v>
      </c>
      <c r="N857" s="23"/>
      <c r="O857" s="22">
        <f>+PROVEEDORES[[#This Row],[Descuento sobre subtotal %]]*(PROVEEDORES[[#This Row],[SUBTOTAL]]-PROVEEDORES[[#This Row],[descuento sobre subtotal]])</f>
        <v>0</v>
      </c>
      <c r="P857" s="72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1">
        <f ca="1">IF(PROVEEDORES[[#This Row],[FECHA DE PAGO]]=0,TODAY()-PROVEEDORES[[#This Row],[FECHA DE FACTURACIÓN]]-PROVEEDORES[[#This Row],[PLAZO Días]],0)</f>
        <v>0</v>
      </c>
      <c r="U857" s="97">
        <f>+VLOOKUP(PROVEEDORES[[#This Row],[PROVEEDOR]],Terceros!$A:$D,4,FALSE)</f>
        <v>0</v>
      </c>
      <c r="V857" s="98">
        <f>+YEAR(PROVEEDORES[[#This Row],[FECHA DE FACTURACIÓN]])</f>
        <v>2023</v>
      </c>
      <c r="W857" s="98">
        <f>+MATCH(PROVEEDORES[[#This Row],[año facturado]],Retenciones!$1:$1,0)</f>
        <v>6</v>
      </c>
      <c r="X857" s="99">
        <f>+VLOOKUP(PROVEEDORES[[#This Row],[ID RETENCION]],Retenciones!$A$1:$O$25,PROVEEDORES[[#This Row],[indicador de columna]],FALSE)</f>
        <v>0</v>
      </c>
      <c r="Y857" s="100">
        <f>+VLOOKUP(PROVEEDORES[[#This Row],[ID RETENCION]],Retenciones!$A$1:$O$25,2,FALSE)</f>
        <v>0</v>
      </c>
      <c r="Z857" s="103" t="b">
        <f>OR(COUNTIF(PROVEEDORES[[#This Row],[PROVEEDOR]],"*"&amp;'Palabra no opera'!$A$2&amp;"*"))</f>
        <v>0</v>
      </c>
    </row>
    <row r="858" spans="1:26" ht="22.35" customHeight="1" x14ac:dyDescent="0.25">
      <c r="A858" s="65" t="str">
        <f>+IF(PROVEEDORES[[#This Row],[FECHA DE PAGO]]=PROVEEDORES[[#This Row],[FECHA DE FACTURACIÓN]],"DE CONTADO","CRÉDITO")</f>
        <v>CRÉDITO</v>
      </c>
      <c r="B858" s="38" t="str">
        <f>+IF((PROVEEDORES[[#This Row],[FECHA DE PAGO]]-PROVEEDORES[[#This Row],[FECHA DE FACTURACIÓN]])&gt;PROVEEDORES[[#This Row],[PLAZO Días]],"PAGO VENCIDO")</f>
        <v>PAGO VENCIDO</v>
      </c>
      <c r="C858" s="20">
        <f>+VLOOKUP(PROVEEDORES[[#This Row],[PROVEEDOR]],TERCEROS_INFO[#All],2,FALSE)</f>
        <v>30</v>
      </c>
      <c r="D858" s="25">
        <f>+SUMIFS(PROVEEDORES[Total],PROVEEDORES[PROVEEDOR],PROVEEDORES[[#This Row],[PROVEEDOR]],PROVEEDORES[FECHA DE PAGO],"")</f>
        <v>0</v>
      </c>
      <c r="E858" s="25"/>
      <c r="F858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8" s="289">
        <v>45133</v>
      </c>
      <c r="H858" s="26" t="s">
        <v>203</v>
      </c>
      <c r="I858" s="289">
        <v>45061</v>
      </c>
      <c r="J858" s="35" t="s">
        <v>836</v>
      </c>
      <c r="K858" s="21">
        <v>0</v>
      </c>
      <c r="L858" s="21"/>
      <c r="M858" s="22">
        <f>(PROVEEDORES[[#This Row],[SUBTOTAL]]-PROVEEDORES[[#This Row],[descuento sobre subtotal]])*VLOOKUP(PROVEEDORES[[#This Row],[PROVEEDOR]],TERCEROS_INFO[#All],3,FALSE)</f>
        <v>0</v>
      </c>
      <c r="N858" s="23"/>
      <c r="O858" s="22">
        <f>+PROVEEDORES[[#This Row],[Descuento sobre subtotal %]]*(PROVEEDORES[[#This Row],[SUBTOTAL]]-PROVEEDORES[[#This Row],[descuento sobre subtotal]])</f>
        <v>0</v>
      </c>
      <c r="P858" s="72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1">
        <f ca="1">IF(PROVEEDORES[[#This Row],[FECHA DE PAGO]]=0,TODAY()-PROVEEDORES[[#This Row],[FECHA DE FACTURACIÓN]]-PROVEEDORES[[#This Row],[PLAZO Días]],0)</f>
        <v>0</v>
      </c>
      <c r="U858" s="97">
        <f>+VLOOKUP(PROVEEDORES[[#This Row],[PROVEEDOR]],Terceros!$A:$D,4,FALSE)</f>
        <v>0</v>
      </c>
      <c r="V858" s="98">
        <f>+YEAR(PROVEEDORES[[#This Row],[FECHA DE FACTURACIÓN]])</f>
        <v>2023</v>
      </c>
      <c r="W858" s="98">
        <f>+MATCH(PROVEEDORES[[#This Row],[año facturado]],Retenciones!$1:$1,0)</f>
        <v>6</v>
      </c>
      <c r="X858" s="99">
        <f>+VLOOKUP(PROVEEDORES[[#This Row],[ID RETENCION]],Retenciones!$A$1:$O$25,PROVEEDORES[[#This Row],[indicador de columna]],FALSE)</f>
        <v>0</v>
      </c>
      <c r="Y858" s="100">
        <f>+VLOOKUP(PROVEEDORES[[#This Row],[ID RETENCION]],Retenciones!$A$1:$O$25,2,FALSE)</f>
        <v>0</v>
      </c>
      <c r="Z858" s="103" t="b">
        <f>OR(COUNTIF(PROVEEDORES[[#This Row],[PROVEEDOR]],"*"&amp;'Palabra no opera'!$A$2&amp;"*"))</f>
        <v>0</v>
      </c>
    </row>
    <row r="859" spans="1:26" ht="22.35" customHeight="1" x14ac:dyDescent="0.25">
      <c r="A859" s="65" t="str">
        <f>+IF(PROVEEDORES[[#This Row],[FECHA DE PAGO]]=PROVEEDORES[[#This Row],[FECHA DE FACTURACIÓN]],"DE CONTADO","CRÉDITO")</f>
        <v>CRÉDITO</v>
      </c>
      <c r="B859" s="38" t="str">
        <f>+IF((PROVEEDORES[[#This Row],[FECHA DE PAGO]]-PROVEEDORES[[#This Row],[FECHA DE FACTURACIÓN]])&gt;PROVEEDORES[[#This Row],[PLAZO Días]],"PAGO VENCIDO")</f>
        <v>PAGO VENCIDO</v>
      </c>
      <c r="C859" s="20">
        <f>+VLOOKUP(PROVEEDORES[[#This Row],[PROVEEDOR]],TERCEROS_INFO[#All],2,FALSE)</f>
        <v>30</v>
      </c>
      <c r="D859" s="25">
        <f>+SUMIFS(PROVEEDORES[Total],PROVEEDORES[PROVEEDOR],PROVEEDORES[[#This Row],[PROVEEDOR]],PROVEEDORES[FECHA DE PAGO],"")</f>
        <v>0</v>
      </c>
      <c r="E859" s="25"/>
      <c r="F859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59" s="289">
        <v>45133</v>
      </c>
      <c r="H859" s="26" t="s">
        <v>203</v>
      </c>
      <c r="I859" s="289">
        <v>45061</v>
      </c>
      <c r="J859" s="35" t="s">
        <v>837</v>
      </c>
      <c r="K859" s="21">
        <v>-188821</v>
      </c>
      <c r="L859" s="21"/>
      <c r="M859" s="22">
        <f>(PROVEEDORES[[#This Row],[SUBTOTAL]]-PROVEEDORES[[#This Row],[descuento sobre subtotal]])*VLOOKUP(PROVEEDORES[[#This Row],[PROVEEDOR]],TERCEROS_INFO[#All],3,FALSE)</f>
        <v>0</v>
      </c>
      <c r="N859" s="23"/>
      <c r="O859" s="22">
        <f>+PROVEEDORES[[#This Row],[Descuento sobre subtotal %]]*(PROVEEDORES[[#This Row],[SUBTOTAL]]-PROVEEDORES[[#This Row],[descuento sobre subtotal]])</f>
        <v>0</v>
      </c>
      <c r="P859" s="72">
        <f>+IF(PROVEEDORES[[#This Row],[SUBTOTAL]]&lt;PROVEEDORES[[#This Row],[base retencion]],0,PROVEEDORES[[#This Row],[retención aplicada]])</f>
        <v>0</v>
      </c>
      <c r="Q859" s="22">
        <f>+PROVEEDORES[[#This Row],[Rete Fuente %]]*(PROVEEDORES[[#This Row],[SUBTOTAL]]-PROVEEDORES[[#This Row],[descuento sobre subtotal]])</f>
        <v>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-188821</v>
      </c>
      <c r="S8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1">
        <f ca="1">IF(PROVEEDORES[[#This Row],[FECHA DE PAGO]]=0,TODAY()-PROVEEDORES[[#This Row],[FECHA DE FACTURACIÓN]]-PROVEEDORES[[#This Row],[PLAZO Días]],0)</f>
        <v>0</v>
      </c>
      <c r="U859" s="97">
        <f>+VLOOKUP(PROVEEDORES[[#This Row],[PROVEEDOR]],Terceros!$A:$D,4,FALSE)</f>
        <v>0</v>
      </c>
      <c r="V859" s="98">
        <f>+YEAR(PROVEEDORES[[#This Row],[FECHA DE FACTURACIÓN]])</f>
        <v>2023</v>
      </c>
      <c r="W859" s="98">
        <f>+MATCH(PROVEEDORES[[#This Row],[año facturado]],Retenciones!$1:$1,0)</f>
        <v>6</v>
      </c>
      <c r="X859" s="99">
        <f>+VLOOKUP(PROVEEDORES[[#This Row],[ID RETENCION]],Retenciones!$A$1:$O$25,PROVEEDORES[[#This Row],[indicador de columna]],FALSE)</f>
        <v>0</v>
      </c>
      <c r="Y859" s="100">
        <f>+VLOOKUP(PROVEEDORES[[#This Row],[ID RETENCION]],Retenciones!$A$1:$O$25,2,FALSE)</f>
        <v>0</v>
      </c>
      <c r="Z859" s="103" t="b">
        <f>OR(COUNTIF(PROVEEDORES[[#This Row],[PROVEEDOR]],"*"&amp;'Palabra no opera'!$A$2&amp;"*"))</f>
        <v>0</v>
      </c>
    </row>
    <row r="860" spans="1:26" ht="22.35" customHeight="1" x14ac:dyDescent="0.25">
      <c r="A860" s="65" t="str">
        <f>+IF(PROVEEDORES[[#This Row],[FECHA DE PAGO]]=PROVEEDORES[[#This Row],[FECHA DE FACTURACIÓN]],"DE CONTADO","CRÉDITO")</f>
        <v>DE CONTADO</v>
      </c>
      <c r="B860" s="38" t="b">
        <f>+IF((PROVEEDORES[[#This Row],[FECHA DE PAGO]]-PROVEEDORES[[#This Row],[FECHA DE FACTURACIÓN]])&gt;PROVEEDORES[[#This Row],[PLAZO Días]],"PAGO VENCIDO")</f>
        <v>0</v>
      </c>
      <c r="C860" s="20">
        <f>+VLOOKUP(PROVEEDORES[[#This Row],[PROVEEDOR]],TERCEROS_INFO[#All],2,FALSE)</f>
        <v>30</v>
      </c>
      <c r="D860" s="25">
        <f>+SUMIFS(PROVEEDORES[Total],PROVEEDORES[PROVEEDOR],PROVEEDORES[[#This Row],[PROVEEDOR]],PROVEEDORES[FECHA DE PAGO],"")</f>
        <v>0</v>
      </c>
      <c r="E860" s="25"/>
      <c r="F860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0" s="289">
        <v>45098</v>
      </c>
      <c r="H860" s="26" t="s">
        <v>203</v>
      </c>
      <c r="I860" s="289">
        <v>45098</v>
      </c>
      <c r="J860" s="35" t="s">
        <v>883</v>
      </c>
      <c r="K860" s="21">
        <v>1632000</v>
      </c>
      <c r="L860" s="21"/>
      <c r="M860" s="22">
        <f>(PROVEEDORES[[#This Row],[SUBTOTAL]]-PROVEEDORES[[#This Row],[descuento sobre subtotal]])*VLOOKUP(PROVEEDORES[[#This Row],[PROVEEDOR]],TERCEROS_INFO[#All],3,FALSE)</f>
        <v>0</v>
      </c>
      <c r="N860" s="23"/>
      <c r="O860" s="22">
        <f>+PROVEEDORES[[#This Row],[Descuento sobre subtotal %]]*(PROVEEDORES[[#This Row],[SUBTOTAL]]-PROVEEDORES[[#This Row],[descuento sobre subtotal]])</f>
        <v>0</v>
      </c>
      <c r="P860" s="72">
        <f>+IF(PROVEEDORES[[#This Row],[SUBTOTAL]]&lt;PROVEEDORES[[#This Row],[base retencion]],0,PROVEEDORES[[#This Row],[retención aplicada]])</f>
        <v>0</v>
      </c>
      <c r="Q860" s="22">
        <f>+PROVEEDORES[[#This Row],[Rete Fuente %]]*(PROVEEDORES[[#This Row],[SUBTOTAL]]-PROVEEDORES[[#This Row],[descuento sobre subtotal]])</f>
        <v>0</v>
      </c>
      <c r="R860" s="21">
        <f>+PROVEEDORES[[#This Row],[SUBTOTAL]]+PROVEEDORES[[#This Row],[IVA 19%]]-PROVEEDORES[[#This Row],[descuento sobre subtotal]]-PROVEEDORES[[#This Row],[Descuento sobre subtotal $2]]-PROVEEDORES[[#This Row],[Rete Fuente $]]</f>
        <v>1632000</v>
      </c>
      <c r="S8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1">
        <f ca="1">IF(PROVEEDORES[[#This Row],[FECHA DE PAGO]]=0,TODAY()-PROVEEDORES[[#This Row],[FECHA DE FACTURACIÓN]]-PROVEEDORES[[#This Row],[PLAZO Días]],0)</f>
        <v>0</v>
      </c>
      <c r="U860" s="97">
        <f>+VLOOKUP(PROVEEDORES[[#This Row],[PROVEEDOR]],Terceros!$A:$D,4,FALSE)</f>
        <v>0</v>
      </c>
      <c r="V860" s="98">
        <f>+YEAR(PROVEEDORES[[#This Row],[FECHA DE FACTURACIÓN]])</f>
        <v>2023</v>
      </c>
      <c r="W860" s="98">
        <f>+MATCH(PROVEEDORES[[#This Row],[año facturado]],Retenciones!$1:$1,0)</f>
        <v>6</v>
      </c>
      <c r="X860" s="99">
        <f>+VLOOKUP(PROVEEDORES[[#This Row],[ID RETENCION]],Retenciones!$A$1:$O$25,PROVEEDORES[[#This Row],[indicador de columna]],FALSE)</f>
        <v>0</v>
      </c>
      <c r="Y860" s="100">
        <f>+VLOOKUP(PROVEEDORES[[#This Row],[ID RETENCION]],Retenciones!$A$1:$O$25,2,FALSE)</f>
        <v>0</v>
      </c>
      <c r="Z860" s="103" t="b">
        <f>OR(COUNTIF(PROVEEDORES[[#This Row],[PROVEEDOR]],"*"&amp;'Palabra no opera'!$A$2&amp;"*"))</f>
        <v>0</v>
      </c>
    </row>
    <row r="861" spans="1:26" ht="22.35" customHeight="1" x14ac:dyDescent="0.25">
      <c r="A861" s="65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30</v>
      </c>
      <c r="D861" s="25">
        <f>+SUMIFS(PROVEEDORES[Total],PROVEEDORES[PROVEEDOR],PROVEEDORES[[#This Row],[PROVEEDOR]],PROVEEDORES[FECHA DE PAGO],"")</f>
        <v>0</v>
      </c>
      <c r="E861" s="25"/>
      <c r="F861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1" s="289">
        <v>45133</v>
      </c>
      <c r="H861" s="26" t="s">
        <v>203</v>
      </c>
      <c r="I861" s="289">
        <v>45099</v>
      </c>
      <c r="J861" s="35" t="s">
        <v>882</v>
      </c>
      <c r="K861" s="21">
        <v>0</v>
      </c>
      <c r="L861" s="21"/>
      <c r="M861" s="22">
        <f>(PROVEEDORES[[#This Row],[SUBTOTAL]]-PROVEEDORES[[#This Row],[descuento sobre subtotal]])*VLOOKUP(PROVEEDORES[[#This Row],[PROVEEDOR]],TERCEROS_INFO[#All],3,FALSE)</f>
        <v>0</v>
      </c>
      <c r="N861" s="23"/>
      <c r="O861" s="22">
        <f>+PROVEEDORES[[#This Row],[Descuento sobre subtotal %]]*(PROVEEDORES[[#This Row],[SUBTOTAL]]-PROVEEDORES[[#This Row],[descuento sobre subtotal]])</f>
        <v>0</v>
      </c>
      <c r="P861" s="72">
        <f>+IF(PROVEEDORES[[#This Row],[SUBTOTAL]]&lt;PROVEEDORES[[#This Row],[base retencion]],0,PROVEEDORES[[#This Row],[retención aplicada]])</f>
        <v>0</v>
      </c>
      <c r="Q861" s="22">
        <f>+PROVEEDORES[[#This Row],[Rete Fuente %]]*(PROVEEDORES[[#This Row],[SUBTOTAL]]-PROVEEDORES[[#This Row],[descuento sobre subtotal]])</f>
        <v>0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6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1">
        <f ca="1">IF(PROVEEDORES[[#This Row],[FECHA DE PAGO]]=0,TODAY()-PROVEEDORES[[#This Row],[FECHA DE FACTURACIÓN]]-PROVEEDORES[[#This Row],[PLAZO Días]],0)</f>
        <v>0</v>
      </c>
      <c r="U861" s="97">
        <f>+VLOOKUP(PROVEEDORES[[#This Row],[PROVEEDOR]],Terceros!$A:$D,4,FALSE)</f>
        <v>0</v>
      </c>
      <c r="V861" s="98">
        <f>+YEAR(PROVEEDORES[[#This Row],[FECHA DE FACTURACIÓN]])</f>
        <v>2023</v>
      </c>
      <c r="W861" s="98">
        <f>+MATCH(PROVEEDORES[[#This Row],[año facturado]],Retenciones!$1:$1,0)</f>
        <v>6</v>
      </c>
      <c r="X861" s="99">
        <f>+VLOOKUP(PROVEEDORES[[#This Row],[ID RETENCION]],Retenciones!$A$1:$O$25,PROVEEDORES[[#This Row],[indicador de columna]],FALSE)</f>
        <v>0</v>
      </c>
      <c r="Y861" s="100">
        <f>+VLOOKUP(PROVEEDORES[[#This Row],[ID RETENCION]],Retenciones!$A$1:$O$25,2,FALSE)</f>
        <v>0</v>
      </c>
      <c r="Z861" s="103" t="b">
        <f>OR(COUNTIF(PROVEEDORES[[#This Row],[PROVEEDOR]],"*"&amp;'Palabra no opera'!$A$2&amp;"*"))</f>
        <v>0</v>
      </c>
    </row>
    <row r="862" spans="1:26" ht="22.35" customHeight="1" x14ac:dyDescent="0.25">
      <c r="A862" s="65" t="str">
        <f>+IF(PROVEEDORES[[#This Row],[FECHA DE PAGO]]=PROVEEDORES[[#This Row],[FECHA DE FACTURACIÓN]],"DE CONTADO","CRÉDITO")</f>
        <v>CRÉDITO</v>
      </c>
      <c r="B862" s="38" t="str">
        <f>+IF((PROVEEDORES[[#This Row],[FECHA DE PAGO]]-PROVEEDORES[[#This Row],[FECHA DE FACTURACIÓN]])&gt;PROVEEDORES[[#This Row],[PLAZO Días]],"PAGO VENCIDO")</f>
        <v>PAGO VENCIDO</v>
      </c>
      <c r="C862" s="20">
        <f>+VLOOKUP(PROVEEDORES[[#This Row],[PROVEEDOR]],TERCEROS_INFO[#All],2,FALSE)</f>
        <v>30</v>
      </c>
      <c r="D862" s="25">
        <f>+SUMIFS(PROVEEDORES[Total],PROVEEDORES[PROVEEDOR],PROVEEDORES[[#This Row],[PROVEEDOR]],PROVEEDORES[FECHA DE PAGO],"")</f>
        <v>0</v>
      </c>
      <c r="E862" s="25"/>
      <c r="F862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2" s="289">
        <v>45133</v>
      </c>
      <c r="H862" s="26" t="s">
        <v>203</v>
      </c>
      <c r="I862" s="289">
        <v>45099</v>
      </c>
      <c r="J862" s="35" t="s">
        <v>884</v>
      </c>
      <c r="K862" s="21">
        <v>142484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72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142484</v>
      </c>
      <c r="S8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1">
        <f ca="1">IF(PROVEEDORES[[#This Row],[FECHA DE PAGO]]=0,TODAY()-PROVEEDORES[[#This Row],[FECHA DE FACTURACIÓN]]-PROVEEDORES[[#This Row],[PLAZO Días]],0)</f>
        <v>0</v>
      </c>
      <c r="U862" s="97">
        <f>+VLOOKUP(PROVEEDORES[[#This Row],[PROVEEDOR]],Terceros!$A:$D,4,FALSE)</f>
        <v>0</v>
      </c>
      <c r="V862" s="98">
        <f>+YEAR(PROVEEDORES[[#This Row],[FECHA DE FACTURACIÓN]])</f>
        <v>2023</v>
      </c>
      <c r="W862" s="98">
        <f>+MATCH(PROVEEDORES[[#This Row],[año facturado]],Retenciones!$1:$1,0)</f>
        <v>6</v>
      </c>
      <c r="X862" s="99">
        <f>+VLOOKUP(PROVEEDORES[[#This Row],[ID RETENCION]],Retenciones!$A$1:$O$25,PROVEEDORES[[#This Row],[indicador de columna]],FALSE)</f>
        <v>0</v>
      </c>
      <c r="Y862" s="100">
        <f>+VLOOKUP(PROVEEDORES[[#This Row],[ID RETENCION]],Retenciones!$A$1:$O$25,2,FALSE)</f>
        <v>0</v>
      </c>
      <c r="Z862" s="103" t="b">
        <f>OR(COUNTIF(PROVEEDORES[[#This Row],[PROVEEDOR]],"*"&amp;'Palabra no opera'!$A$2&amp;"*"))</f>
        <v>0</v>
      </c>
    </row>
    <row r="863" spans="1:26" ht="22.35" customHeight="1" x14ac:dyDescent="0.25">
      <c r="A863" s="65" t="str">
        <f>+IF(PROVEEDORES[[#This Row],[FECHA DE PAGO]]=PROVEEDORES[[#This Row],[FECHA DE FACTURACIÓN]],"DE CONTADO","CRÉDITO")</f>
        <v>DE CONTADO</v>
      </c>
      <c r="B863" s="38" t="b">
        <f>+IF((PROVEEDORES[[#This Row],[FECHA DE PAGO]]-PROVEEDORES[[#This Row],[FECHA DE FACTURACIÓN]])&gt;PROVEEDORES[[#This Row],[PLAZO Días]],"PAGO VENCIDO")</f>
        <v>0</v>
      </c>
      <c r="C863" s="20">
        <f>+VLOOKUP(PROVEEDORES[[#This Row],[PROVEEDOR]],TERCEROS_INFO[#All],2,FALSE)</f>
        <v>30</v>
      </c>
      <c r="D863" s="25">
        <f>+SUMIFS(PROVEEDORES[Total],PROVEEDORES[PROVEEDOR],PROVEEDORES[[#This Row],[PROVEEDOR]],PROVEEDORES[FECHA DE PAGO],"")</f>
        <v>0</v>
      </c>
      <c r="E863" s="25"/>
      <c r="F863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3" s="289">
        <v>45121</v>
      </c>
      <c r="H863" s="26" t="s">
        <v>203</v>
      </c>
      <c r="I863" s="289">
        <v>45121</v>
      </c>
      <c r="J863" s="35" t="s">
        <v>946</v>
      </c>
      <c r="K863" s="21">
        <v>1550000</v>
      </c>
      <c r="L863" s="21"/>
      <c r="M863" s="22">
        <f>(PROVEEDORES[[#This Row],[SUBTOTAL]]-PROVEEDORES[[#This Row],[descuento sobre subtotal]])*VLOOKUP(PROVEEDORES[[#This Row],[PROVEEDOR]],TERCEROS_INFO[#All],3,FALSE)</f>
        <v>0</v>
      </c>
      <c r="N863" s="23"/>
      <c r="O863" s="22">
        <f>+PROVEEDORES[[#This Row],[Descuento sobre subtotal %]]*(PROVEEDORES[[#This Row],[SUBTOTAL]]-PROVEEDORES[[#This Row],[descuento sobre subtotal]])</f>
        <v>0</v>
      </c>
      <c r="P863" s="72">
        <f>+IF(PROVEEDORES[[#This Row],[SUBTOTAL]]&lt;PROVEEDORES[[#This Row],[base retencion]],0,PROVEEDORES[[#This Row],[retención aplicada]])</f>
        <v>0</v>
      </c>
      <c r="Q863" s="22">
        <f>+PROVEEDORES[[#This Row],[Rete Fuente %]]*(PROVEEDORES[[#This Row],[SUBTOTAL]]-PROVEEDORES[[#This Row],[descuento sobre subtotal]])</f>
        <v>0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1550000</v>
      </c>
      <c r="S8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1">
        <f ca="1">IF(PROVEEDORES[[#This Row],[FECHA DE PAGO]]=0,TODAY()-PROVEEDORES[[#This Row],[FECHA DE FACTURACIÓN]]-PROVEEDORES[[#This Row],[PLAZO Días]],0)</f>
        <v>0</v>
      </c>
      <c r="U863" s="97">
        <f>+VLOOKUP(PROVEEDORES[[#This Row],[PROVEEDOR]],Terceros!$A:$D,4,FALSE)</f>
        <v>0</v>
      </c>
      <c r="V863" s="98">
        <f>+YEAR(PROVEEDORES[[#This Row],[FECHA DE FACTURACIÓN]])</f>
        <v>2023</v>
      </c>
      <c r="W863" s="98">
        <f>+MATCH(PROVEEDORES[[#This Row],[año facturado]],Retenciones!$1:$1,0)</f>
        <v>6</v>
      </c>
      <c r="X863" s="99">
        <f>+VLOOKUP(PROVEEDORES[[#This Row],[ID RETENCION]],Retenciones!$A$1:$O$25,PROVEEDORES[[#This Row],[indicador de columna]],FALSE)</f>
        <v>0</v>
      </c>
      <c r="Y863" s="100">
        <f>+VLOOKUP(PROVEEDORES[[#This Row],[ID RETENCION]],Retenciones!$A$1:$O$25,2,FALSE)</f>
        <v>0</v>
      </c>
      <c r="Z863" s="103" t="b">
        <f>OR(COUNTIF(PROVEEDORES[[#This Row],[PROVEEDOR]],"*"&amp;'Palabra no opera'!$A$2&amp;"*"))</f>
        <v>0</v>
      </c>
    </row>
    <row r="864" spans="1:26" ht="22.35" customHeight="1" x14ac:dyDescent="0.25">
      <c r="A864" s="65" t="str">
        <f>+IF(PROVEEDORES[[#This Row],[FECHA DE PAGO]]=PROVEEDORES[[#This Row],[FECHA DE FACTURACIÓN]],"DE CONTADO","CRÉDITO")</f>
        <v>CRÉDITO</v>
      </c>
      <c r="B864" s="38" t="b">
        <f>+IF((PROVEEDORES[[#This Row],[FECHA DE PAGO]]-PROVEEDORES[[#This Row],[FECHA DE FACTURACIÓN]])&gt;PROVEEDORES[[#This Row],[PLAZO Días]],"PAGO VENCIDO")</f>
        <v>0</v>
      </c>
      <c r="C864" s="20">
        <f>+VLOOKUP(PROVEEDORES[[#This Row],[PROVEEDOR]],TERCEROS_INFO[#All],2,FALSE)</f>
        <v>30</v>
      </c>
      <c r="D864" s="25">
        <f>+SUMIFS(PROVEEDORES[Total],PROVEEDORES[PROVEEDOR],PROVEEDORES[[#This Row],[PROVEEDOR]],PROVEEDORES[FECHA DE PAGO],"")</f>
        <v>0</v>
      </c>
      <c r="E864" s="25"/>
      <c r="F864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4" s="289">
        <v>45133</v>
      </c>
      <c r="H864" s="26" t="s">
        <v>203</v>
      </c>
      <c r="I864" s="289">
        <v>45128</v>
      </c>
      <c r="J864" s="35">
        <v>652</v>
      </c>
      <c r="K864" s="21">
        <v>0</v>
      </c>
      <c r="L864" s="21"/>
      <c r="M864" s="22">
        <f>(PROVEEDORES[[#This Row],[SUBTOTAL]]-PROVEEDORES[[#This Row],[descuento sobre subtotal]])*VLOOKUP(PROVEEDORES[[#This Row],[PROVEEDOR]],TERCEROS_INFO[#All],3,FALSE)</f>
        <v>0</v>
      </c>
      <c r="N864" s="23"/>
      <c r="O864" s="22">
        <f>+PROVEEDORES[[#This Row],[Descuento sobre subtotal %]]*(PROVEEDORES[[#This Row],[SUBTOTAL]]-PROVEEDORES[[#This Row],[descuento sobre subtotal]])</f>
        <v>0</v>
      </c>
      <c r="P864" s="72">
        <f>+IF(PROVEEDORES[[#This Row],[SUBTOTAL]]&lt;PROVEEDORES[[#This Row],[base retencion]],0,PROVEEDORES[[#This Row],[retención aplicada]])</f>
        <v>0</v>
      </c>
      <c r="Q864" s="22">
        <f>+PROVEEDORES[[#This Row],[Rete Fuente %]]*(PROVEEDORES[[#This Row],[SUBTOTAL]]-PROVEEDORES[[#This Row],[descuento sobre subtotal]])</f>
        <v>0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8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1">
        <f ca="1">IF(PROVEEDORES[[#This Row],[FECHA DE PAGO]]=0,TODAY()-PROVEEDORES[[#This Row],[FECHA DE FACTURACIÓN]]-PROVEEDORES[[#This Row],[PLAZO Días]],0)</f>
        <v>0</v>
      </c>
      <c r="U864" s="97">
        <f>+VLOOKUP(PROVEEDORES[[#This Row],[PROVEEDOR]],Terceros!$A:$D,4,FALSE)</f>
        <v>0</v>
      </c>
      <c r="V864" s="98">
        <f>+YEAR(PROVEEDORES[[#This Row],[FECHA DE FACTURACIÓN]])</f>
        <v>2023</v>
      </c>
      <c r="W864" s="98">
        <f>+MATCH(PROVEEDORES[[#This Row],[año facturado]],Retenciones!$1:$1,0)</f>
        <v>6</v>
      </c>
      <c r="X864" s="99">
        <f>+VLOOKUP(PROVEEDORES[[#This Row],[ID RETENCION]],Retenciones!$A$1:$O$25,PROVEEDORES[[#This Row],[indicador de columna]],FALSE)</f>
        <v>0</v>
      </c>
      <c r="Y864" s="100">
        <f>+VLOOKUP(PROVEEDORES[[#This Row],[ID RETENCION]],Retenciones!$A$1:$O$25,2,FALSE)</f>
        <v>0</v>
      </c>
      <c r="Z864" s="103" t="b">
        <f>OR(COUNTIF(PROVEEDORES[[#This Row],[PROVEEDOR]],"*"&amp;'Palabra no opera'!$A$2&amp;"*"))</f>
        <v>0</v>
      </c>
    </row>
    <row r="865" spans="1:26" ht="22.35" customHeight="1" x14ac:dyDescent="0.25">
      <c r="A865" s="65" t="str">
        <f>+IF(PROVEEDORES[[#This Row],[FECHA DE PAGO]]=PROVEEDORES[[#This Row],[FECHA DE FACTURACIÓN]],"DE CONTADO","CRÉDITO")</f>
        <v>CRÉDITO</v>
      </c>
      <c r="B865" s="38" t="b">
        <f>+IF((PROVEEDORES[[#This Row],[FECHA DE PAGO]]-PROVEEDORES[[#This Row],[FECHA DE FACTURACIÓN]])&gt;PROVEEDORES[[#This Row],[PLAZO Días]],"PAGO VENCIDO")</f>
        <v>0</v>
      </c>
      <c r="C865" s="20">
        <f>+VLOOKUP(PROVEEDORES[[#This Row],[PROVEEDOR]],TERCEROS_INFO[#All],2,FALSE)</f>
        <v>30</v>
      </c>
      <c r="D865" s="25">
        <f>+SUMIFS(PROVEEDORES[Total],PROVEEDORES[PROVEEDOR],PROVEEDORES[[#This Row],[PROVEEDOR]],PROVEEDORES[FECHA DE PAGO],"")</f>
        <v>0</v>
      </c>
      <c r="E865" s="25"/>
      <c r="F865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5" s="289">
        <v>45133</v>
      </c>
      <c r="H865" s="26" t="s">
        <v>203</v>
      </c>
      <c r="I865" s="289">
        <v>45128</v>
      </c>
      <c r="J865" s="35">
        <v>653</v>
      </c>
      <c r="K865" s="21">
        <v>527</v>
      </c>
      <c r="L865" s="21"/>
      <c r="M865" s="22">
        <f>(PROVEEDORES[[#This Row],[SUBTOTAL]]-PROVEEDORES[[#This Row],[descuento sobre subtotal]])*VLOOKUP(PROVEEDORES[[#This Row],[PROVEEDOR]],TERCEROS_INFO[#All],3,FALSE)</f>
        <v>0</v>
      </c>
      <c r="N865" s="23"/>
      <c r="O865" s="22">
        <f>+PROVEEDORES[[#This Row],[Descuento sobre subtotal %]]*(PROVEEDORES[[#This Row],[SUBTOTAL]]-PROVEEDORES[[#This Row],[descuento sobre subtotal]])</f>
        <v>0</v>
      </c>
      <c r="P865" s="72">
        <f>+IF(PROVEEDORES[[#This Row],[SUBTOTAL]]&lt;PROVEEDORES[[#This Row],[base retencion]],0,PROVEEDORES[[#This Row],[retención aplicada]])</f>
        <v>0</v>
      </c>
      <c r="Q865" s="22">
        <f>+PROVEEDORES[[#This Row],[Rete Fuente %]]*(PROVEEDORES[[#This Row],[SUBTOTAL]]-PROVEEDORES[[#This Row],[descuento sobre subtotal]])</f>
        <v>0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527</v>
      </c>
      <c r="S86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1">
        <f ca="1">IF(PROVEEDORES[[#This Row],[FECHA DE PAGO]]=0,TODAY()-PROVEEDORES[[#This Row],[FECHA DE FACTURACIÓN]]-PROVEEDORES[[#This Row],[PLAZO Días]],0)</f>
        <v>0</v>
      </c>
      <c r="U865" s="97">
        <f>+VLOOKUP(PROVEEDORES[[#This Row],[PROVEEDOR]],Terceros!$A:$D,4,FALSE)</f>
        <v>0</v>
      </c>
      <c r="V865" s="98">
        <f>+YEAR(PROVEEDORES[[#This Row],[FECHA DE FACTURACIÓN]])</f>
        <v>2023</v>
      </c>
      <c r="W865" s="98">
        <f>+MATCH(PROVEEDORES[[#This Row],[año facturado]],Retenciones!$1:$1,0)</f>
        <v>6</v>
      </c>
      <c r="X865" s="99">
        <f>+VLOOKUP(PROVEEDORES[[#This Row],[ID RETENCION]],Retenciones!$A$1:$O$25,PROVEEDORES[[#This Row],[indicador de columna]],FALSE)</f>
        <v>0</v>
      </c>
      <c r="Y865" s="100">
        <f>+VLOOKUP(PROVEEDORES[[#This Row],[ID RETENCION]],Retenciones!$A$1:$O$25,2,FALSE)</f>
        <v>0</v>
      </c>
      <c r="Z865" s="103" t="b">
        <f>OR(COUNTIF(PROVEEDORES[[#This Row],[PROVEEDOR]],"*"&amp;'Palabra no opera'!$A$2&amp;"*"))</f>
        <v>0</v>
      </c>
    </row>
    <row r="866" spans="1:26" ht="22.35" customHeight="1" x14ac:dyDescent="0.25">
      <c r="A866" s="65" t="str">
        <f>+IF(PROVEEDORES[[#This Row],[FECHA DE PAGO]]=PROVEEDORES[[#This Row],[FECHA DE FACTURACIÓN]],"DE CONTADO","CRÉDITO")</f>
        <v>DE CONTADO</v>
      </c>
      <c r="B866" s="38" t="b">
        <f>+IF((PROVEEDORES[[#This Row],[FECHA DE PAGO]]-PROVEEDORES[[#This Row],[FECHA DE FACTURACIÓN]])&gt;PROVEEDORES[[#This Row],[PLAZO Días]],"PAGO VENCIDO")</f>
        <v>0</v>
      </c>
      <c r="C866" s="20">
        <f>+VLOOKUP(PROVEEDORES[[#This Row],[PROVEEDOR]],TERCEROS_INFO[#All],2,FALSE)</f>
        <v>30</v>
      </c>
      <c r="D866" s="25">
        <f>+SUMIFS(PROVEEDORES[Total],PROVEEDORES[PROVEEDOR],PROVEEDORES[[#This Row],[PROVEEDOR]],PROVEEDORES[FECHA DE PAGO],"")</f>
        <v>0</v>
      </c>
      <c r="E866" s="25"/>
      <c r="F86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6" s="289">
        <v>45168</v>
      </c>
      <c r="H866" s="26" t="s">
        <v>203</v>
      </c>
      <c r="I866" s="289">
        <v>45168</v>
      </c>
      <c r="J866" s="35" t="s">
        <v>1090</v>
      </c>
      <c r="K866" s="21">
        <v>1640000</v>
      </c>
      <c r="L866" s="21"/>
      <c r="M866" s="22">
        <f>(PROVEEDORES[[#This Row],[SUBTOTAL]]-PROVEEDORES[[#This Row],[descuento sobre subtotal]])*VLOOKUP(PROVEEDORES[[#This Row],[PROVEEDOR]],TERCEROS_INFO[#All],3,FALSE)</f>
        <v>0</v>
      </c>
      <c r="N866" s="23"/>
      <c r="O866" s="22">
        <f>+PROVEEDORES[[#This Row],[Descuento sobre subtotal %]]*(PROVEEDORES[[#This Row],[SUBTOTAL]]-PROVEEDORES[[#This Row],[descuento sobre subtotal]])</f>
        <v>0</v>
      </c>
      <c r="P866" s="72">
        <f>+IF(PROVEEDORES[[#This Row],[SUBTOTAL]]&lt;PROVEEDORES[[#This Row],[base retencion]],0,PROVEEDORES[[#This Row],[retención aplicada]])</f>
        <v>0</v>
      </c>
      <c r="Q866" s="22">
        <f>+PROVEEDORES[[#This Row],[Rete Fuente %]]*(PROVEEDORES[[#This Row],[SUBTOTAL]]-PROVEEDORES[[#This Row],[descuento sobre subtotal]])</f>
        <v>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1640000</v>
      </c>
      <c r="S86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1">
        <f ca="1">IF(PROVEEDORES[[#This Row],[FECHA DE PAGO]]=0,TODAY()-PROVEEDORES[[#This Row],[FECHA DE FACTURACIÓN]]-PROVEEDORES[[#This Row],[PLAZO Días]],0)</f>
        <v>0</v>
      </c>
      <c r="U866" s="97">
        <f>+VLOOKUP(PROVEEDORES[[#This Row],[PROVEEDOR]],Terceros!$A:$D,4,FALSE)</f>
        <v>0</v>
      </c>
      <c r="V866" s="98">
        <f>+YEAR(PROVEEDORES[[#This Row],[FECHA DE FACTURACIÓN]])</f>
        <v>2023</v>
      </c>
      <c r="W866" s="98">
        <f>+MATCH(PROVEEDORES[[#This Row],[año facturado]],Retenciones!$1:$1,0)</f>
        <v>6</v>
      </c>
      <c r="X866" s="99">
        <f>+VLOOKUP(PROVEEDORES[[#This Row],[ID RETENCION]],Retenciones!$A$1:$O$25,PROVEEDORES[[#This Row],[indicador de columna]],FALSE)</f>
        <v>0</v>
      </c>
      <c r="Y866" s="100">
        <f>+VLOOKUP(PROVEEDORES[[#This Row],[ID RETENCION]],Retenciones!$A$1:$O$25,2,FALSE)</f>
        <v>0</v>
      </c>
      <c r="Z866" s="103" t="b">
        <f>OR(COUNTIF(PROVEEDORES[[#This Row],[PROVEEDOR]],"*"&amp;'Palabra no opera'!$A$2&amp;"*"))</f>
        <v>0</v>
      </c>
    </row>
    <row r="867" spans="1:26" ht="22.35" customHeight="1" x14ac:dyDescent="0.25">
      <c r="A867" s="65" t="str">
        <f>+IF(PROVEEDORES[[#This Row],[FECHA DE PAGO]]=PROVEEDORES[[#This Row],[FECHA DE FACTURACIÓN]],"DE CONTADO","CRÉDITO")</f>
        <v>DE CONTADO</v>
      </c>
      <c r="B867" s="38" t="b">
        <f>+IF((PROVEEDORES[[#This Row],[FECHA DE PAGO]]-PROVEEDORES[[#This Row],[FECHA DE FACTURACIÓN]])&gt;PROVEEDORES[[#This Row],[PLAZO Días]],"PAGO VENCIDO")</f>
        <v>0</v>
      </c>
      <c r="C867" s="20">
        <f>+VLOOKUP(PROVEEDORES[[#This Row],[PROVEEDOR]],TERCEROS_INFO[#All],2,FALSE)</f>
        <v>30</v>
      </c>
      <c r="D867" s="25">
        <f>+SUMIFS(PROVEEDORES[Total],PROVEEDORES[PROVEEDOR],PROVEEDORES[[#This Row],[PROVEEDOR]],PROVEEDORES[FECHA DE PAGO],"")</f>
        <v>0</v>
      </c>
      <c r="E867" s="25"/>
      <c r="F867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7" s="289">
        <v>45168</v>
      </c>
      <c r="H867" s="26" t="s">
        <v>203</v>
      </c>
      <c r="I867" s="289">
        <v>45168</v>
      </c>
      <c r="J867" s="35" t="s">
        <v>1092</v>
      </c>
      <c r="K867" s="21">
        <v>2162000</v>
      </c>
      <c r="L867" s="21"/>
      <c r="M867" s="22">
        <f>(PROVEEDORES[[#This Row],[SUBTOTAL]]-PROVEEDORES[[#This Row],[descuento sobre subtotal]])*VLOOKUP(PROVEEDORES[[#This Row],[PROVEEDOR]],TERCEROS_INFO[#All],3,FALSE)</f>
        <v>0</v>
      </c>
      <c r="N867" s="23"/>
      <c r="O867" s="22">
        <f>+PROVEEDORES[[#This Row],[Descuento sobre subtotal %]]*(PROVEEDORES[[#This Row],[SUBTOTAL]]-PROVEEDORES[[#This Row],[descuento sobre subtotal]])</f>
        <v>0</v>
      </c>
      <c r="P867" s="72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2162000</v>
      </c>
      <c r="S8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1">
        <f ca="1">IF(PROVEEDORES[[#This Row],[FECHA DE PAGO]]=0,TODAY()-PROVEEDORES[[#This Row],[FECHA DE FACTURACIÓN]]-PROVEEDORES[[#This Row],[PLAZO Días]],0)</f>
        <v>0</v>
      </c>
      <c r="U867" s="97">
        <f>+VLOOKUP(PROVEEDORES[[#This Row],[PROVEEDOR]],Terceros!$A:$D,4,FALSE)</f>
        <v>0</v>
      </c>
      <c r="V867" s="98">
        <f>+YEAR(PROVEEDORES[[#This Row],[FECHA DE FACTURACIÓN]])</f>
        <v>2023</v>
      </c>
      <c r="W867" s="98">
        <f>+MATCH(PROVEEDORES[[#This Row],[año facturado]],Retenciones!$1:$1,0)</f>
        <v>6</v>
      </c>
      <c r="X867" s="99">
        <f>+VLOOKUP(PROVEEDORES[[#This Row],[ID RETENCION]],Retenciones!$A$1:$O$25,PROVEEDORES[[#This Row],[indicador de columna]],FALSE)</f>
        <v>0</v>
      </c>
      <c r="Y867" s="100">
        <f>+VLOOKUP(PROVEEDORES[[#This Row],[ID RETENCION]],Retenciones!$A$1:$O$25,2,FALSE)</f>
        <v>0</v>
      </c>
      <c r="Z867" s="103" t="b">
        <f>OR(COUNTIF(PROVEEDORES[[#This Row],[PROVEEDOR]],"*"&amp;'Palabra no opera'!$A$2&amp;"*"))</f>
        <v>0</v>
      </c>
    </row>
    <row r="868" spans="1:26" ht="22.35" customHeight="1" x14ac:dyDescent="0.25">
      <c r="A868" s="231" t="str">
        <f>+IF(PROVEEDORES[[#This Row],[FECHA DE PAGO]]=PROVEEDORES[[#This Row],[FECHA DE FACTURACIÓN]],"DE CONTADO","CRÉDITO")</f>
        <v>DE CONTADO</v>
      </c>
      <c r="B868" s="38" t="b">
        <f>+IF((PROVEEDORES[[#This Row],[FECHA DE PAGO]]-PROVEEDORES[[#This Row],[FECHA DE FACTURACIÓN]])&gt;PROVEEDORES[[#This Row],[PLAZO Días]],"PAGO VENCIDO")</f>
        <v>0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0</v>
      </c>
      <c r="E868" s="25"/>
      <c r="F868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8" s="289">
        <v>45174</v>
      </c>
      <c r="H868" s="26" t="s">
        <v>203</v>
      </c>
      <c r="I868" s="289">
        <v>45174</v>
      </c>
      <c r="J868" s="35" t="s">
        <v>1091</v>
      </c>
      <c r="K868" s="21">
        <v>2257000</v>
      </c>
      <c r="L868" s="21"/>
      <c r="M868" s="22">
        <f>(PROVEEDORES[[#This Row],[SUBTOTAL]]-PROVEEDORES[[#This Row],[descuento sobre subtotal]])*VLOOKUP(PROVEEDORES[[#This Row],[PROVEEDOR]],TERCEROS_INFO[#All],3,FALSE)</f>
        <v>0</v>
      </c>
      <c r="N868" s="23"/>
      <c r="O868" s="22">
        <f>+PROVEEDORES[[#This Row],[Descuento sobre subtotal %]]*(PROVEEDORES[[#This Row],[SUBTOTAL]]-PROVEEDORES[[#This Row],[descuento sobre subtotal]])</f>
        <v>0</v>
      </c>
      <c r="P868" s="72">
        <f>+IF(PROVEEDORES[[#This Row],[SUBTOTAL]]&lt;PROVEEDORES[[#This Row],[base retencion]],0,PROVEEDORES[[#This Row],[retención aplicada]])</f>
        <v>0</v>
      </c>
      <c r="Q868" s="22">
        <f>+PROVEEDORES[[#This Row],[Rete Fuente %]]*(PROVEEDORES[[#This Row],[SUBTOTAL]]-PROVEEDORES[[#This Row],[descuento sobre subtotal]])</f>
        <v>0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2257000</v>
      </c>
      <c r="S868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1">
        <f ca="1">IF(PROVEEDORES[[#This Row],[FECHA DE PAGO]]=0,TODAY()-PROVEEDORES[[#This Row],[FECHA DE FACTURACIÓN]]-PROVEEDORES[[#This Row],[PLAZO Días]],0)</f>
        <v>0</v>
      </c>
      <c r="U868" s="97">
        <f>+VLOOKUP(PROVEEDORES[[#This Row],[PROVEEDOR]],Terceros!$A:$D,4,FALSE)</f>
        <v>0</v>
      </c>
      <c r="V868" s="98">
        <f>+YEAR(PROVEEDORES[[#This Row],[FECHA DE FACTURACIÓN]])</f>
        <v>2023</v>
      </c>
      <c r="W868" s="98">
        <f>+MATCH(PROVEEDORES[[#This Row],[año facturado]],Retenciones!$1:$1,0)</f>
        <v>6</v>
      </c>
      <c r="X868" s="99">
        <f>+VLOOKUP(PROVEEDORES[[#This Row],[ID RETENCION]],Retenciones!$A$1:$O$25,PROVEEDORES[[#This Row],[indicador de columna]],FALSE)</f>
        <v>0</v>
      </c>
      <c r="Y868" s="100">
        <f>+VLOOKUP(PROVEEDORES[[#This Row],[ID RETENCION]],Retenciones!$A$1:$O$25,2,FALSE)</f>
        <v>0</v>
      </c>
      <c r="Z868" s="103" t="b">
        <f>OR(COUNTIF(PROVEEDORES[[#This Row],[PROVEEDOR]],"*"&amp;'Palabra no opera'!$A$2&amp;"*"))</f>
        <v>0</v>
      </c>
    </row>
    <row r="869" spans="1:26" ht="22.35" customHeight="1" x14ac:dyDescent="0.25">
      <c r="A869" s="231" t="str">
        <f>+IF(PROVEEDORES[[#This Row],[FECHA DE PAGO]]=PROVEEDORES[[#This Row],[FECHA DE FACTURACIÓN]],"DE CONTADO","CRÉDITO")</f>
        <v>DE CONTADO</v>
      </c>
      <c r="B869" s="38" t="b">
        <f>+IF((PROVEEDORES[[#This Row],[FECHA DE PAGO]]-PROVEEDORES[[#This Row],[FECHA DE FACTURACIÓN]])&gt;PROVEEDORES[[#This Row],[PLAZO Días]],"PAGO VENCIDO")</f>
        <v>0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0</v>
      </c>
      <c r="E869" s="25"/>
      <c r="F869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69" s="289">
        <v>45181</v>
      </c>
      <c r="H869" s="26" t="s">
        <v>203</v>
      </c>
      <c r="I869" s="289">
        <v>45181</v>
      </c>
      <c r="J869" s="35" t="s">
        <v>1124</v>
      </c>
      <c r="K869" s="21">
        <v>1660000</v>
      </c>
      <c r="L869" s="21"/>
      <c r="M869" s="22">
        <f>(PROVEEDORES[[#This Row],[SUBTOTAL]]-PROVEEDORES[[#This Row],[descuento sobre subtotal]])*VLOOKUP(PROVEEDORES[[#This Row],[PROVEEDOR]],TERCEROS_INFO[#All],3,FALSE)</f>
        <v>0</v>
      </c>
      <c r="N869" s="23"/>
      <c r="O869" s="22">
        <f>+PROVEEDORES[[#This Row],[Descuento sobre subtotal %]]*(PROVEEDORES[[#This Row],[SUBTOTAL]]-PROVEEDORES[[#This Row],[descuento sobre subtotal]])</f>
        <v>0</v>
      </c>
      <c r="P869" s="72">
        <f>+IF(PROVEEDORES[[#This Row],[SUBTOTAL]]&lt;PROVEEDORES[[#This Row],[base retencion]],0,PROVEEDORES[[#This Row],[retención aplicada]])</f>
        <v>0</v>
      </c>
      <c r="Q869" s="22">
        <f>+PROVEEDORES[[#This Row],[Rete Fuente %]]*(PROVEEDORES[[#This Row],[SUBTOTAL]]-PROVEEDORES[[#This Row],[descuento sobre subtotal]])</f>
        <v>0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1660000</v>
      </c>
      <c r="S869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1">
        <f ca="1">IF(PROVEEDORES[[#This Row],[FECHA DE PAGO]]=0,TODAY()-PROVEEDORES[[#This Row],[FECHA DE FACTURACIÓN]]-PROVEEDORES[[#This Row],[PLAZO Días]],0)</f>
        <v>0</v>
      </c>
      <c r="U869" s="97">
        <f>+VLOOKUP(PROVEEDORES[[#This Row],[PROVEEDOR]],Terceros!$A:$D,4,FALSE)</f>
        <v>0</v>
      </c>
      <c r="V869" s="98">
        <f>+YEAR(PROVEEDORES[[#This Row],[FECHA DE FACTURACIÓN]])</f>
        <v>2023</v>
      </c>
      <c r="W869" s="98">
        <f>+MATCH(PROVEEDORES[[#This Row],[año facturado]],Retenciones!$1:$1,0)</f>
        <v>6</v>
      </c>
      <c r="X869" s="99">
        <f>+VLOOKUP(PROVEEDORES[[#This Row],[ID RETENCION]],Retenciones!$A$1:$O$25,PROVEEDORES[[#This Row],[indicador de columna]],FALSE)</f>
        <v>0</v>
      </c>
      <c r="Y869" s="100">
        <f>+VLOOKUP(PROVEEDORES[[#This Row],[ID RETENCION]],Retenciones!$A$1:$O$25,2,FALSE)</f>
        <v>0</v>
      </c>
      <c r="Z869" s="103" t="b">
        <f>OR(COUNTIF(PROVEEDORES[[#This Row],[PROVEEDOR]],"*"&amp;'Palabra no opera'!$A$2&amp;"*"))</f>
        <v>0</v>
      </c>
    </row>
    <row r="870" spans="1:26" ht="22.35" customHeight="1" x14ac:dyDescent="0.25">
      <c r="A870" s="233" t="str">
        <f>+IF(PROVEEDORES[[#This Row],[FECHA DE PAGO]]=PROVEEDORES[[#This Row],[FECHA DE FACTURACIÓN]],"DE CONTADO","CRÉDITO")</f>
        <v>CRÉDITO</v>
      </c>
      <c r="B870" s="38" t="str">
        <f>+IF((PROVEEDORES[[#This Row],[FECHA DE PAGO]]-PROVEEDORES[[#This Row],[FECHA DE FACTURACIÓN]])&gt;PROVEEDORES[[#This Row],[PLAZO Días]],"PAGO VENCIDO")</f>
        <v>PAGO VENCIDO</v>
      </c>
      <c r="C870" s="20">
        <f>+VLOOKUP(PROVEEDORES[[#This Row],[PROVEEDOR]],TERCEROS_INFO[#All],2,FALSE)</f>
        <v>30</v>
      </c>
      <c r="D870" s="25">
        <f>+SUMIFS(PROVEEDORES[Total],PROVEEDORES[PROVEEDOR],PROVEEDORES[[#This Row],[PROVEEDOR]],PROVEEDORES[FECHA DE PAGO],"")</f>
        <v>0</v>
      </c>
      <c r="E870" s="25"/>
      <c r="F870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0" s="289">
        <v>45251</v>
      </c>
      <c r="H870" s="26" t="s">
        <v>203</v>
      </c>
      <c r="I870" s="289">
        <v>45190</v>
      </c>
      <c r="J870" s="35">
        <v>677</v>
      </c>
      <c r="K870" s="21">
        <v>329080</v>
      </c>
      <c r="L870" s="21"/>
      <c r="M870" s="22">
        <f>(PROVEEDORES[[#This Row],[SUBTOTAL]]-PROVEEDORES[[#This Row],[descuento sobre subtotal]])*VLOOKUP(PROVEEDORES[[#This Row],[PROVEEDOR]],TERCEROS_INFO[#All],3,FALSE)</f>
        <v>0</v>
      </c>
      <c r="N870" s="23"/>
      <c r="O870" s="22">
        <f>+PROVEEDORES[[#This Row],[Descuento sobre subtotal %]]*(PROVEEDORES[[#This Row],[SUBTOTAL]]-PROVEEDORES[[#This Row],[descuento sobre subtotal]])</f>
        <v>0</v>
      </c>
      <c r="P870" s="72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329080</v>
      </c>
      <c r="S870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1">
        <f ca="1">IF(PROVEEDORES[[#This Row],[FECHA DE PAGO]]=0,TODAY()-PROVEEDORES[[#This Row],[FECHA DE FACTURACIÓN]]-PROVEEDORES[[#This Row],[PLAZO Días]],0)</f>
        <v>0</v>
      </c>
      <c r="U870" s="97">
        <f>+VLOOKUP(PROVEEDORES[[#This Row],[PROVEEDOR]],Terceros!$A:$D,4,FALSE)</f>
        <v>0</v>
      </c>
      <c r="V870" s="98">
        <f>+YEAR(PROVEEDORES[[#This Row],[FECHA DE FACTURACIÓN]])</f>
        <v>2023</v>
      </c>
      <c r="W870" s="98">
        <f>+MATCH(PROVEEDORES[[#This Row],[año facturado]],Retenciones!$1:$1,0)</f>
        <v>6</v>
      </c>
      <c r="X870" s="99">
        <f>+VLOOKUP(PROVEEDORES[[#This Row],[ID RETENCION]],Retenciones!$A$1:$O$25,PROVEEDORES[[#This Row],[indicador de columna]],FALSE)</f>
        <v>0</v>
      </c>
      <c r="Y870" s="100">
        <f>+VLOOKUP(PROVEEDORES[[#This Row],[ID RETENCION]],Retenciones!$A$1:$O$25,2,FALSE)</f>
        <v>0</v>
      </c>
      <c r="Z870" s="103" t="b">
        <f>OR(COUNTIF(PROVEEDORES[[#This Row],[PROVEEDOR]],"*"&amp;'Palabra no opera'!$A$2&amp;"*"))</f>
        <v>0</v>
      </c>
    </row>
    <row r="871" spans="1:26" ht="22.35" customHeight="1" x14ac:dyDescent="0.25">
      <c r="A871" s="65" t="str">
        <f>+IF(PROVEEDORES[[#This Row],[FECHA DE PAGO]]=PROVEEDORES[[#This Row],[FECHA DE FACTURACIÓN]],"DE CONTADO","CRÉDITO")</f>
        <v>CRÉDITO</v>
      </c>
      <c r="B871" s="38" t="str">
        <f>+IF((PROVEEDORES[[#This Row],[FECHA DE PAGO]]-PROVEEDORES[[#This Row],[FECHA DE FACTURACIÓN]])&gt;PROVEEDORES[[#This Row],[PLAZO Días]],"PAGO VENCIDO")</f>
        <v>PAGO VENCIDO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0</v>
      </c>
      <c r="E871" s="25"/>
      <c r="F871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1" s="289">
        <v>45251</v>
      </c>
      <c r="H871" s="26" t="s">
        <v>203</v>
      </c>
      <c r="I871" s="289">
        <v>45190</v>
      </c>
      <c r="J871" s="35">
        <v>673</v>
      </c>
      <c r="K871" s="21">
        <v>64581</v>
      </c>
      <c r="L871" s="21"/>
      <c r="M871" s="22">
        <f>(PROVEEDORES[[#This Row],[SUBTOTAL]]-PROVEEDORES[[#This Row],[descuento sobre subtotal]])*VLOOKUP(PROVEEDORES[[#This Row],[PROVEEDOR]],TERCEROS_INFO[#All],3,FALSE)</f>
        <v>0</v>
      </c>
      <c r="N871" s="23"/>
      <c r="O871" s="22">
        <f>+PROVEEDORES[[#This Row],[Descuento sobre subtotal %]]*(PROVEEDORES[[#This Row],[SUBTOTAL]]-PROVEEDORES[[#This Row],[descuento sobre subtotal]])</f>
        <v>0</v>
      </c>
      <c r="P871" s="72">
        <f>+IF(PROVEEDORES[[#This Row],[SUBTOTAL]]&lt;PROVEEDORES[[#This Row],[base retencion]],0,PROVEEDORES[[#This Row],[retención aplicada]])</f>
        <v>0</v>
      </c>
      <c r="Q871" s="22">
        <f>+PROVEEDORES[[#This Row],[Rete Fuente %]]*(PROVEEDORES[[#This Row],[SUBTOTAL]]-PROVEEDORES[[#This Row],[descuento sobre subtotal]])</f>
        <v>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64581</v>
      </c>
      <c r="S8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1">
        <f ca="1">IF(PROVEEDORES[[#This Row],[FECHA DE PAGO]]=0,TODAY()-PROVEEDORES[[#This Row],[FECHA DE FACTURACIÓN]]-PROVEEDORES[[#This Row],[PLAZO Días]],0)</f>
        <v>0</v>
      </c>
      <c r="U871" s="97">
        <f>+VLOOKUP(PROVEEDORES[[#This Row],[PROVEEDOR]],Terceros!$A:$D,4,FALSE)</f>
        <v>0</v>
      </c>
      <c r="V871" s="98">
        <f>+YEAR(PROVEEDORES[[#This Row],[FECHA DE FACTURACIÓN]])</f>
        <v>2023</v>
      </c>
      <c r="W871" s="98">
        <f>+MATCH(PROVEEDORES[[#This Row],[año facturado]],Retenciones!$1:$1,0)</f>
        <v>6</v>
      </c>
      <c r="X871" s="99">
        <f>+VLOOKUP(PROVEEDORES[[#This Row],[ID RETENCION]],Retenciones!$A$1:$O$25,PROVEEDORES[[#This Row],[indicador de columna]],FALSE)</f>
        <v>0</v>
      </c>
      <c r="Y871" s="100">
        <f>+VLOOKUP(PROVEEDORES[[#This Row],[ID RETENCION]],Retenciones!$A$1:$O$25,2,FALSE)</f>
        <v>0</v>
      </c>
      <c r="Z871" s="103" t="b">
        <f>OR(COUNTIF(PROVEEDORES[[#This Row],[PROVEEDOR]],"*"&amp;'Palabra no opera'!$A$2&amp;"*"))</f>
        <v>0</v>
      </c>
    </row>
    <row r="872" spans="1:26" ht="22.35" customHeight="1" x14ac:dyDescent="0.25">
      <c r="A872" s="65" t="str">
        <f>+IF(PROVEEDORES[[#This Row],[FECHA DE PAGO]]=PROVEEDORES[[#This Row],[FECHA DE FACTURACIÓN]],"DE CONTADO","CRÉDITO")</f>
        <v>CRÉDITO</v>
      </c>
      <c r="B872" s="38" t="str">
        <f>+IF((PROVEEDORES[[#This Row],[FECHA DE PAGO]]-PROVEEDORES[[#This Row],[FECHA DE FACTURACIÓN]])&gt;PROVEEDORES[[#This Row],[PLAZO Días]],"PAGO VENCIDO")</f>
        <v>PAGO VENCIDO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0</v>
      </c>
      <c r="E872" s="25"/>
      <c r="F872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2" s="289">
        <v>45251</v>
      </c>
      <c r="H872" s="26" t="s">
        <v>203</v>
      </c>
      <c r="I872" s="289">
        <v>45190</v>
      </c>
      <c r="J872" s="35">
        <v>674</v>
      </c>
      <c r="K872" s="21">
        <v>169907</v>
      </c>
      <c r="L872" s="21"/>
      <c r="M872" s="22">
        <f>(PROVEEDORES[[#This Row],[SUBTOTAL]]-PROVEEDORES[[#This Row],[descuento sobre subtotal]])*VLOOKUP(PROVEEDORES[[#This Row],[PROVEEDOR]],TERCEROS_INFO[#All],3,FALSE)</f>
        <v>0</v>
      </c>
      <c r="N872" s="23"/>
      <c r="O872" s="22">
        <f>+PROVEEDORES[[#This Row],[Descuento sobre subtotal %]]*(PROVEEDORES[[#This Row],[SUBTOTAL]]-PROVEEDORES[[#This Row],[descuento sobre subtotal]])</f>
        <v>0</v>
      </c>
      <c r="P872" s="72">
        <f>+IF(PROVEEDORES[[#This Row],[SUBTOTAL]]&lt;PROVEEDORES[[#This Row],[base retencion]],0,PROVEEDORES[[#This Row],[retención aplicada]])</f>
        <v>0</v>
      </c>
      <c r="Q872" s="22">
        <f>+PROVEEDORES[[#This Row],[Rete Fuente %]]*(PROVEEDORES[[#This Row],[SUBTOTAL]]-PROVEEDORES[[#This Row],[descuento sobre subtotal]])</f>
        <v>0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169907</v>
      </c>
      <c r="S8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1">
        <f ca="1">IF(PROVEEDORES[[#This Row],[FECHA DE PAGO]]=0,TODAY()-PROVEEDORES[[#This Row],[FECHA DE FACTURACIÓN]]-PROVEEDORES[[#This Row],[PLAZO Días]],0)</f>
        <v>0</v>
      </c>
      <c r="U872" s="97">
        <f>+VLOOKUP(PROVEEDORES[[#This Row],[PROVEEDOR]],Terceros!$A:$D,4,FALSE)</f>
        <v>0</v>
      </c>
      <c r="V872" s="98">
        <f>+YEAR(PROVEEDORES[[#This Row],[FECHA DE FACTURACIÓN]])</f>
        <v>2023</v>
      </c>
      <c r="W872" s="98">
        <f>+MATCH(PROVEEDORES[[#This Row],[año facturado]],Retenciones!$1:$1,0)</f>
        <v>6</v>
      </c>
      <c r="X872" s="99">
        <f>+VLOOKUP(PROVEEDORES[[#This Row],[ID RETENCION]],Retenciones!$A$1:$O$25,PROVEEDORES[[#This Row],[indicador de columna]],FALSE)</f>
        <v>0</v>
      </c>
      <c r="Y872" s="100">
        <f>+VLOOKUP(PROVEEDORES[[#This Row],[ID RETENCION]],Retenciones!$A$1:$O$25,2,FALSE)</f>
        <v>0</v>
      </c>
      <c r="Z872" s="103" t="b">
        <f>OR(COUNTIF(PROVEEDORES[[#This Row],[PROVEEDOR]],"*"&amp;'Palabra no opera'!$A$2&amp;"*"))</f>
        <v>0</v>
      </c>
    </row>
    <row r="873" spans="1:26" ht="22.35" customHeight="1" x14ac:dyDescent="0.25">
      <c r="A873" s="65" t="str">
        <f>+IF(PROVEEDORES[[#This Row],[FECHA DE PAGO]]=PROVEEDORES[[#This Row],[FECHA DE FACTURACIÓN]],"DE CONTADO","CRÉDITO")</f>
        <v>DE CONTADO</v>
      </c>
      <c r="B873" s="38" t="b">
        <f>+IF((PROVEEDORES[[#This Row],[FECHA DE PAGO]]-PROVEEDORES[[#This Row],[FECHA DE FACTURACIÓN]])&gt;PROVEEDORES[[#This Row],[PLAZO Días]],"PAGO VENCIDO")</f>
        <v>0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0</v>
      </c>
      <c r="E873" s="25"/>
      <c r="F873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3" s="289">
        <v>45194</v>
      </c>
      <c r="H873" s="26" t="s">
        <v>203</v>
      </c>
      <c r="I873" s="289">
        <v>45194</v>
      </c>
      <c r="J873" s="35" t="s">
        <v>1126</v>
      </c>
      <c r="K873" s="21">
        <v>2299649</v>
      </c>
      <c r="L873" s="21"/>
      <c r="M873" s="22">
        <f>(PROVEEDORES[[#This Row],[SUBTOTAL]]-PROVEEDORES[[#This Row],[descuento sobre subtotal]])*VLOOKUP(PROVEEDORES[[#This Row],[PROVEEDOR]],TERCEROS_INFO[#All],3,FALSE)</f>
        <v>0</v>
      </c>
      <c r="N873" s="23"/>
      <c r="O873" s="22">
        <f>+PROVEEDORES[[#This Row],[Descuento sobre subtotal %]]*(PROVEEDORES[[#This Row],[SUBTOTAL]]-PROVEEDORES[[#This Row],[descuento sobre subtotal]])</f>
        <v>0</v>
      </c>
      <c r="P873" s="72">
        <f>+IF(PROVEEDORES[[#This Row],[SUBTOTAL]]&lt;PROVEEDORES[[#This Row],[base retencion]],0,PROVEEDORES[[#This Row],[retención aplicada]])</f>
        <v>0</v>
      </c>
      <c r="Q873" s="22">
        <f>+PROVEEDORES[[#This Row],[Rete Fuente %]]*(PROVEEDORES[[#This Row],[SUBTOTAL]]-PROVEEDORES[[#This Row],[descuento sobre subtotal]])</f>
        <v>0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2299649</v>
      </c>
      <c r="S8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1">
        <f ca="1">IF(PROVEEDORES[[#This Row],[FECHA DE PAGO]]=0,TODAY()-PROVEEDORES[[#This Row],[FECHA DE FACTURACIÓN]]-PROVEEDORES[[#This Row],[PLAZO Días]],0)</f>
        <v>0</v>
      </c>
      <c r="U873" s="97">
        <f>+VLOOKUP(PROVEEDORES[[#This Row],[PROVEEDOR]],Terceros!$A:$D,4,FALSE)</f>
        <v>0</v>
      </c>
      <c r="V873" s="98">
        <f>+YEAR(PROVEEDORES[[#This Row],[FECHA DE FACTURACIÓN]])</f>
        <v>2023</v>
      </c>
      <c r="W873" s="98">
        <f>+MATCH(PROVEEDORES[[#This Row],[año facturado]],Retenciones!$1:$1,0)</f>
        <v>6</v>
      </c>
      <c r="X873" s="99">
        <f>+VLOOKUP(PROVEEDORES[[#This Row],[ID RETENCION]],Retenciones!$A$1:$O$25,PROVEEDORES[[#This Row],[indicador de columna]],FALSE)</f>
        <v>0</v>
      </c>
      <c r="Y873" s="100">
        <f>+VLOOKUP(PROVEEDORES[[#This Row],[ID RETENCION]],Retenciones!$A$1:$O$25,2,FALSE)</f>
        <v>0</v>
      </c>
      <c r="Z873" s="103" t="b">
        <f>OR(COUNTIF(PROVEEDORES[[#This Row],[PROVEEDOR]],"*"&amp;'Palabra no opera'!$A$2&amp;"*"))</f>
        <v>0</v>
      </c>
    </row>
    <row r="874" spans="1:26" ht="22.35" customHeight="1" x14ac:dyDescent="0.25">
      <c r="A874" s="65" t="str">
        <f>+IF(PROVEEDORES[[#This Row],[FECHA DE PAGO]]=PROVEEDORES[[#This Row],[FECHA DE FACTURACIÓN]],"DE CONTADO","CRÉDITO")</f>
        <v>CRÉDITO</v>
      </c>
      <c r="B874" s="38" t="str">
        <f>+IF((PROVEEDORES[[#This Row],[FECHA DE PAGO]]-PROVEEDORES[[#This Row],[FECHA DE FACTURACIÓN]])&gt;PROVEEDORES[[#This Row],[PLAZO Días]],"PAGO VENCIDO")</f>
        <v>PAGO VENCIDO</v>
      </c>
      <c r="C874" s="20">
        <f>+VLOOKUP(PROVEEDORES[[#This Row],[PROVEEDOR]],TERCEROS_INFO[#All],2,FALSE)</f>
        <v>30</v>
      </c>
      <c r="D874" s="25">
        <f>+SUMIFS(PROVEEDORES[Total],PROVEEDORES[PROVEEDOR],PROVEEDORES[[#This Row],[PROVEEDOR]],PROVEEDORES[FECHA DE PAGO],"")</f>
        <v>0</v>
      </c>
      <c r="E874" s="25"/>
      <c r="F874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4" s="289">
        <v>45251</v>
      </c>
      <c r="H874" s="26" t="s">
        <v>203</v>
      </c>
      <c r="I874" s="289">
        <v>45198</v>
      </c>
      <c r="J874" s="35" t="s">
        <v>1125</v>
      </c>
      <c r="K874" s="21">
        <v>287350</v>
      </c>
      <c r="L874" s="21"/>
      <c r="M874" s="22">
        <f>(PROVEEDORES[[#This Row],[SUBTOTAL]]-PROVEEDORES[[#This Row],[descuento sobre subtotal]])*VLOOKUP(PROVEEDORES[[#This Row],[PROVEEDOR]],TERCEROS_INFO[#All],3,FALSE)</f>
        <v>0</v>
      </c>
      <c r="N874" s="23"/>
      <c r="O874" s="22">
        <f>+PROVEEDORES[[#This Row],[Descuento sobre subtotal %]]*(PROVEEDORES[[#This Row],[SUBTOTAL]]-PROVEEDORES[[#This Row],[descuento sobre subtotal]])</f>
        <v>0</v>
      </c>
      <c r="P874" s="72">
        <f>+IF(PROVEEDORES[[#This Row],[SUBTOTAL]]&lt;PROVEEDORES[[#This Row],[base retencion]],0,PROVEEDORES[[#This Row],[retención aplicada]])</f>
        <v>0</v>
      </c>
      <c r="Q874" s="22">
        <f>+PROVEEDORES[[#This Row],[Rete Fuente %]]*(PROVEEDORES[[#This Row],[SUBTOTAL]]-PROVEEDORES[[#This Row],[descuento sobre subtotal]])</f>
        <v>0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287350</v>
      </c>
      <c r="S8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1">
        <f ca="1">IF(PROVEEDORES[[#This Row],[FECHA DE PAGO]]=0,TODAY()-PROVEEDORES[[#This Row],[FECHA DE FACTURACIÓN]]-PROVEEDORES[[#This Row],[PLAZO Días]],0)</f>
        <v>0</v>
      </c>
      <c r="U874" s="97">
        <f>+VLOOKUP(PROVEEDORES[[#This Row],[PROVEEDOR]],Terceros!$A:$D,4,FALSE)</f>
        <v>0</v>
      </c>
      <c r="V874" s="98">
        <f>+YEAR(PROVEEDORES[[#This Row],[FECHA DE FACTURACIÓN]])</f>
        <v>2023</v>
      </c>
      <c r="W874" s="98">
        <f>+MATCH(PROVEEDORES[[#This Row],[año facturado]],Retenciones!$1:$1,0)</f>
        <v>6</v>
      </c>
      <c r="X874" s="99">
        <f>+VLOOKUP(PROVEEDORES[[#This Row],[ID RETENCION]],Retenciones!$A$1:$O$25,PROVEEDORES[[#This Row],[indicador de columna]],FALSE)</f>
        <v>0</v>
      </c>
      <c r="Y874" s="100">
        <f>+VLOOKUP(PROVEEDORES[[#This Row],[ID RETENCION]],Retenciones!$A$1:$O$25,2,FALSE)</f>
        <v>0</v>
      </c>
      <c r="Z874" s="103" t="b">
        <f>OR(COUNTIF(PROVEEDORES[[#This Row],[PROVEEDOR]],"*"&amp;'Palabra no opera'!$A$2&amp;"*"))</f>
        <v>0</v>
      </c>
    </row>
    <row r="875" spans="1:26" ht="22.35" customHeight="1" x14ac:dyDescent="0.25">
      <c r="A875" s="65" t="str">
        <f>+IF(PROVEEDORES[[#This Row],[FECHA DE PAGO]]=PROVEEDORES[[#This Row],[FECHA DE FACTURACIÓN]],"DE CONTADO","CRÉDITO")</f>
        <v>CRÉDITO</v>
      </c>
      <c r="B875" s="38" t="str">
        <f>+IF((PROVEEDORES[[#This Row],[FECHA DE PAGO]]-PROVEEDORES[[#This Row],[FECHA DE FACTURACIÓN]])&gt;PROVEEDORES[[#This Row],[PLAZO Días]],"PAGO VENCIDO")</f>
        <v>PAGO VENCIDO</v>
      </c>
      <c r="C875" s="20">
        <f>+VLOOKUP(PROVEEDORES[[#This Row],[PROVEEDOR]],TERCEROS_INFO[#All],2,FALSE)</f>
        <v>30</v>
      </c>
      <c r="D875" s="25">
        <f>+SUMIFS(PROVEEDORES[Total],PROVEEDORES[PROVEEDOR],PROVEEDORES[[#This Row],[PROVEEDOR]],PROVEEDORES[FECHA DE PAGO],"")</f>
        <v>0</v>
      </c>
      <c r="E875" s="25"/>
      <c r="F875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5" s="289">
        <v>45251</v>
      </c>
      <c r="H875" s="26" t="s">
        <v>203</v>
      </c>
      <c r="I875" s="289">
        <v>45198</v>
      </c>
      <c r="J875" s="35" t="s">
        <v>1127</v>
      </c>
      <c r="K875" s="21">
        <v>7823</v>
      </c>
      <c r="L875" s="21"/>
      <c r="M875" s="22">
        <f>(PROVEEDORES[[#This Row],[SUBTOTAL]]-PROVEEDORES[[#This Row],[descuento sobre subtotal]])*VLOOKUP(PROVEEDORES[[#This Row],[PROVEEDOR]],TERCEROS_INFO[#All],3,FALSE)</f>
        <v>0</v>
      </c>
      <c r="N875" s="23"/>
      <c r="O875" s="22">
        <f>+PROVEEDORES[[#This Row],[Descuento sobre subtotal %]]*(PROVEEDORES[[#This Row],[SUBTOTAL]]-PROVEEDORES[[#This Row],[descuento sobre subtotal]])</f>
        <v>0</v>
      </c>
      <c r="P875" s="72">
        <f>+IF(PROVEEDORES[[#This Row],[SUBTOTAL]]&lt;PROVEEDORES[[#This Row],[base retencion]],0,PROVEEDORES[[#This Row],[retención aplicada]])</f>
        <v>0</v>
      </c>
      <c r="Q875" s="22">
        <f>+PROVEEDORES[[#This Row],[Rete Fuente %]]*(PROVEEDORES[[#This Row],[SUBTOTAL]]-PROVEEDORES[[#This Row],[descuento sobre subtotal]])</f>
        <v>0</v>
      </c>
      <c r="R875" s="21">
        <f>+PROVEEDORES[[#This Row],[SUBTOTAL]]+PROVEEDORES[[#This Row],[IVA 19%]]-PROVEEDORES[[#This Row],[descuento sobre subtotal]]-PROVEEDORES[[#This Row],[Descuento sobre subtotal $2]]-PROVEEDORES[[#This Row],[Rete Fuente $]]</f>
        <v>7823</v>
      </c>
      <c r="S8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1">
        <f ca="1">IF(PROVEEDORES[[#This Row],[FECHA DE PAGO]]=0,TODAY()-PROVEEDORES[[#This Row],[FECHA DE FACTURACIÓN]]-PROVEEDORES[[#This Row],[PLAZO Días]],0)</f>
        <v>0</v>
      </c>
      <c r="U875" s="97">
        <f>+VLOOKUP(PROVEEDORES[[#This Row],[PROVEEDOR]],Terceros!$A:$D,4,FALSE)</f>
        <v>0</v>
      </c>
      <c r="V875" s="98">
        <f>+YEAR(PROVEEDORES[[#This Row],[FECHA DE FACTURACIÓN]])</f>
        <v>2023</v>
      </c>
      <c r="W875" s="98">
        <f>+MATCH(PROVEEDORES[[#This Row],[año facturado]],Retenciones!$1:$1,0)</f>
        <v>6</v>
      </c>
      <c r="X875" s="99">
        <f>+VLOOKUP(PROVEEDORES[[#This Row],[ID RETENCION]],Retenciones!$A$1:$O$25,PROVEEDORES[[#This Row],[indicador de columna]],FALSE)</f>
        <v>0</v>
      </c>
      <c r="Y875" s="100">
        <f>+VLOOKUP(PROVEEDORES[[#This Row],[ID RETENCION]],Retenciones!$A$1:$O$25,2,FALSE)</f>
        <v>0</v>
      </c>
      <c r="Z875" s="103" t="b">
        <f>OR(COUNTIF(PROVEEDORES[[#This Row],[PROVEEDOR]],"*"&amp;'Palabra no opera'!$A$2&amp;"*"))</f>
        <v>0</v>
      </c>
    </row>
    <row r="876" spans="1:26" ht="22.35" customHeight="1" x14ac:dyDescent="0.25">
      <c r="A876" s="65" t="str">
        <f>+IF(PROVEEDORES[[#This Row],[FECHA DE PAGO]]=PROVEEDORES[[#This Row],[FECHA DE FACTURACIÓN]],"DE CONTADO","CRÉDITO")</f>
        <v>DE CONTADO</v>
      </c>
      <c r="B876" s="38" t="b">
        <f>+IF((PROVEEDORES[[#This Row],[FECHA DE PAGO]]-PROVEEDORES[[#This Row],[FECHA DE FACTURACIÓN]])&gt;PROVEEDORES[[#This Row],[PLAZO Días]],"PAGO VENCIDO")</f>
        <v>0</v>
      </c>
      <c r="C876" s="20">
        <f>+VLOOKUP(PROVEEDORES[[#This Row],[PROVEEDOR]],TERCEROS_INFO[#All],2,FALSE)</f>
        <v>30</v>
      </c>
      <c r="D876" s="25">
        <f>+SUMIFS(PROVEEDORES[Total],PROVEEDORES[PROVEEDOR],PROVEEDORES[[#This Row],[PROVEEDOR]],PROVEEDORES[FECHA DE PAGO],"")</f>
        <v>0</v>
      </c>
      <c r="E876" s="25"/>
      <c r="F87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6" s="289">
        <v>45230</v>
      </c>
      <c r="H876" s="26" t="s">
        <v>203</v>
      </c>
      <c r="I876" s="289">
        <v>45230</v>
      </c>
      <c r="J876" s="35" t="s">
        <v>1239</v>
      </c>
      <c r="K876" s="21">
        <v>1790000</v>
      </c>
      <c r="L876" s="21"/>
      <c r="M876" s="22">
        <f>(PROVEEDORES[[#This Row],[SUBTOTAL]]-PROVEEDORES[[#This Row],[descuento sobre subtotal]])*VLOOKUP(PROVEEDORES[[#This Row],[PROVEEDOR]],TERCEROS_INFO[#All],3,FALSE)</f>
        <v>0</v>
      </c>
      <c r="N876" s="23"/>
      <c r="O876" s="22">
        <f>+PROVEEDORES[[#This Row],[Descuento sobre subtotal %]]*(PROVEEDORES[[#This Row],[SUBTOTAL]]-PROVEEDORES[[#This Row],[descuento sobre subtotal]])</f>
        <v>0</v>
      </c>
      <c r="P876" s="72">
        <f>+IF(PROVEEDORES[[#This Row],[SUBTOTAL]]&lt;PROVEEDORES[[#This Row],[base retencion]],0,PROVEEDORES[[#This Row],[retención aplicada]])</f>
        <v>0</v>
      </c>
      <c r="Q876" s="22">
        <f>+PROVEEDORES[[#This Row],[Rete Fuente %]]*(PROVEEDORES[[#This Row],[SUBTOTAL]]-PROVEEDORES[[#This Row],[descuento sobre subtotal]])</f>
        <v>0</v>
      </c>
      <c r="R876" s="21">
        <f>+PROVEEDORES[[#This Row],[SUBTOTAL]]+PROVEEDORES[[#This Row],[IVA 19%]]-PROVEEDORES[[#This Row],[descuento sobre subtotal]]-PROVEEDORES[[#This Row],[Descuento sobre subtotal $2]]-PROVEEDORES[[#This Row],[Rete Fuente $]]</f>
        <v>1790000</v>
      </c>
      <c r="S8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1">
        <f ca="1">IF(PROVEEDORES[[#This Row],[FECHA DE PAGO]]=0,TODAY()-PROVEEDORES[[#This Row],[FECHA DE FACTURACIÓN]]-PROVEEDORES[[#This Row],[PLAZO Días]],0)</f>
        <v>0</v>
      </c>
      <c r="U876" s="97">
        <f>+VLOOKUP(PROVEEDORES[[#This Row],[PROVEEDOR]],Terceros!$A:$D,4,FALSE)</f>
        <v>0</v>
      </c>
      <c r="V876" s="98">
        <f>+YEAR(PROVEEDORES[[#This Row],[FECHA DE FACTURACIÓN]])</f>
        <v>2023</v>
      </c>
      <c r="W876" s="98">
        <f>+MATCH(PROVEEDORES[[#This Row],[año facturado]],Retenciones!$1:$1,0)</f>
        <v>6</v>
      </c>
      <c r="X876" s="99">
        <f>+VLOOKUP(PROVEEDORES[[#This Row],[ID RETENCION]],Retenciones!$A$1:$O$25,PROVEEDORES[[#This Row],[indicador de columna]],FALSE)</f>
        <v>0</v>
      </c>
      <c r="Y876" s="100">
        <f>+VLOOKUP(PROVEEDORES[[#This Row],[ID RETENCION]],Retenciones!$A$1:$O$25,2,FALSE)</f>
        <v>0</v>
      </c>
      <c r="Z876" s="103" t="b">
        <f>OR(COUNTIF(PROVEEDORES[[#This Row],[PROVEEDOR]],"*"&amp;'Palabra no opera'!$A$2&amp;"*"))</f>
        <v>0</v>
      </c>
    </row>
    <row r="877" spans="1:26" ht="22.35" customHeight="1" x14ac:dyDescent="0.25">
      <c r="A877" s="252" t="str">
        <f>+IF(PROVEEDORES[[#This Row],[FECHA DE PAGO]]=PROVEEDORES[[#This Row],[FECHA DE FACTURACIÓN]],"DE CONTADO","CRÉDITO")</f>
        <v>CRÉDITO</v>
      </c>
      <c r="B877" s="38" t="b">
        <f>+IF((PROVEEDORES[[#This Row],[FECHA DE PAGO]]-PROVEEDORES[[#This Row],[FECHA DE FACTURACIÓN]])&gt;PROVEEDORES[[#This Row],[PLAZO Días]],"PAGO VENCIDO")</f>
        <v>0</v>
      </c>
      <c r="C877" s="20">
        <f>+VLOOKUP(PROVEEDORES[[#This Row],[PROVEEDOR]],TERCEROS_INFO[#All],2,FALSE)</f>
        <v>30</v>
      </c>
      <c r="D877" s="25">
        <f>+SUMIFS(PROVEEDORES[Total],PROVEEDORES[PROVEEDOR],PROVEEDORES[[#This Row],[PROVEEDOR]],PROVEEDORES[FECHA DE PAGO],"")</f>
        <v>0</v>
      </c>
      <c r="E877" s="25"/>
      <c r="F877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7" s="289">
        <v>45251</v>
      </c>
      <c r="H877" s="26" t="s">
        <v>203</v>
      </c>
      <c r="I877" s="289">
        <v>45238</v>
      </c>
      <c r="J877" s="35" t="s">
        <v>1240</v>
      </c>
      <c r="K877" s="21">
        <v>129550</v>
      </c>
      <c r="L877" s="21"/>
      <c r="M877" s="22">
        <f>(PROVEEDORES[[#This Row],[SUBTOTAL]]-PROVEEDORES[[#This Row],[descuento sobre subtotal]])*VLOOKUP(PROVEEDORES[[#This Row],[PROVEEDOR]],TERCEROS_INFO[#All],3,FALSE)</f>
        <v>0</v>
      </c>
      <c r="N877" s="23"/>
      <c r="O877" s="22">
        <f>+PROVEEDORES[[#This Row],[Descuento sobre subtotal %]]*(PROVEEDORES[[#This Row],[SUBTOTAL]]-PROVEEDORES[[#This Row],[descuento sobre subtotal]])</f>
        <v>0</v>
      </c>
      <c r="P877" s="72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129550</v>
      </c>
      <c r="S87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1">
        <f ca="1">IF(PROVEEDORES[[#This Row],[FECHA DE PAGO]]=0,TODAY()-PROVEEDORES[[#This Row],[FECHA DE FACTURACIÓN]]-PROVEEDORES[[#This Row],[PLAZO Días]],0)</f>
        <v>0</v>
      </c>
      <c r="U877" s="97">
        <f>+VLOOKUP(PROVEEDORES[[#This Row],[PROVEEDOR]],Terceros!$A:$D,4,FALSE)</f>
        <v>0</v>
      </c>
      <c r="V877" s="98">
        <f>+YEAR(PROVEEDORES[[#This Row],[FECHA DE FACTURACIÓN]])</f>
        <v>2023</v>
      </c>
      <c r="W877" s="98">
        <f>+MATCH(PROVEEDORES[[#This Row],[año facturado]],Retenciones!$1:$1,0)</f>
        <v>6</v>
      </c>
      <c r="X877" s="99">
        <f>+VLOOKUP(PROVEEDORES[[#This Row],[ID RETENCION]],Retenciones!$A$1:$O$25,PROVEEDORES[[#This Row],[indicador de columna]],FALSE)</f>
        <v>0</v>
      </c>
      <c r="Y877" s="100">
        <f>+VLOOKUP(PROVEEDORES[[#This Row],[ID RETENCION]],Retenciones!$A$1:$O$25,2,FALSE)</f>
        <v>0</v>
      </c>
      <c r="Z877" s="103" t="b">
        <f>OR(COUNTIF(PROVEEDORES[[#This Row],[PROVEEDOR]],"*"&amp;'Palabra no opera'!$A$2&amp;"*"))</f>
        <v>0</v>
      </c>
    </row>
    <row r="878" spans="1:26" ht="22.35" customHeight="1" x14ac:dyDescent="0.25">
      <c r="A878" s="65" t="str">
        <f>+IF(PROVEEDORES[[#This Row],[FECHA DE PAGO]]=PROVEEDORES[[#This Row],[FECHA DE FACTURACIÓN]],"DE CONTADO","CRÉDITO")</f>
        <v>DE CONTADO</v>
      </c>
      <c r="B878" s="38" t="b">
        <f>+IF((PROVEEDORES[[#This Row],[FECHA DE PAGO]]-PROVEEDORES[[#This Row],[FECHA DE FACTURACIÓN]])&gt;PROVEEDORES[[#This Row],[PLAZO Días]],"PAGO VENCIDO")</f>
        <v>0</v>
      </c>
      <c r="C878" s="20">
        <f>+VLOOKUP(PROVEEDORES[[#This Row],[PROVEEDOR]],TERCEROS_INFO[#All],2,FALSE)</f>
        <v>30</v>
      </c>
      <c r="D878" s="25">
        <f>+SUMIFS(PROVEEDORES[Total],PROVEEDORES[PROVEEDOR],PROVEEDORES[[#This Row],[PROVEEDOR]],PROVEEDORES[FECHA DE PAGO],"")</f>
        <v>0</v>
      </c>
      <c r="E878" s="25"/>
      <c r="F878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8" s="289">
        <v>45244</v>
      </c>
      <c r="H878" s="26" t="s">
        <v>203</v>
      </c>
      <c r="I878" s="289">
        <v>45244</v>
      </c>
      <c r="J878" s="35" t="s">
        <v>1275</v>
      </c>
      <c r="K878" s="21">
        <v>2313921</v>
      </c>
      <c r="L878" s="21"/>
      <c r="M878" s="22">
        <f>(PROVEEDORES[[#This Row],[SUBTOTAL]]-PROVEEDORES[[#This Row],[descuento sobre subtotal]])*VLOOKUP(PROVEEDORES[[#This Row],[PROVEEDOR]],TERCEROS_INFO[#All],3,FALSE)</f>
        <v>0</v>
      </c>
      <c r="N878" s="23"/>
      <c r="O878" s="22">
        <f>+PROVEEDORES[[#This Row],[Descuento sobre subtotal %]]*(PROVEEDORES[[#This Row],[SUBTOTAL]]-PROVEEDORES[[#This Row],[descuento sobre subtotal]])</f>
        <v>0</v>
      </c>
      <c r="P878" s="72">
        <f>+IF(PROVEEDORES[[#This Row],[SUBTOTAL]]&lt;PROVEEDORES[[#This Row],[base retencion]],0,PROVEEDORES[[#This Row],[retención aplicada]])</f>
        <v>0</v>
      </c>
      <c r="Q878" s="22">
        <f>+PROVEEDORES[[#This Row],[Rete Fuente %]]*(PROVEEDORES[[#This Row],[SUBTOTAL]]-PROVEEDORES[[#This Row],[descuento sobre subtotal]])</f>
        <v>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2313921</v>
      </c>
      <c r="S8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1">
        <f ca="1">IF(PROVEEDORES[[#This Row],[FECHA DE PAGO]]=0,TODAY()-PROVEEDORES[[#This Row],[FECHA DE FACTURACIÓN]]-PROVEEDORES[[#This Row],[PLAZO Días]],0)</f>
        <v>0</v>
      </c>
      <c r="U878" s="97">
        <f>+VLOOKUP(PROVEEDORES[[#This Row],[PROVEEDOR]],Terceros!$A:$D,4,FALSE)</f>
        <v>0</v>
      </c>
      <c r="V878" s="98">
        <f>+YEAR(PROVEEDORES[[#This Row],[FECHA DE FACTURACIÓN]])</f>
        <v>2023</v>
      </c>
      <c r="W878" s="98">
        <f>+MATCH(PROVEEDORES[[#This Row],[año facturado]],Retenciones!$1:$1,0)</f>
        <v>6</v>
      </c>
      <c r="X878" s="99">
        <f>+VLOOKUP(PROVEEDORES[[#This Row],[ID RETENCION]],Retenciones!$A$1:$O$25,PROVEEDORES[[#This Row],[indicador de columna]],FALSE)</f>
        <v>0</v>
      </c>
      <c r="Y878" s="100">
        <f>+VLOOKUP(PROVEEDORES[[#This Row],[ID RETENCION]],Retenciones!$A$1:$O$25,2,FALSE)</f>
        <v>0</v>
      </c>
      <c r="Z878" s="103" t="b">
        <f>OR(COUNTIF(PROVEEDORES[[#This Row],[PROVEEDOR]],"*"&amp;'Palabra no opera'!$A$2&amp;"*"))</f>
        <v>0</v>
      </c>
    </row>
    <row r="879" spans="1:26" ht="22.35" customHeight="1" x14ac:dyDescent="0.25">
      <c r="A879" s="65" t="str">
        <f>+IF(PROVEEDORES[[#This Row],[FECHA DE PAGO]]=PROVEEDORES[[#This Row],[FECHA DE FACTURACIÓN]],"DE CONTADO","CRÉDITO")</f>
        <v>CRÉDITO</v>
      </c>
      <c r="B879" s="38" t="b">
        <f>+IF((PROVEEDORES[[#This Row],[FECHA DE PAGO]]-PROVEEDORES[[#This Row],[FECHA DE FACTURACIÓN]])&gt;PROVEEDORES[[#This Row],[PLAZO Días]],"PAGO VENCIDO")</f>
        <v>0</v>
      </c>
      <c r="C879" s="20">
        <f>+VLOOKUP(PROVEEDORES[[#This Row],[PROVEEDOR]],TERCEROS_INFO[#All],2,FALSE)</f>
        <v>30</v>
      </c>
      <c r="D879" s="25">
        <f>+SUMIFS(PROVEEDORES[Total],PROVEEDORES[PROVEEDOR],PROVEEDORES[[#This Row],[PROVEEDOR]],PROVEEDORES[FECHA DE PAGO],"")</f>
        <v>0</v>
      </c>
      <c r="E879" s="25"/>
      <c r="F879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79" s="289">
        <v>45251</v>
      </c>
      <c r="H879" s="26" t="s">
        <v>203</v>
      </c>
      <c r="I879" s="289">
        <v>45247</v>
      </c>
      <c r="J879" s="35" t="s">
        <v>1274</v>
      </c>
      <c r="K879" s="21">
        <v>7880</v>
      </c>
      <c r="L879" s="21"/>
      <c r="M879" s="22">
        <f>(PROVEEDORES[[#This Row],[SUBTOTAL]]-PROVEEDORES[[#This Row],[descuento sobre subtotal]])*VLOOKUP(PROVEEDORES[[#This Row],[PROVEEDOR]],TERCEROS_INFO[#All],3,FALSE)</f>
        <v>0</v>
      </c>
      <c r="N879" s="23"/>
      <c r="O879" s="22">
        <f>+PROVEEDORES[[#This Row],[Descuento sobre subtotal %]]*(PROVEEDORES[[#This Row],[SUBTOTAL]]-PROVEEDORES[[#This Row],[descuento sobre subtotal]])</f>
        <v>0</v>
      </c>
      <c r="P879" s="72">
        <f>+IF(PROVEEDORES[[#This Row],[SUBTOTAL]]&lt;PROVEEDORES[[#This Row],[base retencion]],0,PROVEEDORES[[#This Row],[retención aplicada]])</f>
        <v>0</v>
      </c>
      <c r="Q879" s="22">
        <f>+PROVEEDORES[[#This Row],[Rete Fuente %]]*(PROVEEDORES[[#This Row],[SUBTOTAL]]-PROVEEDORES[[#This Row],[descuento sobre subtotal]])</f>
        <v>0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7880</v>
      </c>
      <c r="S8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1">
        <f ca="1">IF(PROVEEDORES[[#This Row],[FECHA DE PAGO]]=0,TODAY()-PROVEEDORES[[#This Row],[FECHA DE FACTURACIÓN]]-PROVEEDORES[[#This Row],[PLAZO Días]],0)</f>
        <v>0</v>
      </c>
      <c r="U879" s="97">
        <f>+VLOOKUP(PROVEEDORES[[#This Row],[PROVEEDOR]],Terceros!$A:$D,4,FALSE)</f>
        <v>0</v>
      </c>
      <c r="V879" s="98">
        <f>+YEAR(PROVEEDORES[[#This Row],[FECHA DE FACTURACIÓN]])</f>
        <v>2023</v>
      </c>
      <c r="W879" s="98">
        <f>+MATCH(PROVEEDORES[[#This Row],[año facturado]],Retenciones!$1:$1,0)</f>
        <v>6</v>
      </c>
      <c r="X879" s="99">
        <f>+VLOOKUP(PROVEEDORES[[#This Row],[ID RETENCION]],Retenciones!$A$1:$O$25,PROVEEDORES[[#This Row],[indicador de columna]],FALSE)</f>
        <v>0</v>
      </c>
      <c r="Y879" s="100">
        <f>+VLOOKUP(PROVEEDORES[[#This Row],[ID RETENCION]],Retenciones!$A$1:$O$25,2,FALSE)</f>
        <v>0</v>
      </c>
      <c r="Z879" s="103" t="b">
        <f>OR(COUNTIF(PROVEEDORES[[#This Row],[PROVEEDOR]],"*"&amp;'Palabra no opera'!$A$2&amp;"*"))</f>
        <v>0</v>
      </c>
    </row>
    <row r="880" spans="1:26" ht="22.35" customHeight="1" x14ac:dyDescent="0.25">
      <c r="A880" s="270" t="str">
        <f>+IF(PROVEEDORES[[#This Row],[FECHA DE PAGO]]=PROVEEDORES[[#This Row],[FECHA DE FACTURACIÓN]],"DE CONTADO","CRÉDITO")</f>
        <v>DE CONTADO</v>
      </c>
      <c r="B880" s="38" t="b">
        <f>+IF((PROVEEDORES[[#This Row],[FECHA DE PAGO]]-PROVEEDORES[[#This Row],[FECHA DE FACTURACIÓN]])&gt;PROVEEDORES[[#This Row],[PLAZO Días]],"PAGO VENCIDO")</f>
        <v>0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0</v>
      </c>
      <c r="E880" s="25"/>
      <c r="F880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80" s="289">
        <v>45293</v>
      </c>
      <c r="H880" s="26" t="s">
        <v>203</v>
      </c>
      <c r="I880" s="289">
        <v>45293</v>
      </c>
      <c r="J880" s="35" t="s">
        <v>1456</v>
      </c>
      <c r="K880" s="21">
        <v>1690000</v>
      </c>
      <c r="L880" s="21"/>
      <c r="M880" s="22">
        <f>(PROVEEDORES[[#This Row],[SUBTOTAL]]-PROVEEDORES[[#This Row],[descuento sobre subtotal]])*VLOOKUP(PROVEEDORES[[#This Row],[PROVEEDOR]],TERCEROS_INFO[#All],3,FALSE)</f>
        <v>0</v>
      </c>
      <c r="N880" s="23"/>
      <c r="O880" s="22">
        <f>+PROVEEDORES[[#This Row],[Descuento sobre subtotal %]]*(PROVEEDORES[[#This Row],[SUBTOTAL]]-PROVEEDORES[[#This Row],[descuento sobre subtotal]])</f>
        <v>0</v>
      </c>
      <c r="P880" s="72">
        <f>+IF(PROVEEDORES[[#This Row],[SUBTOTAL]]&lt;PROVEEDORES[[#This Row],[base retencion]],0,PROVEEDORES[[#This Row],[retención aplicada]])</f>
        <v>0</v>
      </c>
      <c r="Q880" s="22">
        <f>+PROVEEDORES[[#This Row],[Rete Fuente %]]*(PROVEEDORES[[#This Row],[SUBTOTAL]]-PROVEEDORES[[#This Row],[descuento sobre subtotal]])</f>
        <v>0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1690000</v>
      </c>
      <c r="S880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1">
        <f ca="1">IF(PROVEEDORES[[#This Row],[FECHA DE PAGO]]=0,TODAY()-PROVEEDORES[[#This Row],[FECHA DE FACTURACIÓN]]-PROVEEDORES[[#This Row],[PLAZO Días]],0)</f>
        <v>0</v>
      </c>
      <c r="U880" s="97">
        <f>+VLOOKUP(PROVEEDORES[[#This Row],[PROVEEDOR]],Terceros!$A:$D,4,FALSE)</f>
        <v>0</v>
      </c>
      <c r="V880" s="98">
        <f>+YEAR(PROVEEDORES[[#This Row],[FECHA DE FACTURACIÓN]])</f>
        <v>2024</v>
      </c>
      <c r="W880" s="98">
        <f>+MATCH(PROVEEDORES[[#This Row],[año facturado]],Retenciones!$1:$1,0)</f>
        <v>7</v>
      </c>
      <c r="X880" s="99">
        <f>+VLOOKUP(PROVEEDORES[[#This Row],[ID RETENCION]],Retenciones!$A$1:$O$25,PROVEEDORES[[#This Row],[indicador de columna]],FALSE)</f>
        <v>0</v>
      </c>
      <c r="Y880" s="100">
        <f>+VLOOKUP(PROVEEDORES[[#This Row],[ID RETENCION]],Retenciones!$A$1:$O$25,2,FALSE)</f>
        <v>0</v>
      </c>
      <c r="Z880" s="103" t="b">
        <f>OR(COUNTIF(PROVEEDORES[[#This Row],[PROVEEDOR]],"*"&amp;'Palabra no opera'!$A$2&amp;"*"))</f>
        <v>0</v>
      </c>
    </row>
    <row r="881" spans="1:26" ht="22.35" customHeight="1" x14ac:dyDescent="0.25">
      <c r="A881" s="310" t="str">
        <f>+IF(PROVEEDORES[[#This Row],[FECHA DE PAGO]]=PROVEEDORES[[#This Row],[FECHA DE FACTURACIÓN]],"DE CONTADO","CRÉDITO")</f>
        <v>CRÉDITO</v>
      </c>
      <c r="B881" s="38" t="b">
        <f>+IF((PROVEEDORES[[#This Row],[FECHA DE PAGO]]-PROVEEDORES[[#This Row],[FECHA DE FACTURACIÓN]])&gt;PROVEEDORES[[#This Row],[PLAZO Días]],"PAGO VENCIDO")</f>
        <v>0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0</v>
      </c>
      <c r="E881" s="25"/>
      <c r="F881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81" s="289">
        <v>45308</v>
      </c>
      <c r="H881" s="26" t="s">
        <v>203</v>
      </c>
      <c r="I881" s="289">
        <v>45307</v>
      </c>
      <c r="J881" s="35" t="s">
        <v>1509</v>
      </c>
      <c r="K881" s="21">
        <v>1974686</v>
      </c>
      <c r="L881" s="21"/>
      <c r="M881" s="22">
        <f>(PROVEEDORES[[#This Row],[SUBTOTAL]]-PROVEEDORES[[#This Row],[descuento sobre subtotal]])*VLOOKUP(PROVEEDORES[[#This Row],[PROVEEDOR]],TERCEROS_INFO[#All],3,FALSE)</f>
        <v>0</v>
      </c>
      <c r="N881" s="23"/>
      <c r="O881" s="22">
        <f>+PROVEEDORES[[#This Row],[Descuento sobre subtotal %]]*(PROVEEDORES[[#This Row],[SUBTOTAL]]-PROVEEDORES[[#This Row],[descuento sobre subtotal]])</f>
        <v>0</v>
      </c>
      <c r="P881" s="72">
        <f>+IF(PROVEEDORES[[#This Row],[SUBTOTAL]]&lt;PROVEEDORES[[#This Row],[base retencion]],0,PROVEEDORES[[#This Row],[retención aplicada]])</f>
        <v>0</v>
      </c>
      <c r="Q881" s="22">
        <f>+PROVEEDORES[[#This Row],[Rete Fuente %]]*(PROVEEDORES[[#This Row],[SUBTOTAL]]-PROVEEDORES[[#This Row],[descuento sobre subtotal]])</f>
        <v>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1974686</v>
      </c>
      <c r="S881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1">
        <f ca="1">IF(PROVEEDORES[[#This Row],[FECHA DE PAGO]]=0,TODAY()-PROVEEDORES[[#This Row],[FECHA DE FACTURACIÓN]]-PROVEEDORES[[#This Row],[PLAZO Días]],0)</f>
        <v>0</v>
      </c>
      <c r="U881" s="97">
        <f>+VLOOKUP(PROVEEDORES[[#This Row],[PROVEEDOR]],Terceros!$A:$D,4,FALSE)</f>
        <v>0</v>
      </c>
      <c r="V881" s="98">
        <f>+YEAR(PROVEEDORES[[#This Row],[FECHA DE FACTURACIÓN]])</f>
        <v>2024</v>
      </c>
      <c r="W881" s="98">
        <f>+MATCH(PROVEEDORES[[#This Row],[año facturado]],Retenciones!$1:$1,0)</f>
        <v>7</v>
      </c>
      <c r="X881" s="99">
        <f>+VLOOKUP(PROVEEDORES[[#This Row],[ID RETENCION]],Retenciones!$A$1:$O$25,PROVEEDORES[[#This Row],[indicador de columna]],FALSE)</f>
        <v>0</v>
      </c>
      <c r="Y881" s="100">
        <f>+VLOOKUP(PROVEEDORES[[#This Row],[ID RETENCION]],Retenciones!$A$1:$O$25,2,FALSE)</f>
        <v>0</v>
      </c>
      <c r="Z881" s="103" t="b">
        <f>OR(COUNTIF(PROVEEDORES[[#This Row],[PROVEEDOR]],"*"&amp;'Palabra no opera'!$A$2&amp;"*"))</f>
        <v>0</v>
      </c>
    </row>
    <row r="882" spans="1:26" ht="22.35" customHeight="1" x14ac:dyDescent="0.25">
      <c r="A882" s="219" t="str">
        <f>+IF(PROVEEDORES[[#This Row],[FECHA DE PAGO]]=PROVEEDORES[[#This Row],[FECHA DE FACTURACIÓN]],"DE CONTADO","CRÉDITO")</f>
        <v>CRÉDITO</v>
      </c>
      <c r="B882" s="38" t="str">
        <f>+IF((PROVEEDORES[[#This Row],[FECHA DE PAGO]]-PROVEEDORES[[#This Row],[FECHA DE FACTURACIÓN]])&gt;PROVEEDORES[[#This Row],[PLAZO Días]],"PAGO VENCIDO")</f>
        <v>PAGO VENCIDO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0</v>
      </c>
      <c r="E882" s="25"/>
      <c r="F882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882" s="289">
        <v>45208</v>
      </c>
      <c r="H882" s="26" t="s">
        <v>75</v>
      </c>
      <c r="I882" s="289">
        <v>45135</v>
      </c>
      <c r="J882" s="35" t="s">
        <v>997</v>
      </c>
      <c r="K882" s="21">
        <v>5771424</v>
      </c>
      <c r="L882" s="21"/>
      <c r="M882" s="22">
        <f>(PROVEEDORES[[#This Row],[SUBTOTAL]]-PROVEEDORES[[#This Row],[descuento sobre subtotal]])*VLOOKUP(PROVEEDORES[[#This Row],[PROVEEDOR]],TERCEROS_INFO[#All],3,FALSE)</f>
        <v>1096570.56</v>
      </c>
      <c r="N882" s="23"/>
      <c r="O882" s="22">
        <f>+PROVEEDORES[[#This Row],[Descuento sobre subtotal %]]*(PROVEEDORES[[#This Row],[SUBTOTAL]]-PROVEEDORES[[#This Row],[descuento sobre subtotal]])</f>
        <v>0</v>
      </c>
      <c r="P882" s="72">
        <f>+IF(PROVEEDORES[[#This Row],[SUBTOTAL]]&lt;PROVEEDORES[[#This Row],[base retencion]],0,PROVEEDORES[[#This Row],[retención aplicada]])</f>
        <v>2.5000000000000001E-2</v>
      </c>
      <c r="Q882" s="22">
        <f>+PROVEEDORES[[#This Row],[Rete Fuente %]]*(PROVEEDORES[[#This Row],[SUBTOTAL]]-PROVEEDORES[[#This Row],[descuento sobre subtotal]])</f>
        <v>144285.6</v>
      </c>
      <c r="R882" s="21">
        <f>+PROVEEDORES[[#This Row],[SUBTOTAL]]+PROVEEDORES[[#This Row],[IVA 19%]]-PROVEEDORES[[#This Row],[descuento sobre subtotal]]-PROVEEDORES[[#This Row],[Descuento sobre subtotal $2]]-PROVEEDORES[[#This Row],[Rete Fuente $]]</f>
        <v>6723708.9600000009</v>
      </c>
      <c r="S882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1">
        <f ca="1">IF(PROVEEDORES[[#This Row],[FECHA DE PAGO]]=0,TODAY()-PROVEEDORES[[#This Row],[FECHA DE FACTURACIÓN]]-PROVEEDORES[[#This Row],[PLAZO Días]],0)</f>
        <v>0</v>
      </c>
      <c r="U882" s="97" t="str">
        <f>+VLOOKUP(PROVEEDORES[[#This Row],[PROVEEDOR]],Terceros!$A:$D,4,FALSE)</f>
        <v>2,5% con base</v>
      </c>
      <c r="V882" s="98">
        <f>+YEAR(PROVEEDORES[[#This Row],[FECHA DE FACTURACIÓN]])</f>
        <v>2023</v>
      </c>
      <c r="W882" s="98">
        <f>+MATCH(PROVEEDORES[[#This Row],[año facturado]],Retenciones!$1:$1,0)</f>
        <v>6</v>
      </c>
      <c r="X882" s="99">
        <f>+VLOOKUP(PROVEEDORES[[#This Row],[ID RETENCION]],Retenciones!$A$1:$O$25,PROVEEDORES[[#This Row],[indicador de columna]],FALSE)</f>
        <v>1145000</v>
      </c>
      <c r="Y882" s="100">
        <f>+VLOOKUP(PROVEEDORES[[#This Row],[ID RETENCION]],Retenciones!$A$1:$O$25,2,FALSE)</f>
        <v>2.5000000000000001E-2</v>
      </c>
      <c r="Z882" s="103" t="b">
        <f>OR(COUNTIF(PROVEEDORES[[#This Row],[PROVEEDOR]],"*"&amp;'Palabra no opera'!$A$2&amp;"*"))</f>
        <v>0</v>
      </c>
    </row>
    <row r="883" spans="1:26" ht="22.35" customHeight="1" x14ac:dyDescent="0.25">
      <c r="A883" s="262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30</v>
      </c>
      <c r="D883" s="25">
        <f>+SUMIFS(PROVEEDORES[Total],PROVEEDORES[PROVEEDOR],PROVEEDORES[[#This Row],[PROVEEDOR]],PROVEEDORES[FECHA DE PAGO],"")</f>
        <v>0</v>
      </c>
      <c r="E883" s="25"/>
      <c r="F883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883" s="289">
        <v>45287</v>
      </c>
      <c r="H883" s="26" t="s">
        <v>75</v>
      </c>
      <c r="I883" s="289">
        <v>45246</v>
      </c>
      <c r="J883" s="35" t="s">
        <v>1306</v>
      </c>
      <c r="K883" s="21">
        <v>16744527</v>
      </c>
      <c r="L883" s="21"/>
      <c r="M883" s="22">
        <f>(PROVEEDORES[[#This Row],[SUBTOTAL]]-PROVEEDORES[[#This Row],[descuento sobre subtotal]])*VLOOKUP(PROVEEDORES[[#This Row],[PROVEEDOR]],TERCEROS_INFO[#All],3,FALSE)</f>
        <v>3181460.13</v>
      </c>
      <c r="N883" s="23">
        <v>0.05</v>
      </c>
      <c r="O883" s="22">
        <f>+PROVEEDORES[[#This Row],[Descuento sobre subtotal %]]*(PROVEEDORES[[#This Row],[SUBTOTAL]]-PROVEEDORES[[#This Row],[descuento sobre subtotal]])</f>
        <v>837226.35000000009</v>
      </c>
      <c r="P883" s="72">
        <f>+IF(PROVEEDORES[[#This Row],[SUBTOTAL]]&lt;PROVEEDORES[[#This Row],[base retencion]],0,PROVEEDORES[[#This Row],[retención aplicada]])</f>
        <v>2.5000000000000001E-2</v>
      </c>
      <c r="Q883" s="22">
        <f>+PROVEEDORES[[#This Row],[Rete Fuente %]]*(PROVEEDORES[[#This Row],[SUBTOTAL]]-PROVEEDORES[[#This Row],[descuento sobre subtotal]])</f>
        <v>418613.17500000005</v>
      </c>
      <c r="R883" s="21">
        <f>+PROVEEDORES[[#This Row],[SUBTOTAL]]+PROVEEDORES[[#This Row],[IVA 19%]]-PROVEEDORES[[#This Row],[descuento sobre subtotal]]-PROVEEDORES[[#This Row],[Descuento sobre subtotal $2]]-PROVEEDORES[[#This Row],[Rete Fuente $]]</f>
        <v>18670147.604999997</v>
      </c>
      <c r="S883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1">
        <f ca="1">IF(PROVEEDORES[[#This Row],[FECHA DE PAGO]]=0,TODAY()-PROVEEDORES[[#This Row],[FECHA DE FACTURACIÓN]]-PROVEEDORES[[#This Row],[PLAZO Días]],0)</f>
        <v>0</v>
      </c>
      <c r="U883" s="97" t="str">
        <f>+VLOOKUP(PROVEEDORES[[#This Row],[PROVEEDOR]],Terceros!$A:$D,4,FALSE)</f>
        <v>2,5% con base</v>
      </c>
      <c r="V883" s="98">
        <f>+YEAR(PROVEEDORES[[#This Row],[FECHA DE FACTURACIÓN]])</f>
        <v>2023</v>
      </c>
      <c r="W883" s="98">
        <f>+MATCH(PROVEEDORES[[#This Row],[año facturado]],Retenciones!$1:$1,0)</f>
        <v>6</v>
      </c>
      <c r="X883" s="99">
        <f>+VLOOKUP(PROVEEDORES[[#This Row],[ID RETENCION]],Retenciones!$A$1:$O$25,PROVEEDORES[[#This Row],[indicador de columna]],FALSE)</f>
        <v>1145000</v>
      </c>
      <c r="Y883" s="100">
        <f>+VLOOKUP(PROVEEDORES[[#This Row],[ID RETENCION]],Retenciones!$A$1:$O$25,2,FALSE)</f>
        <v>2.5000000000000001E-2</v>
      </c>
      <c r="Z883" s="103" t="b">
        <f>OR(COUNTIF(PROVEEDORES[[#This Row],[PROVEEDOR]],"*"&amp;'Palabra no opera'!$A$2&amp;"*"))</f>
        <v>0</v>
      </c>
    </row>
    <row r="884" spans="1:26" ht="22.35" customHeight="1" x14ac:dyDescent="0.25">
      <c r="A884" s="65" t="str">
        <f>+IF(PROVEEDORES[[#This Row],[FECHA DE PAGO]]=PROVEEDORES[[#This Row],[FECHA DE FACTURACIÓN]],"DE CONTADO","CRÉDITO")</f>
        <v>CRÉDITO</v>
      </c>
      <c r="B884" s="38" t="b">
        <f>+IF((PROVEEDORES[[#This Row],[FECHA DE PAGO]]-PROVEEDORES[[#This Row],[FECHA DE FACTURACIÓN]])&gt;PROVEEDORES[[#This Row],[PLAZO Días]],"PAGO VENCIDO")</f>
        <v>0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6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884" s="289">
        <v>45287</v>
      </c>
      <c r="H884" s="26" t="s">
        <v>75</v>
      </c>
      <c r="I884" s="289">
        <v>45286</v>
      </c>
      <c r="J884" s="35" t="s">
        <v>1428</v>
      </c>
      <c r="K884" s="21">
        <v>-6302521</v>
      </c>
      <c r="L884" s="21"/>
      <c r="M884" s="22">
        <f>(PROVEEDORES[[#This Row],[SUBTOTAL]]-PROVEEDORES[[#This Row],[descuento sobre subtotal]])*VLOOKUP(PROVEEDORES[[#This Row],[PROVEEDOR]],TERCEROS_INFO[#All],3,FALSE)</f>
        <v>-1197478.99</v>
      </c>
      <c r="N884" s="23"/>
      <c r="O884" s="22">
        <f>+PROVEEDORES[[#This Row],[Descuento sobre subtotal %]]*(PROVEEDORES[[#This Row],[SUBTOTAL]]-PROVEEDORES[[#This Row],[descuento sobre subtotal]])</f>
        <v>0</v>
      </c>
      <c r="P884" s="72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-7499999.9900000002</v>
      </c>
      <c r="S8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1">
        <f ca="1">IF(PROVEEDORES[[#This Row],[FECHA DE PAGO]]=0,TODAY()-PROVEEDORES[[#This Row],[FECHA DE FACTURACIÓN]]-PROVEEDORES[[#This Row],[PLAZO Días]],0)</f>
        <v>0</v>
      </c>
      <c r="U884" s="97" t="str">
        <f>+VLOOKUP(PROVEEDORES[[#This Row],[PROVEEDOR]],Terceros!$A:$D,4,FALSE)</f>
        <v>2,5% con base</v>
      </c>
      <c r="V884" s="98">
        <f>+YEAR(PROVEEDORES[[#This Row],[FECHA DE FACTURACIÓN]])</f>
        <v>2023</v>
      </c>
      <c r="W884" s="98">
        <f>+MATCH(PROVEEDORES[[#This Row],[año facturado]],Retenciones!$1:$1,0)</f>
        <v>6</v>
      </c>
      <c r="X884" s="99">
        <f>+VLOOKUP(PROVEEDORES[[#This Row],[ID RETENCION]],Retenciones!$A$1:$O$25,PROVEEDORES[[#This Row],[indicador de columna]],FALSE)</f>
        <v>1145000</v>
      </c>
      <c r="Y884" s="100">
        <f>+VLOOKUP(PROVEEDORES[[#This Row],[ID RETENCION]],Retenciones!$A$1:$O$25,2,FALSE)</f>
        <v>2.5000000000000001E-2</v>
      </c>
      <c r="Z884" s="103" t="b">
        <f>OR(COUNTIF(PROVEEDORES[[#This Row],[PROVEEDOR]],"*"&amp;'Palabra no opera'!$A$2&amp;"*"))</f>
        <v>0</v>
      </c>
    </row>
    <row r="885" spans="1:26" ht="22.35" customHeight="1" x14ac:dyDescent="0.25">
      <c r="A885" s="153" t="str">
        <f>+IF(PROVEEDORES[[#This Row],[FECHA DE PAGO]]=PROVEEDORES[[#This Row],[FECHA DE FACTURACIÓN]],"DE CONTADO","CRÉDITO")</f>
        <v>CRÉDITO</v>
      </c>
      <c r="B885" s="38" t="b">
        <f>+IF((PROVEEDORES[[#This Row],[FECHA DE PAGO]]-PROVEEDORES[[#This Row],[FECHA DE FACTURACIÓN]])&gt;PROVEEDORES[[#This Row],[PLAZO Días]],"PAGO VENCIDO")</f>
        <v>0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0</v>
      </c>
      <c r="E885" s="25"/>
      <c r="F885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885" s="289">
        <v>44983</v>
      </c>
      <c r="H885" s="26" t="s">
        <v>462</v>
      </c>
      <c r="I885" s="289">
        <v>44965</v>
      </c>
      <c r="J885" s="35" t="s">
        <v>608</v>
      </c>
      <c r="K885" s="21">
        <v>579832</v>
      </c>
      <c r="L885" s="21"/>
      <c r="M885" s="22">
        <f>(PROVEEDORES[[#This Row],[SUBTOTAL]]-PROVEEDORES[[#This Row],[descuento sobre subtotal]])*VLOOKUP(PROVEEDORES[[#This Row],[PROVEEDOR]],TERCEROS_INFO[#All],3,FALSE)</f>
        <v>110168.08</v>
      </c>
      <c r="N885" s="23"/>
      <c r="O885" s="22">
        <f>+PROVEEDORES[[#This Row],[Descuento sobre subtotal %]]*(PROVEEDORES[[#This Row],[SUBTOTAL]]-PROVEEDORES[[#This Row],[descuento sobre subtotal]])</f>
        <v>0</v>
      </c>
      <c r="P885" s="72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690000.08</v>
      </c>
      <c r="S885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1">
        <f ca="1">IF(PROVEEDORES[[#This Row],[FECHA DE PAGO]]=0,TODAY()-PROVEEDORES[[#This Row],[FECHA DE FACTURACIÓN]]-PROVEEDORES[[#This Row],[PLAZO Días]],0)</f>
        <v>0</v>
      </c>
      <c r="U885" s="97">
        <f>+VLOOKUP(PROVEEDORES[[#This Row],[PROVEEDOR]],Terceros!$A:$D,4,FALSE)</f>
        <v>0</v>
      </c>
      <c r="V885" s="98">
        <f>+YEAR(PROVEEDORES[[#This Row],[FECHA DE FACTURACIÓN]])</f>
        <v>2023</v>
      </c>
      <c r="W885" s="98">
        <f>+MATCH(PROVEEDORES[[#This Row],[año facturado]],Retenciones!$1:$1,0)</f>
        <v>6</v>
      </c>
      <c r="X885" s="99">
        <f>+VLOOKUP(PROVEEDORES[[#This Row],[ID RETENCION]],Retenciones!$A$1:$O$25,PROVEEDORES[[#This Row],[indicador de columna]],FALSE)</f>
        <v>0</v>
      </c>
      <c r="Y885" s="100">
        <f>+VLOOKUP(PROVEEDORES[[#This Row],[ID RETENCION]],Retenciones!$A$1:$O$25,2,FALSE)</f>
        <v>0</v>
      </c>
      <c r="Z885" s="103" t="b">
        <f>OR(COUNTIF(PROVEEDORES[[#This Row],[PROVEEDOR]],"*"&amp;'Palabra no opera'!$A$2&amp;"*"))</f>
        <v>0</v>
      </c>
    </row>
    <row r="886" spans="1:26" ht="22.35" customHeight="1" x14ac:dyDescent="0.25">
      <c r="A886" s="153" t="str">
        <f>+IF(PROVEEDORES[[#This Row],[FECHA DE PAGO]]=PROVEEDORES[[#This Row],[FECHA DE FACTURACIÓN]],"DE CONTADO","CRÉDITO")</f>
        <v>CRÉDITO</v>
      </c>
      <c r="B886" s="38" t="b">
        <f>+IF((PROVEEDORES[[#This Row],[FECHA DE PAGO]]-PROVEEDORES[[#This Row],[FECHA DE FACTURACIÓN]])&gt;PROVEEDORES[[#This Row],[PLAZO Días]],"PAGO VENCIDO")</f>
        <v>0</v>
      </c>
      <c r="C886" s="20">
        <f>+VLOOKUP(PROVEEDORES[[#This Row],[PROVEEDOR]],TERCEROS_INFO[#All],2,FALSE)</f>
        <v>30</v>
      </c>
      <c r="D886" s="25">
        <f>+SUMIFS(PROVEEDORES[Total],PROVEEDORES[PROVEEDOR],PROVEEDORES[[#This Row],[PROVEEDOR]],PROVEEDORES[FECHA DE PAGO],"")</f>
        <v>0</v>
      </c>
      <c r="E886" s="25"/>
      <c r="F886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886" s="289">
        <v>44983</v>
      </c>
      <c r="H886" s="26" t="s">
        <v>462</v>
      </c>
      <c r="I886" s="289">
        <v>44967</v>
      </c>
      <c r="J886" s="35" t="s">
        <v>609</v>
      </c>
      <c r="K886" s="21">
        <v>425210</v>
      </c>
      <c r="L886" s="21"/>
      <c r="M886" s="22">
        <f>(PROVEEDORES[[#This Row],[SUBTOTAL]]-PROVEEDORES[[#This Row],[descuento sobre subtotal]])*VLOOKUP(PROVEEDORES[[#This Row],[PROVEEDOR]],TERCEROS_INFO[#All],3,FALSE)</f>
        <v>80789.899999999994</v>
      </c>
      <c r="N886" s="23"/>
      <c r="O886" s="22">
        <f>+PROVEEDORES[[#This Row],[Descuento sobre subtotal %]]*(PROVEEDORES[[#This Row],[SUBTOTAL]]-PROVEEDORES[[#This Row],[descuento sobre subtotal]])</f>
        <v>0</v>
      </c>
      <c r="P886" s="72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505999.9</v>
      </c>
      <c r="S886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1">
        <f ca="1">IF(PROVEEDORES[[#This Row],[FECHA DE PAGO]]=0,TODAY()-PROVEEDORES[[#This Row],[FECHA DE FACTURACIÓN]]-PROVEEDORES[[#This Row],[PLAZO Días]],0)</f>
        <v>0</v>
      </c>
      <c r="U886" s="97">
        <f>+VLOOKUP(PROVEEDORES[[#This Row],[PROVEEDOR]],Terceros!$A:$D,4,FALSE)</f>
        <v>0</v>
      </c>
      <c r="V886" s="98">
        <f>+YEAR(PROVEEDORES[[#This Row],[FECHA DE FACTURACIÓN]])</f>
        <v>2023</v>
      </c>
      <c r="W886" s="98">
        <f>+MATCH(PROVEEDORES[[#This Row],[año facturado]],Retenciones!$1:$1,0)</f>
        <v>6</v>
      </c>
      <c r="X886" s="99">
        <f>+VLOOKUP(PROVEEDORES[[#This Row],[ID RETENCION]],Retenciones!$A$1:$O$25,PROVEEDORES[[#This Row],[indicador de columna]],FALSE)</f>
        <v>0</v>
      </c>
      <c r="Y886" s="100">
        <f>+VLOOKUP(PROVEEDORES[[#This Row],[ID RETENCION]],Retenciones!$A$1:$O$25,2,FALSE)</f>
        <v>0</v>
      </c>
      <c r="Z886" s="103" t="b">
        <f>OR(COUNTIF(PROVEEDORES[[#This Row],[PROVEEDOR]],"*"&amp;'Palabra no opera'!$A$2&amp;"*"))</f>
        <v>0</v>
      </c>
    </row>
    <row r="887" spans="1:26" ht="22.35" customHeight="1" x14ac:dyDescent="0.25">
      <c r="A887" s="65" t="str">
        <f>+IF(PROVEEDORES[[#This Row],[FECHA DE PAGO]]=PROVEEDORES[[#This Row],[FECHA DE FACTURACIÓN]],"DE CONTADO","CRÉDITO")</f>
        <v>DE CONTADO</v>
      </c>
      <c r="B887" s="38" t="b">
        <f>+IF((PROVEEDORES[[#This Row],[FECHA DE PAGO]]-PROVEEDORES[[#This Row],[FECHA DE FACTURACIÓN]])&gt;PROVEEDORES[[#This Row],[PLAZO Días]],"PAGO VENCIDO")</f>
        <v>0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6" t="str">
        <f>+VLOOKUP(PROVEEDORES[[#This Row],[PROVEEDOR]],
                       Terceros!$A:$F,
                       5,
                       FALSE)</f>
        <v>LMGS789@HOTMAIL.COM;girlesa.ruiz@servipilas.com;joriescobar64@gmail.com</v>
      </c>
      <c r="G887" s="289">
        <v>45083</v>
      </c>
      <c r="H887" s="26" t="s">
        <v>462</v>
      </c>
      <c r="I887" s="289">
        <v>45083</v>
      </c>
      <c r="J887" s="35" t="s">
        <v>871</v>
      </c>
      <c r="K887" s="21">
        <v>428571</v>
      </c>
      <c r="L887" s="21"/>
      <c r="M887" s="22">
        <f>(PROVEEDORES[[#This Row],[SUBTOTAL]]-PROVEEDORES[[#This Row],[descuento sobre subtotal]])*VLOOKUP(PROVEEDORES[[#This Row],[PROVEEDOR]],TERCEROS_INFO[#All],3,FALSE)</f>
        <v>81428.490000000005</v>
      </c>
      <c r="N887" s="23"/>
      <c r="O887" s="22">
        <f>+PROVEEDORES[[#This Row],[Descuento sobre subtotal %]]*(PROVEEDORES[[#This Row],[SUBTOTAL]]-PROVEEDORES[[#This Row],[descuento sobre subtotal]])</f>
        <v>0</v>
      </c>
      <c r="P887" s="72">
        <f>+IF(PROVEEDORES[[#This Row],[SUBTOTAL]]&lt;PROVEEDORES[[#This Row],[base retencion]],0,PROVEEDORES[[#This Row],[retención aplicada]])</f>
        <v>0</v>
      </c>
      <c r="Q887" s="22">
        <f>+PROVEEDORES[[#This Row],[Rete Fuente %]]*(PROVEEDORES[[#This Row],[SUBTOTAL]]-PROVEEDORES[[#This Row],[descuento sobre subtotal]])</f>
        <v>0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509999.49</v>
      </c>
      <c r="S8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1">
        <f ca="1">IF(PROVEEDORES[[#This Row],[FECHA DE PAGO]]=0,TODAY()-PROVEEDORES[[#This Row],[FECHA DE FACTURACIÓN]]-PROVEEDORES[[#This Row],[PLAZO Días]],0)</f>
        <v>0</v>
      </c>
      <c r="U887" s="97">
        <f>+VLOOKUP(PROVEEDORES[[#This Row],[PROVEEDOR]],Terceros!$A:$D,4,FALSE)</f>
        <v>0</v>
      </c>
      <c r="V887" s="98">
        <f>+YEAR(PROVEEDORES[[#This Row],[FECHA DE FACTURACIÓN]])</f>
        <v>2023</v>
      </c>
      <c r="W887" s="98">
        <f>+MATCH(PROVEEDORES[[#This Row],[año facturado]],Retenciones!$1:$1,0)</f>
        <v>6</v>
      </c>
      <c r="X887" s="99">
        <f>+VLOOKUP(PROVEEDORES[[#This Row],[ID RETENCION]],Retenciones!$A$1:$O$25,PROVEEDORES[[#This Row],[indicador de columna]],FALSE)</f>
        <v>0</v>
      </c>
      <c r="Y887" s="100">
        <f>+VLOOKUP(PROVEEDORES[[#This Row],[ID RETENCION]],Retenciones!$A$1:$O$25,2,FALSE)</f>
        <v>0</v>
      </c>
      <c r="Z887" s="103" t="b">
        <f>OR(COUNTIF(PROVEEDORES[[#This Row],[PROVEEDOR]],"*"&amp;'Palabra no opera'!$A$2&amp;"*"))</f>
        <v>0</v>
      </c>
    </row>
    <row r="888" spans="1:26" ht="22.35" customHeight="1" x14ac:dyDescent="0.25">
      <c r="A888" s="153" t="str">
        <f>+IF(PROVEEDORES[[#This Row],[FECHA DE PAGO]]=PROVEEDORES[[#This Row],[FECHA DE FACTURACIÓN]],"DE CONTADO","CRÉDITO")</f>
        <v>CRÉDITO</v>
      </c>
      <c r="B888" s="38" t="str">
        <f>+IF((PROVEEDORES[[#This Row],[FECHA DE PAGO]]-PROVEEDORES[[#This Row],[FECHA DE FACTURACIÓN]])&gt;PROVEEDORES[[#This Row],[PLAZO Días]],"PAGO VENCIDO")</f>
        <v>PAGO VENCIDO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3436655.6310000001</v>
      </c>
      <c r="E888" s="25"/>
      <c r="F888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888" s="289">
        <v>45028</v>
      </c>
      <c r="H888" s="26" t="s">
        <v>32</v>
      </c>
      <c r="I888" s="289">
        <v>44967</v>
      </c>
      <c r="J888" s="35" t="s">
        <v>610</v>
      </c>
      <c r="K888" s="21">
        <v>4044034</v>
      </c>
      <c r="L888" s="21"/>
      <c r="M888" s="22">
        <f>(PROVEEDORES[[#This Row],[SUBTOTAL]]-PROVEEDORES[[#This Row],[descuento sobre subtotal]])*VLOOKUP(PROVEEDORES[[#This Row],[PROVEEDOR]],TERCEROS_INFO[#All],3,FALSE)</f>
        <v>768366.46</v>
      </c>
      <c r="N888" s="23"/>
      <c r="O888" s="22">
        <f>+PROVEEDORES[[#This Row],[Descuento sobre subtotal %]]*(PROVEEDORES[[#This Row],[SUBTOTAL]]-PROVEEDORES[[#This Row],[descuento sobre subtotal]])</f>
        <v>0</v>
      </c>
      <c r="P888" s="72">
        <f>+IF(PROVEEDORES[[#This Row],[SUBTOTAL]]&lt;PROVEEDORES[[#This Row],[base retencion]],0,PROVEEDORES[[#This Row],[retención aplicada]])</f>
        <v>2.5000000000000001E-2</v>
      </c>
      <c r="Q888" s="22">
        <f>+PROVEEDORES[[#This Row],[Rete Fuente %]]*(PROVEEDORES[[#This Row],[SUBTOTAL]]-PROVEEDORES[[#This Row],[descuento sobre subtotal]])</f>
        <v>101100.85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4711299.6100000003</v>
      </c>
      <c r="S888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1">
        <f ca="1">IF(PROVEEDORES[[#This Row],[FECHA DE PAGO]]=0,TODAY()-PROVEEDORES[[#This Row],[FECHA DE FACTURACIÓN]]-PROVEEDORES[[#This Row],[PLAZO Días]],0)</f>
        <v>0</v>
      </c>
      <c r="U888" s="97" t="str">
        <f>+VLOOKUP(PROVEEDORES[[#This Row],[PROVEEDOR]],Terceros!$A:$D,4,FALSE)</f>
        <v>2,5% con base</v>
      </c>
      <c r="V888" s="98">
        <f>+YEAR(PROVEEDORES[[#This Row],[FECHA DE FACTURACIÓN]])</f>
        <v>2023</v>
      </c>
      <c r="W888" s="98">
        <f>+MATCH(PROVEEDORES[[#This Row],[año facturado]],Retenciones!$1:$1,0)</f>
        <v>6</v>
      </c>
      <c r="X888" s="99">
        <f>+VLOOKUP(PROVEEDORES[[#This Row],[ID RETENCION]],Retenciones!$A$1:$O$25,PROVEEDORES[[#This Row],[indicador de columna]],FALSE)</f>
        <v>1145000</v>
      </c>
      <c r="Y888" s="100">
        <f>+VLOOKUP(PROVEEDORES[[#This Row],[ID RETENCION]],Retenciones!$A$1:$O$25,2,FALSE)</f>
        <v>2.5000000000000001E-2</v>
      </c>
      <c r="Z888" s="103" t="b">
        <f>OR(COUNTIF(PROVEEDORES[[#This Row],[PROVEEDOR]],"*"&amp;'Palabra no opera'!$A$2&amp;"*"))</f>
        <v>0</v>
      </c>
    </row>
    <row r="889" spans="1:26" ht="22.35" customHeight="1" x14ac:dyDescent="0.25">
      <c r="A889" s="65" t="str">
        <f>+IF(PROVEEDORES[[#This Row],[FECHA DE PAGO]]=PROVEEDORES[[#This Row],[FECHA DE FACTURACIÓN]],"DE CONTADO","CRÉDITO")</f>
        <v>CRÉDITO</v>
      </c>
      <c r="B889" s="38" t="str">
        <f>+IF((PROVEEDORES[[#This Row],[FECHA DE PAGO]]-PROVEEDORES[[#This Row],[FECHA DE FACTURACIÓN]])&gt;PROVEEDORES[[#This Row],[PLAZO Días]],"PAGO VENCIDO")</f>
        <v>PAGO VENCIDO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3436655.6310000001</v>
      </c>
      <c r="E889" s="25"/>
      <c r="F889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889" s="289">
        <v>45160</v>
      </c>
      <c r="H889" s="26" t="s">
        <v>32</v>
      </c>
      <c r="I889" s="289">
        <v>45100</v>
      </c>
      <c r="J889" s="35" t="s">
        <v>925</v>
      </c>
      <c r="K889" s="21">
        <v>1119664</v>
      </c>
      <c r="L889" s="21"/>
      <c r="M889" s="22">
        <f>(PROVEEDORES[[#This Row],[SUBTOTAL]]-PROVEEDORES[[#This Row],[descuento sobre subtotal]])*VLOOKUP(PROVEEDORES[[#This Row],[PROVEEDOR]],TERCEROS_INFO[#All],3,FALSE)</f>
        <v>212736.16</v>
      </c>
      <c r="N889" s="23"/>
      <c r="O889" s="22">
        <f>+PROVEEDORES[[#This Row],[Descuento sobre subtotal %]]*(PROVEEDORES[[#This Row],[SUBTOTAL]]-PROVEEDORES[[#This Row],[descuento sobre subtotal]])</f>
        <v>0</v>
      </c>
      <c r="P889" s="72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1332400.1599999999</v>
      </c>
      <c r="S8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1">
        <f ca="1">IF(PROVEEDORES[[#This Row],[FECHA DE PAGO]]=0,TODAY()-PROVEEDORES[[#This Row],[FECHA DE FACTURACIÓN]]-PROVEEDORES[[#This Row],[PLAZO Días]],0)</f>
        <v>0</v>
      </c>
      <c r="U889" s="97" t="str">
        <f>+VLOOKUP(PROVEEDORES[[#This Row],[PROVEEDOR]],Terceros!$A:$D,4,FALSE)</f>
        <v>2,5% con base</v>
      </c>
      <c r="V889" s="98">
        <f>+YEAR(PROVEEDORES[[#This Row],[FECHA DE FACTURACIÓN]])</f>
        <v>2023</v>
      </c>
      <c r="W889" s="98">
        <f>+MATCH(PROVEEDORES[[#This Row],[año facturado]],Retenciones!$1:$1,0)</f>
        <v>6</v>
      </c>
      <c r="X889" s="99">
        <f>+VLOOKUP(PROVEEDORES[[#This Row],[ID RETENCION]],Retenciones!$A$1:$O$25,PROVEEDORES[[#This Row],[indicador de columna]],FALSE)</f>
        <v>1145000</v>
      </c>
      <c r="Y889" s="100">
        <f>+VLOOKUP(PROVEEDORES[[#This Row],[ID RETENCION]],Retenciones!$A$1:$O$25,2,FALSE)</f>
        <v>2.5000000000000001E-2</v>
      </c>
      <c r="Z889" s="103" t="b">
        <f>OR(COUNTIF(PROVEEDORES[[#This Row],[PROVEEDOR]],"*"&amp;'Palabra no opera'!$A$2&amp;"*"))</f>
        <v>0</v>
      </c>
    </row>
    <row r="890" spans="1:26" ht="22.35" customHeight="1" x14ac:dyDescent="0.25">
      <c r="A890" s="65" t="str">
        <f>+IF(PROVEEDORES[[#This Row],[FECHA DE PAGO]]=PROVEEDORES[[#This Row],[FECHA DE FACTURACIÓN]],"DE CONTADO","CRÉDITO")</f>
        <v>CRÉDITO</v>
      </c>
      <c r="B890" s="38" t="str">
        <f>+IF((PROVEEDORES[[#This Row],[FECHA DE PAGO]]-PROVEEDORES[[#This Row],[FECHA DE FACTURACIÓN]])&gt;PROVEEDORES[[#This Row],[PLAZO Días]],"PAGO VENCIDO")</f>
        <v>PAGO VENCIDO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3436655.6310000001</v>
      </c>
      <c r="E890" s="25"/>
      <c r="F890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890" s="289">
        <v>45247</v>
      </c>
      <c r="H890" s="26" t="s">
        <v>32</v>
      </c>
      <c r="I890" s="289">
        <v>45210</v>
      </c>
      <c r="J890" s="35" t="s">
        <v>1223</v>
      </c>
      <c r="K890" s="21">
        <v>3224873</v>
      </c>
      <c r="L890" s="21"/>
      <c r="M890" s="22">
        <f>(PROVEEDORES[[#This Row],[SUBTOTAL]]-PROVEEDORES[[#This Row],[descuento sobre subtotal]])*VLOOKUP(PROVEEDORES[[#This Row],[PROVEEDOR]],TERCEROS_INFO[#All],3,FALSE)</f>
        <v>612725.87</v>
      </c>
      <c r="N890" s="23"/>
      <c r="O890" s="22">
        <f>+PROVEEDORES[[#This Row],[Descuento sobre subtotal %]]*(PROVEEDORES[[#This Row],[SUBTOTAL]]-PROVEEDORES[[#This Row],[descuento sobre subtotal]])</f>
        <v>0</v>
      </c>
      <c r="P890" s="72">
        <f>+IF(PROVEEDORES[[#This Row],[SUBTOTAL]]&lt;PROVEEDORES[[#This Row],[base retencion]],0,PROVEEDORES[[#This Row],[retención aplicada]])</f>
        <v>2.5000000000000001E-2</v>
      </c>
      <c r="Q890" s="22">
        <f>+PROVEEDORES[[#This Row],[Rete Fuente %]]*(PROVEEDORES[[#This Row],[SUBTOTAL]]-PROVEEDORES[[#This Row],[descuento sobre subtotal]])</f>
        <v>80621.825000000012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3756977.0449999999</v>
      </c>
      <c r="S8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1">
        <f ca="1">IF(PROVEEDORES[[#This Row],[FECHA DE PAGO]]=0,TODAY()-PROVEEDORES[[#This Row],[FECHA DE FACTURACIÓN]]-PROVEEDORES[[#This Row],[PLAZO Días]],0)</f>
        <v>0</v>
      </c>
      <c r="U890" s="97" t="str">
        <f>+VLOOKUP(PROVEEDORES[[#This Row],[PROVEEDOR]],Terceros!$A:$D,4,FALSE)</f>
        <v>2,5% con base</v>
      </c>
      <c r="V890" s="98">
        <f>+YEAR(PROVEEDORES[[#This Row],[FECHA DE FACTURACIÓN]])</f>
        <v>2023</v>
      </c>
      <c r="W890" s="98">
        <f>+MATCH(PROVEEDORES[[#This Row],[año facturado]],Retenciones!$1:$1,0)</f>
        <v>6</v>
      </c>
      <c r="X890" s="99">
        <f>+VLOOKUP(PROVEEDORES[[#This Row],[ID RETENCION]],Retenciones!$A$1:$O$25,PROVEEDORES[[#This Row],[indicador de columna]],FALSE)</f>
        <v>1145000</v>
      </c>
      <c r="Y890" s="100">
        <f>+VLOOKUP(PROVEEDORES[[#This Row],[ID RETENCION]],Retenciones!$A$1:$O$25,2,FALSE)</f>
        <v>2.5000000000000001E-2</v>
      </c>
      <c r="Z890" s="103" t="b">
        <f>OR(COUNTIF(PROVEEDORES[[#This Row],[PROVEEDOR]],"*"&amp;'Palabra no opera'!$A$2&amp;"*"))</f>
        <v>0</v>
      </c>
    </row>
    <row r="891" spans="1:26" ht="22.35" customHeight="1" x14ac:dyDescent="0.25">
      <c r="A891" s="65" t="str">
        <f>+IF(PROVEEDORES[[#This Row],[FECHA DE PAGO]]=PROVEEDORES[[#This Row],[FECHA DE FACTURACIÓN]],"DE CONTADO","CRÉDITO")</f>
        <v>CRÉDITO</v>
      </c>
      <c r="B891" s="38" t="str">
        <f>+IF((PROVEEDORES[[#This Row],[FECHA DE PAGO]]-PROVEEDORES[[#This Row],[FECHA DE FACTURACIÓN]])&gt;PROVEEDORES[[#This Row],[PLAZO Días]],"PAGO VENCIDO")</f>
        <v>PAGO VENCIDO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3436655.6310000001</v>
      </c>
      <c r="E891" s="25"/>
      <c r="F891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891" s="289">
        <v>45264</v>
      </c>
      <c r="H891" s="26" t="s">
        <v>32</v>
      </c>
      <c r="I891" s="289">
        <v>45225</v>
      </c>
      <c r="J891" s="35" t="s">
        <v>1222</v>
      </c>
      <c r="K891" s="21">
        <v>2261344</v>
      </c>
      <c r="L891" s="21"/>
      <c r="M891" s="22">
        <f>(PROVEEDORES[[#This Row],[SUBTOTAL]]-PROVEEDORES[[#This Row],[descuento sobre subtotal]])*VLOOKUP(PROVEEDORES[[#This Row],[PROVEEDOR]],TERCEROS_INFO[#All],3,FALSE)</f>
        <v>429655.36</v>
      </c>
      <c r="N891" s="23"/>
      <c r="O891" s="22">
        <f>+PROVEEDORES[[#This Row],[Descuento sobre subtotal %]]*(PROVEEDORES[[#This Row],[SUBTOTAL]]-PROVEEDORES[[#This Row],[descuento sobre subtotal]])</f>
        <v>0</v>
      </c>
      <c r="P891" s="72">
        <f>+IF(PROVEEDORES[[#This Row],[SUBTOTAL]]&lt;PROVEEDORES[[#This Row],[base retencion]],0,PROVEEDORES[[#This Row],[retención aplicada]])</f>
        <v>2.5000000000000001E-2</v>
      </c>
      <c r="Q891" s="22">
        <f>+PROVEEDORES[[#This Row],[Rete Fuente %]]*(PROVEEDORES[[#This Row],[SUBTOTAL]]-PROVEEDORES[[#This Row],[descuento sobre subtotal]])</f>
        <v>56533.600000000006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2634465.7599999998</v>
      </c>
      <c r="S8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1">
        <f ca="1">IF(PROVEEDORES[[#This Row],[FECHA DE PAGO]]=0,TODAY()-PROVEEDORES[[#This Row],[FECHA DE FACTURACIÓN]]-PROVEEDORES[[#This Row],[PLAZO Días]],0)</f>
        <v>0</v>
      </c>
      <c r="U891" s="97" t="str">
        <f>+VLOOKUP(PROVEEDORES[[#This Row],[PROVEEDOR]],Terceros!$A:$D,4,FALSE)</f>
        <v>2,5% con base</v>
      </c>
      <c r="V891" s="98">
        <f>+YEAR(PROVEEDORES[[#This Row],[FECHA DE FACTURACIÓN]])</f>
        <v>2023</v>
      </c>
      <c r="W891" s="98">
        <f>+MATCH(PROVEEDORES[[#This Row],[año facturado]],Retenciones!$1:$1,0)</f>
        <v>6</v>
      </c>
      <c r="X891" s="99">
        <f>+VLOOKUP(PROVEEDORES[[#This Row],[ID RETENCION]],Retenciones!$A$1:$O$25,PROVEEDORES[[#This Row],[indicador de columna]],FALSE)</f>
        <v>1145000</v>
      </c>
      <c r="Y891" s="100">
        <f>+VLOOKUP(PROVEEDORES[[#This Row],[ID RETENCION]],Retenciones!$A$1:$O$25,2,FALSE)</f>
        <v>2.5000000000000001E-2</v>
      </c>
      <c r="Z891" s="103" t="b">
        <f>OR(COUNTIF(PROVEEDORES[[#This Row],[PROVEEDOR]],"*"&amp;'Palabra no opera'!$A$2&amp;"*"))</f>
        <v>0</v>
      </c>
    </row>
    <row r="892" spans="1:26" ht="22.35" customHeight="1" x14ac:dyDescent="0.25">
      <c r="A892" s="65" t="str">
        <f>+IF(PROVEEDORES[[#This Row],[FECHA DE PAGO]]=PROVEEDORES[[#This Row],[FECHA DE FACTURACIÓN]],"DE CONTADO","CRÉDITO")</f>
        <v>CRÉDITO</v>
      </c>
      <c r="B892" s="38" t="b">
        <f>+IF((PROVEEDORES[[#This Row],[FECHA DE PAGO]]-PROVEEDORES[[#This Row],[FECHA DE FACTURACIÓN]])&gt;PROVEEDORES[[#This Row],[PLAZO Días]],"PAGO VENCIDO")</f>
        <v>0</v>
      </c>
      <c r="C892" s="20">
        <f>+VLOOKUP(PROVEEDORES[[#This Row],[PROVEEDOR]],TERCEROS_INFO[#All],2,FALSE)</f>
        <v>30</v>
      </c>
      <c r="D892" s="25">
        <f>+SUMIFS(PROVEEDORES[Total],PROVEEDORES[PROVEEDOR],PROVEEDORES[[#This Row],[PROVEEDOR]],PROVEEDORES[FECHA DE PAGO],"")</f>
        <v>6857153.040000001</v>
      </c>
      <c r="E892" s="25"/>
      <c r="F892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H892" s="26" t="s">
        <v>254</v>
      </c>
      <c r="I892" s="289">
        <v>45265</v>
      </c>
      <c r="J892" s="35" t="s">
        <v>1385</v>
      </c>
      <c r="K892" s="21">
        <v>3478190</v>
      </c>
      <c r="L892" s="21"/>
      <c r="M892" s="22">
        <f>(PROVEEDORES[[#This Row],[SUBTOTAL]]-PROVEEDORES[[#This Row],[descuento sobre subtotal]])*VLOOKUP(PROVEEDORES[[#This Row],[PROVEEDOR]],TERCEROS_INFO[#All],3,FALSE)</f>
        <v>660856.1</v>
      </c>
      <c r="N892" s="23"/>
      <c r="O892" s="22">
        <f>+PROVEEDORES[[#This Row],[Descuento sobre subtotal %]]*(PROVEEDORES[[#This Row],[SUBTOTAL]]-PROVEEDORES[[#This Row],[descuento sobre subtotal]])</f>
        <v>0</v>
      </c>
      <c r="P892" s="72">
        <f>+IF(PROVEEDORES[[#This Row],[SUBTOTAL]]&lt;PROVEEDORES[[#This Row],[base retencion]],0,PROVEEDORES[[#This Row],[retención aplicada]])</f>
        <v>2.5000000000000001E-2</v>
      </c>
      <c r="Q892" s="22">
        <f>+PROVEEDORES[[#This Row],[Rete Fuente %]]*(PROVEEDORES[[#This Row],[SUBTOTAL]]-PROVEEDORES[[#This Row],[descuento sobre subtotal]])</f>
        <v>86954.75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4052091.35</v>
      </c>
      <c r="S892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892" s="61">
        <f ca="1">IF(PROVEEDORES[[#This Row],[FECHA DE PAGO]]=0,TODAY()-PROVEEDORES[[#This Row],[FECHA DE FACTURACIÓN]]-PROVEEDORES[[#This Row],[PLAZO Días]],0)</f>
        <v>33</v>
      </c>
      <c r="U892" s="97" t="str">
        <f>+VLOOKUP(PROVEEDORES[[#This Row],[PROVEEDOR]],Terceros!$A:$D,4,FALSE)</f>
        <v>2,5% con base</v>
      </c>
      <c r="V892" s="98">
        <f>+YEAR(PROVEEDORES[[#This Row],[FECHA DE FACTURACIÓN]])</f>
        <v>2023</v>
      </c>
      <c r="W892" s="98">
        <f>+MATCH(PROVEEDORES[[#This Row],[año facturado]],Retenciones!$1:$1,0)</f>
        <v>6</v>
      </c>
      <c r="X892" s="99">
        <f>+VLOOKUP(PROVEEDORES[[#This Row],[ID RETENCION]],Retenciones!$A$1:$O$25,PROVEEDORES[[#This Row],[indicador de columna]],FALSE)</f>
        <v>1145000</v>
      </c>
      <c r="Y892" s="100">
        <f>+VLOOKUP(PROVEEDORES[[#This Row],[ID RETENCION]],Retenciones!$A$1:$O$25,2,FALSE)</f>
        <v>2.5000000000000001E-2</v>
      </c>
      <c r="Z892" s="103" t="b">
        <f>OR(COUNTIF(PROVEEDORES[[#This Row],[PROVEEDOR]],"*"&amp;'Palabra no opera'!$A$2&amp;"*"))</f>
        <v>0</v>
      </c>
    </row>
    <row r="893" spans="1:26" ht="22.35" customHeight="1" x14ac:dyDescent="0.25">
      <c r="A893" s="310" t="str">
        <f>+IF(PROVEEDORES[[#This Row],[FECHA DE PAGO]]=PROVEEDORES[[#This Row],[FECHA DE FACTURACIÓN]],"DE CONTADO","CRÉDITO")</f>
        <v>CRÉDITO</v>
      </c>
      <c r="B893" s="38" t="b">
        <f>+IF((PROVEEDORES[[#This Row],[FECHA DE PAGO]]-PROVEEDORES[[#This Row],[FECHA DE FACTURACIÓN]])&gt;PROVEEDORES[[#This Row],[PLAZO Días]],"PAGO VENCIDO")</f>
        <v>0</v>
      </c>
      <c r="C893" s="20">
        <f>+VLOOKUP(PROVEEDORES[[#This Row],[PROVEEDOR]],TERCEROS_INFO[#All],2,FALSE)</f>
        <v>30</v>
      </c>
      <c r="D893" s="25">
        <f>+SUMIFS(PROVEEDORES[Total],PROVEEDORES[PROVEEDOR],PROVEEDORES[[#This Row],[PROVEEDOR]],PROVEEDORES[FECHA DE PAGO],"")</f>
        <v>3436655.6310000001</v>
      </c>
      <c r="E893" s="25"/>
      <c r="F893" s="56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893" s="26" t="s">
        <v>32</v>
      </c>
      <c r="I893" s="289">
        <v>45294</v>
      </c>
      <c r="J893" s="35" t="s">
        <v>1496</v>
      </c>
      <c r="K893" s="21">
        <v>3069747.4</v>
      </c>
      <c r="L893" s="21"/>
      <c r="M893" s="22">
        <f>(PROVEEDORES[[#This Row],[SUBTOTAL]]-PROVEEDORES[[#This Row],[descuento sobre subtotal]])*VLOOKUP(PROVEEDORES[[#This Row],[PROVEEDOR]],TERCEROS_INFO[#All],3,FALSE)</f>
        <v>583252.00599999994</v>
      </c>
      <c r="N893" s="23"/>
      <c r="O893" s="22">
        <f>+PROVEEDORES[[#This Row],[Descuento sobre subtotal %]]*(PROVEEDORES[[#This Row],[SUBTOTAL]]-PROVEEDORES[[#This Row],[descuento sobre subtotal]])</f>
        <v>0</v>
      </c>
      <c r="P893" s="72">
        <f>+IF(PROVEEDORES[[#This Row],[SUBTOTAL]]&lt;PROVEEDORES[[#This Row],[base retencion]],0,PROVEEDORES[[#This Row],[retención aplicada]])</f>
        <v>2.5000000000000001E-2</v>
      </c>
      <c r="Q893" s="22">
        <f>+PROVEEDORES[[#This Row],[Rete Fuente %]]*(PROVEEDORES[[#This Row],[SUBTOTAL]]-PROVEEDORES[[#This Row],[descuento sobre subtotal]])</f>
        <v>76743.684999999998</v>
      </c>
      <c r="R893" s="21">
        <f>+PROVEEDORES[[#This Row],[SUBTOTAL]]+PROVEEDORES[[#This Row],[IVA 19%]]-PROVEEDORES[[#This Row],[descuento sobre subtotal]]-PROVEEDORES[[#This Row],[Descuento sobre subtotal $2]]-PROVEEDORES[[#This Row],[Rete Fuente $]]</f>
        <v>3576255.7209999999</v>
      </c>
      <c r="S893" s="31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893" s="61">
        <f ca="1">IF(PROVEEDORES[[#This Row],[FECHA DE PAGO]]=0,TODAY()-PROVEEDORES[[#This Row],[FECHA DE FACTURACIÓN]]-PROVEEDORES[[#This Row],[PLAZO Días]],0)</f>
        <v>4</v>
      </c>
      <c r="U893" s="97" t="str">
        <f>+VLOOKUP(PROVEEDORES[[#This Row],[PROVEEDOR]],Terceros!$A:$D,4,FALSE)</f>
        <v>2,5% con base</v>
      </c>
      <c r="V893" s="98">
        <f>+YEAR(PROVEEDORES[[#This Row],[FECHA DE FACTURACIÓN]])</f>
        <v>2024</v>
      </c>
      <c r="W893" s="98">
        <f>+MATCH(PROVEEDORES[[#This Row],[año facturado]],Retenciones!$1:$1,0)</f>
        <v>7</v>
      </c>
      <c r="X893" s="99">
        <f>+VLOOKUP(PROVEEDORES[[#This Row],[ID RETENCION]],Retenciones!$A$1:$O$25,PROVEEDORES[[#This Row],[indicador de columna]],FALSE)</f>
        <v>1271000</v>
      </c>
      <c r="Y893" s="100">
        <f>+VLOOKUP(PROVEEDORES[[#This Row],[ID RETENCION]],Retenciones!$A$1:$O$25,2,FALSE)</f>
        <v>2.5000000000000001E-2</v>
      </c>
      <c r="Z893" s="103" t="b">
        <f>OR(COUNTIF(PROVEEDORES[[#This Row],[PROVEEDOR]],"*"&amp;'Palabra no opera'!$A$2&amp;"*"))</f>
        <v>0</v>
      </c>
    </row>
    <row r="894" spans="1:26" ht="22.35" customHeight="1" x14ac:dyDescent="0.25">
      <c r="A894" s="270" t="str">
        <f>+IF(PROVEEDORES[[#This Row],[FECHA DE PAGO]]=PROVEEDORES[[#This Row],[FECHA DE FACTURACIÓN]],"DE CONTADO","CRÉDITO")</f>
        <v>DE CONTADO</v>
      </c>
      <c r="B894" s="38" t="b">
        <f>+IF((PROVEEDORES[[#This Row],[FECHA DE PAGO]]-PROVEEDORES[[#This Row],[FECHA DE FACTURACIÓN]])&gt;PROVEEDORES[[#This Row],[PLAZO Días]],"PAGO VENCIDO")</f>
        <v>0</v>
      </c>
      <c r="C894" s="20">
        <f>+VLOOKUP(PROVEEDORES[[#This Row],[PROVEEDOR]],TERCEROS_INFO[#All],2,FALSE)</f>
        <v>30</v>
      </c>
      <c r="D894" s="25">
        <f>+SUMIFS(PROVEEDORES[Total],PROVEEDORES[PROVEEDOR],PROVEEDORES[[#This Row],[PROVEEDOR]],PROVEEDORES[FECHA DE PAGO],"")</f>
        <v>0</v>
      </c>
      <c r="E894" s="25"/>
      <c r="F894" s="56">
        <f>+VLOOKUP(PROVEEDORES[[#This Row],[PROVEEDOR]],
                       Terceros!$A:$F,
                       5,
                       FALSE)</f>
        <v>0</v>
      </c>
      <c r="G894" s="289">
        <v>45289</v>
      </c>
      <c r="H894" s="26" t="s">
        <v>1449</v>
      </c>
      <c r="I894" s="289">
        <v>45289</v>
      </c>
      <c r="J894" s="35" t="s">
        <v>1450</v>
      </c>
      <c r="K894" s="21">
        <v>1981000</v>
      </c>
      <c r="L894" s="21"/>
      <c r="M894" s="22"/>
      <c r="N894" s="23"/>
      <c r="O894" s="22">
        <f>+PROVEEDORES[[#This Row],[Descuento sobre subtotal %]]*(PROVEEDORES[[#This Row],[SUBTOTAL]]-PROVEEDORES[[#This Row],[descuento sobre subtotal]])</f>
        <v>0</v>
      </c>
      <c r="P894" s="72">
        <f>+IF(PROVEEDORES[[#This Row],[SUBTOTAL]]&lt;PROVEEDORES[[#This Row],[base retencion]],0,PROVEEDORES[[#This Row],[retención aplicada]])</f>
        <v>2.5000000000000001E-2</v>
      </c>
      <c r="Q894" s="22">
        <f>+PROVEEDORES[[#This Row],[Rete Fuente %]]*(PROVEEDORES[[#This Row],[SUBTOTAL]]-PROVEEDORES[[#This Row],[descuento sobre subtotal]])</f>
        <v>49525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1931475</v>
      </c>
      <c r="S894" s="27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1">
        <f ca="1">IF(PROVEEDORES[[#This Row],[FECHA DE PAGO]]=0,TODAY()-PROVEEDORES[[#This Row],[FECHA DE FACTURACIÓN]]-PROVEEDORES[[#This Row],[PLAZO Días]],0)</f>
        <v>0</v>
      </c>
      <c r="U894" s="97" t="str">
        <f>+VLOOKUP(PROVEEDORES[[#This Row],[PROVEEDOR]],Terceros!$A:$D,4,FALSE)</f>
        <v>2,5% con base</v>
      </c>
      <c r="V894" s="98">
        <f>+YEAR(PROVEEDORES[[#This Row],[FECHA DE FACTURACIÓN]])</f>
        <v>2023</v>
      </c>
      <c r="W894" s="98">
        <f>+MATCH(PROVEEDORES[[#This Row],[año facturado]],Retenciones!$1:$1,0)</f>
        <v>6</v>
      </c>
      <c r="X894" s="99">
        <f>+VLOOKUP(PROVEEDORES[[#This Row],[ID RETENCION]],Retenciones!$A$1:$O$25,PROVEEDORES[[#This Row],[indicador de columna]],FALSE)</f>
        <v>1145000</v>
      </c>
      <c r="Y894" s="100">
        <f>+VLOOKUP(PROVEEDORES[[#This Row],[ID RETENCION]],Retenciones!$A$1:$O$25,2,FALSE)</f>
        <v>2.5000000000000001E-2</v>
      </c>
      <c r="Z894" s="103" t="b">
        <f>OR(COUNTIF(PROVEEDORES[[#This Row],[PROVEEDOR]],"*"&amp;'Palabra no opera'!$A$2&amp;"*"))</f>
        <v>0</v>
      </c>
    </row>
    <row r="895" spans="1:26" ht="22.35" customHeight="1" x14ac:dyDescent="0.25">
      <c r="A895" s="65" t="str">
        <f>+IF(PROVEEDORES[[#This Row],[FECHA DE PAGO]]=PROVEEDORES[[#This Row],[FECHA DE FACTURACIÓN]],"DE CONTADO","CRÉDITO")</f>
        <v>DE CONTADO</v>
      </c>
      <c r="B895" s="38" t="b">
        <f>+IF((PROVEEDORES[[#This Row],[FECHA DE PAGO]]-PROVEEDORES[[#This Row],[FECHA DE FACTURACIÓN]])&gt;PROVEEDORES[[#This Row],[PLAZO Días]],"PAGO VENCIDO")</f>
        <v>0</v>
      </c>
      <c r="C895" s="20">
        <f>+VLOOKUP(PROVEEDORES[[#This Row],[PROVEEDOR]],TERCEROS_INFO[#All],2,FALSE)</f>
        <v>30</v>
      </c>
      <c r="D895" s="25">
        <f>+SUMIFS(PROVEEDORES[Total],PROVEEDORES[PROVEEDOR],PROVEEDORES[[#This Row],[PROVEEDOR]],PROVEEDORES[FECHA DE PAGO],"")</f>
        <v>0</v>
      </c>
      <c r="E895" s="25"/>
      <c r="F895" s="56">
        <f>+VLOOKUP(PROVEEDORES[[#This Row],[PROVEEDOR]],
                       Terceros!$A:$F,
                       5,
                       FALSE)</f>
        <v>0</v>
      </c>
      <c r="G895" s="289">
        <v>45078</v>
      </c>
      <c r="H895" s="26" t="s">
        <v>208</v>
      </c>
      <c r="I895" s="289">
        <v>45078</v>
      </c>
      <c r="J895" s="35" t="s">
        <v>863</v>
      </c>
      <c r="K895" s="21">
        <v>35292</v>
      </c>
      <c r="L895" s="21"/>
      <c r="M895" s="22">
        <f>(PROVEEDORES[[#This Row],[SUBTOTAL]]-PROVEEDORES[[#This Row],[descuento sobre subtotal]])*VLOOKUP(PROVEEDORES[[#This Row],[PROVEEDOR]],TERCEROS_INFO[#All],3,FALSE)</f>
        <v>6705.4800000000005</v>
      </c>
      <c r="N895" s="23"/>
      <c r="O895" s="22">
        <f>+PROVEEDORES[[#This Row],[Descuento sobre subtotal %]]*(PROVEEDORES[[#This Row],[SUBTOTAL]]-PROVEEDORES[[#This Row],[descuento sobre subtotal]])</f>
        <v>0</v>
      </c>
      <c r="P895" s="72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41997.48</v>
      </c>
      <c r="S8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1">
        <f ca="1">IF(PROVEEDORES[[#This Row],[FECHA DE PAGO]]=0,TODAY()-PROVEEDORES[[#This Row],[FECHA DE FACTURACIÓN]]-PROVEEDORES[[#This Row],[PLAZO Días]],0)</f>
        <v>0</v>
      </c>
      <c r="U895" s="97" t="str">
        <f>+VLOOKUP(PROVEEDORES[[#This Row],[PROVEEDOR]],Terceros!$A:$D,4,FALSE)</f>
        <v>2,5% con base</v>
      </c>
      <c r="V895" s="98">
        <f>+YEAR(PROVEEDORES[[#This Row],[FECHA DE FACTURACIÓN]])</f>
        <v>2023</v>
      </c>
      <c r="W895" s="98">
        <f>+MATCH(PROVEEDORES[[#This Row],[año facturado]],Retenciones!$1:$1,0)</f>
        <v>6</v>
      </c>
      <c r="X895" s="99">
        <f>+VLOOKUP(PROVEEDORES[[#This Row],[ID RETENCION]],Retenciones!$A$1:$O$25,PROVEEDORES[[#This Row],[indicador de columna]],FALSE)</f>
        <v>1145000</v>
      </c>
      <c r="Y895" s="100">
        <f>+VLOOKUP(PROVEEDORES[[#This Row],[ID RETENCION]],Retenciones!$A$1:$O$25,2,FALSE)</f>
        <v>2.5000000000000001E-2</v>
      </c>
      <c r="Z895" s="103" t="b">
        <f>OR(COUNTIF(PROVEEDORES[[#This Row],[PROVEEDOR]],"*"&amp;'Palabra no opera'!$A$2&amp;"*"))</f>
        <v>0</v>
      </c>
    </row>
    <row r="896" spans="1:26" ht="22.35" customHeight="1" x14ac:dyDescent="0.25">
      <c r="A896" s="314" t="str">
        <f>+IF(PROVEEDORES[[#This Row],[FECHA DE PAGO]]=PROVEEDORES[[#This Row],[FECHA DE FACTURACIÓN]],"DE CONTADO","CRÉDITO")</f>
        <v>CRÉDITO</v>
      </c>
      <c r="B896" s="38" t="b">
        <f>+IF((PROVEEDORES[[#This Row],[FECHA DE PAGO]]-PROVEEDORES[[#This Row],[FECHA DE FACTURACIÓN]])&gt;PROVEEDORES[[#This Row],[PLAZO Días]],"PAGO VENCIDO")</f>
        <v>0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0</v>
      </c>
      <c r="E896" s="25"/>
      <c r="F896" s="56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96" s="289">
        <v>45322</v>
      </c>
      <c r="H896" s="26" t="s">
        <v>203</v>
      </c>
      <c r="I896" s="289">
        <v>45309</v>
      </c>
      <c r="J896" s="35" t="s">
        <v>1559</v>
      </c>
      <c r="K896" s="21">
        <v>380518</v>
      </c>
      <c r="L896" s="21"/>
      <c r="M896" s="22">
        <f>(PROVEEDORES[[#This Row],[SUBTOTAL]]-PROVEEDORES[[#This Row],[descuento sobre subtotal]])*VLOOKUP(PROVEEDORES[[#This Row],[PROVEEDOR]],TERCEROS_INFO[#All],3,FALSE)</f>
        <v>0</v>
      </c>
      <c r="N896" s="23"/>
      <c r="O896" s="22">
        <f>+PROVEEDORES[[#This Row],[Descuento sobre subtotal %]]*(PROVEEDORES[[#This Row],[SUBTOTAL]]-PROVEEDORES[[#This Row],[descuento sobre subtotal]])</f>
        <v>0</v>
      </c>
      <c r="P896" s="72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380518</v>
      </c>
      <c r="S896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1">
        <f ca="1">IF(PROVEEDORES[[#This Row],[FECHA DE PAGO]]=0,TODAY()-PROVEEDORES[[#This Row],[FECHA DE FACTURACIÓN]]-PROVEEDORES[[#This Row],[PLAZO Días]],0)</f>
        <v>0</v>
      </c>
      <c r="U896" s="97">
        <f>+VLOOKUP(PROVEEDORES[[#This Row],[PROVEEDOR]],Terceros!$A:$D,4,FALSE)</f>
        <v>0</v>
      </c>
      <c r="V896" s="98">
        <f>+YEAR(PROVEEDORES[[#This Row],[FECHA DE FACTURACIÓN]])</f>
        <v>2024</v>
      </c>
      <c r="W896" s="98">
        <f>+MATCH(PROVEEDORES[[#This Row],[año facturado]],Retenciones!$1:$1,0)</f>
        <v>7</v>
      </c>
      <c r="X896" s="99">
        <f>+VLOOKUP(PROVEEDORES[[#This Row],[ID RETENCION]],Retenciones!$A$1:$O$25,PROVEEDORES[[#This Row],[indicador de columna]],FALSE)</f>
        <v>0</v>
      </c>
      <c r="Y896" s="100">
        <f>+VLOOKUP(PROVEEDORES[[#This Row],[ID RETENCION]],Retenciones!$A$1:$O$25,2,FALSE)</f>
        <v>0</v>
      </c>
      <c r="Z896" s="103" t="b">
        <f>OR(COUNTIF(PROVEEDORES[[#This Row],[PROVEEDOR]],"*"&amp;'Palabra no opera'!$A$2&amp;"*"))</f>
        <v>0</v>
      </c>
    </row>
    <row r="897" spans="1:26" ht="22.35" customHeight="1" x14ac:dyDescent="0.25">
      <c r="A897" s="65" t="str">
        <f>+IF(PROVEEDORES[[#This Row],[FECHA DE PAGO]]=PROVEEDORES[[#This Row],[FECHA DE FACTURACIÓN]],"DE CONTADO","CRÉDITO")</f>
        <v>CRÉDITO</v>
      </c>
      <c r="B897" s="38" t="str">
        <f>+IF((PROVEEDORES[[#This Row],[FECHA DE PAGO]]-PROVEEDORES[[#This Row],[FECHA DE FACTURACIÓN]])&gt;PROVEEDORES[[#This Row],[PLAZO Días]],"PAGO VENCIDO")</f>
        <v>PAGO VENCIDO</v>
      </c>
      <c r="C897" s="20">
        <f>+VLOOKUP(PROVEEDORES[[#This Row],[PROVEEDOR]],TERCEROS_INFO[#All],2,FALSE)</f>
        <v>30</v>
      </c>
      <c r="D897" s="25">
        <f>+SUMIFS(PROVEEDORES[Total],PROVEEDORES[PROVEEDOR],PROVEEDORES[[#This Row],[PROVEEDOR]],PROVEEDORES[FECHA DE PAGO],"")</f>
        <v>0</v>
      </c>
      <c r="E897" s="25"/>
      <c r="F897" s="56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97" s="289">
        <v>45097</v>
      </c>
      <c r="H897" s="26" t="s">
        <v>230</v>
      </c>
      <c r="I897" s="289">
        <v>45062</v>
      </c>
      <c r="J897" s="66" t="s">
        <v>839</v>
      </c>
      <c r="K897" s="21">
        <v>1750000</v>
      </c>
      <c r="L897" s="21"/>
      <c r="M897" s="22">
        <f>(PROVEEDORES[[#This Row],[SUBTOTAL]]-PROVEEDORES[[#This Row],[descuento sobre subtotal]])*VLOOKUP(PROVEEDORES[[#This Row],[PROVEEDOR]],TERCEROS_INFO[#All],3,FALSE)</f>
        <v>332500</v>
      </c>
      <c r="N897" s="23"/>
      <c r="O897" s="22">
        <f>+PROVEEDORES[[#This Row],[Descuento sobre subtotal %]]*(PROVEEDORES[[#This Row],[SUBTOTAL]]-PROVEEDORES[[#This Row],[descuento sobre subtotal]])</f>
        <v>0</v>
      </c>
      <c r="P897" s="72">
        <f>+IF(PROVEEDORES[[#This Row],[SUBTOTAL]]&lt;PROVEEDORES[[#This Row],[base retencion]],0,PROVEEDORES[[#This Row],[retención aplicada]])</f>
        <v>2.5000000000000001E-2</v>
      </c>
      <c r="Q897" s="22">
        <f>+PROVEEDORES[[#This Row],[Rete Fuente %]]*(PROVEEDORES[[#This Row],[SUBTOTAL]]-PROVEEDORES[[#This Row],[descuento sobre subtotal]])</f>
        <v>43750</v>
      </c>
      <c r="R897" s="21">
        <f>+PROVEEDORES[[#This Row],[SUBTOTAL]]+PROVEEDORES[[#This Row],[IVA 19%]]-PROVEEDORES[[#This Row],[descuento sobre subtotal]]-PROVEEDORES[[#This Row],[Descuento sobre subtotal $2]]-PROVEEDORES[[#This Row],[Rete Fuente $]]</f>
        <v>2038750</v>
      </c>
      <c r="S8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1">
        <f ca="1">IF(PROVEEDORES[[#This Row],[FECHA DE PAGO]]=0,TODAY()-PROVEEDORES[[#This Row],[FECHA DE FACTURACIÓN]]-PROVEEDORES[[#This Row],[PLAZO Días]],0)</f>
        <v>0</v>
      </c>
      <c r="U897" s="97" t="str">
        <f>+VLOOKUP(PROVEEDORES[[#This Row],[PROVEEDOR]],Terceros!$A:$D,4,FALSE)</f>
        <v>2,5% con base</v>
      </c>
      <c r="V897" s="98">
        <f>+YEAR(PROVEEDORES[[#This Row],[FECHA DE FACTURACIÓN]])</f>
        <v>2023</v>
      </c>
      <c r="W897" s="98">
        <f>+MATCH(PROVEEDORES[[#This Row],[año facturado]],Retenciones!$1:$1,0)</f>
        <v>6</v>
      </c>
      <c r="X897" s="99">
        <f>+VLOOKUP(PROVEEDORES[[#This Row],[ID RETENCION]],Retenciones!$A$1:$O$25,PROVEEDORES[[#This Row],[indicador de columna]],FALSE)</f>
        <v>1145000</v>
      </c>
      <c r="Y897" s="100">
        <f>+VLOOKUP(PROVEEDORES[[#This Row],[ID RETENCION]],Retenciones!$A$1:$O$25,2,FALSE)</f>
        <v>2.5000000000000001E-2</v>
      </c>
      <c r="Z897" s="103" t="b">
        <f>OR(COUNTIF(PROVEEDORES[[#This Row],[PROVEEDOR]],"*"&amp;'Palabra no opera'!$A$2&amp;"*"))</f>
        <v>0</v>
      </c>
    </row>
    <row r="898" spans="1:26" ht="22.35" customHeight="1" x14ac:dyDescent="0.25">
      <c r="A898" s="65" t="str">
        <f>+IF(PROVEEDORES[[#This Row],[FECHA DE PAGO]]=PROVEEDORES[[#This Row],[FECHA DE FACTURACIÓN]],"DE CONTADO","CRÉDITO")</f>
        <v>CRÉDITO</v>
      </c>
      <c r="B898" s="38" t="b">
        <f>+IF((PROVEEDORES[[#This Row],[FECHA DE PAGO]]-PROVEEDORES[[#This Row],[FECHA DE FACTURACIÓN]])&gt;PROVEEDORES[[#This Row],[PLAZO Días]],"PAGO VENCIDO")</f>
        <v>0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0</v>
      </c>
      <c r="E898" s="25"/>
      <c r="F898" s="56" t="str">
        <f>+VLOOKUP(PROVEEDORES[[#This Row],[PROVEEDOR]],
                       Terceros!$A:$F,
                       5,
                       FALSE)</f>
        <v>facturacion@losmolinos.com.co</v>
      </c>
      <c r="G898" s="289">
        <v>44946</v>
      </c>
      <c r="H898" s="26" t="s">
        <v>409</v>
      </c>
      <c r="I898" s="289">
        <v>44929</v>
      </c>
      <c r="J898" s="35" t="s">
        <v>550</v>
      </c>
      <c r="K898" s="21">
        <v>337254</v>
      </c>
      <c r="L898" s="21">
        <v>9886.2900000000009</v>
      </c>
      <c r="M898" s="22">
        <f>(PROVEEDORES[[#This Row],[SUBTOTAL]]-PROVEEDORES[[#This Row],[descuento sobre subtotal]])*VLOOKUP(PROVEEDORES[[#This Row],[PROVEEDOR]],TERCEROS_INFO[#All],3,FALSE)</f>
        <v>0</v>
      </c>
      <c r="N898" s="23"/>
      <c r="O898" s="22">
        <f>+PROVEEDORES[[#This Row],[Descuento sobre subtotal %]]*(PROVEEDORES[[#This Row],[SUBTOTAL]]-PROVEEDORES[[#This Row],[descuento sobre subtotal]])</f>
        <v>0</v>
      </c>
      <c r="P898" s="72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327367.71000000002</v>
      </c>
      <c r="S8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1">
        <f ca="1">IF(PROVEEDORES[[#This Row],[FECHA DE PAGO]]=0,TODAY()-PROVEEDORES[[#This Row],[FECHA DE FACTURACIÓN]]-PROVEEDORES[[#This Row],[PLAZO Días]],0)</f>
        <v>0</v>
      </c>
      <c r="U898" s="97">
        <f>+VLOOKUP(PROVEEDORES[[#This Row],[PROVEEDOR]],Terceros!$A:$D,4,FALSE)</f>
        <v>0</v>
      </c>
      <c r="V898" s="98">
        <f>+YEAR(PROVEEDORES[[#This Row],[FECHA DE FACTURACIÓN]])</f>
        <v>2023</v>
      </c>
      <c r="W898" s="98">
        <f>+MATCH(PROVEEDORES[[#This Row],[año facturado]],Retenciones!$1:$1,0)</f>
        <v>6</v>
      </c>
      <c r="X898" s="99">
        <f>+VLOOKUP(PROVEEDORES[[#This Row],[ID RETENCION]],Retenciones!$A$1:$O$25,PROVEEDORES[[#This Row],[indicador de columna]],FALSE)</f>
        <v>0</v>
      </c>
      <c r="Y898" s="100">
        <f>+VLOOKUP(PROVEEDORES[[#This Row],[ID RETENCION]],Retenciones!$A$1:$O$25,2,FALSE)</f>
        <v>0</v>
      </c>
      <c r="Z898" s="103" t="b">
        <f>OR(COUNTIF(PROVEEDORES[[#This Row],[PROVEEDOR]],"*"&amp;'Palabra no opera'!$A$2&amp;"*"))</f>
        <v>1</v>
      </c>
    </row>
    <row r="899" spans="1:26" ht="22.35" customHeight="1" x14ac:dyDescent="0.25">
      <c r="A899" s="153" t="str">
        <f>+IF(PROVEEDORES[[#This Row],[FECHA DE PAGO]]=PROVEEDORES[[#This Row],[FECHA DE FACTURACIÓN]],"DE CONTADO","CRÉDITO")</f>
        <v>CRÉDITO</v>
      </c>
      <c r="B899" s="38" t="b">
        <f>+IF((PROVEEDORES[[#This Row],[FECHA DE PAGO]]-PROVEEDORES[[#This Row],[FECHA DE FACTURACIÓN]])&gt;PROVEEDORES[[#This Row],[PLAZO Días]],"PAGO VENCIDO")</f>
        <v>0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6" t="str">
        <f>+VLOOKUP(PROVEEDORES[[#This Row],[PROVEEDOR]],
                       Terceros!$A:$F,
                       5,
                       FALSE)</f>
        <v>facturacion@losmolinos.com.co</v>
      </c>
      <c r="G899" s="289">
        <v>44977</v>
      </c>
      <c r="H899" s="26" t="s">
        <v>409</v>
      </c>
      <c r="I899" s="289">
        <v>44958</v>
      </c>
      <c r="J899" s="35" t="s">
        <v>613</v>
      </c>
      <c r="K899" s="21">
        <v>329981</v>
      </c>
      <c r="L899" s="21"/>
      <c r="M899" s="22">
        <f>(PROVEEDORES[[#This Row],[SUBTOTAL]]-PROVEEDORES[[#This Row],[descuento sobre subtotal]])*VLOOKUP(PROVEEDORES[[#This Row],[PROVEEDOR]],TERCEROS_INFO[#All],3,FALSE)</f>
        <v>0</v>
      </c>
      <c r="N899" s="23"/>
      <c r="O899" s="22">
        <v>9886</v>
      </c>
      <c r="P899" s="72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f>+PROVEEDORES[[#This Row],[SUBTOTAL]]+PROVEEDORES[[#This Row],[IVA 19%]]-PROVEEDORES[[#This Row],[descuento sobre subtotal]]-PROVEEDORES[[#This Row],[Descuento sobre subtotal $2]]-PROVEEDORES[[#This Row],[Rete Fuente $]]</f>
        <v>320095</v>
      </c>
      <c r="S899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1">
        <f ca="1">IF(PROVEEDORES[[#This Row],[FECHA DE PAGO]]=0,TODAY()-PROVEEDORES[[#This Row],[FECHA DE FACTURACIÓN]]-PROVEEDORES[[#This Row],[PLAZO Días]],0)</f>
        <v>0</v>
      </c>
      <c r="U899" s="97">
        <f>+VLOOKUP(PROVEEDORES[[#This Row],[PROVEEDOR]],Terceros!$A:$D,4,FALSE)</f>
        <v>0</v>
      </c>
      <c r="V899" s="98">
        <f>+YEAR(PROVEEDORES[[#This Row],[FECHA DE FACTURACIÓN]])</f>
        <v>2023</v>
      </c>
      <c r="W899" s="98">
        <f>+MATCH(PROVEEDORES[[#This Row],[año facturado]],Retenciones!$1:$1,0)</f>
        <v>6</v>
      </c>
      <c r="X899" s="99">
        <f>+VLOOKUP(PROVEEDORES[[#This Row],[ID RETENCION]],Retenciones!$A$1:$O$25,PROVEEDORES[[#This Row],[indicador de columna]],FALSE)</f>
        <v>0</v>
      </c>
      <c r="Y899" s="100">
        <f>+VLOOKUP(PROVEEDORES[[#This Row],[ID RETENCION]],Retenciones!$A$1:$O$25,2,FALSE)</f>
        <v>0</v>
      </c>
      <c r="Z899" s="103" t="b">
        <f>OR(COUNTIF(PROVEEDORES[[#This Row],[PROVEEDOR]],"*"&amp;'Palabra no opera'!$A$2&amp;"*"))</f>
        <v>1</v>
      </c>
    </row>
    <row r="900" spans="1:26" ht="22.35" customHeight="1" x14ac:dyDescent="0.25">
      <c r="A900" s="164" t="str">
        <f>+IF(PROVEEDORES[[#This Row],[FECHA DE PAGO]]=PROVEEDORES[[#This Row],[FECHA DE FACTURACIÓN]],"DE CONTADO","CRÉDITO")</f>
        <v>CRÉDITO</v>
      </c>
      <c r="B900" s="38" t="b">
        <f>+IF((PROVEEDORES[[#This Row],[FECHA DE PAGO]]-PROVEEDORES[[#This Row],[FECHA DE FACTURACIÓN]])&gt;PROVEEDORES[[#This Row],[PLAZO Días]],"PAGO VENCIDO")</f>
        <v>0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0</v>
      </c>
      <c r="E900" s="25"/>
      <c r="F900" s="56" t="str">
        <f>+VLOOKUP(PROVEEDORES[[#This Row],[PROVEEDOR]],
                       Terceros!$A:$F,
                       5,
                       FALSE)</f>
        <v>facturacion@losmolinos.com.co</v>
      </c>
      <c r="G900" s="289">
        <v>45012</v>
      </c>
      <c r="H900" s="26" t="s">
        <v>409</v>
      </c>
      <c r="I900" s="289">
        <v>44986</v>
      </c>
      <c r="J900" s="35" t="s">
        <v>737</v>
      </c>
      <c r="K900" s="21">
        <v>329981</v>
      </c>
      <c r="L900" s="21"/>
      <c r="M900" s="22">
        <f>(PROVEEDORES[[#This Row],[SUBTOTAL]]-PROVEEDORES[[#This Row],[descuento sobre subtotal]])*VLOOKUP(PROVEEDORES[[#This Row],[PROVEEDOR]],TERCEROS_INFO[#All],3,FALSE)</f>
        <v>0</v>
      </c>
      <c r="N900" s="23"/>
      <c r="O900" s="22">
        <f>+PROVEEDORES[[#This Row],[Descuento sobre subtotal %]]*(PROVEEDORES[[#This Row],[SUBTOTAL]]-PROVEEDORES[[#This Row],[descuento sobre subtotal]])</f>
        <v>0</v>
      </c>
      <c r="P900" s="72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329981</v>
      </c>
      <c r="S900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1">
        <f ca="1">IF(PROVEEDORES[[#This Row],[FECHA DE PAGO]]=0,TODAY()-PROVEEDORES[[#This Row],[FECHA DE FACTURACIÓN]]-PROVEEDORES[[#This Row],[PLAZO Días]],0)</f>
        <v>0</v>
      </c>
      <c r="U900" s="97">
        <f>+VLOOKUP(PROVEEDORES[[#This Row],[PROVEEDOR]],Terceros!$A:$D,4,FALSE)</f>
        <v>0</v>
      </c>
      <c r="V900" s="98">
        <f>+YEAR(PROVEEDORES[[#This Row],[FECHA DE FACTURACIÓN]])</f>
        <v>2023</v>
      </c>
      <c r="W900" s="98">
        <f>+MATCH(PROVEEDORES[[#This Row],[año facturado]],Retenciones!$1:$1,0)</f>
        <v>6</v>
      </c>
      <c r="X900" s="99">
        <f>+VLOOKUP(PROVEEDORES[[#This Row],[ID RETENCION]],Retenciones!$A$1:$O$25,PROVEEDORES[[#This Row],[indicador de columna]],FALSE)</f>
        <v>0</v>
      </c>
      <c r="Y900" s="100">
        <f>+VLOOKUP(PROVEEDORES[[#This Row],[ID RETENCION]],Retenciones!$A$1:$O$25,2,FALSE)</f>
        <v>0</v>
      </c>
      <c r="Z900" s="103" t="b">
        <f>OR(COUNTIF(PROVEEDORES[[#This Row],[PROVEEDOR]],"*"&amp;'Palabra no opera'!$A$2&amp;"*"))</f>
        <v>1</v>
      </c>
    </row>
    <row r="901" spans="1:26" ht="22.35" customHeight="1" x14ac:dyDescent="0.25">
      <c r="A901" s="65" t="str">
        <f>+IF(PROVEEDORES[[#This Row],[FECHA DE PAGO]]=PROVEEDORES[[#This Row],[FECHA DE FACTURACIÓN]],"DE CONTADO","CRÉDITO")</f>
        <v>CRÉDITO</v>
      </c>
      <c r="B901" s="38" t="b">
        <f>+IF((PROVEEDORES[[#This Row],[FECHA DE PAGO]]-PROVEEDORES[[#This Row],[FECHA DE FACTURACIÓN]])&gt;PROVEEDORES[[#This Row],[PLAZO Días]],"PAGO VENCIDO")</f>
        <v>0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0</v>
      </c>
      <c r="E901" s="25"/>
      <c r="F901" s="56" t="str">
        <f>+VLOOKUP(PROVEEDORES[[#This Row],[PROVEEDOR]],
                       Terceros!$A:$F,
                       5,
                       FALSE)</f>
        <v>facturacion@losmolinos.com.co</v>
      </c>
      <c r="G901" s="289">
        <v>45035</v>
      </c>
      <c r="H901" s="26" t="s">
        <v>409</v>
      </c>
      <c r="I901" s="289">
        <v>45017</v>
      </c>
      <c r="J901" s="35" t="s">
        <v>736</v>
      </c>
      <c r="K901" s="21">
        <v>277194</v>
      </c>
      <c r="L901" s="21"/>
      <c r="M901" s="22">
        <f>(PROVEEDORES[[#This Row],[SUBTOTAL]]-PROVEEDORES[[#This Row],[descuento sobre subtotal]])*VLOOKUP(PROVEEDORES[[#This Row],[PROVEEDOR]],TERCEROS_INFO[#All],3,FALSE)</f>
        <v>0</v>
      </c>
      <c r="N901" s="23"/>
      <c r="O901" s="22">
        <v>8522</v>
      </c>
      <c r="P901" s="72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268672</v>
      </c>
      <c r="S9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1">
        <f ca="1">IF(PROVEEDORES[[#This Row],[FECHA DE PAGO]]=0,TODAY()-PROVEEDORES[[#This Row],[FECHA DE FACTURACIÓN]]-PROVEEDORES[[#This Row],[PLAZO Días]],0)</f>
        <v>0</v>
      </c>
      <c r="U901" s="97">
        <f>+VLOOKUP(PROVEEDORES[[#This Row],[PROVEEDOR]],Terceros!$A:$D,4,FALSE)</f>
        <v>0</v>
      </c>
      <c r="V901" s="98">
        <f>+YEAR(PROVEEDORES[[#This Row],[FECHA DE FACTURACIÓN]])</f>
        <v>2023</v>
      </c>
      <c r="W901" s="98">
        <f>+MATCH(PROVEEDORES[[#This Row],[año facturado]],Retenciones!$1:$1,0)</f>
        <v>6</v>
      </c>
      <c r="X901" s="99">
        <f>+VLOOKUP(PROVEEDORES[[#This Row],[ID RETENCION]],Retenciones!$A$1:$O$25,PROVEEDORES[[#This Row],[indicador de columna]],FALSE)</f>
        <v>0</v>
      </c>
      <c r="Y901" s="100">
        <f>+VLOOKUP(PROVEEDORES[[#This Row],[ID RETENCION]],Retenciones!$A$1:$O$25,2,FALSE)</f>
        <v>0</v>
      </c>
      <c r="Z901" s="103" t="b">
        <f>OR(COUNTIF(PROVEEDORES[[#This Row],[PROVEEDOR]],"*"&amp;'Palabra no opera'!$A$2&amp;"*"))</f>
        <v>1</v>
      </c>
    </row>
    <row r="902" spans="1:26" ht="22.35" customHeight="1" x14ac:dyDescent="0.25">
      <c r="A902" s="194" t="str">
        <f>+IF(PROVEEDORES[[#This Row],[FECHA DE PAGO]]=PROVEEDORES[[#This Row],[FECHA DE FACTURACIÓN]],"DE CONTADO","CRÉDITO")</f>
        <v>CRÉDITO</v>
      </c>
      <c r="B902" s="38" t="b">
        <f>+IF((PROVEEDORES[[#This Row],[FECHA DE PAGO]]-PROVEEDORES[[#This Row],[FECHA DE FACTURACIÓN]])&gt;PROVEEDORES[[#This Row],[PLAZO Días]],"PAGO VENCIDO")</f>
        <v>0</v>
      </c>
      <c r="C902" s="20">
        <f>+VLOOKUP(PROVEEDORES[[#This Row],[PROVEEDOR]],TERCEROS_INFO[#All],2,FALSE)</f>
        <v>30</v>
      </c>
      <c r="D902" s="25">
        <f>+SUMIFS(PROVEEDORES[Total],PROVEEDORES[PROVEEDOR],PROVEEDORES[[#This Row],[PROVEEDOR]],PROVEEDORES[FECHA DE PAGO],"")</f>
        <v>0</v>
      </c>
      <c r="E902" s="25"/>
      <c r="F902" s="56" t="str">
        <f>+VLOOKUP(PROVEEDORES[[#This Row],[PROVEEDOR]],
                       Terceros!$A:$F,
                       5,
                       FALSE)</f>
        <v>facturacion@losmolinos.com.co</v>
      </c>
      <c r="G902" s="289">
        <v>45056</v>
      </c>
      <c r="H902" s="26" t="s">
        <v>409</v>
      </c>
      <c r="I902" s="289">
        <v>45047</v>
      </c>
      <c r="J902" s="35" t="s">
        <v>811</v>
      </c>
      <c r="K902" s="21">
        <v>324057</v>
      </c>
      <c r="L902" s="21">
        <v>9545</v>
      </c>
      <c r="M902" s="22">
        <f>(PROVEEDORES[[#This Row],[SUBTOTAL]]-PROVEEDORES[[#This Row],[descuento sobre subtotal]])*VLOOKUP(PROVEEDORES[[#This Row],[PROVEEDOR]],TERCEROS_INFO[#All],3,FALSE)</f>
        <v>0</v>
      </c>
      <c r="N902" s="23"/>
      <c r="O902" s="22">
        <f>+PROVEEDORES[[#This Row],[Descuento sobre subtotal %]]*(PROVEEDORES[[#This Row],[SUBTOTAL]]-PROVEEDORES[[#This Row],[descuento sobre subtotal]])</f>
        <v>0</v>
      </c>
      <c r="P902" s="72">
        <f>+IF(PROVEEDORES[[#This Row],[SUBTOTAL]]&lt;PROVEEDORES[[#This Row],[base retencion]],0,PROVEEDORES[[#This Row],[retención aplicada]])</f>
        <v>0</v>
      </c>
      <c r="Q902" s="22">
        <f>+PROVEEDORES[[#This Row],[Rete Fuente %]]*(PROVEEDORES[[#This Row],[SUBTOTAL]]-PROVEEDORES[[#This Row],[descuento sobre subtotal]])</f>
        <v>0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314512</v>
      </c>
      <c r="S902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61">
        <f ca="1">IF(PROVEEDORES[[#This Row],[FECHA DE PAGO]]=0,TODAY()-PROVEEDORES[[#This Row],[FECHA DE FACTURACIÓN]]-PROVEEDORES[[#This Row],[PLAZO Días]],0)</f>
        <v>0</v>
      </c>
      <c r="U902" s="97">
        <f>+VLOOKUP(PROVEEDORES[[#This Row],[PROVEEDOR]],Terceros!$A:$D,4,FALSE)</f>
        <v>0</v>
      </c>
      <c r="V902" s="98">
        <f>+YEAR(PROVEEDORES[[#This Row],[FECHA DE FACTURACIÓN]])</f>
        <v>2023</v>
      </c>
      <c r="W902" s="98">
        <f>+MATCH(PROVEEDORES[[#This Row],[año facturado]],Retenciones!$1:$1,0)</f>
        <v>6</v>
      </c>
      <c r="X902" s="99">
        <f>+VLOOKUP(PROVEEDORES[[#This Row],[ID RETENCION]],Retenciones!$A$1:$O$25,PROVEEDORES[[#This Row],[indicador de columna]],FALSE)</f>
        <v>0</v>
      </c>
      <c r="Y902" s="100">
        <f>+VLOOKUP(PROVEEDORES[[#This Row],[ID RETENCION]],Retenciones!$A$1:$O$25,2,FALSE)</f>
        <v>0</v>
      </c>
      <c r="Z902" s="103" t="b">
        <f>OR(COUNTIF(PROVEEDORES[[#This Row],[PROVEEDOR]],"*"&amp;'Palabra no opera'!$A$2&amp;"*"))</f>
        <v>1</v>
      </c>
    </row>
    <row r="903" spans="1:26" ht="22.35" customHeight="1" x14ac:dyDescent="0.25">
      <c r="A903" s="65" t="str">
        <f>+IF(PROVEEDORES[[#This Row],[FECHA DE PAGO]]=PROVEEDORES[[#This Row],[FECHA DE FACTURACIÓN]],"DE CONTADO","CRÉDITO")</f>
        <v>CRÉDITO</v>
      </c>
      <c r="B903" s="38" t="b">
        <f>+IF((PROVEEDORES[[#This Row],[FECHA DE PAGO]]-PROVEEDORES[[#This Row],[FECHA DE FACTURACIÓN]])&gt;PROVEEDORES[[#This Row],[PLAZO Días]],"PAGO VENCIDO")</f>
        <v>0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6" t="str">
        <f>+VLOOKUP(PROVEEDORES[[#This Row],[PROVEEDOR]],
                       Terceros!$A:$F,
                       5,
                       FALSE)</f>
        <v>facturacion@losmolinos.com.co</v>
      </c>
      <c r="G903" s="289">
        <v>45097</v>
      </c>
      <c r="H903" s="26" t="s">
        <v>409</v>
      </c>
      <c r="I903" s="289">
        <v>45078</v>
      </c>
      <c r="J903" s="35" t="s">
        <v>879</v>
      </c>
      <c r="K903" s="21">
        <v>318603</v>
      </c>
      <c r="L903" s="21">
        <v>9545.39</v>
      </c>
      <c r="M903" s="22">
        <f>(PROVEEDORES[[#This Row],[SUBTOTAL]]-PROVEEDORES[[#This Row],[descuento sobre subtotal]])*VLOOKUP(PROVEEDORES[[#This Row],[PROVEEDOR]],TERCEROS_INFO[#All],3,FALSE)</f>
        <v>0</v>
      </c>
      <c r="N903" s="23"/>
      <c r="O903" s="22">
        <f>+PROVEEDORES[[#This Row],[Descuento sobre subtotal %]]*(PROVEEDORES[[#This Row],[SUBTOTAL]]-PROVEEDORES[[#This Row],[descuento sobre subtotal]])</f>
        <v>0</v>
      </c>
      <c r="P903" s="72">
        <f>+IF(PROVEEDORES[[#This Row],[SUBTOTAL]]&lt;PROVEEDORES[[#This Row],[base retencion]],0,PROVEEDORES[[#This Row],[retención aplicada]])</f>
        <v>0</v>
      </c>
      <c r="Q903" s="22">
        <f>+PROVEEDORES[[#This Row],[Rete Fuente %]]*(PROVEEDORES[[#This Row],[SUBTOTAL]]-PROVEEDORES[[#This Row],[descuento sobre subtotal]])</f>
        <v>0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309057.61</v>
      </c>
      <c r="S9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1">
        <f ca="1">IF(PROVEEDORES[[#This Row],[FECHA DE PAGO]]=0,TODAY()-PROVEEDORES[[#This Row],[FECHA DE FACTURACIÓN]]-PROVEEDORES[[#This Row],[PLAZO Días]],0)</f>
        <v>0</v>
      </c>
      <c r="U903" s="97">
        <f>+VLOOKUP(PROVEEDORES[[#This Row],[PROVEEDOR]],Terceros!$A:$D,4,FALSE)</f>
        <v>0</v>
      </c>
      <c r="V903" s="98">
        <f>+YEAR(PROVEEDORES[[#This Row],[FECHA DE FACTURACIÓN]])</f>
        <v>2023</v>
      </c>
      <c r="W903" s="98">
        <f>+MATCH(PROVEEDORES[[#This Row],[año facturado]],Retenciones!$1:$1,0)</f>
        <v>6</v>
      </c>
      <c r="X903" s="99">
        <f>+VLOOKUP(PROVEEDORES[[#This Row],[ID RETENCION]],Retenciones!$A$1:$O$25,PROVEEDORES[[#This Row],[indicador de columna]],FALSE)</f>
        <v>0</v>
      </c>
      <c r="Y903" s="100">
        <f>+VLOOKUP(PROVEEDORES[[#This Row],[ID RETENCION]],Retenciones!$A$1:$O$25,2,FALSE)</f>
        <v>0</v>
      </c>
      <c r="Z903" s="103" t="b">
        <f>OR(COUNTIF(PROVEEDORES[[#This Row],[PROVEEDOR]],"*"&amp;'Palabra no opera'!$A$2&amp;"*"))</f>
        <v>1</v>
      </c>
    </row>
    <row r="904" spans="1:26" ht="22.35" customHeight="1" x14ac:dyDescent="0.25">
      <c r="A904" s="211" t="str">
        <f>+IF(PROVEEDORES[[#This Row],[FECHA DE PAGO]]=PROVEEDORES[[#This Row],[FECHA DE FACTURACIÓN]],"DE CONTADO","CRÉDITO")</f>
        <v>CRÉDITO</v>
      </c>
      <c r="B904" s="38" t="b">
        <f>+IF((PROVEEDORES[[#This Row],[FECHA DE PAGO]]-PROVEEDORES[[#This Row],[FECHA DE FACTURACIÓN]])&gt;PROVEEDORES[[#This Row],[PLAZO Días]],"PAGO VENCIDO")</f>
        <v>0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0</v>
      </c>
      <c r="E904" s="25"/>
      <c r="F904" s="56" t="str">
        <f>+VLOOKUP(PROVEEDORES[[#This Row],[PROVEEDOR]],
                       Terceros!$A:$F,
                       5,
                       FALSE)</f>
        <v>facturacion@losmolinos.com.co</v>
      </c>
      <c r="G904" s="289">
        <v>45126</v>
      </c>
      <c r="H904" s="26" t="s">
        <v>409</v>
      </c>
      <c r="I904" s="289">
        <v>45108</v>
      </c>
      <c r="J904" s="35" t="s">
        <v>940</v>
      </c>
      <c r="K904" s="21">
        <v>318603</v>
      </c>
      <c r="L904" s="21">
        <v>9545</v>
      </c>
      <c r="M904" s="22">
        <f>(PROVEEDORES[[#This Row],[SUBTOTAL]]-PROVEEDORES[[#This Row],[descuento sobre subtotal]])*VLOOKUP(PROVEEDORES[[#This Row],[PROVEEDOR]],TERCEROS_INFO[#All],3,FALSE)</f>
        <v>0</v>
      </c>
      <c r="N904" s="23"/>
      <c r="O904" s="22">
        <f>+PROVEEDORES[[#This Row],[Descuento sobre subtotal %]]*(PROVEEDORES[[#This Row],[SUBTOTAL]]-PROVEEDORES[[#This Row],[descuento sobre subtotal]])</f>
        <v>0</v>
      </c>
      <c r="P904" s="72">
        <f>+IF(PROVEEDORES[[#This Row],[SUBTOTAL]]&lt;PROVEEDORES[[#This Row],[base retencion]],0,PROVEEDORES[[#This Row],[retención aplicada]])</f>
        <v>0</v>
      </c>
      <c r="Q904" s="22">
        <f>+PROVEEDORES[[#This Row],[Rete Fuente %]]*(PROVEEDORES[[#This Row],[SUBTOTAL]]-PROVEEDORES[[#This Row],[descuento sobre subtotal]])</f>
        <v>0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4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61">
        <f ca="1">IF(PROVEEDORES[[#This Row],[FECHA DE PAGO]]=0,TODAY()-PROVEEDORES[[#This Row],[FECHA DE FACTURACIÓN]]-PROVEEDORES[[#This Row],[PLAZO Días]],0)</f>
        <v>0</v>
      </c>
      <c r="U904" s="97">
        <f>+VLOOKUP(PROVEEDORES[[#This Row],[PROVEEDOR]],Terceros!$A:$D,4,FALSE)</f>
        <v>0</v>
      </c>
      <c r="V904" s="98">
        <f>+YEAR(PROVEEDORES[[#This Row],[FECHA DE FACTURACIÓN]])</f>
        <v>2023</v>
      </c>
      <c r="W904" s="98">
        <f>+MATCH(PROVEEDORES[[#This Row],[año facturado]],Retenciones!$1:$1,0)</f>
        <v>6</v>
      </c>
      <c r="X904" s="99">
        <f>+VLOOKUP(PROVEEDORES[[#This Row],[ID RETENCION]],Retenciones!$A$1:$O$25,PROVEEDORES[[#This Row],[indicador de columna]],FALSE)</f>
        <v>0</v>
      </c>
      <c r="Y904" s="100">
        <f>+VLOOKUP(PROVEEDORES[[#This Row],[ID RETENCION]],Retenciones!$A$1:$O$25,2,FALSE)</f>
        <v>0</v>
      </c>
      <c r="Z904" s="103" t="b">
        <f>OR(COUNTIF(PROVEEDORES[[#This Row],[PROVEEDOR]],"*"&amp;'Palabra no opera'!$A$2&amp;"*"))</f>
        <v>1</v>
      </c>
    </row>
    <row r="905" spans="1:26" ht="22.35" customHeight="1" x14ac:dyDescent="0.25">
      <c r="A905" s="225" t="str">
        <f>+IF(PROVEEDORES[[#This Row],[FECHA DE PAGO]]=PROVEEDORES[[#This Row],[FECHA DE FACTURACIÓN]],"DE CONTADO","CRÉDITO")</f>
        <v>CRÉDITO</v>
      </c>
      <c r="B905" s="38" t="b">
        <f>+IF((PROVEEDORES[[#This Row],[FECHA DE PAGO]]-PROVEEDORES[[#This Row],[FECHA DE FACTURACIÓN]])&gt;PROVEEDORES[[#This Row],[PLAZO Días]],"PAGO VENCIDO")</f>
        <v>0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0</v>
      </c>
      <c r="E905" s="25"/>
      <c r="F905" s="56" t="str">
        <f>+VLOOKUP(PROVEEDORES[[#This Row],[PROVEEDOR]],
                       Terceros!$A:$F,
                       5,
                       FALSE)</f>
        <v>facturacion@losmolinos.com.co</v>
      </c>
      <c r="G905" s="289">
        <v>45156</v>
      </c>
      <c r="H905" s="26" t="s">
        <v>409</v>
      </c>
      <c r="I905" s="289">
        <v>45139</v>
      </c>
      <c r="J905" s="35" t="s">
        <v>1025</v>
      </c>
      <c r="K905" s="21">
        <v>318603</v>
      </c>
      <c r="L905" s="21">
        <v>9545</v>
      </c>
      <c r="M905" s="22">
        <f>(PROVEEDORES[[#This Row],[SUBTOTAL]]-PROVEEDORES[[#This Row],[descuento sobre subtotal]])*VLOOKUP(PROVEEDORES[[#This Row],[PROVEEDOR]],TERCEROS_INFO[#All],3,FALSE)</f>
        <v>0</v>
      </c>
      <c r="N905" s="23"/>
      <c r="O905" s="22">
        <f>+PROVEEDORES[[#This Row],[Descuento sobre subtotal %]]*(PROVEEDORES[[#This Row],[SUBTOTAL]]-PROVEEDORES[[#This Row],[descuento sobre subtotal]])</f>
        <v>0</v>
      </c>
      <c r="P905" s="72">
        <f>+IF(PROVEEDORES[[#This Row],[SUBTOTAL]]&lt;PROVEEDORES[[#This Row],[base retencion]],0,PROVEEDORES[[#This Row],[retención aplicada]])</f>
        <v>0</v>
      </c>
      <c r="Q905" s="22">
        <f>+PROVEEDORES[[#This Row],[Rete Fuente %]]*(PROVEEDORES[[#This Row],[SUBTOTAL]]-PROVEEDORES[[#This Row],[descuento sobre subtotal]])</f>
        <v>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5" s="22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1">
        <f ca="1">IF(PROVEEDORES[[#This Row],[FECHA DE PAGO]]=0,TODAY()-PROVEEDORES[[#This Row],[FECHA DE FACTURACIÓN]]-PROVEEDORES[[#This Row],[PLAZO Días]],0)</f>
        <v>0</v>
      </c>
      <c r="U905" s="97">
        <f>+VLOOKUP(PROVEEDORES[[#This Row],[PROVEEDOR]],Terceros!$A:$D,4,FALSE)</f>
        <v>0</v>
      </c>
      <c r="V905" s="98">
        <f>+YEAR(PROVEEDORES[[#This Row],[FECHA DE FACTURACIÓN]])</f>
        <v>2023</v>
      </c>
      <c r="W905" s="98">
        <f>+MATCH(PROVEEDORES[[#This Row],[año facturado]],Retenciones!$1:$1,0)</f>
        <v>6</v>
      </c>
      <c r="X905" s="99">
        <f>+VLOOKUP(PROVEEDORES[[#This Row],[ID RETENCION]],Retenciones!$A$1:$O$25,PROVEEDORES[[#This Row],[indicador de columna]],FALSE)</f>
        <v>0</v>
      </c>
      <c r="Y905" s="100">
        <f>+VLOOKUP(PROVEEDORES[[#This Row],[ID RETENCION]],Retenciones!$A$1:$O$25,2,FALSE)</f>
        <v>0</v>
      </c>
      <c r="Z905" s="103" t="b">
        <f>OR(COUNTIF(PROVEEDORES[[#This Row],[PROVEEDOR]],"*"&amp;'Palabra no opera'!$A$2&amp;"*"))</f>
        <v>1</v>
      </c>
    </row>
    <row r="906" spans="1:26" ht="22.35" customHeight="1" x14ac:dyDescent="0.25">
      <c r="A906" s="231" t="str">
        <f>+IF(PROVEEDORES[[#This Row],[FECHA DE PAGO]]=PROVEEDORES[[#This Row],[FECHA DE FACTURACIÓN]],"DE CONTADO","CRÉDITO")</f>
        <v>CRÉDITO</v>
      </c>
      <c r="B906" s="38" t="b">
        <f>+IF((PROVEEDORES[[#This Row],[FECHA DE PAGO]]-PROVEEDORES[[#This Row],[FECHA DE FACTURACIÓN]])&gt;PROVEEDORES[[#This Row],[PLAZO Días]],"PAGO VENCIDO")</f>
        <v>0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0</v>
      </c>
      <c r="E906" s="25"/>
      <c r="F906" s="56" t="str">
        <f>+VLOOKUP(PROVEEDORES[[#This Row],[PROVEEDOR]],
                       Terceros!$A:$F,
                       5,
                       FALSE)</f>
        <v>facturacion@losmolinos.com.co</v>
      </c>
      <c r="G906" s="289">
        <v>45187</v>
      </c>
      <c r="H906" s="26" t="s">
        <v>409</v>
      </c>
      <c r="I906" s="289">
        <v>45170</v>
      </c>
      <c r="J906" s="35" t="s">
        <v>1087</v>
      </c>
      <c r="K906" s="21">
        <v>318603</v>
      </c>
      <c r="L906" s="21">
        <v>9545</v>
      </c>
      <c r="M906" s="22">
        <f>(PROVEEDORES[[#This Row],[SUBTOTAL]]-PROVEEDORES[[#This Row],[descuento sobre subtotal]])*VLOOKUP(PROVEEDORES[[#This Row],[PROVEEDOR]],TERCEROS_INFO[#All],3,FALSE)</f>
        <v>0</v>
      </c>
      <c r="N906" s="23"/>
      <c r="O906" s="22">
        <f>+PROVEEDORES[[#This Row],[Descuento sobre subtotal %]]*(PROVEEDORES[[#This Row],[SUBTOTAL]]-PROVEEDORES[[#This Row],[descuento sobre subtotal]])</f>
        <v>0</v>
      </c>
      <c r="P906" s="72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6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1">
        <f ca="1">IF(PROVEEDORES[[#This Row],[FECHA DE PAGO]]=0,TODAY()-PROVEEDORES[[#This Row],[FECHA DE FACTURACIÓN]]-PROVEEDORES[[#This Row],[PLAZO Días]],0)</f>
        <v>0</v>
      </c>
      <c r="U906" s="97">
        <f>+VLOOKUP(PROVEEDORES[[#This Row],[PROVEEDOR]],Terceros!$A:$D,4,FALSE)</f>
        <v>0</v>
      </c>
      <c r="V906" s="98">
        <f>+YEAR(PROVEEDORES[[#This Row],[FECHA DE FACTURACIÓN]])</f>
        <v>2023</v>
      </c>
      <c r="W906" s="98">
        <f>+MATCH(PROVEEDORES[[#This Row],[año facturado]],Retenciones!$1:$1,0)</f>
        <v>6</v>
      </c>
      <c r="X906" s="99">
        <f>+VLOOKUP(PROVEEDORES[[#This Row],[ID RETENCION]],Retenciones!$A$1:$O$25,PROVEEDORES[[#This Row],[indicador de columna]],FALSE)</f>
        <v>0</v>
      </c>
      <c r="Y906" s="100">
        <f>+VLOOKUP(PROVEEDORES[[#This Row],[ID RETENCION]],Retenciones!$A$1:$O$25,2,FALSE)</f>
        <v>0</v>
      </c>
      <c r="Z906" s="103" t="b">
        <f>OR(COUNTIF(PROVEEDORES[[#This Row],[PROVEEDOR]],"*"&amp;'Palabra no opera'!$A$2&amp;"*"))</f>
        <v>1</v>
      </c>
    </row>
    <row r="907" spans="1:26" ht="22.35" customHeight="1" x14ac:dyDescent="0.25">
      <c r="A907" s="245" t="str">
        <f>+IF(PROVEEDORES[[#This Row],[FECHA DE PAGO]]=PROVEEDORES[[#This Row],[FECHA DE FACTURACIÓN]],"DE CONTADO","CRÉDITO")</f>
        <v>CRÉDITO</v>
      </c>
      <c r="B907" s="38" t="b">
        <f>+IF((PROVEEDORES[[#This Row],[FECHA DE PAGO]]-PROVEEDORES[[#This Row],[FECHA DE FACTURACIÓN]])&gt;PROVEEDORES[[#This Row],[PLAZO Días]],"PAGO VENCIDO")</f>
        <v>0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0</v>
      </c>
      <c r="E907" s="25"/>
      <c r="F907" s="56" t="str">
        <f>+VLOOKUP(PROVEEDORES[[#This Row],[PROVEEDOR]],
                       Terceros!$A:$F,
                       5,
                       FALSE)</f>
        <v>facturacion@losmolinos.com.co</v>
      </c>
      <c r="G907" s="289">
        <v>45218</v>
      </c>
      <c r="H907" s="26" t="s">
        <v>409</v>
      </c>
      <c r="I907" s="289">
        <v>45200</v>
      </c>
      <c r="J907" s="35" t="s">
        <v>1164</v>
      </c>
      <c r="K907" s="21">
        <v>318603</v>
      </c>
      <c r="L907" s="21">
        <v>9545</v>
      </c>
      <c r="M907" s="22">
        <f>(PROVEEDORES[[#This Row],[SUBTOTAL]]-PROVEEDORES[[#This Row],[descuento sobre subtotal]])*VLOOKUP(PROVEEDORES[[#This Row],[PROVEEDOR]],TERCEROS_INFO[#All],3,FALSE)</f>
        <v>0</v>
      </c>
      <c r="N907" s="23"/>
      <c r="O907" s="22">
        <f>+PROVEEDORES[[#This Row],[Descuento sobre subtotal %]]*(PROVEEDORES[[#This Row],[SUBTOTAL]]-PROVEEDORES[[#This Row],[descuento sobre subtotal]])</f>
        <v>0</v>
      </c>
      <c r="P907" s="72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7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1">
        <f ca="1">IF(PROVEEDORES[[#This Row],[FECHA DE PAGO]]=0,TODAY()-PROVEEDORES[[#This Row],[FECHA DE FACTURACIÓN]]-PROVEEDORES[[#This Row],[PLAZO Días]],0)</f>
        <v>0</v>
      </c>
      <c r="U907" s="97">
        <f>+VLOOKUP(PROVEEDORES[[#This Row],[PROVEEDOR]],Terceros!$A:$D,4,FALSE)</f>
        <v>0</v>
      </c>
      <c r="V907" s="98">
        <f>+YEAR(PROVEEDORES[[#This Row],[FECHA DE FACTURACIÓN]])</f>
        <v>2023</v>
      </c>
      <c r="W907" s="98">
        <f>+MATCH(PROVEEDORES[[#This Row],[año facturado]],Retenciones!$1:$1,0)</f>
        <v>6</v>
      </c>
      <c r="X907" s="99">
        <f>+VLOOKUP(PROVEEDORES[[#This Row],[ID RETENCION]],Retenciones!$A$1:$O$25,PROVEEDORES[[#This Row],[indicador de columna]],FALSE)</f>
        <v>0</v>
      </c>
      <c r="Y907" s="100">
        <f>+VLOOKUP(PROVEEDORES[[#This Row],[ID RETENCION]],Retenciones!$A$1:$O$25,2,FALSE)</f>
        <v>0</v>
      </c>
      <c r="Z907" s="103" t="b">
        <f>OR(COUNTIF(PROVEEDORES[[#This Row],[PROVEEDOR]],"*"&amp;'Palabra no opera'!$A$2&amp;"*"))</f>
        <v>1</v>
      </c>
    </row>
    <row r="908" spans="1:26" ht="22.35" customHeight="1" x14ac:dyDescent="0.25">
      <c r="A908" s="65" t="str">
        <f>+IF(PROVEEDORES[[#This Row],[FECHA DE PAGO]]=PROVEEDORES[[#This Row],[FECHA DE FACTURACIÓN]],"DE CONTADO","CRÉDITO")</f>
        <v>CRÉDITO</v>
      </c>
      <c r="B908" s="38" t="b">
        <f>+IF((PROVEEDORES[[#This Row],[FECHA DE PAGO]]-PROVEEDORES[[#This Row],[FECHA DE FACTURACIÓN]])&gt;PROVEEDORES[[#This Row],[PLAZO Días]],"PAGO VENCIDO")</f>
        <v>0</v>
      </c>
      <c r="C908" s="20">
        <f>+VLOOKUP(PROVEEDORES[[#This Row],[PROVEEDOR]],TERCEROS_INFO[#All],2,FALSE)</f>
        <v>30</v>
      </c>
      <c r="D908" s="25">
        <f>+SUMIFS(PROVEEDORES[Total],PROVEEDORES[PROVEEDOR],PROVEEDORES[[#This Row],[PROVEEDOR]],PROVEEDORES[FECHA DE PAGO],"")</f>
        <v>0</v>
      </c>
      <c r="E908" s="25"/>
      <c r="F908" s="56" t="str">
        <f>+VLOOKUP(PROVEEDORES[[#This Row],[PROVEEDOR]],
                       Terceros!$A:$F,
                       5,
                       FALSE)</f>
        <v>facturacion@losmolinos.com.co</v>
      </c>
      <c r="G908" s="289">
        <v>45246</v>
      </c>
      <c r="H908" s="26" t="s">
        <v>409</v>
      </c>
      <c r="I908" s="289">
        <v>45231</v>
      </c>
      <c r="J908" s="35" t="s">
        <v>1249</v>
      </c>
      <c r="K908" s="21">
        <v>318603</v>
      </c>
      <c r="L908" s="21">
        <v>9545</v>
      </c>
      <c r="M908" s="22">
        <f>(PROVEEDORES[[#This Row],[SUBTOTAL]]-PROVEEDORES[[#This Row],[descuento sobre subtotal]])*VLOOKUP(PROVEEDORES[[#This Row],[PROVEEDOR]],TERCEROS_INFO[#All],3,FALSE)</f>
        <v>0</v>
      </c>
      <c r="N908" s="23"/>
      <c r="O908" s="22">
        <f>+PROVEEDORES[[#This Row],[Descuento sobre subtotal %]]*(PROVEEDORES[[#This Row],[SUBTOTAL]]-PROVEEDORES[[#This Row],[descuento sobre subtotal]])</f>
        <v>0</v>
      </c>
      <c r="P908" s="72">
        <f>+IF(PROVEEDORES[[#This Row],[SUBTOTAL]]&lt;PROVEEDORES[[#This Row],[base retencion]],0,PROVEEDORES[[#This Row],[retención aplicada]])</f>
        <v>0</v>
      </c>
      <c r="Q908" s="22">
        <f>+PROVEEDORES[[#This Row],[Rete Fuente %]]*(PROVEEDORES[[#This Row],[SUBTOTAL]]-PROVEEDORES[[#This Row],[descuento sobre subtotal]])</f>
        <v>0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1">
        <f ca="1">IF(PROVEEDORES[[#This Row],[FECHA DE PAGO]]=0,TODAY()-PROVEEDORES[[#This Row],[FECHA DE FACTURACIÓN]]-PROVEEDORES[[#This Row],[PLAZO Días]],0)</f>
        <v>0</v>
      </c>
      <c r="U908" s="97">
        <f>+VLOOKUP(PROVEEDORES[[#This Row],[PROVEEDOR]],Terceros!$A:$D,4,FALSE)</f>
        <v>0</v>
      </c>
      <c r="V908" s="98">
        <f>+YEAR(PROVEEDORES[[#This Row],[FECHA DE FACTURACIÓN]])</f>
        <v>2023</v>
      </c>
      <c r="W908" s="98">
        <f>+MATCH(PROVEEDORES[[#This Row],[año facturado]],Retenciones!$1:$1,0)</f>
        <v>6</v>
      </c>
      <c r="X908" s="99">
        <f>+VLOOKUP(PROVEEDORES[[#This Row],[ID RETENCION]],Retenciones!$A$1:$O$25,PROVEEDORES[[#This Row],[indicador de columna]],FALSE)</f>
        <v>0</v>
      </c>
      <c r="Y908" s="100">
        <f>+VLOOKUP(PROVEEDORES[[#This Row],[ID RETENCION]],Retenciones!$A$1:$O$25,2,FALSE)</f>
        <v>0</v>
      </c>
      <c r="Z908" s="103" t="b">
        <f>OR(COUNTIF(PROVEEDORES[[#This Row],[PROVEEDOR]],"*"&amp;'Palabra no opera'!$A$2&amp;"*"))</f>
        <v>1</v>
      </c>
    </row>
    <row r="909" spans="1:26" ht="22.35" customHeight="1" x14ac:dyDescent="0.25">
      <c r="A909" s="65" t="str">
        <f>+IF(PROVEEDORES[[#This Row],[FECHA DE PAGO]]=PROVEEDORES[[#This Row],[FECHA DE FACTURACIÓN]],"DE CONTADO","CRÉDITO")</f>
        <v>CRÉDITO</v>
      </c>
      <c r="B909" s="38" t="b">
        <f>+IF((PROVEEDORES[[#This Row],[FECHA DE PAGO]]-PROVEEDORES[[#This Row],[FECHA DE FACTURACIÓN]])&gt;PROVEEDORES[[#This Row],[PLAZO Días]],"PAGO VENCIDO")</f>
        <v>0</v>
      </c>
      <c r="C909" s="20">
        <f>+VLOOKUP(PROVEEDORES[[#This Row],[PROVEEDOR]],TERCEROS_INFO[#All],2,FALSE)</f>
        <v>30</v>
      </c>
      <c r="D909" s="25">
        <f>+SUMIFS(PROVEEDORES[Total],PROVEEDORES[PROVEEDOR],PROVEEDORES[[#This Row],[PROVEEDOR]],PROVEEDORES[FECHA DE PAGO],"")</f>
        <v>0</v>
      </c>
      <c r="E909" s="25"/>
      <c r="F909" s="56" t="str">
        <f>+VLOOKUP(PROVEEDORES[[#This Row],[PROVEEDOR]],
                       Terceros!$A:$F,
                       5,
                       FALSE)</f>
        <v>facturacion@losmolinos.com.co</v>
      </c>
      <c r="G909" s="289">
        <v>45271</v>
      </c>
      <c r="H909" s="26" t="s">
        <v>409</v>
      </c>
      <c r="I909" s="289">
        <v>45261</v>
      </c>
      <c r="J909" s="35" t="s">
        <v>1368</v>
      </c>
      <c r="K909" s="21">
        <v>318603</v>
      </c>
      <c r="L909" s="21">
        <v>9545</v>
      </c>
      <c r="M909" s="22">
        <f>(PROVEEDORES[[#This Row],[SUBTOTAL]]-PROVEEDORES[[#This Row],[descuento sobre subtotal]])*VLOOKUP(PROVEEDORES[[#This Row],[PROVEEDOR]],TERCEROS_INFO[#All],3,FALSE)</f>
        <v>0</v>
      </c>
      <c r="N909" s="23"/>
      <c r="O909" s="22">
        <f>+PROVEEDORES[[#This Row],[Descuento sobre subtotal %]]*(PROVEEDORES[[#This Row],[SUBTOTAL]]-PROVEEDORES[[#This Row],[descuento sobre subtotal]])</f>
        <v>0</v>
      </c>
      <c r="P909" s="72">
        <f>+IF(PROVEEDORES[[#This Row],[SUBTOTAL]]&lt;PROVEEDORES[[#This Row],[base retencion]],0,PROVEEDORES[[#This Row],[retención aplicada]])</f>
        <v>0</v>
      </c>
      <c r="Q909" s="22">
        <f>+PROVEEDORES[[#This Row],[Rete Fuente %]]*(PROVEEDORES[[#This Row],[SUBTOTAL]]-PROVEEDORES[[#This Row],[descuento sobre subtotal]])</f>
        <v>0</v>
      </c>
      <c r="R909" s="21">
        <f>+PROVEEDORES[[#This Row],[SUBTOTAL]]+PROVEEDORES[[#This Row],[IVA 19%]]-PROVEEDORES[[#This Row],[descuento sobre subtotal]]-PROVEEDORES[[#This Row],[Descuento sobre subtotal $2]]-PROVEEDORES[[#This Row],[Rete Fuente $]]</f>
        <v>309058</v>
      </c>
      <c r="S90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1">
        <f ca="1">IF(PROVEEDORES[[#This Row],[FECHA DE PAGO]]=0,TODAY()-PROVEEDORES[[#This Row],[FECHA DE FACTURACIÓN]]-PROVEEDORES[[#This Row],[PLAZO Días]],0)</f>
        <v>0</v>
      </c>
      <c r="U909" s="97">
        <f>+VLOOKUP(PROVEEDORES[[#This Row],[PROVEEDOR]],Terceros!$A:$D,4,FALSE)</f>
        <v>0</v>
      </c>
      <c r="V909" s="98">
        <f>+YEAR(PROVEEDORES[[#This Row],[FECHA DE FACTURACIÓN]])</f>
        <v>2023</v>
      </c>
      <c r="W909" s="98">
        <f>+MATCH(PROVEEDORES[[#This Row],[año facturado]],Retenciones!$1:$1,0)</f>
        <v>6</v>
      </c>
      <c r="X909" s="99">
        <f>+VLOOKUP(PROVEEDORES[[#This Row],[ID RETENCION]],Retenciones!$A$1:$O$25,PROVEEDORES[[#This Row],[indicador de columna]],FALSE)</f>
        <v>0</v>
      </c>
      <c r="Y909" s="100">
        <f>+VLOOKUP(PROVEEDORES[[#This Row],[ID RETENCION]],Retenciones!$A$1:$O$25,2,FALSE)</f>
        <v>0</v>
      </c>
      <c r="Z909" s="103" t="b">
        <f>OR(COUNTIF(PROVEEDORES[[#This Row],[PROVEEDOR]],"*"&amp;'Palabra no opera'!$A$2&amp;"*"))</f>
        <v>1</v>
      </c>
    </row>
    <row r="910" spans="1:26" ht="22.35" customHeight="1" x14ac:dyDescent="0.25">
      <c r="A910" s="65" t="str">
        <f>+IF(PROVEEDORES[[#This Row],[FECHA DE PAGO]]=PROVEEDORES[[#This Row],[FECHA DE FACTURACIÓN]],"DE CONTADO","CRÉDITO")</f>
        <v>CRÉDITO</v>
      </c>
      <c r="B910" s="38" t="b">
        <f>+IF((PROVEEDORES[[#This Row],[FECHA DE PAGO]]-PROVEEDORES[[#This Row],[FECHA DE FACTURACIÓN]])&gt;PROVEEDORES[[#This Row],[PLAZO Días]],"PAGO VENCIDO")</f>
        <v>0</v>
      </c>
      <c r="C910" s="20">
        <f>+VLOOKUP(PROVEEDORES[[#This Row],[PROVEEDOR]],TERCEROS_INFO[#All],2,FALSE)</f>
        <v>30</v>
      </c>
      <c r="D910" s="25">
        <f>+SUMIFS(PROVEEDORES[Total],PROVEEDORES[PROVEEDOR],PROVEEDORES[[#This Row],[PROVEEDOR]],PROVEEDORES[FECHA DE PAGO],"")</f>
        <v>0</v>
      </c>
      <c r="E910" s="25"/>
      <c r="F910" s="56" t="str">
        <f>+VLOOKUP(PROVEEDORES[[#This Row],[PROVEEDOR]],
                       Terceros!$A:$F,
                       5,
                       FALSE)</f>
        <v>facturacion@losmolinos.com.co</v>
      </c>
      <c r="G910" s="289">
        <v>45307</v>
      </c>
      <c r="H910" s="26" t="s">
        <v>409</v>
      </c>
      <c r="I910" s="289">
        <v>45292</v>
      </c>
      <c r="J910" s="35" t="s">
        <v>1458</v>
      </c>
      <c r="K910" s="21">
        <v>363203</v>
      </c>
      <c r="L910" s="21">
        <v>10697.52</v>
      </c>
      <c r="M910" s="22">
        <f>(PROVEEDORES[[#This Row],[SUBTOTAL]]-PROVEEDORES[[#This Row],[descuento sobre subtotal]])*VLOOKUP(PROVEEDORES[[#This Row],[PROVEEDOR]],TERCEROS_INFO[#All],3,FALSE)</f>
        <v>0</v>
      </c>
      <c r="N910" s="23"/>
      <c r="O910" s="22">
        <f>+PROVEEDORES[[#This Row],[Descuento sobre subtotal %]]*(PROVEEDORES[[#This Row],[SUBTOTAL]]-PROVEEDORES[[#This Row],[descuento sobre subtotal]])</f>
        <v>0</v>
      </c>
      <c r="P910" s="72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352505.48</v>
      </c>
      <c r="S9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61">
        <f ca="1">IF(PROVEEDORES[[#This Row],[FECHA DE PAGO]]=0,TODAY()-PROVEEDORES[[#This Row],[FECHA DE FACTURACIÓN]]-PROVEEDORES[[#This Row],[PLAZO Días]],0)</f>
        <v>0</v>
      </c>
      <c r="U910" s="97">
        <f>+VLOOKUP(PROVEEDORES[[#This Row],[PROVEEDOR]],Terceros!$A:$D,4,FALSE)</f>
        <v>0</v>
      </c>
      <c r="V910" s="98">
        <f>+YEAR(PROVEEDORES[[#This Row],[FECHA DE FACTURACIÓN]])</f>
        <v>2024</v>
      </c>
      <c r="W910" s="98">
        <f>+MATCH(PROVEEDORES[[#This Row],[año facturado]],Retenciones!$1:$1,0)</f>
        <v>7</v>
      </c>
      <c r="X910" s="99">
        <f>+VLOOKUP(PROVEEDORES[[#This Row],[ID RETENCION]],Retenciones!$A$1:$O$25,PROVEEDORES[[#This Row],[indicador de columna]],FALSE)</f>
        <v>0</v>
      </c>
      <c r="Y910" s="100">
        <f>+VLOOKUP(PROVEEDORES[[#This Row],[ID RETENCION]],Retenciones!$A$1:$O$25,2,FALSE)</f>
        <v>0</v>
      </c>
      <c r="Z910" s="103" t="b">
        <f>OR(COUNTIF(PROVEEDORES[[#This Row],[PROVEEDOR]],"*"&amp;'Palabra no opera'!$A$2&amp;"*"))</f>
        <v>1</v>
      </c>
    </row>
    <row r="911" spans="1:26" ht="22.35" customHeight="1" x14ac:dyDescent="0.25">
      <c r="A911" s="155" t="str">
        <f>+IF(PROVEEDORES[[#This Row],[FECHA DE PAGO]]=PROVEEDORES[[#This Row],[FECHA DE FACTURACIÓN]],"DE CONTADO","CRÉDITO")</f>
        <v>CRÉDITO</v>
      </c>
      <c r="B911" s="38" t="str">
        <f>+IF((PROVEEDORES[[#This Row],[FECHA DE PAGO]]-PROVEEDORES[[#This Row],[FECHA DE FACTURACIÓN]])&gt;PROVEEDORES[[#This Row],[PLAZO Días]],"PAGO VENCIDO")</f>
        <v>PAGO VENCIDO</v>
      </c>
      <c r="C911" s="20">
        <f>+VLOOKUP(PROVEEDORES[[#This Row],[PROVEEDOR]],TERCEROS_INFO[#All],2,FALSE)</f>
        <v>30</v>
      </c>
      <c r="D911" s="25">
        <f>+SUMIFS(PROVEEDORES[Total],PROVEEDORES[PROVEEDOR],PROVEEDORES[[#This Row],[PROVEEDOR]],PROVEEDORES[FECHA DE PAGO],"")</f>
        <v>3065837.2199999997</v>
      </c>
      <c r="E911" s="25"/>
      <c r="F91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1" s="289">
        <v>44988</v>
      </c>
      <c r="H911" s="26" t="s">
        <v>17</v>
      </c>
      <c r="I911" s="289">
        <v>44951</v>
      </c>
      <c r="J911" s="35" t="s">
        <v>629</v>
      </c>
      <c r="K911" s="21">
        <v>819316</v>
      </c>
      <c r="L911" s="21"/>
      <c r="M911" s="22">
        <v>0</v>
      </c>
      <c r="N911" s="23"/>
      <c r="O911" s="22">
        <f>+PROVEEDORES[[#This Row],[Descuento sobre subtotal %]]*(PROVEEDORES[[#This Row],[SUBTOTAL]]-PROVEEDORES[[#This Row],[descuento sobre subtotal]])</f>
        <v>0</v>
      </c>
      <c r="P911" s="72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f>+PROVEEDORES[[#This Row],[SUBTOTAL]]+PROVEEDORES[[#This Row],[IVA 19%]]-PROVEEDORES[[#This Row],[descuento sobre subtotal]]-PROVEEDORES[[#This Row],[Descuento sobre subtotal $2]]-PROVEEDORES[[#This Row],[Rete Fuente $]]</f>
        <v>819316</v>
      </c>
      <c r="S911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1">
        <f ca="1">IF(PROVEEDORES[[#This Row],[FECHA DE PAGO]]=0,TODAY()-PROVEEDORES[[#This Row],[FECHA DE FACTURACIÓN]]-PROVEEDORES[[#This Row],[PLAZO Días]],0)</f>
        <v>0</v>
      </c>
      <c r="U911" s="97">
        <f>+VLOOKUP(PROVEEDORES[[#This Row],[PROVEEDOR]],Terceros!$A:$D,4,FALSE)</f>
        <v>0</v>
      </c>
      <c r="V911" s="98">
        <f>+YEAR(PROVEEDORES[[#This Row],[FECHA DE FACTURACIÓN]])</f>
        <v>2023</v>
      </c>
      <c r="W911" s="98">
        <f>+MATCH(PROVEEDORES[[#This Row],[año facturado]],Retenciones!$1:$1,0)</f>
        <v>6</v>
      </c>
      <c r="X911" s="99">
        <f>+VLOOKUP(PROVEEDORES[[#This Row],[ID RETENCION]],Retenciones!$A$1:$O$25,PROVEEDORES[[#This Row],[indicador de columna]],FALSE)</f>
        <v>0</v>
      </c>
      <c r="Y911" s="100">
        <f>+VLOOKUP(PROVEEDORES[[#This Row],[ID RETENCION]],Retenciones!$A$1:$O$25,2,FALSE)</f>
        <v>0</v>
      </c>
      <c r="Z911" s="103" t="b">
        <f>OR(COUNTIF(PROVEEDORES[[#This Row],[PROVEEDOR]],"*"&amp;'Palabra no opera'!$A$2&amp;"*"))</f>
        <v>0</v>
      </c>
    </row>
    <row r="912" spans="1:26" ht="22.35" customHeight="1" x14ac:dyDescent="0.25">
      <c r="A912" s="149" t="str">
        <f>+IF(PROVEEDORES[[#This Row],[FECHA DE PAGO]]=PROVEEDORES[[#This Row],[FECHA DE FACTURACIÓN]],"DE CONTADO","CRÉDITO")</f>
        <v>CRÉDITO</v>
      </c>
      <c r="B912" s="38" t="str">
        <f>+IF((PROVEEDORES[[#This Row],[FECHA DE PAGO]]-PROVEEDORES[[#This Row],[FECHA DE FACTURACIÓN]])&gt;PROVEEDORES[[#This Row],[PLAZO Días]],"PAGO VENCIDO")</f>
        <v>PAGO VENCIDO</v>
      </c>
      <c r="C912" s="20">
        <f>+VLOOKUP(PROVEEDORES[[#This Row],[PROVEEDOR]],TERCEROS_INFO[#All],2,FALSE)</f>
        <v>30</v>
      </c>
      <c r="D912" s="25">
        <f>+SUMIFS(PROVEEDORES[Total],PROVEEDORES[PROVEEDOR],PROVEEDORES[[#This Row],[PROVEEDOR]],PROVEEDORES[FECHA DE PAGO],"")</f>
        <v>3065837.2199999997</v>
      </c>
      <c r="E912" s="25"/>
      <c r="F912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2" s="289">
        <v>44988</v>
      </c>
      <c r="H912" s="26" t="s">
        <v>17</v>
      </c>
      <c r="I912" s="289">
        <v>44957</v>
      </c>
      <c r="J912" s="35" t="s">
        <v>603</v>
      </c>
      <c r="K912" s="21">
        <v>412700</v>
      </c>
      <c r="L912" s="21"/>
      <c r="M912" s="22">
        <f>(PROVEEDORES[[#This Row],[SUBTOTAL]]-PROVEEDORES[[#This Row],[descuento sobre subtotal]])*VLOOKUP(PROVEEDORES[[#This Row],[PROVEEDOR]],TERCEROS_INFO[#All],3,FALSE)</f>
        <v>78413</v>
      </c>
      <c r="N912" s="23"/>
      <c r="O912" s="22">
        <f>+PROVEEDORES[[#This Row],[Descuento sobre subtotal %]]*(PROVEEDORES[[#This Row],[SUBTOTAL]]-PROVEEDORES[[#This Row],[descuento sobre subtotal]])</f>
        <v>0</v>
      </c>
      <c r="P912" s="72">
        <f>+IF(PROVEEDORES[[#This Row],[SUBTOTAL]]&lt;PROVEEDORES[[#This Row],[base retencion]],0,PROVEEDORES[[#This Row],[retención aplicada]])</f>
        <v>0</v>
      </c>
      <c r="Q912" s="22">
        <f>+PROVEEDORES[[#This Row],[Rete Fuente %]]*(PROVEEDORES[[#This Row],[SUBTOTAL]]-PROVEEDORES[[#This Row],[descuento sobre subtotal]])</f>
        <v>0</v>
      </c>
      <c r="R912" s="21">
        <f>+PROVEEDORES[[#This Row],[SUBTOTAL]]+PROVEEDORES[[#This Row],[IVA 19%]]-PROVEEDORES[[#This Row],[descuento sobre subtotal]]-PROVEEDORES[[#This Row],[Descuento sobre subtotal $2]]-PROVEEDORES[[#This Row],[Rete Fuente $]]</f>
        <v>491113</v>
      </c>
      <c r="S912" s="1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1">
        <f ca="1">IF(PROVEEDORES[[#This Row],[FECHA DE PAGO]]=0,TODAY()-PROVEEDORES[[#This Row],[FECHA DE FACTURACIÓN]]-PROVEEDORES[[#This Row],[PLAZO Días]],0)</f>
        <v>0</v>
      </c>
      <c r="U912" s="97">
        <f>+VLOOKUP(PROVEEDORES[[#This Row],[PROVEEDOR]],Terceros!$A:$D,4,FALSE)</f>
        <v>0</v>
      </c>
      <c r="V912" s="98">
        <f>+YEAR(PROVEEDORES[[#This Row],[FECHA DE FACTURACIÓN]])</f>
        <v>2023</v>
      </c>
      <c r="W912" s="98">
        <f>+MATCH(PROVEEDORES[[#This Row],[año facturado]],Retenciones!$1:$1,0)</f>
        <v>6</v>
      </c>
      <c r="X912" s="99">
        <f>+VLOOKUP(PROVEEDORES[[#This Row],[ID RETENCION]],Retenciones!$A$1:$O$25,PROVEEDORES[[#This Row],[indicador de columna]],FALSE)</f>
        <v>0</v>
      </c>
      <c r="Y912" s="100">
        <f>+VLOOKUP(PROVEEDORES[[#This Row],[ID RETENCION]],Retenciones!$A$1:$O$25,2,FALSE)</f>
        <v>0</v>
      </c>
      <c r="Z912" s="103" t="b">
        <f>OR(COUNTIF(PROVEEDORES[[#This Row],[PROVEEDOR]],"*"&amp;'Palabra no opera'!$A$2&amp;"*"))</f>
        <v>0</v>
      </c>
    </row>
    <row r="913" spans="1:26" ht="22.35" customHeight="1" x14ac:dyDescent="0.25">
      <c r="A913" s="65" t="str">
        <f>+IF(PROVEEDORES[[#This Row],[FECHA DE PAGO]]=PROVEEDORES[[#This Row],[FECHA DE FACTURACIÓN]],"DE CONTADO","CRÉDITO")</f>
        <v>CRÉDITO</v>
      </c>
      <c r="B913" s="38" t="str">
        <f>+IF((PROVEEDORES[[#This Row],[FECHA DE PAGO]]-PROVEEDORES[[#This Row],[FECHA DE FACTURACIÓN]])&gt;PROVEEDORES[[#This Row],[PLAZO Días]],"PAGO VENCIDO")</f>
        <v>PAGO VENCIDO</v>
      </c>
      <c r="C913" s="20">
        <f>+VLOOKUP(PROVEEDORES[[#This Row],[PROVEEDOR]],TERCEROS_INFO[#All],2,FALSE)</f>
        <v>30</v>
      </c>
      <c r="D913" s="25">
        <f>+SUMIFS(PROVEEDORES[Total],PROVEEDORES[PROVEEDOR],PROVEEDORES[[#This Row],[PROVEEDOR]],PROVEEDORES[FECHA DE PAGO],"")</f>
        <v>3065837.2199999997</v>
      </c>
      <c r="E913" s="25"/>
      <c r="F91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3" s="289">
        <v>44999</v>
      </c>
      <c r="H913" s="26" t="s">
        <v>17</v>
      </c>
      <c r="I913" s="289">
        <v>44959</v>
      </c>
      <c r="J913" s="35">
        <v>20088404</v>
      </c>
      <c r="K913" s="21">
        <v>205800</v>
      </c>
      <c r="L913" s="21"/>
      <c r="M913" s="22">
        <f>(PROVEEDORES[[#This Row],[SUBTOTAL]]-PROVEEDORES[[#This Row],[descuento sobre subtotal]])*VLOOKUP(PROVEEDORES[[#This Row],[PROVEEDOR]],TERCEROS_INFO[#All],3,FALSE)</f>
        <v>39102</v>
      </c>
      <c r="N913" s="23"/>
      <c r="O913" s="22">
        <f>+PROVEEDORES[[#This Row],[Descuento sobre subtotal %]]*(PROVEEDORES[[#This Row],[SUBTOTAL]]-PROVEEDORES[[#This Row],[descuento sobre subtotal]])</f>
        <v>0</v>
      </c>
      <c r="P913" s="72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f>+PROVEEDORES[[#This Row],[SUBTOTAL]]+PROVEEDORES[[#This Row],[IVA 19%]]-PROVEEDORES[[#This Row],[descuento sobre subtotal]]-PROVEEDORES[[#This Row],[Descuento sobre subtotal $2]]-PROVEEDORES[[#This Row],[Rete Fuente $]]</f>
        <v>244902</v>
      </c>
      <c r="S9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1">
        <f ca="1">IF(PROVEEDORES[[#This Row],[FECHA DE PAGO]]=0,TODAY()-PROVEEDORES[[#This Row],[FECHA DE FACTURACIÓN]]-PROVEEDORES[[#This Row],[PLAZO Días]],0)</f>
        <v>0</v>
      </c>
      <c r="U913" s="97">
        <f>+VLOOKUP(PROVEEDORES[[#This Row],[PROVEEDOR]],Terceros!$A:$D,4,FALSE)</f>
        <v>0</v>
      </c>
      <c r="V913" s="98">
        <f>+YEAR(PROVEEDORES[[#This Row],[FECHA DE FACTURACIÓN]])</f>
        <v>2023</v>
      </c>
      <c r="W913" s="98">
        <f>+MATCH(PROVEEDORES[[#This Row],[año facturado]],Retenciones!$1:$1,0)</f>
        <v>6</v>
      </c>
      <c r="X913" s="99">
        <f>+VLOOKUP(PROVEEDORES[[#This Row],[ID RETENCION]],Retenciones!$A$1:$O$25,PROVEEDORES[[#This Row],[indicador de columna]],FALSE)</f>
        <v>0</v>
      </c>
      <c r="Y913" s="100">
        <f>+VLOOKUP(PROVEEDORES[[#This Row],[ID RETENCION]],Retenciones!$A$1:$O$25,2,FALSE)</f>
        <v>0</v>
      </c>
      <c r="Z913" s="103" t="b">
        <f>OR(COUNTIF(PROVEEDORES[[#This Row],[PROVEEDOR]],"*"&amp;'Palabra no opera'!$A$2&amp;"*"))</f>
        <v>0</v>
      </c>
    </row>
    <row r="914" spans="1:26" ht="22.35" customHeight="1" x14ac:dyDescent="0.25">
      <c r="A914" s="151" t="str">
        <f>+IF(PROVEEDORES[[#This Row],[FECHA DE PAGO]]=PROVEEDORES[[#This Row],[FECHA DE FACTURACIÓN]],"DE CONTADO","CRÉDITO")</f>
        <v>CRÉDITO</v>
      </c>
      <c r="B914" s="38" t="b">
        <f>+IF((PROVEEDORES[[#This Row],[FECHA DE PAGO]]-PROVEEDORES[[#This Row],[FECHA DE FACTURACIÓN]])&gt;PROVEEDORES[[#This Row],[PLAZO Días]],"PAGO VENCIDO")</f>
        <v>0</v>
      </c>
      <c r="C914" s="20">
        <f>+VLOOKUP(PROVEEDORES[[#This Row],[PROVEEDOR]],TERCEROS_INFO[#All],2,FALSE)</f>
        <v>30</v>
      </c>
      <c r="D914" s="25">
        <f>+SUMIFS(PROVEEDORES[Total],PROVEEDORES[PROVEEDOR],PROVEEDORES[[#This Row],[PROVEEDOR]],PROVEEDORES[FECHA DE PAGO],"")</f>
        <v>3065837.2199999997</v>
      </c>
      <c r="E914" s="25"/>
      <c r="F91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4" s="289">
        <v>44988</v>
      </c>
      <c r="H914" s="26" t="s">
        <v>17</v>
      </c>
      <c r="I914" s="289">
        <v>44960</v>
      </c>
      <c r="J914" s="35" t="s">
        <v>604</v>
      </c>
      <c r="K914" s="21">
        <v>2018990</v>
      </c>
      <c r="L914" s="21"/>
      <c r="M914" s="22">
        <v>0</v>
      </c>
      <c r="N914" s="23"/>
      <c r="O914" s="22">
        <f>+PROVEEDORES[[#This Row],[Descuento sobre subtotal %]]*(PROVEEDORES[[#This Row],[SUBTOTAL]]-PROVEEDORES[[#This Row],[descuento sobre subtotal]])</f>
        <v>0</v>
      </c>
      <c r="P914" s="72">
        <f>+IF(PROVEEDORES[[#This Row],[SUBTOTAL]]&lt;PROVEEDORES[[#This Row],[base retencion]],0,PROVEEDORES[[#This Row],[retención aplicada]])</f>
        <v>0</v>
      </c>
      <c r="Q914" s="22">
        <f>+PROVEEDORES[[#This Row],[Rete Fuente %]]*(PROVEEDORES[[#This Row],[SUBTOTAL]]-PROVEEDORES[[#This Row],[descuento sobre subtotal]])</f>
        <v>0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2018990</v>
      </c>
      <c r="S914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1">
        <f ca="1">IF(PROVEEDORES[[#This Row],[FECHA DE PAGO]]=0,TODAY()-PROVEEDORES[[#This Row],[FECHA DE FACTURACIÓN]]-PROVEEDORES[[#This Row],[PLAZO Días]],0)</f>
        <v>0</v>
      </c>
      <c r="U914" s="97">
        <f>+VLOOKUP(PROVEEDORES[[#This Row],[PROVEEDOR]],Terceros!$A:$D,4,FALSE)</f>
        <v>0</v>
      </c>
      <c r="V914" s="98">
        <f>+YEAR(PROVEEDORES[[#This Row],[FECHA DE FACTURACIÓN]])</f>
        <v>2023</v>
      </c>
      <c r="W914" s="98">
        <f>+MATCH(PROVEEDORES[[#This Row],[año facturado]],Retenciones!$1:$1,0)</f>
        <v>6</v>
      </c>
      <c r="X914" s="99">
        <f>+VLOOKUP(PROVEEDORES[[#This Row],[ID RETENCION]],Retenciones!$A$1:$O$25,PROVEEDORES[[#This Row],[indicador de columna]],FALSE)</f>
        <v>0</v>
      </c>
      <c r="Y914" s="100">
        <f>+VLOOKUP(PROVEEDORES[[#This Row],[ID RETENCION]],Retenciones!$A$1:$O$25,2,FALSE)</f>
        <v>0</v>
      </c>
      <c r="Z914" s="103" t="b">
        <f>OR(COUNTIF(PROVEEDORES[[#This Row],[PROVEEDOR]],"*"&amp;'Palabra no opera'!$A$2&amp;"*"))</f>
        <v>0</v>
      </c>
    </row>
    <row r="915" spans="1:26" ht="22.35" customHeight="1" x14ac:dyDescent="0.25">
      <c r="A915" s="151" t="str">
        <f>+IF(PROVEEDORES[[#This Row],[FECHA DE PAGO]]=PROVEEDORES[[#This Row],[FECHA DE FACTURACIÓN]],"DE CONTADO","CRÉDITO")</f>
        <v>CRÉDITO</v>
      </c>
      <c r="B915" s="38" t="b">
        <f>+IF((PROVEEDORES[[#This Row],[FECHA DE PAGO]]-PROVEEDORES[[#This Row],[FECHA DE FACTURACIÓN]])&gt;PROVEEDORES[[#This Row],[PLAZO Días]],"PAGO VENCIDO")</f>
        <v>0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3065837.2199999997</v>
      </c>
      <c r="E915" s="25"/>
      <c r="F91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5" s="289">
        <v>44988</v>
      </c>
      <c r="H915" s="26" t="s">
        <v>17</v>
      </c>
      <c r="I915" s="289">
        <v>44960</v>
      </c>
      <c r="J915" s="35" t="s">
        <v>593</v>
      </c>
      <c r="K915" s="21">
        <v>-14300</v>
      </c>
      <c r="L915" s="21"/>
      <c r="M915" s="22">
        <f>(PROVEEDORES[[#This Row],[SUBTOTAL]]-PROVEEDORES[[#This Row],[descuento sobre subtotal]])*VLOOKUP(PROVEEDORES[[#This Row],[PROVEEDOR]],TERCEROS_INFO[#All],3,FALSE)</f>
        <v>-2717</v>
      </c>
      <c r="N915" s="23"/>
      <c r="O915" s="22">
        <f>+PROVEEDORES[[#This Row],[Descuento sobre subtotal %]]*(PROVEEDORES[[#This Row],[SUBTOTAL]]-PROVEEDORES[[#This Row],[descuento sobre subtotal]])</f>
        <v>0</v>
      </c>
      <c r="P915" s="72">
        <f>+IF(PROVEEDORES[[#This Row],[SUBTOTAL]]&lt;PROVEEDORES[[#This Row],[base retencion]],0,PROVEEDORES[[#This Row],[retención aplicada]])</f>
        <v>0</v>
      </c>
      <c r="Q915" s="22">
        <f>+PROVEEDORES[[#This Row],[Rete Fuente %]]*(PROVEEDORES[[#This Row],[SUBTOTAL]]-PROVEEDORES[[#This Row],[descuento sobre subtotal]])</f>
        <v>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-17017</v>
      </c>
      <c r="S915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1">
        <f ca="1">IF(PROVEEDORES[[#This Row],[FECHA DE PAGO]]=0,TODAY()-PROVEEDORES[[#This Row],[FECHA DE FACTURACIÓN]]-PROVEEDORES[[#This Row],[PLAZO Días]],0)</f>
        <v>0</v>
      </c>
      <c r="U915" s="97">
        <f>+VLOOKUP(PROVEEDORES[[#This Row],[PROVEEDOR]],Terceros!$A:$D,4,FALSE)</f>
        <v>0</v>
      </c>
      <c r="V915" s="98">
        <f>+YEAR(PROVEEDORES[[#This Row],[FECHA DE FACTURACIÓN]])</f>
        <v>2023</v>
      </c>
      <c r="W915" s="98">
        <f>+MATCH(PROVEEDORES[[#This Row],[año facturado]],Retenciones!$1:$1,0)</f>
        <v>6</v>
      </c>
      <c r="X915" s="99">
        <f>+VLOOKUP(PROVEEDORES[[#This Row],[ID RETENCION]],Retenciones!$A$1:$O$25,PROVEEDORES[[#This Row],[indicador de columna]],FALSE)</f>
        <v>0</v>
      </c>
      <c r="Y915" s="100">
        <f>+VLOOKUP(PROVEEDORES[[#This Row],[ID RETENCION]],Retenciones!$A$1:$O$25,2,FALSE)</f>
        <v>0</v>
      </c>
      <c r="Z915" s="103" t="b">
        <f>OR(COUNTIF(PROVEEDORES[[#This Row],[PROVEEDOR]],"*"&amp;'Palabra no opera'!$A$2&amp;"*"))</f>
        <v>0</v>
      </c>
    </row>
    <row r="916" spans="1:26" ht="22.35" customHeight="1" x14ac:dyDescent="0.25">
      <c r="A916" s="65" t="str">
        <f>+IF(PROVEEDORES[[#This Row],[FECHA DE PAGO]]=PROVEEDORES[[#This Row],[FECHA DE FACTURACIÓN]],"DE CONTADO","CRÉDITO")</f>
        <v>CRÉDITO</v>
      </c>
      <c r="B916" s="38" t="str">
        <f>+IF((PROVEEDORES[[#This Row],[FECHA DE PAGO]]-PROVEEDORES[[#This Row],[FECHA DE FACTURACIÓN]])&gt;PROVEEDORES[[#This Row],[PLAZO Días]],"PAGO VENCIDO")</f>
        <v>PAGO VENCIDO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3065837.2199999997</v>
      </c>
      <c r="E916" s="25"/>
      <c r="F91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6" s="289">
        <v>45019</v>
      </c>
      <c r="H916" s="26" t="s">
        <v>17</v>
      </c>
      <c r="I916" s="289">
        <v>44985</v>
      </c>
      <c r="J916" s="35" t="s">
        <v>642</v>
      </c>
      <c r="K916" s="21">
        <v>1457850</v>
      </c>
      <c r="L916" s="21"/>
      <c r="M916" s="22">
        <v>0</v>
      </c>
      <c r="N916" s="23"/>
      <c r="O916" s="22">
        <f>+PROVEEDORES[[#This Row],[Descuento sobre subtotal %]]*(PROVEEDORES[[#This Row],[SUBTOTAL]]-PROVEEDORES[[#This Row],[descuento sobre subtotal]])</f>
        <v>0</v>
      </c>
      <c r="P916" s="72">
        <f>+IF(PROVEEDORES[[#This Row],[SUBTOTAL]]&lt;PROVEEDORES[[#This Row],[base retencion]],0,PROVEEDORES[[#This Row],[retención aplicada]])</f>
        <v>0</v>
      </c>
      <c r="Q916" s="22">
        <f>+PROVEEDORES[[#This Row],[Rete Fuente %]]*(PROVEEDORES[[#This Row],[SUBTOTAL]]-PROVEEDORES[[#This Row],[descuento sobre subtotal]])</f>
        <v>0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1457850</v>
      </c>
      <c r="S91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1">
        <f ca="1">IF(PROVEEDORES[[#This Row],[FECHA DE PAGO]]=0,TODAY()-PROVEEDORES[[#This Row],[FECHA DE FACTURACIÓN]]-PROVEEDORES[[#This Row],[PLAZO Días]],0)</f>
        <v>0</v>
      </c>
      <c r="U916" s="97">
        <f>+VLOOKUP(PROVEEDORES[[#This Row],[PROVEEDOR]],Terceros!$A:$D,4,FALSE)</f>
        <v>0</v>
      </c>
      <c r="V916" s="98">
        <f>+YEAR(PROVEEDORES[[#This Row],[FECHA DE FACTURACIÓN]])</f>
        <v>2023</v>
      </c>
      <c r="W916" s="98">
        <f>+MATCH(PROVEEDORES[[#This Row],[año facturado]],Retenciones!$1:$1,0)</f>
        <v>6</v>
      </c>
      <c r="X916" s="99">
        <f>+VLOOKUP(PROVEEDORES[[#This Row],[ID RETENCION]],Retenciones!$A$1:$O$25,PROVEEDORES[[#This Row],[indicador de columna]],FALSE)</f>
        <v>0</v>
      </c>
      <c r="Y916" s="100">
        <f>+VLOOKUP(PROVEEDORES[[#This Row],[ID RETENCION]],Retenciones!$A$1:$O$25,2,FALSE)</f>
        <v>0</v>
      </c>
      <c r="Z916" s="103" t="b">
        <f>OR(COUNTIF(PROVEEDORES[[#This Row],[PROVEEDOR]],"*"&amp;'Palabra no opera'!$A$2&amp;"*"))</f>
        <v>0</v>
      </c>
    </row>
    <row r="917" spans="1:26" ht="22.35" customHeight="1" x14ac:dyDescent="0.25">
      <c r="A917" s="192" t="str">
        <f>+IF(PROVEEDORES[[#This Row],[FECHA DE PAGO]]=PROVEEDORES[[#This Row],[FECHA DE FACTURACIÓN]],"DE CONTADO","CRÉDITO")</f>
        <v>CRÉDITO</v>
      </c>
      <c r="B917" s="38" t="str">
        <f>+IF((PROVEEDORES[[#This Row],[FECHA DE PAGO]]-PROVEEDORES[[#This Row],[FECHA DE FACTURACIÓN]])&gt;PROVEEDORES[[#This Row],[PLAZO Días]],"PAGO VENCIDO")</f>
        <v>PAGO VENCIDO</v>
      </c>
      <c r="C917" s="20">
        <f>+VLOOKUP(PROVEEDORES[[#This Row],[PROVEEDOR]],TERCEROS_INFO[#All],2,FALSE)</f>
        <v>30</v>
      </c>
      <c r="D917" s="25">
        <f>+SUMIFS(PROVEEDORES[Total],PROVEEDORES[PROVEEDOR],PROVEEDORES[[#This Row],[PROVEEDOR]],PROVEEDORES[FECHA DE PAGO],"")</f>
        <v>3065837.2199999997</v>
      </c>
      <c r="E917" s="25"/>
      <c r="F917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7" s="289">
        <v>45075</v>
      </c>
      <c r="H917" s="26" t="s">
        <v>17</v>
      </c>
      <c r="I917" s="289">
        <v>45037</v>
      </c>
      <c r="J917" s="35" t="s">
        <v>785</v>
      </c>
      <c r="K917" s="21">
        <v>586530</v>
      </c>
      <c r="L917" s="21"/>
      <c r="M917" s="22">
        <f>(PROVEEDORES[[#This Row],[SUBTOTAL]]-PROVEEDORES[[#This Row],[descuento sobre subtotal]])*VLOOKUP(PROVEEDORES[[#This Row],[PROVEEDOR]],TERCEROS_INFO[#All],3,FALSE)</f>
        <v>111440.7</v>
      </c>
      <c r="N917" s="23"/>
      <c r="O917" s="22">
        <f>+PROVEEDORES[[#This Row],[Descuento sobre subtotal %]]*(PROVEEDORES[[#This Row],[SUBTOTAL]]-PROVEEDORES[[#This Row],[descuento sobre subtotal]])</f>
        <v>0</v>
      </c>
      <c r="P917" s="72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697970.7</v>
      </c>
      <c r="S91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1">
        <f ca="1">IF(PROVEEDORES[[#This Row],[FECHA DE PAGO]]=0,TODAY()-PROVEEDORES[[#This Row],[FECHA DE FACTURACIÓN]]-PROVEEDORES[[#This Row],[PLAZO Días]],0)</f>
        <v>0</v>
      </c>
      <c r="U917" s="97">
        <f>+VLOOKUP(PROVEEDORES[[#This Row],[PROVEEDOR]],Terceros!$A:$D,4,FALSE)</f>
        <v>0</v>
      </c>
      <c r="V917" s="98">
        <f>+YEAR(PROVEEDORES[[#This Row],[FECHA DE FACTURACIÓN]])</f>
        <v>2023</v>
      </c>
      <c r="W917" s="98">
        <f>+MATCH(PROVEEDORES[[#This Row],[año facturado]],Retenciones!$1:$1,0)</f>
        <v>6</v>
      </c>
      <c r="X917" s="99">
        <f>+VLOOKUP(PROVEEDORES[[#This Row],[ID RETENCION]],Retenciones!$A$1:$O$25,PROVEEDORES[[#This Row],[indicador de columna]],FALSE)</f>
        <v>0</v>
      </c>
      <c r="Y917" s="100">
        <f>+VLOOKUP(PROVEEDORES[[#This Row],[ID RETENCION]],Retenciones!$A$1:$O$25,2,FALSE)</f>
        <v>0</v>
      </c>
      <c r="Z917" s="103" t="b">
        <f>OR(COUNTIF(PROVEEDORES[[#This Row],[PROVEEDOR]],"*"&amp;'Palabra no opera'!$A$2&amp;"*"))</f>
        <v>0</v>
      </c>
    </row>
    <row r="918" spans="1:26" ht="22.35" customHeight="1" x14ac:dyDescent="0.25">
      <c r="A918" s="213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3065837.2199999997</v>
      </c>
      <c r="E918" s="25"/>
      <c r="F91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8" s="289">
        <v>45173</v>
      </c>
      <c r="H918" s="26" t="s">
        <v>17</v>
      </c>
      <c r="I918" s="289">
        <v>45128</v>
      </c>
      <c r="J918" s="35" t="s">
        <v>960</v>
      </c>
      <c r="K918" s="21">
        <v>230906</v>
      </c>
      <c r="L918" s="21"/>
      <c r="M918" s="22">
        <f>(PROVEEDORES[[#This Row],[SUBTOTAL]]-PROVEEDORES[[#This Row],[descuento sobre subtotal]])*VLOOKUP(PROVEEDORES[[#This Row],[PROVEEDOR]],TERCEROS_INFO[#All],3,FALSE)</f>
        <v>43872.14</v>
      </c>
      <c r="N918" s="23"/>
      <c r="O918" s="22">
        <f>+PROVEEDORES[[#This Row],[Descuento sobre subtotal %]]*(PROVEEDORES[[#This Row],[SUBTOTAL]]-PROVEEDORES[[#This Row],[descuento sobre subtotal]])</f>
        <v>0</v>
      </c>
      <c r="P918" s="72">
        <f>+IF(PROVEEDORES[[#This Row],[SUBTOTAL]]&lt;PROVEEDORES[[#This Row],[base retencion]],0,PROVEEDORES[[#This Row],[retención aplicada]])</f>
        <v>0</v>
      </c>
      <c r="Q918" s="22">
        <f>+PROVEEDORES[[#This Row],[Rete Fuente %]]*(PROVEEDORES[[#This Row],[SUBTOTAL]]-PROVEEDORES[[#This Row],[descuento sobre subtotal]])</f>
        <v>0</v>
      </c>
      <c r="R918" s="21">
        <f>+PROVEEDORES[[#This Row],[SUBTOTAL]]+PROVEEDORES[[#This Row],[IVA 19%]]-PROVEEDORES[[#This Row],[descuento sobre subtotal]]-PROVEEDORES[[#This Row],[Descuento sobre subtotal $2]]-PROVEEDORES[[#This Row],[Rete Fuente $]]</f>
        <v>274778.14</v>
      </c>
      <c r="S918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1">
        <f ca="1">IF(PROVEEDORES[[#This Row],[FECHA DE PAGO]]=0,TODAY()-PROVEEDORES[[#This Row],[FECHA DE FACTURACIÓN]]-PROVEEDORES[[#This Row],[PLAZO Días]],0)</f>
        <v>0</v>
      </c>
      <c r="U918" s="97">
        <f>+VLOOKUP(PROVEEDORES[[#This Row],[PROVEEDOR]],Terceros!$A:$D,4,FALSE)</f>
        <v>0</v>
      </c>
      <c r="V918" s="98">
        <f>+YEAR(PROVEEDORES[[#This Row],[FECHA DE FACTURACIÓN]])</f>
        <v>2023</v>
      </c>
      <c r="W918" s="98">
        <f>+MATCH(PROVEEDORES[[#This Row],[año facturado]],Retenciones!$1:$1,0)</f>
        <v>6</v>
      </c>
      <c r="X918" s="99">
        <f>+VLOOKUP(PROVEEDORES[[#This Row],[ID RETENCION]],Retenciones!$A$1:$O$25,PROVEEDORES[[#This Row],[indicador de columna]],FALSE)</f>
        <v>0</v>
      </c>
      <c r="Y918" s="100">
        <f>+VLOOKUP(PROVEEDORES[[#This Row],[ID RETENCION]],Retenciones!$A$1:$O$25,2,FALSE)</f>
        <v>0</v>
      </c>
      <c r="Z918" s="103" t="b">
        <f>OR(COUNTIF(PROVEEDORES[[#This Row],[PROVEEDOR]],"*"&amp;'Palabra no opera'!$A$2&amp;"*"))</f>
        <v>0</v>
      </c>
    </row>
    <row r="919" spans="1:26" ht="22.35" customHeight="1" x14ac:dyDescent="0.25">
      <c r="A919" s="213" t="str">
        <f>+IF(PROVEEDORES[[#This Row],[FECHA DE PAGO]]=PROVEEDORES[[#This Row],[FECHA DE FACTURACIÓN]],"DE CONTADO","CRÉDITO")</f>
        <v>CRÉDITO</v>
      </c>
      <c r="B919" s="38" t="str">
        <f>+IF((PROVEEDORES[[#This Row],[FECHA DE PAGO]]-PROVEEDORES[[#This Row],[FECHA DE FACTURACIÓN]])&gt;PROVEEDORES[[#This Row],[PLAZO Días]],"PAGO VENCIDO")</f>
        <v>PAGO VENCIDO</v>
      </c>
      <c r="C919" s="20">
        <f>+VLOOKUP(PROVEEDORES[[#This Row],[PROVEEDOR]],TERCEROS_INFO[#All],2,FALSE)</f>
        <v>30</v>
      </c>
      <c r="D919" s="25">
        <f>+SUMIFS(PROVEEDORES[Total],PROVEEDORES[PROVEEDOR],PROVEEDORES[[#This Row],[PROVEEDOR]],PROVEEDORES[FECHA DE PAGO],"")</f>
        <v>3065837.2199999997</v>
      </c>
      <c r="E919" s="25"/>
      <c r="F919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9" s="289">
        <v>45173</v>
      </c>
      <c r="H919" s="26" t="s">
        <v>17</v>
      </c>
      <c r="I919" s="289">
        <v>45128</v>
      </c>
      <c r="J919" s="35" t="s">
        <v>961</v>
      </c>
      <c r="K919" s="21">
        <v>458175</v>
      </c>
      <c r="L919" s="21"/>
      <c r="M919" s="22">
        <f>(PROVEEDORES[[#This Row],[SUBTOTAL]]-PROVEEDORES[[#This Row],[descuento sobre subtotal]])*VLOOKUP(PROVEEDORES[[#This Row],[PROVEEDOR]],TERCEROS_INFO[#All],3,FALSE)</f>
        <v>87053.25</v>
      </c>
      <c r="N919" s="23"/>
      <c r="O919" s="22">
        <f>+PROVEEDORES[[#This Row],[Descuento sobre subtotal %]]*(PROVEEDORES[[#This Row],[SUBTOTAL]]-PROVEEDORES[[#This Row],[descuento sobre subtotal]])</f>
        <v>0</v>
      </c>
      <c r="P919" s="72">
        <f>+IF(PROVEEDORES[[#This Row],[SUBTOTAL]]&lt;PROVEEDORES[[#This Row],[base retencion]],0,PROVEEDORES[[#This Row],[retención aplicada]])</f>
        <v>0</v>
      </c>
      <c r="Q919" s="22">
        <f>+PROVEEDORES[[#This Row],[Rete Fuente %]]*(PROVEEDORES[[#This Row],[SUBTOTAL]]-PROVEEDORES[[#This Row],[descuento sobre subtotal]])</f>
        <v>0</v>
      </c>
      <c r="R919" s="21">
        <f>+PROVEEDORES[[#This Row],[SUBTOTAL]]+PROVEEDORES[[#This Row],[IVA 19%]]-PROVEEDORES[[#This Row],[descuento sobre subtotal]]-PROVEEDORES[[#This Row],[Descuento sobre subtotal $2]]-PROVEEDORES[[#This Row],[Rete Fuente $]]</f>
        <v>545228.25</v>
      </c>
      <c r="S919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1">
        <f ca="1">IF(PROVEEDORES[[#This Row],[FECHA DE PAGO]]=0,TODAY()-PROVEEDORES[[#This Row],[FECHA DE FACTURACIÓN]]-PROVEEDORES[[#This Row],[PLAZO Días]],0)</f>
        <v>0</v>
      </c>
      <c r="U919" s="97">
        <f>+VLOOKUP(PROVEEDORES[[#This Row],[PROVEEDOR]],Terceros!$A:$D,4,FALSE)</f>
        <v>0</v>
      </c>
      <c r="V919" s="98">
        <f>+YEAR(PROVEEDORES[[#This Row],[FECHA DE FACTURACIÓN]])</f>
        <v>2023</v>
      </c>
      <c r="W919" s="98">
        <f>+MATCH(PROVEEDORES[[#This Row],[año facturado]],Retenciones!$1:$1,0)</f>
        <v>6</v>
      </c>
      <c r="X919" s="99">
        <f>+VLOOKUP(PROVEEDORES[[#This Row],[ID RETENCION]],Retenciones!$A$1:$O$25,PROVEEDORES[[#This Row],[indicador de columna]],FALSE)</f>
        <v>0</v>
      </c>
      <c r="Y919" s="100">
        <f>+VLOOKUP(PROVEEDORES[[#This Row],[ID RETENCION]],Retenciones!$A$1:$O$25,2,FALSE)</f>
        <v>0</v>
      </c>
      <c r="Z919" s="103" t="b">
        <f>OR(COUNTIF(PROVEEDORES[[#This Row],[PROVEEDOR]],"*"&amp;'Palabra no opera'!$A$2&amp;"*"))</f>
        <v>0</v>
      </c>
    </row>
    <row r="920" spans="1:26" ht="22.35" customHeight="1" x14ac:dyDescent="0.25">
      <c r="A920" s="213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3065837.2199999997</v>
      </c>
      <c r="E920" s="25"/>
      <c r="F92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0" s="289">
        <v>45173</v>
      </c>
      <c r="H920" s="26" t="s">
        <v>17</v>
      </c>
      <c r="I920" s="289">
        <v>45131</v>
      </c>
      <c r="J920" s="35" t="s">
        <v>959</v>
      </c>
      <c r="K920" s="21">
        <v>1902271</v>
      </c>
      <c r="L920" s="21"/>
      <c r="M920" s="22">
        <v>0</v>
      </c>
      <c r="N920" s="23"/>
      <c r="O920" s="22">
        <f>+PROVEEDORES[[#This Row],[Descuento sobre subtotal %]]*(PROVEEDORES[[#This Row],[SUBTOTAL]]-PROVEEDORES[[#This Row],[descuento sobre subtotal]])</f>
        <v>0</v>
      </c>
      <c r="P920" s="72">
        <f>+IF(PROVEEDORES[[#This Row],[SUBTOTAL]]&lt;PROVEEDORES[[#This Row],[base retencion]],0,PROVEEDORES[[#This Row],[retención aplicada]])</f>
        <v>0</v>
      </c>
      <c r="Q920" s="22">
        <f>+PROVEEDORES[[#This Row],[Rete Fuente %]]*(PROVEEDORES[[#This Row],[SUBTOTAL]]-PROVEEDORES[[#This Row],[descuento sobre subtotal]])</f>
        <v>0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1902271</v>
      </c>
      <c r="S920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1">
        <f ca="1">IF(PROVEEDORES[[#This Row],[FECHA DE PAGO]]=0,TODAY()-PROVEEDORES[[#This Row],[FECHA DE FACTURACIÓN]]-PROVEEDORES[[#This Row],[PLAZO Días]],0)</f>
        <v>0</v>
      </c>
      <c r="U920" s="97">
        <f>+VLOOKUP(PROVEEDORES[[#This Row],[PROVEEDOR]],Terceros!$A:$D,4,FALSE)</f>
        <v>0</v>
      </c>
      <c r="V920" s="98">
        <f>+YEAR(PROVEEDORES[[#This Row],[FECHA DE FACTURACIÓN]])</f>
        <v>2023</v>
      </c>
      <c r="W920" s="98">
        <f>+MATCH(PROVEEDORES[[#This Row],[año facturado]],Retenciones!$1:$1,0)</f>
        <v>6</v>
      </c>
      <c r="X920" s="99">
        <f>+VLOOKUP(PROVEEDORES[[#This Row],[ID RETENCION]],Retenciones!$A$1:$O$25,PROVEEDORES[[#This Row],[indicador de columna]],FALSE)</f>
        <v>0</v>
      </c>
      <c r="Y920" s="100">
        <f>+VLOOKUP(PROVEEDORES[[#This Row],[ID RETENCION]],Retenciones!$A$1:$O$25,2,FALSE)</f>
        <v>0</v>
      </c>
      <c r="Z920" s="103" t="b">
        <f>OR(COUNTIF(PROVEEDORES[[#This Row],[PROVEEDOR]],"*"&amp;'Palabra no opera'!$A$2&amp;"*"))</f>
        <v>0</v>
      </c>
    </row>
    <row r="921" spans="1:26" ht="22.35" customHeight="1" x14ac:dyDescent="0.25">
      <c r="A921" s="65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3065837.2199999997</v>
      </c>
      <c r="E921" s="25"/>
      <c r="F92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1" s="289">
        <v>45173</v>
      </c>
      <c r="H921" s="26" t="s">
        <v>17</v>
      </c>
      <c r="I921" s="289">
        <v>45134</v>
      </c>
      <c r="J921" s="35" t="s">
        <v>1036</v>
      </c>
      <c r="K921" s="21">
        <v>719000</v>
      </c>
      <c r="L921" s="21"/>
      <c r="M921" s="22">
        <v>0</v>
      </c>
      <c r="N921" s="23"/>
      <c r="O921" s="22">
        <f>+PROVEEDORES[[#This Row],[Descuento sobre subtotal %]]*(PROVEEDORES[[#This Row],[SUBTOTAL]]-PROVEEDORES[[#This Row],[descuento sobre subtotal]])</f>
        <v>0</v>
      </c>
      <c r="P921" s="72">
        <f>+IF(PROVEEDORES[[#This Row],[SUBTOTAL]]&lt;PROVEEDORES[[#This Row],[base retencion]],0,PROVEEDORES[[#This Row],[retención aplicada]])</f>
        <v>0</v>
      </c>
      <c r="Q921" s="22">
        <f>+PROVEEDORES[[#This Row],[Rete Fuente %]]*(PROVEEDORES[[#This Row],[SUBTOTAL]]-PROVEEDORES[[#This Row],[descuento sobre subtotal]])</f>
        <v>0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719000</v>
      </c>
      <c r="S9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1">
        <f ca="1">IF(PROVEEDORES[[#This Row],[FECHA DE PAGO]]=0,TODAY()-PROVEEDORES[[#This Row],[FECHA DE FACTURACIÓN]]-PROVEEDORES[[#This Row],[PLAZO Días]],0)</f>
        <v>0</v>
      </c>
      <c r="U921" s="97">
        <f>+VLOOKUP(PROVEEDORES[[#This Row],[PROVEEDOR]],Terceros!$A:$D,4,FALSE)</f>
        <v>0</v>
      </c>
      <c r="V921" s="98">
        <f>+YEAR(PROVEEDORES[[#This Row],[FECHA DE FACTURACIÓN]])</f>
        <v>2023</v>
      </c>
      <c r="W921" s="98">
        <f>+MATCH(PROVEEDORES[[#This Row],[año facturado]],Retenciones!$1:$1,0)</f>
        <v>6</v>
      </c>
      <c r="X921" s="99">
        <f>+VLOOKUP(PROVEEDORES[[#This Row],[ID RETENCION]],Retenciones!$A$1:$O$25,PROVEEDORES[[#This Row],[indicador de columna]],FALSE)</f>
        <v>0</v>
      </c>
      <c r="Y921" s="100">
        <f>+VLOOKUP(PROVEEDORES[[#This Row],[ID RETENCION]],Retenciones!$A$1:$O$25,2,FALSE)</f>
        <v>0</v>
      </c>
      <c r="Z921" s="103" t="b">
        <f>OR(COUNTIF(PROVEEDORES[[#This Row],[PROVEEDOR]],"*"&amp;'Palabra no opera'!$A$2&amp;"*"))</f>
        <v>0</v>
      </c>
    </row>
    <row r="922" spans="1:26" ht="22.35" customHeight="1" x14ac:dyDescent="0.25">
      <c r="A922" s="65" t="str">
        <f>+IF(PROVEEDORES[[#This Row],[FECHA DE PAGO]]=PROVEEDORES[[#This Row],[FECHA DE FACTURACIÓN]],"DE CONTADO","CRÉDITO")</f>
        <v>CRÉDITO</v>
      </c>
      <c r="B922" s="38" t="b">
        <f>+IF((PROVEEDORES[[#This Row],[FECHA DE PAGO]]-PROVEEDORES[[#This Row],[FECHA DE FACTURACIÓN]])&gt;PROVEEDORES[[#This Row],[PLAZO Días]],"PAGO VENCIDO")</f>
        <v>0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3065837.2199999997</v>
      </c>
      <c r="E922" s="25"/>
      <c r="F922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2" s="289">
        <v>45190</v>
      </c>
      <c r="H922" s="26" t="s">
        <v>17</v>
      </c>
      <c r="I922" s="289">
        <v>45160</v>
      </c>
      <c r="J922" s="35" t="s">
        <v>1035</v>
      </c>
      <c r="K922" s="21">
        <v>614158</v>
      </c>
      <c r="L922" s="21"/>
      <c r="M922" s="22">
        <f>(PROVEEDORES[[#This Row],[SUBTOTAL]]-PROVEEDORES[[#This Row],[descuento sobre subtotal]])*VLOOKUP(PROVEEDORES[[#This Row],[PROVEEDOR]],TERCEROS_INFO[#All],3,FALSE)</f>
        <v>116690.02</v>
      </c>
      <c r="N922" s="23"/>
      <c r="O922" s="22">
        <f>+PROVEEDORES[[#This Row],[Descuento sobre subtotal %]]*(PROVEEDORES[[#This Row],[SUBTOTAL]]-PROVEEDORES[[#This Row],[descuento sobre subtotal]])</f>
        <v>0</v>
      </c>
      <c r="P922" s="72">
        <f>+IF(PROVEEDORES[[#This Row],[SUBTOTAL]]&lt;PROVEEDORES[[#This Row],[base retencion]],0,PROVEEDORES[[#This Row],[retención aplicada]])</f>
        <v>0</v>
      </c>
      <c r="Q922" s="22">
        <f>+PROVEEDORES[[#This Row],[Rete Fuente %]]*(PROVEEDORES[[#This Row],[SUBTOTAL]]-PROVEEDORES[[#This Row],[descuento sobre subtotal]])</f>
        <v>0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730848.02</v>
      </c>
      <c r="S9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1">
        <f ca="1">IF(PROVEEDORES[[#This Row],[FECHA DE PAGO]]=0,TODAY()-PROVEEDORES[[#This Row],[FECHA DE FACTURACIÓN]]-PROVEEDORES[[#This Row],[PLAZO Días]],0)</f>
        <v>0</v>
      </c>
      <c r="U922" s="97">
        <f>+VLOOKUP(PROVEEDORES[[#This Row],[PROVEEDOR]],Terceros!$A:$D,4,FALSE)</f>
        <v>0</v>
      </c>
      <c r="V922" s="98">
        <f>+YEAR(PROVEEDORES[[#This Row],[FECHA DE FACTURACIÓN]])</f>
        <v>2023</v>
      </c>
      <c r="W922" s="98">
        <f>+MATCH(PROVEEDORES[[#This Row],[año facturado]],Retenciones!$1:$1,0)</f>
        <v>6</v>
      </c>
      <c r="X922" s="99">
        <f>+VLOOKUP(PROVEEDORES[[#This Row],[ID RETENCION]],Retenciones!$A$1:$O$25,PROVEEDORES[[#This Row],[indicador de columna]],FALSE)</f>
        <v>0</v>
      </c>
      <c r="Y922" s="100">
        <f>+VLOOKUP(PROVEEDORES[[#This Row],[ID RETENCION]],Retenciones!$A$1:$O$25,2,FALSE)</f>
        <v>0</v>
      </c>
      <c r="Z922" s="103" t="b">
        <f>OR(COUNTIF(PROVEEDORES[[#This Row],[PROVEEDOR]],"*"&amp;'Palabra no opera'!$A$2&amp;"*"))</f>
        <v>0</v>
      </c>
    </row>
    <row r="923" spans="1:26" ht="22.35" customHeight="1" x14ac:dyDescent="0.25">
      <c r="A923" s="229" t="str">
        <f>+IF(PROVEEDORES[[#This Row],[FECHA DE PAGO]]=PROVEEDORES[[#This Row],[FECHA DE FACTURACIÓN]],"DE CONTADO","CRÉDITO")</f>
        <v>CRÉDITO</v>
      </c>
      <c r="B923" s="38" t="str">
        <f>+IF((PROVEEDORES[[#This Row],[FECHA DE PAGO]]-PROVEEDORES[[#This Row],[FECHA DE FACTURACIÓN]])&gt;PROVEEDORES[[#This Row],[PLAZO Días]],"PAGO VENCIDO")</f>
        <v>PAGO VENCIDO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3065837.2199999997</v>
      </c>
      <c r="E923" s="25"/>
      <c r="F92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3" s="289">
        <v>45208</v>
      </c>
      <c r="H923" s="26" t="s">
        <v>17</v>
      </c>
      <c r="I923" s="289">
        <v>45173</v>
      </c>
      <c r="J923" s="35" t="s">
        <v>1123</v>
      </c>
      <c r="K923" s="21">
        <v>787465</v>
      </c>
      <c r="L923" s="21"/>
      <c r="M923" s="22">
        <v>0</v>
      </c>
      <c r="N923" s="23"/>
      <c r="O923" s="22">
        <f>+PROVEEDORES[[#This Row],[Descuento sobre subtotal %]]*(PROVEEDORES[[#This Row],[SUBTOTAL]]-PROVEEDORES[[#This Row],[descuento sobre subtotal]])</f>
        <v>0</v>
      </c>
      <c r="P923" s="72">
        <f>+IF(PROVEEDORES[[#This Row],[SUBTOTAL]]&lt;PROVEEDORES[[#This Row],[base retencion]],0,PROVEEDORES[[#This Row],[retención aplicada]])</f>
        <v>0</v>
      </c>
      <c r="Q923" s="22">
        <f>+PROVEEDORES[[#This Row],[Rete Fuente %]]*(PROVEEDORES[[#This Row],[SUBTOTAL]]-PROVEEDORES[[#This Row],[descuento sobre subtotal]])</f>
        <v>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787465</v>
      </c>
      <c r="S923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1">
        <f ca="1">IF(PROVEEDORES[[#This Row],[FECHA DE PAGO]]=0,TODAY()-PROVEEDORES[[#This Row],[FECHA DE FACTURACIÓN]]-PROVEEDORES[[#This Row],[PLAZO Días]],0)</f>
        <v>0</v>
      </c>
      <c r="U923" s="97">
        <f>+VLOOKUP(PROVEEDORES[[#This Row],[PROVEEDOR]],Terceros!$A:$D,4,FALSE)</f>
        <v>0</v>
      </c>
      <c r="V923" s="98">
        <f>+YEAR(PROVEEDORES[[#This Row],[FECHA DE FACTURACIÓN]])</f>
        <v>2023</v>
      </c>
      <c r="W923" s="98">
        <f>+MATCH(PROVEEDORES[[#This Row],[año facturado]],Retenciones!$1:$1,0)</f>
        <v>6</v>
      </c>
      <c r="X923" s="99">
        <f>+VLOOKUP(PROVEEDORES[[#This Row],[ID RETENCION]],Retenciones!$A$1:$O$25,PROVEEDORES[[#This Row],[indicador de columna]],FALSE)</f>
        <v>0</v>
      </c>
      <c r="Y923" s="100">
        <f>+VLOOKUP(PROVEEDORES[[#This Row],[ID RETENCION]],Retenciones!$A$1:$O$25,2,FALSE)</f>
        <v>0</v>
      </c>
      <c r="Z923" s="103" t="b">
        <f>OR(COUNTIF(PROVEEDORES[[#This Row],[PROVEEDOR]],"*"&amp;'Palabra no opera'!$A$2&amp;"*"))</f>
        <v>0</v>
      </c>
    </row>
    <row r="924" spans="1:26" ht="22.35" customHeight="1" x14ac:dyDescent="0.25">
      <c r="A924" s="65" t="str">
        <f>+IF(PROVEEDORES[[#This Row],[FECHA DE PAGO]]=PROVEEDORES[[#This Row],[FECHA DE FACTURACIÓN]],"DE CONTADO","CRÉDITO")</f>
        <v>CRÉDITO</v>
      </c>
      <c r="B924" s="38" t="str">
        <f>+IF((PROVEEDORES[[#This Row],[FECHA DE PAGO]]-PROVEEDORES[[#This Row],[FECHA DE FACTURACIÓN]])&gt;PROVEEDORES[[#This Row],[PLAZO Días]],"PAGO VENCIDO")</f>
        <v>PAGO VENCIDO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3065837.2199999997</v>
      </c>
      <c r="E924" s="25"/>
      <c r="F92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4" s="289">
        <v>45208</v>
      </c>
      <c r="H924" s="26" t="s">
        <v>17</v>
      </c>
      <c r="I924" s="289">
        <v>45174</v>
      </c>
      <c r="J924" s="35" t="s">
        <v>1194</v>
      </c>
      <c r="K924" s="21">
        <v>1053062</v>
      </c>
      <c r="L924" s="21"/>
      <c r="M924" s="22">
        <f>(PROVEEDORES[[#This Row],[SUBTOTAL]]-PROVEEDORES[[#This Row],[descuento sobre subtotal]])*VLOOKUP(PROVEEDORES[[#This Row],[PROVEEDOR]],TERCEROS_INFO[#All],3,FALSE)</f>
        <v>200081.78</v>
      </c>
      <c r="N924" s="23"/>
      <c r="O924" s="22">
        <f>+PROVEEDORES[[#This Row],[Descuento sobre subtotal %]]*(PROVEEDORES[[#This Row],[SUBTOTAL]]-PROVEEDORES[[#This Row],[descuento sobre subtotal]])</f>
        <v>0</v>
      </c>
      <c r="P924" s="72">
        <f>+IF(PROVEEDORES[[#This Row],[SUBTOTAL]]&lt;PROVEEDORES[[#This Row],[base retencion]],0,PROVEEDORES[[#This Row],[retención aplicada]])</f>
        <v>0</v>
      </c>
      <c r="Q924" s="22">
        <f>+PROVEEDORES[[#This Row],[Rete Fuente %]]*(PROVEEDORES[[#This Row],[SUBTOTAL]]-PROVEEDORES[[#This Row],[descuento sobre subtotal]])</f>
        <v>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1253143.78</v>
      </c>
      <c r="S92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1">
        <f ca="1">IF(PROVEEDORES[[#This Row],[FECHA DE PAGO]]=0,TODAY()-PROVEEDORES[[#This Row],[FECHA DE FACTURACIÓN]]-PROVEEDORES[[#This Row],[PLAZO Días]],0)</f>
        <v>0</v>
      </c>
      <c r="U924" s="97">
        <f>+VLOOKUP(PROVEEDORES[[#This Row],[PROVEEDOR]],Terceros!$A:$D,4,FALSE)</f>
        <v>0</v>
      </c>
      <c r="V924" s="98">
        <f>+YEAR(PROVEEDORES[[#This Row],[FECHA DE FACTURACIÓN]])</f>
        <v>2023</v>
      </c>
      <c r="W924" s="98">
        <f>+MATCH(PROVEEDORES[[#This Row],[año facturado]],Retenciones!$1:$1,0)</f>
        <v>6</v>
      </c>
      <c r="X924" s="99">
        <f>+VLOOKUP(PROVEEDORES[[#This Row],[ID RETENCION]],Retenciones!$A$1:$O$25,PROVEEDORES[[#This Row],[indicador de columna]],FALSE)</f>
        <v>0</v>
      </c>
      <c r="Y924" s="100">
        <f>+VLOOKUP(PROVEEDORES[[#This Row],[ID RETENCION]],Retenciones!$A$1:$O$25,2,FALSE)</f>
        <v>0</v>
      </c>
      <c r="Z924" s="103" t="b">
        <f>OR(COUNTIF(PROVEEDORES[[#This Row],[PROVEEDOR]],"*"&amp;'Palabra no opera'!$A$2&amp;"*"))</f>
        <v>0</v>
      </c>
    </row>
    <row r="925" spans="1:26" ht="22.35" customHeight="1" x14ac:dyDescent="0.25">
      <c r="A925" s="227" t="str">
        <f>+IF(PROVEEDORES[[#This Row],[FECHA DE PAGO]]=PROVEEDORES[[#This Row],[FECHA DE FACTURACIÓN]],"DE CONTADO","CRÉDITO")</f>
        <v>DE CONTADO</v>
      </c>
      <c r="B925" s="38" t="b">
        <f>+IF((PROVEEDORES[[#This Row],[FECHA DE PAGO]]-PROVEEDORES[[#This Row],[FECHA DE FACTURACIÓN]])&gt;PROVEEDORES[[#This Row],[PLAZO Días]],"PAGO VENCIDO")</f>
        <v>0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3065837.2199999997</v>
      </c>
      <c r="E925" s="25"/>
      <c r="F92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5" s="289">
        <v>45175</v>
      </c>
      <c r="H925" s="26" t="s">
        <v>17</v>
      </c>
      <c r="I925" s="289">
        <v>45175</v>
      </c>
      <c r="J925" s="35" t="s">
        <v>1069</v>
      </c>
      <c r="K925" s="21">
        <v>34665</v>
      </c>
      <c r="L925" s="21"/>
      <c r="M925" s="22">
        <f>(PROVEEDORES[[#This Row],[SUBTOTAL]]-PROVEEDORES[[#This Row],[descuento sobre subtotal]])*VLOOKUP(PROVEEDORES[[#This Row],[PROVEEDOR]],TERCEROS_INFO[#All],3,FALSE)</f>
        <v>6586.35</v>
      </c>
      <c r="N925" s="23"/>
      <c r="O925" s="22">
        <f>+PROVEEDORES[[#This Row],[Descuento sobre subtotal %]]*(PROVEEDORES[[#This Row],[SUBTOTAL]]-PROVEEDORES[[#This Row],[descuento sobre subtotal]])</f>
        <v>0</v>
      </c>
      <c r="P925" s="72">
        <f>+IF(PROVEEDORES[[#This Row],[SUBTOTAL]]&lt;PROVEEDORES[[#This Row],[base retencion]],0,PROVEEDORES[[#This Row],[retención aplicada]])</f>
        <v>0</v>
      </c>
      <c r="Q925" s="22">
        <f>+PROVEEDORES[[#This Row],[Rete Fuente %]]*(PROVEEDORES[[#This Row],[SUBTOTAL]]-PROVEEDORES[[#This Row],[descuento sobre subtotal]])</f>
        <v>0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41251.35</v>
      </c>
      <c r="S925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1">
        <f ca="1">IF(PROVEEDORES[[#This Row],[FECHA DE PAGO]]=0,TODAY()-PROVEEDORES[[#This Row],[FECHA DE FACTURACIÓN]]-PROVEEDORES[[#This Row],[PLAZO Días]],0)</f>
        <v>0</v>
      </c>
      <c r="U925" s="97">
        <f>+VLOOKUP(PROVEEDORES[[#This Row],[PROVEEDOR]],Terceros!$A:$D,4,FALSE)</f>
        <v>0</v>
      </c>
      <c r="V925" s="98">
        <f>+YEAR(PROVEEDORES[[#This Row],[FECHA DE FACTURACIÓN]])</f>
        <v>2023</v>
      </c>
      <c r="W925" s="98">
        <f>+MATCH(PROVEEDORES[[#This Row],[año facturado]],Retenciones!$1:$1,0)</f>
        <v>6</v>
      </c>
      <c r="X925" s="99">
        <f>+VLOOKUP(PROVEEDORES[[#This Row],[ID RETENCION]],Retenciones!$A$1:$O$25,PROVEEDORES[[#This Row],[indicador de columna]],FALSE)</f>
        <v>0</v>
      </c>
      <c r="Y925" s="100">
        <f>+VLOOKUP(PROVEEDORES[[#This Row],[ID RETENCION]],Retenciones!$A$1:$O$25,2,FALSE)</f>
        <v>0</v>
      </c>
      <c r="Z925" s="103" t="b">
        <f>OR(COUNTIF(PROVEEDORES[[#This Row],[PROVEEDOR]],"*"&amp;'Palabra no opera'!$A$2&amp;"*"))</f>
        <v>0</v>
      </c>
    </row>
    <row r="926" spans="1:26" ht="22.35" customHeight="1" x14ac:dyDescent="0.25">
      <c r="A926" s="65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3065837.2199999997</v>
      </c>
      <c r="E926" s="25"/>
      <c r="F926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6" s="289">
        <v>45247</v>
      </c>
      <c r="H926" s="26" t="s">
        <v>17</v>
      </c>
      <c r="I926" s="289">
        <v>45212</v>
      </c>
      <c r="J926" s="35" t="s">
        <v>1232</v>
      </c>
      <c r="K926" s="21">
        <v>267442</v>
      </c>
      <c r="L926" s="21"/>
      <c r="M926" s="22">
        <f>(PROVEEDORES[[#This Row],[SUBTOTAL]]-PROVEEDORES[[#This Row],[descuento sobre subtotal]])*VLOOKUP(PROVEEDORES[[#This Row],[PROVEEDOR]],TERCEROS_INFO[#All],3,FALSE)</f>
        <v>50813.98</v>
      </c>
      <c r="N926" s="23"/>
      <c r="O926" s="22">
        <f>+PROVEEDORES[[#This Row],[Descuento sobre subtotal %]]*(PROVEEDORES[[#This Row],[SUBTOTAL]]-PROVEEDORES[[#This Row],[descuento sobre subtotal]])</f>
        <v>0</v>
      </c>
      <c r="P926" s="72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318255.98</v>
      </c>
      <c r="S9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1">
        <f ca="1">IF(PROVEEDORES[[#This Row],[FECHA DE PAGO]]=0,TODAY()-PROVEEDORES[[#This Row],[FECHA DE FACTURACIÓN]]-PROVEEDORES[[#This Row],[PLAZO Días]],0)</f>
        <v>0</v>
      </c>
      <c r="U926" s="97">
        <f>+VLOOKUP(PROVEEDORES[[#This Row],[PROVEEDOR]],Terceros!$A:$D,4,FALSE)</f>
        <v>0</v>
      </c>
      <c r="V926" s="98">
        <f>+YEAR(PROVEEDORES[[#This Row],[FECHA DE FACTURACIÓN]])</f>
        <v>2023</v>
      </c>
      <c r="W926" s="98">
        <f>+MATCH(PROVEEDORES[[#This Row],[año facturado]],Retenciones!$1:$1,0)</f>
        <v>6</v>
      </c>
      <c r="X926" s="99">
        <f>+VLOOKUP(PROVEEDORES[[#This Row],[ID RETENCION]],Retenciones!$A$1:$O$25,PROVEEDORES[[#This Row],[indicador de columna]],FALSE)</f>
        <v>0</v>
      </c>
      <c r="Y926" s="100">
        <f>+VLOOKUP(PROVEEDORES[[#This Row],[ID RETENCION]],Retenciones!$A$1:$O$25,2,FALSE)</f>
        <v>0</v>
      </c>
      <c r="Z926" s="103" t="b">
        <f>OR(COUNTIF(PROVEEDORES[[#This Row],[PROVEEDOR]],"*"&amp;'Palabra no opera'!$A$2&amp;"*"))</f>
        <v>0</v>
      </c>
    </row>
    <row r="927" spans="1:26" ht="22.35" customHeight="1" x14ac:dyDescent="0.25">
      <c r="A927" s="65" t="str">
        <f>+IF(PROVEEDORES[[#This Row],[FECHA DE PAGO]]=PROVEEDORES[[#This Row],[FECHA DE FACTURACIÓN]],"DE CONTADO","CRÉDITO")</f>
        <v>CRÉDITO</v>
      </c>
      <c r="B927" s="38" t="str">
        <f>+IF((PROVEEDORES[[#This Row],[FECHA DE PAGO]]-PROVEEDORES[[#This Row],[FECHA DE FACTURACIÓN]])&gt;PROVEEDORES[[#This Row],[PLAZO Días]],"PAGO VENCIDO")</f>
        <v>PAGO VENCIDO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3065837.2199999997</v>
      </c>
      <c r="E927" s="25"/>
      <c r="F927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7" s="289">
        <v>45264</v>
      </c>
      <c r="H927" s="26" t="s">
        <v>17</v>
      </c>
      <c r="I927" s="289">
        <v>45233</v>
      </c>
      <c r="J927" s="35" t="s">
        <v>1276</v>
      </c>
      <c r="K927" s="21">
        <v>707408</v>
      </c>
      <c r="L927" s="21"/>
      <c r="M927" s="22">
        <f>(PROVEEDORES[[#This Row],[SUBTOTAL]]-PROVEEDORES[[#This Row],[descuento sobre subtotal]])*VLOOKUP(PROVEEDORES[[#This Row],[PROVEEDOR]],TERCEROS_INFO[#All],3,FALSE)</f>
        <v>134407.51999999999</v>
      </c>
      <c r="N927" s="23"/>
      <c r="O927" s="22">
        <f>+PROVEEDORES[[#This Row],[Descuento sobre subtotal %]]*(PROVEEDORES[[#This Row],[SUBTOTAL]]-PROVEEDORES[[#This Row],[descuento sobre subtotal]])</f>
        <v>0</v>
      </c>
      <c r="P927" s="72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841815.52</v>
      </c>
      <c r="S9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1">
        <f ca="1">IF(PROVEEDORES[[#This Row],[FECHA DE PAGO]]=0,TODAY()-PROVEEDORES[[#This Row],[FECHA DE FACTURACIÓN]]-PROVEEDORES[[#This Row],[PLAZO Días]],0)</f>
        <v>0</v>
      </c>
      <c r="U927" s="97">
        <f>+VLOOKUP(PROVEEDORES[[#This Row],[PROVEEDOR]],Terceros!$A:$D,4,FALSE)</f>
        <v>0</v>
      </c>
      <c r="V927" s="98">
        <f>+YEAR(PROVEEDORES[[#This Row],[FECHA DE FACTURACIÓN]])</f>
        <v>2023</v>
      </c>
      <c r="W927" s="98">
        <f>+MATCH(PROVEEDORES[[#This Row],[año facturado]],Retenciones!$1:$1,0)</f>
        <v>6</v>
      </c>
      <c r="X927" s="99">
        <f>+VLOOKUP(PROVEEDORES[[#This Row],[ID RETENCION]],Retenciones!$A$1:$O$25,PROVEEDORES[[#This Row],[indicador de columna]],FALSE)</f>
        <v>0</v>
      </c>
      <c r="Y927" s="100">
        <f>+VLOOKUP(PROVEEDORES[[#This Row],[ID RETENCION]],Retenciones!$A$1:$O$25,2,FALSE)</f>
        <v>0</v>
      </c>
      <c r="Z927" s="103" t="b">
        <f>OR(COUNTIF(PROVEEDORES[[#This Row],[PROVEEDOR]],"*"&amp;'Palabra no opera'!$A$2&amp;"*"))</f>
        <v>0</v>
      </c>
    </row>
    <row r="928" spans="1:26" ht="22.35" customHeight="1" x14ac:dyDescent="0.25">
      <c r="A928" s="65" t="str">
        <f>+IF(PROVEEDORES[[#This Row],[FECHA DE PAGO]]=PROVEEDORES[[#This Row],[FECHA DE FACTURACIÓN]],"DE CONTADO","CRÉDITO")</f>
        <v>CRÉDITO</v>
      </c>
      <c r="B928" s="38" t="str">
        <f>+IF((PROVEEDORES[[#This Row],[FECHA DE PAGO]]-PROVEEDORES[[#This Row],[FECHA DE FACTURACIÓN]])&gt;PROVEEDORES[[#This Row],[PLAZO Días]],"PAGO VENCIDO")</f>
        <v>PAGO VENCIDO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3065837.2199999997</v>
      </c>
      <c r="E928" s="25"/>
      <c r="F928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8" s="289">
        <v>45272</v>
      </c>
      <c r="H928" s="26" t="s">
        <v>17</v>
      </c>
      <c r="I928" s="289">
        <v>45239</v>
      </c>
      <c r="J928" s="35" t="s">
        <v>1277</v>
      </c>
      <c r="K928" s="21">
        <v>1597368</v>
      </c>
      <c r="L928" s="21"/>
      <c r="M928" s="22">
        <v>0</v>
      </c>
      <c r="N928" s="23"/>
      <c r="O928" s="22">
        <f>+PROVEEDORES[[#This Row],[Descuento sobre subtotal %]]*(PROVEEDORES[[#This Row],[SUBTOTAL]]-PROVEEDORES[[#This Row],[descuento sobre subtotal]])</f>
        <v>0</v>
      </c>
      <c r="P928" s="72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1597368</v>
      </c>
      <c r="S9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1">
        <f ca="1">IF(PROVEEDORES[[#This Row],[FECHA DE PAGO]]=0,TODAY()-PROVEEDORES[[#This Row],[FECHA DE FACTURACIÓN]]-PROVEEDORES[[#This Row],[PLAZO Días]],0)</f>
        <v>0</v>
      </c>
      <c r="U928" s="97">
        <f>+VLOOKUP(PROVEEDORES[[#This Row],[PROVEEDOR]],Terceros!$A:$D,4,FALSE)</f>
        <v>0</v>
      </c>
      <c r="V928" s="98">
        <f>+YEAR(PROVEEDORES[[#This Row],[FECHA DE FACTURACIÓN]])</f>
        <v>2023</v>
      </c>
      <c r="W928" s="98">
        <f>+MATCH(PROVEEDORES[[#This Row],[año facturado]],Retenciones!$1:$1,0)</f>
        <v>6</v>
      </c>
      <c r="X928" s="99">
        <f>+VLOOKUP(PROVEEDORES[[#This Row],[ID RETENCION]],Retenciones!$A$1:$O$25,PROVEEDORES[[#This Row],[indicador de columna]],FALSE)</f>
        <v>0</v>
      </c>
      <c r="Y928" s="100">
        <f>+VLOOKUP(PROVEEDORES[[#This Row],[ID RETENCION]],Retenciones!$A$1:$O$25,2,FALSE)</f>
        <v>0</v>
      </c>
      <c r="Z928" s="103" t="b">
        <f>OR(COUNTIF(PROVEEDORES[[#This Row],[PROVEEDOR]],"*"&amp;'Palabra no opera'!$A$2&amp;"*"))</f>
        <v>0</v>
      </c>
    </row>
    <row r="929" spans="1:26" ht="22.35" customHeight="1" x14ac:dyDescent="0.25">
      <c r="A929" s="65" t="str">
        <f>+IF(PROVEEDORES[[#This Row],[FECHA DE PAGO]]=PROVEEDORES[[#This Row],[FECHA DE FACTURACIÓN]],"DE CONTADO","CRÉDITO")</f>
        <v>CRÉDITO</v>
      </c>
      <c r="B929" s="38" t="str">
        <f>+IF((PROVEEDORES[[#This Row],[FECHA DE PAGO]]-PROVEEDORES[[#This Row],[FECHA DE FACTURACIÓN]])&gt;PROVEEDORES[[#This Row],[PLAZO Días]],"PAGO VENCIDO")</f>
        <v>PAGO VENCIDO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3065837.2199999997</v>
      </c>
      <c r="E929" s="25"/>
      <c r="F929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9" s="289">
        <v>45278</v>
      </c>
      <c r="H929" s="26" t="s">
        <v>17</v>
      </c>
      <c r="I929" s="289">
        <v>45247</v>
      </c>
      <c r="J929" s="35" t="s">
        <v>1278</v>
      </c>
      <c r="K929" s="21">
        <v>1350000</v>
      </c>
      <c r="L929" s="21"/>
      <c r="M929" s="22">
        <f>(PROVEEDORES[[#This Row],[SUBTOTAL]]-PROVEEDORES[[#This Row],[descuento sobre subtotal]])*VLOOKUP(PROVEEDORES[[#This Row],[PROVEEDOR]],TERCEROS_INFO[#All],3,FALSE)</f>
        <v>256500</v>
      </c>
      <c r="N929" s="23"/>
      <c r="O929" s="22">
        <f>+PROVEEDORES[[#This Row],[Descuento sobre subtotal %]]*(PROVEEDORES[[#This Row],[SUBTOTAL]]-PROVEEDORES[[#This Row],[descuento sobre subtotal]])</f>
        <v>0</v>
      </c>
      <c r="P929" s="72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1606500</v>
      </c>
      <c r="S9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1">
        <f ca="1">IF(PROVEEDORES[[#This Row],[FECHA DE PAGO]]=0,TODAY()-PROVEEDORES[[#This Row],[FECHA DE FACTURACIÓN]]-PROVEEDORES[[#This Row],[PLAZO Días]],0)</f>
        <v>0</v>
      </c>
      <c r="U929" s="97">
        <f>+VLOOKUP(PROVEEDORES[[#This Row],[PROVEEDOR]],Terceros!$A:$D,4,FALSE)</f>
        <v>0</v>
      </c>
      <c r="V929" s="98">
        <f>+YEAR(PROVEEDORES[[#This Row],[FECHA DE FACTURACIÓN]])</f>
        <v>2023</v>
      </c>
      <c r="W929" s="98">
        <f>+MATCH(PROVEEDORES[[#This Row],[año facturado]],Retenciones!$1:$1,0)</f>
        <v>6</v>
      </c>
      <c r="X929" s="99">
        <f>+VLOOKUP(PROVEEDORES[[#This Row],[ID RETENCION]],Retenciones!$A$1:$O$25,PROVEEDORES[[#This Row],[indicador de columna]],FALSE)</f>
        <v>0</v>
      </c>
      <c r="Y929" s="100">
        <f>+VLOOKUP(PROVEEDORES[[#This Row],[ID RETENCION]],Retenciones!$A$1:$O$25,2,FALSE)</f>
        <v>0</v>
      </c>
      <c r="Z929" s="103" t="b">
        <f>OR(COUNTIF(PROVEEDORES[[#This Row],[PROVEEDOR]],"*"&amp;'Palabra no opera'!$A$2&amp;"*"))</f>
        <v>0</v>
      </c>
    </row>
    <row r="930" spans="1:26" ht="22.35" customHeight="1" x14ac:dyDescent="0.25">
      <c r="A930" s="65" t="str">
        <f>+IF(PROVEEDORES[[#This Row],[FECHA DE PAGO]]=PROVEEDORES[[#This Row],[FECHA DE FACTURACIÓN]],"DE CONTADO","CRÉDITO")</f>
        <v>CRÉDITO</v>
      </c>
      <c r="B930" s="38" t="b">
        <f>+IF((PROVEEDORES[[#This Row],[FECHA DE PAGO]]-PROVEEDORES[[#This Row],[FECHA DE FACTURACIÓN]])&gt;PROVEEDORES[[#This Row],[PLAZO Días]],"PAGO VENCIDO")</f>
        <v>0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3065837.2199999997</v>
      </c>
      <c r="E930" s="25"/>
      <c r="F930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0" s="289">
        <v>45278</v>
      </c>
      <c r="H930" s="26" t="s">
        <v>17</v>
      </c>
      <c r="I930" s="289">
        <v>45257</v>
      </c>
      <c r="J930" s="35" t="s">
        <v>1319</v>
      </c>
      <c r="K930" s="21">
        <v>137997.5</v>
      </c>
      <c r="L930" s="21"/>
      <c r="M930" s="22">
        <f>(PROVEEDORES[[#This Row],[SUBTOTAL]]-PROVEEDORES[[#This Row],[descuento sobre subtotal]])*VLOOKUP(PROVEEDORES[[#This Row],[PROVEEDOR]],TERCEROS_INFO[#All],3,FALSE)</f>
        <v>26219.525000000001</v>
      </c>
      <c r="N930" s="23"/>
      <c r="O930" s="22">
        <f>+PROVEEDORES[[#This Row],[Descuento sobre subtotal %]]*(PROVEEDORES[[#This Row],[SUBTOTAL]]-PROVEEDORES[[#This Row],[descuento sobre subtotal]])</f>
        <v>0</v>
      </c>
      <c r="P930" s="72">
        <f>+IF(PROVEEDORES[[#This Row],[SUBTOTAL]]&lt;PROVEEDORES[[#This Row],[base retencion]],0,PROVEEDORES[[#This Row],[retención aplicada]])</f>
        <v>0</v>
      </c>
      <c r="Q930" s="22">
        <f>+PROVEEDORES[[#This Row],[Rete Fuente %]]*(PROVEEDORES[[#This Row],[SUBTOTAL]]-PROVEEDORES[[#This Row],[descuento sobre subtotal]])</f>
        <v>0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164217.02499999999</v>
      </c>
      <c r="S9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1">
        <f ca="1">IF(PROVEEDORES[[#This Row],[FECHA DE PAGO]]=0,TODAY()-PROVEEDORES[[#This Row],[FECHA DE FACTURACIÓN]]-PROVEEDORES[[#This Row],[PLAZO Días]],0)</f>
        <v>0</v>
      </c>
      <c r="U930" s="97">
        <f>+VLOOKUP(PROVEEDORES[[#This Row],[PROVEEDOR]],Terceros!$A:$D,4,FALSE)</f>
        <v>0</v>
      </c>
      <c r="V930" s="98">
        <f>+YEAR(PROVEEDORES[[#This Row],[FECHA DE FACTURACIÓN]])</f>
        <v>2023</v>
      </c>
      <c r="W930" s="98">
        <f>+MATCH(PROVEEDORES[[#This Row],[año facturado]],Retenciones!$1:$1,0)</f>
        <v>6</v>
      </c>
      <c r="X930" s="99">
        <f>+VLOOKUP(PROVEEDORES[[#This Row],[ID RETENCION]],Retenciones!$A$1:$O$25,PROVEEDORES[[#This Row],[indicador de columna]],FALSE)</f>
        <v>0</v>
      </c>
      <c r="Y930" s="100">
        <f>+VLOOKUP(PROVEEDORES[[#This Row],[ID RETENCION]],Retenciones!$A$1:$O$25,2,FALSE)</f>
        <v>0</v>
      </c>
      <c r="Z930" s="103" t="b">
        <f>OR(COUNTIF(PROVEEDORES[[#This Row],[PROVEEDOR]],"*"&amp;'Palabra no opera'!$A$2&amp;"*"))</f>
        <v>0</v>
      </c>
    </row>
    <row r="931" spans="1:26" ht="22.35" customHeight="1" x14ac:dyDescent="0.25">
      <c r="A931" s="65" t="str">
        <f>+IF(PROVEEDORES[[#This Row],[FECHA DE PAGO]]=PROVEEDORES[[#This Row],[FECHA DE FACTURACIÓN]],"DE CONTADO","CRÉDITO")</f>
        <v>CRÉDITO</v>
      </c>
      <c r="B931" s="38" t="str">
        <f>+IF((PROVEEDORES[[#This Row],[FECHA DE PAGO]]-PROVEEDORES[[#This Row],[FECHA DE FACTURACIÓN]])&gt;PROVEEDORES[[#This Row],[PLAZO Días]],"PAGO VENCIDO")</f>
        <v>PAGO VENCIDO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3065837.2199999997</v>
      </c>
      <c r="E931" s="25"/>
      <c r="F931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1" s="289">
        <v>45293</v>
      </c>
      <c r="H931" s="26" t="s">
        <v>17</v>
      </c>
      <c r="I931" s="289">
        <v>45261</v>
      </c>
      <c r="J931" s="35" t="s">
        <v>1343</v>
      </c>
      <c r="K931" s="21">
        <v>537354</v>
      </c>
      <c r="L931" s="21"/>
      <c r="M931" s="22">
        <v>0</v>
      </c>
      <c r="N931" s="23"/>
      <c r="O931" s="22">
        <f>+PROVEEDORES[[#This Row],[Descuento sobre subtotal %]]*(PROVEEDORES[[#This Row],[SUBTOTAL]]-PROVEEDORES[[#This Row],[descuento sobre subtotal]])</f>
        <v>0</v>
      </c>
      <c r="P931" s="72">
        <f>+IF(PROVEEDORES[[#This Row],[SUBTOTAL]]&lt;PROVEEDORES[[#This Row],[base retencion]],0,PROVEEDORES[[#This Row],[retención aplicada]])</f>
        <v>0</v>
      </c>
      <c r="Q931" s="22">
        <f>+PROVEEDORES[[#This Row],[Rete Fuente %]]*(PROVEEDORES[[#This Row],[SUBTOTAL]]-PROVEEDORES[[#This Row],[descuento sobre subtotal]])</f>
        <v>0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537354</v>
      </c>
      <c r="S9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1">
        <f ca="1">IF(PROVEEDORES[[#This Row],[FECHA DE PAGO]]=0,TODAY()-PROVEEDORES[[#This Row],[FECHA DE FACTURACIÓN]]-PROVEEDORES[[#This Row],[PLAZO Días]],0)</f>
        <v>0</v>
      </c>
      <c r="U931" s="97">
        <f>+VLOOKUP(PROVEEDORES[[#This Row],[PROVEEDOR]],Terceros!$A:$D,4,FALSE)</f>
        <v>0</v>
      </c>
      <c r="V931" s="98">
        <f>+YEAR(PROVEEDORES[[#This Row],[FECHA DE FACTURACIÓN]])</f>
        <v>2023</v>
      </c>
      <c r="W931" s="98">
        <f>+MATCH(PROVEEDORES[[#This Row],[año facturado]],Retenciones!$1:$1,0)</f>
        <v>6</v>
      </c>
      <c r="X931" s="99">
        <f>+VLOOKUP(PROVEEDORES[[#This Row],[ID RETENCION]],Retenciones!$A$1:$O$25,PROVEEDORES[[#This Row],[indicador de columna]],FALSE)</f>
        <v>0</v>
      </c>
      <c r="Y931" s="100">
        <f>+VLOOKUP(PROVEEDORES[[#This Row],[ID RETENCION]],Retenciones!$A$1:$O$25,2,FALSE)</f>
        <v>0</v>
      </c>
      <c r="Z931" s="103" t="b">
        <f>OR(COUNTIF(PROVEEDORES[[#This Row],[PROVEEDOR]],"*"&amp;'Palabra no opera'!$A$2&amp;"*"))</f>
        <v>0</v>
      </c>
    </row>
    <row r="932" spans="1:26" ht="22.35" customHeight="1" x14ac:dyDescent="0.25">
      <c r="A932" s="65" t="str">
        <f>+IF(PROVEEDORES[[#This Row],[FECHA DE PAGO]]=PROVEEDORES[[#This Row],[FECHA DE FACTURACIÓN]],"DE CONTADO","CRÉDITO")</f>
        <v>CRÉDITO</v>
      </c>
      <c r="B932" s="38" t="b">
        <f>+IF((PROVEEDORES[[#This Row],[FECHA DE PAGO]]-PROVEEDORES[[#This Row],[FECHA DE FACTURACIÓN]])&gt;PROVEEDORES[[#This Row],[PLAZO Días]],"PAGO VENCIDO")</f>
        <v>0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3065837.2199999997</v>
      </c>
      <c r="E932" s="25"/>
      <c r="F932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2" s="289">
        <v>45293</v>
      </c>
      <c r="H932" s="26" t="s">
        <v>17</v>
      </c>
      <c r="I932" s="289">
        <v>45274</v>
      </c>
      <c r="J932" s="35" t="s">
        <v>1381</v>
      </c>
      <c r="K932" s="21">
        <v>120904</v>
      </c>
      <c r="L932" s="21"/>
      <c r="M932" s="22">
        <f>(PROVEEDORES[[#This Row],[SUBTOTAL]]-PROVEEDORES[[#This Row],[descuento sobre subtotal]])*VLOOKUP(PROVEEDORES[[#This Row],[PROVEEDOR]],TERCEROS_INFO[#All],3,FALSE)</f>
        <v>22971.760000000002</v>
      </c>
      <c r="N932" s="23"/>
      <c r="O932" s="22">
        <f>+PROVEEDORES[[#This Row],[Descuento sobre subtotal %]]*(PROVEEDORES[[#This Row],[SUBTOTAL]]-PROVEEDORES[[#This Row],[descuento sobre subtotal]])</f>
        <v>0</v>
      </c>
      <c r="P932" s="72">
        <f>+IF(PROVEEDORES[[#This Row],[SUBTOTAL]]&lt;PROVEEDORES[[#This Row],[base retencion]],0,PROVEEDORES[[#This Row],[retención aplicada]])</f>
        <v>0</v>
      </c>
      <c r="Q932" s="22">
        <f>+PROVEEDORES[[#This Row],[Rete Fuente %]]*(PROVEEDORES[[#This Row],[SUBTOTAL]]-PROVEEDORES[[#This Row],[descuento sobre subtotal]])</f>
        <v>0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143875.76</v>
      </c>
      <c r="S9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1">
        <f ca="1">IF(PROVEEDORES[[#This Row],[FECHA DE PAGO]]=0,TODAY()-PROVEEDORES[[#This Row],[FECHA DE FACTURACIÓN]]-PROVEEDORES[[#This Row],[PLAZO Días]],0)</f>
        <v>0</v>
      </c>
      <c r="U932" s="97">
        <f>+VLOOKUP(PROVEEDORES[[#This Row],[PROVEEDOR]],Terceros!$A:$D,4,FALSE)</f>
        <v>0</v>
      </c>
      <c r="V932" s="98">
        <f>+YEAR(PROVEEDORES[[#This Row],[FECHA DE FACTURACIÓN]])</f>
        <v>2023</v>
      </c>
      <c r="W932" s="98">
        <f>+MATCH(PROVEEDORES[[#This Row],[año facturado]],Retenciones!$1:$1,0)</f>
        <v>6</v>
      </c>
      <c r="X932" s="99">
        <f>+VLOOKUP(PROVEEDORES[[#This Row],[ID RETENCION]],Retenciones!$A$1:$O$25,PROVEEDORES[[#This Row],[indicador de columna]],FALSE)</f>
        <v>0</v>
      </c>
      <c r="Y932" s="100">
        <f>+VLOOKUP(PROVEEDORES[[#This Row],[ID RETENCION]],Retenciones!$A$1:$O$25,2,FALSE)</f>
        <v>0</v>
      </c>
      <c r="Z932" s="103" t="b">
        <f>OR(COUNTIF(PROVEEDORES[[#This Row],[PROVEEDOR]],"*"&amp;'Palabra no opera'!$A$2&amp;"*"))</f>
        <v>0</v>
      </c>
    </row>
    <row r="933" spans="1:26" ht="22.35" customHeight="1" x14ac:dyDescent="0.25">
      <c r="A933" s="65" t="str">
        <f>+IF(PROVEEDORES[[#This Row],[FECHA DE PAGO]]=PROVEEDORES[[#This Row],[FECHA DE FACTURACIÓN]],"DE CONTADO","CRÉDITO")</f>
        <v>CRÉDITO</v>
      </c>
      <c r="B933" s="38" t="b">
        <f>+IF((PROVEEDORES[[#This Row],[FECHA DE PAGO]]-PROVEEDORES[[#This Row],[FECHA DE FACTURACIÓN]])&gt;PROVEEDORES[[#This Row],[PLAZO Días]],"PAGO VENCIDO")</f>
        <v>0</v>
      </c>
      <c r="C933" s="20">
        <f>+VLOOKUP(PROVEEDORES[[#This Row],[PROVEEDOR]],TERCEROS_INFO[#All],2,FALSE)</f>
        <v>30</v>
      </c>
      <c r="D933" s="25">
        <f>+SUMIFS(PROVEEDORES[Total],PROVEEDORES[PROVEEDOR],PROVEEDORES[[#This Row],[PROVEEDOR]],PROVEEDORES[FECHA DE PAGO],"")</f>
        <v>3065837.2199999997</v>
      </c>
      <c r="E933" s="25"/>
      <c r="F933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3" s="289">
        <v>45307</v>
      </c>
      <c r="H933" s="26" t="s">
        <v>17</v>
      </c>
      <c r="I933" s="289">
        <v>45279</v>
      </c>
      <c r="J933" s="35" t="s">
        <v>1406</v>
      </c>
      <c r="K933" s="21">
        <v>1106631</v>
      </c>
      <c r="L933" s="21"/>
      <c r="M933" s="22">
        <f>(PROVEEDORES[[#This Row],[SUBTOTAL]]-PROVEEDORES[[#This Row],[descuento sobre subtotal]])*VLOOKUP(PROVEEDORES[[#This Row],[PROVEEDOR]],TERCEROS_INFO[#All],3,FALSE)</f>
        <v>210259.89</v>
      </c>
      <c r="N933" s="23"/>
      <c r="O933" s="22">
        <f>+PROVEEDORES[[#This Row],[Descuento sobre subtotal %]]*(PROVEEDORES[[#This Row],[SUBTOTAL]]-PROVEEDORES[[#This Row],[descuento sobre subtotal]])</f>
        <v>0</v>
      </c>
      <c r="P933" s="72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1316890.8900000001</v>
      </c>
      <c r="S9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1">
        <f ca="1">IF(PROVEEDORES[[#This Row],[FECHA DE PAGO]]=0,TODAY()-PROVEEDORES[[#This Row],[FECHA DE FACTURACIÓN]]-PROVEEDORES[[#This Row],[PLAZO Días]],0)</f>
        <v>0</v>
      </c>
      <c r="U933" s="97">
        <f>+VLOOKUP(PROVEEDORES[[#This Row],[PROVEEDOR]],Terceros!$A:$D,4,FALSE)</f>
        <v>0</v>
      </c>
      <c r="V933" s="98">
        <f>+YEAR(PROVEEDORES[[#This Row],[FECHA DE FACTURACIÓN]])</f>
        <v>2023</v>
      </c>
      <c r="W933" s="98">
        <f>+MATCH(PROVEEDORES[[#This Row],[año facturado]],Retenciones!$1:$1,0)</f>
        <v>6</v>
      </c>
      <c r="X933" s="99">
        <f>+VLOOKUP(PROVEEDORES[[#This Row],[ID RETENCION]],Retenciones!$A$1:$O$25,PROVEEDORES[[#This Row],[indicador de columna]],FALSE)</f>
        <v>0</v>
      </c>
      <c r="Y933" s="100">
        <f>+VLOOKUP(PROVEEDORES[[#This Row],[ID RETENCION]],Retenciones!$A$1:$O$25,2,FALSE)</f>
        <v>0</v>
      </c>
      <c r="Z933" s="103" t="b">
        <f>OR(COUNTIF(PROVEEDORES[[#This Row],[PROVEEDOR]],"*"&amp;'Palabra no opera'!$A$2&amp;"*"))</f>
        <v>0</v>
      </c>
    </row>
    <row r="934" spans="1:26" ht="22.35" customHeight="1" x14ac:dyDescent="0.25">
      <c r="A934" s="65" t="str">
        <f>+IF(PROVEEDORES[[#This Row],[FECHA DE PAGO]]=PROVEEDORES[[#This Row],[FECHA DE FACTURACIÓN]],"DE CONTADO","CRÉDITO")</f>
        <v>CRÉDITO</v>
      </c>
      <c r="B934" s="38" t="str">
        <f>+IF((PROVEEDORES[[#This Row],[FECHA DE PAGO]]-PROVEEDORES[[#This Row],[FECHA DE FACTURACIÓN]])&gt;PROVEEDORES[[#This Row],[PLAZO Días]],"PAGO VENCIDO")</f>
        <v>PAGO VENCIDO</v>
      </c>
      <c r="C934" s="20">
        <f>+VLOOKUP(PROVEEDORES[[#This Row],[PROVEEDOR]],TERCEROS_INFO[#All],2,FALSE)</f>
        <v>30</v>
      </c>
      <c r="D934" s="25">
        <f>+SUMIFS(PROVEEDORES[Total],PROVEEDORES[PROVEEDOR],PROVEEDORES[[#This Row],[PROVEEDOR]],PROVEEDORES[FECHA DE PAGO],"")</f>
        <v>3065837.2199999997</v>
      </c>
      <c r="E934" s="25"/>
      <c r="F93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4" s="289">
        <v>45307</v>
      </c>
      <c r="H934" s="26" t="s">
        <v>17</v>
      </c>
      <c r="I934" s="289">
        <v>45231</v>
      </c>
      <c r="J934" s="35" t="s">
        <v>1488</v>
      </c>
      <c r="K934" s="21">
        <v>138397.19</v>
      </c>
      <c r="L934" s="21"/>
      <c r="M934" s="22">
        <f>(PROVEEDORES[[#This Row],[SUBTOTAL]]-PROVEEDORES[[#This Row],[descuento sobre subtotal]])*VLOOKUP(PROVEEDORES[[#This Row],[PROVEEDOR]],TERCEROS_INFO[#All],3,FALSE)</f>
        <v>26295.466100000001</v>
      </c>
      <c r="N934" s="23"/>
      <c r="O934" s="22">
        <f>+PROVEEDORES[[#This Row],[Descuento sobre subtotal %]]*(PROVEEDORES[[#This Row],[SUBTOTAL]]-PROVEEDORES[[#This Row],[descuento sobre subtotal]])</f>
        <v>0</v>
      </c>
      <c r="P934" s="72">
        <f>+IF(PROVEEDORES[[#This Row],[SUBTOTAL]]&lt;PROVEEDORES[[#This Row],[base retencion]],0,PROVEEDORES[[#This Row],[retención aplicada]])</f>
        <v>0</v>
      </c>
      <c r="Q934" s="22">
        <f>+PROVEEDORES[[#This Row],[Rete Fuente %]]*(PROVEEDORES[[#This Row],[SUBTOTAL]]-PROVEEDORES[[#This Row],[descuento sobre subtotal]])</f>
        <v>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164692.65609999999</v>
      </c>
      <c r="S9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1">
        <f ca="1">IF(PROVEEDORES[[#This Row],[FECHA DE PAGO]]=0,TODAY()-PROVEEDORES[[#This Row],[FECHA DE FACTURACIÓN]]-PROVEEDORES[[#This Row],[PLAZO Días]],0)</f>
        <v>0</v>
      </c>
      <c r="U934" s="97">
        <f>+VLOOKUP(PROVEEDORES[[#This Row],[PROVEEDOR]],Terceros!$A:$D,4,FALSE)</f>
        <v>0</v>
      </c>
      <c r="V934" s="98">
        <f>+YEAR(PROVEEDORES[[#This Row],[FECHA DE FACTURACIÓN]])</f>
        <v>2023</v>
      </c>
      <c r="W934" s="98">
        <f>+MATCH(PROVEEDORES[[#This Row],[año facturado]],Retenciones!$1:$1,0)</f>
        <v>6</v>
      </c>
      <c r="X934" s="99">
        <f>+VLOOKUP(PROVEEDORES[[#This Row],[ID RETENCION]],Retenciones!$A$1:$O$25,PROVEEDORES[[#This Row],[indicador de columna]],FALSE)</f>
        <v>0</v>
      </c>
      <c r="Y934" s="100">
        <f>+VLOOKUP(PROVEEDORES[[#This Row],[ID RETENCION]],Retenciones!$A$1:$O$25,2,FALSE)</f>
        <v>0</v>
      </c>
      <c r="Z934" s="103" t="b">
        <f>OR(COUNTIF(PROVEEDORES[[#This Row],[PROVEEDOR]],"*"&amp;'Palabra no opera'!$A$2&amp;"*"))</f>
        <v>0</v>
      </c>
    </row>
    <row r="935" spans="1:26" ht="22.35" customHeight="1" x14ac:dyDescent="0.25">
      <c r="A935" s="314" t="str">
        <f>+IF(PROVEEDORES[[#This Row],[FECHA DE PAGO]]=PROVEEDORES[[#This Row],[FECHA DE FACTURACIÓN]],"DE CONTADO","CRÉDITO")</f>
        <v>CRÉDITO</v>
      </c>
      <c r="B935" s="38" t="b">
        <f>+IF((PROVEEDORES[[#This Row],[FECHA DE PAGO]]-PROVEEDORES[[#This Row],[FECHA DE FACTURACIÓN]])&gt;PROVEEDORES[[#This Row],[PLAZO Días]],"PAGO VENCIDO")</f>
        <v>0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3065837.2199999997</v>
      </c>
      <c r="E935" s="25"/>
      <c r="F935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935" s="26" t="s">
        <v>17</v>
      </c>
      <c r="I935" s="289">
        <v>45308</v>
      </c>
      <c r="J935" s="35" t="s">
        <v>1543</v>
      </c>
      <c r="K935" s="21">
        <v>1318050</v>
      </c>
      <c r="L935" s="21"/>
      <c r="M935" s="22"/>
      <c r="N935" s="23"/>
      <c r="O935" s="22">
        <f>+PROVEEDORES[[#This Row],[Descuento sobre subtotal %]]*(PROVEEDORES[[#This Row],[SUBTOTAL]]-PROVEEDORES[[#This Row],[descuento sobre subtotal]])</f>
        <v>0</v>
      </c>
      <c r="P935" s="72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f>+PROVEEDORES[[#This Row],[SUBTOTAL]]+PROVEEDORES[[#This Row],[IVA 19%]]-PROVEEDORES[[#This Row],[descuento sobre subtotal]]-PROVEEDORES[[#This Row],[Descuento sobre subtotal $2]]-PROVEEDORES[[#This Row],[Rete Fuente $]]</f>
        <v>1318050</v>
      </c>
      <c r="S935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935" s="61">
        <f ca="1">IF(PROVEEDORES[[#This Row],[FECHA DE PAGO]]=0,TODAY()-PROVEEDORES[[#This Row],[FECHA DE FACTURACIÓN]]-PROVEEDORES[[#This Row],[PLAZO Días]],0)</f>
        <v>-10</v>
      </c>
      <c r="U935" s="97">
        <f>+VLOOKUP(PROVEEDORES[[#This Row],[PROVEEDOR]],Terceros!$A:$D,4,FALSE)</f>
        <v>0</v>
      </c>
      <c r="V935" s="98">
        <f>+YEAR(PROVEEDORES[[#This Row],[FECHA DE FACTURACIÓN]])</f>
        <v>2024</v>
      </c>
      <c r="W935" s="98">
        <f>+MATCH(PROVEEDORES[[#This Row],[año facturado]],Retenciones!$1:$1,0)</f>
        <v>7</v>
      </c>
      <c r="X935" s="99">
        <f>+VLOOKUP(PROVEEDORES[[#This Row],[ID RETENCION]],Retenciones!$A$1:$O$25,PROVEEDORES[[#This Row],[indicador de columna]],FALSE)</f>
        <v>0</v>
      </c>
      <c r="Y935" s="100">
        <f>+VLOOKUP(PROVEEDORES[[#This Row],[ID RETENCION]],Retenciones!$A$1:$O$25,2,FALSE)</f>
        <v>0</v>
      </c>
      <c r="Z935" s="103" t="b">
        <f>OR(COUNTIF(PROVEEDORES[[#This Row],[PROVEEDOR]],"*"&amp;'Palabra no opera'!$A$2&amp;"*"))</f>
        <v>0</v>
      </c>
    </row>
    <row r="936" spans="1:26" ht="22.35" customHeight="1" x14ac:dyDescent="0.25">
      <c r="A936" s="65" t="str">
        <f>+IF(PROVEEDORES[[#This Row],[FECHA DE PAGO]]=PROVEEDORES[[#This Row],[FECHA DE FACTURACIÓN]],"DE CONTADO","CRÉDITO")</f>
        <v>DE CONTADO</v>
      </c>
      <c r="B936" s="38" t="b">
        <f>+IF((PROVEEDORES[[#This Row],[FECHA DE PAGO]]-PROVEEDORES[[#This Row],[FECHA DE FACTURACIÓN]])&gt;PROVEEDORES[[#This Row],[PLAZO Días]],"PAGO VENCIDO")</f>
        <v>0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0</v>
      </c>
      <c r="E936" s="25"/>
      <c r="F936" s="56">
        <f>+VLOOKUP(PROVEEDORES[[#This Row],[PROVEEDOR]],
                       Terceros!$A:$F,
                       5,
                       FALSE)</f>
        <v>0</v>
      </c>
      <c r="G936" s="289">
        <v>45166</v>
      </c>
      <c r="H936" s="26" t="s">
        <v>1063</v>
      </c>
      <c r="I936" s="289">
        <v>45166</v>
      </c>
      <c r="J936" s="35" t="s">
        <v>1062</v>
      </c>
      <c r="K936" s="21">
        <v>1455126</v>
      </c>
      <c r="L936" s="21">
        <v>173160</v>
      </c>
      <c r="M936" s="22">
        <f>(PROVEEDORES[[#This Row],[SUBTOTAL]]-PROVEEDORES[[#This Row],[descuento sobre subtotal]])*VLOOKUP(PROVEEDORES[[#This Row],[PROVEEDOR]],TERCEROS_INFO[#All],3,FALSE)</f>
        <v>243573.54</v>
      </c>
      <c r="N936" s="23"/>
      <c r="O936" s="22">
        <f>+PROVEEDORES[[#This Row],[Descuento sobre subtotal %]]*(PROVEEDORES[[#This Row],[SUBTOTAL]]-PROVEEDORES[[#This Row],[descuento sobre subtotal]])</f>
        <v>0</v>
      </c>
      <c r="P936" s="72">
        <f>+IF(PROVEEDORES[[#This Row],[SUBTOTAL]]&lt;PROVEEDORES[[#This Row],[base retencion]],0,PROVEEDORES[[#This Row],[retención aplicada]])</f>
        <v>2.5000000000000001E-2</v>
      </c>
      <c r="Q936" s="22">
        <f>+PROVEEDORES[[#This Row],[Rete Fuente %]]*(PROVEEDORES[[#This Row],[SUBTOTAL]]-PROVEEDORES[[#This Row],[descuento sobre subtotal]])</f>
        <v>32049.15</v>
      </c>
      <c r="R936" s="21">
        <f>+PROVEEDORES[[#This Row],[SUBTOTAL]]+PROVEEDORES[[#This Row],[IVA 19%]]-PROVEEDORES[[#This Row],[descuento sobre subtotal]]-PROVEEDORES[[#This Row],[Descuento sobre subtotal $2]]-PROVEEDORES[[#This Row],[Rete Fuente $]]</f>
        <v>1493490.3900000001</v>
      </c>
      <c r="S9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1">
        <f ca="1">IF(PROVEEDORES[[#This Row],[FECHA DE PAGO]]=0,TODAY()-PROVEEDORES[[#This Row],[FECHA DE FACTURACIÓN]]-PROVEEDORES[[#This Row],[PLAZO Días]],0)</f>
        <v>0</v>
      </c>
      <c r="U936" s="97" t="str">
        <f>+VLOOKUP(PROVEEDORES[[#This Row],[PROVEEDOR]],Terceros!$A:$D,4,FALSE)</f>
        <v>2,5% con base</v>
      </c>
      <c r="V936" s="98">
        <f>+YEAR(PROVEEDORES[[#This Row],[FECHA DE FACTURACIÓN]])</f>
        <v>2023</v>
      </c>
      <c r="W936" s="98">
        <f>+MATCH(PROVEEDORES[[#This Row],[año facturado]],Retenciones!$1:$1,0)</f>
        <v>6</v>
      </c>
      <c r="X936" s="99">
        <f>+VLOOKUP(PROVEEDORES[[#This Row],[ID RETENCION]],Retenciones!$A$1:$O$25,PROVEEDORES[[#This Row],[indicador de columna]],FALSE)</f>
        <v>1145000</v>
      </c>
      <c r="Y936" s="100">
        <f>+VLOOKUP(PROVEEDORES[[#This Row],[ID RETENCION]],Retenciones!$A$1:$O$25,2,FALSE)</f>
        <v>2.5000000000000001E-2</v>
      </c>
      <c r="Z936" s="103" t="b">
        <f>OR(COUNTIF(PROVEEDORES[[#This Row],[PROVEEDOR]],"*"&amp;'Palabra no opera'!$A$2&amp;"*"))</f>
        <v>0</v>
      </c>
    </row>
    <row r="937" spans="1:26" ht="22.35" customHeight="1" x14ac:dyDescent="0.25">
      <c r="A937" s="159" t="str">
        <f>+IF(PROVEEDORES[[#This Row],[FECHA DE PAGO]]=PROVEEDORES[[#This Row],[FECHA DE FACTURACIÓN]],"DE CONTADO","CRÉDITO")</f>
        <v>CRÉDITO</v>
      </c>
      <c r="B937" s="38" t="b">
        <f>+IF((PROVEEDORES[[#This Row],[FECHA DE PAGO]]-PROVEEDORES[[#This Row],[FECHA DE FACTURACIÓN]])&gt;PROVEEDORES[[#This Row],[PLAZO Días]],"PAGO VENCIDO")</f>
        <v>0</v>
      </c>
      <c r="C937" s="20">
        <f>+VLOOKUP(PROVEEDORES[[#This Row],[PROVEEDOR]],TERCEROS_INFO[#All],2,FALSE)</f>
        <v>30</v>
      </c>
      <c r="D937" s="25">
        <f>+SUMIFS(PROVEEDORES[Total],PROVEEDORES[PROVEEDOR],PROVEEDORES[[#This Row],[PROVEEDOR]],PROVEEDORES[FECHA DE PAGO],"")</f>
        <v>1499400</v>
      </c>
      <c r="E937" s="25"/>
      <c r="F93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7" s="289">
        <v>44998</v>
      </c>
      <c r="H937" s="26" t="s">
        <v>490</v>
      </c>
      <c r="I937" s="289">
        <v>44993</v>
      </c>
      <c r="J937" s="35">
        <v>29650</v>
      </c>
      <c r="K937" s="21">
        <v>740000</v>
      </c>
      <c r="L937" s="21"/>
      <c r="M937" s="22">
        <f>(PROVEEDORES[[#This Row],[SUBTOTAL]]-PROVEEDORES[[#This Row],[descuento sobre subtotal]])*VLOOKUP(PROVEEDORES[[#This Row],[PROVEEDOR]],TERCEROS_INFO[#All],3,FALSE)</f>
        <v>140600</v>
      </c>
      <c r="N937" s="23">
        <v>0.04</v>
      </c>
      <c r="O937" s="22">
        <f>+PROVEEDORES[[#This Row],[Descuento sobre subtotal %]]*(PROVEEDORES[[#This Row],[SUBTOTAL]]-PROVEEDORES[[#This Row],[descuento sobre subtotal]])</f>
        <v>29600</v>
      </c>
      <c r="P937" s="72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f>+PROVEEDORES[[#This Row],[SUBTOTAL]]+PROVEEDORES[[#This Row],[IVA 19%]]-PROVEEDORES[[#This Row],[descuento sobre subtotal]]-PROVEEDORES[[#This Row],[Descuento sobre subtotal $2]]-PROVEEDORES[[#This Row],[Rete Fuente $]]</f>
        <v>851000</v>
      </c>
      <c r="S937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1">
        <f ca="1">IF(PROVEEDORES[[#This Row],[FECHA DE PAGO]]=0,TODAY()-PROVEEDORES[[#This Row],[FECHA DE FACTURACIÓN]]-PROVEEDORES[[#This Row],[PLAZO Días]],0)</f>
        <v>0</v>
      </c>
      <c r="U937" s="97" t="str">
        <f>+VLOOKUP(PROVEEDORES[[#This Row],[PROVEEDOR]],Terceros!$A:$D,4,FALSE)</f>
        <v>2,5% con base</v>
      </c>
      <c r="V937" s="98">
        <f>+YEAR(PROVEEDORES[[#This Row],[FECHA DE FACTURACIÓN]])</f>
        <v>2023</v>
      </c>
      <c r="W937" s="98">
        <f>+MATCH(PROVEEDORES[[#This Row],[año facturado]],Retenciones!$1:$1,0)</f>
        <v>6</v>
      </c>
      <c r="X937" s="99">
        <f>+VLOOKUP(PROVEEDORES[[#This Row],[ID RETENCION]],Retenciones!$A$1:$O$25,PROVEEDORES[[#This Row],[indicador de columna]],FALSE)</f>
        <v>1145000</v>
      </c>
      <c r="Y937" s="100">
        <f>+VLOOKUP(PROVEEDORES[[#This Row],[ID RETENCION]],Retenciones!$A$1:$O$25,2,FALSE)</f>
        <v>2.5000000000000001E-2</v>
      </c>
      <c r="Z937" s="103" t="b">
        <f>OR(COUNTIF(PROVEEDORES[[#This Row],[PROVEEDOR]],"*"&amp;'Palabra no opera'!$A$2&amp;"*"))</f>
        <v>0</v>
      </c>
    </row>
    <row r="938" spans="1:26" ht="22.35" customHeight="1" x14ac:dyDescent="0.25">
      <c r="A938" s="164" t="str">
        <f>+IF(PROVEEDORES[[#This Row],[FECHA DE PAGO]]=PROVEEDORES[[#This Row],[FECHA DE FACTURACIÓN]],"DE CONTADO","CRÉDITO")</f>
        <v>CRÉDITO</v>
      </c>
      <c r="B938" s="38" t="b">
        <f>+IF((PROVEEDORES[[#This Row],[FECHA DE PAGO]]-PROVEEDORES[[#This Row],[FECHA DE FACTURACIÓN]])&gt;PROVEEDORES[[#This Row],[PLAZO Días]],"PAGO VENCIDO")</f>
        <v>0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1499400</v>
      </c>
      <c r="E938" s="25"/>
      <c r="F93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8" s="289">
        <v>45006</v>
      </c>
      <c r="H938" s="26" t="s">
        <v>490</v>
      </c>
      <c r="I938" s="289">
        <v>45002</v>
      </c>
      <c r="J938" s="35">
        <v>29742</v>
      </c>
      <c r="K938" s="21">
        <v>188000</v>
      </c>
      <c r="L938" s="21"/>
      <c r="M938" s="22">
        <f>(PROVEEDORES[[#This Row],[SUBTOTAL]]-PROVEEDORES[[#This Row],[descuento sobre subtotal]])*VLOOKUP(PROVEEDORES[[#This Row],[PROVEEDOR]],TERCEROS_INFO[#All],3,FALSE)</f>
        <v>35720</v>
      </c>
      <c r="N938" s="23">
        <v>0.04</v>
      </c>
      <c r="O938" s="22">
        <f>+PROVEEDORES[[#This Row],[Descuento sobre subtotal %]]*(PROVEEDORES[[#This Row],[SUBTOTAL]]-PROVEEDORES[[#This Row],[descuento sobre subtotal]])</f>
        <v>7520</v>
      </c>
      <c r="P938" s="72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216200</v>
      </c>
      <c r="S938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1">
        <f ca="1">IF(PROVEEDORES[[#This Row],[FECHA DE PAGO]]=0,TODAY()-PROVEEDORES[[#This Row],[FECHA DE FACTURACIÓN]]-PROVEEDORES[[#This Row],[PLAZO Días]],0)</f>
        <v>0</v>
      </c>
      <c r="U938" s="97" t="str">
        <f>+VLOOKUP(PROVEEDORES[[#This Row],[PROVEEDOR]],Terceros!$A:$D,4,FALSE)</f>
        <v>2,5% con base</v>
      </c>
      <c r="V938" s="98">
        <f>+YEAR(PROVEEDORES[[#This Row],[FECHA DE FACTURACIÓN]])</f>
        <v>2023</v>
      </c>
      <c r="W938" s="98">
        <f>+MATCH(PROVEEDORES[[#This Row],[año facturado]],Retenciones!$1:$1,0)</f>
        <v>6</v>
      </c>
      <c r="X938" s="99">
        <f>+VLOOKUP(PROVEEDORES[[#This Row],[ID RETENCION]],Retenciones!$A$1:$O$25,PROVEEDORES[[#This Row],[indicador de columna]],FALSE)</f>
        <v>1145000</v>
      </c>
      <c r="Y938" s="100">
        <f>+VLOOKUP(PROVEEDORES[[#This Row],[ID RETENCION]],Retenciones!$A$1:$O$25,2,FALSE)</f>
        <v>2.5000000000000001E-2</v>
      </c>
      <c r="Z938" s="103" t="b">
        <f>OR(COUNTIF(PROVEEDORES[[#This Row],[PROVEEDOR]],"*"&amp;'Palabra no opera'!$A$2&amp;"*"))</f>
        <v>0</v>
      </c>
    </row>
    <row r="939" spans="1:26" ht="22.35" customHeight="1" x14ac:dyDescent="0.25">
      <c r="A939" s="164" t="str">
        <f>+IF(PROVEEDORES[[#This Row],[FECHA DE PAGO]]=PROVEEDORES[[#This Row],[FECHA DE FACTURACIÓN]],"DE CONTADO","CRÉDITO")</f>
        <v>CRÉDITO</v>
      </c>
      <c r="B939" s="38" t="str">
        <f>+IF((PROVEEDORES[[#This Row],[FECHA DE PAGO]]-PROVEEDORES[[#This Row],[FECHA DE FACTURACIÓN]])&gt;PROVEEDORES[[#This Row],[PLAZO Días]],"PAGO VENCIDO")</f>
        <v>PAGO VENCIDO</v>
      </c>
      <c r="C939" s="20">
        <f>+VLOOKUP(PROVEEDORES[[#This Row],[PROVEEDOR]],TERCEROS_INFO[#All],2,FALSE)</f>
        <v>30</v>
      </c>
      <c r="D939" s="25">
        <f>+SUMIFS(PROVEEDORES[Total],PROVEEDORES[PROVEEDOR],PROVEEDORES[[#This Row],[PROVEEDOR]],PROVEEDORES[FECHA DE PAGO],"")</f>
        <v>1499400</v>
      </c>
      <c r="E939" s="25"/>
      <c r="F93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39" s="289">
        <v>45082</v>
      </c>
      <c r="H939" s="26" t="s">
        <v>490</v>
      </c>
      <c r="I939" s="289">
        <v>45013</v>
      </c>
      <c r="J939" s="35" t="s">
        <v>694</v>
      </c>
      <c r="K939" s="21">
        <v>2185344</v>
      </c>
      <c r="L939" s="21">
        <v>63334</v>
      </c>
      <c r="M939" s="22">
        <f>(PROVEEDORES[[#This Row],[SUBTOTAL]]-PROVEEDORES[[#This Row],[descuento sobre subtotal]])*VLOOKUP(PROVEEDORES[[#This Row],[PROVEEDOR]],TERCEROS_INFO[#All],3,FALSE)</f>
        <v>403181.9</v>
      </c>
      <c r="N939" s="23"/>
      <c r="O939" s="22">
        <f>+PROVEEDORES[[#This Row],[Descuento sobre subtotal %]]*(PROVEEDORES[[#This Row],[SUBTOTAL]]-PROVEEDORES[[#This Row],[descuento sobre subtotal]])</f>
        <v>0</v>
      </c>
      <c r="P939" s="72">
        <f>+IF(PROVEEDORES[[#This Row],[SUBTOTAL]]&lt;PROVEEDORES[[#This Row],[base retencion]],0,PROVEEDORES[[#This Row],[retención aplicada]])</f>
        <v>2.5000000000000001E-2</v>
      </c>
      <c r="Q939" s="22">
        <f>+PROVEEDORES[[#This Row],[Rete Fuente %]]*(PROVEEDORES[[#This Row],[SUBTOTAL]]-PROVEEDORES[[#This Row],[descuento sobre subtotal]])</f>
        <v>53050.25</v>
      </c>
      <c r="R939" s="21">
        <f>+PROVEEDORES[[#This Row],[SUBTOTAL]]+PROVEEDORES[[#This Row],[IVA 19%]]-PROVEEDORES[[#This Row],[descuento sobre subtotal]]-PROVEEDORES[[#This Row],[Descuento sobre subtotal $2]]-PROVEEDORES[[#This Row],[Rete Fuente $]]</f>
        <v>2472141.65</v>
      </c>
      <c r="S939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1">
        <f ca="1">IF(PROVEEDORES[[#This Row],[FECHA DE PAGO]]=0,TODAY()-PROVEEDORES[[#This Row],[FECHA DE FACTURACIÓN]]-PROVEEDORES[[#This Row],[PLAZO Días]],0)</f>
        <v>0</v>
      </c>
      <c r="U939" s="97" t="str">
        <f>+VLOOKUP(PROVEEDORES[[#This Row],[PROVEEDOR]],Terceros!$A:$D,4,FALSE)</f>
        <v>2,5% con base</v>
      </c>
      <c r="V939" s="98">
        <f>+YEAR(PROVEEDORES[[#This Row],[FECHA DE FACTURACIÓN]])</f>
        <v>2023</v>
      </c>
      <c r="W939" s="98">
        <f>+MATCH(PROVEEDORES[[#This Row],[año facturado]],Retenciones!$1:$1,0)</f>
        <v>6</v>
      </c>
      <c r="X939" s="99">
        <f>+VLOOKUP(PROVEEDORES[[#This Row],[ID RETENCION]],Retenciones!$A$1:$O$25,PROVEEDORES[[#This Row],[indicador de columna]],FALSE)</f>
        <v>1145000</v>
      </c>
      <c r="Y939" s="100">
        <f>+VLOOKUP(PROVEEDORES[[#This Row],[ID RETENCION]],Retenciones!$A$1:$O$25,2,FALSE)</f>
        <v>2.5000000000000001E-2</v>
      </c>
      <c r="Z939" s="103" t="b">
        <f>OR(COUNTIF(PROVEEDORES[[#This Row],[PROVEEDOR]],"*"&amp;'Palabra no opera'!$A$2&amp;"*"))</f>
        <v>0</v>
      </c>
    </row>
    <row r="940" spans="1:26" ht="22.35" customHeight="1" x14ac:dyDescent="0.25">
      <c r="A940" s="192" t="str">
        <f>+IF(PROVEEDORES[[#This Row],[FECHA DE PAGO]]=PROVEEDORES[[#This Row],[FECHA DE FACTURACIÓN]],"DE CONTADO","CRÉDITO")</f>
        <v>CRÉDITO</v>
      </c>
      <c r="B940" s="38" t="str">
        <f>+IF((PROVEEDORES[[#This Row],[FECHA DE PAGO]]-PROVEEDORES[[#This Row],[FECHA DE FACTURACIÓN]])&gt;PROVEEDORES[[#This Row],[PLAZO Días]],"PAGO VENCIDO")</f>
        <v>PAGO VENCIDO</v>
      </c>
      <c r="C940" s="20">
        <f>+VLOOKUP(PROVEEDORES[[#This Row],[PROVEEDOR]],TERCEROS_INFO[#All],2,FALSE)</f>
        <v>30</v>
      </c>
      <c r="D940" s="25">
        <f>+SUMIFS(PROVEEDORES[Total],PROVEEDORES[PROVEEDOR],PROVEEDORES[[#This Row],[PROVEEDOR]],PROVEEDORES[FECHA DE PAGO],"")</f>
        <v>1499400</v>
      </c>
      <c r="E940" s="25"/>
      <c r="F94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0" s="289">
        <v>45082</v>
      </c>
      <c r="H940" s="26" t="s">
        <v>490</v>
      </c>
      <c r="I940" s="289">
        <v>45034</v>
      </c>
      <c r="J940" s="35" t="s">
        <v>787</v>
      </c>
      <c r="K940" s="21">
        <v>436000</v>
      </c>
      <c r="L940" s="21"/>
      <c r="M940" s="22">
        <f>(PROVEEDORES[[#This Row],[SUBTOTAL]]-PROVEEDORES[[#This Row],[descuento sobre subtotal]])*VLOOKUP(PROVEEDORES[[#This Row],[PROVEEDOR]],TERCEROS_INFO[#All],3,FALSE)</f>
        <v>82840</v>
      </c>
      <c r="N940" s="23"/>
      <c r="O940" s="22">
        <f>+PROVEEDORES[[#This Row],[Descuento sobre subtotal %]]*(PROVEEDORES[[#This Row],[SUBTOTAL]]-PROVEEDORES[[#This Row],[descuento sobre subtotal]])</f>
        <v>0</v>
      </c>
      <c r="P940" s="72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518840</v>
      </c>
      <c r="S94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1">
        <f ca="1">IF(PROVEEDORES[[#This Row],[FECHA DE PAGO]]=0,TODAY()-PROVEEDORES[[#This Row],[FECHA DE FACTURACIÓN]]-PROVEEDORES[[#This Row],[PLAZO Días]],0)</f>
        <v>0</v>
      </c>
      <c r="U940" s="97" t="str">
        <f>+VLOOKUP(PROVEEDORES[[#This Row],[PROVEEDOR]],Terceros!$A:$D,4,FALSE)</f>
        <v>2,5% con base</v>
      </c>
      <c r="V940" s="98">
        <f>+YEAR(PROVEEDORES[[#This Row],[FECHA DE FACTURACIÓN]])</f>
        <v>2023</v>
      </c>
      <c r="W940" s="98">
        <f>+MATCH(PROVEEDORES[[#This Row],[año facturado]],Retenciones!$1:$1,0)</f>
        <v>6</v>
      </c>
      <c r="X940" s="99">
        <f>+VLOOKUP(PROVEEDORES[[#This Row],[ID RETENCION]],Retenciones!$A$1:$O$25,PROVEEDORES[[#This Row],[indicador de columna]],FALSE)</f>
        <v>1145000</v>
      </c>
      <c r="Y940" s="100">
        <f>+VLOOKUP(PROVEEDORES[[#This Row],[ID RETENCION]],Retenciones!$A$1:$O$25,2,FALSE)</f>
        <v>2.5000000000000001E-2</v>
      </c>
      <c r="Z940" s="103" t="b">
        <f>OR(COUNTIF(PROVEEDORES[[#This Row],[PROVEEDOR]],"*"&amp;'Palabra no opera'!$A$2&amp;"*"))</f>
        <v>0</v>
      </c>
    </row>
    <row r="941" spans="1:26" ht="22.35" customHeight="1" x14ac:dyDescent="0.25">
      <c r="A941" s="192" t="str">
        <f>+IF(PROVEEDORES[[#This Row],[FECHA DE PAGO]]=PROVEEDORES[[#This Row],[FECHA DE FACTURACIÓN]],"DE CONTADO","CRÉDITO")</f>
        <v>CRÉDITO</v>
      </c>
      <c r="B941" s="38" t="str">
        <f>+IF((PROVEEDORES[[#This Row],[FECHA DE PAGO]]-PROVEEDORES[[#This Row],[FECHA DE FACTURACIÓN]])&gt;PROVEEDORES[[#This Row],[PLAZO Días]],"PAGO VENCIDO")</f>
        <v>PAGO VENCIDO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1499400</v>
      </c>
      <c r="E941" s="25"/>
      <c r="F94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1" s="289">
        <v>45082</v>
      </c>
      <c r="H941" s="26" t="s">
        <v>490</v>
      </c>
      <c r="I941" s="289">
        <v>45036</v>
      </c>
      <c r="J941" s="35" t="s">
        <v>788</v>
      </c>
      <c r="K941" s="21">
        <v>1260000</v>
      </c>
      <c r="L941" s="21"/>
      <c r="M941" s="22">
        <f>(PROVEEDORES[[#This Row],[SUBTOTAL]]-PROVEEDORES[[#This Row],[descuento sobre subtotal]])*VLOOKUP(PROVEEDORES[[#This Row],[PROVEEDOR]],TERCEROS_INFO[#All],3,FALSE)</f>
        <v>239400</v>
      </c>
      <c r="N941" s="23"/>
      <c r="O941" s="22">
        <f>+PROVEEDORES[[#This Row],[Descuento sobre subtotal %]]*(PROVEEDORES[[#This Row],[SUBTOTAL]]-PROVEEDORES[[#This Row],[descuento sobre subtotal]])</f>
        <v>0</v>
      </c>
      <c r="P941" s="72">
        <f>+IF(PROVEEDORES[[#This Row],[SUBTOTAL]]&lt;PROVEEDORES[[#This Row],[base retencion]],0,PROVEEDORES[[#This Row],[retención aplicada]])</f>
        <v>2.5000000000000001E-2</v>
      </c>
      <c r="Q941" s="22">
        <f>+PROVEEDORES[[#This Row],[Rete Fuente %]]*(PROVEEDORES[[#This Row],[SUBTOTAL]]-PROVEEDORES[[#This Row],[descuento sobre subtotal]])</f>
        <v>31500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94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1">
        <f ca="1">IF(PROVEEDORES[[#This Row],[FECHA DE PAGO]]=0,TODAY()-PROVEEDORES[[#This Row],[FECHA DE FACTURACIÓN]]-PROVEEDORES[[#This Row],[PLAZO Días]],0)</f>
        <v>0</v>
      </c>
      <c r="U941" s="97" t="str">
        <f>+VLOOKUP(PROVEEDORES[[#This Row],[PROVEEDOR]],Terceros!$A:$D,4,FALSE)</f>
        <v>2,5% con base</v>
      </c>
      <c r="V941" s="98">
        <f>+YEAR(PROVEEDORES[[#This Row],[FECHA DE FACTURACIÓN]])</f>
        <v>2023</v>
      </c>
      <c r="W941" s="98">
        <f>+MATCH(PROVEEDORES[[#This Row],[año facturado]],Retenciones!$1:$1,0)</f>
        <v>6</v>
      </c>
      <c r="X941" s="99">
        <f>+VLOOKUP(PROVEEDORES[[#This Row],[ID RETENCION]],Retenciones!$A$1:$O$25,PROVEEDORES[[#This Row],[indicador de columna]],FALSE)</f>
        <v>1145000</v>
      </c>
      <c r="Y941" s="100">
        <f>+VLOOKUP(PROVEEDORES[[#This Row],[ID RETENCION]],Retenciones!$A$1:$O$25,2,FALSE)</f>
        <v>2.5000000000000001E-2</v>
      </c>
      <c r="Z941" s="103" t="b">
        <f>OR(COUNTIF(PROVEEDORES[[#This Row],[PROVEEDOR]],"*"&amp;'Palabra no opera'!$A$2&amp;"*"))</f>
        <v>0</v>
      </c>
    </row>
    <row r="942" spans="1:26" ht="22.35" customHeight="1" x14ac:dyDescent="0.25">
      <c r="A942" s="192" t="str">
        <f>+IF(PROVEEDORES[[#This Row],[FECHA DE PAGO]]=PROVEEDORES[[#This Row],[FECHA DE FACTURACIÓN]],"DE CONTADO","CRÉDITO")</f>
        <v>CRÉDITO</v>
      </c>
      <c r="B942" s="38" t="str">
        <f>+IF((PROVEEDORES[[#This Row],[FECHA DE PAGO]]-PROVEEDORES[[#This Row],[FECHA DE FACTURACIÓN]])&gt;PROVEEDORES[[#This Row],[PLAZO Días]],"PAGO VENCIDO")</f>
        <v>PAGO VENCIDO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1499400</v>
      </c>
      <c r="E942" s="25"/>
      <c r="F942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2" s="289">
        <v>45082</v>
      </c>
      <c r="H942" s="26" t="s">
        <v>490</v>
      </c>
      <c r="I942" s="289">
        <v>45037</v>
      </c>
      <c r="J942" s="35" t="s">
        <v>789</v>
      </c>
      <c r="K942" s="21">
        <v>436000</v>
      </c>
      <c r="L942" s="21"/>
      <c r="M942" s="22">
        <f>(PROVEEDORES[[#This Row],[SUBTOTAL]]-PROVEEDORES[[#This Row],[descuento sobre subtotal]])*VLOOKUP(PROVEEDORES[[#This Row],[PROVEEDOR]],TERCEROS_INFO[#All],3,FALSE)</f>
        <v>82840</v>
      </c>
      <c r="N942" s="23"/>
      <c r="O942" s="22">
        <f>+PROVEEDORES[[#This Row],[Descuento sobre subtotal %]]*(PROVEEDORES[[#This Row],[SUBTOTAL]]-PROVEEDORES[[#This Row],[descuento sobre subtotal]])</f>
        <v>0</v>
      </c>
      <c r="P942" s="72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f>+PROVEEDORES[[#This Row],[SUBTOTAL]]+PROVEEDORES[[#This Row],[IVA 19%]]-PROVEEDORES[[#This Row],[descuento sobre subtotal]]-PROVEEDORES[[#This Row],[Descuento sobre subtotal $2]]-PROVEEDORES[[#This Row],[Rete Fuente $]]</f>
        <v>518840</v>
      </c>
      <c r="S94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1">
        <f ca="1">IF(PROVEEDORES[[#This Row],[FECHA DE PAGO]]=0,TODAY()-PROVEEDORES[[#This Row],[FECHA DE FACTURACIÓN]]-PROVEEDORES[[#This Row],[PLAZO Días]],0)</f>
        <v>0</v>
      </c>
      <c r="U942" s="97" t="str">
        <f>+VLOOKUP(PROVEEDORES[[#This Row],[PROVEEDOR]],Terceros!$A:$D,4,FALSE)</f>
        <v>2,5% con base</v>
      </c>
      <c r="V942" s="98">
        <f>+YEAR(PROVEEDORES[[#This Row],[FECHA DE FACTURACIÓN]])</f>
        <v>2023</v>
      </c>
      <c r="W942" s="98">
        <f>+MATCH(PROVEEDORES[[#This Row],[año facturado]],Retenciones!$1:$1,0)</f>
        <v>6</v>
      </c>
      <c r="X942" s="99">
        <f>+VLOOKUP(PROVEEDORES[[#This Row],[ID RETENCION]],Retenciones!$A$1:$O$25,PROVEEDORES[[#This Row],[indicador de columna]],FALSE)</f>
        <v>1145000</v>
      </c>
      <c r="Y942" s="100">
        <f>+VLOOKUP(PROVEEDORES[[#This Row],[ID RETENCION]],Retenciones!$A$1:$O$25,2,FALSE)</f>
        <v>2.5000000000000001E-2</v>
      </c>
      <c r="Z942" s="103" t="b">
        <f>OR(COUNTIF(PROVEEDORES[[#This Row],[PROVEEDOR]],"*"&amp;'Palabra no opera'!$A$2&amp;"*"))</f>
        <v>0</v>
      </c>
    </row>
    <row r="943" spans="1:26" ht="22.35" customHeight="1" x14ac:dyDescent="0.25">
      <c r="A943" s="192" t="str">
        <f>+IF(PROVEEDORES[[#This Row],[FECHA DE PAGO]]=PROVEEDORES[[#This Row],[FECHA DE FACTURACIÓN]],"DE CONTADO","CRÉDITO")</f>
        <v>CRÉDITO</v>
      </c>
      <c r="B943" s="38" t="str">
        <f>+IF((PROVEEDORES[[#This Row],[FECHA DE PAGO]]-PROVEEDORES[[#This Row],[FECHA DE FACTURACIÓN]])&gt;PROVEEDORES[[#This Row],[PLAZO Días]],"PAGO VENCIDO")</f>
        <v>PAGO VENCIDO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1499400</v>
      </c>
      <c r="E943" s="25"/>
      <c r="F94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3" s="289">
        <v>45082</v>
      </c>
      <c r="H943" s="26" t="s">
        <v>490</v>
      </c>
      <c r="I943" s="289">
        <v>45041</v>
      </c>
      <c r="J943" s="35" t="s">
        <v>786</v>
      </c>
      <c r="K943" s="21">
        <v>756000</v>
      </c>
      <c r="L943" s="21"/>
      <c r="M943" s="22">
        <v>143640</v>
      </c>
      <c r="N943" s="23"/>
      <c r="O943" s="22">
        <f>+PROVEEDORES[[#This Row],[Descuento sobre subtotal %]]*(PROVEEDORES[[#This Row],[SUBTOTAL]]-PROVEEDORES[[#This Row],[descuento sobre subtotal]])</f>
        <v>0</v>
      </c>
      <c r="P943" s="72">
        <f>+IF(PROVEEDORES[[#This Row],[SUBTOTAL]]&lt;PROVEEDORES[[#This Row],[base retencion]],0,PROVEEDORES[[#This Row],[retención aplicada]])</f>
        <v>0</v>
      </c>
      <c r="Q943" s="22">
        <f>+PROVEEDORES[[#This Row],[Rete Fuente %]]*(PROVEEDORES[[#This Row],[SUBTOTAL]]-PROVEEDORES[[#This Row],[descuento sobre subtotal]])</f>
        <v>0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94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1">
        <f ca="1">IF(PROVEEDORES[[#This Row],[FECHA DE PAGO]]=0,TODAY()-PROVEEDORES[[#This Row],[FECHA DE FACTURACIÓN]]-PROVEEDORES[[#This Row],[PLAZO Días]],0)</f>
        <v>0</v>
      </c>
      <c r="U943" s="97" t="str">
        <f>+VLOOKUP(PROVEEDORES[[#This Row],[PROVEEDOR]],Terceros!$A:$D,4,FALSE)</f>
        <v>2,5% con base</v>
      </c>
      <c r="V943" s="98">
        <f>+YEAR(PROVEEDORES[[#This Row],[FECHA DE FACTURACIÓN]])</f>
        <v>2023</v>
      </c>
      <c r="W943" s="98">
        <f>+MATCH(PROVEEDORES[[#This Row],[año facturado]],Retenciones!$1:$1,0)</f>
        <v>6</v>
      </c>
      <c r="X943" s="99">
        <f>+VLOOKUP(PROVEEDORES[[#This Row],[ID RETENCION]],Retenciones!$A$1:$O$25,PROVEEDORES[[#This Row],[indicador de columna]],FALSE)</f>
        <v>1145000</v>
      </c>
      <c r="Y943" s="100">
        <f>+VLOOKUP(PROVEEDORES[[#This Row],[ID RETENCION]],Retenciones!$A$1:$O$25,2,FALSE)</f>
        <v>2.5000000000000001E-2</v>
      </c>
      <c r="Z943" s="103" t="b">
        <f>OR(COUNTIF(PROVEEDORES[[#This Row],[PROVEEDOR]],"*"&amp;'Palabra no opera'!$A$2&amp;"*"))</f>
        <v>0</v>
      </c>
    </row>
    <row r="944" spans="1:26" ht="22.35" customHeight="1" x14ac:dyDescent="0.25">
      <c r="A944" s="192" t="str">
        <f>+IF(PROVEEDORES[[#This Row],[FECHA DE PAGO]]=PROVEEDORES[[#This Row],[FECHA DE FACTURACIÓN]],"DE CONTADO","CRÉDITO")</f>
        <v>CRÉDITO</v>
      </c>
      <c r="B944" s="38" t="str">
        <f>+IF((PROVEEDORES[[#This Row],[FECHA DE PAGO]]-PROVEEDORES[[#This Row],[FECHA DE FACTURACIÓN]])&gt;PROVEEDORES[[#This Row],[PLAZO Días]],"PAGO VENCIDO")</f>
        <v>PAGO VENCIDO</v>
      </c>
      <c r="C944" s="20">
        <f>+VLOOKUP(PROVEEDORES[[#This Row],[PROVEEDOR]],TERCEROS_INFO[#All],2,FALSE)</f>
        <v>30</v>
      </c>
      <c r="D944" s="25">
        <f>+SUMIFS(PROVEEDORES[Total],PROVEEDORES[PROVEEDOR],PROVEEDORES[[#This Row],[PROVEEDOR]],PROVEEDORES[FECHA DE PAGO],"")</f>
        <v>1499400</v>
      </c>
      <c r="E944" s="25"/>
      <c r="F94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4" s="289">
        <v>45082</v>
      </c>
      <c r="H944" s="26" t="s">
        <v>490</v>
      </c>
      <c r="I944" s="289">
        <v>45043</v>
      </c>
      <c r="J944" s="35" t="s">
        <v>797</v>
      </c>
      <c r="K944" s="21">
        <v>2562355</v>
      </c>
      <c r="L944" s="21">
        <v>158335</v>
      </c>
      <c r="M944" s="22">
        <f>(PROVEEDORES[[#This Row],[SUBTOTAL]]-PROVEEDORES[[#This Row],[descuento sobre subtotal]])*VLOOKUP(PROVEEDORES[[#This Row],[PROVEEDOR]],TERCEROS_INFO[#All],3,FALSE)</f>
        <v>456763.8</v>
      </c>
      <c r="N944" s="23"/>
      <c r="O944" s="22">
        <f>+PROVEEDORES[[#This Row],[Descuento sobre subtotal %]]*(PROVEEDORES[[#This Row],[SUBTOTAL]]-PROVEEDORES[[#This Row],[descuento sobre subtotal]])</f>
        <v>0</v>
      </c>
      <c r="P944" s="72">
        <f>+IF(PROVEEDORES[[#This Row],[SUBTOTAL]]&lt;PROVEEDORES[[#This Row],[base retencion]],0,PROVEEDORES[[#This Row],[retención aplicada]])</f>
        <v>2.5000000000000001E-2</v>
      </c>
      <c r="Q944" s="22">
        <f>+PROVEEDORES[[#This Row],[Rete Fuente %]]*(PROVEEDORES[[#This Row],[SUBTOTAL]]-PROVEEDORES[[#This Row],[descuento sobre subtotal]])</f>
        <v>60100.5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2800683.3</v>
      </c>
      <c r="S94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1">
        <f ca="1">IF(PROVEEDORES[[#This Row],[FECHA DE PAGO]]=0,TODAY()-PROVEEDORES[[#This Row],[FECHA DE FACTURACIÓN]]-PROVEEDORES[[#This Row],[PLAZO Días]],0)</f>
        <v>0</v>
      </c>
      <c r="U944" s="97" t="str">
        <f>+VLOOKUP(PROVEEDORES[[#This Row],[PROVEEDOR]],Terceros!$A:$D,4,FALSE)</f>
        <v>2,5% con base</v>
      </c>
      <c r="V944" s="98">
        <f>+YEAR(PROVEEDORES[[#This Row],[FECHA DE FACTURACIÓN]])</f>
        <v>2023</v>
      </c>
      <c r="W944" s="98">
        <f>+MATCH(PROVEEDORES[[#This Row],[año facturado]],Retenciones!$1:$1,0)</f>
        <v>6</v>
      </c>
      <c r="X944" s="99">
        <f>+VLOOKUP(PROVEEDORES[[#This Row],[ID RETENCION]],Retenciones!$A$1:$O$25,PROVEEDORES[[#This Row],[indicador de columna]],FALSE)</f>
        <v>1145000</v>
      </c>
      <c r="Y944" s="100">
        <f>+VLOOKUP(PROVEEDORES[[#This Row],[ID RETENCION]],Retenciones!$A$1:$O$25,2,FALSE)</f>
        <v>2.5000000000000001E-2</v>
      </c>
      <c r="Z944" s="103" t="b">
        <f>OR(COUNTIF(PROVEEDORES[[#This Row],[PROVEEDOR]],"*"&amp;'Palabra no opera'!$A$2&amp;"*"))</f>
        <v>0</v>
      </c>
    </row>
    <row r="945" spans="1:26" ht="22.35" customHeight="1" x14ac:dyDescent="0.25">
      <c r="A945" s="198" t="str">
        <f>+IF(PROVEEDORES[[#This Row],[FECHA DE PAGO]]=PROVEEDORES[[#This Row],[FECHA DE FACTURACIÓN]],"DE CONTADO","CRÉDITO")</f>
        <v>CRÉDITO</v>
      </c>
      <c r="B945" s="38" t="str">
        <f>+IF((PROVEEDORES[[#This Row],[FECHA DE PAGO]]-PROVEEDORES[[#This Row],[FECHA DE FACTURACIÓN]])&gt;PROVEEDORES[[#This Row],[PLAZO Días]],"PAGO VENCIDO")</f>
        <v>PAGO VENCIDO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1499400</v>
      </c>
      <c r="E945" s="25"/>
      <c r="F94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5" s="289">
        <v>45128</v>
      </c>
      <c r="H945" s="26" t="s">
        <v>490</v>
      </c>
      <c r="I945" s="289">
        <v>45072</v>
      </c>
      <c r="J945" s="35" t="s">
        <v>859</v>
      </c>
      <c r="K945" s="21">
        <v>470000</v>
      </c>
      <c r="L945" s="21"/>
      <c r="M945" s="22">
        <f>(PROVEEDORES[[#This Row],[SUBTOTAL]]-PROVEEDORES[[#This Row],[descuento sobre subtotal]])*VLOOKUP(PROVEEDORES[[#This Row],[PROVEEDOR]],TERCEROS_INFO[#All],3,FALSE)</f>
        <v>89300</v>
      </c>
      <c r="N945" s="23"/>
      <c r="O945" s="22">
        <f>+PROVEEDORES[[#This Row],[Descuento sobre subtotal %]]*(PROVEEDORES[[#This Row],[SUBTOTAL]]-PROVEEDORES[[#This Row],[descuento sobre subtotal]])</f>
        <v>0</v>
      </c>
      <c r="P945" s="72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559300</v>
      </c>
      <c r="S945" s="19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1">
        <f ca="1">IF(PROVEEDORES[[#This Row],[FECHA DE PAGO]]=0,TODAY()-PROVEEDORES[[#This Row],[FECHA DE FACTURACIÓN]]-PROVEEDORES[[#This Row],[PLAZO Días]],0)</f>
        <v>0</v>
      </c>
      <c r="U945" s="97" t="str">
        <f>+VLOOKUP(PROVEEDORES[[#This Row],[PROVEEDOR]],Terceros!$A:$D,4,FALSE)</f>
        <v>2,5% con base</v>
      </c>
      <c r="V945" s="98">
        <f>+YEAR(PROVEEDORES[[#This Row],[FECHA DE FACTURACIÓN]])</f>
        <v>2023</v>
      </c>
      <c r="W945" s="98">
        <f>+MATCH(PROVEEDORES[[#This Row],[año facturado]],Retenciones!$1:$1,0)</f>
        <v>6</v>
      </c>
      <c r="X945" s="99">
        <f>+VLOOKUP(PROVEEDORES[[#This Row],[ID RETENCION]],Retenciones!$A$1:$O$25,PROVEEDORES[[#This Row],[indicador de columna]],FALSE)</f>
        <v>1145000</v>
      </c>
      <c r="Y945" s="100">
        <f>+VLOOKUP(PROVEEDORES[[#This Row],[ID RETENCION]],Retenciones!$A$1:$O$25,2,FALSE)</f>
        <v>2.5000000000000001E-2</v>
      </c>
      <c r="Z945" s="103" t="b">
        <f>OR(COUNTIF(PROVEEDORES[[#This Row],[PROVEEDOR]],"*"&amp;'Palabra no opera'!$A$2&amp;"*"))</f>
        <v>0</v>
      </c>
    </row>
    <row r="946" spans="1:26" ht="22.35" customHeight="1" x14ac:dyDescent="0.25">
      <c r="A946" s="205" t="str">
        <f>+IF(PROVEEDORES[[#This Row],[FECHA DE PAGO]]=PROVEEDORES[[#This Row],[FECHA DE FACTURACIÓN]],"DE CONTADO","CRÉDITO")</f>
        <v>CRÉDITO</v>
      </c>
      <c r="B946" s="38" t="str">
        <f>+IF((PROVEEDORES[[#This Row],[FECHA DE PAGO]]-PROVEEDORES[[#This Row],[FECHA DE FACTURACIÓN]])&gt;PROVEEDORES[[#This Row],[PLAZO Días]],"PAGO VENCIDO")</f>
        <v>PAGO VENCIDO</v>
      </c>
      <c r="C946" s="20">
        <f>+VLOOKUP(PROVEEDORES[[#This Row],[PROVEEDOR]],TERCEROS_INFO[#All],2,FALSE)</f>
        <v>30</v>
      </c>
      <c r="D946" s="25">
        <f>+SUMIFS(PROVEEDORES[Total],PROVEEDORES[PROVEEDOR],PROVEEDORES[[#This Row],[PROVEEDOR]],PROVEEDORES[FECHA DE PAGO],"")</f>
        <v>1499400</v>
      </c>
      <c r="E946" s="25"/>
      <c r="F94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6" s="289">
        <v>45128</v>
      </c>
      <c r="H946" s="26" t="s">
        <v>490</v>
      </c>
      <c r="I946" s="289">
        <v>45090</v>
      </c>
      <c r="J946" s="35" t="s">
        <v>896</v>
      </c>
      <c r="K946" s="21">
        <v>2058355</v>
      </c>
      <c r="L946" s="21">
        <v>158335</v>
      </c>
      <c r="M946" s="22">
        <f>(PROVEEDORES[[#This Row],[SUBTOTAL]]-PROVEEDORES[[#This Row],[descuento sobre subtotal]])*VLOOKUP(PROVEEDORES[[#This Row],[PROVEEDOR]],TERCEROS_INFO[#All],3,FALSE)</f>
        <v>361003.8</v>
      </c>
      <c r="N946" s="23"/>
      <c r="O946" s="22">
        <f>+PROVEEDORES[[#This Row],[Descuento sobre subtotal %]]*(PROVEEDORES[[#This Row],[SUBTOTAL]]-PROVEEDORES[[#This Row],[descuento sobre subtotal]])</f>
        <v>0</v>
      </c>
      <c r="P946" s="72">
        <f>+IF(PROVEEDORES[[#This Row],[SUBTOTAL]]&lt;PROVEEDORES[[#This Row],[base retencion]],0,PROVEEDORES[[#This Row],[retención aplicada]])</f>
        <v>2.5000000000000001E-2</v>
      </c>
      <c r="Q946" s="22">
        <f>+PROVEEDORES[[#This Row],[Rete Fuente %]]*(PROVEEDORES[[#This Row],[SUBTOTAL]]-PROVEEDORES[[#This Row],[descuento sobre subtotal]])</f>
        <v>47500.5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2213523.2999999998</v>
      </c>
      <c r="S946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1">
        <f ca="1">IF(PROVEEDORES[[#This Row],[FECHA DE PAGO]]=0,TODAY()-PROVEEDORES[[#This Row],[FECHA DE FACTURACIÓN]]-PROVEEDORES[[#This Row],[PLAZO Días]],0)</f>
        <v>0</v>
      </c>
      <c r="U946" s="97" t="str">
        <f>+VLOOKUP(PROVEEDORES[[#This Row],[PROVEEDOR]],Terceros!$A:$D,4,FALSE)</f>
        <v>2,5% con base</v>
      </c>
      <c r="V946" s="98">
        <f>+YEAR(PROVEEDORES[[#This Row],[FECHA DE FACTURACIÓN]])</f>
        <v>2023</v>
      </c>
      <c r="W946" s="98">
        <f>+MATCH(PROVEEDORES[[#This Row],[año facturado]],Retenciones!$1:$1,0)</f>
        <v>6</v>
      </c>
      <c r="X946" s="99">
        <f>+VLOOKUP(PROVEEDORES[[#This Row],[ID RETENCION]],Retenciones!$A$1:$O$25,PROVEEDORES[[#This Row],[indicador de columna]],FALSE)</f>
        <v>1145000</v>
      </c>
      <c r="Y946" s="100">
        <f>+VLOOKUP(PROVEEDORES[[#This Row],[ID RETENCION]],Retenciones!$A$1:$O$25,2,FALSE)</f>
        <v>2.5000000000000001E-2</v>
      </c>
      <c r="Z946" s="103" t="b">
        <f>OR(COUNTIF(PROVEEDORES[[#This Row],[PROVEEDOR]],"*"&amp;'Palabra no opera'!$A$2&amp;"*"))</f>
        <v>0</v>
      </c>
    </row>
    <row r="947" spans="1:26" ht="22.35" customHeight="1" x14ac:dyDescent="0.25">
      <c r="A947" s="205" t="str">
        <f>+IF(PROVEEDORES[[#This Row],[FECHA DE PAGO]]=PROVEEDORES[[#This Row],[FECHA DE FACTURACIÓN]],"DE CONTADO","CRÉDITO")</f>
        <v>CRÉDITO</v>
      </c>
      <c r="B947" s="38" t="str">
        <f>+IF((PROVEEDORES[[#This Row],[FECHA DE PAGO]]-PROVEEDORES[[#This Row],[FECHA DE FACTURACIÓN]])&gt;PROVEEDORES[[#This Row],[PLAZO Días]],"PAGO VENCIDO")</f>
        <v>PAGO VENCIDO</v>
      </c>
      <c r="C947" s="20">
        <f>+VLOOKUP(PROVEEDORES[[#This Row],[PROVEEDOR]],TERCEROS_INFO[#All],2,FALSE)</f>
        <v>30</v>
      </c>
      <c r="D947" s="25">
        <f>+SUMIFS(PROVEEDORES[Total],PROVEEDORES[PROVEEDOR],PROVEEDORES[[#This Row],[PROVEEDOR]],PROVEEDORES[FECHA DE PAGO],"")</f>
        <v>1499400</v>
      </c>
      <c r="E947" s="25"/>
      <c r="F94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7" s="289">
        <v>45128</v>
      </c>
      <c r="H947" s="26" t="s">
        <v>490</v>
      </c>
      <c r="I947" s="289">
        <v>45093</v>
      </c>
      <c r="J947" s="35" t="s">
        <v>897</v>
      </c>
      <c r="K947" s="21">
        <v>1260000</v>
      </c>
      <c r="L947" s="21"/>
      <c r="M947" s="22">
        <f>(PROVEEDORES[[#This Row],[SUBTOTAL]]-PROVEEDORES[[#This Row],[descuento sobre subtotal]])*VLOOKUP(PROVEEDORES[[#This Row],[PROVEEDOR]],TERCEROS_INFO[#All],3,FALSE)</f>
        <v>239400</v>
      </c>
      <c r="N947" s="23"/>
      <c r="O947" s="22">
        <f>+PROVEEDORES[[#This Row],[Descuento sobre subtotal %]]*(PROVEEDORES[[#This Row],[SUBTOTAL]]-PROVEEDORES[[#This Row],[descuento sobre subtotal]])</f>
        <v>0</v>
      </c>
      <c r="P947" s="72">
        <f>+IF(PROVEEDORES[[#This Row],[SUBTOTAL]]&lt;PROVEEDORES[[#This Row],[base retencion]],0,PROVEEDORES[[#This Row],[retención aplicada]])</f>
        <v>2.5000000000000001E-2</v>
      </c>
      <c r="Q947" s="22">
        <f>+PROVEEDORES[[#This Row],[Rete Fuente %]]*(PROVEEDORES[[#This Row],[SUBTOTAL]]-PROVEEDORES[[#This Row],[descuento sobre subtotal]])</f>
        <v>31500</v>
      </c>
      <c r="R947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947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1">
        <f ca="1">IF(PROVEEDORES[[#This Row],[FECHA DE PAGO]]=0,TODAY()-PROVEEDORES[[#This Row],[FECHA DE FACTURACIÓN]]-PROVEEDORES[[#This Row],[PLAZO Días]],0)</f>
        <v>0</v>
      </c>
      <c r="U947" s="97" t="str">
        <f>+VLOOKUP(PROVEEDORES[[#This Row],[PROVEEDOR]],Terceros!$A:$D,4,FALSE)</f>
        <v>2,5% con base</v>
      </c>
      <c r="V947" s="98">
        <f>+YEAR(PROVEEDORES[[#This Row],[FECHA DE FACTURACIÓN]])</f>
        <v>2023</v>
      </c>
      <c r="W947" s="98">
        <f>+MATCH(PROVEEDORES[[#This Row],[año facturado]],Retenciones!$1:$1,0)</f>
        <v>6</v>
      </c>
      <c r="X947" s="99">
        <f>+VLOOKUP(PROVEEDORES[[#This Row],[ID RETENCION]],Retenciones!$A$1:$O$25,PROVEEDORES[[#This Row],[indicador de columna]],FALSE)</f>
        <v>1145000</v>
      </c>
      <c r="Y947" s="100">
        <f>+VLOOKUP(PROVEEDORES[[#This Row],[ID RETENCION]],Retenciones!$A$1:$O$25,2,FALSE)</f>
        <v>2.5000000000000001E-2</v>
      </c>
      <c r="Z947" s="103" t="b">
        <f>OR(COUNTIF(PROVEEDORES[[#This Row],[PROVEEDOR]],"*"&amp;'Palabra no opera'!$A$2&amp;"*"))</f>
        <v>0</v>
      </c>
    </row>
    <row r="948" spans="1:26" ht="22.35" customHeight="1" x14ac:dyDescent="0.25">
      <c r="A948" s="205" t="str">
        <f>+IF(PROVEEDORES[[#This Row],[FECHA DE PAGO]]=PROVEEDORES[[#This Row],[FECHA DE FACTURACIÓN]],"DE CONTADO","CRÉDITO")</f>
        <v>CRÉDITO</v>
      </c>
      <c r="B948" s="38" t="str">
        <f>+IF((PROVEEDORES[[#This Row],[FECHA DE PAGO]]-PROVEEDORES[[#This Row],[FECHA DE FACTURACIÓN]])&gt;PROVEEDORES[[#This Row],[PLAZO Días]],"PAGO VENCIDO")</f>
        <v>PAGO VENCIDO</v>
      </c>
      <c r="C948" s="20">
        <f>+VLOOKUP(PROVEEDORES[[#This Row],[PROVEEDOR]],TERCEROS_INFO[#All],2,FALSE)</f>
        <v>30</v>
      </c>
      <c r="D948" s="25">
        <f>+SUMIFS(PROVEEDORES[Total],PROVEEDORES[PROVEEDOR],PROVEEDORES[[#This Row],[PROVEEDOR]],PROVEEDORES[FECHA DE PAGO],"")</f>
        <v>1499400</v>
      </c>
      <c r="E948" s="25"/>
      <c r="F94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8" s="289">
        <v>45128</v>
      </c>
      <c r="H948" s="26" t="s">
        <v>490</v>
      </c>
      <c r="I948" s="289">
        <v>45093</v>
      </c>
      <c r="J948" s="35" t="s">
        <v>898</v>
      </c>
      <c r="K948" s="21">
        <v>776000</v>
      </c>
      <c r="L948" s="21"/>
      <c r="M948" s="22">
        <f>(PROVEEDORES[[#This Row],[SUBTOTAL]]-PROVEEDORES[[#This Row],[descuento sobre subtotal]])*VLOOKUP(PROVEEDORES[[#This Row],[PROVEEDOR]],TERCEROS_INFO[#All],3,FALSE)</f>
        <v>147440</v>
      </c>
      <c r="N948" s="23"/>
      <c r="O948" s="22">
        <f>+PROVEEDORES[[#This Row],[Descuento sobre subtotal %]]*(PROVEEDORES[[#This Row],[SUBTOTAL]]-PROVEEDORES[[#This Row],[descuento sobre subtotal]])</f>
        <v>0</v>
      </c>
      <c r="P948" s="72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f>+PROVEEDORES[[#This Row],[SUBTOTAL]]+PROVEEDORES[[#This Row],[IVA 19%]]-PROVEEDORES[[#This Row],[descuento sobre subtotal]]-PROVEEDORES[[#This Row],[Descuento sobre subtotal $2]]-PROVEEDORES[[#This Row],[Rete Fuente $]]</f>
        <v>923440</v>
      </c>
      <c r="S948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1">
        <f ca="1">IF(PROVEEDORES[[#This Row],[FECHA DE PAGO]]=0,TODAY()-PROVEEDORES[[#This Row],[FECHA DE FACTURACIÓN]]-PROVEEDORES[[#This Row],[PLAZO Días]],0)</f>
        <v>0</v>
      </c>
      <c r="U948" s="97" t="str">
        <f>+VLOOKUP(PROVEEDORES[[#This Row],[PROVEEDOR]],Terceros!$A:$D,4,FALSE)</f>
        <v>2,5% con base</v>
      </c>
      <c r="V948" s="98">
        <f>+YEAR(PROVEEDORES[[#This Row],[FECHA DE FACTURACIÓN]])</f>
        <v>2023</v>
      </c>
      <c r="W948" s="98">
        <f>+MATCH(PROVEEDORES[[#This Row],[año facturado]],Retenciones!$1:$1,0)</f>
        <v>6</v>
      </c>
      <c r="X948" s="99">
        <f>+VLOOKUP(PROVEEDORES[[#This Row],[ID RETENCION]],Retenciones!$A$1:$O$25,PROVEEDORES[[#This Row],[indicador de columna]],FALSE)</f>
        <v>1145000</v>
      </c>
      <c r="Y948" s="100">
        <f>+VLOOKUP(PROVEEDORES[[#This Row],[ID RETENCION]],Retenciones!$A$1:$O$25,2,FALSE)</f>
        <v>2.5000000000000001E-2</v>
      </c>
      <c r="Z948" s="103" t="b">
        <f>OR(COUNTIF(PROVEEDORES[[#This Row],[PROVEEDOR]],"*"&amp;'Palabra no opera'!$A$2&amp;"*"))</f>
        <v>0</v>
      </c>
    </row>
    <row r="949" spans="1:26" ht="22.35" customHeight="1" x14ac:dyDescent="0.25">
      <c r="A949" s="65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30</v>
      </c>
      <c r="D949" s="25">
        <f>+SUMIFS(PROVEEDORES[Total],PROVEEDORES[PROVEEDOR],PROVEEDORES[[#This Row],[PROVEEDOR]],PROVEEDORES[FECHA DE PAGO],"")</f>
        <v>1499400</v>
      </c>
      <c r="E949" s="25"/>
      <c r="F94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49" s="289">
        <v>45128</v>
      </c>
      <c r="H949" s="26" t="s">
        <v>490</v>
      </c>
      <c r="I949" s="289">
        <v>45100</v>
      </c>
      <c r="J949" s="35" t="s">
        <v>926</v>
      </c>
      <c r="K949" s="21">
        <v>252000</v>
      </c>
      <c r="L949" s="21"/>
      <c r="M949" s="22">
        <f>(PROVEEDORES[[#This Row],[SUBTOTAL]]-PROVEEDORES[[#This Row],[descuento sobre subtotal]])*VLOOKUP(PROVEEDORES[[#This Row],[PROVEEDOR]],TERCEROS_INFO[#All],3,FALSE)</f>
        <v>47880</v>
      </c>
      <c r="N949" s="23"/>
      <c r="O949" s="22">
        <f>+PROVEEDORES[[#This Row],[Descuento sobre subtotal %]]*(PROVEEDORES[[#This Row],[SUBTOTAL]]-PROVEEDORES[[#This Row],[descuento sobre subtotal]])</f>
        <v>0</v>
      </c>
      <c r="P949" s="72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f>+PROVEEDORES[[#This Row],[SUBTOTAL]]+PROVEEDORES[[#This Row],[IVA 19%]]-PROVEEDORES[[#This Row],[descuento sobre subtotal]]-PROVEEDORES[[#This Row],[Descuento sobre subtotal $2]]-PROVEEDORES[[#This Row],[Rete Fuente $]]</f>
        <v>299880</v>
      </c>
      <c r="S94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1">
        <f ca="1">IF(PROVEEDORES[[#This Row],[FECHA DE PAGO]]=0,TODAY()-PROVEEDORES[[#This Row],[FECHA DE FACTURACIÓN]]-PROVEEDORES[[#This Row],[PLAZO Días]],0)</f>
        <v>0</v>
      </c>
      <c r="U949" s="97" t="str">
        <f>+VLOOKUP(PROVEEDORES[[#This Row],[PROVEEDOR]],Terceros!$A:$D,4,FALSE)</f>
        <v>2,5% con base</v>
      </c>
      <c r="V949" s="98">
        <f>+YEAR(PROVEEDORES[[#This Row],[FECHA DE FACTURACIÓN]])</f>
        <v>2023</v>
      </c>
      <c r="W949" s="98">
        <f>+MATCH(PROVEEDORES[[#This Row],[año facturado]],Retenciones!$1:$1,0)</f>
        <v>6</v>
      </c>
      <c r="X949" s="99">
        <f>+VLOOKUP(PROVEEDORES[[#This Row],[ID RETENCION]],Retenciones!$A$1:$O$25,PROVEEDORES[[#This Row],[indicador de columna]],FALSE)</f>
        <v>1145000</v>
      </c>
      <c r="Y949" s="100">
        <f>+VLOOKUP(PROVEEDORES[[#This Row],[ID RETENCION]],Retenciones!$A$1:$O$25,2,FALSE)</f>
        <v>2.5000000000000001E-2</v>
      </c>
      <c r="Z949" s="103" t="b">
        <f>OR(COUNTIF(PROVEEDORES[[#This Row],[PROVEEDOR]],"*"&amp;'Palabra no opera'!$A$2&amp;"*"))</f>
        <v>0</v>
      </c>
    </row>
    <row r="950" spans="1:26" ht="22.35" customHeight="1" x14ac:dyDescent="0.25">
      <c r="A950" s="213" t="str">
        <f>+IF(PROVEEDORES[[#This Row],[FECHA DE PAGO]]=PROVEEDORES[[#This Row],[FECHA DE FACTURACIÓN]],"DE CONTADO","CRÉDITO")</f>
        <v>CRÉDITO</v>
      </c>
      <c r="B950" s="38" t="str">
        <f>+IF((PROVEEDORES[[#This Row],[FECHA DE PAGO]]-PROVEEDORES[[#This Row],[FECHA DE FACTURACIÓN]])&gt;PROVEEDORES[[#This Row],[PLAZO Días]],"PAGO VENCIDO")</f>
        <v>PAGO VENCIDO</v>
      </c>
      <c r="C950" s="20">
        <f>+VLOOKUP(PROVEEDORES[[#This Row],[PROVEEDOR]],TERCEROS_INFO[#All],2,FALSE)</f>
        <v>30</v>
      </c>
      <c r="D950" s="25">
        <f>+SUMIFS(PROVEEDORES[Total],PROVEEDORES[PROVEEDOR],PROVEEDORES[[#This Row],[PROVEEDOR]],PROVEEDORES[FECHA DE PAGO],"")</f>
        <v>1499400</v>
      </c>
      <c r="E950" s="25"/>
      <c r="F950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0" s="289">
        <v>45194</v>
      </c>
      <c r="H950" s="26" t="s">
        <v>490</v>
      </c>
      <c r="I950" s="289">
        <v>45124</v>
      </c>
      <c r="J950" s="35" t="s">
        <v>963</v>
      </c>
      <c r="K950" s="21">
        <v>925000</v>
      </c>
      <c r="L950" s="21"/>
      <c r="M950" s="22">
        <f>(PROVEEDORES[[#This Row],[SUBTOTAL]]-PROVEEDORES[[#This Row],[descuento sobre subtotal]])*VLOOKUP(PROVEEDORES[[#This Row],[PROVEEDOR]],TERCEROS_INFO[#All],3,FALSE)</f>
        <v>175750</v>
      </c>
      <c r="N950" s="23"/>
      <c r="O950" s="22">
        <f>+PROVEEDORES[[#This Row],[Descuento sobre subtotal %]]*(PROVEEDORES[[#This Row],[SUBTOTAL]]-PROVEEDORES[[#This Row],[descuento sobre subtotal]])</f>
        <v>0</v>
      </c>
      <c r="P950" s="72">
        <f>+IF(PROVEEDORES[[#This Row],[SUBTOTAL]]&lt;PROVEEDORES[[#This Row],[base retencion]],0,PROVEEDORES[[#This Row],[retención aplicada]])</f>
        <v>0</v>
      </c>
      <c r="Q950" s="22">
        <f>+PROVEEDORES[[#This Row],[Rete Fuente %]]*(PROVEEDORES[[#This Row],[SUBTOTAL]]-PROVEEDORES[[#This Row],[descuento sobre subtotal]])</f>
        <v>0</v>
      </c>
      <c r="R950" s="21">
        <f>+PROVEEDORES[[#This Row],[SUBTOTAL]]+PROVEEDORES[[#This Row],[IVA 19%]]-PROVEEDORES[[#This Row],[descuento sobre subtotal]]-PROVEEDORES[[#This Row],[Descuento sobre subtotal $2]]-PROVEEDORES[[#This Row],[Rete Fuente $]]</f>
        <v>1100750</v>
      </c>
      <c r="S950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1">
        <f ca="1">IF(PROVEEDORES[[#This Row],[FECHA DE PAGO]]=0,TODAY()-PROVEEDORES[[#This Row],[FECHA DE FACTURACIÓN]]-PROVEEDORES[[#This Row],[PLAZO Días]],0)</f>
        <v>0</v>
      </c>
      <c r="U950" s="97" t="str">
        <f>+VLOOKUP(PROVEEDORES[[#This Row],[PROVEEDOR]],Terceros!$A:$D,4,FALSE)</f>
        <v>2,5% con base</v>
      </c>
      <c r="V950" s="98">
        <f>+YEAR(PROVEEDORES[[#This Row],[FECHA DE FACTURACIÓN]])</f>
        <v>2023</v>
      </c>
      <c r="W950" s="98">
        <f>+MATCH(PROVEEDORES[[#This Row],[año facturado]],Retenciones!$1:$1,0)</f>
        <v>6</v>
      </c>
      <c r="X950" s="99">
        <f>+VLOOKUP(PROVEEDORES[[#This Row],[ID RETENCION]],Retenciones!$A$1:$O$25,PROVEEDORES[[#This Row],[indicador de columna]],FALSE)</f>
        <v>1145000</v>
      </c>
      <c r="Y950" s="100">
        <f>+VLOOKUP(PROVEEDORES[[#This Row],[ID RETENCION]],Retenciones!$A$1:$O$25,2,FALSE)</f>
        <v>2.5000000000000001E-2</v>
      </c>
      <c r="Z950" s="103" t="b">
        <f>OR(COUNTIF(PROVEEDORES[[#This Row],[PROVEEDOR]],"*"&amp;'Palabra no opera'!$A$2&amp;"*"))</f>
        <v>0</v>
      </c>
    </row>
    <row r="951" spans="1:26" ht="22.35" customHeight="1" x14ac:dyDescent="0.25">
      <c r="A951" s="213" t="str">
        <f>+IF(PROVEEDORES[[#This Row],[FECHA DE PAGO]]=PROVEEDORES[[#This Row],[FECHA DE FACTURACIÓN]],"DE CONTADO","CRÉDITO")</f>
        <v>CRÉDITO</v>
      </c>
      <c r="B951" s="38" t="str">
        <f>+IF((PROVEEDORES[[#This Row],[FECHA DE PAGO]]-PROVEEDORES[[#This Row],[FECHA DE FACTURACIÓN]])&gt;PROVEEDORES[[#This Row],[PLAZO Días]],"PAGO VENCIDO")</f>
        <v>PAGO VENCIDO</v>
      </c>
      <c r="C951" s="20">
        <f>+VLOOKUP(PROVEEDORES[[#This Row],[PROVEEDOR]],TERCEROS_INFO[#All],2,FALSE)</f>
        <v>30</v>
      </c>
      <c r="D951" s="25">
        <f>+SUMIFS(PROVEEDORES[Total],PROVEEDORES[PROVEEDOR],PROVEEDORES[[#This Row],[PROVEEDOR]],PROVEEDORES[FECHA DE PAGO],"")</f>
        <v>1499400</v>
      </c>
      <c r="E951" s="25"/>
      <c r="F95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1" s="289">
        <v>45194</v>
      </c>
      <c r="H951" s="26" t="s">
        <v>490</v>
      </c>
      <c r="I951" s="289">
        <v>45131</v>
      </c>
      <c r="J951" s="35" t="s">
        <v>962</v>
      </c>
      <c r="K951" s="21">
        <v>3318355</v>
      </c>
      <c r="L951" s="21">
        <v>158335</v>
      </c>
      <c r="M951" s="22">
        <f>(PROVEEDORES[[#This Row],[SUBTOTAL]]-PROVEEDORES[[#This Row],[descuento sobre subtotal]])*VLOOKUP(PROVEEDORES[[#This Row],[PROVEEDOR]],TERCEROS_INFO[#All],3,FALSE)</f>
        <v>600403.80000000005</v>
      </c>
      <c r="N951" s="23"/>
      <c r="O951" s="22">
        <f>+PROVEEDORES[[#This Row],[Descuento sobre subtotal %]]*(PROVEEDORES[[#This Row],[SUBTOTAL]]-PROVEEDORES[[#This Row],[descuento sobre subtotal]])</f>
        <v>0</v>
      </c>
      <c r="P951" s="72">
        <f>+IF(PROVEEDORES[[#This Row],[SUBTOTAL]]&lt;PROVEEDORES[[#This Row],[base retencion]],0,PROVEEDORES[[#This Row],[retención aplicada]])</f>
        <v>2.5000000000000001E-2</v>
      </c>
      <c r="Q951" s="22">
        <f>+PROVEEDORES[[#This Row],[Rete Fuente %]]*(PROVEEDORES[[#This Row],[SUBTOTAL]]-PROVEEDORES[[#This Row],[descuento sobre subtotal]])</f>
        <v>79000.5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3681423.3</v>
      </c>
      <c r="S951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1">
        <f ca="1">IF(PROVEEDORES[[#This Row],[FECHA DE PAGO]]=0,TODAY()-PROVEEDORES[[#This Row],[FECHA DE FACTURACIÓN]]-PROVEEDORES[[#This Row],[PLAZO Días]],0)</f>
        <v>0</v>
      </c>
      <c r="U951" s="97" t="str">
        <f>+VLOOKUP(PROVEEDORES[[#This Row],[PROVEEDOR]],Terceros!$A:$D,4,FALSE)</f>
        <v>2,5% con base</v>
      </c>
      <c r="V951" s="98">
        <f>+YEAR(PROVEEDORES[[#This Row],[FECHA DE FACTURACIÓN]])</f>
        <v>2023</v>
      </c>
      <c r="W951" s="98">
        <f>+MATCH(PROVEEDORES[[#This Row],[año facturado]],Retenciones!$1:$1,0)</f>
        <v>6</v>
      </c>
      <c r="X951" s="99">
        <f>+VLOOKUP(PROVEEDORES[[#This Row],[ID RETENCION]],Retenciones!$A$1:$O$25,PROVEEDORES[[#This Row],[indicador de columna]],FALSE)</f>
        <v>1145000</v>
      </c>
      <c r="Y951" s="100">
        <f>+VLOOKUP(PROVEEDORES[[#This Row],[ID RETENCION]],Retenciones!$A$1:$O$25,2,FALSE)</f>
        <v>2.5000000000000001E-2</v>
      </c>
      <c r="Z951" s="103" t="b">
        <f>OR(COUNTIF(PROVEEDORES[[#This Row],[PROVEEDOR]],"*"&amp;'Palabra no opera'!$A$2&amp;"*"))</f>
        <v>0</v>
      </c>
    </row>
    <row r="952" spans="1:26" ht="22.35" customHeight="1" x14ac:dyDescent="0.25">
      <c r="A952" s="219" t="str">
        <f>+IF(PROVEEDORES[[#This Row],[FECHA DE PAGO]]=PROVEEDORES[[#This Row],[FECHA DE FACTURACIÓN]],"DE CONTADO","CRÉDITO")</f>
        <v>CRÉDITO</v>
      </c>
      <c r="B952" s="38" t="str">
        <f>+IF((PROVEEDORES[[#This Row],[FECHA DE PAGO]]-PROVEEDORES[[#This Row],[FECHA DE FACTURACIÓN]])&gt;PROVEEDORES[[#This Row],[PLAZO Días]],"PAGO VENCIDO")</f>
        <v>PAGO VENCIDO</v>
      </c>
      <c r="C952" s="20">
        <f>+VLOOKUP(PROVEEDORES[[#This Row],[PROVEEDOR]],TERCEROS_INFO[#All],2,FALSE)</f>
        <v>30</v>
      </c>
      <c r="D952" s="25">
        <f>+SUMIFS(PROVEEDORES[Total],PROVEEDORES[PROVEEDOR],PROVEEDORES[[#This Row],[PROVEEDOR]],PROVEEDORES[FECHA DE PAGO],"")</f>
        <v>1499400</v>
      </c>
      <c r="E952" s="25"/>
      <c r="F952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2" s="289">
        <v>45194</v>
      </c>
      <c r="H952" s="26" t="s">
        <v>490</v>
      </c>
      <c r="I952" s="289">
        <v>45136</v>
      </c>
      <c r="J952" s="35" t="s">
        <v>995</v>
      </c>
      <c r="K952" s="21">
        <v>225600</v>
      </c>
      <c r="L952" s="21"/>
      <c r="M952" s="22">
        <f>(PROVEEDORES[[#This Row],[SUBTOTAL]]-PROVEEDORES[[#This Row],[descuento sobre subtotal]])*VLOOKUP(PROVEEDORES[[#This Row],[PROVEEDOR]],TERCEROS_INFO[#All],3,FALSE)</f>
        <v>42864</v>
      </c>
      <c r="N952" s="23"/>
      <c r="O952" s="22">
        <f>+PROVEEDORES[[#This Row],[Descuento sobre subtotal %]]*(PROVEEDORES[[#This Row],[SUBTOTAL]]-PROVEEDORES[[#This Row],[descuento sobre subtotal]])</f>
        <v>0</v>
      </c>
      <c r="P952" s="72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f>+PROVEEDORES[[#This Row],[SUBTOTAL]]+PROVEEDORES[[#This Row],[IVA 19%]]-PROVEEDORES[[#This Row],[descuento sobre subtotal]]-PROVEEDORES[[#This Row],[Descuento sobre subtotal $2]]-PROVEEDORES[[#This Row],[Rete Fuente $]]</f>
        <v>268464</v>
      </c>
      <c r="S952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1">
        <f ca="1">IF(PROVEEDORES[[#This Row],[FECHA DE PAGO]]=0,TODAY()-PROVEEDORES[[#This Row],[FECHA DE FACTURACIÓN]]-PROVEEDORES[[#This Row],[PLAZO Días]],0)</f>
        <v>0</v>
      </c>
      <c r="U952" s="97" t="str">
        <f>+VLOOKUP(PROVEEDORES[[#This Row],[PROVEEDOR]],Terceros!$A:$D,4,FALSE)</f>
        <v>2,5% con base</v>
      </c>
      <c r="V952" s="98">
        <f>+YEAR(PROVEEDORES[[#This Row],[FECHA DE FACTURACIÓN]])</f>
        <v>2023</v>
      </c>
      <c r="W952" s="98">
        <f>+MATCH(PROVEEDORES[[#This Row],[año facturado]],Retenciones!$1:$1,0)</f>
        <v>6</v>
      </c>
      <c r="X952" s="99">
        <f>+VLOOKUP(PROVEEDORES[[#This Row],[ID RETENCION]],Retenciones!$A$1:$O$25,PROVEEDORES[[#This Row],[indicador de columna]],FALSE)</f>
        <v>1145000</v>
      </c>
      <c r="Y952" s="100">
        <f>+VLOOKUP(PROVEEDORES[[#This Row],[ID RETENCION]],Retenciones!$A$1:$O$25,2,FALSE)</f>
        <v>2.5000000000000001E-2</v>
      </c>
      <c r="Z952" s="103" t="b">
        <f>OR(COUNTIF(PROVEEDORES[[#This Row],[PROVEEDOR]],"*"&amp;'Palabra no opera'!$A$2&amp;"*"))</f>
        <v>0</v>
      </c>
    </row>
    <row r="953" spans="1:26" ht="22.35" customHeight="1" x14ac:dyDescent="0.25">
      <c r="A953" s="219" t="str">
        <f>+IF(PROVEEDORES[[#This Row],[FECHA DE PAGO]]=PROVEEDORES[[#This Row],[FECHA DE FACTURACIÓN]],"DE CONTADO","CRÉDITO")</f>
        <v>CRÉDITO</v>
      </c>
      <c r="B953" s="38" t="str">
        <f>+IF((PROVEEDORES[[#This Row],[FECHA DE PAGO]]-PROVEEDORES[[#This Row],[FECHA DE FACTURACIÓN]])&gt;PROVEEDORES[[#This Row],[PLAZO Días]],"PAGO VENCIDO")</f>
        <v>PAGO VENCIDO</v>
      </c>
      <c r="C953" s="20">
        <f>+VLOOKUP(PROVEEDORES[[#This Row],[PROVEEDOR]],TERCEROS_INFO[#All],2,FALSE)</f>
        <v>30</v>
      </c>
      <c r="D953" s="25">
        <f>+SUMIFS(PROVEEDORES[Total],PROVEEDORES[PROVEEDOR],PROVEEDORES[[#This Row],[PROVEEDOR]],PROVEEDORES[FECHA DE PAGO],"")</f>
        <v>1499400</v>
      </c>
      <c r="E953" s="25"/>
      <c r="F953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3" s="289">
        <v>45194</v>
      </c>
      <c r="H953" s="26" t="s">
        <v>490</v>
      </c>
      <c r="I953" s="289">
        <v>45141</v>
      </c>
      <c r="J953" s="35" t="s">
        <v>1001</v>
      </c>
      <c r="K953" s="21">
        <v>4116710</v>
      </c>
      <c r="L953" s="21"/>
      <c r="M953" s="22">
        <f>(PROVEEDORES[[#This Row],[SUBTOTAL]]-PROVEEDORES[[#This Row],[descuento sobre subtotal]])*VLOOKUP(PROVEEDORES[[#This Row],[PROVEEDOR]],TERCEROS_INFO[#All],3,FALSE)</f>
        <v>782174.9</v>
      </c>
      <c r="N953" s="23"/>
      <c r="O953" s="22">
        <f>+PROVEEDORES[[#This Row],[Descuento sobre subtotal %]]*(PROVEEDORES[[#This Row],[SUBTOTAL]]-PROVEEDORES[[#This Row],[descuento sobre subtotal]])</f>
        <v>0</v>
      </c>
      <c r="P953" s="72">
        <f>+IF(PROVEEDORES[[#This Row],[SUBTOTAL]]&lt;PROVEEDORES[[#This Row],[base retencion]],0,PROVEEDORES[[#This Row],[retención aplicada]])</f>
        <v>2.5000000000000001E-2</v>
      </c>
      <c r="Q953" s="22">
        <f>+PROVEEDORES[[#This Row],[Rete Fuente %]]*(PROVEEDORES[[#This Row],[SUBTOTAL]]-PROVEEDORES[[#This Row],[descuento sobre subtotal]])</f>
        <v>102917.75</v>
      </c>
      <c r="R953" s="21">
        <f>+PROVEEDORES[[#This Row],[SUBTOTAL]]+PROVEEDORES[[#This Row],[IVA 19%]]-PROVEEDORES[[#This Row],[descuento sobre subtotal]]-PROVEEDORES[[#This Row],[Descuento sobre subtotal $2]]-PROVEEDORES[[#This Row],[Rete Fuente $]]</f>
        <v>4795967.1500000004</v>
      </c>
      <c r="S953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1">
        <f ca="1">IF(PROVEEDORES[[#This Row],[FECHA DE PAGO]]=0,TODAY()-PROVEEDORES[[#This Row],[FECHA DE FACTURACIÓN]]-PROVEEDORES[[#This Row],[PLAZO Días]],0)</f>
        <v>0</v>
      </c>
      <c r="U953" s="97" t="str">
        <f>+VLOOKUP(PROVEEDORES[[#This Row],[PROVEEDOR]],Terceros!$A:$D,4,FALSE)</f>
        <v>2,5% con base</v>
      </c>
      <c r="V953" s="98">
        <f>+YEAR(PROVEEDORES[[#This Row],[FECHA DE FACTURACIÓN]])</f>
        <v>2023</v>
      </c>
      <c r="W953" s="98">
        <f>+MATCH(PROVEEDORES[[#This Row],[año facturado]],Retenciones!$1:$1,0)</f>
        <v>6</v>
      </c>
      <c r="X953" s="99">
        <f>+VLOOKUP(PROVEEDORES[[#This Row],[ID RETENCION]],Retenciones!$A$1:$O$25,PROVEEDORES[[#This Row],[indicador de columna]],FALSE)</f>
        <v>1145000</v>
      </c>
      <c r="Y953" s="100">
        <f>+VLOOKUP(PROVEEDORES[[#This Row],[ID RETENCION]],Retenciones!$A$1:$O$25,2,FALSE)</f>
        <v>2.5000000000000001E-2</v>
      </c>
      <c r="Z953" s="103" t="b">
        <f>OR(COUNTIF(PROVEEDORES[[#This Row],[PROVEEDOR]],"*"&amp;'Palabra no opera'!$A$2&amp;"*"))</f>
        <v>0</v>
      </c>
    </row>
    <row r="954" spans="1:26" ht="22.35" customHeight="1" x14ac:dyDescent="0.25">
      <c r="A954" s="65" t="str">
        <f>+IF(PROVEEDORES[[#This Row],[FECHA DE PAGO]]=PROVEEDORES[[#This Row],[FECHA DE FACTURACIÓN]],"DE CONTADO","CRÉDITO")</f>
        <v>CRÉDITO</v>
      </c>
      <c r="B954" s="38" t="str">
        <f>+IF((PROVEEDORES[[#This Row],[FECHA DE PAGO]]-PROVEEDORES[[#This Row],[FECHA DE FACTURACIÓN]])&gt;PROVEEDORES[[#This Row],[PLAZO Días]],"PAGO VENCIDO")</f>
        <v>PAGO VENCIDO</v>
      </c>
      <c r="C954" s="20">
        <f>+VLOOKUP(PROVEEDORES[[#This Row],[PROVEEDOR]],TERCEROS_INFO[#All],2,FALSE)</f>
        <v>30</v>
      </c>
      <c r="D954" s="25">
        <f>+SUMIFS(PROVEEDORES[Total],PROVEEDORES[PROVEEDOR],PROVEEDORES[[#This Row],[PROVEEDOR]],PROVEEDORES[FECHA DE PAGO],"")</f>
        <v>1499400</v>
      </c>
      <c r="E954" s="25"/>
      <c r="F954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4" s="289">
        <v>45257</v>
      </c>
      <c r="H954" s="26" t="s">
        <v>490</v>
      </c>
      <c r="I954" s="289">
        <v>45200</v>
      </c>
      <c r="J954" s="35" t="s">
        <v>532</v>
      </c>
      <c r="K954" s="21">
        <v>-310017</v>
      </c>
      <c r="L954" s="21"/>
      <c r="M954" s="22">
        <f>(PROVEEDORES[[#This Row],[SUBTOTAL]]-PROVEEDORES[[#This Row],[descuento sobre subtotal]])*VLOOKUP(PROVEEDORES[[#This Row],[PROVEEDOR]],TERCEROS_INFO[#All],3,FALSE)</f>
        <v>-58903.23</v>
      </c>
      <c r="N954" s="23"/>
      <c r="O954" s="22">
        <f>+PROVEEDORES[[#This Row],[Descuento sobre subtotal %]]*(PROVEEDORES[[#This Row],[SUBTOTAL]]-PROVEEDORES[[#This Row],[descuento sobre subtotal]])</f>
        <v>0</v>
      </c>
      <c r="P954" s="72">
        <f>+IF(PROVEEDORES[[#This Row],[SUBTOTAL]]&lt;PROVEEDORES[[#This Row],[base retencion]],0,PROVEEDORES[[#This Row],[retención aplicada]])</f>
        <v>0</v>
      </c>
      <c r="Q954" s="22">
        <f>+PROVEEDORES[[#This Row],[Rete Fuente %]]*(PROVEEDORES[[#This Row],[SUBTOTAL]]-PROVEEDORES[[#This Row],[descuento sobre subtotal]])</f>
        <v>0</v>
      </c>
      <c r="R954" s="21">
        <f>+PROVEEDORES[[#This Row],[SUBTOTAL]]+PROVEEDORES[[#This Row],[IVA 19%]]-PROVEEDORES[[#This Row],[descuento sobre subtotal]]-PROVEEDORES[[#This Row],[Descuento sobre subtotal $2]]-PROVEEDORES[[#This Row],[Rete Fuente $]]</f>
        <v>-368920.23</v>
      </c>
      <c r="S95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1">
        <f ca="1">IF(PROVEEDORES[[#This Row],[FECHA DE PAGO]]=0,TODAY()-PROVEEDORES[[#This Row],[FECHA DE FACTURACIÓN]]-PROVEEDORES[[#This Row],[PLAZO Días]],0)</f>
        <v>0</v>
      </c>
      <c r="U954" s="97" t="str">
        <f>+VLOOKUP(PROVEEDORES[[#This Row],[PROVEEDOR]],Terceros!$A:$D,4,FALSE)</f>
        <v>2,5% con base</v>
      </c>
      <c r="V954" s="98">
        <f>+YEAR(PROVEEDORES[[#This Row],[FECHA DE FACTURACIÓN]])</f>
        <v>2023</v>
      </c>
      <c r="W954" s="98">
        <f>+MATCH(PROVEEDORES[[#This Row],[año facturado]],Retenciones!$1:$1,0)</f>
        <v>6</v>
      </c>
      <c r="X954" s="99">
        <f>+VLOOKUP(PROVEEDORES[[#This Row],[ID RETENCION]],Retenciones!$A$1:$O$25,PROVEEDORES[[#This Row],[indicador de columna]],FALSE)</f>
        <v>1145000</v>
      </c>
      <c r="Y954" s="100">
        <f>+VLOOKUP(PROVEEDORES[[#This Row],[ID RETENCION]],Retenciones!$A$1:$O$25,2,FALSE)</f>
        <v>2.5000000000000001E-2</v>
      </c>
      <c r="Z954" s="103" t="b">
        <f>OR(COUNTIF(PROVEEDORES[[#This Row],[PROVEEDOR]],"*"&amp;'Palabra no opera'!$A$2&amp;"*"))</f>
        <v>0</v>
      </c>
    </row>
    <row r="955" spans="1:26" ht="22.35" customHeight="1" x14ac:dyDescent="0.25">
      <c r="A955" s="243" t="str">
        <f>+IF(PROVEEDORES[[#This Row],[FECHA DE PAGO]]=PROVEEDORES[[#This Row],[FECHA DE FACTURACIÓN]],"DE CONTADO","CRÉDITO")</f>
        <v>CRÉDITO</v>
      </c>
      <c r="B955" s="38" t="str">
        <f>+IF((PROVEEDORES[[#This Row],[FECHA DE PAGO]]-PROVEEDORES[[#This Row],[FECHA DE FACTURACIÓN]])&gt;PROVEEDORES[[#This Row],[PLAZO Días]],"PAGO VENCIDO")</f>
        <v>PAGO VENCIDO</v>
      </c>
      <c r="C955" s="20">
        <f>+VLOOKUP(PROVEEDORES[[#This Row],[PROVEEDOR]],TERCEROS_INFO[#All],2,FALSE)</f>
        <v>30</v>
      </c>
      <c r="D955" s="25">
        <f>+SUMIFS(PROVEEDORES[Total],PROVEEDORES[PROVEEDOR],PROVEEDORES[[#This Row],[PROVEEDOR]],PROVEEDORES[FECHA DE PAGO],"")</f>
        <v>1499400</v>
      </c>
      <c r="E955" s="25"/>
      <c r="F955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5" s="289">
        <v>45257</v>
      </c>
      <c r="H955" s="26" t="s">
        <v>490</v>
      </c>
      <c r="I955" s="289">
        <v>45203</v>
      </c>
      <c r="J955" s="35" t="s">
        <v>1136</v>
      </c>
      <c r="K955" s="21">
        <v>4116710</v>
      </c>
      <c r="L955" s="21">
        <v>316670</v>
      </c>
      <c r="M955" s="22">
        <f>(PROVEEDORES[[#This Row],[SUBTOTAL]]-PROVEEDORES[[#This Row],[descuento sobre subtotal]])*VLOOKUP(PROVEEDORES[[#This Row],[PROVEEDOR]],TERCEROS_INFO[#All],3,FALSE)</f>
        <v>722007.6</v>
      </c>
      <c r="N955" s="23"/>
      <c r="O955" s="22">
        <f>+PROVEEDORES[[#This Row],[Descuento sobre subtotal %]]*(PROVEEDORES[[#This Row],[SUBTOTAL]]-PROVEEDORES[[#This Row],[descuento sobre subtotal]])</f>
        <v>0</v>
      </c>
      <c r="P955" s="72">
        <f>+IF(PROVEEDORES[[#This Row],[SUBTOTAL]]&lt;PROVEEDORES[[#This Row],[base retencion]],0,PROVEEDORES[[#This Row],[retención aplicada]])</f>
        <v>2.5000000000000001E-2</v>
      </c>
      <c r="Q955" s="22">
        <f>+PROVEEDORES[[#This Row],[Rete Fuente %]]*(PROVEEDORES[[#This Row],[SUBTOTAL]]-PROVEEDORES[[#This Row],[descuento sobre subtotal]])</f>
        <v>95001</v>
      </c>
      <c r="R955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955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1">
        <f ca="1">IF(PROVEEDORES[[#This Row],[FECHA DE PAGO]]=0,TODAY()-PROVEEDORES[[#This Row],[FECHA DE FACTURACIÓN]]-PROVEEDORES[[#This Row],[PLAZO Días]],0)</f>
        <v>0</v>
      </c>
      <c r="U955" s="97" t="str">
        <f>+VLOOKUP(PROVEEDORES[[#This Row],[PROVEEDOR]],Terceros!$A:$D,4,FALSE)</f>
        <v>2,5% con base</v>
      </c>
      <c r="V955" s="98">
        <f>+YEAR(PROVEEDORES[[#This Row],[FECHA DE FACTURACIÓN]])</f>
        <v>2023</v>
      </c>
      <c r="W955" s="98">
        <f>+MATCH(PROVEEDORES[[#This Row],[año facturado]],Retenciones!$1:$1,0)</f>
        <v>6</v>
      </c>
      <c r="X955" s="99">
        <f>+VLOOKUP(PROVEEDORES[[#This Row],[ID RETENCION]],Retenciones!$A$1:$O$25,PROVEEDORES[[#This Row],[indicador de columna]],FALSE)</f>
        <v>1145000</v>
      </c>
      <c r="Y955" s="100">
        <f>+VLOOKUP(PROVEEDORES[[#This Row],[ID RETENCION]],Retenciones!$A$1:$O$25,2,FALSE)</f>
        <v>2.5000000000000001E-2</v>
      </c>
      <c r="Z955" s="103" t="b">
        <f>OR(COUNTIF(PROVEEDORES[[#This Row],[PROVEEDOR]],"*"&amp;'Palabra no opera'!$A$2&amp;"*"))</f>
        <v>0</v>
      </c>
    </row>
    <row r="956" spans="1:26" ht="22.35" customHeight="1" x14ac:dyDescent="0.25">
      <c r="A956" s="262" t="str">
        <f>+IF(PROVEEDORES[[#This Row],[FECHA DE PAGO]]=PROVEEDORES[[#This Row],[FECHA DE FACTURACIÓN]],"DE CONTADO","CRÉDITO")</f>
        <v>CRÉDITO</v>
      </c>
      <c r="B956" s="38" t="str">
        <f>+IF((PROVEEDORES[[#This Row],[FECHA DE PAGO]]-PROVEEDORES[[#This Row],[FECHA DE FACTURACIÓN]])&gt;PROVEEDORES[[#This Row],[PLAZO Días]],"PAGO VENCIDO")</f>
        <v>PAGO VENCIDO</v>
      </c>
      <c r="C956" s="20">
        <f>+VLOOKUP(PROVEEDORES[[#This Row],[PROVEEDOR]],TERCEROS_INFO[#All],2,FALSE)</f>
        <v>30</v>
      </c>
      <c r="D956" s="25">
        <f>+SUMIFS(PROVEEDORES[Total],PROVEEDORES[PROVEEDOR],PROVEEDORES[[#This Row],[PROVEEDOR]],PROVEEDORES[FECHA DE PAGO],"")</f>
        <v>1499400</v>
      </c>
      <c r="E956" s="25"/>
      <c r="F95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6" s="289">
        <v>45280</v>
      </c>
      <c r="H956" s="26" t="s">
        <v>490</v>
      </c>
      <c r="I956" s="289">
        <v>45247</v>
      </c>
      <c r="J956" s="35" t="s">
        <v>1300</v>
      </c>
      <c r="K956" s="21">
        <v>763000</v>
      </c>
      <c r="L956" s="21"/>
      <c r="M956" s="22">
        <f>(PROVEEDORES[[#This Row],[SUBTOTAL]]-PROVEEDORES[[#This Row],[descuento sobre subtotal]])*VLOOKUP(PROVEEDORES[[#This Row],[PROVEEDOR]],TERCEROS_INFO[#All],3,FALSE)</f>
        <v>144970</v>
      </c>
      <c r="N956" s="23"/>
      <c r="O956" s="22">
        <f>+PROVEEDORES[[#This Row],[Descuento sobre subtotal %]]*(PROVEEDORES[[#This Row],[SUBTOTAL]]-PROVEEDORES[[#This Row],[descuento sobre subtotal]])</f>
        <v>0</v>
      </c>
      <c r="P956" s="72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f>+PROVEEDORES[[#This Row],[SUBTOTAL]]+PROVEEDORES[[#This Row],[IVA 19%]]-PROVEEDORES[[#This Row],[descuento sobre subtotal]]-PROVEEDORES[[#This Row],[Descuento sobre subtotal $2]]-PROVEEDORES[[#This Row],[Rete Fuente $]]</f>
        <v>907970</v>
      </c>
      <c r="S956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1">
        <f ca="1">IF(PROVEEDORES[[#This Row],[FECHA DE PAGO]]=0,TODAY()-PROVEEDORES[[#This Row],[FECHA DE FACTURACIÓN]]-PROVEEDORES[[#This Row],[PLAZO Días]],0)</f>
        <v>0</v>
      </c>
      <c r="U956" s="97" t="str">
        <f>+VLOOKUP(PROVEEDORES[[#This Row],[PROVEEDOR]],Terceros!$A:$D,4,FALSE)</f>
        <v>2,5% con base</v>
      </c>
      <c r="V956" s="98">
        <f>+YEAR(PROVEEDORES[[#This Row],[FECHA DE FACTURACIÓN]])</f>
        <v>2023</v>
      </c>
      <c r="W956" s="98">
        <f>+MATCH(PROVEEDORES[[#This Row],[año facturado]],Retenciones!$1:$1,0)</f>
        <v>6</v>
      </c>
      <c r="X956" s="99">
        <f>+VLOOKUP(PROVEEDORES[[#This Row],[ID RETENCION]],Retenciones!$A$1:$O$25,PROVEEDORES[[#This Row],[indicador de columna]],FALSE)</f>
        <v>1145000</v>
      </c>
      <c r="Y956" s="100">
        <f>+VLOOKUP(PROVEEDORES[[#This Row],[ID RETENCION]],Retenciones!$A$1:$O$25,2,FALSE)</f>
        <v>2.5000000000000001E-2</v>
      </c>
      <c r="Z956" s="103" t="b">
        <f>OR(COUNTIF(PROVEEDORES[[#This Row],[PROVEEDOR]],"*"&amp;'Palabra no opera'!$A$2&amp;"*"))</f>
        <v>0</v>
      </c>
    </row>
    <row r="957" spans="1:26" ht="22.35" customHeight="1" x14ac:dyDescent="0.25">
      <c r="A957" s="262" t="str">
        <f>+IF(PROVEEDORES[[#This Row],[FECHA DE PAGO]]=PROVEEDORES[[#This Row],[FECHA DE FACTURACIÓN]],"DE CONTADO","CRÉDITO")</f>
        <v>CRÉDITO</v>
      </c>
      <c r="B957" s="38" t="b">
        <f>+IF((PROVEEDORES[[#This Row],[FECHA DE PAGO]]-PROVEEDORES[[#This Row],[FECHA DE FACTURACIÓN]])&gt;PROVEEDORES[[#This Row],[PLAZO Días]],"PAGO VENCIDO")</f>
        <v>0</v>
      </c>
      <c r="C957" s="20">
        <f>+VLOOKUP(PROVEEDORES[[#This Row],[PROVEEDOR]],TERCEROS_INFO[#All],2,FALSE)</f>
        <v>30</v>
      </c>
      <c r="D957" s="25">
        <f>+SUMIFS(PROVEEDORES[Total],PROVEEDORES[PROVEEDOR],PROVEEDORES[[#This Row],[PROVEEDOR]],PROVEEDORES[FECHA DE PAGO],"")</f>
        <v>1499400</v>
      </c>
      <c r="E957" s="25"/>
      <c r="F957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7" s="289">
        <v>45280</v>
      </c>
      <c r="H957" s="26" t="s">
        <v>490</v>
      </c>
      <c r="I957" s="289">
        <v>45251</v>
      </c>
      <c r="J957" s="35" t="s">
        <v>1301</v>
      </c>
      <c r="K957" s="21">
        <v>1008000</v>
      </c>
      <c r="L957" s="21"/>
      <c r="M957" s="22">
        <f>(PROVEEDORES[[#This Row],[SUBTOTAL]]-PROVEEDORES[[#This Row],[descuento sobre subtotal]])*VLOOKUP(PROVEEDORES[[#This Row],[PROVEEDOR]],TERCEROS_INFO[#All],3,FALSE)</f>
        <v>191520</v>
      </c>
      <c r="N957" s="23"/>
      <c r="O957" s="22">
        <f>+PROVEEDORES[[#This Row],[Descuento sobre subtotal %]]*(PROVEEDORES[[#This Row],[SUBTOTAL]]-PROVEEDORES[[#This Row],[descuento sobre subtotal]])</f>
        <v>0</v>
      </c>
      <c r="P957" s="72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f>+PROVEEDORES[[#This Row],[SUBTOTAL]]+PROVEEDORES[[#This Row],[IVA 19%]]-PROVEEDORES[[#This Row],[descuento sobre subtotal]]-PROVEEDORES[[#This Row],[Descuento sobre subtotal $2]]-PROVEEDORES[[#This Row],[Rete Fuente $]]</f>
        <v>1199520</v>
      </c>
      <c r="S95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1">
        <f ca="1">IF(PROVEEDORES[[#This Row],[FECHA DE PAGO]]=0,TODAY()-PROVEEDORES[[#This Row],[FECHA DE FACTURACIÓN]]-PROVEEDORES[[#This Row],[PLAZO Días]],0)</f>
        <v>0</v>
      </c>
      <c r="U957" s="97" t="str">
        <f>+VLOOKUP(PROVEEDORES[[#This Row],[PROVEEDOR]],Terceros!$A:$D,4,FALSE)</f>
        <v>2,5% con base</v>
      </c>
      <c r="V957" s="98">
        <f>+YEAR(PROVEEDORES[[#This Row],[FECHA DE FACTURACIÓN]])</f>
        <v>2023</v>
      </c>
      <c r="W957" s="98">
        <f>+MATCH(PROVEEDORES[[#This Row],[año facturado]],Retenciones!$1:$1,0)</f>
        <v>6</v>
      </c>
      <c r="X957" s="99">
        <f>+VLOOKUP(PROVEEDORES[[#This Row],[ID RETENCION]],Retenciones!$A$1:$O$25,PROVEEDORES[[#This Row],[indicador de columna]],FALSE)</f>
        <v>1145000</v>
      </c>
      <c r="Y957" s="100">
        <f>+VLOOKUP(PROVEEDORES[[#This Row],[ID RETENCION]],Retenciones!$A$1:$O$25,2,FALSE)</f>
        <v>2.5000000000000001E-2</v>
      </c>
      <c r="Z957" s="103" t="b">
        <f>OR(COUNTIF(PROVEEDORES[[#This Row],[PROVEEDOR]],"*"&amp;'Palabra no opera'!$A$2&amp;"*"))</f>
        <v>0</v>
      </c>
    </row>
    <row r="958" spans="1:26" ht="22.35" customHeight="1" x14ac:dyDescent="0.25">
      <c r="A958" s="65" t="str">
        <f>+IF(PROVEEDORES[[#This Row],[FECHA DE PAGO]]=PROVEEDORES[[#This Row],[FECHA DE FACTURACIÓN]],"DE CONTADO","CRÉDITO")</f>
        <v>CRÉDITO</v>
      </c>
      <c r="B958" s="38" t="str">
        <f>+IF((PROVEEDORES[[#This Row],[FECHA DE PAGO]]-PROVEEDORES[[#This Row],[FECHA DE FACTURACIÓN]])&gt;PROVEEDORES[[#This Row],[PLAZO Días]],"PAGO VENCIDO")</f>
        <v>PAGO VENCIDO</v>
      </c>
      <c r="C958" s="20">
        <f>+VLOOKUP(PROVEEDORES[[#This Row],[PROVEEDOR]],TERCEROS_INFO[#All],2,FALSE)</f>
        <v>30</v>
      </c>
      <c r="D958" s="25">
        <f>+SUMIFS(PROVEEDORES[Total],PROVEEDORES[PROVEEDOR],PROVEEDORES[[#This Row],[PROVEEDOR]],PROVEEDORES[FECHA DE PAGO],"")</f>
        <v>1499400</v>
      </c>
      <c r="E958" s="25"/>
      <c r="F958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8" s="289">
        <v>45322</v>
      </c>
      <c r="H958" s="26" t="s">
        <v>490</v>
      </c>
      <c r="I958" s="289">
        <v>45261</v>
      </c>
      <c r="J958" s="35" t="s">
        <v>1380</v>
      </c>
      <c r="K958" s="21">
        <v>4116710</v>
      </c>
      <c r="L958" s="21">
        <v>316670</v>
      </c>
      <c r="M958" s="22">
        <f>(PROVEEDORES[[#This Row],[SUBTOTAL]]-PROVEEDORES[[#This Row],[descuento sobre subtotal]])*VLOOKUP(PROVEEDORES[[#This Row],[PROVEEDOR]],TERCEROS_INFO[#All],3,FALSE)</f>
        <v>722007.6</v>
      </c>
      <c r="N958" s="23"/>
      <c r="O958" s="22">
        <f>+PROVEEDORES[[#This Row],[Descuento sobre subtotal %]]*(PROVEEDORES[[#This Row],[SUBTOTAL]]-PROVEEDORES[[#This Row],[descuento sobre subtotal]])</f>
        <v>0</v>
      </c>
      <c r="P958" s="72">
        <f>+IF(PROVEEDORES[[#This Row],[SUBTOTAL]]&lt;PROVEEDORES[[#This Row],[base retencion]],0,PROVEEDORES[[#This Row],[retención aplicada]])</f>
        <v>2.5000000000000001E-2</v>
      </c>
      <c r="Q958" s="22">
        <f>+PROVEEDORES[[#This Row],[Rete Fuente %]]*(PROVEEDORES[[#This Row],[SUBTOTAL]]-PROVEEDORES[[#This Row],[descuento sobre subtotal]])</f>
        <v>95001</v>
      </c>
      <c r="R958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9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1">
        <f ca="1">IF(PROVEEDORES[[#This Row],[FECHA DE PAGO]]=0,TODAY()-PROVEEDORES[[#This Row],[FECHA DE FACTURACIÓN]]-PROVEEDORES[[#This Row],[PLAZO Días]],0)</f>
        <v>0</v>
      </c>
      <c r="U958" s="97" t="str">
        <f>+VLOOKUP(PROVEEDORES[[#This Row],[PROVEEDOR]],Terceros!$A:$D,4,FALSE)</f>
        <v>2,5% con base</v>
      </c>
      <c r="V958" s="98">
        <f>+YEAR(PROVEEDORES[[#This Row],[FECHA DE FACTURACIÓN]])</f>
        <v>2023</v>
      </c>
      <c r="W958" s="98">
        <f>+MATCH(PROVEEDORES[[#This Row],[año facturado]],Retenciones!$1:$1,0)</f>
        <v>6</v>
      </c>
      <c r="X958" s="99">
        <f>+VLOOKUP(PROVEEDORES[[#This Row],[ID RETENCION]],Retenciones!$A$1:$O$25,PROVEEDORES[[#This Row],[indicador de columna]],FALSE)</f>
        <v>1145000</v>
      </c>
      <c r="Y958" s="100">
        <f>+VLOOKUP(PROVEEDORES[[#This Row],[ID RETENCION]],Retenciones!$A$1:$O$25,2,FALSE)</f>
        <v>2.5000000000000001E-2</v>
      </c>
      <c r="Z958" s="103" t="b">
        <f>OR(COUNTIF(PROVEEDORES[[#This Row],[PROVEEDOR]],"*"&amp;'Palabra no opera'!$A$2&amp;"*"))</f>
        <v>0</v>
      </c>
    </row>
    <row r="959" spans="1:26" ht="22.35" customHeight="1" x14ac:dyDescent="0.25">
      <c r="A959" s="65" t="str">
        <f>+IF(PROVEEDORES[[#This Row],[FECHA DE PAGO]]=PROVEEDORES[[#This Row],[FECHA DE FACTURACIÓN]],"DE CONTADO","CRÉDITO")</f>
        <v>CRÉDITO</v>
      </c>
      <c r="B959" s="38" t="str">
        <f>+IF((PROVEEDORES[[#This Row],[FECHA DE PAGO]]-PROVEEDORES[[#This Row],[FECHA DE FACTURACIÓN]])&gt;PROVEEDORES[[#This Row],[PLAZO Días]],"PAGO VENCIDO")</f>
        <v>PAGO VENCIDO</v>
      </c>
      <c r="C959" s="20">
        <f>+VLOOKUP(PROVEEDORES[[#This Row],[PROVEEDOR]],TERCEROS_INFO[#All],2,FALSE)</f>
        <v>30</v>
      </c>
      <c r="D959" s="25">
        <f>+SUMIFS(PROVEEDORES[Total],PROVEEDORES[PROVEEDOR],PROVEEDORES[[#This Row],[PROVEEDOR]],PROVEEDORES[FECHA DE PAGO],"")</f>
        <v>1499400</v>
      </c>
      <c r="E959" s="25"/>
      <c r="F959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9" s="289">
        <v>45322</v>
      </c>
      <c r="H959" s="26" t="s">
        <v>490</v>
      </c>
      <c r="I959" s="289">
        <v>45265</v>
      </c>
      <c r="J959" s="35" t="s">
        <v>1382</v>
      </c>
      <c r="K959" s="21">
        <v>1260000</v>
      </c>
      <c r="L959" s="21"/>
      <c r="M959" s="22">
        <f>(PROVEEDORES[[#This Row],[SUBTOTAL]]-PROVEEDORES[[#This Row],[descuento sobre subtotal]])*VLOOKUP(PROVEEDORES[[#This Row],[PROVEEDOR]],TERCEROS_INFO[#All],3,FALSE)</f>
        <v>239400</v>
      </c>
      <c r="N959" s="23"/>
      <c r="O959" s="22">
        <f>+PROVEEDORES[[#This Row],[Descuento sobre subtotal %]]*(PROVEEDORES[[#This Row],[SUBTOTAL]]-PROVEEDORES[[#This Row],[descuento sobre subtotal]])</f>
        <v>0</v>
      </c>
      <c r="P959" s="72">
        <f>+IF(PROVEEDORES[[#This Row],[SUBTOTAL]]&lt;PROVEEDORES[[#This Row],[base retencion]],0,PROVEEDORES[[#This Row],[retención aplicada]])</f>
        <v>2.5000000000000001E-2</v>
      </c>
      <c r="Q959" s="22">
        <f>+PROVEEDORES[[#This Row],[Rete Fuente %]]*(PROVEEDORES[[#This Row],[SUBTOTAL]]-PROVEEDORES[[#This Row],[descuento sobre subtotal]])</f>
        <v>31500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1467900</v>
      </c>
      <c r="S9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1">
        <f ca="1">IF(PROVEEDORES[[#This Row],[FECHA DE PAGO]]=0,TODAY()-PROVEEDORES[[#This Row],[FECHA DE FACTURACIÓN]]-PROVEEDORES[[#This Row],[PLAZO Días]],0)</f>
        <v>0</v>
      </c>
      <c r="U959" s="97" t="str">
        <f>+VLOOKUP(PROVEEDORES[[#This Row],[PROVEEDOR]],Terceros!$A:$D,4,FALSE)</f>
        <v>2,5% con base</v>
      </c>
      <c r="V959" s="98">
        <f>+YEAR(PROVEEDORES[[#This Row],[FECHA DE FACTURACIÓN]])</f>
        <v>2023</v>
      </c>
      <c r="W959" s="98">
        <f>+MATCH(PROVEEDORES[[#This Row],[año facturado]],Retenciones!$1:$1,0)</f>
        <v>6</v>
      </c>
      <c r="X959" s="99">
        <f>+VLOOKUP(PROVEEDORES[[#This Row],[ID RETENCION]],Retenciones!$A$1:$O$25,PROVEEDORES[[#This Row],[indicador de columna]],FALSE)</f>
        <v>1145000</v>
      </c>
      <c r="Y959" s="100">
        <f>+VLOOKUP(PROVEEDORES[[#This Row],[ID RETENCION]],Retenciones!$A$1:$O$25,2,FALSE)</f>
        <v>2.5000000000000001E-2</v>
      </c>
      <c r="Z959" s="103" t="b">
        <f>OR(COUNTIF(PROVEEDORES[[#This Row],[PROVEEDOR]],"*"&amp;'Palabra no opera'!$A$2&amp;"*"))</f>
        <v>0</v>
      </c>
    </row>
    <row r="960" spans="1:26" ht="22.35" customHeight="1" x14ac:dyDescent="0.25">
      <c r="A960" s="65" t="str">
        <f>+IF(PROVEEDORES[[#This Row],[FECHA DE PAGO]]=PROVEEDORES[[#This Row],[FECHA DE FACTURACIÓN]],"DE CONTADO","CRÉDITO")</f>
        <v>CRÉDITO</v>
      </c>
      <c r="B960" s="38" t="str">
        <f>+IF((PROVEEDORES[[#This Row],[FECHA DE PAGO]]-PROVEEDORES[[#This Row],[FECHA DE FACTURACIÓN]])&gt;PROVEEDORES[[#This Row],[PLAZO Días]],"PAGO VENCIDO")</f>
        <v>PAGO VENCIDO</v>
      </c>
      <c r="C960" s="20">
        <f>+VLOOKUP(PROVEEDORES[[#This Row],[PROVEEDOR]],TERCEROS_INFO[#All],2,FALSE)</f>
        <v>45</v>
      </c>
      <c r="D960" s="25">
        <f>+SUMIFS(PROVEEDORES[Total],PROVEEDORES[PROVEEDOR],PROVEEDORES[[#This Row],[PROVEEDOR]],PROVEEDORES[FECHA DE PAGO],"")</f>
        <v>3535656.6</v>
      </c>
      <c r="E960" s="25"/>
      <c r="F96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0" s="289">
        <v>45327</v>
      </c>
      <c r="H960" s="26" t="s">
        <v>19</v>
      </c>
      <c r="I960" s="289">
        <v>45275</v>
      </c>
      <c r="J960" s="35" t="s">
        <v>1453</v>
      </c>
      <c r="K960" s="21">
        <v>13252600</v>
      </c>
      <c r="L960" s="21"/>
      <c r="M960" s="22">
        <f>(PROVEEDORES[[#This Row],[SUBTOTAL]]-PROVEEDORES[[#This Row],[descuento sobre subtotal]])*VLOOKUP(PROVEEDORES[[#This Row],[PROVEEDOR]],TERCEROS_INFO[#All],3,FALSE)</f>
        <v>2517994</v>
      </c>
      <c r="N960" s="23"/>
      <c r="O960" s="22">
        <f>+PROVEEDORES[[#This Row],[Descuento sobre subtotal %]]*(PROVEEDORES[[#This Row],[SUBTOTAL]]-PROVEEDORES[[#This Row],[descuento sobre subtotal]])</f>
        <v>0</v>
      </c>
      <c r="P960" s="72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15770594</v>
      </c>
      <c r="S9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1">
        <f ca="1">IF(PROVEEDORES[[#This Row],[FECHA DE PAGO]]=0,TODAY()-PROVEEDORES[[#This Row],[FECHA DE FACTURACIÓN]]-PROVEEDORES[[#This Row],[PLAZO Días]],0)</f>
        <v>0</v>
      </c>
      <c r="U960" s="97">
        <f>+VLOOKUP(PROVEEDORES[[#This Row],[PROVEEDOR]],Terceros!$A:$D,4,FALSE)</f>
        <v>0</v>
      </c>
      <c r="V960" s="98">
        <f>+YEAR(PROVEEDORES[[#This Row],[FECHA DE FACTURACIÓN]])</f>
        <v>2023</v>
      </c>
      <c r="W960" s="98">
        <f>+MATCH(PROVEEDORES[[#This Row],[año facturado]],Retenciones!$1:$1,0)</f>
        <v>6</v>
      </c>
      <c r="X960" s="99">
        <f>+VLOOKUP(PROVEEDORES[[#This Row],[ID RETENCION]],Retenciones!$A$1:$O$25,PROVEEDORES[[#This Row],[indicador de columna]],FALSE)</f>
        <v>0</v>
      </c>
      <c r="Y960" s="100">
        <f>+VLOOKUP(PROVEEDORES[[#This Row],[ID RETENCION]],Retenciones!$A$1:$O$25,2,FALSE)</f>
        <v>0</v>
      </c>
      <c r="Z960" s="103" t="b">
        <f>OR(COUNTIF(PROVEEDORES[[#This Row],[PROVEEDOR]],"*"&amp;'Palabra no opera'!$A$2&amp;"*"))</f>
        <v>0</v>
      </c>
    </row>
    <row r="961" spans="1:26" ht="22.35" customHeight="1" x14ac:dyDescent="0.25">
      <c r="A961" s="314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1499400</v>
      </c>
      <c r="E961" s="25"/>
      <c r="F961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H961" s="26" t="s">
        <v>490</v>
      </c>
      <c r="I961" s="289">
        <v>45307</v>
      </c>
      <c r="J961" s="35">
        <v>33399</v>
      </c>
      <c r="K961" s="21">
        <v>1260000</v>
      </c>
      <c r="L961" s="21"/>
      <c r="M961" s="22">
        <f>(PROVEEDORES[[#This Row],[SUBTOTAL]]-PROVEEDORES[[#This Row],[descuento sobre subtotal]])*VLOOKUP(PROVEEDORES[[#This Row],[PROVEEDOR]],TERCEROS_INFO[#All],3,FALSE)</f>
        <v>239400</v>
      </c>
      <c r="N961" s="23"/>
      <c r="O961" s="22">
        <f>+PROVEEDORES[[#This Row],[Descuento sobre subtotal %]]*(PROVEEDORES[[#This Row],[SUBTOTAL]]-PROVEEDORES[[#This Row],[descuento sobre subtotal]])</f>
        <v>0</v>
      </c>
      <c r="P961" s="72">
        <f>+IF(PROVEEDORES[[#This Row],[SUBTOTAL]]&lt;PROVEEDORES[[#This Row],[base retencion]],0,PROVEEDORES[[#This Row],[retención aplicada]])</f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1499400</v>
      </c>
      <c r="S961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961" s="61">
        <f ca="1">IF(PROVEEDORES[[#This Row],[FECHA DE PAGO]]=0,TODAY()-PROVEEDORES[[#This Row],[FECHA DE FACTURACIÓN]]-PROVEEDORES[[#This Row],[PLAZO Días]],0)</f>
        <v>-9</v>
      </c>
      <c r="U961" s="97" t="str">
        <f>+VLOOKUP(PROVEEDORES[[#This Row],[PROVEEDOR]],Terceros!$A:$D,4,FALSE)</f>
        <v>2,5% con base</v>
      </c>
      <c r="V961" s="98">
        <f>+YEAR(PROVEEDORES[[#This Row],[FECHA DE FACTURACIÓN]])</f>
        <v>2024</v>
      </c>
      <c r="W961" s="98">
        <f>+MATCH(PROVEEDORES[[#This Row],[año facturado]],Retenciones!$1:$1,0)</f>
        <v>7</v>
      </c>
      <c r="X961" s="99">
        <f>+VLOOKUP(PROVEEDORES[[#This Row],[ID RETENCION]],Retenciones!$A$1:$O$25,PROVEEDORES[[#This Row],[indicador de columna]],FALSE)</f>
        <v>1271000</v>
      </c>
      <c r="Y961" s="100">
        <f>+VLOOKUP(PROVEEDORES[[#This Row],[ID RETENCION]],Retenciones!$A$1:$O$25,2,FALSE)</f>
        <v>2.5000000000000001E-2</v>
      </c>
      <c r="Z961" s="103" t="b">
        <f>OR(COUNTIF(PROVEEDORES[[#This Row],[PROVEEDOR]],"*"&amp;'Palabra no opera'!$A$2&amp;"*"))</f>
        <v>0</v>
      </c>
    </row>
    <row r="962" spans="1:26" ht="22.35" customHeight="1" x14ac:dyDescent="0.25">
      <c r="A962" s="151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45</v>
      </c>
      <c r="D962" s="25">
        <f>+SUMIFS(PROVEEDORES[Total],PROVEEDORES[PROVEEDOR],PROVEEDORES[[#This Row],[PROVEEDOR]],PROVEEDORES[FECHA DE PAGO],"")</f>
        <v>3535656.6</v>
      </c>
      <c r="E962" s="25"/>
      <c r="F96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2" s="289">
        <v>44988</v>
      </c>
      <c r="H962" s="26" t="s">
        <v>19</v>
      </c>
      <c r="I962" s="289">
        <v>44960</v>
      </c>
      <c r="J962" s="35" t="s">
        <v>594</v>
      </c>
      <c r="K962" s="21">
        <v>8219280</v>
      </c>
      <c r="L962" s="21"/>
      <c r="M962" s="22">
        <f>(PROVEEDORES[[#This Row],[SUBTOTAL]]-PROVEEDORES[[#This Row],[descuento sobre subtotal]])*VLOOKUP(PROVEEDORES[[#This Row],[PROVEEDOR]],TERCEROS_INFO[#All],3,FALSE)</f>
        <v>1561663.2</v>
      </c>
      <c r="N962" s="23"/>
      <c r="O962" s="22">
        <f>+PROVEEDORES[[#This Row],[Descuento sobre subtotal %]]*(PROVEEDORES[[#This Row],[SUBTOTAL]]-PROVEEDORES[[#This Row],[descuento sobre subtotal]])</f>
        <v>0</v>
      </c>
      <c r="P962" s="72">
        <f>+IF(PROVEEDORES[[#This Row],[SUBTOTAL]]&lt;PROVEEDORES[[#This Row],[base retencion]],0,PROVEEDORES[[#This Row],[retención aplicada]])</f>
        <v>0</v>
      </c>
      <c r="Q962" s="22">
        <f>+PROVEEDORES[[#This Row],[Rete Fuente %]]*(PROVEEDORES[[#This Row],[SUBTOTAL]]-PROVEEDORES[[#This Row],[descuento sobre subtotal]])</f>
        <v>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9780943.1999999993</v>
      </c>
      <c r="S962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1">
        <f ca="1">IF(PROVEEDORES[[#This Row],[FECHA DE PAGO]]=0,TODAY()-PROVEEDORES[[#This Row],[FECHA DE FACTURACIÓN]]-PROVEEDORES[[#This Row],[PLAZO Días]],0)</f>
        <v>0</v>
      </c>
      <c r="U962" s="97">
        <f>+VLOOKUP(PROVEEDORES[[#This Row],[PROVEEDOR]],Terceros!$A:$D,4,FALSE)</f>
        <v>0</v>
      </c>
      <c r="V962" s="98">
        <f>+YEAR(PROVEEDORES[[#This Row],[FECHA DE FACTURACIÓN]])</f>
        <v>2023</v>
      </c>
      <c r="W962" s="98">
        <f>+MATCH(PROVEEDORES[[#This Row],[año facturado]],Retenciones!$1:$1,0)</f>
        <v>6</v>
      </c>
      <c r="X962" s="99">
        <f>+VLOOKUP(PROVEEDORES[[#This Row],[ID RETENCION]],Retenciones!$A$1:$O$25,PROVEEDORES[[#This Row],[indicador de columna]],FALSE)</f>
        <v>0</v>
      </c>
      <c r="Y962" s="100">
        <f>+VLOOKUP(PROVEEDORES[[#This Row],[ID RETENCION]],Retenciones!$A$1:$O$25,2,FALSE)</f>
        <v>0</v>
      </c>
      <c r="Z962" s="103" t="b">
        <f>OR(COUNTIF(PROVEEDORES[[#This Row],[PROVEEDOR]],"*"&amp;'Palabra no opera'!$A$2&amp;"*"))</f>
        <v>0</v>
      </c>
    </row>
    <row r="963" spans="1:26" ht="22.35" customHeight="1" x14ac:dyDescent="0.25">
      <c r="A963" s="65" t="str">
        <f>+IF(PROVEEDORES[[#This Row],[FECHA DE PAGO]]=PROVEEDORES[[#This Row],[FECHA DE FACTURACIÓN]],"DE CONTADO","CRÉDITO")</f>
        <v>CRÉDITO</v>
      </c>
      <c r="B963" s="38" t="str">
        <f>+IF((PROVEEDORES[[#This Row],[FECHA DE PAGO]]-PROVEEDORES[[#This Row],[FECHA DE FACTURACIÓN]])&gt;PROVEEDORES[[#This Row],[PLAZO Días]],"PAGO VENCIDO")</f>
        <v>PAGO VENCIDO</v>
      </c>
      <c r="C963" s="20">
        <f>+VLOOKUP(PROVEEDORES[[#This Row],[PROVEEDOR]],TERCEROS_INFO[#All],2,FALSE)</f>
        <v>45</v>
      </c>
      <c r="D963" s="25">
        <f>+SUMIFS(PROVEEDORES[Total],PROVEEDORES[PROVEEDOR],PROVEEDORES[[#This Row],[PROVEEDOR]],PROVEEDORES[FECHA DE PAGO],"")</f>
        <v>3535656.6</v>
      </c>
      <c r="E963" s="25"/>
      <c r="F963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3" s="289">
        <v>45097</v>
      </c>
      <c r="H963" s="26" t="s">
        <v>19</v>
      </c>
      <c r="I963" s="289">
        <v>45015</v>
      </c>
      <c r="J963" s="35" t="s">
        <v>749</v>
      </c>
      <c r="K963" s="21">
        <v>7884050</v>
      </c>
      <c r="L963" s="21"/>
      <c r="M963" s="22">
        <f>(PROVEEDORES[[#This Row],[SUBTOTAL]]-PROVEEDORES[[#This Row],[descuento sobre subtotal]])*VLOOKUP(PROVEEDORES[[#This Row],[PROVEEDOR]],TERCEROS_INFO[#All],3,FALSE)</f>
        <v>1497969.5</v>
      </c>
      <c r="N963" s="23"/>
      <c r="O963" s="22">
        <f>+PROVEEDORES[[#This Row],[Descuento sobre subtotal %]]*(PROVEEDORES[[#This Row],[SUBTOTAL]]-PROVEEDORES[[#This Row],[descuento sobre subtotal]])</f>
        <v>0</v>
      </c>
      <c r="P963" s="72">
        <f>+IF(PROVEEDORES[[#This Row],[SUBTOTAL]]&lt;PROVEEDORES[[#This Row],[base retencion]],0,PROVEEDORES[[#This Row],[retención aplicada]])</f>
        <v>0</v>
      </c>
      <c r="Q963" s="22">
        <f>+PROVEEDORES[[#This Row],[Rete Fuente %]]*(PROVEEDORES[[#This Row],[SUBTOTAL]]-PROVEEDORES[[#This Row],[descuento sobre subtotal]])</f>
        <v>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9382019.5</v>
      </c>
      <c r="S9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1">
        <f ca="1">IF(PROVEEDORES[[#This Row],[FECHA DE PAGO]]=0,TODAY()-PROVEEDORES[[#This Row],[FECHA DE FACTURACIÓN]]-PROVEEDORES[[#This Row],[PLAZO Días]],0)</f>
        <v>0</v>
      </c>
      <c r="U963" s="97">
        <f>+VLOOKUP(PROVEEDORES[[#This Row],[PROVEEDOR]],Terceros!$A:$D,4,FALSE)</f>
        <v>0</v>
      </c>
      <c r="V963" s="98">
        <f>+YEAR(PROVEEDORES[[#This Row],[FECHA DE FACTURACIÓN]])</f>
        <v>2023</v>
      </c>
      <c r="W963" s="98">
        <f>+MATCH(PROVEEDORES[[#This Row],[año facturado]],Retenciones!$1:$1,0)</f>
        <v>6</v>
      </c>
      <c r="X963" s="99">
        <f>+VLOOKUP(PROVEEDORES[[#This Row],[ID RETENCION]],Retenciones!$A$1:$O$25,PROVEEDORES[[#This Row],[indicador de columna]],FALSE)</f>
        <v>0</v>
      </c>
      <c r="Y963" s="100">
        <f>+VLOOKUP(PROVEEDORES[[#This Row],[ID RETENCION]],Retenciones!$A$1:$O$25,2,FALSE)</f>
        <v>0</v>
      </c>
      <c r="Z963" s="103" t="b">
        <f>OR(COUNTIF(PROVEEDORES[[#This Row],[PROVEEDOR]],"*"&amp;'Palabra no opera'!$A$2&amp;"*"))</f>
        <v>0</v>
      </c>
    </row>
    <row r="964" spans="1:26" ht="22.35" customHeight="1" x14ac:dyDescent="0.25">
      <c r="A964" s="65" t="str">
        <f>+IF(PROVEEDORES[[#This Row],[FECHA DE PAGO]]=PROVEEDORES[[#This Row],[FECHA DE FACTURACIÓN]],"DE CONTADO","CRÉDITO")</f>
        <v>CRÉDITO</v>
      </c>
      <c r="B964" s="38" t="str">
        <f>+IF((PROVEEDORES[[#This Row],[FECHA DE PAGO]]-PROVEEDORES[[#This Row],[FECHA DE FACTURACIÓN]])&gt;PROVEEDORES[[#This Row],[PLAZO Días]],"PAGO VENCIDO")</f>
        <v>PAGO VENCIDO</v>
      </c>
      <c r="C964" s="20">
        <f>+VLOOKUP(PROVEEDORES[[#This Row],[PROVEEDOR]],TERCEROS_INFO[#All],2,FALSE)</f>
        <v>45</v>
      </c>
      <c r="D964" s="25">
        <f>+SUMIFS(PROVEEDORES[Total],PROVEEDORES[PROVEEDOR],PROVEEDORES[[#This Row],[PROVEEDOR]],PROVEEDORES[FECHA DE PAGO],"")</f>
        <v>3535656.6</v>
      </c>
      <c r="E964" s="25"/>
      <c r="F964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4" s="289">
        <v>45097</v>
      </c>
      <c r="H964" s="26" t="s">
        <v>19</v>
      </c>
      <c r="I964" s="289">
        <v>45016</v>
      </c>
      <c r="J964" s="35" t="s">
        <v>750</v>
      </c>
      <c r="K964" s="21">
        <v>826770</v>
      </c>
      <c r="L964" s="21"/>
      <c r="M964" s="22">
        <f>(PROVEEDORES[[#This Row],[SUBTOTAL]]-PROVEEDORES[[#This Row],[descuento sobre subtotal]])*VLOOKUP(PROVEEDORES[[#This Row],[PROVEEDOR]],TERCEROS_INFO[#All],3,FALSE)</f>
        <v>157086.29999999999</v>
      </c>
      <c r="N964" s="23"/>
      <c r="O964" s="22">
        <f>+PROVEEDORES[[#This Row],[Descuento sobre subtotal %]]*(PROVEEDORES[[#This Row],[SUBTOTAL]]-PROVEEDORES[[#This Row],[descuento sobre subtotal]])</f>
        <v>0</v>
      </c>
      <c r="P964" s="72">
        <f>+IF(PROVEEDORES[[#This Row],[SUBTOTAL]]&lt;PROVEEDORES[[#This Row],[base retencion]],0,PROVEEDORES[[#This Row],[retención aplicada]])</f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983856.3</v>
      </c>
      <c r="S9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1">
        <f ca="1">IF(PROVEEDORES[[#This Row],[FECHA DE PAGO]]=0,TODAY()-PROVEEDORES[[#This Row],[FECHA DE FACTURACIÓN]]-PROVEEDORES[[#This Row],[PLAZO Días]],0)</f>
        <v>0</v>
      </c>
      <c r="U964" s="97">
        <f>+VLOOKUP(PROVEEDORES[[#This Row],[PROVEEDOR]],Terceros!$A:$D,4,FALSE)</f>
        <v>0</v>
      </c>
      <c r="V964" s="98">
        <f>+YEAR(PROVEEDORES[[#This Row],[FECHA DE FACTURACIÓN]])</f>
        <v>2023</v>
      </c>
      <c r="W964" s="98">
        <f>+MATCH(PROVEEDORES[[#This Row],[año facturado]],Retenciones!$1:$1,0)</f>
        <v>6</v>
      </c>
      <c r="X964" s="99">
        <f>+VLOOKUP(PROVEEDORES[[#This Row],[ID RETENCION]],Retenciones!$A$1:$O$25,PROVEEDORES[[#This Row],[indicador de columna]],FALSE)</f>
        <v>0</v>
      </c>
      <c r="Y964" s="100">
        <f>+VLOOKUP(PROVEEDORES[[#This Row],[ID RETENCION]],Retenciones!$A$1:$O$25,2,FALSE)</f>
        <v>0</v>
      </c>
      <c r="Z964" s="103" t="b">
        <f>OR(COUNTIF(PROVEEDORES[[#This Row],[PROVEEDOR]],"*"&amp;'Palabra no opera'!$A$2&amp;"*"))</f>
        <v>0</v>
      </c>
    </row>
    <row r="965" spans="1:26" ht="22.35" customHeight="1" x14ac:dyDescent="0.25">
      <c r="A965" s="192" t="str">
        <f>+IF(PROVEEDORES[[#This Row],[FECHA DE PAGO]]=PROVEEDORES[[#This Row],[FECHA DE FACTURACIÓN]],"DE CONTADO","CRÉDITO")</f>
        <v>CRÉDITO</v>
      </c>
      <c r="B965" s="38" t="str">
        <f>+IF((PROVEEDORES[[#This Row],[FECHA DE PAGO]]-PROVEEDORES[[#This Row],[FECHA DE FACTURACIÓN]])&gt;PROVEEDORES[[#This Row],[PLAZO Días]],"PAGO VENCIDO")</f>
        <v>PAGO VENCIDO</v>
      </c>
      <c r="C965" s="20">
        <f>+VLOOKUP(PROVEEDORES[[#This Row],[PROVEEDOR]],TERCEROS_INFO[#All],2,FALSE)</f>
        <v>45</v>
      </c>
      <c r="D965" s="25">
        <f>+SUMIFS(PROVEEDORES[Total],PROVEEDORES[PROVEEDOR],PROVEEDORES[[#This Row],[PROVEEDOR]],PROVEEDORES[FECHA DE PAGO],"")</f>
        <v>3535656.6</v>
      </c>
      <c r="E965" s="25"/>
      <c r="F965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5" s="289">
        <v>45103</v>
      </c>
      <c r="H965" s="26" t="s">
        <v>19</v>
      </c>
      <c r="I965" s="289">
        <v>45042</v>
      </c>
      <c r="J965" s="35" t="s">
        <v>802</v>
      </c>
      <c r="K965" s="21">
        <v>10467600</v>
      </c>
      <c r="L965" s="21"/>
      <c r="M965" s="22">
        <f>(PROVEEDORES[[#This Row],[SUBTOTAL]]-PROVEEDORES[[#This Row],[descuento sobre subtotal]])*VLOOKUP(PROVEEDORES[[#This Row],[PROVEEDOR]],TERCEROS_INFO[#All],3,FALSE)</f>
        <v>1988844</v>
      </c>
      <c r="N965" s="23"/>
      <c r="O965" s="22">
        <f>+PROVEEDORES[[#This Row],[Descuento sobre subtotal %]]*(PROVEEDORES[[#This Row],[SUBTOTAL]]-PROVEEDORES[[#This Row],[descuento sobre subtotal]])</f>
        <v>0</v>
      </c>
      <c r="P965" s="72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12456444</v>
      </c>
      <c r="S96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1">
        <f ca="1">IF(PROVEEDORES[[#This Row],[FECHA DE PAGO]]=0,TODAY()-PROVEEDORES[[#This Row],[FECHA DE FACTURACIÓN]]-PROVEEDORES[[#This Row],[PLAZO Días]],0)</f>
        <v>0</v>
      </c>
      <c r="U965" s="97">
        <f>+VLOOKUP(PROVEEDORES[[#This Row],[PROVEEDOR]],Terceros!$A:$D,4,FALSE)</f>
        <v>0</v>
      </c>
      <c r="V965" s="98">
        <f>+YEAR(PROVEEDORES[[#This Row],[FECHA DE FACTURACIÓN]])</f>
        <v>2023</v>
      </c>
      <c r="W965" s="98">
        <f>+MATCH(PROVEEDORES[[#This Row],[año facturado]],Retenciones!$1:$1,0)</f>
        <v>6</v>
      </c>
      <c r="X965" s="99">
        <f>+VLOOKUP(PROVEEDORES[[#This Row],[ID RETENCION]],Retenciones!$A$1:$O$25,PROVEEDORES[[#This Row],[indicador de columna]],FALSE)</f>
        <v>0</v>
      </c>
      <c r="Y965" s="100">
        <f>+VLOOKUP(PROVEEDORES[[#This Row],[ID RETENCION]],Retenciones!$A$1:$O$25,2,FALSE)</f>
        <v>0</v>
      </c>
      <c r="Z965" s="103" t="b">
        <f>OR(COUNTIF(PROVEEDORES[[#This Row],[PROVEEDOR]],"*"&amp;'Palabra no opera'!$A$2&amp;"*"))</f>
        <v>0</v>
      </c>
    </row>
    <row r="966" spans="1:26" ht="22.35" customHeight="1" x14ac:dyDescent="0.25">
      <c r="A966" s="65" t="str">
        <f>+IF(PROVEEDORES[[#This Row],[FECHA DE PAGO]]=PROVEEDORES[[#This Row],[FECHA DE FACTURACIÓN]],"DE CONTADO","CRÉDITO")</f>
        <v>CRÉDITO</v>
      </c>
      <c r="B966" s="38" t="str">
        <f>+IF((PROVEEDORES[[#This Row],[FECHA DE PAGO]]-PROVEEDORES[[#This Row],[FECHA DE FACTURACIÓN]])&gt;PROVEEDORES[[#This Row],[PLAZO Días]],"PAGO VENCIDO")</f>
        <v>PAGO VENCIDO</v>
      </c>
      <c r="C966" s="20">
        <f>+VLOOKUP(PROVEEDORES[[#This Row],[PROVEEDOR]],TERCEROS_INFO[#All],2,FALSE)</f>
        <v>45</v>
      </c>
      <c r="D966" s="25">
        <f>+SUMIFS(PROVEEDORES[Total],PROVEEDORES[PROVEEDOR],PROVEEDORES[[#This Row],[PROVEEDOR]],PROVEEDORES[FECHA DE PAGO],"")</f>
        <v>3535656.6</v>
      </c>
      <c r="E966" s="25"/>
      <c r="F96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6" s="289">
        <v>45166</v>
      </c>
      <c r="H966" s="26" t="s">
        <v>19</v>
      </c>
      <c r="I966" s="289">
        <v>45107</v>
      </c>
      <c r="J966" s="35" t="s">
        <v>927</v>
      </c>
      <c r="K966" s="21">
        <v>7200600</v>
      </c>
      <c r="L966" s="21"/>
      <c r="M966" s="22">
        <f>(PROVEEDORES[[#This Row],[SUBTOTAL]]-PROVEEDORES[[#This Row],[descuento sobre subtotal]])*VLOOKUP(PROVEEDORES[[#This Row],[PROVEEDOR]],TERCEROS_INFO[#All],3,FALSE)</f>
        <v>1368114</v>
      </c>
      <c r="N966" s="23"/>
      <c r="O966" s="22">
        <f>+PROVEEDORES[[#This Row],[Descuento sobre subtotal %]]*(PROVEEDORES[[#This Row],[SUBTOTAL]]-PROVEEDORES[[#This Row],[descuento sobre subtotal]])</f>
        <v>0</v>
      </c>
      <c r="P966" s="72">
        <f>+IF(PROVEEDORES[[#This Row],[SUBTOTAL]]&lt;PROVEEDORES[[#This Row],[base retencion]],0,PROVEEDORES[[#This Row],[retención aplicada]])</f>
        <v>0</v>
      </c>
      <c r="Q966" s="22">
        <f>+PROVEEDORES[[#This Row],[Rete Fuente %]]*(PROVEEDORES[[#This Row],[SUBTOTAL]]-PROVEEDORES[[#This Row],[descuento sobre subtotal]])</f>
        <v>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8568714</v>
      </c>
      <c r="S96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1">
        <f ca="1">IF(PROVEEDORES[[#This Row],[FECHA DE PAGO]]=0,TODAY()-PROVEEDORES[[#This Row],[FECHA DE FACTURACIÓN]]-PROVEEDORES[[#This Row],[PLAZO Días]],0)</f>
        <v>0</v>
      </c>
      <c r="U966" s="97">
        <f>+VLOOKUP(PROVEEDORES[[#This Row],[PROVEEDOR]],Terceros!$A:$D,4,FALSE)</f>
        <v>0</v>
      </c>
      <c r="V966" s="98">
        <f>+YEAR(PROVEEDORES[[#This Row],[FECHA DE FACTURACIÓN]])</f>
        <v>2023</v>
      </c>
      <c r="W966" s="98">
        <f>+MATCH(PROVEEDORES[[#This Row],[año facturado]],Retenciones!$1:$1,0)</f>
        <v>6</v>
      </c>
      <c r="X966" s="99">
        <f>+VLOOKUP(PROVEEDORES[[#This Row],[ID RETENCION]],Retenciones!$A$1:$O$25,PROVEEDORES[[#This Row],[indicador de columna]],FALSE)</f>
        <v>0</v>
      </c>
      <c r="Y966" s="100">
        <f>+VLOOKUP(PROVEEDORES[[#This Row],[ID RETENCION]],Retenciones!$A$1:$O$25,2,FALSE)</f>
        <v>0</v>
      </c>
      <c r="Z966" s="103" t="b">
        <f>OR(COUNTIF(PROVEEDORES[[#This Row],[PROVEEDOR]],"*"&amp;'Palabra no opera'!$A$2&amp;"*"))</f>
        <v>0</v>
      </c>
    </row>
    <row r="967" spans="1:26" ht="22.35" customHeight="1" x14ac:dyDescent="0.25">
      <c r="A967" s="213" t="str">
        <f>+IF(PROVEEDORES[[#This Row],[FECHA DE PAGO]]=PROVEEDORES[[#This Row],[FECHA DE FACTURACIÓN]],"DE CONTADO","CRÉDITO")</f>
        <v>CRÉDITO</v>
      </c>
      <c r="B967" s="38" t="str">
        <f>+IF((PROVEEDORES[[#This Row],[FECHA DE PAGO]]-PROVEEDORES[[#This Row],[FECHA DE FACTURACIÓN]])&gt;PROVEEDORES[[#This Row],[PLAZO Días]],"PAGO VENCIDO")</f>
        <v>PAGO VENCIDO</v>
      </c>
      <c r="C967" s="20">
        <f>+VLOOKUP(PROVEEDORES[[#This Row],[PROVEEDOR]],TERCEROS_INFO[#All],2,FALSE)</f>
        <v>45</v>
      </c>
      <c r="D967" s="25">
        <f>+SUMIFS(PROVEEDORES[Total],PROVEEDORES[PROVEEDOR],PROVEEDORES[[#This Row],[PROVEEDOR]],PROVEEDORES[FECHA DE PAGO],"")</f>
        <v>3535656.6</v>
      </c>
      <c r="E967" s="25"/>
      <c r="F96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7" s="289">
        <v>45166</v>
      </c>
      <c r="H967" s="26" t="s">
        <v>19</v>
      </c>
      <c r="I967" s="289">
        <v>45118</v>
      </c>
      <c r="J967" s="35" t="s">
        <v>965</v>
      </c>
      <c r="K967" s="21">
        <v>1635783</v>
      </c>
      <c r="L967" s="21"/>
      <c r="M967" s="22">
        <f>(PROVEEDORES[[#This Row],[SUBTOTAL]]-PROVEEDORES[[#This Row],[descuento sobre subtotal]])*VLOOKUP(PROVEEDORES[[#This Row],[PROVEEDOR]],TERCEROS_INFO[#All],3,FALSE)</f>
        <v>310798.77</v>
      </c>
      <c r="N967" s="23"/>
      <c r="O967" s="22">
        <f>+PROVEEDORES[[#This Row],[Descuento sobre subtotal %]]*(PROVEEDORES[[#This Row],[SUBTOTAL]]-PROVEEDORES[[#This Row],[descuento sobre subtotal]])</f>
        <v>0</v>
      </c>
      <c r="P967" s="72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1946581.77</v>
      </c>
      <c r="S967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1">
        <f ca="1">IF(PROVEEDORES[[#This Row],[FECHA DE PAGO]]=0,TODAY()-PROVEEDORES[[#This Row],[FECHA DE FACTURACIÓN]]-PROVEEDORES[[#This Row],[PLAZO Días]],0)</f>
        <v>0</v>
      </c>
      <c r="U967" s="97">
        <f>+VLOOKUP(PROVEEDORES[[#This Row],[PROVEEDOR]],Terceros!$A:$D,4,FALSE)</f>
        <v>0</v>
      </c>
      <c r="V967" s="98">
        <f>+YEAR(PROVEEDORES[[#This Row],[FECHA DE FACTURACIÓN]])</f>
        <v>2023</v>
      </c>
      <c r="W967" s="98">
        <f>+MATCH(PROVEEDORES[[#This Row],[año facturado]],Retenciones!$1:$1,0)</f>
        <v>6</v>
      </c>
      <c r="X967" s="99">
        <f>+VLOOKUP(PROVEEDORES[[#This Row],[ID RETENCION]],Retenciones!$A$1:$O$25,PROVEEDORES[[#This Row],[indicador de columna]],FALSE)</f>
        <v>0</v>
      </c>
      <c r="Y967" s="100">
        <f>+VLOOKUP(PROVEEDORES[[#This Row],[ID RETENCION]],Retenciones!$A$1:$O$25,2,FALSE)</f>
        <v>0</v>
      </c>
      <c r="Z967" s="103" t="b">
        <f>OR(COUNTIF(PROVEEDORES[[#This Row],[PROVEEDOR]],"*"&amp;'Palabra no opera'!$A$2&amp;"*"))</f>
        <v>0</v>
      </c>
    </row>
    <row r="968" spans="1:26" ht="22.35" customHeight="1" x14ac:dyDescent="0.25">
      <c r="A968" s="213" t="str">
        <f>+IF(PROVEEDORES[[#This Row],[FECHA DE PAGO]]=PROVEEDORES[[#This Row],[FECHA DE FACTURACIÓN]],"DE CONTADO","CRÉDITO")</f>
        <v>CRÉDITO</v>
      </c>
      <c r="B968" s="38" t="str">
        <f>+IF((PROVEEDORES[[#This Row],[FECHA DE PAGO]]-PROVEEDORES[[#This Row],[FECHA DE FACTURACIÓN]])&gt;PROVEEDORES[[#This Row],[PLAZO Días]],"PAGO VENCIDO")</f>
        <v>PAGO VENCIDO</v>
      </c>
      <c r="C968" s="20">
        <f>+VLOOKUP(PROVEEDORES[[#This Row],[PROVEEDOR]],TERCEROS_INFO[#All],2,FALSE)</f>
        <v>45</v>
      </c>
      <c r="D968" s="25">
        <f>+SUMIFS(PROVEEDORES[Total],PROVEEDORES[PROVEEDOR],PROVEEDORES[[#This Row],[PROVEEDOR]],PROVEEDORES[FECHA DE PAGO],"")</f>
        <v>3535656.6</v>
      </c>
      <c r="E968" s="25"/>
      <c r="F96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8" s="289">
        <v>45187</v>
      </c>
      <c r="H968" s="26" t="s">
        <v>19</v>
      </c>
      <c r="I968" s="289">
        <v>45121</v>
      </c>
      <c r="J968" s="35" t="s">
        <v>964</v>
      </c>
      <c r="K968" s="21">
        <v>1635783</v>
      </c>
      <c r="L968" s="21"/>
      <c r="M968" s="22">
        <f>(PROVEEDORES[[#This Row],[SUBTOTAL]]-PROVEEDORES[[#This Row],[descuento sobre subtotal]])*VLOOKUP(PROVEEDORES[[#This Row],[PROVEEDOR]],TERCEROS_INFO[#All],3,FALSE)</f>
        <v>310798.77</v>
      </c>
      <c r="N968" s="23"/>
      <c r="O968" s="22">
        <f>+PROVEEDORES[[#This Row],[Descuento sobre subtotal %]]*(PROVEEDORES[[#This Row],[SUBTOTAL]]-PROVEEDORES[[#This Row],[descuento sobre subtotal]])</f>
        <v>0</v>
      </c>
      <c r="P968" s="72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f>+PROVEEDORES[[#This Row],[SUBTOTAL]]+PROVEEDORES[[#This Row],[IVA 19%]]-PROVEEDORES[[#This Row],[descuento sobre subtotal]]-PROVEEDORES[[#This Row],[Descuento sobre subtotal $2]]-PROVEEDORES[[#This Row],[Rete Fuente $]]</f>
        <v>1946581.77</v>
      </c>
      <c r="S968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1">
        <f ca="1">IF(PROVEEDORES[[#This Row],[FECHA DE PAGO]]=0,TODAY()-PROVEEDORES[[#This Row],[FECHA DE FACTURACIÓN]]-PROVEEDORES[[#This Row],[PLAZO Días]],0)</f>
        <v>0</v>
      </c>
      <c r="U968" s="97">
        <f>+VLOOKUP(PROVEEDORES[[#This Row],[PROVEEDOR]],Terceros!$A:$D,4,FALSE)</f>
        <v>0</v>
      </c>
      <c r="V968" s="98">
        <f>+YEAR(PROVEEDORES[[#This Row],[FECHA DE FACTURACIÓN]])</f>
        <v>2023</v>
      </c>
      <c r="W968" s="98">
        <f>+MATCH(PROVEEDORES[[#This Row],[año facturado]],Retenciones!$1:$1,0)</f>
        <v>6</v>
      </c>
      <c r="X968" s="99">
        <f>+VLOOKUP(PROVEEDORES[[#This Row],[ID RETENCION]],Retenciones!$A$1:$O$25,PROVEEDORES[[#This Row],[indicador de columna]],FALSE)</f>
        <v>0</v>
      </c>
      <c r="Y968" s="100">
        <f>+VLOOKUP(PROVEEDORES[[#This Row],[ID RETENCION]],Retenciones!$A$1:$O$25,2,FALSE)</f>
        <v>0</v>
      </c>
      <c r="Z968" s="103" t="b">
        <f>OR(COUNTIF(PROVEEDORES[[#This Row],[PROVEEDOR]],"*"&amp;'Palabra no opera'!$A$2&amp;"*"))</f>
        <v>0</v>
      </c>
    </row>
    <row r="969" spans="1:26" ht="22.35" customHeight="1" x14ac:dyDescent="0.25">
      <c r="A969" s="219" t="str">
        <f>+IF(PROVEEDORES[[#This Row],[FECHA DE PAGO]]=PROVEEDORES[[#This Row],[FECHA DE FACTURACIÓN]],"DE CONTADO","CRÉDITO")</f>
        <v>CRÉDITO</v>
      </c>
      <c r="B969" s="38" t="str">
        <f>+IF((PROVEEDORES[[#This Row],[FECHA DE PAGO]]-PROVEEDORES[[#This Row],[FECHA DE FACTURACIÓN]])&gt;PROVEEDORES[[#This Row],[PLAZO Días]],"PAGO VENCIDO")</f>
        <v>PAGO VENCIDO</v>
      </c>
      <c r="C969" s="20">
        <f>+VLOOKUP(PROVEEDORES[[#This Row],[PROVEEDOR]],TERCEROS_INFO[#All],2,FALSE)</f>
        <v>45</v>
      </c>
      <c r="D969" s="25">
        <f>+SUMIFS(PROVEEDORES[Total],PROVEEDORES[PROVEEDOR],PROVEEDORES[[#This Row],[PROVEEDOR]],PROVEEDORES[FECHA DE PAGO],"")</f>
        <v>3535656.6</v>
      </c>
      <c r="E969" s="25"/>
      <c r="F969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9" s="289">
        <v>45187</v>
      </c>
      <c r="H969" s="26" t="s">
        <v>19</v>
      </c>
      <c r="I969" s="289">
        <v>45135</v>
      </c>
      <c r="J969" s="35" t="s">
        <v>998</v>
      </c>
      <c r="K969" s="21">
        <v>1220051</v>
      </c>
      <c r="L969" s="21"/>
      <c r="M969" s="22">
        <f>(PROVEEDORES[[#This Row],[SUBTOTAL]]-PROVEEDORES[[#This Row],[descuento sobre subtotal]])*VLOOKUP(PROVEEDORES[[#This Row],[PROVEEDOR]],TERCEROS_INFO[#All],3,FALSE)</f>
        <v>231809.69</v>
      </c>
      <c r="N969" s="23"/>
      <c r="O969" s="22">
        <f>+PROVEEDORES[[#This Row],[Descuento sobre subtotal %]]*(PROVEEDORES[[#This Row],[SUBTOTAL]]-PROVEEDORES[[#This Row],[descuento sobre subtotal]])</f>
        <v>0</v>
      </c>
      <c r="P969" s="72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1451860.69</v>
      </c>
      <c r="S969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1">
        <f ca="1">IF(PROVEEDORES[[#This Row],[FECHA DE PAGO]]=0,TODAY()-PROVEEDORES[[#This Row],[FECHA DE FACTURACIÓN]]-PROVEEDORES[[#This Row],[PLAZO Días]],0)</f>
        <v>0</v>
      </c>
      <c r="U969" s="97">
        <f>+VLOOKUP(PROVEEDORES[[#This Row],[PROVEEDOR]],Terceros!$A:$D,4,FALSE)</f>
        <v>0</v>
      </c>
      <c r="V969" s="98">
        <f>+YEAR(PROVEEDORES[[#This Row],[FECHA DE FACTURACIÓN]])</f>
        <v>2023</v>
      </c>
      <c r="W969" s="98">
        <f>+MATCH(PROVEEDORES[[#This Row],[año facturado]],Retenciones!$1:$1,0)</f>
        <v>6</v>
      </c>
      <c r="X969" s="99">
        <f>+VLOOKUP(PROVEEDORES[[#This Row],[ID RETENCION]],Retenciones!$A$1:$O$25,PROVEEDORES[[#This Row],[indicador de columna]],FALSE)</f>
        <v>0</v>
      </c>
      <c r="Y969" s="100">
        <f>+VLOOKUP(PROVEEDORES[[#This Row],[ID RETENCION]],Retenciones!$A$1:$O$25,2,FALSE)</f>
        <v>0</v>
      </c>
      <c r="Z969" s="103" t="b">
        <f>OR(COUNTIF(PROVEEDORES[[#This Row],[PROVEEDOR]],"*"&amp;'Palabra no opera'!$A$2&amp;"*"))</f>
        <v>0</v>
      </c>
    </row>
    <row r="970" spans="1:26" ht="22.35" customHeight="1" x14ac:dyDescent="0.25">
      <c r="A970" s="65" t="str">
        <f>+IF(PROVEEDORES[[#This Row],[FECHA DE PAGO]]=PROVEEDORES[[#This Row],[FECHA DE FACTURACIÓN]],"DE CONTADO","CRÉDITO")</f>
        <v>CRÉDITO</v>
      </c>
      <c r="B970" s="38" t="str">
        <f>+IF((PROVEEDORES[[#This Row],[FECHA DE PAGO]]-PROVEEDORES[[#This Row],[FECHA DE FACTURACIÓN]])&gt;PROVEEDORES[[#This Row],[PLAZO Días]],"PAGO VENCIDO")</f>
        <v>PAGO VENCIDO</v>
      </c>
      <c r="C970" s="20">
        <f>+VLOOKUP(PROVEEDORES[[#This Row],[PROVEEDOR]],TERCEROS_INFO[#All],2,FALSE)</f>
        <v>45</v>
      </c>
      <c r="D970" s="25">
        <f>+SUMIFS(PROVEEDORES[Total],PROVEEDORES[PROVEEDOR],PROVEEDORES[[#This Row],[PROVEEDOR]],PROVEEDORES[FECHA DE PAGO],"")</f>
        <v>3535656.6</v>
      </c>
      <c r="E970" s="25"/>
      <c r="F97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0" s="289">
        <v>45197</v>
      </c>
      <c r="H970" s="26" t="s">
        <v>19</v>
      </c>
      <c r="I970" s="289">
        <v>45142</v>
      </c>
      <c r="J970" s="35" t="s">
        <v>1018</v>
      </c>
      <c r="K970" s="21">
        <v>7543977</v>
      </c>
      <c r="L970" s="21"/>
      <c r="M970" s="22">
        <f>(PROVEEDORES[[#This Row],[SUBTOTAL]]-PROVEEDORES[[#This Row],[descuento sobre subtotal]])*VLOOKUP(PROVEEDORES[[#This Row],[PROVEEDOR]],TERCEROS_INFO[#All],3,FALSE)</f>
        <v>1433355.6300000001</v>
      </c>
      <c r="N970" s="23"/>
      <c r="O970" s="22">
        <f>+PROVEEDORES[[#This Row],[Descuento sobre subtotal %]]*(PROVEEDORES[[#This Row],[SUBTOTAL]]-PROVEEDORES[[#This Row],[descuento sobre subtotal]])</f>
        <v>0</v>
      </c>
      <c r="P970" s="72">
        <f>+IF(PROVEEDORES[[#This Row],[SUBTOTAL]]&lt;PROVEEDORES[[#This Row],[base retencion]],0,PROVEEDORES[[#This Row],[retención aplicada]])</f>
        <v>0</v>
      </c>
      <c r="Q970" s="22">
        <f>+PROVEEDORES[[#This Row],[Rete Fuente %]]*(PROVEEDORES[[#This Row],[SUBTOTAL]]-PROVEEDORES[[#This Row],[descuento sobre subtotal]])</f>
        <v>0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8977332.6300000008</v>
      </c>
      <c r="S9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1">
        <f ca="1">IF(PROVEEDORES[[#This Row],[FECHA DE PAGO]]=0,TODAY()-PROVEEDORES[[#This Row],[FECHA DE FACTURACIÓN]]-PROVEEDORES[[#This Row],[PLAZO Días]],0)</f>
        <v>0</v>
      </c>
      <c r="U970" s="97">
        <f>+VLOOKUP(PROVEEDORES[[#This Row],[PROVEEDOR]],Terceros!$A:$D,4,FALSE)</f>
        <v>0</v>
      </c>
      <c r="V970" s="98">
        <f>+YEAR(PROVEEDORES[[#This Row],[FECHA DE FACTURACIÓN]])</f>
        <v>2023</v>
      </c>
      <c r="W970" s="98">
        <f>+MATCH(PROVEEDORES[[#This Row],[año facturado]],Retenciones!$1:$1,0)</f>
        <v>6</v>
      </c>
      <c r="X970" s="99">
        <f>+VLOOKUP(PROVEEDORES[[#This Row],[ID RETENCION]],Retenciones!$A$1:$O$25,PROVEEDORES[[#This Row],[indicador de columna]],FALSE)</f>
        <v>0</v>
      </c>
      <c r="Y970" s="100">
        <f>+VLOOKUP(PROVEEDORES[[#This Row],[ID RETENCION]],Retenciones!$A$1:$O$25,2,FALSE)</f>
        <v>0</v>
      </c>
      <c r="Z970" s="103" t="b">
        <f>OR(COUNTIF(PROVEEDORES[[#This Row],[PROVEEDOR]],"*"&amp;'Palabra no opera'!$A$2&amp;"*"))</f>
        <v>0</v>
      </c>
    </row>
    <row r="971" spans="1:26" ht="22.35" customHeight="1" x14ac:dyDescent="0.25">
      <c r="A971" s="65" t="str">
        <f>+IF(PROVEEDORES[[#This Row],[FECHA DE PAGO]]=PROVEEDORES[[#This Row],[FECHA DE FACTURACIÓN]],"DE CONTADO","CRÉDITO")</f>
        <v>CRÉDITO</v>
      </c>
      <c r="B971" s="38" t="str">
        <f>+IF((PROVEEDORES[[#This Row],[FECHA DE PAGO]]-PROVEEDORES[[#This Row],[FECHA DE FACTURACIÓN]])&gt;PROVEEDORES[[#This Row],[PLAZO Días]],"PAGO VENCIDO")</f>
        <v>PAGO VENCIDO</v>
      </c>
      <c r="C971" s="20">
        <f>+VLOOKUP(PROVEEDORES[[#This Row],[PROVEEDOR]],TERCEROS_INFO[#All],2,FALSE)</f>
        <v>45</v>
      </c>
      <c r="D971" s="25">
        <f>+SUMIFS(PROVEEDORES[Total],PROVEEDORES[PROVEEDOR],PROVEEDORES[[#This Row],[PROVEEDOR]],PROVEEDORES[FECHA DE PAGO],"")</f>
        <v>3535656.6</v>
      </c>
      <c r="E971" s="25"/>
      <c r="F971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1" s="289">
        <v>45197</v>
      </c>
      <c r="H971" s="26" t="s">
        <v>19</v>
      </c>
      <c r="I971" s="289">
        <v>45146</v>
      </c>
      <c r="J971" s="35" t="s">
        <v>1017</v>
      </c>
      <c r="K971" s="21">
        <v>4162770</v>
      </c>
      <c r="L971" s="21"/>
      <c r="M971" s="22">
        <f>(PROVEEDORES[[#This Row],[SUBTOTAL]]-PROVEEDORES[[#This Row],[descuento sobre subtotal]])*VLOOKUP(PROVEEDORES[[#This Row],[PROVEEDOR]],TERCEROS_INFO[#All],3,FALSE)</f>
        <v>790926.3</v>
      </c>
      <c r="N971" s="23"/>
      <c r="O971" s="22">
        <f>+PROVEEDORES[[#This Row],[Descuento sobre subtotal %]]*(PROVEEDORES[[#This Row],[SUBTOTAL]]-PROVEEDORES[[#This Row],[descuento sobre subtotal]])</f>
        <v>0</v>
      </c>
      <c r="P971" s="72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4953696.3</v>
      </c>
      <c r="S9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61">
        <f ca="1">IF(PROVEEDORES[[#This Row],[FECHA DE PAGO]]=0,TODAY()-PROVEEDORES[[#This Row],[FECHA DE FACTURACIÓN]]-PROVEEDORES[[#This Row],[PLAZO Días]],0)</f>
        <v>0</v>
      </c>
      <c r="U971" s="97">
        <f>+VLOOKUP(PROVEEDORES[[#This Row],[PROVEEDOR]],Terceros!$A:$D,4,FALSE)</f>
        <v>0</v>
      </c>
      <c r="V971" s="98">
        <f>+YEAR(PROVEEDORES[[#This Row],[FECHA DE FACTURACIÓN]])</f>
        <v>2023</v>
      </c>
      <c r="W971" s="98">
        <f>+MATCH(PROVEEDORES[[#This Row],[año facturado]],Retenciones!$1:$1,0)</f>
        <v>6</v>
      </c>
      <c r="X971" s="99">
        <f>+VLOOKUP(PROVEEDORES[[#This Row],[ID RETENCION]],Retenciones!$A$1:$O$25,PROVEEDORES[[#This Row],[indicador de columna]],FALSE)</f>
        <v>0</v>
      </c>
      <c r="Y971" s="100">
        <f>+VLOOKUP(PROVEEDORES[[#This Row],[ID RETENCION]],Retenciones!$A$1:$O$25,2,FALSE)</f>
        <v>0</v>
      </c>
      <c r="Z971" s="103" t="b">
        <f>OR(COUNTIF(PROVEEDORES[[#This Row],[PROVEEDOR]],"*"&amp;'Palabra no opera'!$A$2&amp;"*"))</f>
        <v>0</v>
      </c>
    </row>
    <row r="972" spans="1:26" ht="22.35" customHeight="1" x14ac:dyDescent="0.25">
      <c r="A972" s="229" t="str">
        <f>+IF(PROVEEDORES[[#This Row],[FECHA DE PAGO]]=PROVEEDORES[[#This Row],[FECHA DE FACTURACIÓN]],"DE CONTADO","CRÉDITO")</f>
        <v>CRÉDITO</v>
      </c>
      <c r="B972" s="38" t="str">
        <f>+IF((PROVEEDORES[[#This Row],[FECHA DE PAGO]]-PROVEEDORES[[#This Row],[FECHA DE FACTURACIÓN]])&gt;PROVEEDORES[[#This Row],[PLAZO Días]],"PAGO VENCIDO")</f>
        <v>PAGO VENCIDO</v>
      </c>
      <c r="C972" s="20">
        <f>+VLOOKUP(PROVEEDORES[[#This Row],[PROVEEDOR]],TERCEROS_INFO[#All],2,FALSE)</f>
        <v>45</v>
      </c>
      <c r="D972" s="25">
        <f>+SUMIFS(PROVEEDORES[Total],PROVEEDORES[PROVEEDOR],PROVEEDORES[[#This Row],[PROVEEDOR]],PROVEEDORES[FECHA DE PAGO],"")</f>
        <v>3535656.6</v>
      </c>
      <c r="E972" s="25"/>
      <c r="F972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2" s="289">
        <v>45219</v>
      </c>
      <c r="H972" s="26" t="s">
        <v>19</v>
      </c>
      <c r="I972" s="289">
        <v>45167</v>
      </c>
      <c r="J972" s="35" t="s">
        <v>1068</v>
      </c>
      <c r="K972" s="21">
        <v>13296150</v>
      </c>
      <c r="L972" s="21"/>
      <c r="M972" s="22">
        <f>(PROVEEDORES[[#This Row],[SUBTOTAL]]-PROVEEDORES[[#This Row],[descuento sobre subtotal]])*VLOOKUP(PROVEEDORES[[#This Row],[PROVEEDOR]],TERCEROS_INFO[#All],3,FALSE)</f>
        <v>2526268.5</v>
      </c>
      <c r="N972" s="23"/>
      <c r="O972" s="22">
        <f>+PROVEEDORES[[#This Row],[Descuento sobre subtotal %]]*(PROVEEDORES[[#This Row],[SUBTOTAL]]-PROVEEDORES[[#This Row],[descuento sobre subtotal]])</f>
        <v>0</v>
      </c>
      <c r="P972" s="72">
        <f>+IF(PROVEEDORES[[#This Row],[SUBTOTAL]]&lt;PROVEEDORES[[#This Row],[base retencion]],0,PROVEEDORES[[#This Row],[retención aplicada]])</f>
        <v>0</v>
      </c>
      <c r="Q972" s="22">
        <f>+PROVEEDORES[[#This Row],[Rete Fuente %]]*(PROVEEDORES[[#This Row],[SUBTOTAL]]-PROVEEDORES[[#This Row],[descuento sobre subtotal]])</f>
        <v>0</v>
      </c>
      <c r="R972" s="21">
        <f>+PROVEEDORES[[#This Row],[SUBTOTAL]]+PROVEEDORES[[#This Row],[IVA 19%]]-PROVEEDORES[[#This Row],[descuento sobre subtotal]]-PROVEEDORES[[#This Row],[Descuento sobre subtotal $2]]-PROVEEDORES[[#This Row],[Rete Fuente $]]</f>
        <v>15822418.5</v>
      </c>
      <c r="S972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1">
        <f ca="1">IF(PROVEEDORES[[#This Row],[FECHA DE PAGO]]=0,TODAY()-PROVEEDORES[[#This Row],[FECHA DE FACTURACIÓN]]-PROVEEDORES[[#This Row],[PLAZO Días]],0)</f>
        <v>0</v>
      </c>
      <c r="U972" s="97">
        <f>+VLOOKUP(PROVEEDORES[[#This Row],[PROVEEDOR]],Terceros!$A:$D,4,FALSE)</f>
        <v>0</v>
      </c>
      <c r="V972" s="98">
        <f>+YEAR(PROVEEDORES[[#This Row],[FECHA DE FACTURACIÓN]])</f>
        <v>2023</v>
      </c>
      <c r="W972" s="98">
        <f>+MATCH(PROVEEDORES[[#This Row],[año facturado]],Retenciones!$1:$1,0)</f>
        <v>6</v>
      </c>
      <c r="X972" s="99">
        <f>+VLOOKUP(PROVEEDORES[[#This Row],[ID RETENCION]],Retenciones!$A$1:$O$25,PROVEEDORES[[#This Row],[indicador de columna]],FALSE)</f>
        <v>0</v>
      </c>
      <c r="Y972" s="100">
        <f>+VLOOKUP(PROVEEDORES[[#This Row],[ID RETENCION]],Retenciones!$A$1:$O$25,2,FALSE)</f>
        <v>0</v>
      </c>
      <c r="Z972" s="103" t="b">
        <f>OR(COUNTIF(PROVEEDORES[[#This Row],[PROVEEDOR]],"*"&amp;'Palabra no opera'!$A$2&amp;"*"))</f>
        <v>0</v>
      </c>
    </row>
    <row r="973" spans="1:26" ht="22.35" customHeight="1" x14ac:dyDescent="0.25">
      <c r="A973" s="65" t="str">
        <f>+IF(PROVEEDORES[[#This Row],[FECHA DE PAGO]]=PROVEEDORES[[#This Row],[FECHA DE FACTURACIÓN]],"DE CONTADO","CRÉDITO")</f>
        <v>CRÉDITO</v>
      </c>
      <c r="B973" s="38" t="str">
        <f>+IF((PROVEEDORES[[#This Row],[FECHA DE PAGO]]-PROVEEDORES[[#This Row],[FECHA DE FACTURACIÓN]])&gt;PROVEEDORES[[#This Row],[PLAZO Días]],"PAGO VENCIDO")</f>
        <v>PAGO VENCIDO</v>
      </c>
      <c r="C973" s="20">
        <f>+VLOOKUP(PROVEEDORES[[#This Row],[PROVEEDOR]],TERCEROS_INFO[#All],2,FALSE)</f>
        <v>45</v>
      </c>
      <c r="D973" s="25">
        <f>+SUMIFS(PROVEEDORES[Total],PROVEEDORES[PROVEEDOR],PROVEEDORES[[#This Row],[PROVEEDOR]],PROVEEDORES[FECHA DE PAGO],"")</f>
        <v>3535656.6</v>
      </c>
      <c r="E973" s="25"/>
      <c r="F973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3" s="289">
        <v>45237</v>
      </c>
      <c r="H973" s="26" t="s">
        <v>19</v>
      </c>
      <c r="I973" s="289">
        <v>45177</v>
      </c>
      <c r="J973" s="35" t="s">
        <v>1102</v>
      </c>
      <c r="K973" s="21">
        <v>723695</v>
      </c>
      <c r="L973" s="21"/>
      <c r="M973" s="22">
        <f>(PROVEEDORES[[#This Row],[SUBTOTAL]]-PROVEEDORES[[#This Row],[descuento sobre subtotal]])*VLOOKUP(PROVEEDORES[[#This Row],[PROVEEDOR]],TERCEROS_INFO[#All],3,FALSE)</f>
        <v>137502.04999999999</v>
      </c>
      <c r="N973" s="23"/>
      <c r="O973" s="22">
        <f>+PROVEEDORES[[#This Row],[Descuento sobre subtotal %]]*(PROVEEDORES[[#This Row],[SUBTOTAL]]-PROVEEDORES[[#This Row],[descuento sobre subtotal]])</f>
        <v>0</v>
      </c>
      <c r="P973" s="72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861197.05</v>
      </c>
      <c r="S9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1">
        <f ca="1">IF(PROVEEDORES[[#This Row],[FECHA DE PAGO]]=0,TODAY()-PROVEEDORES[[#This Row],[FECHA DE FACTURACIÓN]]-PROVEEDORES[[#This Row],[PLAZO Días]],0)</f>
        <v>0</v>
      </c>
      <c r="U973" s="97">
        <f>+VLOOKUP(PROVEEDORES[[#This Row],[PROVEEDOR]],Terceros!$A:$D,4,FALSE)</f>
        <v>0</v>
      </c>
      <c r="V973" s="98">
        <f>+YEAR(PROVEEDORES[[#This Row],[FECHA DE FACTURACIÓN]])</f>
        <v>2023</v>
      </c>
      <c r="W973" s="98">
        <f>+MATCH(PROVEEDORES[[#This Row],[año facturado]],Retenciones!$1:$1,0)</f>
        <v>6</v>
      </c>
      <c r="X973" s="99">
        <f>+VLOOKUP(PROVEEDORES[[#This Row],[ID RETENCION]],Retenciones!$A$1:$O$25,PROVEEDORES[[#This Row],[indicador de columna]],FALSE)</f>
        <v>0</v>
      </c>
      <c r="Y973" s="100">
        <f>+VLOOKUP(PROVEEDORES[[#This Row],[ID RETENCION]],Retenciones!$A$1:$O$25,2,FALSE)</f>
        <v>0</v>
      </c>
      <c r="Z973" s="103" t="b">
        <f>OR(COUNTIF(PROVEEDORES[[#This Row],[PROVEEDOR]],"*"&amp;'Palabra no opera'!$A$2&amp;"*"))</f>
        <v>0</v>
      </c>
    </row>
    <row r="974" spans="1:26" ht="22.35" customHeight="1" x14ac:dyDescent="0.25">
      <c r="A974" s="65" t="str">
        <f>+IF(PROVEEDORES[[#This Row],[FECHA DE PAGO]]=PROVEEDORES[[#This Row],[FECHA DE FACTURACIÓN]],"DE CONTADO","CRÉDITO")</f>
        <v>CRÉDITO</v>
      </c>
      <c r="B974" s="38" t="b">
        <f>+IF((PROVEEDORES[[#This Row],[FECHA DE PAGO]]-PROVEEDORES[[#This Row],[FECHA DE FACTURACIÓN]])&gt;PROVEEDORES[[#This Row],[PLAZO Días]],"PAGO VENCIDO")</f>
        <v>0</v>
      </c>
      <c r="C974" s="20">
        <f>+VLOOKUP(PROVEEDORES[[#This Row],[PROVEEDOR]],TERCEROS_INFO[#All],2,FALSE)</f>
        <v>45</v>
      </c>
      <c r="D974" s="25">
        <f>+SUMIFS(PROVEEDORES[Total],PROVEEDORES[PROVEEDOR],PROVEEDORES[[#This Row],[PROVEEDOR]],PROVEEDORES[FECHA DE PAGO],"")</f>
        <v>3535656.6</v>
      </c>
      <c r="E974" s="25"/>
      <c r="F974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4" s="289">
        <v>45219</v>
      </c>
      <c r="H974" s="26" t="s">
        <v>19</v>
      </c>
      <c r="I974" s="289">
        <v>45197</v>
      </c>
      <c r="J974" s="35" t="s">
        <v>1099</v>
      </c>
      <c r="K974" s="21">
        <v>-5882353</v>
      </c>
      <c r="L974" s="21"/>
      <c r="M974" s="22">
        <f>(PROVEEDORES[[#This Row],[SUBTOTAL]]-PROVEEDORES[[#This Row],[descuento sobre subtotal]])*VLOOKUP(PROVEEDORES[[#This Row],[PROVEEDOR]],TERCEROS_INFO[#All],3,FALSE)</f>
        <v>-1117647.07</v>
      </c>
      <c r="N974" s="23"/>
      <c r="O974" s="22">
        <f>+PROVEEDORES[[#This Row],[Descuento sobre subtotal %]]*(PROVEEDORES[[#This Row],[SUBTOTAL]]-PROVEEDORES[[#This Row],[descuento sobre subtotal]])</f>
        <v>0</v>
      </c>
      <c r="P974" s="72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-7000000.0700000003</v>
      </c>
      <c r="S9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1">
        <f ca="1">IF(PROVEEDORES[[#This Row],[FECHA DE PAGO]]=0,TODAY()-PROVEEDORES[[#This Row],[FECHA DE FACTURACIÓN]]-PROVEEDORES[[#This Row],[PLAZO Días]],0)</f>
        <v>0</v>
      </c>
      <c r="U974" s="97">
        <f>+VLOOKUP(PROVEEDORES[[#This Row],[PROVEEDOR]],Terceros!$A:$D,4,FALSE)</f>
        <v>0</v>
      </c>
      <c r="V974" s="98">
        <f>+YEAR(PROVEEDORES[[#This Row],[FECHA DE FACTURACIÓN]])</f>
        <v>2023</v>
      </c>
      <c r="W974" s="98">
        <f>+MATCH(PROVEEDORES[[#This Row],[año facturado]],Retenciones!$1:$1,0)</f>
        <v>6</v>
      </c>
      <c r="X974" s="99">
        <f>+VLOOKUP(PROVEEDORES[[#This Row],[ID RETENCION]],Retenciones!$A$1:$O$25,PROVEEDORES[[#This Row],[indicador de columna]],FALSE)</f>
        <v>0</v>
      </c>
      <c r="Y974" s="100">
        <f>+VLOOKUP(PROVEEDORES[[#This Row],[ID RETENCION]],Retenciones!$A$1:$O$25,2,FALSE)</f>
        <v>0</v>
      </c>
      <c r="Z974" s="103" t="b">
        <f>OR(COUNTIF(PROVEEDORES[[#This Row],[PROVEEDOR]],"*"&amp;'Palabra no opera'!$A$2&amp;"*"))</f>
        <v>0</v>
      </c>
    </row>
    <row r="975" spans="1:26" ht="22.35" customHeight="1" x14ac:dyDescent="0.25">
      <c r="A975" s="65" t="str">
        <f>+IF(PROVEEDORES[[#This Row],[FECHA DE PAGO]]=PROVEEDORES[[#This Row],[FECHA DE FACTURACIÓN]],"DE CONTADO","CRÉDITO")</f>
        <v>CRÉDITO</v>
      </c>
      <c r="B975" s="38" t="b">
        <f>+IF((PROVEEDORES[[#This Row],[FECHA DE PAGO]]-PROVEEDORES[[#This Row],[FECHA DE FACTURACIÓN]])&gt;PROVEEDORES[[#This Row],[PLAZO Días]],"PAGO VENCIDO")</f>
        <v>0</v>
      </c>
      <c r="C975" s="20">
        <f>+VLOOKUP(PROVEEDORES[[#This Row],[PROVEEDOR]],TERCEROS_INFO[#All],2,FALSE)</f>
        <v>45</v>
      </c>
      <c r="D975" s="25">
        <f>+SUMIFS(PROVEEDORES[Total],PROVEEDORES[PROVEEDOR],PROVEEDORES[[#This Row],[PROVEEDOR]],PROVEEDORES[FECHA DE PAGO],"")</f>
        <v>3535656.6</v>
      </c>
      <c r="E975" s="25"/>
      <c r="F975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5" s="289">
        <v>45237</v>
      </c>
      <c r="H975" s="26" t="s">
        <v>19</v>
      </c>
      <c r="I975" s="289">
        <v>45197</v>
      </c>
      <c r="J975" s="35" t="s">
        <v>1120</v>
      </c>
      <c r="K975" s="21">
        <v>6110400</v>
      </c>
      <c r="L975" s="21"/>
      <c r="M975" s="22">
        <f>(PROVEEDORES[[#This Row],[SUBTOTAL]]-PROVEEDORES[[#This Row],[descuento sobre subtotal]])*VLOOKUP(PROVEEDORES[[#This Row],[PROVEEDOR]],TERCEROS_INFO[#All],3,FALSE)</f>
        <v>1160976</v>
      </c>
      <c r="N975" s="23"/>
      <c r="O975" s="22">
        <f>+PROVEEDORES[[#This Row],[Descuento sobre subtotal %]]*(PROVEEDORES[[#This Row],[SUBTOTAL]]-PROVEEDORES[[#This Row],[descuento sobre subtotal]])</f>
        <v>0</v>
      </c>
      <c r="P975" s="72">
        <f>+IF(PROVEEDORES[[#This Row],[SUBTOTAL]]&lt;PROVEEDORES[[#This Row],[base retencion]],0,PROVEEDORES[[#This Row],[retención aplicada]])</f>
        <v>0</v>
      </c>
      <c r="Q975" s="22">
        <f>+PROVEEDORES[[#This Row],[Rete Fuente %]]*(PROVEEDORES[[#This Row],[SUBTOTAL]]-PROVEEDORES[[#This Row],[descuento sobre subtotal]])</f>
        <v>0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7271376</v>
      </c>
      <c r="S9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1">
        <f ca="1">IF(PROVEEDORES[[#This Row],[FECHA DE PAGO]]=0,TODAY()-PROVEEDORES[[#This Row],[FECHA DE FACTURACIÓN]]-PROVEEDORES[[#This Row],[PLAZO Días]],0)</f>
        <v>0</v>
      </c>
      <c r="U975" s="97">
        <f>+VLOOKUP(PROVEEDORES[[#This Row],[PROVEEDOR]],Terceros!$A:$D,4,FALSE)</f>
        <v>0</v>
      </c>
      <c r="V975" s="98">
        <f>+YEAR(PROVEEDORES[[#This Row],[FECHA DE FACTURACIÓN]])</f>
        <v>2023</v>
      </c>
      <c r="W975" s="98">
        <f>+MATCH(PROVEEDORES[[#This Row],[año facturado]],Retenciones!$1:$1,0)</f>
        <v>6</v>
      </c>
      <c r="X975" s="99">
        <f>+VLOOKUP(PROVEEDORES[[#This Row],[ID RETENCION]],Retenciones!$A$1:$O$25,PROVEEDORES[[#This Row],[indicador de columna]],FALSE)</f>
        <v>0</v>
      </c>
      <c r="Y975" s="100">
        <f>+VLOOKUP(PROVEEDORES[[#This Row],[ID RETENCION]],Retenciones!$A$1:$O$25,2,FALSE)</f>
        <v>0</v>
      </c>
      <c r="Z975" s="103" t="b">
        <f>OR(COUNTIF(PROVEEDORES[[#This Row],[PROVEEDOR]],"*"&amp;'Palabra no opera'!$A$2&amp;"*"))</f>
        <v>0</v>
      </c>
    </row>
    <row r="976" spans="1:26" ht="22.35" customHeight="1" x14ac:dyDescent="0.25">
      <c r="A976" s="65" t="str">
        <f>+IF(PROVEEDORES[[#This Row],[FECHA DE PAGO]]=PROVEEDORES[[#This Row],[FECHA DE FACTURACIÓN]],"DE CONTADO","CRÉDITO")</f>
        <v>CRÉDITO</v>
      </c>
      <c r="B976" s="38" t="str">
        <f>+IF((PROVEEDORES[[#This Row],[FECHA DE PAGO]]-PROVEEDORES[[#This Row],[FECHA DE FACTURACIÓN]])&gt;PROVEEDORES[[#This Row],[PLAZO Días]],"PAGO VENCIDO")</f>
        <v>PAGO VENCIDO</v>
      </c>
      <c r="C976" s="20">
        <f>+VLOOKUP(PROVEEDORES[[#This Row],[PROVEEDOR]],TERCEROS_INFO[#All],2,FALSE)</f>
        <v>45</v>
      </c>
      <c r="D976" s="25">
        <f>+SUMIFS(PROVEEDORES[Total],PROVEEDORES[PROVEEDOR],PROVEEDORES[[#This Row],[PROVEEDOR]],PROVEEDORES[FECHA DE PAGO],"")</f>
        <v>3535656.6</v>
      </c>
      <c r="E976" s="25"/>
      <c r="F976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6" s="289">
        <v>45246</v>
      </c>
      <c r="H976" s="26" t="s">
        <v>19</v>
      </c>
      <c r="I976" s="289">
        <v>45197</v>
      </c>
      <c r="J976" s="35" t="s">
        <v>1122</v>
      </c>
      <c r="K976" s="21">
        <v>13085520</v>
      </c>
      <c r="L976" s="21"/>
      <c r="M976" s="22">
        <f>(PROVEEDORES[[#This Row],[SUBTOTAL]]-PROVEEDORES[[#This Row],[descuento sobre subtotal]])*VLOOKUP(PROVEEDORES[[#This Row],[PROVEEDOR]],TERCEROS_INFO[#All],3,FALSE)</f>
        <v>2486248.7999999998</v>
      </c>
      <c r="N976" s="23"/>
      <c r="O976" s="22">
        <f>+PROVEEDORES[[#This Row],[Descuento sobre subtotal %]]*(PROVEEDORES[[#This Row],[SUBTOTAL]]-PROVEEDORES[[#This Row],[descuento sobre subtotal]])</f>
        <v>0</v>
      </c>
      <c r="P976" s="72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15571768.800000001</v>
      </c>
      <c r="S9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1">
        <f ca="1">IF(PROVEEDORES[[#This Row],[FECHA DE PAGO]]=0,TODAY()-PROVEEDORES[[#This Row],[FECHA DE FACTURACIÓN]]-PROVEEDORES[[#This Row],[PLAZO Días]],0)</f>
        <v>0</v>
      </c>
      <c r="U976" s="97">
        <f>+VLOOKUP(PROVEEDORES[[#This Row],[PROVEEDOR]],Terceros!$A:$D,4,FALSE)</f>
        <v>0</v>
      </c>
      <c r="V976" s="98">
        <f>+YEAR(PROVEEDORES[[#This Row],[FECHA DE FACTURACIÓN]])</f>
        <v>2023</v>
      </c>
      <c r="W976" s="98">
        <f>+MATCH(PROVEEDORES[[#This Row],[año facturado]],Retenciones!$1:$1,0)</f>
        <v>6</v>
      </c>
      <c r="X976" s="99">
        <f>+VLOOKUP(PROVEEDORES[[#This Row],[ID RETENCION]],Retenciones!$A$1:$O$25,PROVEEDORES[[#This Row],[indicador de columna]],FALSE)</f>
        <v>0</v>
      </c>
      <c r="Y976" s="100">
        <f>+VLOOKUP(PROVEEDORES[[#This Row],[ID RETENCION]],Retenciones!$A$1:$O$25,2,FALSE)</f>
        <v>0</v>
      </c>
      <c r="Z976" s="103" t="b">
        <f>OR(COUNTIF(PROVEEDORES[[#This Row],[PROVEEDOR]],"*"&amp;'Palabra no opera'!$A$2&amp;"*"))</f>
        <v>0</v>
      </c>
    </row>
    <row r="977" spans="1:26" ht="22.35" customHeight="1" x14ac:dyDescent="0.25">
      <c r="A977" s="65" t="str">
        <f>+IF(PROVEEDORES[[#This Row],[FECHA DE PAGO]]=PROVEEDORES[[#This Row],[FECHA DE FACTURACIÓN]],"DE CONTADO","CRÉDITO")</f>
        <v>CRÉDITO</v>
      </c>
      <c r="B977" s="38" t="str">
        <f>+IF((PROVEEDORES[[#This Row],[FECHA DE PAGO]]-PROVEEDORES[[#This Row],[FECHA DE FACTURACIÓN]])&gt;PROVEEDORES[[#This Row],[PLAZO Días]],"PAGO VENCIDO")</f>
        <v>PAGO VENCIDO</v>
      </c>
      <c r="C977" s="20">
        <f>+VLOOKUP(PROVEEDORES[[#This Row],[PROVEEDOR]],TERCEROS_INFO[#All],2,FALSE)</f>
        <v>45</v>
      </c>
      <c r="D977" s="25">
        <f>+SUMIFS(PROVEEDORES[Total],PROVEEDORES[PROVEEDOR],PROVEEDORES[[#This Row],[PROVEEDOR]],PROVEEDORES[FECHA DE PAGO],"")</f>
        <v>3535656.6</v>
      </c>
      <c r="E977" s="25"/>
      <c r="F977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7" s="289">
        <v>45251</v>
      </c>
      <c r="H977" s="26" t="s">
        <v>19</v>
      </c>
      <c r="I977" s="289">
        <v>45197</v>
      </c>
      <c r="J977" s="35" t="s">
        <v>1121</v>
      </c>
      <c r="K977" s="21">
        <v>12678160</v>
      </c>
      <c r="L977" s="21"/>
      <c r="M977" s="22">
        <f>(PROVEEDORES[[#This Row],[SUBTOTAL]]-PROVEEDORES[[#This Row],[descuento sobre subtotal]])*VLOOKUP(PROVEEDORES[[#This Row],[PROVEEDOR]],TERCEROS_INFO[#All],3,FALSE)</f>
        <v>2408850.4</v>
      </c>
      <c r="N977" s="23"/>
      <c r="O977" s="22">
        <f>+PROVEEDORES[[#This Row],[Descuento sobre subtotal %]]*(PROVEEDORES[[#This Row],[SUBTOTAL]]-PROVEEDORES[[#This Row],[descuento sobre subtotal]])</f>
        <v>0</v>
      </c>
      <c r="P977" s="72">
        <f>+IF(PROVEEDORES[[#This Row],[SUBTOTAL]]&lt;PROVEEDORES[[#This Row],[base retencion]],0,PROVEEDORES[[#This Row],[retención aplicada]])</f>
        <v>0</v>
      </c>
      <c r="Q977" s="22">
        <f>+PROVEEDORES[[#This Row],[Rete Fuente %]]*(PROVEEDORES[[#This Row],[SUBTOTAL]]-PROVEEDORES[[#This Row],[descuento sobre subtotal]])</f>
        <v>0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15087010.4</v>
      </c>
      <c r="S9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1">
        <f ca="1">IF(PROVEEDORES[[#This Row],[FECHA DE PAGO]]=0,TODAY()-PROVEEDORES[[#This Row],[FECHA DE FACTURACIÓN]]-PROVEEDORES[[#This Row],[PLAZO Días]],0)</f>
        <v>0</v>
      </c>
      <c r="U977" s="97">
        <f>+VLOOKUP(PROVEEDORES[[#This Row],[PROVEEDOR]],Terceros!$A:$D,4,FALSE)</f>
        <v>0</v>
      </c>
      <c r="V977" s="98">
        <f>+YEAR(PROVEEDORES[[#This Row],[FECHA DE FACTURACIÓN]])</f>
        <v>2023</v>
      </c>
      <c r="W977" s="98">
        <f>+MATCH(PROVEEDORES[[#This Row],[año facturado]],Retenciones!$1:$1,0)</f>
        <v>6</v>
      </c>
      <c r="X977" s="99">
        <f>+VLOOKUP(PROVEEDORES[[#This Row],[ID RETENCION]],Retenciones!$A$1:$O$25,PROVEEDORES[[#This Row],[indicador de columna]],FALSE)</f>
        <v>0</v>
      </c>
      <c r="Y977" s="100">
        <f>+VLOOKUP(PROVEEDORES[[#This Row],[ID RETENCION]],Retenciones!$A$1:$O$25,2,FALSE)</f>
        <v>0</v>
      </c>
      <c r="Z977" s="103" t="b">
        <f>OR(COUNTIF(PROVEEDORES[[#This Row],[PROVEEDOR]],"*"&amp;'Palabra no opera'!$A$2&amp;"*"))</f>
        <v>0</v>
      </c>
    </row>
    <row r="978" spans="1:26" ht="22.35" customHeight="1" x14ac:dyDescent="0.25">
      <c r="A978" s="65" t="str">
        <f>+IF(PROVEEDORES[[#This Row],[FECHA DE PAGO]]=PROVEEDORES[[#This Row],[FECHA DE FACTURACIÓN]],"DE CONTADO","CRÉDITO")</f>
        <v>CRÉDITO</v>
      </c>
      <c r="B978" s="38" t="str">
        <f>+IF((PROVEEDORES[[#This Row],[FECHA DE PAGO]]-PROVEEDORES[[#This Row],[FECHA DE FACTURACIÓN]])&gt;PROVEEDORES[[#This Row],[PLAZO Días]],"PAGO VENCIDO")</f>
        <v>PAGO VENCIDO</v>
      </c>
      <c r="C978" s="20">
        <f>+VLOOKUP(PROVEEDORES[[#This Row],[PROVEEDOR]],TERCEROS_INFO[#All],2,FALSE)</f>
        <v>45</v>
      </c>
      <c r="D978" s="25">
        <f>+SUMIFS(PROVEEDORES[Total],PROVEEDORES[PROVEEDOR],PROVEEDORES[[#This Row],[PROVEEDOR]],PROVEEDORES[FECHA DE PAGO],"")</f>
        <v>3535656.6</v>
      </c>
      <c r="E978" s="25"/>
      <c r="F97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8" s="289">
        <v>45251</v>
      </c>
      <c r="H978" s="26" t="s">
        <v>19</v>
      </c>
      <c r="I978" s="289">
        <v>45198</v>
      </c>
      <c r="J978" s="35" t="s">
        <v>1119</v>
      </c>
      <c r="K978" s="21">
        <v>814720</v>
      </c>
      <c r="L978" s="21"/>
      <c r="M978" s="22">
        <f>(PROVEEDORES[[#This Row],[SUBTOTAL]]-PROVEEDORES[[#This Row],[descuento sobre subtotal]])*VLOOKUP(PROVEEDORES[[#This Row],[PROVEEDOR]],TERCEROS_INFO[#All],3,FALSE)</f>
        <v>154796.79999999999</v>
      </c>
      <c r="N978" s="23"/>
      <c r="O978" s="22">
        <f>+PROVEEDORES[[#This Row],[Descuento sobre subtotal %]]*(PROVEEDORES[[#This Row],[SUBTOTAL]]-PROVEEDORES[[#This Row],[descuento sobre subtotal]])</f>
        <v>0</v>
      </c>
      <c r="P978" s="72">
        <f>+IF(PROVEEDORES[[#This Row],[SUBTOTAL]]&lt;PROVEEDORES[[#This Row],[base retencion]],0,PROVEEDORES[[#This Row],[retención aplicada]])</f>
        <v>0</v>
      </c>
      <c r="Q978" s="22">
        <f>+PROVEEDORES[[#This Row],[Rete Fuente %]]*(PROVEEDORES[[#This Row],[SUBTOTAL]]-PROVEEDORES[[#This Row],[descuento sobre subtotal]])</f>
        <v>0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969516.8</v>
      </c>
      <c r="S9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1">
        <f ca="1">IF(PROVEEDORES[[#This Row],[FECHA DE PAGO]]=0,TODAY()-PROVEEDORES[[#This Row],[FECHA DE FACTURACIÓN]]-PROVEEDORES[[#This Row],[PLAZO Días]],0)</f>
        <v>0</v>
      </c>
      <c r="U978" s="97">
        <f>+VLOOKUP(PROVEEDORES[[#This Row],[PROVEEDOR]],Terceros!$A:$D,4,FALSE)</f>
        <v>0</v>
      </c>
      <c r="V978" s="98">
        <f>+YEAR(PROVEEDORES[[#This Row],[FECHA DE FACTURACIÓN]])</f>
        <v>2023</v>
      </c>
      <c r="W978" s="98">
        <f>+MATCH(PROVEEDORES[[#This Row],[año facturado]],Retenciones!$1:$1,0)</f>
        <v>6</v>
      </c>
      <c r="X978" s="99">
        <f>+VLOOKUP(PROVEEDORES[[#This Row],[ID RETENCION]],Retenciones!$A$1:$O$25,PROVEEDORES[[#This Row],[indicador de columna]],FALSE)</f>
        <v>0</v>
      </c>
      <c r="Y978" s="100">
        <f>+VLOOKUP(PROVEEDORES[[#This Row],[ID RETENCION]],Retenciones!$A$1:$O$25,2,FALSE)</f>
        <v>0</v>
      </c>
      <c r="Z978" s="103" t="b">
        <f>OR(COUNTIF(PROVEEDORES[[#This Row],[PROVEEDOR]],"*"&amp;'Palabra no opera'!$A$2&amp;"*"))</f>
        <v>0</v>
      </c>
    </row>
    <row r="979" spans="1:26" ht="22.35" customHeight="1" x14ac:dyDescent="0.25">
      <c r="A979" s="65" t="str">
        <f>+IF(PROVEEDORES[[#This Row],[FECHA DE PAGO]]=PROVEEDORES[[#This Row],[FECHA DE FACTURACIÓN]],"DE CONTADO","CRÉDITO")</f>
        <v>CRÉDITO</v>
      </c>
      <c r="B979" s="38" t="str">
        <f>+IF((PROVEEDORES[[#This Row],[FECHA DE PAGO]]-PROVEEDORES[[#This Row],[FECHA DE FACTURACIÓN]])&gt;PROVEEDORES[[#This Row],[PLAZO Días]],"PAGO VENCIDO")</f>
        <v>PAGO VENCIDO</v>
      </c>
      <c r="C979" s="20">
        <f>+VLOOKUP(PROVEEDORES[[#This Row],[PROVEEDOR]],TERCEROS_INFO[#All],2,FALSE)</f>
        <v>45</v>
      </c>
      <c r="D979" s="25">
        <f>+SUMIFS(PROVEEDORES[Total],PROVEEDORES[PROVEEDOR],PROVEEDORES[[#This Row],[PROVEEDOR]],PROVEEDORES[FECHA DE PAGO],"")</f>
        <v>3535656.6</v>
      </c>
      <c r="E979" s="25"/>
      <c r="F979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79" s="289">
        <v>45264</v>
      </c>
      <c r="H979" s="26" t="s">
        <v>19</v>
      </c>
      <c r="I979" s="289">
        <v>45218</v>
      </c>
      <c r="J979" s="35" t="s">
        <v>1224</v>
      </c>
      <c r="K979" s="21">
        <v>1657794</v>
      </c>
      <c r="L979" s="21"/>
      <c r="M979" s="22">
        <f>(PROVEEDORES[[#This Row],[SUBTOTAL]]-PROVEEDORES[[#This Row],[descuento sobre subtotal]])*VLOOKUP(PROVEEDORES[[#This Row],[PROVEEDOR]],TERCEROS_INFO[#All],3,FALSE)</f>
        <v>314980.86</v>
      </c>
      <c r="N979" s="23"/>
      <c r="O979" s="22">
        <f>+PROVEEDORES[[#This Row],[Descuento sobre subtotal %]]*(PROVEEDORES[[#This Row],[SUBTOTAL]]-PROVEEDORES[[#This Row],[descuento sobre subtotal]])</f>
        <v>0</v>
      </c>
      <c r="P979" s="72">
        <f>+IF(PROVEEDORES[[#This Row],[SUBTOTAL]]&lt;PROVEEDORES[[#This Row],[base retencion]],0,PROVEEDORES[[#This Row],[retención aplicada]])</f>
        <v>0</v>
      </c>
      <c r="Q979" s="22">
        <f>+PROVEEDORES[[#This Row],[Rete Fuente %]]*(PROVEEDORES[[#This Row],[SUBTOTAL]]-PROVEEDORES[[#This Row],[descuento sobre subtotal]])</f>
        <v>0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1972774.8599999999</v>
      </c>
      <c r="S9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1">
        <f ca="1">IF(PROVEEDORES[[#This Row],[FECHA DE PAGO]]=0,TODAY()-PROVEEDORES[[#This Row],[FECHA DE FACTURACIÓN]]-PROVEEDORES[[#This Row],[PLAZO Días]],0)</f>
        <v>0</v>
      </c>
      <c r="U979" s="97">
        <f>+VLOOKUP(PROVEEDORES[[#This Row],[PROVEEDOR]],Terceros!$A:$D,4,FALSE)</f>
        <v>0</v>
      </c>
      <c r="V979" s="98">
        <f>+YEAR(PROVEEDORES[[#This Row],[FECHA DE FACTURACIÓN]])</f>
        <v>2023</v>
      </c>
      <c r="W979" s="98">
        <f>+MATCH(PROVEEDORES[[#This Row],[año facturado]],Retenciones!$1:$1,0)</f>
        <v>6</v>
      </c>
      <c r="X979" s="99">
        <f>+VLOOKUP(PROVEEDORES[[#This Row],[ID RETENCION]],Retenciones!$A$1:$O$25,PROVEEDORES[[#This Row],[indicador de columna]],FALSE)</f>
        <v>0</v>
      </c>
      <c r="Y979" s="100">
        <f>+VLOOKUP(PROVEEDORES[[#This Row],[ID RETENCION]],Retenciones!$A$1:$O$25,2,FALSE)</f>
        <v>0</v>
      </c>
      <c r="Z979" s="103" t="b">
        <f>OR(COUNTIF(PROVEEDORES[[#This Row],[PROVEEDOR]],"*"&amp;'Palabra no opera'!$A$2&amp;"*"))</f>
        <v>0</v>
      </c>
    </row>
    <row r="980" spans="1:26" ht="22.35" customHeight="1" x14ac:dyDescent="0.25">
      <c r="A980" s="262" t="str">
        <f>+IF(PROVEEDORES[[#This Row],[FECHA DE PAGO]]=PROVEEDORES[[#This Row],[FECHA DE FACTURACIÓN]],"DE CONTADO","CRÉDITO")</f>
        <v>CRÉDITO</v>
      </c>
      <c r="B980" s="38" t="b">
        <f>+IF((PROVEEDORES[[#This Row],[FECHA DE PAGO]]-PROVEEDORES[[#This Row],[FECHA DE FACTURACIÓN]])&gt;PROVEEDORES[[#This Row],[PLAZO Días]],"PAGO VENCIDO")</f>
        <v>0</v>
      </c>
      <c r="C980" s="20">
        <f>+VLOOKUP(PROVEEDORES[[#This Row],[PROVEEDOR]],TERCEROS_INFO[#All],2,FALSE)</f>
        <v>45</v>
      </c>
      <c r="D980" s="25">
        <f>+SUMIFS(PROVEEDORES[Total],PROVEEDORES[PROVEEDOR],PROVEEDORES[[#This Row],[PROVEEDOR]],PROVEEDORES[FECHA DE PAGO],"")</f>
        <v>3535656.6</v>
      </c>
      <c r="E980" s="25"/>
      <c r="F980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80" s="289">
        <v>45288</v>
      </c>
      <c r="H980" s="26" t="s">
        <v>19</v>
      </c>
      <c r="I980" s="289">
        <v>45252</v>
      </c>
      <c r="J980" s="35" t="s">
        <v>1299</v>
      </c>
      <c r="K980" s="21">
        <v>2102085</v>
      </c>
      <c r="L980" s="21"/>
      <c r="M980" s="22">
        <f>(PROVEEDORES[[#This Row],[SUBTOTAL]]-PROVEEDORES[[#This Row],[descuento sobre subtotal]])*VLOOKUP(PROVEEDORES[[#This Row],[PROVEEDOR]],TERCEROS_INFO[#All],3,FALSE)</f>
        <v>399396.15</v>
      </c>
      <c r="N980" s="23"/>
      <c r="O980" s="22">
        <f>+PROVEEDORES[[#This Row],[Descuento sobre subtotal %]]*(PROVEEDORES[[#This Row],[SUBTOTAL]]-PROVEEDORES[[#This Row],[descuento sobre subtotal]])</f>
        <v>0</v>
      </c>
      <c r="P980" s="72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2501481.15</v>
      </c>
      <c r="S98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1">
        <f ca="1">IF(PROVEEDORES[[#This Row],[FECHA DE PAGO]]=0,TODAY()-PROVEEDORES[[#This Row],[FECHA DE FACTURACIÓN]]-PROVEEDORES[[#This Row],[PLAZO Días]],0)</f>
        <v>0</v>
      </c>
      <c r="U980" s="97">
        <f>+VLOOKUP(PROVEEDORES[[#This Row],[PROVEEDOR]],Terceros!$A:$D,4,FALSE)</f>
        <v>0</v>
      </c>
      <c r="V980" s="98">
        <f>+YEAR(PROVEEDORES[[#This Row],[FECHA DE FACTURACIÓN]])</f>
        <v>2023</v>
      </c>
      <c r="W980" s="98">
        <f>+MATCH(PROVEEDORES[[#This Row],[año facturado]],Retenciones!$1:$1,0)</f>
        <v>6</v>
      </c>
      <c r="X980" s="99">
        <f>+VLOOKUP(PROVEEDORES[[#This Row],[ID RETENCION]],Retenciones!$A$1:$O$25,PROVEEDORES[[#This Row],[indicador de columna]],FALSE)</f>
        <v>0</v>
      </c>
      <c r="Y980" s="100">
        <f>+VLOOKUP(PROVEEDORES[[#This Row],[ID RETENCION]],Retenciones!$A$1:$O$25,2,FALSE)</f>
        <v>0</v>
      </c>
      <c r="Z980" s="103" t="b">
        <f>OR(COUNTIF(PROVEEDORES[[#This Row],[PROVEEDOR]],"*"&amp;'Palabra no opera'!$A$2&amp;"*"))</f>
        <v>0</v>
      </c>
    </row>
    <row r="981" spans="1:26" ht="22.35" customHeight="1" x14ac:dyDescent="0.25">
      <c r="A981" s="65" t="str">
        <f>+IF(PROVEEDORES[[#This Row],[FECHA DE PAGO]]=PROVEEDORES[[#This Row],[FECHA DE FACTURACIÓN]],"DE CONTADO","CRÉDITO")</f>
        <v>CRÉDITO</v>
      </c>
      <c r="B981" s="38" t="b">
        <f>+IF((PROVEEDORES[[#This Row],[FECHA DE PAGO]]-PROVEEDORES[[#This Row],[FECHA DE FACTURACIÓN]])&gt;PROVEEDORES[[#This Row],[PLAZO Días]],"PAGO VENCIDO")</f>
        <v>0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1426700.52</v>
      </c>
      <c r="E981" s="25"/>
      <c r="F98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981" s="26" t="s">
        <v>151</v>
      </c>
      <c r="I981" s="289">
        <v>45278</v>
      </c>
      <c r="J981" s="35" t="s">
        <v>1404</v>
      </c>
      <c r="K981" s="21">
        <v>868908</v>
      </c>
      <c r="L981" s="21"/>
      <c r="M981" s="22">
        <f>(PROVEEDORES[[#This Row],[SUBTOTAL]]-PROVEEDORES[[#This Row],[descuento sobre subtotal]])*VLOOKUP(PROVEEDORES[[#This Row],[PROVEEDOR]],TERCEROS_INFO[#All],3,FALSE)</f>
        <v>165092.51999999999</v>
      </c>
      <c r="N981" s="23"/>
      <c r="O981" s="22">
        <f>+PROVEEDORES[[#This Row],[Descuento sobre subtotal %]]*(PROVEEDORES[[#This Row],[SUBTOTAL]]-PROVEEDORES[[#This Row],[descuento sobre subtotal]])</f>
        <v>0</v>
      </c>
      <c r="P981" s="72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1034000.52</v>
      </c>
      <c r="S981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81" s="61">
        <f ca="1">IF(PROVEEDORES[[#This Row],[FECHA DE PAGO]]=0,TODAY()-PROVEEDORES[[#This Row],[FECHA DE FACTURACIÓN]]-PROVEEDORES[[#This Row],[PLAZO Días]],0)</f>
        <v>20</v>
      </c>
      <c r="U981" s="97" t="str">
        <f>+VLOOKUP(PROVEEDORES[[#This Row],[PROVEEDOR]],Terceros!$A:$D,4,FALSE)</f>
        <v>2,5% con base</v>
      </c>
      <c r="V981" s="98">
        <f>+YEAR(PROVEEDORES[[#This Row],[FECHA DE FACTURACIÓN]])</f>
        <v>2023</v>
      </c>
      <c r="W981" s="98">
        <f>+MATCH(PROVEEDORES[[#This Row],[año facturado]],Retenciones!$1:$1,0)</f>
        <v>6</v>
      </c>
      <c r="X981" s="99">
        <f>+VLOOKUP(PROVEEDORES[[#This Row],[ID RETENCION]],Retenciones!$A$1:$O$25,PROVEEDORES[[#This Row],[indicador de columna]],FALSE)</f>
        <v>1145000</v>
      </c>
      <c r="Y981" s="100">
        <f>+VLOOKUP(PROVEEDORES[[#This Row],[ID RETENCION]],Retenciones!$A$1:$O$25,2,FALSE)</f>
        <v>2.5000000000000001E-2</v>
      </c>
      <c r="Z981" s="103" t="b">
        <f>OR(COUNTIF(PROVEEDORES[[#This Row],[PROVEEDOR]],"*"&amp;'Palabra no opera'!$A$2&amp;"*"))</f>
        <v>0</v>
      </c>
    </row>
    <row r="982" spans="1:26" ht="22.35" customHeight="1" x14ac:dyDescent="0.25">
      <c r="A982" s="65" t="str">
        <f>+IF(PROVEEDORES[[#This Row],[FECHA DE PAGO]]=PROVEEDORES[[#This Row],[FECHA DE FACTURACIÓN]],"DE CONTADO","CRÉDITO")</f>
        <v>CRÉDITO</v>
      </c>
      <c r="B982" s="38" t="str">
        <f>+IF((PROVEEDORES[[#This Row],[FECHA DE PAGO]]-PROVEEDORES[[#This Row],[FECHA DE FACTURACIÓN]])&gt;PROVEEDORES[[#This Row],[PLAZO Días]],"PAGO VENCIDO")</f>
        <v>PAGO VENCIDO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0</v>
      </c>
      <c r="E982" s="25"/>
      <c r="F982" s="56">
        <f>+VLOOKUP(PROVEEDORES[[#This Row],[PROVEEDOR]],
                       Terceros!$A:$F,
                       5,
                       FALSE)</f>
        <v>0</v>
      </c>
      <c r="G982" s="289">
        <v>44991</v>
      </c>
      <c r="H982" s="26" t="s">
        <v>588</v>
      </c>
      <c r="I982" s="289">
        <v>44957</v>
      </c>
      <c r="J982" s="35" t="s">
        <v>589</v>
      </c>
      <c r="K982" s="21">
        <v>430000</v>
      </c>
      <c r="L982" s="21"/>
      <c r="M982" s="22">
        <f>(PROVEEDORES[[#This Row],[SUBTOTAL]]-PROVEEDORES[[#This Row],[descuento sobre subtotal]])*VLOOKUP(PROVEEDORES[[#This Row],[PROVEEDOR]],TERCEROS_INFO[#All],3,FALSE)</f>
        <v>81700</v>
      </c>
      <c r="N982" s="23"/>
      <c r="O982" s="22">
        <f>+PROVEEDORES[[#This Row],[Descuento sobre subtotal %]]*(PROVEEDORES[[#This Row],[SUBTOTAL]]-PROVEEDORES[[#This Row],[descuento sobre subtotal]])</f>
        <v>0</v>
      </c>
      <c r="P982" s="72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511700</v>
      </c>
      <c r="S98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1">
        <f ca="1">IF(PROVEEDORES[[#This Row],[FECHA DE PAGO]]=0,TODAY()-PROVEEDORES[[#This Row],[FECHA DE FACTURACIÓN]]-PROVEEDORES[[#This Row],[PLAZO Días]],0)</f>
        <v>0</v>
      </c>
      <c r="U982" s="97" t="str">
        <f>+VLOOKUP(PROVEEDORES[[#This Row],[PROVEEDOR]],Terceros!$A:$D,4,FALSE)</f>
        <v>2,5% con base</v>
      </c>
      <c r="V982" s="98">
        <f>+YEAR(PROVEEDORES[[#This Row],[FECHA DE FACTURACIÓN]])</f>
        <v>2023</v>
      </c>
      <c r="W982" s="98">
        <f>+MATCH(PROVEEDORES[[#This Row],[año facturado]],Retenciones!$1:$1,0)</f>
        <v>6</v>
      </c>
      <c r="X982" s="99">
        <f>+VLOOKUP(PROVEEDORES[[#This Row],[ID RETENCION]],Retenciones!$A$1:$O$25,PROVEEDORES[[#This Row],[indicador de columna]],FALSE)</f>
        <v>1145000</v>
      </c>
      <c r="Y982" s="100">
        <f>+VLOOKUP(PROVEEDORES[[#This Row],[ID RETENCION]],Retenciones!$A$1:$O$25,2,FALSE)</f>
        <v>2.5000000000000001E-2</v>
      </c>
      <c r="Z982" s="103" t="b">
        <f>OR(COUNTIF(PROVEEDORES[[#This Row],[PROVEEDOR]],"*"&amp;'Palabra no opera'!$A$2&amp;"*"))</f>
        <v>0</v>
      </c>
    </row>
    <row r="983" spans="1:26" ht="22.35" customHeight="1" x14ac:dyDescent="0.25">
      <c r="A983" s="65" t="str">
        <f>+IF(PROVEEDORES[[#This Row],[FECHA DE PAGO]]=PROVEEDORES[[#This Row],[FECHA DE FACTURACIÓN]],"DE CONTADO","CRÉDITO")</f>
        <v>DE CONTADO</v>
      </c>
      <c r="B983" s="38" t="b">
        <f>+IF((PROVEEDORES[[#This Row],[FECHA DE PAGO]]-PROVEEDORES[[#This Row],[FECHA DE FACTURACIÓN]])&gt;PROVEEDORES[[#This Row],[PLAZO Días]],"PAGO VENCIDO")</f>
        <v>0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0</v>
      </c>
      <c r="E983" s="25"/>
      <c r="F983" s="56">
        <f>+VLOOKUP(PROVEEDORES[[#This Row],[PROVEEDOR]],
                       Terceros!$A:$F,
                       5,
                       FALSE)</f>
        <v>0</v>
      </c>
      <c r="G983" s="289">
        <v>45208</v>
      </c>
      <c r="H983" s="26" t="s">
        <v>588</v>
      </c>
      <c r="I983" s="289">
        <v>45208</v>
      </c>
      <c r="J983" s="35" t="s">
        <v>1231</v>
      </c>
      <c r="K983" s="21">
        <v>416500</v>
      </c>
      <c r="L983" s="21"/>
      <c r="M983" s="22">
        <f>(PROVEEDORES[[#This Row],[SUBTOTAL]]-PROVEEDORES[[#This Row],[descuento sobre subtotal]])*VLOOKUP(PROVEEDORES[[#This Row],[PROVEEDOR]],TERCEROS_INFO[#All],3,FALSE)</f>
        <v>79135</v>
      </c>
      <c r="N983" s="23"/>
      <c r="O983" s="22">
        <f>+PROVEEDORES[[#This Row],[Descuento sobre subtotal %]]*(PROVEEDORES[[#This Row],[SUBTOTAL]]-PROVEEDORES[[#This Row],[descuento sobre subtotal]])</f>
        <v>0</v>
      </c>
      <c r="P983" s="72">
        <f>+IF(PROVEEDORES[[#This Row],[SUBTOTAL]]&lt;PROVEEDORES[[#This Row],[base retencion]],0,PROVEEDORES[[#This Row],[retención aplicada]])</f>
        <v>0</v>
      </c>
      <c r="Q983" s="22">
        <f>+PROVEEDORES[[#This Row],[Rete Fuente %]]*(PROVEEDORES[[#This Row],[SUBTOTAL]]-PROVEEDORES[[#This Row],[descuento sobre subtotal]])</f>
        <v>0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495635</v>
      </c>
      <c r="S9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1">
        <f ca="1">IF(PROVEEDORES[[#This Row],[FECHA DE PAGO]]=0,TODAY()-PROVEEDORES[[#This Row],[FECHA DE FACTURACIÓN]]-PROVEEDORES[[#This Row],[PLAZO Días]],0)</f>
        <v>0</v>
      </c>
      <c r="U983" s="97" t="str">
        <f>+VLOOKUP(PROVEEDORES[[#This Row],[PROVEEDOR]],Terceros!$A:$D,4,FALSE)</f>
        <v>2,5% con base</v>
      </c>
      <c r="V983" s="98">
        <f>+YEAR(PROVEEDORES[[#This Row],[FECHA DE FACTURACIÓN]])</f>
        <v>2023</v>
      </c>
      <c r="W983" s="98">
        <f>+MATCH(PROVEEDORES[[#This Row],[año facturado]],Retenciones!$1:$1,0)</f>
        <v>6</v>
      </c>
      <c r="X983" s="99">
        <f>+VLOOKUP(PROVEEDORES[[#This Row],[ID RETENCION]],Retenciones!$A$1:$O$25,PROVEEDORES[[#This Row],[indicador de columna]],FALSE)</f>
        <v>1145000</v>
      </c>
      <c r="Y983" s="100">
        <f>+VLOOKUP(PROVEEDORES[[#This Row],[ID RETENCION]],Retenciones!$A$1:$O$25,2,FALSE)</f>
        <v>2.5000000000000001E-2</v>
      </c>
      <c r="Z983" s="103" t="b">
        <f>OR(COUNTIF(PROVEEDORES[[#This Row],[PROVEEDOR]],"*"&amp;'Palabra no opera'!$A$2&amp;"*"))</f>
        <v>0</v>
      </c>
    </row>
    <row r="984" spans="1:26" ht="22.35" customHeight="1" x14ac:dyDescent="0.25">
      <c r="A984" s="65" t="str">
        <f>+IF(PROVEEDORES[[#This Row],[FECHA DE PAGO]]=PROVEEDORES[[#This Row],[FECHA DE FACTURACIÓN]],"DE CONTADO","CRÉDITO")</f>
        <v>DE CONTADO</v>
      </c>
      <c r="B984" s="38" t="b">
        <f>+IF((PROVEEDORES[[#This Row],[FECHA DE PAGO]]-PROVEEDORES[[#This Row],[FECHA DE FACTURACIÓN]])&gt;PROVEEDORES[[#This Row],[PLAZO Días]],"PAGO VENCIDO")</f>
        <v>0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6">
        <f>+VLOOKUP(PROVEEDORES[[#This Row],[PROVEEDOR]],
                       Terceros!$A:$F,
                       5,
                       FALSE)</f>
        <v>0</v>
      </c>
      <c r="G984" s="289">
        <v>45272</v>
      </c>
      <c r="H984" s="26" t="s">
        <v>588</v>
      </c>
      <c r="I984" s="289">
        <v>45272</v>
      </c>
      <c r="J984" s="35" t="s">
        <v>1396</v>
      </c>
      <c r="K984" s="21">
        <v>275000</v>
      </c>
      <c r="L984" s="21"/>
      <c r="M984" s="22">
        <f>(PROVEEDORES[[#This Row],[SUBTOTAL]]-PROVEEDORES[[#This Row],[descuento sobre subtotal]])*VLOOKUP(PROVEEDORES[[#This Row],[PROVEEDOR]],TERCEROS_INFO[#All],3,FALSE)</f>
        <v>52250</v>
      </c>
      <c r="N984" s="23"/>
      <c r="O984" s="22">
        <f>+PROVEEDORES[[#This Row],[Descuento sobre subtotal %]]*(PROVEEDORES[[#This Row],[SUBTOTAL]]-PROVEEDORES[[#This Row],[descuento sobre subtotal]])</f>
        <v>0</v>
      </c>
      <c r="P984" s="72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327250</v>
      </c>
      <c r="S9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1">
        <f ca="1">IF(PROVEEDORES[[#This Row],[FECHA DE PAGO]]=0,TODAY()-PROVEEDORES[[#This Row],[FECHA DE FACTURACIÓN]]-PROVEEDORES[[#This Row],[PLAZO Días]],0)</f>
        <v>0</v>
      </c>
      <c r="U984" s="97" t="str">
        <f>+VLOOKUP(PROVEEDORES[[#This Row],[PROVEEDOR]],Terceros!$A:$D,4,FALSE)</f>
        <v>2,5% con base</v>
      </c>
      <c r="V984" s="98">
        <f>+YEAR(PROVEEDORES[[#This Row],[FECHA DE FACTURACIÓN]])</f>
        <v>2023</v>
      </c>
      <c r="W984" s="98">
        <f>+MATCH(PROVEEDORES[[#This Row],[año facturado]],Retenciones!$1:$1,0)</f>
        <v>6</v>
      </c>
      <c r="X984" s="99">
        <f>+VLOOKUP(PROVEEDORES[[#This Row],[ID RETENCION]],Retenciones!$A$1:$O$25,PROVEEDORES[[#This Row],[indicador de columna]],FALSE)</f>
        <v>1145000</v>
      </c>
      <c r="Y984" s="100">
        <f>+VLOOKUP(PROVEEDORES[[#This Row],[ID RETENCION]],Retenciones!$A$1:$O$25,2,FALSE)</f>
        <v>2.5000000000000001E-2</v>
      </c>
      <c r="Z984" s="103" t="b">
        <f>OR(COUNTIF(PROVEEDORES[[#This Row],[PROVEEDOR]],"*"&amp;'Palabra no opera'!$A$2&amp;"*"))</f>
        <v>0</v>
      </c>
    </row>
    <row r="985" spans="1:26" ht="22.35" customHeight="1" x14ac:dyDescent="0.25">
      <c r="A985" s="227" t="str">
        <f>+IF(PROVEEDORES[[#This Row],[FECHA DE PAGO]]=PROVEEDORES[[#This Row],[FECHA DE FACTURACIÓN]],"DE CONTADO","CRÉDITO")</f>
        <v>CRÉDITO</v>
      </c>
      <c r="B985" s="38" t="str">
        <f>+IF((PROVEEDORES[[#This Row],[FECHA DE PAGO]]-PROVEEDORES[[#This Row],[FECHA DE FACTURACIÓN]])&gt;PROVEEDORES[[#This Row],[PLAZO Días]],"PAGO VENCIDO")</f>
        <v>PAGO VENCIDO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0</v>
      </c>
      <c r="E985" s="25"/>
      <c r="F985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985" s="289">
        <v>45203</v>
      </c>
      <c r="H985" s="26" t="s">
        <v>38</v>
      </c>
      <c r="I985" s="289">
        <v>45145</v>
      </c>
      <c r="J985" s="35">
        <v>90105</v>
      </c>
      <c r="K985" s="21">
        <v>2208124.6799999997</v>
      </c>
      <c r="L985" s="21"/>
      <c r="M985" s="22">
        <f>(PROVEEDORES[[#This Row],[SUBTOTAL]]-PROVEEDORES[[#This Row],[descuento sobre subtotal]])*VLOOKUP(PROVEEDORES[[#This Row],[PROVEEDOR]],TERCEROS_INFO[#All],3,FALSE)</f>
        <v>0</v>
      </c>
      <c r="N985" s="23"/>
      <c r="O985" s="22">
        <f>+PROVEEDORES[[#This Row],[Descuento sobre subtotal %]]*(PROVEEDORES[[#This Row],[SUBTOTAL]]-PROVEEDORES[[#This Row],[descuento sobre subtotal]])</f>
        <v>0</v>
      </c>
      <c r="P985" s="72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f>+PROVEEDORES[[#This Row],[SUBTOTAL]]+PROVEEDORES[[#This Row],[IVA 19%]]-PROVEEDORES[[#This Row],[descuento sobre subtotal]]-PROVEEDORES[[#This Row],[Descuento sobre subtotal $2]]-PROVEEDORES[[#This Row],[Rete Fuente $]]</f>
        <v>2208124.6799999997</v>
      </c>
      <c r="S985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1">
        <f ca="1">IF(PROVEEDORES[[#This Row],[FECHA DE PAGO]]=0,TODAY()-PROVEEDORES[[#This Row],[FECHA DE FACTURACIÓN]]-PROVEEDORES[[#This Row],[PLAZO Días]],0)</f>
        <v>0</v>
      </c>
      <c r="U985" s="97">
        <f>+VLOOKUP(PROVEEDORES[[#This Row],[PROVEEDOR]],Terceros!$A:$D,4,FALSE)</f>
        <v>0</v>
      </c>
      <c r="V985" s="98">
        <f>+YEAR(PROVEEDORES[[#This Row],[FECHA DE FACTURACIÓN]])</f>
        <v>2023</v>
      </c>
      <c r="W985" s="98">
        <f>+MATCH(PROVEEDORES[[#This Row],[año facturado]],Retenciones!$1:$1,0)</f>
        <v>6</v>
      </c>
      <c r="X985" s="99">
        <f>+VLOOKUP(PROVEEDORES[[#This Row],[ID RETENCION]],Retenciones!$A$1:$O$25,PROVEEDORES[[#This Row],[indicador de columna]],FALSE)</f>
        <v>0</v>
      </c>
      <c r="Y985" s="100">
        <f>+VLOOKUP(PROVEEDORES[[#This Row],[ID RETENCION]],Retenciones!$A$1:$O$25,2,FALSE)</f>
        <v>0</v>
      </c>
      <c r="Z985" s="103" t="b">
        <f>OR(COUNTIF(PROVEEDORES[[#This Row],[PROVEEDOR]],"*"&amp;'Palabra no opera'!$A$2&amp;"*"))</f>
        <v>0</v>
      </c>
    </row>
    <row r="986" spans="1:26" ht="22.35" customHeight="1" x14ac:dyDescent="0.25">
      <c r="A986" s="227" t="str">
        <f>+IF(PROVEEDORES[[#This Row],[FECHA DE PAGO]]=PROVEEDORES[[#This Row],[FECHA DE FACTURACIÓN]],"DE CONTADO","CRÉDITO")</f>
        <v>CRÉDITO</v>
      </c>
      <c r="B986" s="38" t="str">
        <f>+IF((PROVEEDORES[[#This Row],[FECHA DE PAGO]]-PROVEEDORES[[#This Row],[FECHA DE FACTURACIÓN]])&gt;PROVEEDORES[[#This Row],[PLAZO Días]],"PAGO VENCIDO")</f>
        <v>PAGO VENCIDO</v>
      </c>
      <c r="C986" s="20">
        <f>+VLOOKUP(PROVEEDORES[[#This Row],[PROVEEDOR]],TERCEROS_INFO[#All],2,FALSE)</f>
        <v>30</v>
      </c>
      <c r="D986" s="25">
        <f>+SUMIFS(PROVEEDORES[Total],PROVEEDORES[PROVEEDOR],PROVEEDORES[[#This Row],[PROVEEDOR]],PROVEEDORES[FECHA DE PAGO],"")</f>
        <v>0</v>
      </c>
      <c r="E986" s="25"/>
      <c r="F986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986" s="289">
        <v>45203</v>
      </c>
      <c r="H986" s="26" t="s">
        <v>38</v>
      </c>
      <c r="I986" s="289">
        <v>45147</v>
      </c>
      <c r="J986" s="35">
        <v>90276</v>
      </c>
      <c r="K986" s="21">
        <v>3715930</v>
      </c>
      <c r="L986" s="21"/>
      <c r="M986" s="22">
        <f>(PROVEEDORES[[#This Row],[SUBTOTAL]]-PROVEEDORES[[#This Row],[descuento sobre subtotal]])*VLOOKUP(PROVEEDORES[[#This Row],[PROVEEDOR]],TERCEROS_INFO[#All],3,FALSE)</f>
        <v>0</v>
      </c>
      <c r="N986" s="23"/>
      <c r="O986" s="22">
        <f>+PROVEEDORES[[#This Row],[Descuento sobre subtotal %]]*(PROVEEDORES[[#This Row],[SUBTOTAL]]-PROVEEDORES[[#This Row],[descuento sobre subtotal]])</f>
        <v>0</v>
      </c>
      <c r="P986" s="72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f>+PROVEEDORES[[#This Row],[SUBTOTAL]]+PROVEEDORES[[#This Row],[IVA 19%]]-PROVEEDORES[[#This Row],[descuento sobre subtotal]]-PROVEEDORES[[#This Row],[Descuento sobre subtotal $2]]-PROVEEDORES[[#This Row],[Rete Fuente $]]</f>
        <v>3715930</v>
      </c>
      <c r="S986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1">
        <f ca="1">IF(PROVEEDORES[[#This Row],[FECHA DE PAGO]]=0,TODAY()-PROVEEDORES[[#This Row],[FECHA DE FACTURACIÓN]]-PROVEEDORES[[#This Row],[PLAZO Días]],0)</f>
        <v>0</v>
      </c>
      <c r="U986" s="97">
        <f>+VLOOKUP(PROVEEDORES[[#This Row],[PROVEEDOR]],Terceros!$A:$D,4,FALSE)</f>
        <v>0</v>
      </c>
      <c r="V986" s="98">
        <f>+YEAR(PROVEEDORES[[#This Row],[FECHA DE FACTURACIÓN]])</f>
        <v>2023</v>
      </c>
      <c r="W986" s="98">
        <f>+MATCH(PROVEEDORES[[#This Row],[año facturado]],Retenciones!$1:$1,0)</f>
        <v>6</v>
      </c>
      <c r="X986" s="99">
        <f>+VLOOKUP(PROVEEDORES[[#This Row],[ID RETENCION]],Retenciones!$A$1:$O$25,PROVEEDORES[[#This Row],[indicador de columna]],FALSE)</f>
        <v>0</v>
      </c>
      <c r="Y986" s="100">
        <f>+VLOOKUP(PROVEEDORES[[#This Row],[ID RETENCION]],Retenciones!$A$1:$O$25,2,FALSE)</f>
        <v>0</v>
      </c>
      <c r="Z986" s="103" t="b">
        <f>OR(COUNTIF(PROVEEDORES[[#This Row],[PROVEEDOR]],"*"&amp;'Palabra no opera'!$A$2&amp;"*"))</f>
        <v>0</v>
      </c>
    </row>
    <row r="987" spans="1:26" ht="22.35" customHeight="1" x14ac:dyDescent="0.25">
      <c r="A987" s="227" t="str">
        <f>+IF(PROVEEDORES[[#This Row],[FECHA DE PAGO]]=PROVEEDORES[[#This Row],[FECHA DE FACTURACIÓN]],"DE CONTADO","CRÉDITO")</f>
        <v>CRÉDITO</v>
      </c>
      <c r="B987" s="38" t="str">
        <f>+IF((PROVEEDORES[[#This Row],[FECHA DE PAGO]]-PROVEEDORES[[#This Row],[FECHA DE FACTURACIÓN]])&gt;PROVEEDORES[[#This Row],[PLAZO Días]],"PAGO VENCIDO")</f>
        <v>PAGO VENCIDO</v>
      </c>
      <c r="C987" s="20">
        <f>+VLOOKUP(PROVEEDORES[[#This Row],[PROVEEDOR]],TERCEROS_INFO[#All],2,FALSE)</f>
        <v>30</v>
      </c>
      <c r="D987" s="25">
        <f>+SUMIFS(PROVEEDORES[Total],PROVEEDORES[PROVEEDOR],PROVEEDORES[[#This Row],[PROVEEDOR]],PROVEEDORES[FECHA DE PAGO],"")</f>
        <v>0</v>
      </c>
      <c r="E987" s="25"/>
      <c r="F987" s="56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987" s="289">
        <v>45203</v>
      </c>
      <c r="H987" s="26" t="s">
        <v>38</v>
      </c>
      <c r="I987" s="289">
        <v>45147</v>
      </c>
      <c r="J987" s="35">
        <v>90700</v>
      </c>
      <c r="K987" s="21">
        <v>3433190.84</v>
      </c>
      <c r="L987" s="21"/>
      <c r="M987" s="22">
        <f>(PROVEEDORES[[#This Row],[SUBTOTAL]]-PROVEEDORES[[#This Row],[descuento sobre subtotal]])*VLOOKUP(PROVEEDORES[[#This Row],[PROVEEDOR]],TERCEROS_INFO[#All],3,FALSE)</f>
        <v>0</v>
      </c>
      <c r="N987" s="23"/>
      <c r="O987" s="22">
        <f>+PROVEEDORES[[#This Row],[Descuento sobre subtotal %]]*(PROVEEDORES[[#This Row],[SUBTOTAL]]-PROVEEDORES[[#This Row],[descuento sobre subtotal]])</f>
        <v>0</v>
      </c>
      <c r="P987" s="72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f>+PROVEEDORES[[#This Row],[SUBTOTAL]]+PROVEEDORES[[#This Row],[IVA 19%]]-PROVEEDORES[[#This Row],[descuento sobre subtotal]]-PROVEEDORES[[#This Row],[Descuento sobre subtotal $2]]-PROVEEDORES[[#This Row],[Rete Fuente $]]</f>
        <v>3433190.84</v>
      </c>
      <c r="S987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1">
        <f ca="1">IF(PROVEEDORES[[#This Row],[FECHA DE PAGO]]=0,TODAY()-PROVEEDORES[[#This Row],[FECHA DE FACTURACIÓN]]-PROVEEDORES[[#This Row],[PLAZO Días]],0)</f>
        <v>0</v>
      </c>
      <c r="U987" s="97">
        <f>+VLOOKUP(PROVEEDORES[[#This Row],[PROVEEDOR]],Terceros!$A:$D,4,FALSE)</f>
        <v>0</v>
      </c>
      <c r="V987" s="98">
        <f>+YEAR(PROVEEDORES[[#This Row],[FECHA DE FACTURACIÓN]])</f>
        <v>2023</v>
      </c>
      <c r="W987" s="98">
        <f>+MATCH(PROVEEDORES[[#This Row],[año facturado]],Retenciones!$1:$1,0)</f>
        <v>6</v>
      </c>
      <c r="X987" s="99">
        <f>+VLOOKUP(PROVEEDORES[[#This Row],[ID RETENCION]],Retenciones!$A$1:$O$25,PROVEEDORES[[#This Row],[indicador de columna]],FALSE)</f>
        <v>0</v>
      </c>
      <c r="Y987" s="100">
        <f>+VLOOKUP(PROVEEDORES[[#This Row],[ID RETENCION]],Retenciones!$A$1:$O$25,2,FALSE)</f>
        <v>0</v>
      </c>
      <c r="Z987" s="103" t="b">
        <f>OR(COUNTIF(PROVEEDORES[[#This Row],[PROVEEDOR]],"*"&amp;'Palabra no opera'!$A$2&amp;"*"))</f>
        <v>0</v>
      </c>
    </row>
    <row r="988" spans="1:26" ht="22.35" customHeight="1" x14ac:dyDescent="0.25">
      <c r="A988" s="65" t="str">
        <f>+IF(PROVEEDORES[[#This Row],[FECHA DE PAGO]]=PROVEEDORES[[#This Row],[FECHA DE FACTURACIÓN]],"DE CONTADO","CRÉDITO")</f>
        <v>CRÉDITO</v>
      </c>
      <c r="B988" s="38" t="b">
        <f>+IF((PROVEEDORES[[#This Row],[FECHA DE PAGO]]-PROVEEDORES[[#This Row],[FECHA DE FACTURACIÓN]])&gt;PROVEEDORES[[#This Row],[PLAZO Días]],"PAGO VENCIDO")</f>
        <v>0</v>
      </c>
      <c r="C988" s="20">
        <f>+VLOOKUP(PROVEEDORES[[#This Row],[PROVEEDOR]],TERCEROS_INFO[#All],2,FALSE)</f>
        <v>30</v>
      </c>
      <c r="D988" s="25">
        <f>+SUMIFS(PROVEEDORES[Total],PROVEEDORES[PROVEEDOR],PROVEEDORES[[#This Row],[PROVEEDOR]],PROVEEDORES[FECHA DE PAGO],"")</f>
        <v>0</v>
      </c>
      <c r="E988" s="25"/>
      <c r="F988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88" s="289">
        <v>44952</v>
      </c>
      <c r="H988" s="26" t="s">
        <v>413</v>
      </c>
      <c r="I988" s="289">
        <v>44944</v>
      </c>
      <c r="J988" s="35">
        <v>5652</v>
      </c>
      <c r="K988" s="21">
        <v>3002200</v>
      </c>
      <c r="L988" s="21"/>
      <c r="M988" s="22">
        <f>(PROVEEDORES[[#This Row],[SUBTOTAL]]-PROVEEDORES[[#This Row],[descuento sobre subtotal]])*VLOOKUP(PROVEEDORES[[#This Row],[PROVEEDOR]],TERCEROS_INFO[#All],3,FALSE)</f>
        <v>0</v>
      </c>
      <c r="N988" s="23"/>
      <c r="O988" s="22">
        <f>+PROVEEDORES[[#This Row],[Descuento sobre subtotal %]]*(PROVEEDORES[[#This Row],[SUBTOTAL]]-PROVEEDORES[[#This Row],[descuento sobre subtotal]])</f>
        <v>0</v>
      </c>
      <c r="P988" s="72">
        <f>+IF(PROVEEDORES[[#This Row],[SUBTOTAL]]&lt;PROVEEDORES[[#This Row],[base retencion]],0,PROVEEDORES[[#This Row],[retención aplicada]])</f>
        <v>3.5000000000000003E-2</v>
      </c>
      <c r="Q988" s="22">
        <f>+PROVEEDORES[[#This Row],[Rete Fuente %]]*(PROVEEDORES[[#This Row],[SUBTOTAL]]-PROVEEDORES[[#This Row],[descuento sobre subtotal]])</f>
        <v>105077.00000000001</v>
      </c>
      <c r="R98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9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1">
        <f ca="1">IF(PROVEEDORES[[#This Row],[FECHA DE PAGO]]=0,TODAY()-PROVEEDORES[[#This Row],[FECHA DE FACTURACIÓN]]-PROVEEDORES[[#This Row],[PLAZO Días]],0)</f>
        <v>0</v>
      </c>
      <c r="U988" s="97" t="str">
        <f>+VLOOKUP(PROVEEDORES[[#This Row],[PROVEEDOR]],Terceros!$A:$D,4,FALSE)</f>
        <v>3,5% sin base</v>
      </c>
      <c r="V988" s="98">
        <f>+YEAR(PROVEEDORES[[#This Row],[FECHA DE FACTURACIÓN]])</f>
        <v>2023</v>
      </c>
      <c r="W988" s="98">
        <f>+MATCH(PROVEEDORES[[#This Row],[año facturado]],Retenciones!$1:$1,0)</f>
        <v>6</v>
      </c>
      <c r="X988" s="99">
        <f>+VLOOKUP(PROVEEDORES[[#This Row],[ID RETENCION]],Retenciones!$A$1:$O$25,PROVEEDORES[[#This Row],[indicador de columna]],FALSE)</f>
        <v>0</v>
      </c>
      <c r="Y988" s="100">
        <f>+VLOOKUP(PROVEEDORES[[#This Row],[ID RETENCION]],Retenciones!$A$1:$O$25,2,FALSE)</f>
        <v>3.5000000000000003E-2</v>
      </c>
      <c r="Z988" s="103" t="b">
        <f>OR(COUNTIF(PROVEEDORES[[#This Row],[PROVEEDOR]],"*"&amp;'Palabra no opera'!$A$2&amp;"*"))</f>
        <v>1</v>
      </c>
    </row>
    <row r="989" spans="1:26" ht="22.35" customHeight="1" x14ac:dyDescent="0.25">
      <c r="A989" s="159" t="str">
        <f>+IF(PROVEEDORES[[#This Row],[FECHA DE PAGO]]=PROVEEDORES[[#This Row],[FECHA DE FACTURACIÓN]],"DE CONTADO","CRÉDITO")</f>
        <v>CRÉDITO</v>
      </c>
      <c r="B989" s="38" t="str">
        <f>+IF((PROVEEDORES[[#This Row],[FECHA DE PAGO]]-PROVEEDORES[[#This Row],[FECHA DE FACTURACIÓN]])&gt;PROVEEDORES[[#This Row],[PLAZO Días]],"PAGO VENCIDO")</f>
        <v>PAGO VENCIDO</v>
      </c>
      <c r="C989" s="20">
        <f>+VLOOKUP(PROVEEDORES[[#This Row],[PROVEEDOR]],TERCEROS_INFO[#All],2,FALSE)</f>
        <v>30</v>
      </c>
      <c r="D989" s="25">
        <f>+SUMIFS(PROVEEDORES[Total],PROVEEDORES[PROVEEDOR],PROVEEDORES[[#This Row],[PROVEEDOR]],PROVEEDORES[FECHA DE PAGO],"")</f>
        <v>0</v>
      </c>
      <c r="E989" s="25"/>
      <c r="F989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89" s="289">
        <v>44995</v>
      </c>
      <c r="H989" s="26" t="s">
        <v>413</v>
      </c>
      <c r="I989" s="289">
        <v>44958</v>
      </c>
      <c r="J989" s="35" t="s">
        <v>652</v>
      </c>
      <c r="K989" s="21">
        <v>3002200</v>
      </c>
      <c r="L989" s="21"/>
      <c r="M989" s="22">
        <f>(PROVEEDORES[[#This Row],[SUBTOTAL]]-PROVEEDORES[[#This Row],[descuento sobre subtotal]])*VLOOKUP(PROVEEDORES[[#This Row],[PROVEEDOR]],TERCEROS_INFO[#All],3,FALSE)</f>
        <v>0</v>
      </c>
      <c r="N989" s="23"/>
      <c r="O989" s="22">
        <f>+PROVEEDORES[[#This Row],[Descuento sobre subtotal %]]*(PROVEEDORES[[#This Row],[SUBTOTAL]]-PROVEEDORES[[#This Row],[descuento sobre subtotal]])</f>
        <v>0</v>
      </c>
      <c r="P989" s="72">
        <f>+IF(PROVEEDORES[[#This Row],[SUBTOTAL]]&lt;PROVEEDORES[[#This Row],[base retencion]],0,PROVEEDORES[[#This Row],[retención aplicada]])</f>
        <v>3.5000000000000003E-2</v>
      </c>
      <c r="Q989" s="22">
        <f>+PROVEEDORES[[#This Row],[Rete Fuente %]]*(PROVEEDORES[[#This Row],[SUBTOTAL]]-PROVEEDORES[[#This Row],[descuento sobre subtotal]])</f>
        <v>105077.00000000001</v>
      </c>
      <c r="R98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989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1">
        <f ca="1">IF(PROVEEDORES[[#This Row],[FECHA DE PAGO]]=0,TODAY()-PROVEEDORES[[#This Row],[FECHA DE FACTURACIÓN]]-PROVEEDORES[[#This Row],[PLAZO Días]],0)</f>
        <v>0</v>
      </c>
      <c r="U989" s="97" t="str">
        <f>+VLOOKUP(PROVEEDORES[[#This Row],[PROVEEDOR]],Terceros!$A:$D,4,FALSE)</f>
        <v>3,5% sin base</v>
      </c>
      <c r="V989" s="98">
        <f>+YEAR(PROVEEDORES[[#This Row],[FECHA DE FACTURACIÓN]])</f>
        <v>2023</v>
      </c>
      <c r="W989" s="98">
        <f>+MATCH(PROVEEDORES[[#This Row],[año facturado]],Retenciones!$1:$1,0)</f>
        <v>6</v>
      </c>
      <c r="X989" s="99">
        <f>+VLOOKUP(PROVEEDORES[[#This Row],[ID RETENCION]],Retenciones!$A$1:$O$25,PROVEEDORES[[#This Row],[indicador de columna]],FALSE)</f>
        <v>0</v>
      </c>
      <c r="Y989" s="100">
        <f>+VLOOKUP(PROVEEDORES[[#This Row],[ID RETENCION]],Retenciones!$A$1:$O$25,2,FALSE)</f>
        <v>3.5000000000000003E-2</v>
      </c>
      <c r="Z989" s="103" t="b">
        <f>OR(COUNTIF(PROVEEDORES[[#This Row],[PROVEEDOR]],"*"&amp;'Palabra no opera'!$A$2&amp;"*"))</f>
        <v>1</v>
      </c>
    </row>
    <row r="990" spans="1:26" ht="22.35" customHeight="1" x14ac:dyDescent="0.25">
      <c r="A990" s="65" t="str">
        <f>+IF(PROVEEDORES[[#This Row],[FECHA DE PAGO]]=PROVEEDORES[[#This Row],[FECHA DE FACTURACIÓN]],"DE CONTADO","CRÉDITO")</f>
        <v>DE CONTADO</v>
      </c>
      <c r="B990" s="38" t="b">
        <f>+IF((PROVEEDORES[[#This Row],[FECHA DE PAGO]]-PROVEEDORES[[#This Row],[FECHA DE FACTURACIÓN]])&gt;PROVEEDORES[[#This Row],[PLAZO Días]],"PAGO VENCIDO")</f>
        <v>0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0</v>
      </c>
      <c r="E990" s="25"/>
      <c r="F990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0" s="289">
        <v>45001</v>
      </c>
      <c r="H990" s="26" t="s">
        <v>413</v>
      </c>
      <c r="I990" s="289">
        <v>45001</v>
      </c>
      <c r="J990" s="35" t="s">
        <v>672</v>
      </c>
      <c r="K990" s="21">
        <v>3002200</v>
      </c>
      <c r="L990" s="21"/>
      <c r="M990" s="22">
        <f>(PROVEEDORES[[#This Row],[SUBTOTAL]]-PROVEEDORES[[#This Row],[descuento sobre subtotal]])*VLOOKUP(PROVEEDORES[[#This Row],[PROVEEDOR]],TERCEROS_INFO[#All],3,FALSE)</f>
        <v>0</v>
      </c>
      <c r="N990" s="23"/>
      <c r="O990" s="22">
        <f>+PROVEEDORES[[#This Row],[Descuento sobre subtotal %]]*(PROVEEDORES[[#This Row],[SUBTOTAL]]-PROVEEDORES[[#This Row],[descuento sobre subtotal]])</f>
        <v>0</v>
      </c>
      <c r="P990" s="72">
        <f>+IF(PROVEEDORES[[#This Row],[SUBTOTAL]]&lt;PROVEEDORES[[#This Row],[base retencion]],0,PROVEEDORES[[#This Row],[retención aplicada]])</f>
        <v>3.5000000000000003E-2</v>
      </c>
      <c r="Q990" s="22">
        <f>+PROVEEDORES[[#This Row],[Rete Fuente %]]*(PROVEEDORES[[#This Row],[SUBTOTAL]]-PROVEEDORES[[#This Row],[descuento sobre subtotal]])</f>
        <v>105077.00000000001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9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1">
        <f ca="1">IF(PROVEEDORES[[#This Row],[FECHA DE PAGO]]=0,TODAY()-PROVEEDORES[[#This Row],[FECHA DE FACTURACIÓN]]-PROVEEDORES[[#This Row],[PLAZO Días]],0)</f>
        <v>0</v>
      </c>
      <c r="U990" s="97" t="str">
        <f>+VLOOKUP(PROVEEDORES[[#This Row],[PROVEEDOR]],Terceros!$A:$D,4,FALSE)</f>
        <v>3,5% sin base</v>
      </c>
      <c r="V990" s="98">
        <f>+YEAR(PROVEEDORES[[#This Row],[FECHA DE FACTURACIÓN]])</f>
        <v>2023</v>
      </c>
      <c r="W990" s="98">
        <f>+MATCH(PROVEEDORES[[#This Row],[año facturado]],Retenciones!$1:$1,0)</f>
        <v>6</v>
      </c>
      <c r="X990" s="99">
        <f>+VLOOKUP(PROVEEDORES[[#This Row],[ID RETENCION]],Retenciones!$A$1:$O$25,PROVEEDORES[[#This Row],[indicador de columna]],FALSE)</f>
        <v>0</v>
      </c>
      <c r="Y990" s="100">
        <f>+VLOOKUP(PROVEEDORES[[#This Row],[ID RETENCION]],Retenciones!$A$1:$O$25,2,FALSE)</f>
        <v>3.5000000000000003E-2</v>
      </c>
      <c r="Z990" s="103" t="b">
        <f>OR(COUNTIF(PROVEEDORES[[#This Row],[PROVEEDOR]],"*"&amp;'Palabra no opera'!$A$2&amp;"*"))</f>
        <v>1</v>
      </c>
    </row>
    <row r="991" spans="1:26" ht="22.35" customHeight="1" x14ac:dyDescent="0.25">
      <c r="A991" s="65" t="str">
        <f>+IF(PROVEEDORES[[#This Row],[FECHA DE PAGO]]=PROVEEDORES[[#This Row],[FECHA DE FACTURACIÓN]],"DE CONTADO","CRÉDITO")</f>
        <v>CRÉDITO</v>
      </c>
      <c r="B991" s="38" t="b">
        <f>+IF((PROVEEDORES[[#This Row],[FECHA DE PAGO]]-PROVEEDORES[[#This Row],[FECHA DE FACTURACIÓN]])&gt;PROVEEDORES[[#This Row],[PLAZO Días]],"PAGO VENCIDO")</f>
        <v>0</v>
      </c>
      <c r="C991" s="20">
        <f>+VLOOKUP(PROVEEDORES[[#This Row],[PROVEEDOR]],TERCEROS_INFO[#All],2,FALSE)</f>
        <v>30</v>
      </c>
      <c r="D991" s="25">
        <f>+SUMIFS(PROVEEDORES[Total],PROVEEDORES[PROVEEDOR],PROVEEDORES[[#This Row],[PROVEEDOR]],PROVEEDORES[FECHA DE PAGO],"")</f>
        <v>0</v>
      </c>
      <c r="E991" s="25"/>
      <c r="F991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1" s="289">
        <v>45041</v>
      </c>
      <c r="H991" s="26" t="s">
        <v>413</v>
      </c>
      <c r="I991" s="289">
        <v>45034</v>
      </c>
      <c r="J991" s="35" t="s">
        <v>768</v>
      </c>
      <c r="K991" s="21">
        <v>3456200</v>
      </c>
      <c r="L991" s="21"/>
      <c r="M991" s="22">
        <f>(PROVEEDORES[[#This Row],[SUBTOTAL]]-PROVEEDORES[[#This Row],[descuento sobre subtotal]])*VLOOKUP(PROVEEDORES[[#This Row],[PROVEEDOR]],TERCEROS_INFO[#All],3,FALSE)</f>
        <v>0</v>
      </c>
      <c r="N991" s="23"/>
      <c r="O991" s="22">
        <f>+PROVEEDORES[[#This Row],[Descuento sobre subtotal %]]*(PROVEEDORES[[#This Row],[SUBTOTAL]]-PROVEEDORES[[#This Row],[descuento sobre subtotal]])</f>
        <v>0</v>
      </c>
      <c r="P991" s="72">
        <f>+IF(PROVEEDORES[[#This Row],[SUBTOTAL]]&lt;PROVEEDORES[[#This Row],[base retencion]],0,PROVEEDORES[[#This Row],[retención aplicada]])</f>
        <v>3.5000000000000003E-2</v>
      </c>
      <c r="Q991" s="22">
        <f>+PROVEEDORES[[#This Row],[Rete Fuente %]]*(PROVEEDORES[[#This Row],[SUBTOTAL]]-PROVEEDORES[[#This Row],[descuento sobre subtotal]])</f>
        <v>120967.00000000001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1">
        <f ca="1">IF(PROVEEDORES[[#This Row],[FECHA DE PAGO]]=0,TODAY()-PROVEEDORES[[#This Row],[FECHA DE FACTURACIÓN]]-PROVEEDORES[[#This Row],[PLAZO Días]],0)</f>
        <v>0</v>
      </c>
      <c r="U991" s="97" t="str">
        <f>+VLOOKUP(PROVEEDORES[[#This Row],[PROVEEDOR]],Terceros!$A:$D,4,FALSE)</f>
        <v>3,5% sin base</v>
      </c>
      <c r="V991" s="98">
        <f>+YEAR(PROVEEDORES[[#This Row],[FECHA DE FACTURACIÓN]])</f>
        <v>2023</v>
      </c>
      <c r="W991" s="98">
        <f>+MATCH(PROVEEDORES[[#This Row],[año facturado]],Retenciones!$1:$1,0)</f>
        <v>6</v>
      </c>
      <c r="X991" s="99">
        <f>+VLOOKUP(PROVEEDORES[[#This Row],[ID RETENCION]],Retenciones!$A$1:$O$25,PROVEEDORES[[#This Row],[indicador de columna]],FALSE)</f>
        <v>0</v>
      </c>
      <c r="Y991" s="100">
        <f>+VLOOKUP(PROVEEDORES[[#This Row],[ID RETENCION]],Retenciones!$A$1:$O$25,2,FALSE)</f>
        <v>3.5000000000000003E-2</v>
      </c>
      <c r="Z991" s="103" t="b">
        <f>OR(COUNTIF(PROVEEDORES[[#This Row],[PROVEEDOR]],"*"&amp;'Palabra no opera'!$A$2&amp;"*"))</f>
        <v>1</v>
      </c>
    </row>
    <row r="992" spans="1:26" ht="22.35" customHeight="1" x14ac:dyDescent="0.25">
      <c r="A992" s="65" t="str">
        <f>+IF(PROVEEDORES[[#This Row],[FECHA DE PAGO]]=PROVEEDORES[[#This Row],[FECHA DE FACTURACIÓN]],"DE CONTADO","CRÉDITO")</f>
        <v>DE CONTADO</v>
      </c>
      <c r="B992" s="38" t="b">
        <f>+IF((PROVEEDORES[[#This Row],[FECHA DE PAGO]]-PROVEEDORES[[#This Row],[FECHA DE FACTURACIÓN]])&gt;PROVEEDORES[[#This Row],[PLAZO Días]],"PAGO VENCIDO")</f>
        <v>0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0</v>
      </c>
      <c r="E992" s="25"/>
      <c r="F992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2" s="289">
        <v>45075</v>
      </c>
      <c r="H992" s="26" t="s">
        <v>413</v>
      </c>
      <c r="I992" s="289">
        <v>45075</v>
      </c>
      <c r="J992" s="35" t="s">
        <v>848</v>
      </c>
      <c r="K992" s="21">
        <v>3456200</v>
      </c>
      <c r="L992" s="21"/>
      <c r="M992" s="22">
        <f>(PROVEEDORES[[#This Row],[SUBTOTAL]]-PROVEEDORES[[#This Row],[descuento sobre subtotal]])*VLOOKUP(PROVEEDORES[[#This Row],[PROVEEDOR]],TERCEROS_INFO[#All],3,FALSE)</f>
        <v>0</v>
      </c>
      <c r="N992" s="23"/>
      <c r="O992" s="22">
        <f>+PROVEEDORES[[#This Row],[Descuento sobre subtotal %]]*(PROVEEDORES[[#This Row],[SUBTOTAL]]-PROVEEDORES[[#This Row],[descuento sobre subtotal]])</f>
        <v>0</v>
      </c>
      <c r="P992" s="72">
        <f>+IF(PROVEEDORES[[#This Row],[SUBTOTAL]]&lt;PROVEEDORES[[#This Row],[base retencion]],0,PROVEEDORES[[#This Row],[retención aplicada]])</f>
        <v>3.5000000000000003E-2</v>
      </c>
      <c r="Q992" s="22">
        <f>+PROVEEDORES[[#This Row],[Rete Fuente %]]*(PROVEEDORES[[#This Row],[SUBTOTAL]]-PROVEEDORES[[#This Row],[descuento sobre subtotal]])</f>
        <v>120967.00000000001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1">
        <f ca="1">IF(PROVEEDORES[[#This Row],[FECHA DE PAGO]]=0,TODAY()-PROVEEDORES[[#This Row],[FECHA DE FACTURACIÓN]]-PROVEEDORES[[#This Row],[PLAZO Días]],0)</f>
        <v>0</v>
      </c>
      <c r="U992" s="97" t="str">
        <f>+VLOOKUP(PROVEEDORES[[#This Row],[PROVEEDOR]],Terceros!$A:$D,4,FALSE)</f>
        <v>3,5% sin base</v>
      </c>
      <c r="V992" s="98">
        <f>+YEAR(PROVEEDORES[[#This Row],[FECHA DE FACTURACIÓN]])</f>
        <v>2023</v>
      </c>
      <c r="W992" s="98">
        <f>+MATCH(PROVEEDORES[[#This Row],[año facturado]],Retenciones!$1:$1,0)</f>
        <v>6</v>
      </c>
      <c r="X992" s="99">
        <f>+VLOOKUP(PROVEEDORES[[#This Row],[ID RETENCION]],Retenciones!$A$1:$O$25,PROVEEDORES[[#This Row],[indicador de columna]],FALSE)</f>
        <v>0</v>
      </c>
      <c r="Y992" s="100">
        <f>+VLOOKUP(PROVEEDORES[[#This Row],[ID RETENCION]],Retenciones!$A$1:$O$25,2,FALSE)</f>
        <v>3.5000000000000003E-2</v>
      </c>
      <c r="Z992" s="103" t="b">
        <f>OR(COUNTIF(PROVEEDORES[[#This Row],[PROVEEDOR]],"*"&amp;'Palabra no opera'!$A$2&amp;"*"))</f>
        <v>1</v>
      </c>
    </row>
    <row r="993" spans="1:26" ht="22.35" customHeight="1" x14ac:dyDescent="0.25">
      <c r="A993" s="203" t="str">
        <f>+IF(PROVEEDORES[[#This Row],[FECHA DE PAGO]]=PROVEEDORES[[#This Row],[FECHA DE FACTURACIÓN]],"DE CONTADO","CRÉDITO")</f>
        <v>CRÉDITO</v>
      </c>
      <c r="B993" s="38" t="b">
        <f>+IF((PROVEEDORES[[#This Row],[FECHA DE PAGO]]-PROVEEDORES[[#This Row],[FECHA DE FACTURACIÓN]])&gt;PROVEEDORES[[#This Row],[PLAZO Días]],"PAGO VENCIDO")</f>
        <v>0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0</v>
      </c>
      <c r="E993" s="25"/>
      <c r="F993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3" s="289">
        <v>45100</v>
      </c>
      <c r="H993" s="26" t="s">
        <v>413</v>
      </c>
      <c r="I993" s="289">
        <v>45087</v>
      </c>
      <c r="J993" s="35" t="s">
        <v>885</v>
      </c>
      <c r="K993" s="21">
        <v>3456200</v>
      </c>
      <c r="L993" s="21"/>
      <c r="M993" s="22">
        <f>(PROVEEDORES[[#This Row],[SUBTOTAL]]-PROVEEDORES[[#This Row],[descuento sobre subtotal]])*VLOOKUP(PROVEEDORES[[#This Row],[PROVEEDOR]],TERCEROS_INFO[#All],3,FALSE)</f>
        <v>0</v>
      </c>
      <c r="N993" s="23"/>
      <c r="O993" s="22">
        <f>+PROVEEDORES[[#This Row],[Descuento sobre subtotal %]]*(PROVEEDORES[[#This Row],[SUBTOTAL]]-PROVEEDORES[[#This Row],[descuento sobre subtotal]])</f>
        <v>0</v>
      </c>
      <c r="P993" s="72">
        <f>+IF(PROVEEDORES[[#This Row],[SUBTOTAL]]&lt;PROVEEDORES[[#This Row],[base retencion]],0,PROVEEDORES[[#This Row],[retención aplicada]])</f>
        <v>3.5000000000000003E-2</v>
      </c>
      <c r="Q993" s="22">
        <f>+PROVEEDORES[[#This Row],[Rete Fuente %]]*(PROVEEDORES[[#This Row],[SUBTOTAL]]-PROVEEDORES[[#This Row],[descuento sobre subtotal]])</f>
        <v>120967.00000000001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3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1">
        <f ca="1">IF(PROVEEDORES[[#This Row],[FECHA DE PAGO]]=0,TODAY()-PROVEEDORES[[#This Row],[FECHA DE FACTURACIÓN]]-PROVEEDORES[[#This Row],[PLAZO Días]],0)</f>
        <v>0</v>
      </c>
      <c r="U993" s="97" t="str">
        <f>+VLOOKUP(PROVEEDORES[[#This Row],[PROVEEDOR]],Terceros!$A:$D,4,FALSE)</f>
        <v>3,5% sin base</v>
      </c>
      <c r="V993" s="98">
        <f>+YEAR(PROVEEDORES[[#This Row],[FECHA DE FACTURACIÓN]])</f>
        <v>2023</v>
      </c>
      <c r="W993" s="98">
        <f>+MATCH(PROVEEDORES[[#This Row],[año facturado]],Retenciones!$1:$1,0)</f>
        <v>6</v>
      </c>
      <c r="X993" s="99">
        <f>+VLOOKUP(PROVEEDORES[[#This Row],[ID RETENCION]],Retenciones!$A$1:$O$25,PROVEEDORES[[#This Row],[indicador de columna]],FALSE)</f>
        <v>0</v>
      </c>
      <c r="Y993" s="100">
        <f>+VLOOKUP(PROVEEDORES[[#This Row],[ID RETENCION]],Retenciones!$A$1:$O$25,2,FALSE)</f>
        <v>3.5000000000000003E-2</v>
      </c>
      <c r="Z993" s="103" t="b">
        <f>OR(COUNTIF(PROVEEDORES[[#This Row],[PROVEEDOR]],"*"&amp;'Palabra no opera'!$A$2&amp;"*"))</f>
        <v>1</v>
      </c>
    </row>
    <row r="994" spans="1:26" ht="22.35" customHeight="1" x14ac:dyDescent="0.25">
      <c r="A994" s="211" t="str">
        <f>+IF(PROVEEDORES[[#This Row],[FECHA DE PAGO]]=PROVEEDORES[[#This Row],[FECHA DE FACTURACIÓN]],"DE CONTADO","CRÉDITO")</f>
        <v>CRÉDITO</v>
      </c>
      <c r="B994" s="38" t="b">
        <f>+IF((PROVEEDORES[[#This Row],[FECHA DE PAGO]]-PROVEEDORES[[#This Row],[FECHA DE FACTURACIÓN]])&gt;PROVEEDORES[[#This Row],[PLAZO Días]],"PAGO VENCIDO")</f>
        <v>0</v>
      </c>
      <c r="C994" s="20">
        <f>+VLOOKUP(PROVEEDORES[[#This Row],[PROVEEDOR]],TERCEROS_INFO[#All],2,FALSE)</f>
        <v>30</v>
      </c>
      <c r="D994" s="25">
        <f>+SUMIFS(PROVEEDORES[Total],PROVEEDORES[PROVEEDOR],PROVEEDORES[[#This Row],[PROVEEDOR]],PROVEEDORES[FECHA DE PAGO],"")</f>
        <v>0</v>
      </c>
      <c r="E994" s="25"/>
      <c r="F994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4" s="289">
        <v>45131</v>
      </c>
      <c r="H994" s="26" t="s">
        <v>413</v>
      </c>
      <c r="I994" s="289">
        <v>45117</v>
      </c>
      <c r="J994" s="35" t="s">
        <v>951</v>
      </c>
      <c r="K994" s="21">
        <v>3456200</v>
      </c>
      <c r="L994" s="21"/>
      <c r="M994" s="22">
        <f>(PROVEEDORES[[#This Row],[SUBTOTAL]]-PROVEEDORES[[#This Row],[descuento sobre subtotal]])*VLOOKUP(PROVEEDORES[[#This Row],[PROVEEDOR]],TERCEROS_INFO[#All],3,FALSE)</f>
        <v>0</v>
      </c>
      <c r="N994" s="23"/>
      <c r="O994" s="22">
        <f>+PROVEEDORES[[#This Row],[Descuento sobre subtotal %]]*(PROVEEDORES[[#This Row],[SUBTOTAL]]-PROVEEDORES[[#This Row],[descuento sobre subtotal]])</f>
        <v>0</v>
      </c>
      <c r="P994" s="72">
        <f>+IF(PROVEEDORES[[#This Row],[SUBTOTAL]]&lt;PROVEEDORES[[#This Row],[base retencion]],0,PROVEEDORES[[#This Row],[retención aplicada]])</f>
        <v>3.5000000000000003E-2</v>
      </c>
      <c r="Q994" s="22">
        <f>+PROVEEDORES[[#This Row],[Rete Fuente %]]*(PROVEEDORES[[#This Row],[SUBTOTAL]]-PROVEEDORES[[#This Row],[descuento sobre subtotal]])</f>
        <v>120967.00000000001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4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1">
        <f ca="1">IF(PROVEEDORES[[#This Row],[FECHA DE PAGO]]=0,TODAY()-PROVEEDORES[[#This Row],[FECHA DE FACTURACIÓN]]-PROVEEDORES[[#This Row],[PLAZO Días]],0)</f>
        <v>0</v>
      </c>
      <c r="U994" s="97" t="str">
        <f>+VLOOKUP(PROVEEDORES[[#This Row],[PROVEEDOR]],Terceros!$A:$D,4,FALSE)</f>
        <v>3,5% sin base</v>
      </c>
      <c r="V994" s="98">
        <f>+YEAR(PROVEEDORES[[#This Row],[FECHA DE FACTURACIÓN]])</f>
        <v>2023</v>
      </c>
      <c r="W994" s="98">
        <f>+MATCH(PROVEEDORES[[#This Row],[año facturado]],Retenciones!$1:$1,0)</f>
        <v>6</v>
      </c>
      <c r="X994" s="99">
        <f>+VLOOKUP(PROVEEDORES[[#This Row],[ID RETENCION]],Retenciones!$A$1:$O$25,PROVEEDORES[[#This Row],[indicador de columna]],FALSE)</f>
        <v>0</v>
      </c>
      <c r="Y994" s="100">
        <f>+VLOOKUP(PROVEEDORES[[#This Row],[ID RETENCION]],Retenciones!$A$1:$O$25,2,FALSE)</f>
        <v>3.5000000000000003E-2</v>
      </c>
      <c r="Z994" s="103" t="b">
        <f>OR(COUNTIF(PROVEEDORES[[#This Row],[PROVEEDOR]],"*"&amp;'Palabra no opera'!$A$2&amp;"*"))</f>
        <v>1</v>
      </c>
    </row>
    <row r="995" spans="1:26" ht="27.75" customHeight="1" x14ac:dyDescent="0.25">
      <c r="A995" s="65" t="str">
        <f>+IF(PROVEEDORES[[#This Row],[FECHA DE PAGO]]=PROVEEDORES[[#This Row],[FECHA DE FACTURACIÓN]],"DE CONTADO","CRÉDITO")</f>
        <v>CRÉDITO</v>
      </c>
      <c r="B995" s="38" t="b">
        <f>+IF((PROVEEDORES[[#This Row],[FECHA DE PAGO]]-PROVEEDORES[[#This Row],[FECHA DE FACTURACIÓN]])&gt;PROVEEDORES[[#This Row],[PLAZO Días]],"PAGO VENCIDO")</f>
        <v>0</v>
      </c>
      <c r="C995" s="20">
        <f>+VLOOKUP(PROVEEDORES[[#This Row],[PROVEEDOR]],TERCEROS_INFO[#All],2,FALSE)</f>
        <v>30</v>
      </c>
      <c r="D995" s="25">
        <f>+SUMIFS(PROVEEDORES[Total],PROVEEDORES[PROVEEDOR],PROVEEDORES[[#This Row],[PROVEEDOR]],PROVEEDORES[FECHA DE PAGO],"")</f>
        <v>0</v>
      </c>
      <c r="E995" s="25"/>
      <c r="F995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5" s="289">
        <v>45160</v>
      </c>
      <c r="H995" s="26" t="s">
        <v>413</v>
      </c>
      <c r="I995" s="289">
        <v>45148</v>
      </c>
      <c r="J995" s="35" t="s">
        <v>1031</v>
      </c>
      <c r="K995" s="21">
        <v>3456200</v>
      </c>
      <c r="L995" s="21"/>
      <c r="M995" s="22">
        <f>(PROVEEDORES[[#This Row],[SUBTOTAL]]-PROVEEDORES[[#This Row],[descuento sobre subtotal]])*VLOOKUP(PROVEEDORES[[#This Row],[PROVEEDOR]],TERCEROS_INFO[#All],3,FALSE)</f>
        <v>0</v>
      </c>
      <c r="N995" s="23"/>
      <c r="O995" s="22">
        <f>+PROVEEDORES[[#This Row],[Descuento sobre subtotal %]]*(PROVEEDORES[[#This Row],[SUBTOTAL]]-PROVEEDORES[[#This Row],[descuento sobre subtotal]])</f>
        <v>0</v>
      </c>
      <c r="P995" s="72">
        <f>+IF(PROVEEDORES[[#This Row],[SUBTOTAL]]&lt;PROVEEDORES[[#This Row],[base retencion]],0,PROVEEDORES[[#This Row],[retención aplicada]])</f>
        <v>3.5000000000000003E-2</v>
      </c>
      <c r="Q995" s="22">
        <f>+PROVEEDORES[[#This Row],[Rete Fuente %]]*(PROVEEDORES[[#This Row],[SUBTOTAL]]-PROVEEDORES[[#This Row],[descuento sobre subtotal]])</f>
        <v>120967.00000000001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1">
        <f ca="1">IF(PROVEEDORES[[#This Row],[FECHA DE PAGO]]=0,TODAY()-PROVEEDORES[[#This Row],[FECHA DE FACTURACIÓN]]-PROVEEDORES[[#This Row],[PLAZO Días]],0)</f>
        <v>0</v>
      </c>
      <c r="U995" s="97" t="str">
        <f>+VLOOKUP(PROVEEDORES[[#This Row],[PROVEEDOR]],Terceros!$A:$D,4,FALSE)</f>
        <v>3,5% sin base</v>
      </c>
      <c r="V995" s="98">
        <f>+YEAR(PROVEEDORES[[#This Row],[FECHA DE FACTURACIÓN]])</f>
        <v>2023</v>
      </c>
      <c r="W995" s="98">
        <f>+MATCH(PROVEEDORES[[#This Row],[año facturado]],Retenciones!$1:$1,0)</f>
        <v>6</v>
      </c>
      <c r="X995" s="99">
        <f>+VLOOKUP(PROVEEDORES[[#This Row],[ID RETENCION]],Retenciones!$A$1:$O$25,PROVEEDORES[[#This Row],[indicador de columna]],FALSE)</f>
        <v>0</v>
      </c>
      <c r="Y995" s="100">
        <f>+VLOOKUP(PROVEEDORES[[#This Row],[ID RETENCION]],Retenciones!$A$1:$O$25,2,FALSE)</f>
        <v>3.5000000000000003E-2</v>
      </c>
      <c r="Z995" s="103" t="b">
        <f>OR(COUNTIF(PROVEEDORES[[#This Row],[PROVEEDOR]],"*"&amp;'Palabra no opera'!$A$2&amp;"*"))</f>
        <v>1</v>
      </c>
    </row>
    <row r="996" spans="1:26" ht="22.35" customHeight="1" x14ac:dyDescent="0.25">
      <c r="A996" s="240" t="str">
        <f>+IF(PROVEEDORES[[#This Row],[FECHA DE PAGO]]=PROVEEDORES[[#This Row],[FECHA DE FACTURACIÓN]],"DE CONTADO","CRÉDITO")</f>
        <v>CRÉDITO</v>
      </c>
      <c r="B996" s="38" t="b">
        <f>+IF((PROVEEDORES[[#This Row],[FECHA DE PAGO]]-PROVEEDORES[[#This Row],[FECHA DE FACTURACIÓN]])&gt;PROVEEDORES[[#This Row],[PLAZO Días]],"PAGO VENCIDO")</f>
        <v>0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0</v>
      </c>
      <c r="E996" s="25"/>
      <c r="F996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6" s="289">
        <v>45194</v>
      </c>
      <c r="H996" s="26" t="s">
        <v>413</v>
      </c>
      <c r="I996" s="289">
        <v>45179</v>
      </c>
      <c r="J996" s="35" t="s">
        <v>1095</v>
      </c>
      <c r="K996" s="21">
        <v>3456200</v>
      </c>
      <c r="L996" s="21"/>
      <c r="M996" s="22">
        <f>(PROVEEDORES[[#This Row],[SUBTOTAL]]-PROVEEDORES[[#This Row],[descuento sobre subtotal]])*VLOOKUP(PROVEEDORES[[#This Row],[PROVEEDOR]],TERCEROS_INFO[#All],3,FALSE)</f>
        <v>0</v>
      </c>
      <c r="N996" s="23"/>
      <c r="O996" s="22">
        <f>+PROVEEDORES[[#This Row],[Descuento sobre subtotal %]]*(PROVEEDORES[[#This Row],[SUBTOTAL]]-PROVEEDORES[[#This Row],[descuento sobre subtotal]])</f>
        <v>0</v>
      </c>
      <c r="P996" s="72">
        <f>+IF(PROVEEDORES[[#This Row],[SUBTOTAL]]&lt;PROVEEDORES[[#This Row],[base retencion]],0,PROVEEDORES[[#This Row],[retención aplicada]])</f>
        <v>3.5000000000000003E-2</v>
      </c>
      <c r="Q996" s="22">
        <f>+PROVEEDORES[[#This Row],[Rete Fuente %]]*(PROVEEDORES[[#This Row],[SUBTOTAL]]-PROVEEDORES[[#This Row],[descuento sobre subtotal]])</f>
        <v>120967.00000000001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6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1">
        <f ca="1">IF(PROVEEDORES[[#This Row],[FECHA DE PAGO]]=0,TODAY()-PROVEEDORES[[#This Row],[FECHA DE FACTURACIÓN]]-PROVEEDORES[[#This Row],[PLAZO Días]],0)</f>
        <v>0</v>
      </c>
      <c r="U996" s="97" t="str">
        <f>+VLOOKUP(PROVEEDORES[[#This Row],[PROVEEDOR]],Terceros!$A:$D,4,FALSE)</f>
        <v>3,5% sin base</v>
      </c>
      <c r="V996" s="98">
        <f>+YEAR(PROVEEDORES[[#This Row],[FECHA DE FACTURACIÓN]])</f>
        <v>2023</v>
      </c>
      <c r="W996" s="98">
        <f>+MATCH(PROVEEDORES[[#This Row],[año facturado]],Retenciones!$1:$1,0)</f>
        <v>6</v>
      </c>
      <c r="X996" s="99">
        <f>+VLOOKUP(PROVEEDORES[[#This Row],[ID RETENCION]],Retenciones!$A$1:$O$25,PROVEEDORES[[#This Row],[indicador de columna]],FALSE)</f>
        <v>0</v>
      </c>
      <c r="Y996" s="100">
        <f>+VLOOKUP(PROVEEDORES[[#This Row],[ID RETENCION]],Retenciones!$A$1:$O$25,2,FALSE)</f>
        <v>3.5000000000000003E-2</v>
      </c>
      <c r="Z996" s="103" t="b">
        <f>OR(COUNTIF(PROVEEDORES[[#This Row],[PROVEEDOR]],"*"&amp;'Palabra no opera'!$A$2&amp;"*"))</f>
        <v>1</v>
      </c>
    </row>
    <row r="997" spans="1:26" ht="22.35" customHeight="1" x14ac:dyDescent="0.25">
      <c r="A997" s="65" t="str">
        <f>+IF(PROVEEDORES[[#This Row],[FECHA DE PAGO]]=PROVEEDORES[[#This Row],[FECHA DE FACTURACIÓN]],"DE CONTADO","CRÉDITO")</f>
        <v>CRÉDITO</v>
      </c>
      <c r="B997" s="38" t="b">
        <f>+IF((PROVEEDORES[[#This Row],[FECHA DE PAGO]]-PROVEEDORES[[#This Row],[FECHA DE FACTURACIÓN]])&gt;PROVEEDORES[[#This Row],[PLAZO Días]],"PAGO VENCIDO")</f>
        <v>0</v>
      </c>
      <c r="C997" s="20">
        <f>+VLOOKUP(PROVEEDORES[[#This Row],[PROVEEDOR]],TERCEROS_INFO[#All],2,FALSE)</f>
        <v>30</v>
      </c>
      <c r="D997" s="25">
        <f>+SUMIFS(PROVEEDORES[Total],PROVEEDORES[PROVEEDOR],PROVEEDORES[[#This Row],[PROVEEDOR]],PROVEEDORES[FECHA DE PAGO],"")</f>
        <v>0</v>
      </c>
      <c r="E997" s="25"/>
      <c r="F997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7" s="289">
        <v>45222</v>
      </c>
      <c r="H997" s="26" t="s">
        <v>413</v>
      </c>
      <c r="I997" s="289">
        <v>45219</v>
      </c>
      <c r="J997" s="35" t="s">
        <v>1180</v>
      </c>
      <c r="K997" s="21">
        <v>3456200</v>
      </c>
      <c r="L997" s="21"/>
      <c r="M997" s="22">
        <f>(PROVEEDORES[[#This Row],[SUBTOTAL]]-PROVEEDORES[[#This Row],[descuento sobre subtotal]])*VLOOKUP(PROVEEDORES[[#This Row],[PROVEEDOR]],TERCEROS_INFO[#All],3,FALSE)</f>
        <v>0</v>
      </c>
      <c r="N997" s="23"/>
      <c r="O997" s="22">
        <f>+PROVEEDORES[[#This Row],[Descuento sobre subtotal %]]*(PROVEEDORES[[#This Row],[SUBTOTAL]]-PROVEEDORES[[#This Row],[descuento sobre subtotal]])</f>
        <v>0</v>
      </c>
      <c r="P997" s="72">
        <f>+IF(PROVEEDORES[[#This Row],[SUBTOTAL]]&lt;PROVEEDORES[[#This Row],[base retencion]],0,PROVEEDORES[[#This Row],[retención aplicada]])</f>
        <v>3.5000000000000003E-2</v>
      </c>
      <c r="Q997" s="22">
        <f>+PROVEEDORES[[#This Row],[Rete Fuente %]]*(PROVEEDORES[[#This Row],[SUBTOTAL]]-PROVEEDORES[[#This Row],[descuento sobre subtotal]])</f>
        <v>120967.00000000001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1">
        <f ca="1">IF(PROVEEDORES[[#This Row],[FECHA DE PAGO]]=0,TODAY()-PROVEEDORES[[#This Row],[FECHA DE FACTURACIÓN]]-PROVEEDORES[[#This Row],[PLAZO Días]],0)</f>
        <v>0</v>
      </c>
      <c r="U997" s="97" t="str">
        <f>+VLOOKUP(PROVEEDORES[[#This Row],[PROVEEDOR]],Terceros!$A:$D,4,FALSE)</f>
        <v>3,5% sin base</v>
      </c>
      <c r="V997" s="98">
        <f>+YEAR(PROVEEDORES[[#This Row],[FECHA DE FACTURACIÓN]])</f>
        <v>2023</v>
      </c>
      <c r="W997" s="98">
        <f>+MATCH(PROVEEDORES[[#This Row],[año facturado]],Retenciones!$1:$1,0)</f>
        <v>6</v>
      </c>
      <c r="X997" s="99">
        <f>+VLOOKUP(PROVEEDORES[[#This Row],[ID RETENCION]],Retenciones!$A$1:$O$25,PROVEEDORES[[#This Row],[indicador de columna]],FALSE)</f>
        <v>0</v>
      </c>
      <c r="Y997" s="100">
        <f>+VLOOKUP(PROVEEDORES[[#This Row],[ID RETENCION]],Retenciones!$A$1:$O$25,2,FALSE)</f>
        <v>3.5000000000000003E-2</v>
      </c>
      <c r="Z997" s="103" t="b">
        <f>OR(COUNTIF(PROVEEDORES[[#This Row],[PROVEEDOR]],"*"&amp;'Palabra no opera'!$A$2&amp;"*"))</f>
        <v>1</v>
      </c>
    </row>
    <row r="998" spans="1:26" ht="22.35" customHeight="1" x14ac:dyDescent="0.25">
      <c r="A998" s="65" t="str">
        <f>+IF(PROVEEDORES[[#This Row],[FECHA DE PAGO]]=PROVEEDORES[[#This Row],[FECHA DE FACTURACIÓN]],"DE CONTADO","CRÉDITO")</f>
        <v>CRÉDITO</v>
      </c>
      <c r="B998" s="38" t="str">
        <f>+IF((PROVEEDORES[[#This Row],[FECHA DE PAGO]]-PROVEEDORES[[#This Row],[FECHA DE FACTURACIÓN]])&gt;PROVEEDORES[[#This Row],[PLAZO Días]],"PAGO VENCIDO")</f>
        <v>PAGO VENCIDO</v>
      </c>
      <c r="C998" s="20">
        <f>+VLOOKUP(PROVEEDORES[[#This Row],[PROVEEDOR]],TERCEROS_INFO[#All],2,FALSE)</f>
        <v>30</v>
      </c>
      <c r="D998" s="25">
        <f>+SUMIFS(PROVEEDORES[Total],PROVEEDORES[PROVEEDOR],PROVEEDORES[[#This Row],[PROVEEDOR]],PROVEEDORES[FECHA DE PAGO],"")</f>
        <v>0</v>
      </c>
      <c r="E998" s="25"/>
      <c r="F998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8" s="289">
        <v>45271</v>
      </c>
      <c r="H998" s="26" t="s">
        <v>413</v>
      </c>
      <c r="I998" s="289">
        <v>45236</v>
      </c>
      <c r="J998" s="35" t="s">
        <v>1367</v>
      </c>
      <c r="K998" s="21">
        <v>3456200</v>
      </c>
      <c r="L998" s="21"/>
      <c r="M998" s="22">
        <f>(PROVEEDORES[[#This Row],[SUBTOTAL]]-PROVEEDORES[[#This Row],[descuento sobre subtotal]])*VLOOKUP(PROVEEDORES[[#This Row],[PROVEEDOR]],TERCEROS_INFO[#All],3,FALSE)</f>
        <v>0</v>
      </c>
      <c r="N998" s="23"/>
      <c r="O998" s="22">
        <f>+PROVEEDORES[[#This Row],[Descuento sobre subtotal %]]*(PROVEEDORES[[#This Row],[SUBTOTAL]]-PROVEEDORES[[#This Row],[descuento sobre subtotal]])</f>
        <v>0</v>
      </c>
      <c r="P998" s="72">
        <f>+IF(PROVEEDORES[[#This Row],[SUBTOTAL]]&lt;PROVEEDORES[[#This Row],[base retencion]],0,PROVEEDORES[[#This Row],[retención aplicada]])</f>
        <v>3.5000000000000003E-2</v>
      </c>
      <c r="Q998" s="22">
        <f>+PROVEEDORES[[#This Row],[Rete Fuente %]]*(PROVEEDORES[[#This Row],[SUBTOTAL]]-PROVEEDORES[[#This Row],[descuento sobre subtotal]])</f>
        <v>120967.00000000001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1">
        <f ca="1">IF(PROVEEDORES[[#This Row],[FECHA DE PAGO]]=0,TODAY()-PROVEEDORES[[#This Row],[FECHA DE FACTURACIÓN]]-PROVEEDORES[[#This Row],[PLAZO Días]],0)</f>
        <v>0</v>
      </c>
      <c r="U998" s="97" t="str">
        <f>+VLOOKUP(PROVEEDORES[[#This Row],[PROVEEDOR]],Terceros!$A:$D,4,FALSE)</f>
        <v>3,5% sin base</v>
      </c>
      <c r="V998" s="98">
        <f>+YEAR(PROVEEDORES[[#This Row],[FECHA DE FACTURACIÓN]])</f>
        <v>2023</v>
      </c>
      <c r="W998" s="98">
        <f>+MATCH(PROVEEDORES[[#This Row],[año facturado]],Retenciones!$1:$1,0)</f>
        <v>6</v>
      </c>
      <c r="X998" s="99">
        <f>+VLOOKUP(PROVEEDORES[[#This Row],[ID RETENCION]],Retenciones!$A$1:$O$25,PROVEEDORES[[#This Row],[indicador de columna]],FALSE)</f>
        <v>0</v>
      </c>
      <c r="Y998" s="100">
        <f>+VLOOKUP(PROVEEDORES[[#This Row],[ID RETENCION]],Retenciones!$A$1:$O$25,2,FALSE)</f>
        <v>3.5000000000000003E-2</v>
      </c>
      <c r="Z998" s="103" t="b">
        <f>OR(COUNTIF(PROVEEDORES[[#This Row],[PROVEEDOR]],"*"&amp;'Palabra no opera'!$A$2&amp;"*"))</f>
        <v>1</v>
      </c>
    </row>
    <row r="999" spans="1:26" ht="22.35" customHeight="1" x14ac:dyDescent="0.25">
      <c r="A999" s="65" t="str">
        <f>+IF(PROVEEDORES[[#This Row],[FECHA DE PAGO]]=PROVEEDORES[[#This Row],[FECHA DE FACTURACIÓN]],"DE CONTADO","CRÉDITO")</f>
        <v>DE CONTADO</v>
      </c>
      <c r="B999" s="38" t="b">
        <f>+IF((PROVEEDORES[[#This Row],[FECHA DE PAGO]]-PROVEEDORES[[#This Row],[FECHA DE FACTURACIÓN]])&gt;PROVEEDORES[[#This Row],[PLAZO Días]],"PAGO VENCIDO")</f>
        <v>0</v>
      </c>
      <c r="C999" s="20">
        <f>+VLOOKUP(PROVEEDORES[[#This Row],[PROVEEDOR]],TERCEROS_INFO[#All],2,FALSE)</f>
        <v>30</v>
      </c>
      <c r="D999" s="25">
        <f>+SUMIFS(PROVEEDORES[Total],PROVEEDORES[PROVEEDOR],PROVEEDORES[[#This Row],[PROVEEDOR]],PROVEEDORES[FECHA DE PAGO],"")</f>
        <v>0</v>
      </c>
      <c r="E999" s="25"/>
      <c r="F999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99" s="289">
        <v>45250</v>
      </c>
      <c r="H999" s="26" t="s">
        <v>413</v>
      </c>
      <c r="I999" s="289">
        <v>45250</v>
      </c>
      <c r="J999" s="35" t="s">
        <v>1280</v>
      </c>
      <c r="K999" s="21">
        <v>3456200</v>
      </c>
      <c r="L999" s="21"/>
      <c r="M999" s="22">
        <f>(PROVEEDORES[[#This Row],[SUBTOTAL]]-PROVEEDORES[[#This Row],[descuento sobre subtotal]])*VLOOKUP(PROVEEDORES[[#This Row],[PROVEEDOR]],TERCEROS_INFO[#All],3,FALSE)</f>
        <v>0</v>
      </c>
      <c r="N999" s="23"/>
      <c r="O999" s="22">
        <f>+PROVEEDORES[[#This Row],[Descuento sobre subtotal %]]*(PROVEEDORES[[#This Row],[SUBTOTAL]]-PROVEEDORES[[#This Row],[descuento sobre subtotal]])</f>
        <v>0</v>
      </c>
      <c r="P999" s="72">
        <f>+IF(PROVEEDORES[[#This Row],[SUBTOTAL]]&lt;PROVEEDORES[[#This Row],[base retencion]],0,PROVEEDORES[[#This Row],[retención aplicada]])</f>
        <v>3.5000000000000003E-2</v>
      </c>
      <c r="Q999" s="22">
        <f>+PROVEEDORES[[#This Row],[Rete Fuente %]]*(PROVEEDORES[[#This Row],[SUBTOTAL]]-PROVEEDORES[[#This Row],[descuento sobre subtotal]])</f>
        <v>120967.00000000001</v>
      </c>
      <c r="R999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9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1">
        <f ca="1">IF(PROVEEDORES[[#This Row],[FECHA DE PAGO]]=0,TODAY()-PROVEEDORES[[#This Row],[FECHA DE FACTURACIÓN]]-PROVEEDORES[[#This Row],[PLAZO Días]],0)</f>
        <v>0</v>
      </c>
      <c r="U999" s="97" t="str">
        <f>+VLOOKUP(PROVEEDORES[[#This Row],[PROVEEDOR]],Terceros!$A:$D,4,FALSE)</f>
        <v>3,5% sin base</v>
      </c>
      <c r="V999" s="98">
        <f>+YEAR(PROVEEDORES[[#This Row],[FECHA DE FACTURACIÓN]])</f>
        <v>2023</v>
      </c>
      <c r="W999" s="98">
        <f>+MATCH(PROVEEDORES[[#This Row],[año facturado]],Retenciones!$1:$1,0)</f>
        <v>6</v>
      </c>
      <c r="X999" s="99">
        <f>+VLOOKUP(PROVEEDORES[[#This Row],[ID RETENCION]],Retenciones!$A$1:$O$25,PROVEEDORES[[#This Row],[indicador de columna]],FALSE)</f>
        <v>0</v>
      </c>
      <c r="Y999" s="100">
        <f>+VLOOKUP(PROVEEDORES[[#This Row],[ID RETENCION]],Retenciones!$A$1:$O$25,2,FALSE)</f>
        <v>3.5000000000000003E-2</v>
      </c>
      <c r="Z999" s="103" t="b">
        <f>OR(COUNTIF(PROVEEDORES[[#This Row],[PROVEEDOR]],"*"&amp;'Palabra no opera'!$A$2&amp;"*"))</f>
        <v>1</v>
      </c>
    </row>
    <row r="1000" spans="1:26" ht="22.35" customHeight="1" x14ac:dyDescent="0.25">
      <c r="A1000" s="65" t="str">
        <f>+IF(PROVEEDORES[[#This Row],[FECHA DE PAGO]]=PROVEEDORES[[#This Row],[FECHA DE FACTURACIÓN]],"DE CONTADO","CRÉDITO")</f>
        <v>CRÉDITO</v>
      </c>
      <c r="B1000" s="38" t="b">
        <f>+IF((PROVEEDORES[[#This Row],[FECHA DE PAGO]]-PROVEEDORES[[#This Row],[FECHA DE FACTURACIÓN]])&gt;PROVEEDORES[[#This Row],[PLAZO Días]],"PAGO VENCIDO")</f>
        <v>0</v>
      </c>
      <c r="C1000" s="20">
        <f>+VLOOKUP(PROVEEDORES[[#This Row],[PROVEEDOR]],TERCEROS_INFO[#All],2,FALSE)</f>
        <v>30</v>
      </c>
      <c r="D1000" s="25">
        <f>+SUMIFS(PROVEEDORES[Total],PROVEEDORES[PROVEEDOR],PROVEEDORES[[#This Row],[PROVEEDOR]],PROVEEDORES[FECHA DE PAGO],"")</f>
        <v>0</v>
      </c>
      <c r="E1000" s="25"/>
      <c r="F1000" s="56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000" s="289">
        <v>45307</v>
      </c>
      <c r="H1000" s="26" t="s">
        <v>413</v>
      </c>
      <c r="I1000" s="289">
        <v>45294</v>
      </c>
      <c r="J1000" s="35" t="s">
        <v>1491</v>
      </c>
      <c r="K1000" s="21">
        <v>3456200</v>
      </c>
      <c r="L1000" s="21"/>
      <c r="M1000" s="22">
        <f>(PROVEEDORES[[#This Row],[SUBTOTAL]]-PROVEEDORES[[#This Row],[descuento sobre subtotal]])*VLOOKUP(PROVEEDORES[[#This Row],[PROVEEDOR]],TERCEROS_INFO[#All],3,FALSE)</f>
        <v>0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72">
        <f>+IF(PROVEEDORES[[#This Row],[SUBTOTAL]]&lt;PROVEEDORES[[#This Row],[base retencion]],0,PROVEEDORES[[#This Row],[retención aplicada]])</f>
        <v>3.5000000000000003E-2</v>
      </c>
      <c r="Q1000" s="22">
        <f>+PROVEEDORES[[#This Row],[Rete Fuente %]]*(PROVEEDORES[[#This Row],[SUBTOTAL]]-PROVEEDORES[[#This Row],[descuento sobre subtotal]])</f>
        <v>120967.00000000001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3335233</v>
      </c>
      <c r="S100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1">
        <f ca="1">IF(PROVEEDORES[[#This Row],[FECHA DE PAGO]]=0,TODAY()-PROVEEDORES[[#This Row],[FECHA DE FACTURACIÓN]]-PROVEEDORES[[#This Row],[PLAZO Días]],0)</f>
        <v>0</v>
      </c>
      <c r="U1000" s="97" t="str">
        <f>+VLOOKUP(PROVEEDORES[[#This Row],[PROVEEDOR]],Terceros!$A:$D,4,FALSE)</f>
        <v>3,5% sin base</v>
      </c>
      <c r="V1000" s="98">
        <f>+YEAR(PROVEEDORES[[#This Row],[FECHA DE FACTURACIÓN]])</f>
        <v>2024</v>
      </c>
      <c r="W1000" s="98">
        <f>+MATCH(PROVEEDORES[[#This Row],[año facturado]],Retenciones!$1:$1,0)</f>
        <v>7</v>
      </c>
      <c r="X1000" s="99">
        <f>+VLOOKUP(PROVEEDORES[[#This Row],[ID RETENCION]],Retenciones!$A$1:$O$25,PROVEEDORES[[#This Row],[indicador de columna]],FALSE)</f>
        <v>0</v>
      </c>
      <c r="Y1000" s="100">
        <f>+VLOOKUP(PROVEEDORES[[#This Row],[ID RETENCION]],Retenciones!$A$1:$O$25,2,FALSE)</f>
        <v>3.5000000000000003E-2</v>
      </c>
      <c r="Z1000" s="103" t="b">
        <f>OR(COUNTIF(PROVEEDORES[[#This Row],[PROVEEDOR]],"*"&amp;'Palabra no opera'!$A$2&amp;"*"))</f>
        <v>1</v>
      </c>
    </row>
    <row r="1001" spans="1:26" ht="22.35" customHeight="1" x14ac:dyDescent="0.25">
      <c r="A1001" s="65" t="str">
        <f>+IF(PROVEEDORES[[#This Row],[FECHA DE PAGO]]=PROVEEDORES[[#This Row],[FECHA DE FACTURACIÓN]],"DE CONTADO","CRÉDITO")</f>
        <v>CRÉDITO</v>
      </c>
      <c r="B1001" s="38" t="str">
        <f>+IF((PROVEEDORES[[#This Row],[FECHA DE PAGO]]-PROVEEDORES[[#This Row],[FECHA DE FACTURACIÓN]])&gt;PROVEEDORES[[#This Row],[PLAZO Días]],"PAGO VENCIDO")</f>
        <v>PAGO VENCIDO</v>
      </c>
      <c r="C1001" s="20">
        <f>+VLOOKUP(PROVEEDORES[[#This Row],[PROVEEDOR]],TERCEROS_INFO[#All],2,FALSE)</f>
        <v>30</v>
      </c>
      <c r="D1001" s="25">
        <f>+SUMIFS(PROVEEDORES[Total],PROVEEDORES[PROVEEDOR],PROVEEDORES[[#This Row],[PROVEEDOR]],PROVEEDORES[FECHA DE PAGO],"")</f>
        <v>0</v>
      </c>
      <c r="E1001" s="25"/>
      <c r="F1001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1" s="289">
        <v>45019</v>
      </c>
      <c r="H1001" s="26" t="s">
        <v>221</v>
      </c>
      <c r="I1001" s="289">
        <v>44950</v>
      </c>
      <c r="J1001" s="35" t="s">
        <v>587</v>
      </c>
      <c r="K1001" s="21">
        <v>-396847</v>
      </c>
      <c r="L1001" s="21"/>
      <c r="M1001" s="22">
        <f>(PROVEEDORES[[#This Row],[SUBTOTAL]]-PROVEEDORES[[#This Row],[descuento sobre subtotal]])*VLOOKUP(PROVEEDORES[[#This Row],[PROVEEDOR]],TERCEROS_INFO[#All],3,FALSE)</f>
        <v>-75400.930000000008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72">
        <f>+IF(PROVEEDORES[[#This Row],[SUBTOTAL]]&lt;PROVEEDORES[[#This Row],[base retencion]],0,PROVEEDORES[[#This Row],[retención aplicada]])</f>
        <v>0</v>
      </c>
      <c r="Q1001" s="22">
        <f>+PROVEEDORES[[#This Row],[Rete Fuente %]]*(PROVEEDORES[[#This Row],[SUBTOTAL]]-PROVEEDORES[[#This Row],[descuento sobre subtotal]])</f>
        <v>0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-472247.93</v>
      </c>
      <c r="S10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1">
        <f ca="1">IF(PROVEEDORES[[#This Row],[FECHA DE PAGO]]=0,TODAY()-PROVEEDORES[[#This Row],[FECHA DE FACTURACIÓN]]-PROVEEDORES[[#This Row],[PLAZO Días]],0)</f>
        <v>0</v>
      </c>
      <c r="U1001" s="97">
        <f>+VLOOKUP(PROVEEDORES[[#This Row],[PROVEEDOR]],Terceros!$A:$D,4,FALSE)</f>
        <v>0</v>
      </c>
      <c r="V1001" s="98">
        <f>+YEAR(PROVEEDORES[[#This Row],[FECHA DE FACTURACIÓN]])</f>
        <v>2023</v>
      </c>
      <c r="W1001" s="98">
        <f>+MATCH(PROVEEDORES[[#This Row],[año facturado]],Retenciones!$1:$1,0)</f>
        <v>6</v>
      </c>
      <c r="X1001" s="99">
        <f>+VLOOKUP(PROVEEDORES[[#This Row],[ID RETENCION]],Retenciones!$A$1:$O$25,PROVEEDORES[[#This Row],[indicador de columna]],FALSE)</f>
        <v>0</v>
      </c>
      <c r="Y1001" s="100">
        <f>+VLOOKUP(PROVEEDORES[[#This Row],[ID RETENCION]],Retenciones!$A$1:$O$25,2,FALSE)</f>
        <v>0</v>
      </c>
      <c r="Z1001" s="103" t="b">
        <f>OR(COUNTIF(PROVEEDORES[[#This Row],[PROVEEDOR]],"*"&amp;'Palabra no opera'!$A$2&amp;"*"))</f>
        <v>0</v>
      </c>
    </row>
    <row r="1002" spans="1:26" ht="22.35" customHeight="1" x14ac:dyDescent="0.25">
      <c r="A1002" s="164" t="str">
        <f>+IF(PROVEEDORES[[#This Row],[FECHA DE PAGO]]=PROVEEDORES[[#This Row],[FECHA DE FACTURACIÓN]],"DE CONTADO","CRÉDITO")</f>
        <v>CRÉDITO</v>
      </c>
      <c r="B1002" s="38" t="str">
        <f>+IF((PROVEEDORES[[#This Row],[FECHA DE PAGO]]-PROVEEDORES[[#This Row],[FECHA DE FACTURACIÓN]])&gt;PROVEEDORES[[#This Row],[PLAZO Días]],"PAGO VENCIDO")</f>
        <v>PAGO VENCIDO</v>
      </c>
      <c r="C1002" s="20">
        <f>+VLOOKUP(PROVEEDORES[[#This Row],[PROVEEDOR]],TERCEROS_INFO[#All],2,FALSE)</f>
        <v>30</v>
      </c>
      <c r="D1002" s="25">
        <f>+SUMIFS(PROVEEDORES[Total],PROVEEDORES[PROVEEDOR],PROVEEDORES[[#This Row],[PROVEEDOR]],PROVEEDORES[FECHA DE PAGO],"")</f>
        <v>0</v>
      </c>
      <c r="E1002" s="25"/>
      <c r="F100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2" s="289">
        <v>45019</v>
      </c>
      <c r="H1002" s="26" t="s">
        <v>221</v>
      </c>
      <c r="I1002" s="289">
        <v>44950</v>
      </c>
      <c r="J1002" s="35" t="s">
        <v>690</v>
      </c>
      <c r="K1002" s="21">
        <v>-254663</v>
      </c>
      <c r="L1002" s="21"/>
      <c r="M1002" s="22">
        <f>(PROVEEDORES[[#This Row],[SUBTOTAL]]-PROVEEDORES[[#This Row],[descuento sobre subtotal]])*VLOOKUP(PROVEEDORES[[#This Row],[PROVEEDOR]],TERCEROS_INFO[#All],3,FALSE)</f>
        <v>-48385.97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72">
        <f>+IF(PROVEEDORES[[#This Row],[SUBTOTAL]]&lt;PROVEEDORES[[#This Row],[base retencion]],0,PROVEEDORES[[#This Row],[retención aplicada]])</f>
        <v>0</v>
      </c>
      <c r="Q1002" s="22">
        <f>+PROVEEDORES[[#This Row],[Rete Fuente %]]*(PROVEEDORES[[#This Row],[SUBTOTAL]]-PROVEEDORES[[#This Row],[descuento sobre subtotal]])</f>
        <v>0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-303048.96999999997</v>
      </c>
      <c r="S1002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1">
        <f ca="1">IF(PROVEEDORES[[#This Row],[FECHA DE PAGO]]=0,TODAY()-PROVEEDORES[[#This Row],[FECHA DE FACTURACIÓN]]-PROVEEDORES[[#This Row],[PLAZO Días]],0)</f>
        <v>0</v>
      </c>
      <c r="U1002" s="97">
        <f>+VLOOKUP(PROVEEDORES[[#This Row],[PROVEEDOR]],Terceros!$A:$D,4,FALSE)</f>
        <v>0</v>
      </c>
      <c r="V1002" s="98">
        <f>+YEAR(PROVEEDORES[[#This Row],[FECHA DE FACTURACIÓN]])</f>
        <v>2023</v>
      </c>
      <c r="W1002" s="98">
        <f>+MATCH(PROVEEDORES[[#This Row],[año facturado]],Retenciones!$1:$1,0)</f>
        <v>6</v>
      </c>
      <c r="X1002" s="99">
        <f>+VLOOKUP(PROVEEDORES[[#This Row],[ID RETENCION]],Retenciones!$A$1:$O$25,PROVEEDORES[[#This Row],[indicador de columna]],FALSE)</f>
        <v>0</v>
      </c>
      <c r="Y1002" s="100">
        <f>+VLOOKUP(PROVEEDORES[[#This Row],[ID RETENCION]],Retenciones!$A$1:$O$25,2,FALSE)</f>
        <v>0</v>
      </c>
      <c r="Z1002" s="103" t="b">
        <f>OR(COUNTIF(PROVEEDORES[[#This Row],[PROVEEDOR]],"*"&amp;'Palabra no opera'!$A$2&amp;"*"))</f>
        <v>0</v>
      </c>
    </row>
    <row r="1003" spans="1:26" ht="22.35" customHeight="1" x14ac:dyDescent="0.25">
      <c r="A1003" s="65" t="str">
        <f>+IF(PROVEEDORES[[#This Row],[FECHA DE PAGO]]=PROVEEDORES[[#This Row],[FECHA DE FACTURACIÓN]],"DE CONTADO","CRÉDITO")</f>
        <v>CRÉDITO</v>
      </c>
      <c r="B1003" s="38" t="str">
        <f>+IF((PROVEEDORES[[#This Row],[FECHA DE PAGO]]-PROVEEDORES[[#This Row],[FECHA DE FACTURACIÓN]])&gt;PROVEEDORES[[#This Row],[PLAZO Días]],"PAGO VENCIDO")</f>
        <v>PAGO VENCIDO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0</v>
      </c>
      <c r="E1003" s="25"/>
      <c r="F1003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3" s="289">
        <v>45019</v>
      </c>
      <c r="H1003" s="26" t="s">
        <v>221</v>
      </c>
      <c r="I1003" s="289">
        <v>44984</v>
      </c>
      <c r="J1003" s="35" t="s">
        <v>641</v>
      </c>
      <c r="K1003" s="21">
        <v>940839</v>
      </c>
      <c r="L1003" s="21"/>
      <c r="M1003" s="22">
        <f>(PROVEEDORES[[#This Row],[SUBTOTAL]]-PROVEEDORES[[#This Row],[descuento sobre subtotal]])*VLOOKUP(PROVEEDORES[[#This Row],[PROVEEDOR]],TERCEROS_INFO[#All],3,FALSE)</f>
        <v>178759.41</v>
      </c>
      <c r="N1003" s="23"/>
      <c r="O1003" s="22">
        <f>+PROVEEDORES[[#This Row],[Descuento sobre subtotal %]]*(PROVEEDORES[[#This Row],[SUBTOTAL]]-PROVEEDORES[[#This Row],[descuento sobre subtotal]])</f>
        <v>0</v>
      </c>
      <c r="P1003" s="72">
        <f>+IF(PROVEEDORES[[#This Row],[SUBTOTAL]]&lt;PROVEEDORES[[#This Row],[base retencion]],0,PROVEEDORES[[#This Row],[retención aplicada]])</f>
        <v>0</v>
      </c>
      <c r="Q1003" s="22">
        <f>+PROVEEDORES[[#This Row],[Rete Fuente %]]*(PROVEEDORES[[#This Row],[SUBTOTAL]]-PROVEEDORES[[#This Row],[descuento sobre subtotal]])</f>
        <v>0</v>
      </c>
      <c r="R1003" s="21">
        <f>+PROVEEDORES[[#This Row],[SUBTOTAL]]+PROVEEDORES[[#This Row],[IVA 19%]]-PROVEEDORES[[#This Row],[descuento sobre subtotal]]-PROVEEDORES[[#This Row],[Descuento sobre subtotal $2]]-PROVEEDORES[[#This Row],[Rete Fuente $]]</f>
        <v>1119598.4099999999</v>
      </c>
      <c r="S100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1">
        <f ca="1">IF(PROVEEDORES[[#This Row],[FECHA DE PAGO]]=0,TODAY()-PROVEEDORES[[#This Row],[FECHA DE FACTURACIÓN]]-PROVEEDORES[[#This Row],[PLAZO Días]],0)</f>
        <v>0</v>
      </c>
      <c r="U1003" s="97">
        <f>+VLOOKUP(PROVEEDORES[[#This Row],[PROVEEDOR]],Terceros!$A:$D,4,FALSE)</f>
        <v>0</v>
      </c>
      <c r="V1003" s="98">
        <f>+YEAR(PROVEEDORES[[#This Row],[FECHA DE FACTURACIÓN]])</f>
        <v>2023</v>
      </c>
      <c r="W1003" s="98">
        <f>+MATCH(PROVEEDORES[[#This Row],[año facturado]],Retenciones!$1:$1,0)</f>
        <v>6</v>
      </c>
      <c r="X1003" s="99">
        <f>+VLOOKUP(PROVEEDORES[[#This Row],[ID RETENCION]],Retenciones!$A$1:$O$25,PROVEEDORES[[#This Row],[indicador de columna]],FALSE)</f>
        <v>0</v>
      </c>
      <c r="Y1003" s="100">
        <f>+VLOOKUP(PROVEEDORES[[#This Row],[ID RETENCION]],Retenciones!$A$1:$O$25,2,FALSE)</f>
        <v>0</v>
      </c>
      <c r="Z1003" s="103" t="b">
        <f>OR(COUNTIF(PROVEEDORES[[#This Row],[PROVEEDOR]],"*"&amp;'Palabra no opera'!$A$2&amp;"*"))</f>
        <v>0</v>
      </c>
    </row>
    <row r="1004" spans="1:26" ht="22.35" customHeight="1" x14ac:dyDescent="0.25">
      <c r="A1004" s="65" t="str">
        <f>+IF(PROVEEDORES[[#This Row],[FECHA DE PAGO]]=PROVEEDORES[[#This Row],[FECHA DE FACTURACIÓN]],"DE CONTADO","CRÉDITO")</f>
        <v>DE CONTADO</v>
      </c>
      <c r="B1004" s="38" t="b">
        <f>+IF((PROVEEDORES[[#This Row],[FECHA DE PAGO]]-PROVEEDORES[[#This Row],[FECHA DE FACTURACIÓN]])&gt;PROVEEDORES[[#This Row],[PLAZO Días]],"PAGO VENCIDO")</f>
        <v>0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0</v>
      </c>
      <c r="E1004" s="25"/>
      <c r="F1004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4" s="289">
        <v>45075</v>
      </c>
      <c r="H1004" s="26" t="s">
        <v>221</v>
      </c>
      <c r="I1004" s="289">
        <v>45075</v>
      </c>
      <c r="J1004" s="35" t="s">
        <v>849</v>
      </c>
      <c r="K1004" s="21">
        <v>396847</v>
      </c>
      <c r="L1004" s="21"/>
      <c r="M1004" s="22">
        <f>(PROVEEDORES[[#This Row],[SUBTOTAL]]-PROVEEDORES[[#This Row],[descuento sobre subtotal]])*VLOOKUP(PROVEEDORES[[#This Row],[PROVEEDOR]],TERCEROS_INFO[#All],3,FALSE)</f>
        <v>75400.930000000008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72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472247.93</v>
      </c>
      <c r="S10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1">
        <f ca="1">IF(PROVEEDORES[[#This Row],[FECHA DE PAGO]]=0,TODAY()-PROVEEDORES[[#This Row],[FECHA DE FACTURACIÓN]]-PROVEEDORES[[#This Row],[PLAZO Días]],0)</f>
        <v>0</v>
      </c>
      <c r="U1004" s="97">
        <f>+VLOOKUP(PROVEEDORES[[#This Row],[PROVEEDOR]],Terceros!$A:$D,4,FALSE)</f>
        <v>0</v>
      </c>
      <c r="V1004" s="98">
        <f>+YEAR(PROVEEDORES[[#This Row],[FECHA DE FACTURACIÓN]])</f>
        <v>2023</v>
      </c>
      <c r="W1004" s="98">
        <f>+MATCH(PROVEEDORES[[#This Row],[año facturado]],Retenciones!$1:$1,0)</f>
        <v>6</v>
      </c>
      <c r="X1004" s="99">
        <f>+VLOOKUP(PROVEEDORES[[#This Row],[ID RETENCION]],Retenciones!$A$1:$O$25,PROVEEDORES[[#This Row],[indicador de columna]],FALSE)</f>
        <v>0</v>
      </c>
      <c r="Y1004" s="100">
        <f>+VLOOKUP(PROVEEDORES[[#This Row],[ID RETENCION]],Retenciones!$A$1:$O$25,2,FALSE)</f>
        <v>0</v>
      </c>
      <c r="Z1004" s="103" t="b">
        <f>OR(COUNTIF(PROVEEDORES[[#This Row],[PROVEEDOR]],"*"&amp;'Palabra no opera'!$A$2&amp;"*"))</f>
        <v>0</v>
      </c>
    </row>
    <row r="1005" spans="1:26" ht="22.35" customHeight="1" x14ac:dyDescent="0.25">
      <c r="A1005" s="205" t="str">
        <f>+IF(PROVEEDORES[[#This Row],[FECHA DE PAGO]]=PROVEEDORES[[#This Row],[FECHA DE FACTURACIÓN]],"DE CONTADO","CRÉDITO")</f>
        <v>CRÉDITO</v>
      </c>
      <c r="B1005" s="38" t="str">
        <f>+IF((PROVEEDORES[[#This Row],[FECHA DE PAGO]]-PROVEEDORES[[#This Row],[FECHA DE FACTURACIÓN]])&gt;PROVEEDORES[[#This Row],[PLAZO Días]],"PAGO VENCIDO")</f>
        <v>PAGO VENCIDO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0</v>
      </c>
      <c r="E1005" s="25"/>
      <c r="F1005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5" s="289">
        <v>45124</v>
      </c>
      <c r="H1005" s="26" t="s">
        <v>221</v>
      </c>
      <c r="I1005" s="289">
        <v>45090</v>
      </c>
      <c r="J1005" s="35" t="s">
        <v>895</v>
      </c>
      <c r="K1005" s="21">
        <v>974525</v>
      </c>
      <c r="L1005" s="21"/>
      <c r="M1005" s="22">
        <f>(PROVEEDORES[[#This Row],[SUBTOTAL]]-PROVEEDORES[[#This Row],[descuento sobre subtotal]])*VLOOKUP(PROVEEDORES[[#This Row],[PROVEEDOR]],TERCEROS_INFO[#All],3,FALSE)</f>
        <v>185159.75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72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1159684.75</v>
      </c>
      <c r="S1005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1">
        <f ca="1">IF(PROVEEDORES[[#This Row],[FECHA DE PAGO]]=0,TODAY()-PROVEEDORES[[#This Row],[FECHA DE FACTURACIÓN]]-PROVEEDORES[[#This Row],[PLAZO Días]],0)</f>
        <v>0</v>
      </c>
      <c r="U1005" s="97">
        <f>+VLOOKUP(PROVEEDORES[[#This Row],[PROVEEDOR]],Terceros!$A:$D,4,FALSE)</f>
        <v>0</v>
      </c>
      <c r="V1005" s="98">
        <f>+YEAR(PROVEEDORES[[#This Row],[FECHA DE FACTURACIÓN]])</f>
        <v>2023</v>
      </c>
      <c r="W1005" s="98">
        <f>+MATCH(PROVEEDORES[[#This Row],[año facturado]],Retenciones!$1:$1,0)</f>
        <v>6</v>
      </c>
      <c r="X1005" s="99">
        <f>+VLOOKUP(PROVEEDORES[[#This Row],[ID RETENCION]],Retenciones!$A$1:$O$25,PROVEEDORES[[#This Row],[indicador de columna]],FALSE)</f>
        <v>0</v>
      </c>
      <c r="Y1005" s="100">
        <f>+VLOOKUP(PROVEEDORES[[#This Row],[ID RETENCION]],Retenciones!$A$1:$O$25,2,FALSE)</f>
        <v>0</v>
      </c>
      <c r="Z1005" s="103" t="b">
        <f>OR(COUNTIF(PROVEEDORES[[#This Row],[PROVEEDOR]],"*"&amp;'Palabra no opera'!$A$2&amp;"*"))</f>
        <v>0</v>
      </c>
    </row>
    <row r="1006" spans="1:26" ht="22.35" customHeight="1" x14ac:dyDescent="0.25">
      <c r="A1006" s="65" t="str">
        <f>+IF(PROVEEDORES[[#This Row],[FECHA DE PAGO]]=PROVEEDORES[[#This Row],[FECHA DE FACTURACIÓN]],"DE CONTADO","CRÉDITO")</f>
        <v>CRÉDITO</v>
      </c>
      <c r="B1006" s="38" t="str">
        <f>+IF((PROVEEDORES[[#This Row],[FECHA DE PAGO]]-PROVEEDORES[[#This Row],[FECHA DE FACTURACIÓN]])&gt;PROVEEDORES[[#This Row],[PLAZO Días]],"PAGO VENCIDO")</f>
        <v>PAGO VENCIDO</v>
      </c>
      <c r="C1006" s="20">
        <f>+VLOOKUP(PROVEEDORES[[#This Row],[PROVEEDOR]],TERCEROS_INFO[#All],2,FALSE)</f>
        <v>30</v>
      </c>
      <c r="D1006" s="25">
        <f>+SUMIFS(PROVEEDORES[Total],PROVEEDORES[PROVEEDOR],PROVEEDORES[[#This Row],[PROVEEDOR]],PROVEEDORES[FECHA DE PAGO],"")</f>
        <v>0</v>
      </c>
      <c r="E1006" s="25"/>
      <c r="F1006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6" s="289">
        <v>45201</v>
      </c>
      <c r="H1006" s="26" t="s">
        <v>221</v>
      </c>
      <c r="I1006" s="289">
        <v>45164</v>
      </c>
      <c r="J1006" s="35" t="s">
        <v>1053</v>
      </c>
      <c r="K1006" s="21">
        <v>6502674</v>
      </c>
      <c r="L1006" s="21"/>
      <c r="M1006" s="22">
        <f>(PROVEEDORES[[#This Row],[SUBTOTAL]]-PROVEEDORES[[#This Row],[descuento sobre subtotal]])*VLOOKUP(PROVEEDORES[[#This Row],[PROVEEDOR]],TERCEROS_INFO[#All],3,FALSE)</f>
        <v>1235508.06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72">
        <f>+IF(PROVEEDORES[[#This Row],[SUBTOTAL]]&lt;PROVEEDORES[[#This Row],[base retencion]],0,PROVEEDORES[[#This Row],[retención aplicada]])</f>
        <v>0</v>
      </c>
      <c r="Q1006" s="22">
        <f>+PROVEEDORES[[#This Row],[Rete Fuente %]]*(PROVEEDORES[[#This Row],[SUBTOTAL]]-PROVEEDORES[[#This Row],[descuento sobre subtotal]])</f>
        <v>0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7738182.0600000005</v>
      </c>
      <c r="S10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1">
        <f ca="1">IF(PROVEEDORES[[#This Row],[FECHA DE PAGO]]=0,TODAY()-PROVEEDORES[[#This Row],[FECHA DE FACTURACIÓN]]-PROVEEDORES[[#This Row],[PLAZO Días]],0)</f>
        <v>0</v>
      </c>
      <c r="U1006" s="97">
        <f>+VLOOKUP(PROVEEDORES[[#This Row],[PROVEEDOR]],Terceros!$A:$D,4,FALSE)</f>
        <v>0</v>
      </c>
      <c r="V1006" s="98">
        <f>+YEAR(PROVEEDORES[[#This Row],[FECHA DE FACTURACIÓN]])</f>
        <v>2023</v>
      </c>
      <c r="W1006" s="98">
        <f>+MATCH(PROVEEDORES[[#This Row],[año facturado]],Retenciones!$1:$1,0)</f>
        <v>6</v>
      </c>
      <c r="X1006" s="99">
        <f>+VLOOKUP(PROVEEDORES[[#This Row],[ID RETENCION]],Retenciones!$A$1:$O$25,PROVEEDORES[[#This Row],[indicador de columna]],FALSE)</f>
        <v>0</v>
      </c>
      <c r="Y1006" s="100">
        <f>+VLOOKUP(PROVEEDORES[[#This Row],[ID RETENCION]],Retenciones!$A$1:$O$25,2,FALSE)</f>
        <v>0</v>
      </c>
      <c r="Z1006" s="103" t="b">
        <f>OR(COUNTIF(PROVEEDORES[[#This Row],[PROVEEDOR]],"*"&amp;'Palabra no opera'!$A$2&amp;"*"))</f>
        <v>0</v>
      </c>
    </row>
    <row r="1007" spans="1:26" ht="22.35" customHeight="1" x14ac:dyDescent="0.25">
      <c r="A1007" s="65" t="str">
        <f>+IF(PROVEEDORES[[#This Row],[FECHA DE PAGO]]=PROVEEDORES[[#This Row],[FECHA DE FACTURACIÓN]],"DE CONTADO","CRÉDITO")</f>
        <v>CRÉDITO</v>
      </c>
      <c r="B1007" s="38" t="str">
        <f>+IF((PROVEEDORES[[#This Row],[FECHA DE PAGO]]-PROVEEDORES[[#This Row],[FECHA DE FACTURACIÓN]])&gt;PROVEEDORES[[#This Row],[PLAZO Días]],"PAGO VENCIDO")</f>
        <v>PAGO VENCIDO</v>
      </c>
      <c r="C1007" s="20">
        <f>+VLOOKUP(PROVEEDORES[[#This Row],[PROVEEDOR]],TERCEROS_INFO[#All],2,FALSE)</f>
        <v>30</v>
      </c>
      <c r="D1007" s="25">
        <f>+SUMIFS(PROVEEDORES[Total],PROVEEDORES[PROVEEDOR],PROVEEDORES[[#This Row],[PROVEEDOR]],PROVEEDORES[FECHA DE PAGO],"")</f>
        <v>0</v>
      </c>
      <c r="E1007" s="25"/>
      <c r="F1007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7" s="289">
        <v>45201</v>
      </c>
      <c r="H1007" s="26" t="s">
        <v>221</v>
      </c>
      <c r="I1007" s="289">
        <v>45169</v>
      </c>
      <c r="J1007" s="35" t="s">
        <v>1104</v>
      </c>
      <c r="K1007" s="21">
        <v>-1748011</v>
      </c>
      <c r="L1007" s="21"/>
      <c r="M1007" s="22">
        <f>(PROVEEDORES[[#This Row],[SUBTOTAL]]-PROVEEDORES[[#This Row],[descuento sobre subtotal]])*VLOOKUP(PROVEEDORES[[#This Row],[PROVEEDOR]],TERCEROS_INFO[#All],3,FALSE)</f>
        <v>-332122.09000000003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72">
        <f>+IF(PROVEEDORES[[#This Row],[SUBTOTAL]]&lt;PROVEEDORES[[#This Row],[base retencion]],0,PROVEEDORES[[#This Row],[retención aplicada]])</f>
        <v>0</v>
      </c>
      <c r="Q1007" s="22">
        <f>+PROVEEDORES[[#This Row],[Rete Fuente %]]*(PROVEEDORES[[#This Row],[SUBTOTAL]]-PROVEEDORES[[#This Row],[descuento sobre subtotal]])</f>
        <v>0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-2080133.09</v>
      </c>
      <c r="S10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1">
        <f ca="1">IF(PROVEEDORES[[#This Row],[FECHA DE PAGO]]=0,TODAY()-PROVEEDORES[[#This Row],[FECHA DE FACTURACIÓN]]-PROVEEDORES[[#This Row],[PLAZO Días]],0)</f>
        <v>0</v>
      </c>
      <c r="U1007" s="97">
        <f>+VLOOKUP(PROVEEDORES[[#This Row],[PROVEEDOR]],Terceros!$A:$D,4,FALSE)</f>
        <v>0</v>
      </c>
      <c r="V1007" s="98">
        <f>+YEAR(PROVEEDORES[[#This Row],[FECHA DE FACTURACIÓN]])</f>
        <v>2023</v>
      </c>
      <c r="W1007" s="98">
        <f>+MATCH(PROVEEDORES[[#This Row],[año facturado]],Retenciones!$1:$1,0)</f>
        <v>6</v>
      </c>
      <c r="X1007" s="99">
        <f>+VLOOKUP(PROVEEDORES[[#This Row],[ID RETENCION]],Retenciones!$A$1:$O$25,PROVEEDORES[[#This Row],[indicador de columna]],FALSE)</f>
        <v>0</v>
      </c>
      <c r="Y1007" s="100">
        <f>+VLOOKUP(PROVEEDORES[[#This Row],[ID RETENCION]],Retenciones!$A$1:$O$25,2,FALSE)</f>
        <v>0</v>
      </c>
      <c r="Z1007" s="103" t="b">
        <f>OR(COUNTIF(PROVEEDORES[[#This Row],[PROVEEDOR]],"*"&amp;'Palabra no opera'!$A$2&amp;"*"))</f>
        <v>0</v>
      </c>
    </row>
    <row r="1008" spans="1:26" ht="22.35" customHeight="1" x14ac:dyDescent="0.25">
      <c r="A1008" s="65" t="str">
        <f>+IF(PROVEEDORES[[#This Row],[FECHA DE PAGO]]=PROVEEDORES[[#This Row],[FECHA DE FACTURACIÓN]],"DE CONTADO","CRÉDITO")</f>
        <v>CRÉDITO</v>
      </c>
      <c r="B1008" s="38" t="str">
        <f>+IF((PROVEEDORES[[#This Row],[FECHA DE PAGO]]-PROVEEDORES[[#This Row],[FECHA DE FACTURACIÓN]])&gt;PROVEEDORES[[#This Row],[PLAZO Días]],"PAGO VENCIDO")</f>
        <v>PAGO VENCIDO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0</v>
      </c>
      <c r="E1008" s="25"/>
      <c r="F1008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8" s="289">
        <v>45232</v>
      </c>
      <c r="H1008" s="26" t="s">
        <v>221</v>
      </c>
      <c r="I1008" s="289">
        <v>45184</v>
      </c>
      <c r="J1008" s="35" t="s">
        <v>1103</v>
      </c>
      <c r="K1008" s="21">
        <v>174783</v>
      </c>
      <c r="L1008" s="21"/>
      <c r="M1008" s="22">
        <f>(PROVEEDORES[[#This Row],[SUBTOTAL]]-PROVEEDORES[[#This Row],[descuento sobre subtotal]])*VLOOKUP(PROVEEDORES[[#This Row],[PROVEEDOR]],TERCEROS_INFO[#All],3,FALSE)</f>
        <v>33208.769999999997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72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207991.77</v>
      </c>
      <c r="S100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1">
        <f ca="1">IF(PROVEEDORES[[#This Row],[FECHA DE PAGO]]=0,TODAY()-PROVEEDORES[[#This Row],[FECHA DE FACTURACIÓN]]-PROVEEDORES[[#This Row],[PLAZO Días]],0)</f>
        <v>0</v>
      </c>
      <c r="U1008" s="97">
        <f>+VLOOKUP(PROVEEDORES[[#This Row],[PROVEEDOR]],Terceros!$A:$D,4,FALSE)</f>
        <v>0</v>
      </c>
      <c r="V1008" s="98">
        <f>+YEAR(PROVEEDORES[[#This Row],[FECHA DE FACTURACIÓN]])</f>
        <v>2023</v>
      </c>
      <c r="W1008" s="98">
        <f>+MATCH(PROVEEDORES[[#This Row],[año facturado]],Retenciones!$1:$1,0)</f>
        <v>6</v>
      </c>
      <c r="X1008" s="99">
        <f>+VLOOKUP(PROVEEDORES[[#This Row],[ID RETENCION]],Retenciones!$A$1:$O$25,PROVEEDORES[[#This Row],[indicador de columna]],FALSE)</f>
        <v>0</v>
      </c>
      <c r="Y1008" s="100">
        <f>+VLOOKUP(PROVEEDORES[[#This Row],[ID RETENCION]],Retenciones!$A$1:$O$25,2,FALSE)</f>
        <v>0</v>
      </c>
      <c r="Z1008" s="103" t="b">
        <f>OR(COUNTIF(PROVEEDORES[[#This Row],[PROVEEDOR]],"*"&amp;'Palabra no opera'!$A$2&amp;"*"))</f>
        <v>0</v>
      </c>
    </row>
    <row r="1009" spans="1:26" ht="22.35" customHeight="1" x14ac:dyDescent="0.25">
      <c r="A1009" s="243" t="str">
        <f>+IF(PROVEEDORES[[#This Row],[FECHA DE PAGO]]=PROVEEDORES[[#This Row],[FECHA DE FACTURACIÓN]],"DE CONTADO","CRÉDITO")</f>
        <v>CRÉDITO</v>
      </c>
      <c r="B1009" s="38" t="str">
        <f>+IF((PROVEEDORES[[#This Row],[FECHA DE PAGO]]-PROVEEDORES[[#This Row],[FECHA DE FACTURACIÓN]])&gt;PROVEEDORES[[#This Row],[PLAZO Días]],"PAGO VENCIDO")</f>
        <v>PAGO VENCIDO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0</v>
      </c>
      <c r="E1009" s="25"/>
      <c r="F1009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09" s="289">
        <v>45232</v>
      </c>
      <c r="H1009" s="26" t="s">
        <v>221</v>
      </c>
      <c r="I1009" s="289">
        <v>45196</v>
      </c>
      <c r="J1009" s="35" t="s">
        <v>1135</v>
      </c>
      <c r="K1009" s="21">
        <v>893952</v>
      </c>
      <c r="L1009" s="21"/>
      <c r="M1009" s="22">
        <f>(PROVEEDORES[[#This Row],[SUBTOTAL]]-PROVEEDORES[[#This Row],[descuento sobre subtotal]])*VLOOKUP(PROVEEDORES[[#This Row],[PROVEEDOR]],TERCEROS_INFO[#All],3,FALSE)</f>
        <v>169850.88</v>
      </c>
      <c r="N1009" s="23"/>
      <c r="O1009" s="22">
        <f>+PROVEEDORES[[#This Row],[Descuento sobre subtotal %]]*(PROVEEDORES[[#This Row],[SUBTOTAL]]-PROVEEDORES[[#This Row],[descuento sobre subtotal]])</f>
        <v>0</v>
      </c>
      <c r="P1009" s="72">
        <f>+IF(PROVEEDORES[[#This Row],[SUBTOTAL]]&lt;PROVEEDORES[[#This Row],[base retencion]],0,PROVEEDORES[[#This Row],[retención aplicada]])</f>
        <v>0</v>
      </c>
      <c r="Q1009" s="22">
        <f>+PROVEEDORES[[#This Row],[Rete Fuente %]]*(PROVEEDORES[[#This Row],[SUBTOTAL]]-PROVEEDORES[[#This Row],[descuento sobre subtotal]])</f>
        <v>0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1063802.8799999999</v>
      </c>
      <c r="S1009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1">
        <f ca="1">IF(PROVEEDORES[[#This Row],[FECHA DE PAGO]]=0,TODAY()-PROVEEDORES[[#This Row],[FECHA DE FACTURACIÓN]]-PROVEEDORES[[#This Row],[PLAZO Días]],0)</f>
        <v>0</v>
      </c>
      <c r="U1009" s="97">
        <f>+VLOOKUP(PROVEEDORES[[#This Row],[PROVEEDOR]],Terceros!$A:$D,4,FALSE)</f>
        <v>0</v>
      </c>
      <c r="V1009" s="98">
        <f>+YEAR(PROVEEDORES[[#This Row],[FECHA DE FACTURACIÓN]])</f>
        <v>2023</v>
      </c>
      <c r="W1009" s="98">
        <f>+MATCH(PROVEEDORES[[#This Row],[año facturado]],Retenciones!$1:$1,0)</f>
        <v>6</v>
      </c>
      <c r="X1009" s="99">
        <f>+VLOOKUP(PROVEEDORES[[#This Row],[ID RETENCION]],Retenciones!$A$1:$O$25,PROVEEDORES[[#This Row],[indicador de columna]],FALSE)</f>
        <v>0</v>
      </c>
      <c r="Y1009" s="100">
        <f>+VLOOKUP(PROVEEDORES[[#This Row],[ID RETENCION]],Retenciones!$A$1:$O$25,2,FALSE)</f>
        <v>0</v>
      </c>
      <c r="Z1009" s="103" t="b">
        <f>OR(COUNTIF(PROVEEDORES[[#This Row],[PROVEEDOR]],"*"&amp;'Palabra no opera'!$A$2&amp;"*"))</f>
        <v>0</v>
      </c>
    </row>
    <row r="1010" spans="1:26" ht="22.35" customHeight="1" x14ac:dyDescent="0.25">
      <c r="A1010" s="65" t="str">
        <f>+IF(PROVEEDORES[[#This Row],[FECHA DE PAGO]]=PROVEEDORES[[#This Row],[FECHA DE FACTURACIÓN]],"DE CONTADO","CRÉDITO")</f>
        <v>CRÉDITO</v>
      </c>
      <c r="B1010" s="38" t="str">
        <f>+IF((PROVEEDORES[[#This Row],[FECHA DE PAGO]]-PROVEEDORES[[#This Row],[FECHA DE FACTURACIÓN]])&gt;PROVEEDORES[[#This Row],[PLAZO Días]],"PAGO VENCIDO")</f>
        <v>PAGO VENCIDO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0</v>
      </c>
      <c r="E1010" s="25"/>
      <c r="F1010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10" s="289">
        <v>45253</v>
      </c>
      <c r="H1010" s="26" t="s">
        <v>221</v>
      </c>
      <c r="I1010" s="289">
        <v>45213</v>
      </c>
      <c r="J1010" s="35" t="s">
        <v>1225</v>
      </c>
      <c r="K1010" s="21">
        <v>3001258</v>
      </c>
      <c r="L1010" s="21"/>
      <c r="M1010" s="22">
        <f>(PROVEEDORES[[#This Row],[SUBTOTAL]]-PROVEEDORES[[#This Row],[descuento sobre subtotal]])*VLOOKUP(PROVEEDORES[[#This Row],[PROVEEDOR]],TERCEROS_INFO[#All],3,FALSE)</f>
        <v>570239.02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72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3571497.02</v>
      </c>
      <c r="S10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1">
        <f ca="1">IF(PROVEEDORES[[#This Row],[FECHA DE PAGO]]=0,TODAY()-PROVEEDORES[[#This Row],[FECHA DE FACTURACIÓN]]-PROVEEDORES[[#This Row],[PLAZO Días]],0)</f>
        <v>0</v>
      </c>
      <c r="U1010" s="97">
        <f>+VLOOKUP(PROVEEDORES[[#This Row],[PROVEEDOR]],Terceros!$A:$D,4,FALSE)</f>
        <v>0</v>
      </c>
      <c r="V1010" s="98">
        <f>+YEAR(PROVEEDORES[[#This Row],[FECHA DE FACTURACIÓN]])</f>
        <v>2023</v>
      </c>
      <c r="W1010" s="98">
        <f>+MATCH(PROVEEDORES[[#This Row],[año facturado]],Retenciones!$1:$1,0)</f>
        <v>6</v>
      </c>
      <c r="X1010" s="99">
        <f>+VLOOKUP(PROVEEDORES[[#This Row],[ID RETENCION]],Retenciones!$A$1:$O$25,PROVEEDORES[[#This Row],[indicador de columna]],FALSE)</f>
        <v>0</v>
      </c>
      <c r="Y1010" s="100">
        <f>+VLOOKUP(PROVEEDORES[[#This Row],[ID RETENCION]],Retenciones!$A$1:$O$25,2,FALSE)</f>
        <v>0</v>
      </c>
      <c r="Z1010" s="103" t="b">
        <f>OR(COUNTIF(PROVEEDORES[[#This Row],[PROVEEDOR]],"*"&amp;'Palabra no opera'!$A$2&amp;"*"))</f>
        <v>0</v>
      </c>
    </row>
    <row r="1011" spans="1:26" ht="22.35" customHeight="1" x14ac:dyDescent="0.25">
      <c r="A1011" s="65" t="str">
        <f>+IF(PROVEEDORES[[#This Row],[FECHA DE PAGO]]=PROVEEDORES[[#This Row],[FECHA DE FACTURACIÓN]],"DE CONTADO","CRÉDITO")</f>
        <v>CRÉDITO</v>
      </c>
      <c r="B1011" s="38" t="b">
        <f>+IF((PROVEEDORES[[#This Row],[FECHA DE PAGO]]-PROVEEDORES[[#This Row],[FECHA DE FACTURACIÓN]])&gt;PROVEEDORES[[#This Row],[PLAZO Días]],"PAGO VENCIDO")</f>
        <v>0</v>
      </c>
      <c r="C1011" s="20">
        <f>+VLOOKUP(PROVEEDORES[[#This Row],[PROVEEDOR]],TERCEROS_INFO[#All],2,FALSE)</f>
        <v>30</v>
      </c>
      <c r="D1011" s="25">
        <f>+SUMIFS(PROVEEDORES[Total],PROVEEDORES[PROVEEDOR],PROVEEDORES[[#This Row],[PROVEEDOR]],PROVEEDORES[FECHA DE PAGO],"")</f>
        <v>0</v>
      </c>
      <c r="E1011" s="25"/>
      <c r="F1011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11" s="289">
        <v>45288</v>
      </c>
      <c r="H1011" s="26" t="s">
        <v>221</v>
      </c>
      <c r="I1011" s="289">
        <v>45261</v>
      </c>
      <c r="J1011" s="35" t="s">
        <v>1383</v>
      </c>
      <c r="K1011" s="21">
        <v>1979981</v>
      </c>
      <c r="L1011" s="21"/>
      <c r="M1011" s="22">
        <f>(PROVEEDORES[[#This Row],[SUBTOTAL]]-PROVEEDORES[[#This Row],[descuento sobre subtotal]])*VLOOKUP(PROVEEDORES[[#This Row],[PROVEEDOR]],TERCEROS_INFO[#All],3,FALSE)</f>
        <v>376196.39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72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2356177.39</v>
      </c>
      <c r="S10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1">
        <f ca="1">IF(PROVEEDORES[[#This Row],[FECHA DE PAGO]]=0,TODAY()-PROVEEDORES[[#This Row],[FECHA DE FACTURACIÓN]]-PROVEEDORES[[#This Row],[PLAZO Días]],0)</f>
        <v>0</v>
      </c>
      <c r="U1011" s="97">
        <f>+VLOOKUP(PROVEEDORES[[#This Row],[PROVEEDOR]],Terceros!$A:$D,4,FALSE)</f>
        <v>0</v>
      </c>
      <c r="V1011" s="98">
        <f>+YEAR(PROVEEDORES[[#This Row],[FECHA DE FACTURACIÓN]])</f>
        <v>2023</v>
      </c>
      <c r="W1011" s="98">
        <f>+MATCH(PROVEEDORES[[#This Row],[año facturado]],Retenciones!$1:$1,0)</f>
        <v>6</v>
      </c>
      <c r="X1011" s="99">
        <f>+VLOOKUP(PROVEEDORES[[#This Row],[ID RETENCION]],Retenciones!$A$1:$O$25,PROVEEDORES[[#This Row],[indicador de columna]],FALSE)</f>
        <v>0</v>
      </c>
      <c r="Y1011" s="100">
        <f>+VLOOKUP(PROVEEDORES[[#This Row],[ID RETENCION]],Retenciones!$A$1:$O$25,2,FALSE)</f>
        <v>0</v>
      </c>
      <c r="Z1011" s="103" t="b">
        <f>OR(COUNTIF(PROVEEDORES[[#This Row],[PROVEEDOR]],"*"&amp;'Palabra no opera'!$A$2&amp;"*"))</f>
        <v>0</v>
      </c>
    </row>
    <row r="1012" spans="1:26" ht="22.35" customHeight="1" x14ac:dyDescent="0.25">
      <c r="A1012" s="65" t="str">
        <f>+IF(PROVEEDORES[[#This Row],[FECHA DE PAGO]]=PROVEEDORES[[#This Row],[FECHA DE FACTURACIÓN]],"DE CONTADO","CRÉDITO")</f>
        <v>CRÉDITO</v>
      </c>
      <c r="B1012" s="38" t="b">
        <f>+IF((PROVEEDORES[[#This Row],[FECHA DE PAGO]]-PROVEEDORES[[#This Row],[FECHA DE FACTURACIÓN]])&gt;PROVEEDORES[[#This Row],[PLAZO Días]],"PAGO VENCIDO")</f>
        <v>0</v>
      </c>
      <c r="C1012" s="20">
        <f>+VLOOKUP(PROVEEDORES[[#This Row],[PROVEEDOR]],TERCEROS_INFO[#All],2,FALSE)</f>
        <v>30</v>
      </c>
      <c r="D1012" s="25">
        <f>+SUMIFS(PROVEEDORES[Total],PROVEEDORES[PROVEEDOR],PROVEEDORES[[#This Row],[PROVEEDOR]],PROVEEDORES[FECHA DE PAGO],"")</f>
        <v>0</v>
      </c>
      <c r="E1012" s="25"/>
      <c r="F1012" s="56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12" s="289">
        <v>45288</v>
      </c>
      <c r="H1012" s="26" t="s">
        <v>221</v>
      </c>
      <c r="I1012" s="289">
        <v>45264</v>
      </c>
      <c r="J1012" s="35" t="s">
        <v>1384</v>
      </c>
      <c r="K1012" s="21">
        <v>1632998</v>
      </c>
      <c r="L1012" s="21"/>
      <c r="M1012" s="22">
        <f>(PROVEEDORES[[#This Row],[SUBTOTAL]]-PROVEEDORES[[#This Row],[descuento sobre subtotal]])*VLOOKUP(PROVEEDORES[[#This Row],[PROVEEDOR]],TERCEROS_INFO[#All],3,FALSE)</f>
        <v>310269.62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72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1943267.62</v>
      </c>
      <c r="S101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1">
        <f ca="1">IF(PROVEEDORES[[#This Row],[FECHA DE PAGO]]=0,TODAY()-PROVEEDORES[[#This Row],[FECHA DE FACTURACIÓN]]-PROVEEDORES[[#This Row],[PLAZO Días]],0)</f>
        <v>0</v>
      </c>
      <c r="U1012" s="97">
        <f>+VLOOKUP(PROVEEDORES[[#This Row],[PROVEEDOR]],Terceros!$A:$D,4,FALSE)</f>
        <v>0</v>
      </c>
      <c r="V1012" s="98">
        <f>+YEAR(PROVEEDORES[[#This Row],[FECHA DE FACTURACIÓN]])</f>
        <v>2023</v>
      </c>
      <c r="W1012" s="98">
        <f>+MATCH(PROVEEDORES[[#This Row],[año facturado]],Retenciones!$1:$1,0)</f>
        <v>6</v>
      </c>
      <c r="X1012" s="99">
        <f>+VLOOKUP(PROVEEDORES[[#This Row],[ID RETENCION]],Retenciones!$A$1:$O$25,PROVEEDORES[[#This Row],[indicador de columna]],FALSE)</f>
        <v>0</v>
      </c>
      <c r="Y1012" s="100">
        <f>+VLOOKUP(PROVEEDORES[[#This Row],[ID RETENCION]],Retenciones!$A$1:$O$25,2,FALSE)</f>
        <v>0</v>
      </c>
      <c r="Z1012" s="103" t="b">
        <f>OR(COUNTIF(PROVEEDORES[[#This Row],[PROVEEDOR]],"*"&amp;'Palabra no opera'!$A$2&amp;"*"))</f>
        <v>0</v>
      </c>
    </row>
    <row r="1013" spans="1:26" ht="22.35" customHeight="1" x14ac:dyDescent="0.25">
      <c r="A1013" s="265" t="str">
        <f>+IF(PROVEEDORES[[#This Row],[FECHA DE PAGO]]=PROVEEDORES[[#This Row],[FECHA DE FACTURACIÓN]],"DE CONTADO","CRÉDITO")</f>
        <v>DE CONTADO</v>
      </c>
      <c r="B1013" s="38" t="b">
        <f>+IF((PROVEEDORES[[#This Row],[FECHA DE PAGO]]-PROVEEDORES[[#This Row],[FECHA DE FACTURACIÓN]])&gt;PROVEEDORES[[#This Row],[PLAZO Días]],"PAGO VENCIDO")</f>
        <v>0</v>
      </c>
      <c r="C1013" s="20">
        <f>+VLOOKUP(PROVEEDORES[[#This Row],[PROVEEDOR]],TERCEROS_INFO[#All],2,FALSE)</f>
        <v>0</v>
      </c>
      <c r="D1013" s="25">
        <f>+SUMIFS(PROVEEDORES[Total],PROVEEDORES[PROVEEDOR],PROVEEDORES[[#This Row],[PROVEEDOR]],PROVEEDORES[FECHA DE PAGO],"")</f>
        <v>0</v>
      </c>
      <c r="E1013" s="25"/>
      <c r="F1013" s="56">
        <f>+VLOOKUP(PROVEEDORES[[#This Row],[PROVEEDOR]],
                       Terceros!$A:$F,
                       5,
                       FALSE)</f>
        <v>0</v>
      </c>
      <c r="G1013" s="289">
        <v>45261</v>
      </c>
      <c r="H1013" s="26" t="s">
        <v>495</v>
      </c>
      <c r="I1013" s="289">
        <v>45261</v>
      </c>
      <c r="J1013" s="35" t="s">
        <v>1344</v>
      </c>
      <c r="K1013" s="21">
        <v>300000</v>
      </c>
      <c r="L1013" s="21"/>
      <c r="M1013" s="22">
        <f>(PROVEEDORES[[#This Row],[SUBTOTAL]]-PROVEEDORES[[#This Row],[descuento sobre subtotal]])*VLOOKUP(PROVEEDORES[[#This Row],[PROVEEDOR]],TERCEROS_INFO[#All],3,FALSE)</f>
        <v>0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72">
        <f>+IF(PROVEEDORES[[#This Row],[SUBTOTAL]]&lt;PROVEEDORES[[#This Row],[base retencion]],0,PROVEEDORES[[#This Row],[retención aplicada]])</f>
        <v>0</v>
      </c>
      <c r="Q1013" s="22">
        <f>+PROVEEDORES[[#This Row],[Rete Fuente %]]*(PROVEEDORES[[#This Row],[SUBTOTAL]]-PROVEEDORES[[#This Row],[descuento sobre subtotal]])</f>
        <v>0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1013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1">
        <f ca="1">IF(PROVEEDORES[[#This Row],[FECHA DE PAGO]]=0,TODAY()-PROVEEDORES[[#This Row],[FECHA DE FACTURACIÓN]]-PROVEEDORES[[#This Row],[PLAZO Días]],0)</f>
        <v>0</v>
      </c>
      <c r="U1013" s="97">
        <f>+VLOOKUP(PROVEEDORES[[#This Row],[PROVEEDOR]],Terceros!$A:$D,4,FALSE)</f>
        <v>0</v>
      </c>
      <c r="V1013" s="98">
        <f>+YEAR(PROVEEDORES[[#This Row],[FECHA DE FACTURACIÓN]])</f>
        <v>2023</v>
      </c>
      <c r="W1013" s="98">
        <f>+MATCH(PROVEEDORES[[#This Row],[año facturado]],Retenciones!$1:$1,0)</f>
        <v>6</v>
      </c>
      <c r="X1013" s="99">
        <f>+VLOOKUP(PROVEEDORES[[#This Row],[ID RETENCION]],Retenciones!$A$1:$O$25,PROVEEDORES[[#This Row],[indicador de columna]],FALSE)</f>
        <v>0</v>
      </c>
      <c r="Y1013" s="100">
        <f>+VLOOKUP(PROVEEDORES[[#This Row],[ID RETENCION]],Retenciones!$A$1:$O$25,2,FALSE)</f>
        <v>0</v>
      </c>
      <c r="Z1013" s="103" t="b">
        <f>OR(COUNTIF(PROVEEDORES[[#This Row],[PROVEEDOR]],"*"&amp;'Palabra no opera'!$A$2&amp;"*"))</f>
        <v>1</v>
      </c>
    </row>
    <row r="1014" spans="1:26" ht="22.35" customHeight="1" x14ac:dyDescent="0.25">
      <c r="A1014" s="65" t="str">
        <f>+IF(PROVEEDORES[[#This Row],[FECHA DE PAGO]]=PROVEEDORES[[#This Row],[FECHA DE FACTURACIÓN]],"DE CONTADO","CRÉDITO")</f>
        <v>DE CONTADO</v>
      </c>
      <c r="B1014" s="38" t="b">
        <f>+IF((PROVEEDORES[[#This Row],[FECHA DE PAGO]]-PROVEEDORES[[#This Row],[FECHA DE FACTURACIÓN]])&gt;PROVEEDORES[[#This Row],[PLAZO Días]],"PAGO VENCIDO")</f>
        <v>0</v>
      </c>
      <c r="C1014" s="20">
        <f>+VLOOKUP(PROVEEDORES[[#This Row],[PROVEEDOR]],TERCEROS_INFO[#All],2,FALSE)</f>
        <v>0</v>
      </c>
      <c r="D1014" s="25">
        <f>+SUMIFS(PROVEEDORES[Total],PROVEEDORES[PROVEEDOR],PROVEEDORES[[#This Row],[PROVEEDOR]],PROVEEDORES[FECHA DE PAGO],"")</f>
        <v>0</v>
      </c>
      <c r="E1014" s="25"/>
      <c r="F1014" s="56">
        <f>+VLOOKUP(PROVEEDORES[[#This Row],[PROVEEDOR]],
                       Terceros!$A:$F,
                       5,
                       FALSE)</f>
        <v>0</v>
      </c>
      <c r="G1014" s="289">
        <v>45289</v>
      </c>
      <c r="H1014" s="26" t="s">
        <v>495</v>
      </c>
      <c r="I1014" s="289">
        <v>45289</v>
      </c>
      <c r="J1014" s="35" t="s">
        <v>1344</v>
      </c>
      <c r="K1014" s="21">
        <v>245000</v>
      </c>
      <c r="L1014" s="21"/>
      <c r="M1014" s="22">
        <f>(PROVEEDORES[[#This Row],[SUBTOTAL]]-PROVEEDORES[[#This Row],[descuento sobre subtotal]])*VLOOKUP(PROVEEDORES[[#This Row],[PROVEEDOR]],TERCEROS_INFO[#All],3,FALSE)</f>
        <v>0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72">
        <f>+IF(PROVEEDORES[[#This Row],[SUBTOTAL]]&lt;PROVEEDORES[[#This Row],[base retencion]],0,PROVEEDORES[[#This Row],[retención aplicada]])</f>
        <v>0</v>
      </c>
      <c r="Q1014" s="22">
        <f>+PROVEEDORES[[#This Row],[Rete Fuente %]]*(PROVEEDORES[[#This Row],[SUBTOTAL]]-PROVEEDORES[[#This Row],[descuento sobre subtotal]])</f>
        <v>0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245000</v>
      </c>
      <c r="S101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1">
        <f ca="1">IF(PROVEEDORES[[#This Row],[FECHA DE PAGO]]=0,TODAY()-PROVEEDORES[[#This Row],[FECHA DE FACTURACIÓN]]-PROVEEDORES[[#This Row],[PLAZO Días]],0)</f>
        <v>0</v>
      </c>
      <c r="U1014" s="97">
        <f>+VLOOKUP(PROVEEDORES[[#This Row],[PROVEEDOR]],Terceros!$A:$D,4,FALSE)</f>
        <v>0</v>
      </c>
      <c r="V1014" s="98">
        <f>+YEAR(PROVEEDORES[[#This Row],[FECHA DE FACTURACIÓN]])</f>
        <v>2023</v>
      </c>
      <c r="W1014" s="98">
        <f>+MATCH(PROVEEDORES[[#This Row],[año facturado]],Retenciones!$1:$1,0)</f>
        <v>6</v>
      </c>
      <c r="X1014" s="99">
        <f>+VLOOKUP(PROVEEDORES[[#This Row],[ID RETENCION]],Retenciones!$A$1:$O$25,PROVEEDORES[[#This Row],[indicador de columna]],FALSE)</f>
        <v>0</v>
      </c>
      <c r="Y1014" s="100">
        <f>+VLOOKUP(PROVEEDORES[[#This Row],[ID RETENCION]],Retenciones!$A$1:$O$25,2,FALSE)</f>
        <v>0</v>
      </c>
      <c r="Z1014" s="103" t="b">
        <f>OR(COUNTIF(PROVEEDORES[[#This Row],[PROVEEDOR]],"*"&amp;'Palabra no opera'!$A$2&amp;"*"))</f>
        <v>1</v>
      </c>
    </row>
    <row r="1015" spans="1:26" ht="22.35" customHeight="1" x14ac:dyDescent="0.25">
      <c r="A1015" s="65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0</v>
      </c>
      <c r="E1015" s="25"/>
      <c r="F1015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5" s="289">
        <v>44988</v>
      </c>
      <c r="H1015" s="26" t="s">
        <v>26</v>
      </c>
      <c r="I1015" s="289">
        <v>44951</v>
      </c>
      <c r="J1015" s="35" t="s">
        <v>584</v>
      </c>
      <c r="K1015" s="21">
        <v>3088000</v>
      </c>
      <c r="L1015" s="21"/>
      <c r="M1015" s="22">
        <f>(PROVEEDORES[[#This Row],[SUBTOTAL]]-PROVEEDORES[[#This Row],[descuento sobre subtotal]])*VLOOKUP(PROVEEDORES[[#This Row],[PROVEEDOR]],TERCEROS_INFO[#All],3,FALSE)</f>
        <v>586720</v>
      </c>
      <c r="N1015" s="23"/>
      <c r="O1015" s="22">
        <f>+PROVEEDORES[[#This Row],[Descuento sobre subtotal %]]*(PROVEEDORES[[#This Row],[SUBTOTAL]]-PROVEEDORES[[#This Row],[descuento sobre subtotal]])</f>
        <v>0</v>
      </c>
      <c r="P1015" s="72">
        <f>+IF(PROVEEDORES[[#This Row],[SUBTOTAL]]&lt;PROVEEDORES[[#This Row],[base retencion]],0,PROVEEDORES[[#This Row],[retención aplicada]])</f>
        <v>2.5000000000000001E-2</v>
      </c>
      <c r="Q1015" s="22">
        <f>+PROVEEDORES[[#This Row],[Rete Fuente %]]*(PROVEEDORES[[#This Row],[SUBTOTAL]]-PROVEEDORES[[#This Row],[descuento sobre subtotal]])</f>
        <v>77200</v>
      </c>
      <c r="R1015" s="21">
        <f>+PROVEEDORES[[#This Row],[SUBTOTAL]]+PROVEEDORES[[#This Row],[IVA 19%]]-PROVEEDORES[[#This Row],[descuento sobre subtotal]]-PROVEEDORES[[#This Row],[Descuento sobre subtotal $2]]-PROVEEDORES[[#This Row],[Rete Fuente $]]</f>
        <v>3597520</v>
      </c>
      <c r="S101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1">
        <f ca="1">IF(PROVEEDORES[[#This Row],[FECHA DE PAGO]]=0,TODAY()-PROVEEDORES[[#This Row],[FECHA DE FACTURACIÓN]]-PROVEEDORES[[#This Row],[PLAZO Días]],0)</f>
        <v>0</v>
      </c>
      <c r="U1015" s="97" t="str">
        <f>+VLOOKUP(PROVEEDORES[[#This Row],[PROVEEDOR]],Terceros!$A:$D,4,FALSE)</f>
        <v>2,5% con base</v>
      </c>
      <c r="V1015" s="98">
        <f>+YEAR(PROVEEDORES[[#This Row],[FECHA DE FACTURACIÓN]])</f>
        <v>2023</v>
      </c>
      <c r="W1015" s="98">
        <f>+MATCH(PROVEEDORES[[#This Row],[año facturado]],Retenciones!$1:$1,0)</f>
        <v>6</v>
      </c>
      <c r="X1015" s="99">
        <f>+VLOOKUP(PROVEEDORES[[#This Row],[ID RETENCION]],Retenciones!$A$1:$O$25,PROVEEDORES[[#This Row],[indicador de columna]],FALSE)</f>
        <v>1145000</v>
      </c>
      <c r="Y1015" s="100">
        <f>+VLOOKUP(PROVEEDORES[[#This Row],[ID RETENCION]],Retenciones!$A$1:$O$25,2,FALSE)</f>
        <v>2.5000000000000001E-2</v>
      </c>
      <c r="Z1015" s="103" t="b">
        <f>OR(COUNTIF(PROVEEDORES[[#This Row],[PROVEEDOR]],"*"&amp;'Palabra no opera'!$A$2&amp;"*"))</f>
        <v>0</v>
      </c>
    </row>
    <row r="1016" spans="1:26" ht="22.35" customHeight="1" x14ac:dyDescent="0.25">
      <c r="A1016" s="192" t="str">
        <f>+IF(PROVEEDORES[[#This Row],[FECHA DE PAGO]]=PROVEEDORES[[#This Row],[FECHA DE FACTURACIÓN]],"DE CONTADO","CRÉDITO")</f>
        <v>CRÉDITO</v>
      </c>
      <c r="B1016" s="38" t="str">
        <f>+IF((PROVEEDORES[[#This Row],[FECHA DE PAGO]]-PROVEEDORES[[#This Row],[FECHA DE FACTURACIÓN]])&gt;PROVEEDORES[[#This Row],[PLAZO Días]],"PAGO VENCIDO")</f>
        <v>PAGO VENCIDO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0</v>
      </c>
      <c r="E1016" s="25"/>
      <c r="F1016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6" s="289">
        <v>45097</v>
      </c>
      <c r="H1016" s="26" t="s">
        <v>26</v>
      </c>
      <c r="I1016" s="289">
        <v>45041</v>
      </c>
      <c r="J1016" s="35" t="s">
        <v>794</v>
      </c>
      <c r="K1016" s="21">
        <v>2657001</v>
      </c>
      <c r="L1016" s="21"/>
      <c r="M1016" s="22">
        <f>(PROVEEDORES[[#This Row],[SUBTOTAL]]-PROVEEDORES[[#This Row],[descuento sobre subtotal]])*VLOOKUP(PROVEEDORES[[#This Row],[PROVEEDOR]],TERCEROS_INFO[#All],3,FALSE)</f>
        <v>504830.19</v>
      </c>
      <c r="N1016" s="23"/>
      <c r="O1016" s="22">
        <v>8925</v>
      </c>
      <c r="P1016" s="72">
        <f>+IF(PROVEEDORES[[#This Row],[SUBTOTAL]]&lt;PROVEEDORES[[#This Row],[base retencion]],0,PROVEEDORES[[#This Row],[retención aplicada]])</f>
        <v>2.5000000000000001E-2</v>
      </c>
      <c r="Q1016" s="22">
        <f>+PROVEEDORES[[#This Row],[Rete Fuente %]]*(PROVEEDORES[[#This Row],[SUBTOTAL]]-PROVEEDORES[[#This Row],[descuento sobre subtotal]])</f>
        <v>66425.025000000009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3086481.165</v>
      </c>
      <c r="S101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1">
        <f ca="1">IF(PROVEEDORES[[#This Row],[FECHA DE PAGO]]=0,TODAY()-PROVEEDORES[[#This Row],[FECHA DE FACTURACIÓN]]-PROVEEDORES[[#This Row],[PLAZO Días]],0)</f>
        <v>0</v>
      </c>
      <c r="U1016" s="97" t="str">
        <f>+VLOOKUP(PROVEEDORES[[#This Row],[PROVEEDOR]],Terceros!$A:$D,4,FALSE)</f>
        <v>2,5% con base</v>
      </c>
      <c r="V1016" s="98">
        <f>+YEAR(PROVEEDORES[[#This Row],[FECHA DE FACTURACIÓN]])</f>
        <v>2023</v>
      </c>
      <c r="W1016" s="98">
        <f>+MATCH(PROVEEDORES[[#This Row],[año facturado]],Retenciones!$1:$1,0)</f>
        <v>6</v>
      </c>
      <c r="X1016" s="99">
        <f>+VLOOKUP(PROVEEDORES[[#This Row],[ID RETENCION]],Retenciones!$A$1:$O$25,PROVEEDORES[[#This Row],[indicador de columna]],FALSE)</f>
        <v>1145000</v>
      </c>
      <c r="Y1016" s="100">
        <f>+VLOOKUP(PROVEEDORES[[#This Row],[ID RETENCION]],Retenciones!$A$1:$O$25,2,FALSE)</f>
        <v>2.5000000000000001E-2</v>
      </c>
      <c r="Z1016" s="103" t="b">
        <f>OR(COUNTIF(PROVEEDORES[[#This Row],[PROVEEDOR]],"*"&amp;'Palabra no opera'!$A$2&amp;"*"))</f>
        <v>0</v>
      </c>
    </row>
    <row r="1017" spans="1:26" ht="22.35" customHeight="1" x14ac:dyDescent="0.25">
      <c r="A1017" s="65" t="str">
        <f>+IF(PROVEEDORES[[#This Row],[FECHA DE PAGO]]=PROVEEDORES[[#This Row],[FECHA DE FACTURACIÓN]],"DE CONTADO","CRÉDITO")</f>
        <v>CRÉDITO</v>
      </c>
      <c r="B1017" s="38" t="str">
        <f>+IF((PROVEEDORES[[#This Row],[FECHA DE PAGO]]-PROVEEDORES[[#This Row],[FECHA DE FACTURACIÓN]])&gt;PROVEEDORES[[#This Row],[PLAZO Días]],"PAGO VENCIDO")</f>
        <v>PAGO VENCIDO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0</v>
      </c>
      <c r="E1017" s="25"/>
      <c r="F1017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7" s="289">
        <v>45097</v>
      </c>
      <c r="H1017" s="26" t="s">
        <v>26</v>
      </c>
      <c r="I1017" s="289">
        <v>45056</v>
      </c>
      <c r="J1017" s="35" t="s">
        <v>845</v>
      </c>
      <c r="K1017" s="21">
        <v>1470000</v>
      </c>
      <c r="L1017" s="21"/>
      <c r="M1017" s="22">
        <f>(PROVEEDORES[[#This Row],[SUBTOTAL]]-PROVEEDORES[[#This Row],[descuento sobre subtotal]])*VLOOKUP(PROVEEDORES[[#This Row],[PROVEEDOR]],TERCEROS_INFO[#All],3,FALSE)</f>
        <v>279300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72">
        <f>+IF(PROVEEDORES[[#This Row],[SUBTOTAL]]&lt;PROVEEDORES[[#This Row],[base retencion]],0,PROVEEDORES[[#This Row],[retención aplicada]])</f>
        <v>2.5000000000000001E-2</v>
      </c>
      <c r="Q1017" s="22">
        <f>+PROVEEDORES[[#This Row],[Rete Fuente %]]*(PROVEEDORES[[#This Row],[SUBTOTAL]]-PROVEEDORES[[#This Row],[descuento sobre subtotal]])</f>
        <v>36750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1712550</v>
      </c>
      <c r="S101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1">
        <f ca="1">IF(PROVEEDORES[[#This Row],[FECHA DE PAGO]]=0,TODAY()-PROVEEDORES[[#This Row],[FECHA DE FACTURACIÓN]]-PROVEEDORES[[#This Row],[PLAZO Días]],0)</f>
        <v>0</v>
      </c>
      <c r="U1017" s="97" t="str">
        <f>+VLOOKUP(PROVEEDORES[[#This Row],[PROVEEDOR]],Terceros!$A:$D,4,FALSE)</f>
        <v>2,5% con base</v>
      </c>
      <c r="V1017" s="98">
        <f>+YEAR(PROVEEDORES[[#This Row],[FECHA DE FACTURACIÓN]])</f>
        <v>2023</v>
      </c>
      <c r="W1017" s="98">
        <f>+MATCH(PROVEEDORES[[#This Row],[año facturado]],Retenciones!$1:$1,0)</f>
        <v>6</v>
      </c>
      <c r="X1017" s="99">
        <f>+VLOOKUP(PROVEEDORES[[#This Row],[ID RETENCION]],Retenciones!$A$1:$O$25,PROVEEDORES[[#This Row],[indicador de columna]],FALSE)</f>
        <v>1145000</v>
      </c>
      <c r="Y1017" s="100">
        <f>+VLOOKUP(PROVEEDORES[[#This Row],[ID RETENCION]],Retenciones!$A$1:$O$25,2,FALSE)</f>
        <v>2.5000000000000001E-2</v>
      </c>
      <c r="Z1017" s="103" t="b">
        <f>OR(COUNTIF(PROVEEDORES[[#This Row],[PROVEEDOR]],"*"&amp;'Palabra no opera'!$A$2&amp;"*"))</f>
        <v>0</v>
      </c>
    </row>
    <row r="1018" spans="1:26" ht="22.35" customHeight="1" x14ac:dyDescent="0.25">
      <c r="A1018" s="65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0</v>
      </c>
      <c r="E1018" s="25"/>
      <c r="F1018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8" s="289">
        <v>45191</v>
      </c>
      <c r="H1018" s="26" t="s">
        <v>26</v>
      </c>
      <c r="I1018" s="289">
        <v>45124</v>
      </c>
      <c r="J1018" s="35" t="s">
        <v>971</v>
      </c>
      <c r="K1018" s="21">
        <v>1952200</v>
      </c>
      <c r="L1018" s="21"/>
      <c r="M1018" s="22">
        <f>(PROVEEDORES[[#This Row],[SUBTOTAL]]-PROVEEDORES[[#This Row],[descuento sobre subtotal]])*VLOOKUP(PROVEEDORES[[#This Row],[PROVEEDOR]],TERCEROS_INFO[#All],3,FALSE)</f>
        <v>370918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72">
        <f>+IF(PROVEEDORES[[#This Row],[SUBTOTAL]]&lt;PROVEEDORES[[#This Row],[base retencion]],0,PROVEEDORES[[#This Row],[retención aplicada]])</f>
        <v>2.5000000000000001E-2</v>
      </c>
      <c r="Q1018" s="22">
        <f>+PROVEEDORES[[#This Row],[Rete Fuente %]]*(PROVEEDORES[[#This Row],[SUBTOTAL]]-PROVEEDORES[[#This Row],[descuento sobre subtotal]])</f>
        <v>48805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2274313</v>
      </c>
      <c r="S10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1">
        <f ca="1">IF(PROVEEDORES[[#This Row],[FECHA DE PAGO]]=0,TODAY()-PROVEEDORES[[#This Row],[FECHA DE FACTURACIÓN]]-PROVEEDORES[[#This Row],[PLAZO Días]],0)</f>
        <v>0</v>
      </c>
      <c r="U1018" s="97" t="str">
        <f>+VLOOKUP(PROVEEDORES[[#This Row],[PROVEEDOR]],Terceros!$A:$D,4,FALSE)</f>
        <v>2,5% con base</v>
      </c>
      <c r="V1018" s="98">
        <f>+YEAR(PROVEEDORES[[#This Row],[FECHA DE FACTURACIÓN]])</f>
        <v>2023</v>
      </c>
      <c r="W1018" s="98">
        <f>+MATCH(PROVEEDORES[[#This Row],[año facturado]],Retenciones!$1:$1,0)</f>
        <v>6</v>
      </c>
      <c r="X1018" s="99">
        <f>+VLOOKUP(PROVEEDORES[[#This Row],[ID RETENCION]],Retenciones!$A$1:$O$25,PROVEEDORES[[#This Row],[indicador de columna]],FALSE)</f>
        <v>1145000</v>
      </c>
      <c r="Y1018" s="100">
        <f>+VLOOKUP(PROVEEDORES[[#This Row],[ID RETENCION]],Retenciones!$A$1:$O$25,2,FALSE)</f>
        <v>2.5000000000000001E-2</v>
      </c>
      <c r="Z1018" s="103" t="b">
        <f>OR(COUNTIF(PROVEEDORES[[#This Row],[PROVEEDOR]],"*"&amp;'Palabra no opera'!$A$2&amp;"*"))</f>
        <v>0</v>
      </c>
    </row>
    <row r="1019" spans="1:26" ht="22.35" customHeight="1" x14ac:dyDescent="0.25">
      <c r="A1019" s="229" t="str">
        <f>+IF(PROVEEDORES[[#This Row],[FECHA DE PAGO]]=PROVEEDORES[[#This Row],[FECHA DE FACTURACIÓN]],"DE CONTADO","CRÉDITO")</f>
        <v>CRÉDITO</v>
      </c>
      <c r="B1019" s="38" t="str">
        <f>+IF((PROVEEDORES[[#This Row],[FECHA DE PAGO]]-PROVEEDORES[[#This Row],[FECHA DE FACTURACIÓN]])&gt;PROVEEDORES[[#This Row],[PLAZO Días]],"PAGO VENCIDO")</f>
        <v>PAGO VENCIDO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0</v>
      </c>
      <c r="E1019" s="25"/>
      <c r="F1019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9" s="289">
        <v>45208</v>
      </c>
      <c r="H1019" s="26" t="s">
        <v>26</v>
      </c>
      <c r="I1019" s="289">
        <v>45166</v>
      </c>
      <c r="J1019" s="35" t="s">
        <v>1064</v>
      </c>
      <c r="K1019" s="21">
        <v>1230000</v>
      </c>
      <c r="L1019" s="21"/>
      <c r="M1019" s="22">
        <f>(PROVEEDORES[[#This Row],[SUBTOTAL]]-PROVEEDORES[[#This Row],[descuento sobre subtotal]])*VLOOKUP(PROVEEDORES[[#This Row],[PROVEEDOR]],TERCEROS_INFO[#All],3,FALSE)</f>
        <v>233700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72">
        <f>+IF(PROVEEDORES[[#This Row],[SUBTOTAL]]&lt;PROVEEDORES[[#This Row],[base retencion]],0,PROVEEDORES[[#This Row],[retención aplicada]])</f>
        <v>2.5000000000000001E-2</v>
      </c>
      <c r="Q1019" s="22">
        <f>+PROVEEDORES[[#This Row],[Rete Fuente %]]*(PROVEEDORES[[#This Row],[SUBTOTAL]]-PROVEEDORES[[#This Row],[descuento sobre subtotal]])</f>
        <v>30750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1432950</v>
      </c>
      <c r="S1019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1">
        <f ca="1">IF(PROVEEDORES[[#This Row],[FECHA DE PAGO]]=0,TODAY()-PROVEEDORES[[#This Row],[FECHA DE FACTURACIÓN]]-PROVEEDORES[[#This Row],[PLAZO Días]],0)</f>
        <v>0</v>
      </c>
      <c r="U1019" s="97" t="str">
        <f>+VLOOKUP(PROVEEDORES[[#This Row],[PROVEEDOR]],Terceros!$A:$D,4,FALSE)</f>
        <v>2,5% con base</v>
      </c>
      <c r="V1019" s="98">
        <f>+YEAR(PROVEEDORES[[#This Row],[FECHA DE FACTURACIÓN]])</f>
        <v>2023</v>
      </c>
      <c r="W1019" s="98">
        <f>+MATCH(PROVEEDORES[[#This Row],[año facturado]],Retenciones!$1:$1,0)</f>
        <v>6</v>
      </c>
      <c r="X1019" s="99">
        <f>+VLOOKUP(PROVEEDORES[[#This Row],[ID RETENCION]],Retenciones!$A$1:$O$25,PROVEEDORES[[#This Row],[indicador de columna]],FALSE)</f>
        <v>1145000</v>
      </c>
      <c r="Y1019" s="100">
        <f>+VLOOKUP(PROVEEDORES[[#This Row],[ID RETENCION]],Retenciones!$A$1:$O$25,2,FALSE)</f>
        <v>2.5000000000000001E-2</v>
      </c>
      <c r="Z1019" s="103" t="b">
        <f>OR(COUNTIF(PROVEEDORES[[#This Row],[PROVEEDOR]],"*"&amp;'Palabra no opera'!$A$2&amp;"*"))</f>
        <v>0</v>
      </c>
    </row>
    <row r="1020" spans="1:26" ht="22.35" customHeight="1" x14ac:dyDescent="0.25">
      <c r="A1020" s="262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30</v>
      </c>
      <c r="D1020" s="25">
        <f>+SUMIFS(PROVEEDORES[Total],PROVEEDORES[PROVEEDOR],PROVEEDORES[[#This Row],[PROVEEDOR]],PROVEEDORES[FECHA DE PAGO],"")</f>
        <v>0</v>
      </c>
      <c r="E1020" s="25"/>
      <c r="F1020" s="56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20" s="289">
        <v>45281</v>
      </c>
      <c r="H1020" s="26" t="s">
        <v>26</v>
      </c>
      <c r="I1020" s="289">
        <v>45246</v>
      </c>
      <c r="J1020" s="35" t="s">
        <v>1292</v>
      </c>
      <c r="K1020" s="21">
        <v>1996000</v>
      </c>
      <c r="L1020" s="21"/>
      <c r="M1020" s="22">
        <f>(PROVEEDORES[[#This Row],[SUBTOTAL]]-PROVEEDORES[[#This Row],[descuento sobre subtotal]])*VLOOKUP(PROVEEDORES[[#This Row],[PROVEEDOR]],TERCEROS_INFO[#All],3,FALSE)</f>
        <v>379240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72">
        <f>+IF(PROVEEDORES[[#This Row],[SUBTOTAL]]&lt;PROVEEDORES[[#This Row],[base retencion]],0,PROVEEDORES[[#This Row],[retención aplicada]])</f>
        <v>2.5000000000000001E-2</v>
      </c>
      <c r="Q1020" s="22">
        <f>+PROVEEDORES[[#This Row],[Rete Fuente %]]*(PROVEEDORES[[#This Row],[SUBTOTAL]]-PROVEEDORES[[#This Row],[descuento sobre subtotal]])</f>
        <v>49900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2325340</v>
      </c>
      <c r="S102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1">
        <f ca="1">IF(PROVEEDORES[[#This Row],[FECHA DE PAGO]]=0,TODAY()-PROVEEDORES[[#This Row],[FECHA DE FACTURACIÓN]]-PROVEEDORES[[#This Row],[PLAZO Días]],0)</f>
        <v>0</v>
      </c>
      <c r="U1020" s="97" t="str">
        <f>+VLOOKUP(PROVEEDORES[[#This Row],[PROVEEDOR]],Terceros!$A:$D,4,FALSE)</f>
        <v>2,5% con base</v>
      </c>
      <c r="V1020" s="98">
        <f>+YEAR(PROVEEDORES[[#This Row],[FECHA DE FACTURACIÓN]])</f>
        <v>2023</v>
      </c>
      <c r="W1020" s="98">
        <f>+MATCH(PROVEEDORES[[#This Row],[año facturado]],Retenciones!$1:$1,0)</f>
        <v>6</v>
      </c>
      <c r="X1020" s="99">
        <f>+VLOOKUP(PROVEEDORES[[#This Row],[ID RETENCION]],Retenciones!$A$1:$O$25,PROVEEDORES[[#This Row],[indicador de columna]],FALSE)</f>
        <v>1145000</v>
      </c>
      <c r="Y1020" s="100">
        <f>+VLOOKUP(PROVEEDORES[[#This Row],[ID RETENCION]],Retenciones!$A$1:$O$25,2,FALSE)</f>
        <v>2.5000000000000001E-2</v>
      </c>
      <c r="Z1020" s="103" t="b">
        <f>OR(COUNTIF(PROVEEDORES[[#This Row],[PROVEEDOR]],"*"&amp;'Palabra no opera'!$A$2&amp;"*"))</f>
        <v>0</v>
      </c>
    </row>
    <row r="1021" spans="1:26" ht="22.35" customHeight="1" x14ac:dyDescent="0.25">
      <c r="A1021" s="249" t="str">
        <f>+IF(PROVEEDORES[[#This Row],[FECHA DE PAGO]]=PROVEEDORES[[#This Row],[FECHA DE FACTURACIÓN]],"DE CONTADO","CRÉDITO")</f>
        <v>DE CONTADO</v>
      </c>
      <c r="B1021" s="38" t="b">
        <f>+IF((PROVEEDORES[[#This Row],[FECHA DE PAGO]]-PROVEEDORES[[#This Row],[FECHA DE FACTURACIÓN]])&gt;PROVEEDORES[[#This Row],[PLAZO Días]],"PAGO VENCIDO")</f>
        <v>0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0</v>
      </c>
      <c r="E1021" s="25"/>
      <c r="F1021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021" s="289">
        <v>45226</v>
      </c>
      <c r="H1021" s="26" t="s">
        <v>1234</v>
      </c>
      <c r="I1021" s="289">
        <v>45226</v>
      </c>
      <c r="J1021" s="35" t="s">
        <v>1235</v>
      </c>
      <c r="K1021" s="21">
        <v>702352</v>
      </c>
      <c r="L1021" s="21"/>
      <c r="M1021" s="22">
        <f>(PROVEEDORES[[#This Row],[SUBTOTAL]]-PROVEEDORES[[#This Row],[descuento sobre subtotal]])*VLOOKUP(PROVEEDORES[[#This Row],[PROVEEDOR]],TERCEROS_INFO[#All],3,FALSE)</f>
        <v>133446.88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72">
        <f>+IF(PROVEEDORES[[#This Row],[SUBTOTAL]]&lt;PROVEEDORES[[#This Row],[base retencion]],0,PROVEEDORES[[#This Row],[retención aplicada]])</f>
        <v>0</v>
      </c>
      <c r="Q1021" s="22">
        <f>+PROVEEDORES[[#This Row],[Rete Fuente %]]*(PROVEEDORES[[#This Row],[SUBTOTAL]]-PROVEEDORES[[#This Row],[descuento sobre subtotal]])</f>
        <v>0</v>
      </c>
      <c r="R1021" s="21">
        <f>+PROVEEDORES[[#This Row],[SUBTOTAL]]+PROVEEDORES[[#This Row],[IVA 19%]]-PROVEEDORES[[#This Row],[descuento sobre subtotal]]-PROVEEDORES[[#This Row],[Descuento sobre subtotal $2]]-PROVEEDORES[[#This Row],[Rete Fuente $]]</f>
        <v>835798.88</v>
      </c>
      <c r="S1021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1">
        <f ca="1">IF(PROVEEDORES[[#This Row],[FECHA DE PAGO]]=0,TODAY()-PROVEEDORES[[#This Row],[FECHA DE FACTURACIÓN]]-PROVEEDORES[[#This Row],[PLAZO Días]],0)</f>
        <v>0</v>
      </c>
      <c r="U1021" s="97" t="str">
        <f>+VLOOKUP(PROVEEDORES[[#This Row],[PROVEEDOR]],Terceros!$A:$D,4,FALSE)</f>
        <v>2,5% con base</v>
      </c>
      <c r="V1021" s="98">
        <f>+YEAR(PROVEEDORES[[#This Row],[FECHA DE FACTURACIÓN]])</f>
        <v>2023</v>
      </c>
      <c r="W1021" s="98">
        <f>+MATCH(PROVEEDORES[[#This Row],[año facturado]],Retenciones!$1:$1,0)</f>
        <v>6</v>
      </c>
      <c r="X1021" s="99">
        <f>+VLOOKUP(PROVEEDORES[[#This Row],[ID RETENCION]],Retenciones!$A$1:$O$25,PROVEEDORES[[#This Row],[indicador de columna]],FALSE)</f>
        <v>1145000</v>
      </c>
      <c r="Y1021" s="100">
        <f>+VLOOKUP(PROVEEDORES[[#This Row],[ID RETENCION]],Retenciones!$A$1:$O$25,2,FALSE)</f>
        <v>2.5000000000000001E-2</v>
      </c>
      <c r="Z1021" s="103" t="b">
        <f>OR(COUNTIF(PROVEEDORES[[#This Row],[PROVEEDOR]],"*"&amp;'Palabra no opera'!$A$2&amp;"*"))</f>
        <v>0</v>
      </c>
    </row>
    <row r="1022" spans="1:26" ht="22.35" customHeight="1" x14ac:dyDescent="0.25">
      <c r="A1022" s="262" t="str">
        <f>+IF(PROVEEDORES[[#This Row],[FECHA DE PAGO]]=PROVEEDORES[[#This Row],[FECHA DE FACTURACIÓN]],"DE CONTADO","CRÉDITO")</f>
        <v>DE CONTADO</v>
      </c>
      <c r="B1022" s="38" t="b">
        <f>+IF((PROVEEDORES[[#This Row],[FECHA DE PAGO]]-PROVEEDORES[[#This Row],[FECHA DE FACTURACIÓN]])&gt;PROVEEDORES[[#This Row],[PLAZO Días]],"PAGO VENCIDO")</f>
        <v>0</v>
      </c>
      <c r="C1022" s="20">
        <f>+VLOOKUP(PROVEEDORES[[#This Row],[PROVEEDOR]],TERCEROS_INFO[#All],2,FALSE)</f>
        <v>30</v>
      </c>
      <c r="D1022" s="25">
        <f>+SUMIFS(PROVEEDORES[Total],PROVEEDORES[PROVEEDOR],PROVEEDORES[[#This Row],[PROVEEDOR]],PROVEEDORES[FECHA DE PAGO],"")</f>
        <v>0</v>
      </c>
      <c r="E1022" s="25"/>
      <c r="F1022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022" s="289">
        <v>45244</v>
      </c>
      <c r="H1022" s="26" t="s">
        <v>1234</v>
      </c>
      <c r="I1022" s="289">
        <v>45244</v>
      </c>
      <c r="J1022" s="35" t="s">
        <v>1298</v>
      </c>
      <c r="K1022" s="21">
        <v>502938</v>
      </c>
      <c r="L1022" s="21"/>
      <c r="M1022" s="22">
        <f>(PROVEEDORES[[#This Row],[SUBTOTAL]]-PROVEEDORES[[#This Row],[descuento sobre subtotal]])*VLOOKUP(PROVEEDORES[[#This Row],[PROVEEDOR]],TERCEROS_INFO[#All],3,FALSE)</f>
        <v>95558.22</v>
      </c>
      <c r="N1022" s="23"/>
      <c r="O1022" s="22">
        <f>+PROVEEDORES[[#This Row],[Descuento sobre subtotal %]]*(PROVEEDORES[[#This Row],[SUBTOTAL]]-PROVEEDORES[[#This Row],[descuento sobre subtotal]])</f>
        <v>0</v>
      </c>
      <c r="P1022" s="72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f>+PROVEEDORES[[#This Row],[SUBTOTAL]]+PROVEEDORES[[#This Row],[IVA 19%]]-PROVEEDORES[[#This Row],[descuento sobre subtotal]]-PROVEEDORES[[#This Row],[Descuento sobre subtotal $2]]-PROVEEDORES[[#This Row],[Rete Fuente $]]</f>
        <v>598496.22</v>
      </c>
      <c r="S102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1">
        <f ca="1">IF(PROVEEDORES[[#This Row],[FECHA DE PAGO]]=0,TODAY()-PROVEEDORES[[#This Row],[FECHA DE FACTURACIÓN]]-PROVEEDORES[[#This Row],[PLAZO Días]],0)</f>
        <v>0</v>
      </c>
      <c r="U1022" s="97" t="str">
        <f>+VLOOKUP(PROVEEDORES[[#This Row],[PROVEEDOR]],Terceros!$A:$D,4,FALSE)</f>
        <v>2,5% con base</v>
      </c>
      <c r="V1022" s="98">
        <f>+YEAR(PROVEEDORES[[#This Row],[FECHA DE FACTURACIÓN]])</f>
        <v>2023</v>
      </c>
      <c r="W1022" s="98">
        <f>+MATCH(PROVEEDORES[[#This Row],[año facturado]],Retenciones!$1:$1,0)</f>
        <v>6</v>
      </c>
      <c r="X1022" s="99">
        <f>+VLOOKUP(PROVEEDORES[[#This Row],[ID RETENCION]],Retenciones!$A$1:$O$25,PROVEEDORES[[#This Row],[indicador de columna]],FALSE)</f>
        <v>1145000</v>
      </c>
      <c r="Y1022" s="100">
        <f>+VLOOKUP(PROVEEDORES[[#This Row],[ID RETENCION]],Retenciones!$A$1:$O$25,2,FALSE)</f>
        <v>2.5000000000000001E-2</v>
      </c>
      <c r="Z1022" s="103" t="b">
        <f>OR(COUNTIF(PROVEEDORES[[#This Row],[PROVEEDOR]],"*"&amp;'Palabra no opera'!$A$2&amp;"*"))</f>
        <v>0</v>
      </c>
    </row>
    <row r="1023" spans="1:26" ht="22.35" customHeight="1" x14ac:dyDescent="0.25">
      <c r="A1023" s="65" t="str">
        <f>+IF(PROVEEDORES[[#This Row],[FECHA DE PAGO]]=PROVEEDORES[[#This Row],[FECHA DE FACTURACIÓN]],"DE CONTADO","CRÉDITO")</f>
        <v>CRÉDITO</v>
      </c>
      <c r="B1023" s="38" t="b">
        <f>+IF((PROVEEDORES[[#This Row],[FECHA DE PAGO]]-PROVEEDORES[[#This Row],[FECHA DE FACTURACIÓN]])&gt;PROVEEDORES[[#This Row],[PLAZO Días]],"PAGO VENCIDO")</f>
        <v>0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0</v>
      </c>
      <c r="E1023" s="25"/>
      <c r="F1023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023" s="289">
        <v>45288</v>
      </c>
      <c r="H1023" s="26" t="s">
        <v>1234</v>
      </c>
      <c r="I1023" s="289">
        <v>45287</v>
      </c>
      <c r="J1023" s="35" t="s">
        <v>1429</v>
      </c>
      <c r="K1023" s="21">
        <v>2280672</v>
      </c>
      <c r="L1023" s="21"/>
      <c r="M1023" s="22">
        <f>(PROVEEDORES[[#This Row],[SUBTOTAL]]-PROVEEDORES[[#This Row],[descuento sobre subtotal]])*VLOOKUP(PROVEEDORES[[#This Row],[PROVEEDOR]],TERCEROS_INFO[#All],3,FALSE)</f>
        <v>433327.68</v>
      </c>
      <c r="N1023" s="23"/>
      <c r="O1023" s="22">
        <f>+PROVEEDORES[[#This Row],[Descuento sobre subtotal %]]*(PROVEEDORES[[#This Row],[SUBTOTAL]]-PROVEEDORES[[#This Row],[descuento sobre subtotal]])</f>
        <v>0</v>
      </c>
      <c r="P1023" s="72">
        <f>+IF(PROVEEDORES[[#This Row],[SUBTOTAL]]&lt;PROVEEDORES[[#This Row],[base retencion]],0,PROVEEDORES[[#This Row],[retención aplicada]])</f>
        <v>2.5000000000000001E-2</v>
      </c>
      <c r="Q1023" s="22">
        <f>+PROVEEDORES[[#This Row],[Rete Fuente %]]*(PROVEEDORES[[#This Row],[SUBTOTAL]]-PROVEEDORES[[#This Row],[descuento sobre subtotal]])</f>
        <v>57016.800000000003</v>
      </c>
      <c r="R1023" s="21">
        <f>+PROVEEDORES[[#This Row],[SUBTOTAL]]+PROVEEDORES[[#This Row],[IVA 19%]]-PROVEEDORES[[#This Row],[descuento sobre subtotal]]-PROVEEDORES[[#This Row],[Descuento sobre subtotal $2]]-PROVEEDORES[[#This Row],[Rete Fuente $]]</f>
        <v>2656982.8800000004</v>
      </c>
      <c r="S10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1">
        <f ca="1">IF(PROVEEDORES[[#This Row],[FECHA DE PAGO]]=0,TODAY()-PROVEEDORES[[#This Row],[FECHA DE FACTURACIÓN]]-PROVEEDORES[[#This Row],[PLAZO Días]],0)</f>
        <v>0</v>
      </c>
      <c r="U1023" s="97" t="str">
        <f>+VLOOKUP(PROVEEDORES[[#This Row],[PROVEEDOR]],Terceros!$A:$D,4,FALSE)</f>
        <v>2,5% con base</v>
      </c>
      <c r="V1023" s="98">
        <f>+YEAR(PROVEEDORES[[#This Row],[FECHA DE FACTURACIÓN]])</f>
        <v>2023</v>
      </c>
      <c r="W1023" s="98">
        <f>+MATCH(PROVEEDORES[[#This Row],[año facturado]],Retenciones!$1:$1,0)</f>
        <v>6</v>
      </c>
      <c r="X1023" s="99">
        <f>+VLOOKUP(PROVEEDORES[[#This Row],[ID RETENCION]],Retenciones!$A$1:$O$25,PROVEEDORES[[#This Row],[indicador de columna]],FALSE)</f>
        <v>1145000</v>
      </c>
      <c r="Y1023" s="100">
        <f>+VLOOKUP(PROVEEDORES[[#This Row],[ID RETENCION]],Retenciones!$A$1:$O$25,2,FALSE)</f>
        <v>2.5000000000000001E-2</v>
      </c>
      <c r="Z1023" s="103" t="b">
        <f>OR(COUNTIF(PROVEEDORES[[#This Row],[PROVEEDOR]],"*"&amp;'Palabra no opera'!$A$2&amp;"*"))</f>
        <v>0</v>
      </c>
    </row>
    <row r="1024" spans="1:26" ht="22.35" customHeight="1" x14ac:dyDescent="0.25">
      <c r="A1024" s="304" t="str">
        <f>+IF(PROVEEDORES[[#This Row],[FECHA DE PAGO]]=PROVEEDORES[[#This Row],[FECHA DE FACTURACIÓN]],"DE CONTADO","CRÉDITO")</f>
        <v>CRÉDITO</v>
      </c>
      <c r="B1024" s="38" t="b">
        <f>+IF((PROVEEDORES[[#This Row],[FECHA DE PAGO]]-PROVEEDORES[[#This Row],[FECHA DE FACTURACIÓN]])&gt;PROVEEDORES[[#This Row],[PLAZO Días]],"PAGO VENCIDO")</f>
        <v>0</v>
      </c>
      <c r="C1024" s="20">
        <f>+VLOOKUP(PROVEEDORES[[#This Row],[PROVEEDOR]],TERCEROS_INFO[#All],2,FALSE)</f>
        <v>30</v>
      </c>
      <c r="D1024" s="25">
        <f>+SUMIFS(PROVEEDORES[Total],PROVEEDORES[PROVEEDOR],PROVEEDORES[[#This Row],[PROVEEDOR]],PROVEEDORES[FECHA DE PAGO],"")</f>
        <v>0</v>
      </c>
      <c r="E1024" s="25"/>
      <c r="F1024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024" s="289">
        <v>45303</v>
      </c>
      <c r="H1024" s="26" t="s">
        <v>1234</v>
      </c>
      <c r="I1024" s="289">
        <v>45302</v>
      </c>
      <c r="J1024" s="35" t="s">
        <v>1481</v>
      </c>
      <c r="K1024" s="21">
        <v>1297479.67</v>
      </c>
      <c r="L1024" s="21"/>
      <c r="M1024" s="22">
        <f>(PROVEEDORES[[#This Row],[SUBTOTAL]]-PROVEEDORES[[#This Row],[descuento sobre subtotal]])*VLOOKUP(PROVEEDORES[[#This Row],[PROVEEDOR]],TERCEROS_INFO[#All],3,FALSE)</f>
        <v>246521.1373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72">
        <f>+IF(PROVEEDORES[[#This Row],[SUBTOTAL]]&lt;PROVEEDORES[[#This Row],[base retencion]],0,PROVEEDORES[[#This Row],[retención aplicada]])</f>
        <v>2.5000000000000001E-2</v>
      </c>
      <c r="Q1024" s="22">
        <f>+PROVEEDORES[[#This Row],[Rete Fuente %]]*(PROVEEDORES[[#This Row],[SUBTOTAL]]-PROVEEDORES[[#This Row],[descuento sobre subtotal]])</f>
        <v>32436.991750000001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1511563.8155499999</v>
      </c>
      <c r="S1024" s="3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61">
        <f ca="1">IF(PROVEEDORES[[#This Row],[FECHA DE PAGO]]=0,TODAY()-PROVEEDORES[[#This Row],[FECHA DE FACTURACIÓN]]-PROVEEDORES[[#This Row],[PLAZO Días]],0)</f>
        <v>0</v>
      </c>
      <c r="U1024" s="97" t="str">
        <f>+VLOOKUP(PROVEEDORES[[#This Row],[PROVEEDOR]],Terceros!$A:$D,4,FALSE)</f>
        <v>2,5% con base</v>
      </c>
      <c r="V1024" s="98">
        <f>+YEAR(PROVEEDORES[[#This Row],[FECHA DE FACTURACIÓN]])</f>
        <v>2024</v>
      </c>
      <c r="W1024" s="98">
        <f>+MATCH(PROVEEDORES[[#This Row],[año facturado]],Retenciones!$1:$1,0)</f>
        <v>7</v>
      </c>
      <c r="X1024" s="99">
        <f>+VLOOKUP(PROVEEDORES[[#This Row],[ID RETENCION]],Retenciones!$A$1:$O$25,PROVEEDORES[[#This Row],[indicador de columna]],FALSE)</f>
        <v>1271000</v>
      </c>
      <c r="Y1024" s="100">
        <f>+VLOOKUP(PROVEEDORES[[#This Row],[ID RETENCION]],Retenciones!$A$1:$O$25,2,FALSE)</f>
        <v>2.5000000000000001E-2</v>
      </c>
      <c r="Z1024" s="103" t="b">
        <f>OR(COUNTIF(PROVEEDORES[[#This Row],[PROVEEDOR]],"*"&amp;'Palabra no opera'!$A$2&amp;"*"))</f>
        <v>0</v>
      </c>
    </row>
    <row r="1025" spans="1:26" ht="22.35" customHeight="1" x14ac:dyDescent="0.25">
      <c r="A1025" s="65" t="str">
        <f>+IF(PROVEEDORES[[#This Row],[FECHA DE PAGO]]=PROVEEDORES[[#This Row],[FECHA DE FACTURACIÓN]],"DE CONTADO","CRÉDITO")</f>
        <v>CRÉDITO</v>
      </c>
      <c r="B1025" s="38" t="str">
        <f>+IF((PROVEEDORES[[#This Row],[FECHA DE PAGO]]-PROVEEDORES[[#This Row],[FECHA DE FACTURACIÓN]])&gt;PROVEEDORES[[#This Row],[PLAZO Días]],"PAGO VENCIDO")</f>
        <v>PAGO VENCIDO</v>
      </c>
      <c r="C1025" s="20">
        <f>+VLOOKUP(PROVEEDORES[[#This Row],[PROVEEDOR]],TERCEROS_INFO[#All],2,FALSE)</f>
        <v>30</v>
      </c>
      <c r="D1025" s="25">
        <f>+SUMIFS(PROVEEDORES[Total],PROVEEDORES[PROVEEDOR],PROVEEDORES[[#This Row],[PROVEEDOR]],PROVEEDORES[FECHA DE PAGO],"")</f>
        <v>0</v>
      </c>
      <c r="E1025" s="25"/>
      <c r="F1025" s="56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025" s="289">
        <v>45111</v>
      </c>
      <c r="H1025" s="26" t="s">
        <v>16</v>
      </c>
      <c r="I1025" s="289">
        <v>45057</v>
      </c>
      <c r="J1025" s="35" t="s">
        <v>841</v>
      </c>
      <c r="K1025" s="21">
        <v>436975</v>
      </c>
      <c r="L1025" s="21"/>
      <c r="M1025" s="22">
        <f>(PROVEEDORES[[#This Row],[SUBTOTAL]]-PROVEEDORES[[#This Row],[descuento sobre subtotal]])*VLOOKUP(PROVEEDORES[[#This Row],[PROVEEDOR]],TERCEROS_INFO[#All],3,FALSE)</f>
        <v>83025.25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72">
        <f>+IF(PROVEEDORES[[#This Row],[SUBTOTAL]]&lt;PROVEEDORES[[#This Row],[base retencion]],0,PROVEEDORES[[#This Row],[retención aplicada]])</f>
        <v>0</v>
      </c>
      <c r="Q1025" s="22">
        <f>+PROVEEDORES[[#This Row],[Rete Fuente %]]*(PROVEEDORES[[#This Row],[SUBTOTAL]]-PROVEEDORES[[#This Row],[descuento sobre subtotal]])</f>
        <v>0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520000.25</v>
      </c>
      <c r="S10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1">
        <f ca="1">IF(PROVEEDORES[[#This Row],[FECHA DE PAGO]]=0,TODAY()-PROVEEDORES[[#This Row],[FECHA DE FACTURACIÓN]]-PROVEEDORES[[#This Row],[PLAZO Días]],0)</f>
        <v>0</v>
      </c>
      <c r="U1025" s="97" t="str">
        <f>+VLOOKUP(PROVEEDORES[[#This Row],[PROVEEDOR]],Terceros!$A:$D,4,FALSE)</f>
        <v>2,5% con base</v>
      </c>
      <c r="V1025" s="98">
        <f>+YEAR(PROVEEDORES[[#This Row],[FECHA DE FACTURACIÓN]])</f>
        <v>2023</v>
      </c>
      <c r="W1025" s="98">
        <f>+MATCH(PROVEEDORES[[#This Row],[año facturado]],Retenciones!$1:$1,0)</f>
        <v>6</v>
      </c>
      <c r="X1025" s="99">
        <f>+VLOOKUP(PROVEEDORES[[#This Row],[ID RETENCION]],Retenciones!$A$1:$O$25,PROVEEDORES[[#This Row],[indicador de columna]],FALSE)</f>
        <v>1145000</v>
      </c>
      <c r="Y1025" s="100">
        <f>+VLOOKUP(PROVEEDORES[[#This Row],[ID RETENCION]],Retenciones!$A$1:$O$25,2,FALSE)</f>
        <v>2.5000000000000001E-2</v>
      </c>
      <c r="Z1025" s="103" t="b">
        <f>OR(COUNTIF(PROVEEDORES[[#This Row],[PROVEEDOR]],"*"&amp;'Palabra no opera'!$A$2&amp;"*"))</f>
        <v>0</v>
      </c>
    </row>
    <row r="1026" spans="1:26" ht="22.35" customHeight="1" x14ac:dyDescent="0.25">
      <c r="A1026" s="211" t="str">
        <f>+IF(PROVEEDORES[[#This Row],[FECHA DE PAGO]]=PROVEEDORES[[#This Row],[FECHA DE FACTURACIÓN]],"DE CONTADO","CRÉDITO")</f>
        <v>CRÉDITO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30</v>
      </c>
      <c r="D1026" s="25">
        <f>+SUMIFS(PROVEEDORES[Total],PROVEEDORES[PROVEEDOR],PROVEEDORES[[#This Row],[PROVEEDOR]],PROVEEDORES[FECHA DE PAGO],"")</f>
        <v>0</v>
      </c>
      <c r="E1026" s="25"/>
      <c r="F1026" s="56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026" s="289">
        <v>45125</v>
      </c>
      <c r="H1026" s="26" t="s">
        <v>414</v>
      </c>
      <c r="I1026" s="289">
        <v>45124</v>
      </c>
      <c r="J1026" s="35" t="s">
        <v>947</v>
      </c>
      <c r="K1026" s="21">
        <v>1650000</v>
      </c>
      <c r="L1026" s="21">
        <v>16500</v>
      </c>
      <c r="M1026" s="22">
        <f>(PROVEEDORES[[#This Row],[SUBTOTAL]]-PROVEEDORES[[#This Row],[descuento sobre subtotal]])*VLOOKUP(PROVEEDORES[[#This Row],[PROVEEDOR]],TERCEROS_INFO[#All],3,FALSE)</f>
        <v>310365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72">
        <f>+IF(PROVEEDORES[[#This Row],[SUBTOTAL]]&lt;PROVEEDORES[[#This Row],[base retencion]],0,PROVEEDORES[[#This Row],[retención aplicada]])</f>
        <v>0.11</v>
      </c>
      <c r="Q1026" s="22">
        <f>+PROVEEDORES[[#This Row],[Rete Fuente %]]*(PROVEEDORES[[#This Row],[SUBTOTAL]]-PROVEEDORES[[#This Row],[descuento sobre subtotal]])</f>
        <v>179685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1764180</v>
      </c>
      <c r="S1026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1">
        <f ca="1">IF(PROVEEDORES[[#This Row],[FECHA DE PAGO]]=0,TODAY()-PROVEEDORES[[#This Row],[FECHA DE FACTURACIÓN]]-PROVEEDORES[[#This Row],[PLAZO Días]],0)</f>
        <v>0</v>
      </c>
      <c r="U1026" s="97" t="str">
        <f>+VLOOKUP(PROVEEDORES[[#This Row],[PROVEEDOR]],Terceros!$A:$D,4,FALSE)</f>
        <v>11% sin base</v>
      </c>
      <c r="V1026" s="98">
        <f>+YEAR(PROVEEDORES[[#This Row],[FECHA DE FACTURACIÓN]])</f>
        <v>2023</v>
      </c>
      <c r="W1026" s="98">
        <f>+MATCH(PROVEEDORES[[#This Row],[año facturado]],Retenciones!$1:$1,0)</f>
        <v>6</v>
      </c>
      <c r="X1026" s="99">
        <f>+VLOOKUP(PROVEEDORES[[#This Row],[ID RETENCION]],Retenciones!$A$1:$O$25,PROVEEDORES[[#This Row],[indicador de columna]],FALSE)</f>
        <v>0</v>
      </c>
      <c r="Y1026" s="100">
        <f>+VLOOKUP(PROVEEDORES[[#This Row],[ID RETENCION]],Retenciones!$A$1:$O$25,2,FALSE)</f>
        <v>0.11</v>
      </c>
      <c r="Z1026" s="103" t="b">
        <f>OR(COUNTIF(PROVEEDORES[[#This Row],[PROVEEDOR]],"*"&amp;'Palabra no opera'!$A$2&amp;"*"))</f>
        <v>1</v>
      </c>
    </row>
    <row r="1027" spans="1:26" ht="22.35" customHeight="1" x14ac:dyDescent="0.25">
      <c r="A1027" s="157" t="str">
        <f>+IF(PROVEEDORES[[#This Row],[FECHA DE PAGO]]=PROVEEDORES[[#This Row],[FECHA DE FACTURACIÓN]],"DE CONTADO","CRÉDITO")</f>
        <v>DE CONTADO</v>
      </c>
      <c r="B1027" s="38" t="b">
        <f>+IF((PROVEEDORES[[#This Row],[FECHA DE PAGO]]-PROVEEDORES[[#This Row],[FECHA DE FACTURACIÓN]])&gt;PROVEEDORES[[#This Row],[PLAZO Días]],"PAGO VENCIDO")</f>
        <v>0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0</v>
      </c>
      <c r="E1027" s="25"/>
      <c r="F1027" s="56">
        <f>+VLOOKUP(PROVEEDORES[[#This Row],[PROVEEDOR]],
                       Terceros!$A:$F,
                       5,
                       FALSE)</f>
        <v>0</v>
      </c>
      <c r="G1027" s="289">
        <v>44991</v>
      </c>
      <c r="H1027" s="26" t="s">
        <v>323</v>
      </c>
      <c r="I1027" s="289">
        <v>44991</v>
      </c>
      <c r="J1027" s="35" t="s">
        <v>644</v>
      </c>
      <c r="K1027" s="21">
        <v>1682849</v>
      </c>
      <c r="L1027" s="21"/>
      <c r="M1027" s="22">
        <f>(PROVEEDORES[[#This Row],[SUBTOTAL]]-PROVEEDORES[[#This Row],[descuento sobre subtotal]])*VLOOKUP(PROVEEDORES[[#This Row],[PROVEEDOR]],TERCEROS_INFO[#All],3,FALSE)</f>
        <v>319741.31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72">
        <f>+IF(PROVEEDORES[[#This Row],[SUBTOTAL]]&lt;PROVEEDORES[[#This Row],[base retencion]],0,PROVEEDORES[[#This Row],[retención aplicada]])</f>
        <v>2.5000000000000001E-2</v>
      </c>
      <c r="Q1027" s="22">
        <f>+PROVEEDORES[[#This Row],[Rete Fuente %]]*(PROVEEDORES[[#This Row],[SUBTOTAL]]-PROVEEDORES[[#This Row],[descuento sobre subtotal]])</f>
        <v>42071.225000000006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1960519.085</v>
      </c>
      <c r="S1027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61">
        <f ca="1">IF(PROVEEDORES[[#This Row],[FECHA DE PAGO]]=0,TODAY()-PROVEEDORES[[#This Row],[FECHA DE FACTURACIÓN]]-PROVEEDORES[[#This Row],[PLAZO Días]],0)</f>
        <v>0</v>
      </c>
      <c r="U1027" s="97" t="str">
        <f>+VLOOKUP(PROVEEDORES[[#This Row],[PROVEEDOR]],Terceros!$A:$D,4,FALSE)</f>
        <v>2,5% con base</v>
      </c>
      <c r="V1027" s="98">
        <f>+YEAR(PROVEEDORES[[#This Row],[FECHA DE FACTURACIÓN]])</f>
        <v>2023</v>
      </c>
      <c r="W1027" s="98">
        <f>+MATCH(PROVEEDORES[[#This Row],[año facturado]],Retenciones!$1:$1,0)</f>
        <v>6</v>
      </c>
      <c r="X1027" s="99">
        <f>+VLOOKUP(PROVEEDORES[[#This Row],[ID RETENCION]],Retenciones!$A$1:$O$25,PROVEEDORES[[#This Row],[indicador de columna]],FALSE)</f>
        <v>1145000</v>
      </c>
      <c r="Y1027" s="100">
        <f>+VLOOKUP(PROVEEDORES[[#This Row],[ID RETENCION]],Retenciones!$A$1:$O$25,2,FALSE)</f>
        <v>2.5000000000000001E-2</v>
      </c>
      <c r="Z1027" s="103" t="b">
        <f>OR(COUNTIF(PROVEEDORES[[#This Row],[PROVEEDOR]],"*"&amp;'Palabra no opera'!$A$2&amp;"*"))</f>
        <v>0</v>
      </c>
    </row>
    <row r="1028" spans="1:26" ht="22.35" customHeight="1" x14ac:dyDescent="0.25">
      <c r="A1028" s="65" t="str">
        <f>+IF(PROVEEDORES[[#This Row],[FECHA DE PAGO]]=PROVEEDORES[[#This Row],[FECHA DE FACTURACIÓN]],"DE CONTADO","CRÉDITO")</f>
        <v>DE CONTADO</v>
      </c>
      <c r="B1028" s="38" t="b">
        <f>+IF((PROVEEDORES[[#This Row],[FECHA DE PAGO]]-PROVEEDORES[[#This Row],[FECHA DE FACTURACIÓN]])&gt;PROVEEDORES[[#This Row],[PLAZO Días]],"PAGO VENCIDO")</f>
        <v>0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0</v>
      </c>
      <c r="E1028" s="25"/>
      <c r="F1028" s="56">
        <f>+VLOOKUP(PROVEEDORES[[#This Row],[PROVEEDOR]],
                       Terceros!$A:$F,
                       5,
                       FALSE)</f>
        <v>0</v>
      </c>
      <c r="G1028" s="289">
        <v>45125</v>
      </c>
      <c r="H1028" s="26" t="s">
        <v>323</v>
      </c>
      <c r="I1028" s="289">
        <v>45125</v>
      </c>
      <c r="J1028" s="35" t="s">
        <v>939</v>
      </c>
      <c r="K1028" s="21">
        <v>1431255</v>
      </c>
      <c r="L1028" s="21"/>
      <c r="M1028" s="22">
        <f>(PROVEEDORES[[#This Row],[SUBTOTAL]]-PROVEEDORES[[#This Row],[descuento sobre subtotal]])*VLOOKUP(PROVEEDORES[[#This Row],[PROVEEDOR]],TERCEROS_INFO[#All],3,FALSE)</f>
        <v>271938.45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72">
        <f>+IF(PROVEEDORES[[#This Row],[SUBTOTAL]]&lt;PROVEEDORES[[#This Row],[base retencion]],0,PROVEEDORES[[#This Row],[retención aplicada]])</f>
        <v>2.5000000000000001E-2</v>
      </c>
      <c r="Q1028" s="22">
        <f>+PROVEEDORES[[#This Row],[Rete Fuente %]]*(PROVEEDORES[[#This Row],[SUBTOTAL]]-PROVEEDORES[[#This Row],[descuento sobre subtotal]])</f>
        <v>35781.375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1667412.075</v>
      </c>
      <c r="S10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1">
        <f ca="1">IF(PROVEEDORES[[#This Row],[FECHA DE PAGO]]=0,TODAY()-PROVEEDORES[[#This Row],[FECHA DE FACTURACIÓN]]-PROVEEDORES[[#This Row],[PLAZO Días]],0)</f>
        <v>0</v>
      </c>
      <c r="U1028" s="97" t="str">
        <f>+VLOOKUP(PROVEEDORES[[#This Row],[PROVEEDOR]],Terceros!$A:$D,4,FALSE)</f>
        <v>2,5% con base</v>
      </c>
      <c r="V1028" s="98">
        <f>+YEAR(PROVEEDORES[[#This Row],[FECHA DE FACTURACIÓN]])</f>
        <v>2023</v>
      </c>
      <c r="W1028" s="98">
        <f>+MATCH(PROVEEDORES[[#This Row],[año facturado]],Retenciones!$1:$1,0)</f>
        <v>6</v>
      </c>
      <c r="X1028" s="99">
        <f>+VLOOKUP(PROVEEDORES[[#This Row],[ID RETENCION]],Retenciones!$A$1:$O$25,PROVEEDORES[[#This Row],[indicador de columna]],FALSE)</f>
        <v>1145000</v>
      </c>
      <c r="Y1028" s="100">
        <f>+VLOOKUP(PROVEEDORES[[#This Row],[ID RETENCION]],Retenciones!$A$1:$O$25,2,FALSE)</f>
        <v>2.5000000000000001E-2</v>
      </c>
      <c r="Z1028" s="103" t="b">
        <f>OR(COUNTIF(PROVEEDORES[[#This Row],[PROVEEDOR]],"*"&amp;'Palabra no opera'!$A$2&amp;"*"))</f>
        <v>0</v>
      </c>
    </row>
    <row r="1029" spans="1:26" ht="22.35" customHeight="1" x14ac:dyDescent="0.25">
      <c r="A1029" s="233" t="str">
        <f>+IF(PROVEEDORES[[#This Row],[FECHA DE PAGO]]=PROVEEDORES[[#This Row],[FECHA DE FACTURACIÓN]],"DE CONTADO","CRÉDITO")</f>
        <v>CRÉDITO</v>
      </c>
      <c r="B1029" s="38" t="b">
        <f>+IF((PROVEEDORES[[#This Row],[FECHA DE PAGO]]-PROVEEDORES[[#This Row],[FECHA DE FACTURACIÓN]])&gt;PROVEEDORES[[#This Row],[PLAZO Días]],"PAGO VENCIDO")</f>
        <v>0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0</v>
      </c>
      <c r="E1029" s="25"/>
      <c r="F1029" s="56">
        <f>+VLOOKUP(PROVEEDORES[[#This Row],[PROVEEDOR]],
                       Terceros!$A:$F,
                       5,
                       FALSE)</f>
        <v>0</v>
      </c>
      <c r="G1029" s="289">
        <v>45191</v>
      </c>
      <c r="H1029" s="26" t="s">
        <v>323</v>
      </c>
      <c r="I1029" s="289">
        <v>45190</v>
      </c>
      <c r="J1029" s="35" t="s">
        <v>1117</v>
      </c>
      <c r="K1029" s="21">
        <v>1669877</v>
      </c>
      <c r="L1029" s="21"/>
      <c r="M1029" s="22">
        <f>(PROVEEDORES[[#This Row],[SUBTOTAL]]-PROVEEDORES[[#This Row],[descuento sobre subtotal]])*VLOOKUP(PROVEEDORES[[#This Row],[PROVEEDOR]],TERCEROS_INFO[#All],3,FALSE)</f>
        <v>317276.63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72">
        <f>+IF(PROVEEDORES[[#This Row],[SUBTOTAL]]&lt;PROVEEDORES[[#This Row],[base retencion]],0,PROVEEDORES[[#This Row],[retención aplicada]])</f>
        <v>2.5000000000000001E-2</v>
      </c>
      <c r="Q1029" s="22">
        <f>+PROVEEDORES[[#This Row],[Rete Fuente %]]*(PROVEEDORES[[#This Row],[SUBTOTAL]]-PROVEEDORES[[#This Row],[descuento sobre subtotal]])</f>
        <v>41746.925000000003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1945406.7049999998</v>
      </c>
      <c r="S1029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1">
        <f ca="1">IF(PROVEEDORES[[#This Row],[FECHA DE PAGO]]=0,TODAY()-PROVEEDORES[[#This Row],[FECHA DE FACTURACIÓN]]-PROVEEDORES[[#This Row],[PLAZO Días]],0)</f>
        <v>0</v>
      </c>
      <c r="U1029" s="97" t="str">
        <f>+VLOOKUP(PROVEEDORES[[#This Row],[PROVEEDOR]],Terceros!$A:$D,4,FALSE)</f>
        <v>2,5% con base</v>
      </c>
      <c r="V1029" s="98">
        <f>+YEAR(PROVEEDORES[[#This Row],[FECHA DE FACTURACIÓN]])</f>
        <v>2023</v>
      </c>
      <c r="W1029" s="98">
        <f>+MATCH(PROVEEDORES[[#This Row],[año facturado]],Retenciones!$1:$1,0)</f>
        <v>6</v>
      </c>
      <c r="X1029" s="99">
        <f>+VLOOKUP(PROVEEDORES[[#This Row],[ID RETENCION]],Retenciones!$A$1:$O$25,PROVEEDORES[[#This Row],[indicador de columna]],FALSE)</f>
        <v>1145000</v>
      </c>
      <c r="Y1029" s="100">
        <f>+VLOOKUP(PROVEEDORES[[#This Row],[ID RETENCION]],Retenciones!$A$1:$O$25,2,FALSE)</f>
        <v>2.5000000000000001E-2</v>
      </c>
      <c r="Z1029" s="103" t="b">
        <f>OR(COUNTIF(PROVEEDORES[[#This Row],[PROVEEDOR]],"*"&amp;'Palabra no opera'!$A$2&amp;"*"))</f>
        <v>0</v>
      </c>
    </row>
    <row r="1030" spans="1:26" ht="22.35" customHeight="1" x14ac:dyDescent="0.25">
      <c r="A1030" s="65" t="str">
        <f>+IF(PROVEEDORES[[#This Row],[FECHA DE PAGO]]=PROVEEDORES[[#This Row],[FECHA DE FACTURACIÓN]],"DE CONTADO","CRÉDITO")</f>
        <v>CRÉDITO</v>
      </c>
      <c r="B1030" s="38" t="str">
        <f>+IF((PROVEEDORES[[#This Row],[FECHA DE PAGO]]-PROVEEDORES[[#This Row],[FECHA DE FACTURACIÓN]])&gt;PROVEEDORES[[#This Row],[PLAZO Días]],"PAGO VENCIDO")</f>
        <v>PAGO VENCIDO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8306450</v>
      </c>
      <c r="E1030" s="25"/>
      <c r="F1030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1030" s="289">
        <v>45082</v>
      </c>
      <c r="H1030" s="26" t="s">
        <v>754</v>
      </c>
      <c r="I1030" s="289">
        <v>45030</v>
      </c>
      <c r="J1030" s="66" t="s">
        <v>756</v>
      </c>
      <c r="K1030" s="21">
        <v>2868000</v>
      </c>
      <c r="L1030" s="21"/>
      <c r="M1030" s="22">
        <f>(PROVEEDORES[[#This Row],[SUBTOTAL]]-PROVEEDORES[[#This Row],[descuento sobre subtotal]])*VLOOKUP(PROVEEDORES[[#This Row],[PROVEEDOR]],TERCEROS_INFO[#All],3,FALSE)</f>
        <v>544920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72">
        <f>+IF(PROVEEDORES[[#This Row],[SUBTOTAL]]&lt;PROVEEDORES[[#This Row],[base retencion]],0,PROVEEDORES[[#This Row],[retención aplicada]])</f>
        <v>2.5000000000000001E-2</v>
      </c>
      <c r="Q1030" s="22">
        <f>+PROVEEDORES[[#This Row],[Rete Fuente %]]*(PROVEEDORES[[#This Row],[SUBTOTAL]]-PROVEEDORES[[#This Row],[descuento sobre subtotal]])</f>
        <v>71700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3341220</v>
      </c>
      <c r="S10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1">
        <f ca="1">IF(PROVEEDORES[[#This Row],[FECHA DE PAGO]]=0,TODAY()-PROVEEDORES[[#This Row],[FECHA DE FACTURACIÓN]]-PROVEEDORES[[#This Row],[PLAZO Días]],0)</f>
        <v>0</v>
      </c>
      <c r="U1030" s="97" t="str">
        <f>+VLOOKUP(PROVEEDORES[[#This Row],[PROVEEDOR]],Terceros!$A:$D,4,FALSE)</f>
        <v>2,5% con base</v>
      </c>
      <c r="V1030" s="98">
        <f>+YEAR(PROVEEDORES[[#This Row],[FECHA DE FACTURACIÓN]])</f>
        <v>2023</v>
      </c>
      <c r="W1030" s="98">
        <f>+MATCH(PROVEEDORES[[#This Row],[año facturado]],Retenciones!$1:$1,0)</f>
        <v>6</v>
      </c>
      <c r="X1030" s="99">
        <f>+VLOOKUP(PROVEEDORES[[#This Row],[ID RETENCION]],Retenciones!$A$1:$O$25,PROVEEDORES[[#This Row],[indicador de columna]],FALSE)</f>
        <v>1145000</v>
      </c>
      <c r="Y1030" s="100">
        <f>+VLOOKUP(PROVEEDORES[[#This Row],[ID RETENCION]],Retenciones!$A$1:$O$25,2,FALSE)</f>
        <v>2.5000000000000001E-2</v>
      </c>
      <c r="Z1030" s="103" t="b">
        <f>OR(COUNTIF(PROVEEDORES[[#This Row],[PROVEEDOR]],"*"&amp;'Palabra no opera'!$A$2&amp;"*"))</f>
        <v>0</v>
      </c>
    </row>
    <row r="1031" spans="1:26" ht="22.35" customHeight="1" x14ac:dyDescent="0.25">
      <c r="A1031" s="65" t="str">
        <f>+IF(PROVEEDORES[[#This Row],[FECHA DE PAGO]]=PROVEEDORES[[#This Row],[FECHA DE FACTURACIÓN]],"DE CONTADO","CRÉDITO")</f>
        <v>CRÉDITO</v>
      </c>
      <c r="B1031" s="38" t="str">
        <f>+IF((PROVEEDORES[[#This Row],[FECHA DE PAGO]]-PROVEEDORES[[#This Row],[FECHA DE FACTURACIÓN]])&gt;PROVEEDORES[[#This Row],[PLAZO Días]],"PAGO VENCIDO")</f>
        <v>PAGO VENCIDO</v>
      </c>
      <c r="C1031" s="20">
        <f>+VLOOKUP(PROVEEDORES[[#This Row],[PROVEEDOR]],TERCEROS_INFO[#All],2,FALSE)</f>
        <v>30</v>
      </c>
      <c r="D1031" s="25">
        <f>+SUMIFS(PROVEEDORES[Total],PROVEEDORES[PROVEEDOR],PROVEEDORES[[#This Row],[PROVEEDOR]],PROVEEDORES[FECHA DE PAGO],"")</f>
        <v>8306450</v>
      </c>
      <c r="E1031" s="25"/>
      <c r="F1031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1031" s="289">
        <v>45218</v>
      </c>
      <c r="H1031" s="26" t="s">
        <v>754</v>
      </c>
      <c r="I1031" s="289">
        <v>45154</v>
      </c>
      <c r="J1031" s="35" t="s">
        <v>1054</v>
      </c>
      <c r="K1031" s="21">
        <v>6870000</v>
      </c>
      <c r="L1031" s="21"/>
      <c r="M1031" s="22">
        <f>(PROVEEDORES[[#This Row],[SUBTOTAL]]-PROVEEDORES[[#This Row],[descuento sobre subtotal]])*VLOOKUP(PROVEEDORES[[#This Row],[PROVEEDOR]],TERCEROS_INFO[#All],3,FALSE)</f>
        <v>1305300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72">
        <f>+IF(PROVEEDORES[[#This Row],[SUBTOTAL]]&lt;PROVEEDORES[[#This Row],[base retencion]],0,PROVEEDORES[[#This Row],[retención aplicada]])</f>
        <v>2.5000000000000001E-2</v>
      </c>
      <c r="Q1031" s="22">
        <f>+PROVEEDORES[[#This Row],[Rete Fuente %]]*(PROVEEDORES[[#This Row],[SUBTOTAL]]-PROVEEDORES[[#This Row],[descuento sobre subtotal]])</f>
        <v>171750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8003550</v>
      </c>
      <c r="S10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1">
        <f ca="1">IF(PROVEEDORES[[#This Row],[FECHA DE PAGO]]=0,TODAY()-PROVEEDORES[[#This Row],[FECHA DE FACTURACIÓN]]-PROVEEDORES[[#This Row],[PLAZO Días]],0)</f>
        <v>0</v>
      </c>
      <c r="U1031" s="97" t="str">
        <f>+VLOOKUP(PROVEEDORES[[#This Row],[PROVEEDOR]],Terceros!$A:$D,4,FALSE)</f>
        <v>2,5% con base</v>
      </c>
      <c r="V1031" s="98">
        <f>+YEAR(PROVEEDORES[[#This Row],[FECHA DE FACTURACIÓN]])</f>
        <v>2023</v>
      </c>
      <c r="W1031" s="98">
        <f>+MATCH(PROVEEDORES[[#This Row],[año facturado]],Retenciones!$1:$1,0)</f>
        <v>6</v>
      </c>
      <c r="X1031" s="99">
        <f>+VLOOKUP(PROVEEDORES[[#This Row],[ID RETENCION]],Retenciones!$A$1:$O$25,PROVEEDORES[[#This Row],[indicador de columna]],FALSE)</f>
        <v>1145000</v>
      </c>
      <c r="Y1031" s="100">
        <f>+VLOOKUP(PROVEEDORES[[#This Row],[ID RETENCION]],Retenciones!$A$1:$O$25,2,FALSE)</f>
        <v>2.5000000000000001E-2</v>
      </c>
      <c r="Z1031" s="103" t="b">
        <f>OR(COUNTIF(PROVEEDORES[[#This Row],[PROVEEDOR]],"*"&amp;'Palabra no opera'!$A$2&amp;"*"))</f>
        <v>0</v>
      </c>
    </row>
    <row r="1032" spans="1:26" ht="22.35" customHeight="1" x14ac:dyDescent="0.25">
      <c r="A1032" s="65" t="str">
        <f>+IF(PROVEEDORES[[#This Row],[FECHA DE PAGO]]=PROVEEDORES[[#This Row],[FECHA DE FACTURACIÓN]],"DE CONTADO","CRÉDITO")</f>
        <v>CRÉDITO</v>
      </c>
      <c r="B1032" s="38" t="str">
        <f>+IF((PROVEEDORES[[#This Row],[FECHA DE PAGO]]-PROVEEDORES[[#This Row],[FECHA DE FACTURACIÓN]])&gt;PROVEEDORES[[#This Row],[PLAZO Días]],"PAGO VENCIDO")</f>
        <v>PAGO VENCIDO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5134830.96</v>
      </c>
      <c r="E1032" s="25"/>
      <c r="F1032" s="56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032" s="289">
        <v>45323</v>
      </c>
      <c r="H1032" s="26" t="s">
        <v>20</v>
      </c>
      <c r="I1032" s="289">
        <v>45280</v>
      </c>
      <c r="J1032" s="35" t="s">
        <v>1407</v>
      </c>
      <c r="K1032" s="21">
        <v>2381030</v>
      </c>
      <c r="L1032" s="21"/>
      <c r="M1032" s="22">
        <f>(PROVEEDORES[[#This Row],[SUBTOTAL]]-PROVEEDORES[[#This Row],[descuento sobre subtotal]])*VLOOKUP(PROVEEDORES[[#This Row],[PROVEEDOR]],TERCEROS_INFO[#All],3,FALSE)</f>
        <v>452395.7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72">
        <f>+IF(PROVEEDORES[[#This Row],[SUBTOTAL]]&lt;PROVEEDORES[[#This Row],[base retencion]],0,PROVEEDORES[[#This Row],[retención aplicada]])</f>
        <v>2.5000000000000001E-2</v>
      </c>
      <c r="Q1032" s="22">
        <f>+PROVEEDORES[[#This Row],[Rete Fuente %]]*(PROVEEDORES[[#This Row],[SUBTOTAL]]-PROVEEDORES[[#This Row],[descuento sobre subtotal]])</f>
        <v>59525.75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2773899.95</v>
      </c>
      <c r="S103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1">
        <f ca="1">IF(PROVEEDORES[[#This Row],[FECHA DE PAGO]]=0,TODAY()-PROVEEDORES[[#This Row],[FECHA DE FACTURACIÓN]]-PROVEEDORES[[#This Row],[PLAZO Días]],0)</f>
        <v>0</v>
      </c>
      <c r="U1032" s="97" t="str">
        <f>+VLOOKUP(PROVEEDORES[[#This Row],[PROVEEDOR]],Terceros!$A:$D,4,FALSE)</f>
        <v>2,5% con base</v>
      </c>
      <c r="V1032" s="98">
        <f>+YEAR(PROVEEDORES[[#This Row],[FECHA DE FACTURACIÓN]])</f>
        <v>2023</v>
      </c>
      <c r="W1032" s="98">
        <f>+MATCH(PROVEEDORES[[#This Row],[año facturado]],Retenciones!$1:$1,0)</f>
        <v>6</v>
      </c>
      <c r="X1032" s="99">
        <f>+VLOOKUP(PROVEEDORES[[#This Row],[ID RETENCION]],Retenciones!$A$1:$O$25,PROVEEDORES[[#This Row],[indicador de columna]],FALSE)</f>
        <v>1145000</v>
      </c>
      <c r="Y1032" s="100">
        <f>+VLOOKUP(PROVEEDORES[[#This Row],[ID RETENCION]],Retenciones!$A$1:$O$25,2,FALSE)</f>
        <v>2.5000000000000001E-2</v>
      </c>
      <c r="Z1032" s="103" t="b">
        <f>OR(COUNTIF(PROVEEDORES[[#This Row],[PROVEEDOR]],"*"&amp;'Palabra no opera'!$A$2&amp;"*"))</f>
        <v>0</v>
      </c>
    </row>
    <row r="1033" spans="1:26" ht="22.35" customHeight="1" x14ac:dyDescent="0.25">
      <c r="A1033" s="65" t="str">
        <f>+IF(PROVEEDORES[[#This Row],[FECHA DE PAGO]]=PROVEEDORES[[#This Row],[FECHA DE FACTURACIÓN]],"DE CONTADO","CRÉDITO")</f>
        <v>CRÉDITO</v>
      </c>
      <c r="B1033" s="38" t="b">
        <f>+IF((PROVEEDORES[[#This Row],[FECHA DE PAGO]]-PROVEEDORES[[#This Row],[FECHA DE FACTURACIÓN]])&gt;PROVEEDORES[[#This Row],[PLAZO Días]],"PAGO VENCIDO")</f>
        <v>0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0</v>
      </c>
      <c r="E1033" s="25"/>
      <c r="F103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3" s="289">
        <v>44952</v>
      </c>
      <c r="H1033" s="26" t="s">
        <v>415</v>
      </c>
      <c r="I1033" s="289">
        <v>44930</v>
      </c>
      <c r="J1033" s="35" t="s">
        <v>551</v>
      </c>
      <c r="K1033" s="21">
        <v>949891</v>
      </c>
      <c r="L1033" s="21"/>
      <c r="M1033" s="22">
        <f>(PROVEEDORES[[#This Row],[SUBTOTAL]]-PROVEEDORES[[#This Row],[descuento sobre subtotal]])*VLOOKUP(PROVEEDORES[[#This Row],[PROVEEDOR]],TERCEROS_INFO[#All],3,FALSE)</f>
        <v>0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72">
        <f>+IF(PROVEEDORES[[#This Row],[SUBTOTAL]]&lt;PROVEEDORES[[#This Row],[base retencion]],0,PROVEEDORES[[#This Row],[retención aplicada]])</f>
        <v>0</v>
      </c>
      <c r="Q1033" s="22">
        <f>+PROVEEDORES[[#This Row],[Rete Fuente %]]*(PROVEEDORES[[#This Row],[SUBTOTAL]]-PROVEEDORES[[#This Row],[descuento sobre subtotal]])</f>
        <v>0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0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1">
        <f ca="1">IF(PROVEEDORES[[#This Row],[FECHA DE PAGO]]=0,TODAY()-PROVEEDORES[[#This Row],[FECHA DE FACTURACIÓN]]-PROVEEDORES[[#This Row],[PLAZO Días]],0)</f>
        <v>0</v>
      </c>
      <c r="U1033" s="97">
        <f>+VLOOKUP(PROVEEDORES[[#This Row],[PROVEEDOR]],Terceros!$A:$D,4,FALSE)</f>
        <v>0</v>
      </c>
      <c r="V1033" s="98">
        <f>+YEAR(PROVEEDORES[[#This Row],[FECHA DE FACTURACIÓN]])</f>
        <v>2023</v>
      </c>
      <c r="W1033" s="98">
        <f>+MATCH(PROVEEDORES[[#This Row],[año facturado]],Retenciones!$1:$1,0)</f>
        <v>6</v>
      </c>
      <c r="X1033" s="99">
        <f>+VLOOKUP(PROVEEDORES[[#This Row],[ID RETENCION]],Retenciones!$A$1:$O$25,PROVEEDORES[[#This Row],[indicador de columna]],FALSE)</f>
        <v>0</v>
      </c>
      <c r="Y1033" s="100">
        <f>+VLOOKUP(PROVEEDORES[[#This Row],[ID RETENCION]],Retenciones!$A$1:$O$25,2,FALSE)</f>
        <v>0</v>
      </c>
      <c r="Z1033" s="103" t="b">
        <f>OR(COUNTIF(PROVEEDORES[[#This Row],[PROVEEDOR]],"*"&amp;'Palabra no opera'!$A$2&amp;"*"))</f>
        <v>1</v>
      </c>
    </row>
    <row r="1034" spans="1:26" ht="22.35" customHeight="1" x14ac:dyDescent="0.25">
      <c r="A1034" s="65" t="str">
        <f>+IF(PROVEEDORES[[#This Row],[FECHA DE PAGO]]=PROVEEDORES[[#This Row],[FECHA DE FACTURACIÓN]],"DE CONTADO","CRÉDITO")</f>
        <v>CRÉDITO</v>
      </c>
      <c r="B1034" s="38" t="b">
        <f>+IF((PROVEEDORES[[#This Row],[FECHA DE PAGO]]-PROVEEDORES[[#This Row],[FECHA DE FACTURACIÓN]])&gt;PROVEEDORES[[#This Row],[PLAZO Días]],"PAGO VENCIDO")</f>
        <v>0</v>
      </c>
      <c r="C1034" s="20">
        <f>+VLOOKUP(PROVEEDORES[[#This Row],[PROVEEDOR]],TERCEROS_INFO[#All],2,FALSE)</f>
        <v>30</v>
      </c>
      <c r="D1034" s="25">
        <f>+SUMIFS(PROVEEDORES[Total],PROVEEDORES[PROVEEDOR],PROVEEDORES[[#This Row],[PROVEEDOR]],PROVEEDORES[FECHA DE PAGO],"")</f>
        <v>0</v>
      </c>
      <c r="E1034" s="25"/>
      <c r="F103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4" s="289">
        <v>44952</v>
      </c>
      <c r="H1034" s="26" t="s">
        <v>415</v>
      </c>
      <c r="I1034" s="289">
        <v>44930</v>
      </c>
      <c r="J1034" s="35" t="s">
        <v>553</v>
      </c>
      <c r="K1034" s="21">
        <v>928304</v>
      </c>
      <c r="L1034" s="21"/>
      <c r="M1034" s="22">
        <f>(PROVEEDORES[[#This Row],[SUBTOTAL]]-PROVEEDORES[[#This Row],[descuento sobre subtotal]])*VLOOKUP(PROVEEDORES[[#This Row],[PROVEEDOR]],TERCEROS_INFO[#All],3,FALSE)</f>
        <v>0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72">
        <f>+IF(PROVEEDORES[[#This Row],[SUBTOTAL]]&lt;PROVEEDORES[[#This Row],[base retencion]],0,PROVEEDORES[[#This Row],[retención aplicada]])</f>
        <v>0</v>
      </c>
      <c r="Q1034" s="22">
        <f>+PROVEEDORES[[#This Row],[Rete Fuente %]]*(PROVEEDORES[[#This Row],[SUBTOTAL]]-PROVEEDORES[[#This Row],[descuento sobre subtotal]])</f>
        <v>0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0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1">
        <f ca="1">IF(PROVEEDORES[[#This Row],[FECHA DE PAGO]]=0,TODAY()-PROVEEDORES[[#This Row],[FECHA DE FACTURACIÓN]]-PROVEEDORES[[#This Row],[PLAZO Días]],0)</f>
        <v>0</v>
      </c>
      <c r="U1034" s="97">
        <f>+VLOOKUP(PROVEEDORES[[#This Row],[PROVEEDOR]],Terceros!$A:$D,4,FALSE)</f>
        <v>0</v>
      </c>
      <c r="V1034" s="98">
        <f>+YEAR(PROVEEDORES[[#This Row],[FECHA DE FACTURACIÓN]])</f>
        <v>2023</v>
      </c>
      <c r="W1034" s="98">
        <f>+MATCH(PROVEEDORES[[#This Row],[año facturado]],Retenciones!$1:$1,0)</f>
        <v>6</v>
      </c>
      <c r="X1034" s="99">
        <f>+VLOOKUP(PROVEEDORES[[#This Row],[ID RETENCION]],Retenciones!$A$1:$O$25,PROVEEDORES[[#This Row],[indicador de columna]],FALSE)</f>
        <v>0</v>
      </c>
      <c r="Y1034" s="100">
        <f>+VLOOKUP(PROVEEDORES[[#This Row],[ID RETENCION]],Retenciones!$A$1:$O$25,2,FALSE)</f>
        <v>0</v>
      </c>
      <c r="Z1034" s="103" t="b">
        <f>OR(COUNTIF(PROVEEDORES[[#This Row],[PROVEEDOR]],"*"&amp;'Palabra no opera'!$A$2&amp;"*"))</f>
        <v>1</v>
      </c>
    </row>
    <row r="1035" spans="1:26" ht="22.35" customHeight="1" x14ac:dyDescent="0.25">
      <c r="A1035" s="65" t="str">
        <f>+IF(PROVEEDORES[[#This Row],[FECHA DE PAGO]]=PROVEEDORES[[#This Row],[FECHA DE FACTURACIÓN]],"DE CONTADO","CRÉDITO")</f>
        <v>CRÉDITO</v>
      </c>
      <c r="B1035" s="38" t="b">
        <f>+IF((PROVEEDORES[[#This Row],[FECHA DE PAGO]]-PROVEEDORES[[#This Row],[FECHA DE FACTURACIÓN]])&gt;PROVEEDORES[[#This Row],[PLAZO Días]],"PAGO VENCIDO")</f>
        <v>0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5" s="289">
        <v>44952</v>
      </c>
      <c r="H1035" s="26" t="s">
        <v>415</v>
      </c>
      <c r="I1035" s="289">
        <v>44931</v>
      </c>
      <c r="J1035" s="35" t="s">
        <v>552</v>
      </c>
      <c r="K1035" s="21">
        <v>68166</v>
      </c>
      <c r="L1035" s="21"/>
      <c r="M1035" s="22">
        <f>(PROVEEDORES[[#This Row],[SUBTOTAL]]-PROVEEDORES[[#This Row],[descuento sobre subtotal]])*VLOOKUP(PROVEEDORES[[#This Row],[PROVEEDOR]],TERCEROS_INFO[#All],3,FALSE)</f>
        <v>0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72">
        <f>+IF(PROVEEDORES[[#This Row],[SUBTOTAL]]&lt;PROVEEDORES[[#This Row],[base retencion]],0,PROVEEDORES[[#This Row],[retención aplicada]])</f>
        <v>0</v>
      </c>
      <c r="Q1035" s="22">
        <f>+PROVEEDORES[[#This Row],[Rete Fuente %]]*(PROVEEDORES[[#This Row],[SUBTOTAL]]-PROVEEDORES[[#This Row],[descuento sobre subtotal]])</f>
        <v>0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0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1">
        <f ca="1">IF(PROVEEDORES[[#This Row],[FECHA DE PAGO]]=0,TODAY()-PROVEEDORES[[#This Row],[FECHA DE FACTURACIÓN]]-PROVEEDORES[[#This Row],[PLAZO Días]],0)</f>
        <v>0</v>
      </c>
      <c r="U1035" s="97">
        <f>+VLOOKUP(PROVEEDORES[[#This Row],[PROVEEDOR]],Terceros!$A:$D,4,FALSE)</f>
        <v>0</v>
      </c>
      <c r="V1035" s="98">
        <f>+YEAR(PROVEEDORES[[#This Row],[FECHA DE FACTURACIÓN]])</f>
        <v>2023</v>
      </c>
      <c r="W1035" s="98">
        <f>+MATCH(PROVEEDORES[[#This Row],[año facturado]],Retenciones!$1:$1,0)</f>
        <v>6</v>
      </c>
      <c r="X1035" s="99">
        <f>+VLOOKUP(PROVEEDORES[[#This Row],[ID RETENCION]],Retenciones!$A$1:$O$25,PROVEEDORES[[#This Row],[indicador de columna]],FALSE)</f>
        <v>0</v>
      </c>
      <c r="Y1035" s="100">
        <f>+VLOOKUP(PROVEEDORES[[#This Row],[ID RETENCION]],Retenciones!$A$1:$O$25,2,FALSE)</f>
        <v>0</v>
      </c>
      <c r="Z1035" s="103" t="b">
        <f>OR(COUNTIF(PROVEEDORES[[#This Row],[PROVEEDOR]],"*"&amp;'Palabra no opera'!$A$2&amp;"*"))</f>
        <v>1</v>
      </c>
    </row>
    <row r="1036" spans="1:26" ht="22.35" customHeight="1" x14ac:dyDescent="0.25">
      <c r="A1036" s="65" t="str">
        <f>+IF(PROVEEDORES[[#This Row],[FECHA DE PAGO]]=PROVEEDORES[[#This Row],[FECHA DE FACTURACIÓN]],"DE CONTADO","CRÉDITO")</f>
        <v>CRÉDITO</v>
      </c>
      <c r="B1036" s="38" t="b">
        <f>+IF((PROVEEDORES[[#This Row],[FECHA DE PAGO]]-PROVEEDORES[[#This Row],[FECHA DE FACTURACIÓN]])&gt;PROVEEDORES[[#This Row],[PLAZO Días]],"PAGO VENCIDO")</f>
        <v>0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0</v>
      </c>
      <c r="E1036" s="25"/>
      <c r="F103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6" s="289">
        <v>44952</v>
      </c>
      <c r="H1036" s="26" t="s">
        <v>415</v>
      </c>
      <c r="I1036" s="289">
        <v>44931</v>
      </c>
      <c r="J1036" s="35" t="s">
        <v>554</v>
      </c>
      <c r="K1036" s="21">
        <v>59583</v>
      </c>
      <c r="L1036" s="21"/>
      <c r="M1036" s="22">
        <f>(PROVEEDORES[[#This Row],[SUBTOTAL]]-PROVEEDORES[[#This Row],[descuento sobre subtotal]])*VLOOKUP(PROVEEDORES[[#This Row],[PROVEEDOR]],TERCEROS_INFO[#All],3,FALSE)</f>
        <v>0</v>
      </c>
      <c r="N1036" s="23"/>
      <c r="O1036" s="22">
        <f>+PROVEEDORES[[#This Row],[Descuento sobre subtotal %]]*(PROVEEDORES[[#This Row],[SUBTOTAL]]-PROVEEDORES[[#This Row],[descuento sobre subtotal]])</f>
        <v>0</v>
      </c>
      <c r="P1036" s="72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03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1">
        <f ca="1">IF(PROVEEDORES[[#This Row],[FECHA DE PAGO]]=0,TODAY()-PROVEEDORES[[#This Row],[FECHA DE FACTURACIÓN]]-PROVEEDORES[[#This Row],[PLAZO Días]],0)</f>
        <v>0</v>
      </c>
      <c r="U1036" s="97">
        <f>+VLOOKUP(PROVEEDORES[[#This Row],[PROVEEDOR]],Terceros!$A:$D,4,FALSE)</f>
        <v>0</v>
      </c>
      <c r="V1036" s="98">
        <f>+YEAR(PROVEEDORES[[#This Row],[FECHA DE FACTURACIÓN]])</f>
        <v>2023</v>
      </c>
      <c r="W1036" s="98">
        <f>+MATCH(PROVEEDORES[[#This Row],[año facturado]],Retenciones!$1:$1,0)</f>
        <v>6</v>
      </c>
      <c r="X1036" s="99">
        <f>+VLOOKUP(PROVEEDORES[[#This Row],[ID RETENCION]],Retenciones!$A$1:$O$25,PROVEEDORES[[#This Row],[indicador de columna]],FALSE)</f>
        <v>0</v>
      </c>
      <c r="Y1036" s="100">
        <f>+VLOOKUP(PROVEEDORES[[#This Row],[ID RETENCION]],Retenciones!$A$1:$O$25,2,FALSE)</f>
        <v>0</v>
      </c>
      <c r="Z1036" s="103" t="b">
        <f>OR(COUNTIF(PROVEEDORES[[#This Row],[PROVEEDOR]],"*"&amp;'Palabra no opera'!$A$2&amp;"*"))</f>
        <v>1</v>
      </c>
    </row>
    <row r="1037" spans="1:26" ht="22.35" customHeight="1" x14ac:dyDescent="0.25">
      <c r="A1037" s="153" t="str">
        <f>+IF(PROVEEDORES[[#This Row],[FECHA DE PAGO]]=PROVEEDORES[[#This Row],[FECHA DE FACTURACIÓN]],"DE CONTADO","CRÉDITO")</f>
        <v>CRÉDITO</v>
      </c>
      <c r="B1037" s="38" t="b">
        <f>+IF((PROVEEDORES[[#This Row],[FECHA DE PAGO]]-PROVEEDORES[[#This Row],[FECHA DE FACTURACIÓN]])&gt;PROVEEDORES[[#This Row],[PLAZO Días]],"PAGO VENCIDO")</f>
        <v>0</v>
      </c>
      <c r="C1037" s="20">
        <f>+VLOOKUP(PROVEEDORES[[#This Row],[PROVEEDOR]],TERCEROS_INFO[#All],2,FALSE)</f>
        <v>30</v>
      </c>
      <c r="D1037" s="25">
        <f>+SUMIFS(PROVEEDORES[Total],PROVEEDORES[PROVEEDOR],PROVEEDORES[[#This Row],[PROVEEDOR]],PROVEEDORES[FECHA DE PAGO],"")</f>
        <v>0</v>
      </c>
      <c r="E1037" s="25"/>
      <c r="F103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7" s="289">
        <v>44977</v>
      </c>
      <c r="H1037" s="26" t="s">
        <v>415</v>
      </c>
      <c r="I1037" s="289">
        <v>44958</v>
      </c>
      <c r="J1037" s="35" t="s">
        <v>614</v>
      </c>
      <c r="K1037" s="21">
        <v>928304</v>
      </c>
      <c r="L1037" s="21"/>
      <c r="M1037" s="22">
        <f>(PROVEEDORES[[#This Row],[SUBTOTAL]]-PROVEEDORES[[#This Row],[descuento sobre subtotal]])*VLOOKUP(PROVEEDORES[[#This Row],[PROVEEDOR]],TERCEROS_INFO[#All],3,FALSE)</f>
        <v>0</v>
      </c>
      <c r="N1037" s="23"/>
      <c r="O1037" s="22">
        <f>+PROVEEDORES[[#This Row],[Descuento sobre subtotal %]]*(PROVEEDORES[[#This Row],[SUBTOTAL]]-PROVEEDORES[[#This Row],[descuento sobre subtotal]])</f>
        <v>0</v>
      </c>
      <c r="P1037" s="72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037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1">
        <f ca="1">IF(PROVEEDORES[[#This Row],[FECHA DE PAGO]]=0,TODAY()-PROVEEDORES[[#This Row],[FECHA DE FACTURACIÓN]]-PROVEEDORES[[#This Row],[PLAZO Días]],0)</f>
        <v>0</v>
      </c>
      <c r="U1037" s="97">
        <f>+VLOOKUP(PROVEEDORES[[#This Row],[PROVEEDOR]],Terceros!$A:$D,4,FALSE)</f>
        <v>0</v>
      </c>
      <c r="V1037" s="98">
        <f>+YEAR(PROVEEDORES[[#This Row],[FECHA DE FACTURACIÓN]])</f>
        <v>2023</v>
      </c>
      <c r="W1037" s="98">
        <f>+MATCH(PROVEEDORES[[#This Row],[año facturado]],Retenciones!$1:$1,0)</f>
        <v>6</v>
      </c>
      <c r="X1037" s="99">
        <f>+VLOOKUP(PROVEEDORES[[#This Row],[ID RETENCION]],Retenciones!$A$1:$O$25,PROVEEDORES[[#This Row],[indicador de columna]],FALSE)</f>
        <v>0</v>
      </c>
      <c r="Y1037" s="100">
        <f>+VLOOKUP(PROVEEDORES[[#This Row],[ID RETENCION]],Retenciones!$A$1:$O$25,2,FALSE)</f>
        <v>0</v>
      </c>
      <c r="Z1037" s="103" t="b">
        <f>OR(COUNTIF(PROVEEDORES[[#This Row],[PROVEEDOR]],"*"&amp;'Palabra no opera'!$A$2&amp;"*"))</f>
        <v>1</v>
      </c>
    </row>
    <row r="1038" spans="1:26" ht="22.35" customHeight="1" x14ac:dyDescent="0.25">
      <c r="A1038" s="153" t="str">
        <f>+IF(PROVEEDORES[[#This Row],[FECHA DE PAGO]]=PROVEEDORES[[#This Row],[FECHA DE FACTURACIÓN]],"DE CONTADO","CRÉDITO")</f>
        <v>CRÉDITO</v>
      </c>
      <c r="B1038" s="38" t="b">
        <f>+IF((PROVEEDORES[[#This Row],[FECHA DE PAGO]]-PROVEEDORES[[#This Row],[FECHA DE FACTURACIÓN]])&gt;PROVEEDORES[[#This Row],[PLAZO Días]],"PAGO VENCIDO")</f>
        <v>0</v>
      </c>
      <c r="C1038" s="20">
        <f>+VLOOKUP(PROVEEDORES[[#This Row],[PROVEEDOR]],TERCEROS_INFO[#All],2,FALSE)</f>
        <v>30</v>
      </c>
      <c r="D1038" s="25">
        <f>+SUMIFS(PROVEEDORES[Total],PROVEEDORES[PROVEEDOR],PROVEEDORES[[#This Row],[PROVEEDOR]],PROVEEDORES[FECHA DE PAGO],"")</f>
        <v>0</v>
      </c>
      <c r="E1038" s="25"/>
      <c r="F103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8" s="289">
        <v>44977</v>
      </c>
      <c r="H1038" s="26" t="s">
        <v>415</v>
      </c>
      <c r="I1038" s="289">
        <v>44958</v>
      </c>
      <c r="J1038" s="35" t="s">
        <v>615</v>
      </c>
      <c r="K1038" s="21">
        <v>949891</v>
      </c>
      <c r="L1038" s="21"/>
      <c r="M1038" s="22">
        <f>(PROVEEDORES[[#This Row],[SUBTOTAL]]-PROVEEDORES[[#This Row],[descuento sobre subtotal]])*VLOOKUP(PROVEEDORES[[#This Row],[PROVEEDOR]],TERCEROS_INFO[#All],3,FALSE)</f>
        <v>0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72">
        <f>+IF(PROVEEDORES[[#This Row],[SUBTOTAL]]&lt;PROVEEDORES[[#This Row],[base retencion]],0,PROVEEDORES[[#This Row],[retención aplicada]])</f>
        <v>0</v>
      </c>
      <c r="Q1038" s="22">
        <f>+PROVEEDORES[[#This Row],[Rete Fuente %]]*(PROVEEDORES[[#This Row],[SUBTOTAL]]-PROVEEDORES[[#This Row],[descuento sobre subtotal]])</f>
        <v>0</v>
      </c>
      <c r="R1038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038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1">
        <f ca="1">IF(PROVEEDORES[[#This Row],[FECHA DE PAGO]]=0,TODAY()-PROVEEDORES[[#This Row],[FECHA DE FACTURACIÓN]]-PROVEEDORES[[#This Row],[PLAZO Días]],0)</f>
        <v>0</v>
      </c>
      <c r="U1038" s="97">
        <f>+VLOOKUP(PROVEEDORES[[#This Row],[PROVEEDOR]],Terceros!$A:$D,4,FALSE)</f>
        <v>0</v>
      </c>
      <c r="V1038" s="98">
        <f>+YEAR(PROVEEDORES[[#This Row],[FECHA DE FACTURACIÓN]])</f>
        <v>2023</v>
      </c>
      <c r="W1038" s="98">
        <f>+MATCH(PROVEEDORES[[#This Row],[año facturado]],Retenciones!$1:$1,0)</f>
        <v>6</v>
      </c>
      <c r="X1038" s="99">
        <f>+VLOOKUP(PROVEEDORES[[#This Row],[ID RETENCION]],Retenciones!$A$1:$O$25,PROVEEDORES[[#This Row],[indicador de columna]],FALSE)</f>
        <v>0</v>
      </c>
      <c r="Y1038" s="100">
        <f>+VLOOKUP(PROVEEDORES[[#This Row],[ID RETENCION]],Retenciones!$A$1:$O$25,2,FALSE)</f>
        <v>0</v>
      </c>
      <c r="Z1038" s="103" t="b">
        <f>OR(COUNTIF(PROVEEDORES[[#This Row],[PROVEEDOR]],"*"&amp;'Palabra no opera'!$A$2&amp;"*"))</f>
        <v>1</v>
      </c>
    </row>
    <row r="1039" spans="1:26" ht="22.35" customHeight="1" x14ac:dyDescent="0.25">
      <c r="A1039" s="153" t="str">
        <f>+IF(PROVEEDORES[[#This Row],[FECHA DE PAGO]]=PROVEEDORES[[#This Row],[FECHA DE FACTURACIÓN]],"DE CONTADO","CRÉDITO")</f>
        <v>CRÉDITO</v>
      </c>
      <c r="B1039" s="38" t="b">
        <f>+IF((PROVEEDORES[[#This Row],[FECHA DE PAGO]]-PROVEEDORES[[#This Row],[FECHA DE FACTURACIÓN]])&gt;PROVEEDORES[[#This Row],[PLAZO Días]],"PAGO VENCIDO")</f>
        <v>0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0</v>
      </c>
      <c r="E1039" s="25"/>
      <c r="F103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39" s="289">
        <v>44977</v>
      </c>
      <c r="H1039" s="26" t="s">
        <v>415</v>
      </c>
      <c r="I1039" s="289">
        <v>44958</v>
      </c>
      <c r="J1039" s="35" t="s">
        <v>616</v>
      </c>
      <c r="K1039" s="21">
        <v>59583</v>
      </c>
      <c r="L1039" s="21"/>
      <c r="M1039" s="22">
        <f>(PROVEEDORES[[#This Row],[SUBTOTAL]]-PROVEEDORES[[#This Row],[descuento sobre subtotal]])*VLOOKUP(PROVEEDORES[[#This Row],[PROVEEDOR]],TERCEROS_INFO[#All],3,FALSE)</f>
        <v>0</v>
      </c>
      <c r="N1039" s="23"/>
      <c r="O1039" s="22">
        <f>+PROVEEDORES[[#This Row],[Descuento sobre subtotal %]]*(PROVEEDORES[[#This Row],[SUBTOTAL]]-PROVEEDORES[[#This Row],[descuento sobre subtotal]])</f>
        <v>0</v>
      </c>
      <c r="P1039" s="72">
        <f>+IF(PROVEEDORES[[#This Row],[SUBTOTAL]]&lt;PROVEEDORES[[#This Row],[base retencion]],0,PROVEEDORES[[#This Row],[retención aplicada]])</f>
        <v>0</v>
      </c>
      <c r="Q1039" s="22">
        <f>+PROVEEDORES[[#This Row],[Rete Fuente %]]*(PROVEEDORES[[#This Row],[SUBTOTAL]]-PROVEEDORES[[#This Row],[descuento sobre subtotal]])</f>
        <v>0</v>
      </c>
      <c r="R103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039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1">
        <f ca="1">IF(PROVEEDORES[[#This Row],[FECHA DE PAGO]]=0,TODAY()-PROVEEDORES[[#This Row],[FECHA DE FACTURACIÓN]]-PROVEEDORES[[#This Row],[PLAZO Días]],0)</f>
        <v>0</v>
      </c>
      <c r="U1039" s="97">
        <f>+VLOOKUP(PROVEEDORES[[#This Row],[PROVEEDOR]],Terceros!$A:$D,4,FALSE)</f>
        <v>0</v>
      </c>
      <c r="V1039" s="98">
        <f>+YEAR(PROVEEDORES[[#This Row],[FECHA DE FACTURACIÓN]])</f>
        <v>2023</v>
      </c>
      <c r="W1039" s="98">
        <f>+MATCH(PROVEEDORES[[#This Row],[año facturado]],Retenciones!$1:$1,0)</f>
        <v>6</v>
      </c>
      <c r="X1039" s="99">
        <f>+VLOOKUP(PROVEEDORES[[#This Row],[ID RETENCION]],Retenciones!$A$1:$O$25,PROVEEDORES[[#This Row],[indicador de columna]],FALSE)</f>
        <v>0</v>
      </c>
      <c r="Y1039" s="100">
        <f>+VLOOKUP(PROVEEDORES[[#This Row],[ID RETENCION]],Retenciones!$A$1:$O$25,2,FALSE)</f>
        <v>0</v>
      </c>
      <c r="Z1039" s="103" t="b">
        <f>OR(COUNTIF(PROVEEDORES[[#This Row],[PROVEEDOR]],"*"&amp;'Palabra no opera'!$A$2&amp;"*"))</f>
        <v>1</v>
      </c>
    </row>
    <row r="1040" spans="1:26" ht="22.35" customHeight="1" x14ac:dyDescent="0.25">
      <c r="A1040" s="153" t="str">
        <f>+IF(PROVEEDORES[[#This Row],[FECHA DE PAGO]]=PROVEEDORES[[#This Row],[FECHA DE FACTURACIÓN]],"DE CONTADO","CRÉDITO")</f>
        <v>CRÉDITO</v>
      </c>
      <c r="B1040" s="38" t="b">
        <f>+IF((PROVEEDORES[[#This Row],[FECHA DE PAGO]]-PROVEEDORES[[#This Row],[FECHA DE FACTURACIÓN]])&gt;PROVEEDORES[[#This Row],[PLAZO Días]],"PAGO VENCIDO")</f>
        <v>0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0</v>
      </c>
      <c r="E1040" s="25"/>
      <c r="F104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0" s="289">
        <v>44977</v>
      </c>
      <c r="H1040" s="26" t="s">
        <v>415</v>
      </c>
      <c r="I1040" s="289">
        <v>44958</v>
      </c>
      <c r="J1040" s="35" t="s">
        <v>617</v>
      </c>
      <c r="K1040" s="21">
        <v>68166</v>
      </c>
      <c r="L1040" s="21"/>
      <c r="M1040" s="22">
        <f>(PROVEEDORES[[#This Row],[SUBTOTAL]]-PROVEEDORES[[#This Row],[descuento sobre subtotal]])*VLOOKUP(PROVEEDORES[[#This Row],[PROVEEDOR]],TERCEROS_INFO[#All],3,FALSE)</f>
        <v>0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72">
        <f>+IF(PROVEEDORES[[#This Row],[SUBTOTAL]]&lt;PROVEEDORES[[#This Row],[base retencion]],0,PROVEEDORES[[#This Row],[retención aplicada]])</f>
        <v>0</v>
      </c>
      <c r="Q1040" s="22">
        <f>+PROVEEDORES[[#This Row],[Rete Fuente %]]*(PROVEEDORES[[#This Row],[SUBTOTAL]]-PROVEEDORES[[#This Row],[descuento sobre subtotal]])</f>
        <v>0</v>
      </c>
      <c r="R1040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040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1">
        <f ca="1">IF(PROVEEDORES[[#This Row],[FECHA DE PAGO]]=0,TODAY()-PROVEEDORES[[#This Row],[FECHA DE FACTURACIÓN]]-PROVEEDORES[[#This Row],[PLAZO Días]],0)</f>
        <v>0</v>
      </c>
      <c r="U1040" s="97">
        <f>+VLOOKUP(PROVEEDORES[[#This Row],[PROVEEDOR]],Terceros!$A:$D,4,FALSE)</f>
        <v>0</v>
      </c>
      <c r="V1040" s="98">
        <f>+YEAR(PROVEEDORES[[#This Row],[FECHA DE FACTURACIÓN]])</f>
        <v>2023</v>
      </c>
      <c r="W1040" s="98">
        <f>+MATCH(PROVEEDORES[[#This Row],[año facturado]],Retenciones!$1:$1,0)</f>
        <v>6</v>
      </c>
      <c r="X1040" s="99">
        <f>+VLOOKUP(PROVEEDORES[[#This Row],[ID RETENCION]],Retenciones!$A$1:$O$25,PROVEEDORES[[#This Row],[indicador de columna]],FALSE)</f>
        <v>0</v>
      </c>
      <c r="Y1040" s="100">
        <f>+VLOOKUP(PROVEEDORES[[#This Row],[ID RETENCION]],Retenciones!$A$1:$O$25,2,FALSE)</f>
        <v>0</v>
      </c>
      <c r="Z1040" s="103" t="b">
        <f>OR(COUNTIF(PROVEEDORES[[#This Row],[PROVEEDOR]],"*"&amp;'Palabra no opera'!$A$2&amp;"*"))</f>
        <v>1</v>
      </c>
    </row>
    <row r="1041" spans="1:26" ht="22.35" customHeight="1" x14ac:dyDescent="0.25">
      <c r="A1041" s="164" t="str">
        <f>+IF(PROVEEDORES[[#This Row],[FECHA DE PAGO]]=PROVEEDORES[[#This Row],[FECHA DE FACTURACIÓN]],"DE CONTADO","CRÉDITO")</f>
        <v>CRÉDITO</v>
      </c>
      <c r="B1041" s="38" t="b">
        <f>+IF((PROVEEDORES[[#This Row],[FECHA DE PAGO]]-PROVEEDORES[[#This Row],[FECHA DE FACTURACIÓN]])&gt;PROVEEDORES[[#This Row],[PLAZO Días]],"PAGO VENCIDO")</f>
        <v>0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1" s="289">
        <v>45014</v>
      </c>
      <c r="H1041" s="26" t="s">
        <v>415</v>
      </c>
      <c r="I1041" s="289">
        <v>44986</v>
      </c>
      <c r="J1041" s="35" t="s">
        <v>674</v>
      </c>
      <c r="K1041" s="21">
        <v>59583</v>
      </c>
      <c r="L1041" s="21"/>
      <c r="M1041" s="22">
        <f>(PROVEEDORES[[#This Row],[SUBTOTAL]]-PROVEEDORES[[#This Row],[descuento sobre subtotal]])*VLOOKUP(PROVEEDORES[[#This Row],[PROVEEDOR]],TERCEROS_INFO[#All],3,FALSE)</f>
        <v>0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72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041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1">
        <f ca="1">IF(PROVEEDORES[[#This Row],[FECHA DE PAGO]]=0,TODAY()-PROVEEDORES[[#This Row],[FECHA DE FACTURACIÓN]]-PROVEEDORES[[#This Row],[PLAZO Días]],0)</f>
        <v>0</v>
      </c>
      <c r="U1041" s="97">
        <f>+VLOOKUP(PROVEEDORES[[#This Row],[PROVEEDOR]],Terceros!$A:$D,4,FALSE)</f>
        <v>0</v>
      </c>
      <c r="V1041" s="98">
        <f>+YEAR(PROVEEDORES[[#This Row],[FECHA DE FACTURACIÓN]])</f>
        <v>2023</v>
      </c>
      <c r="W1041" s="98">
        <f>+MATCH(PROVEEDORES[[#This Row],[año facturado]],Retenciones!$1:$1,0)</f>
        <v>6</v>
      </c>
      <c r="X1041" s="99">
        <f>+VLOOKUP(PROVEEDORES[[#This Row],[ID RETENCION]],Retenciones!$A$1:$O$25,PROVEEDORES[[#This Row],[indicador de columna]],FALSE)</f>
        <v>0</v>
      </c>
      <c r="Y1041" s="100">
        <f>+VLOOKUP(PROVEEDORES[[#This Row],[ID RETENCION]],Retenciones!$A$1:$O$25,2,FALSE)</f>
        <v>0</v>
      </c>
      <c r="Z1041" s="103" t="b">
        <f>OR(COUNTIF(PROVEEDORES[[#This Row],[PROVEEDOR]],"*"&amp;'Palabra no opera'!$A$2&amp;"*"))</f>
        <v>1</v>
      </c>
    </row>
    <row r="1042" spans="1:26" ht="22.35" customHeight="1" x14ac:dyDescent="0.25">
      <c r="A1042" s="164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2" s="289">
        <v>45014</v>
      </c>
      <c r="H1042" s="26" t="s">
        <v>415</v>
      </c>
      <c r="I1042" s="289">
        <v>44986</v>
      </c>
      <c r="J1042" s="35" t="s">
        <v>675</v>
      </c>
      <c r="K1042" s="21">
        <v>928304</v>
      </c>
      <c r="L1042" s="21"/>
      <c r="M1042" s="22">
        <f>(PROVEEDORES[[#This Row],[SUBTOTAL]]-PROVEEDORES[[#This Row],[descuento sobre subtotal]])*VLOOKUP(PROVEEDORES[[#This Row],[PROVEEDOR]],TERCEROS_INFO[#All],3,FALSE)</f>
        <v>0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72">
        <f>+IF(PROVEEDORES[[#This Row],[SUBTOTAL]]&lt;PROVEEDORES[[#This Row],[base retencion]],0,PROVEEDORES[[#This Row],[retención aplicada]])</f>
        <v>0</v>
      </c>
      <c r="Q1042" s="22">
        <f>+PROVEEDORES[[#This Row],[Rete Fuente %]]*(PROVEEDORES[[#This Row],[SUBTOTAL]]-PROVEEDORES[[#This Row],[descuento sobre subtotal]])</f>
        <v>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928304</v>
      </c>
      <c r="S1042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1">
        <f ca="1">IF(PROVEEDORES[[#This Row],[FECHA DE PAGO]]=0,TODAY()-PROVEEDORES[[#This Row],[FECHA DE FACTURACIÓN]]-PROVEEDORES[[#This Row],[PLAZO Días]],0)</f>
        <v>0</v>
      </c>
      <c r="U1042" s="97">
        <f>+VLOOKUP(PROVEEDORES[[#This Row],[PROVEEDOR]],Terceros!$A:$D,4,FALSE)</f>
        <v>0</v>
      </c>
      <c r="V1042" s="98">
        <f>+YEAR(PROVEEDORES[[#This Row],[FECHA DE FACTURACIÓN]])</f>
        <v>2023</v>
      </c>
      <c r="W1042" s="98">
        <f>+MATCH(PROVEEDORES[[#This Row],[año facturado]],Retenciones!$1:$1,0)</f>
        <v>6</v>
      </c>
      <c r="X1042" s="99">
        <f>+VLOOKUP(PROVEEDORES[[#This Row],[ID RETENCION]],Retenciones!$A$1:$O$25,PROVEEDORES[[#This Row],[indicador de columna]],FALSE)</f>
        <v>0</v>
      </c>
      <c r="Y1042" s="100">
        <f>+VLOOKUP(PROVEEDORES[[#This Row],[ID RETENCION]],Retenciones!$A$1:$O$25,2,FALSE)</f>
        <v>0</v>
      </c>
      <c r="Z1042" s="103" t="b">
        <f>OR(COUNTIF(PROVEEDORES[[#This Row],[PROVEEDOR]],"*"&amp;'Palabra no opera'!$A$2&amp;"*"))</f>
        <v>1</v>
      </c>
    </row>
    <row r="1043" spans="1:26" ht="22.35" customHeight="1" x14ac:dyDescent="0.25">
      <c r="A1043" s="164" t="str">
        <f>+IF(PROVEEDORES[[#This Row],[FECHA DE PAGO]]=PROVEEDORES[[#This Row],[FECHA DE FACTURACIÓN]],"DE CONTADO","CRÉDITO")</f>
        <v>CRÉDITO</v>
      </c>
      <c r="B1043" s="38" t="b">
        <f>+IF((PROVEEDORES[[#This Row],[FECHA DE PAGO]]-PROVEEDORES[[#This Row],[FECHA DE FACTURACIÓN]])&gt;PROVEEDORES[[#This Row],[PLAZO Días]],"PAGO VENCIDO")</f>
        <v>0</v>
      </c>
      <c r="C1043" s="20">
        <f>+VLOOKUP(PROVEEDORES[[#This Row],[PROVEEDOR]],TERCEROS_INFO[#All],2,FALSE)</f>
        <v>30</v>
      </c>
      <c r="D1043" s="25">
        <f>+SUMIFS(PROVEEDORES[Total],PROVEEDORES[PROVEEDOR],PROVEEDORES[[#This Row],[PROVEEDOR]],PROVEEDORES[FECHA DE PAGO],"")</f>
        <v>0</v>
      </c>
      <c r="E1043" s="25"/>
      <c r="F104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3" s="289">
        <v>45014</v>
      </c>
      <c r="H1043" s="26" t="s">
        <v>415</v>
      </c>
      <c r="I1043" s="289">
        <v>44986</v>
      </c>
      <c r="J1043" s="35" t="s">
        <v>676</v>
      </c>
      <c r="K1043" s="21">
        <v>68166</v>
      </c>
      <c r="L1043" s="21"/>
      <c r="M1043" s="22">
        <f>(PROVEEDORES[[#This Row],[SUBTOTAL]]-PROVEEDORES[[#This Row],[descuento sobre subtotal]])*VLOOKUP(PROVEEDORES[[#This Row],[PROVEEDOR]],TERCEROS_INFO[#All],3,FALSE)</f>
        <v>0</v>
      </c>
      <c r="N1043" s="23"/>
      <c r="O1043" s="22">
        <f>+PROVEEDORES[[#This Row],[Descuento sobre subtotal %]]*(PROVEEDORES[[#This Row],[SUBTOTAL]]-PROVEEDORES[[#This Row],[descuento sobre subtotal]])</f>
        <v>0</v>
      </c>
      <c r="P1043" s="72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1043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1">
        <f ca="1">IF(PROVEEDORES[[#This Row],[FECHA DE PAGO]]=0,TODAY()-PROVEEDORES[[#This Row],[FECHA DE FACTURACIÓN]]-PROVEEDORES[[#This Row],[PLAZO Días]],0)</f>
        <v>0</v>
      </c>
      <c r="U1043" s="97">
        <f>+VLOOKUP(PROVEEDORES[[#This Row],[PROVEEDOR]],Terceros!$A:$D,4,FALSE)</f>
        <v>0</v>
      </c>
      <c r="V1043" s="98">
        <f>+YEAR(PROVEEDORES[[#This Row],[FECHA DE FACTURACIÓN]])</f>
        <v>2023</v>
      </c>
      <c r="W1043" s="98">
        <f>+MATCH(PROVEEDORES[[#This Row],[año facturado]],Retenciones!$1:$1,0)</f>
        <v>6</v>
      </c>
      <c r="X1043" s="99">
        <f>+VLOOKUP(PROVEEDORES[[#This Row],[ID RETENCION]],Retenciones!$A$1:$O$25,PROVEEDORES[[#This Row],[indicador de columna]],FALSE)</f>
        <v>0</v>
      </c>
      <c r="Y1043" s="100">
        <f>+VLOOKUP(PROVEEDORES[[#This Row],[ID RETENCION]],Retenciones!$A$1:$O$25,2,FALSE)</f>
        <v>0</v>
      </c>
      <c r="Z1043" s="103" t="b">
        <f>OR(COUNTIF(PROVEEDORES[[#This Row],[PROVEEDOR]],"*"&amp;'Palabra no opera'!$A$2&amp;"*"))</f>
        <v>1</v>
      </c>
    </row>
    <row r="1044" spans="1:26" ht="22.35" customHeight="1" x14ac:dyDescent="0.25">
      <c r="A1044" s="164" t="str">
        <f>+IF(PROVEEDORES[[#This Row],[FECHA DE PAGO]]=PROVEEDORES[[#This Row],[FECHA DE FACTURACIÓN]],"DE CONTADO","CRÉDITO")</f>
        <v>CRÉDITO</v>
      </c>
      <c r="B1044" s="38" t="b">
        <f>+IF((PROVEEDORES[[#This Row],[FECHA DE PAGO]]-PROVEEDORES[[#This Row],[FECHA DE FACTURACIÓN]])&gt;PROVEEDORES[[#This Row],[PLAZO Días]],"PAGO VENCIDO")</f>
        <v>0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4" s="289">
        <v>45014</v>
      </c>
      <c r="H1044" s="26" t="s">
        <v>415</v>
      </c>
      <c r="I1044" s="289">
        <v>44986</v>
      </c>
      <c r="J1044" s="35" t="s">
        <v>677</v>
      </c>
      <c r="K1044" s="21">
        <v>949891</v>
      </c>
      <c r="L1044" s="21"/>
      <c r="M1044" s="22">
        <f>(PROVEEDORES[[#This Row],[SUBTOTAL]]-PROVEEDORES[[#This Row],[descuento sobre subtotal]])*VLOOKUP(PROVEEDORES[[#This Row],[PROVEEDOR]],TERCEROS_INFO[#All],3,FALSE)</f>
        <v>0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72">
        <f>+IF(PROVEEDORES[[#This Row],[SUBTOTAL]]&lt;PROVEEDORES[[#This Row],[base retencion]],0,PROVEEDORES[[#This Row],[retención aplicada]])</f>
        <v>0</v>
      </c>
      <c r="Q1044" s="22">
        <f>+PROVEEDORES[[#This Row],[Rete Fuente %]]*(PROVEEDORES[[#This Row],[SUBTOTAL]]-PROVEEDORES[[#This Row],[descuento sobre subtotal]])</f>
        <v>0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949891</v>
      </c>
      <c r="S1044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1">
        <f ca="1">IF(PROVEEDORES[[#This Row],[FECHA DE PAGO]]=0,TODAY()-PROVEEDORES[[#This Row],[FECHA DE FACTURACIÓN]]-PROVEEDORES[[#This Row],[PLAZO Días]],0)</f>
        <v>0</v>
      </c>
      <c r="U1044" s="97">
        <f>+VLOOKUP(PROVEEDORES[[#This Row],[PROVEEDOR]],Terceros!$A:$D,4,FALSE)</f>
        <v>0</v>
      </c>
      <c r="V1044" s="98">
        <f>+YEAR(PROVEEDORES[[#This Row],[FECHA DE FACTURACIÓN]])</f>
        <v>2023</v>
      </c>
      <c r="W1044" s="98">
        <f>+MATCH(PROVEEDORES[[#This Row],[año facturado]],Retenciones!$1:$1,0)</f>
        <v>6</v>
      </c>
      <c r="X1044" s="99">
        <f>+VLOOKUP(PROVEEDORES[[#This Row],[ID RETENCION]],Retenciones!$A$1:$O$25,PROVEEDORES[[#This Row],[indicador de columna]],FALSE)</f>
        <v>0</v>
      </c>
      <c r="Y1044" s="100">
        <f>+VLOOKUP(PROVEEDORES[[#This Row],[ID RETENCION]],Retenciones!$A$1:$O$25,2,FALSE)</f>
        <v>0</v>
      </c>
      <c r="Z1044" s="103" t="b">
        <f>OR(COUNTIF(PROVEEDORES[[#This Row],[PROVEEDOR]],"*"&amp;'Palabra no opera'!$A$2&amp;"*"))</f>
        <v>1</v>
      </c>
    </row>
    <row r="1045" spans="1:26" ht="22.35" customHeight="1" x14ac:dyDescent="0.25">
      <c r="A1045" s="65" t="str">
        <f>+IF(PROVEEDORES[[#This Row],[FECHA DE PAGO]]=PROVEEDORES[[#This Row],[FECHA DE FACTURACIÓN]],"DE CONTADO","CRÉDITO")</f>
        <v>CRÉDITO</v>
      </c>
      <c r="B1045" s="38" t="b">
        <f>+IF((PROVEEDORES[[#This Row],[FECHA DE PAGO]]-PROVEEDORES[[#This Row],[FECHA DE FACTURACIÓN]])&gt;PROVEEDORES[[#This Row],[PLAZO Días]],"PAGO VENCIDO")</f>
        <v>0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5" s="289">
        <v>45026</v>
      </c>
      <c r="H1045" s="26" t="s">
        <v>415</v>
      </c>
      <c r="I1045" s="289">
        <v>45017</v>
      </c>
      <c r="J1045" s="35" t="s">
        <v>713</v>
      </c>
      <c r="K1045" s="21">
        <v>934499</v>
      </c>
      <c r="L1045" s="21"/>
      <c r="M1045" s="22">
        <f>(PROVEEDORES[[#This Row],[SUBTOTAL]]-PROVEEDORES[[#This Row],[descuento sobre subtotal]])*VLOOKUP(PROVEEDORES[[#This Row],[PROVEEDOR]],TERCEROS_INFO[#All],3,FALSE)</f>
        <v>0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72">
        <f>+IF(PROVEEDORES[[#This Row],[SUBTOTAL]]&lt;PROVEEDORES[[#This Row],[base retencion]],0,PROVEEDORES[[#This Row],[retención aplicada]])</f>
        <v>0</v>
      </c>
      <c r="Q1045" s="22">
        <f>+PROVEEDORES[[#This Row],[Rete Fuente %]]*(PROVEEDORES[[#This Row],[SUBTOTAL]]-PROVEEDORES[[#This Row],[descuento sobre subtotal]])</f>
        <v>0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934499</v>
      </c>
      <c r="S104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1">
        <f ca="1">IF(PROVEEDORES[[#This Row],[FECHA DE PAGO]]=0,TODAY()-PROVEEDORES[[#This Row],[FECHA DE FACTURACIÓN]]-PROVEEDORES[[#This Row],[PLAZO Días]],0)</f>
        <v>0</v>
      </c>
      <c r="U1045" s="97">
        <f>+VLOOKUP(PROVEEDORES[[#This Row],[PROVEEDOR]],Terceros!$A:$D,4,FALSE)</f>
        <v>0</v>
      </c>
      <c r="V1045" s="98">
        <f>+YEAR(PROVEEDORES[[#This Row],[FECHA DE FACTURACIÓN]])</f>
        <v>2023</v>
      </c>
      <c r="W1045" s="98">
        <f>+MATCH(PROVEEDORES[[#This Row],[año facturado]],Retenciones!$1:$1,0)</f>
        <v>6</v>
      </c>
      <c r="X1045" s="99">
        <f>+VLOOKUP(PROVEEDORES[[#This Row],[ID RETENCION]],Retenciones!$A$1:$O$25,PROVEEDORES[[#This Row],[indicador de columna]],FALSE)</f>
        <v>0</v>
      </c>
      <c r="Y1045" s="100">
        <f>+VLOOKUP(PROVEEDORES[[#This Row],[ID RETENCION]],Retenciones!$A$1:$O$25,2,FALSE)</f>
        <v>0</v>
      </c>
      <c r="Z1045" s="103" t="b">
        <f>OR(COUNTIF(PROVEEDORES[[#This Row],[PROVEEDOR]],"*"&amp;'Palabra no opera'!$A$2&amp;"*"))</f>
        <v>1</v>
      </c>
    </row>
    <row r="1046" spans="1:26" ht="22.35" customHeight="1" x14ac:dyDescent="0.25">
      <c r="A1046" s="65" t="str">
        <f>+IF(PROVEEDORES[[#This Row],[FECHA DE PAGO]]=PROVEEDORES[[#This Row],[FECHA DE FACTURACIÓN]],"DE CONTADO","CRÉDITO")</f>
        <v>CRÉDITO</v>
      </c>
      <c r="B1046" s="38" t="b">
        <f>+IF((PROVEEDORES[[#This Row],[FECHA DE PAGO]]-PROVEEDORES[[#This Row],[FECHA DE FACTURACIÓN]])&gt;PROVEEDORES[[#This Row],[PLAZO Días]],"PAGO VENCIDO")</f>
        <v>0</v>
      </c>
      <c r="C1046" s="20">
        <f>+VLOOKUP(PROVEEDORES[[#This Row],[PROVEEDOR]],TERCEROS_INFO[#All],2,FALSE)</f>
        <v>30</v>
      </c>
      <c r="D1046" s="25">
        <f>+SUMIFS(PROVEEDORES[Total],PROVEEDORES[PROVEEDOR],PROVEEDORES[[#This Row],[PROVEEDOR]],PROVEEDORES[FECHA DE PAGO],"")</f>
        <v>0</v>
      </c>
      <c r="E1046" s="25"/>
      <c r="F104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6" s="289">
        <v>45026</v>
      </c>
      <c r="H1046" s="26" t="s">
        <v>415</v>
      </c>
      <c r="I1046" s="289">
        <v>45017</v>
      </c>
      <c r="J1046" s="35" t="s">
        <v>714</v>
      </c>
      <c r="K1046" s="21">
        <v>913261</v>
      </c>
      <c r="L1046" s="21"/>
      <c r="M1046" s="22">
        <f>(PROVEEDORES[[#This Row],[SUBTOTAL]]-PROVEEDORES[[#This Row],[descuento sobre subtotal]])*VLOOKUP(PROVEEDORES[[#This Row],[PROVEEDOR]],TERCEROS_INFO[#All],3,FALSE)</f>
        <v>0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72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913261</v>
      </c>
      <c r="S104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1">
        <f ca="1">IF(PROVEEDORES[[#This Row],[FECHA DE PAGO]]=0,TODAY()-PROVEEDORES[[#This Row],[FECHA DE FACTURACIÓN]]-PROVEEDORES[[#This Row],[PLAZO Días]],0)</f>
        <v>0</v>
      </c>
      <c r="U1046" s="97">
        <f>+VLOOKUP(PROVEEDORES[[#This Row],[PROVEEDOR]],Terceros!$A:$D,4,FALSE)</f>
        <v>0</v>
      </c>
      <c r="V1046" s="98">
        <f>+YEAR(PROVEEDORES[[#This Row],[FECHA DE FACTURACIÓN]])</f>
        <v>2023</v>
      </c>
      <c r="W1046" s="98">
        <f>+MATCH(PROVEEDORES[[#This Row],[año facturado]],Retenciones!$1:$1,0)</f>
        <v>6</v>
      </c>
      <c r="X1046" s="99">
        <f>+VLOOKUP(PROVEEDORES[[#This Row],[ID RETENCION]],Retenciones!$A$1:$O$25,PROVEEDORES[[#This Row],[indicador de columna]],FALSE)</f>
        <v>0</v>
      </c>
      <c r="Y1046" s="100">
        <f>+VLOOKUP(PROVEEDORES[[#This Row],[ID RETENCION]],Retenciones!$A$1:$O$25,2,FALSE)</f>
        <v>0</v>
      </c>
      <c r="Z1046" s="103" t="b">
        <f>OR(COUNTIF(PROVEEDORES[[#This Row],[PROVEEDOR]],"*"&amp;'Palabra no opera'!$A$2&amp;"*"))</f>
        <v>1</v>
      </c>
    </row>
    <row r="1047" spans="1:26" ht="22.35" customHeight="1" x14ac:dyDescent="0.25">
      <c r="A1047" s="194" t="str">
        <f>+IF(PROVEEDORES[[#This Row],[FECHA DE PAGO]]=PROVEEDORES[[#This Row],[FECHA DE FACTURACIÓN]],"DE CONTADO","CRÉDITO")</f>
        <v>CRÉDITO</v>
      </c>
      <c r="B1047" s="38" t="b">
        <f>+IF((PROVEEDORES[[#This Row],[FECHA DE PAGO]]-PROVEEDORES[[#This Row],[FECHA DE FACTURACIÓN]])&gt;PROVEEDORES[[#This Row],[PLAZO Días]],"PAGO VENCIDO")</f>
        <v>0</v>
      </c>
      <c r="C1047" s="20">
        <f>+VLOOKUP(PROVEEDORES[[#This Row],[PROVEEDOR]],TERCEROS_INFO[#All],2,FALSE)</f>
        <v>30</v>
      </c>
      <c r="D1047" s="25">
        <f>+SUMIFS(PROVEEDORES[Total],PROVEEDORES[PROVEEDOR],PROVEEDORES[[#This Row],[PROVEEDOR]],PROVEEDORES[FECHA DE PAGO],"")</f>
        <v>0</v>
      </c>
      <c r="E1047" s="25"/>
      <c r="F104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7" s="289">
        <v>45075</v>
      </c>
      <c r="H1047" s="26" t="s">
        <v>415</v>
      </c>
      <c r="I1047" s="289">
        <v>45047</v>
      </c>
      <c r="J1047" s="35" t="s">
        <v>813</v>
      </c>
      <c r="K1047" s="21">
        <v>934499</v>
      </c>
      <c r="L1047" s="21"/>
      <c r="M1047" s="22">
        <f>(PROVEEDORES[[#This Row],[SUBTOTAL]]-PROVEEDORES[[#This Row],[descuento sobre subtotal]])*VLOOKUP(PROVEEDORES[[#This Row],[PROVEEDOR]],TERCEROS_INFO[#All],3,FALSE)</f>
        <v>0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72">
        <f>+IF(PROVEEDORES[[#This Row],[SUBTOTAL]]&lt;PROVEEDORES[[#This Row],[base retencion]],0,PROVEEDORES[[#This Row],[retención aplicada]])</f>
        <v>0</v>
      </c>
      <c r="Q1047" s="22">
        <f>+PROVEEDORES[[#This Row],[Rete Fuente %]]*(PROVEEDORES[[#This Row],[SUBTOTAL]]-PROVEEDORES[[#This Row],[descuento sobre subtotal]])</f>
        <v>0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934499</v>
      </c>
      <c r="S1047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1">
        <f ca="1">IF(PROVEEDORES[[#This Row],[FECHA DE PAGO]]=0,TODAY()-PROVEEDORES[[#This Row],[FECHA DE FACTURACIÓN]]-PROVEEDORES[[#This Row],[PLAZO Días]],0)</f>
        <v>0</v>
      </c>
      <c r="U1047" s="97">
        <f>+VLOOKUP(PROVEEDORES[[#This Row],[PROVEEDOR]],Terceros!$A:$D,4,FALSE)</f>
        <v>0</v>
      </c>
      <c r="V1047" s="98">
        <f>+YEAR(PROVEEDORES[[#This Row],[FECHA DE FACTURACIÓN]])</f>
        <v>2023</v>
      </c>
      <c r="W1047" s="98">
        <f>+MATCH(PROVEEDORES[[#This Row],[año facturado]],Retenciones!$1:$1,0)</f>
        <v>6</v>
      </c>
      <c r="X1047" s="99">
        <f>+VLOOKUP(PROVEEDORES[[#This Row],[ID RETENCION]],Retenciones!$A$1:$O$25,PROVEEDORES[[#This Row],[indicador de columna]],FALSE)</f>
        <v>0</v>
      </c>
      <c r="Y1047" s="100">
        <f>+VLOOKUP(PROVEEDORES[[#This Row],[ID RETENCION]],Retenciones!$A$1:$O$25,2,FALSE)</f>
        <v>0</v>
      </c>
      <c r="Z1047" s="103" t="b">
        <f>OR(COUNTIF(PROVEEDORES[[#This Row],[PROVEEDOR]],"*"&amp;'Palabra no opera'!$A$2&amp;"*"))</f>
        <v>1</v>
      </c>
    </row>
    <row r="1048" spans="1:26" ht="22.35" customHeight="1" x14ac:dyDescent="0.25">
      <c r="A1048" s="194" t="str">
        <f>+IF(PROVEEDORES[[#This Row],[FECHA DE PAGO]]=PROVEEDORES[[#This Row],[FECHA DE FACTURACIÓN]],"DE CONTADO","CRÉDITO")</f>
        <v>CRÉDITO</v>
      </c>
      <c r="B1048" s="38" t="b">
        <f>+IF((PROVEEDORES[[#This Row],[FECHA DE PAGO]]-PROVEEDORES[[#This Row],[FECHA DE FACTURACIÓN]])&gt;PROVEEDORES[[#This Row],[PLAZO Días]],"PAGO VENCIDO")</f>
        <v>0</v>
      </c>
      <c r="C1048" s="20">
        <f>+VLOOKUP(PROVEEDORES[[#This Row],[PROVEEDOR]],TERCEROS_INFO[#All],2,FALSE)</f>
        <v>30</v>
      </c>
      <c r="D1048" s="25">
        <f>+SUMIFS(PROVEEDORES[Total],PROVEEDORES[PROVEEDOR],PROVEEDORES[[#This Row],[PROVEEDOR]],PROVEEDORES[FECHA DE PAGO],"")</f>
        <v>0</v>
      </c>
      <c r="E1048" s="25"/>
      <c r="F104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8" s="289">
        <v>45075</v>
      </c>
      <c r="H1048" s="26" t="s">
        <v>415</v>
      </c>
      <c r="I1048" s="289">
        <v>45047</v>
      </c>
      <c r="J1048" s="35" t="s">
        <v>812</v>
      </c>
      <c r="K1048" s="21">
        <v>913261</v>
      </c>
      <c r="L1048" s="21"/>
      <c r="M1048" s="22">
        <f>(PROVEEDORES[[#This Row],[SUBTOTAL]]-PROVEEDORES[[#This Row],[descuento sobre subtotal]])*VLOOKUP(PROVEEDORES[[#This Row],[PROVEEDOR]],TERCEROS_INFO[#All],3,FALSE)</f>
        <v>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72">
        <f>+IF(PROVEEDORES[[#This Row],[SUBTOTAL]]&lt;PROVEEDORES[[#This Row],[base retencion]],0,PROVEEDORES[[#This Row],[retención aplicada]])</f>
        <v>0</v>
      </c>
      <c r="Q1048" s="22">
        <f>+PROVEEDORES[[#This Row],[Rete Fuente %]]*(PROVEEDORES[[#This Row],[SUBTOTAL]]-PROVEEDORES[[#This Row],[descuento sobre subtotal]])</f>
        <v>0</v>
      </c>
      <c r="R1048" s="21">
        <f>+PROVEEDORES[[#This Row],[SUBTOTAL]]+PROVEEDORES[[#This Row],[IVA 19%]]-PROVEEDORES[[#This Row],[descuento sobre subtotal]]-PROVEEDORES[[#This Row],[Descuento sobre subtotal $2]]-PROVEEDORES[[#This Row],[Rete Fuente $]]</f>
        <v>913261</v>
      </c>
      <c r="S1048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1">
        <f ca="1">IF(PROVEEDORES[[#This Row],[FECHA DE PAGO]]=0,TODAY()-PROVEEDORES[[#This Row],[FECHA DE FACTURACIÓN]]-PROVEEDORES[[#This Row],[PLAZO Días]],0)</f>
        <v>0</v>
      </c>
      <c r="U1048" s="97">
        <f>+VLOOKUP(PROVEEDORES[[#This Row],[PROVEEDOR]],Terceros!$A:$D,4,FALSE)</f>
        <v>0</v>
      </c>
      <c r="V1048" s="98">
        <f>+YEAR(PROVEEDORES[[#This Row],[FECHA DE FACTURACIÓN]])</f>
        <v>2023</v>
      </c>
      <c r="W1048" s="98">
        <f>+MATCH(PROVEEDORES[[#This Row],[año facturado]],Retenciones!$1:$1,0)</f>
        <v>6</v>
      </c>
      <c r="X1048" s="99">
        <f>+VLOOKUP(PROVEEDORES[[#This Row],[ID RETENCION]],Retenciones!$A$1:$O$25,PROVEEDORES[[#This Row],[indicador de columna]],FALSE)</f>
        <v>0</v>
      </c>
      <c r="Y1048" s="100">
        <f>+VLOOKUP(PROVEEDORES[[#This Row],[ID RETENCION]],Retenciones!$A$1:$O$25,2,FALSE)</f>
        <v>0</v>
      </c>
      <c r="Z1048" s="103" t="b">
        <f>OR(COUNTIF(PROVEEDORES[[#This Row],[PROVEEDOR]],"*"&amp;'Palabra no opera'!$A$2&amp;"*"))</f>
        <v>1</v>
      </c>
    </row>
    <row r="1049" spans="1:26" ht="22.35" customHeight="1" x14ac:dyDescent="0.25">
      <c r="A1049" s="203" t="str">
        <f>+IF(PROVEEDORES[[#This Row],[FECHA DE PAGO]]=PROVEEDORES[[#This Row],[FECHA DE FACTURACIÓN]],"DE CONTADO","CRÉDITO")</f>
        <v>CRÉDITO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30</v>
      </c>
      <c r="D1049" s="25">
        <f>+SUMIFS(PROVEEDORES[Total],PROVEEDORES[PROVEEDOR],PROVEEDORES[[#This Row],[PROVEEDOR]],PROVEEDORES[FECHA DE PAGO],"")</f>
        <v>0</v>
      </c>
      <c r="E1049" s="25"/>
      <c r="F104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49" s="289">
        <v>45100</v>
      </c>
      <c r="H1049" s="26" t="s">
        <v>415</v>
      </c>
      <c r="I1049" s="289">
        <v>45078</v>
      </c>
      <c r="J1049" s="35" t="s">
        <v>888</v>
      </c>
      <c r="K1049" s="21">
        <v>934363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72">
        <f>+IF(PROVEEDORES[[#This Row],[SUBTOTAL]]&lt;PROVEEDORES[[#This Row],[base retencion]],0,PROVEEDORES[[#This Row],[retención aplicada]])</f>
        <v>0</v>
      </c>
      <c r="Q1049" s="22">
        <f>+PROVEEDORES[[#This Row],[Rete Fuente %]]*(PROVEEDORES[[#This Row],[SUBTOTAL]]-PROVEEDORES[[#This Row],[descuento sobre subtotal]])</f>
        <v>0</v>
      </c>
      <c r="R1049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49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1">
        <f ca="1">IF(PROVEEDORES[[#This Row],[FECHA DE PAGO]]=0,TODAY()-PROVEEDORES[[#This Row],[FECHA DE FACTURACIÓN]]-PROVEEDORES[[#This Row],[PLAZO Días]],0)</f>
        <v>0</v>
      </c>
      <c r="U1049" s="97">
        <f>+VLOOKUP(PROVEEDORES[[#This Row],[PROVEEDOR]],Terceros!$A:$D,4,FALSE)</f>
        <v>0</v>
      </c>
      <c r="V1049" s="98">
        <f>+YEAR(PROVEEDORES[[#This Row],[FECHA DE FACTURACIÓN]])</f>
        <v>2023</v>
      </c>
      <c r="W1049" s="98">
        <f>+MATCH(PROVEEDORES[[#This Row],[año facturado]],Retenciones!$1:$1,0)</f>
        <v>6</v>
      </c>
      <c r="X1049" s="99">
        <f>+VLOOKUP(PROVEEDORES[[#This Row],[ID RETENCION]],Retenciones!$A$1:$O$25,PROVEEDORES[[#This Row],[indicador de columna]],FALSE)</f>
        <v>0</v>
      </c>
      <c r="Y1049" s="100">
        <f>+VLOOKUP(PROVEEDORES[[#This Row],[ID RETENCION]],Retenciones!$A$1:$O$25,2,FALSE)</f>
        <v>0</v>
      </c>
      <c r="Z1049" s="103" t="b">
        <f>OR(COUNTIF(PROVEEDORES[[#This Row],[PROVEEDOR]],"*"&amp;'Palabra no opera'!$A$2&amp;"*"))</f>
        <v>1</v>
      </c>
    </row>
    <row r="1050" spans="1:26" ht="22.35" customHeight="1" x14ac:dyDescent="0.25">
      <c r="A1050" s="203" t="str">
        <f>+IF(PROVEEDORES[[#This Row],[FECHA DE PAGO]]=PROVEEDORES[[#This Row],[FECHA DE FACTURACIÓN]],"DE CONTADO","CRÉDITO")</f>
        <v>CRÉDITO</v>
      </c>
      <c r="B1050" s="38" t="b">
        <f>+IF((PROVEEDORES[[#This Row],[FECHA DE PAGO]]-PROVEEDORES[[#This Row],[FECHA DE FACTURACIÓN]])&gt;PROVEEDORES[[#This Row],[PLAZO Días]],"PAGO VENCIDO")</f>
        <v>0</v>
      </c>
      <c r="C1050" s="20">
        <f>+VLOOKUP(PROVEEDORES[[#This Row],[PROVEEDOR]],TERCEROS_INFO[#All],2,FALSE)</f>
        <v>30</v>
      </c>
      <c r="D1050" s="25">
        <f>+SUMIFS(PROVEEDORES[Total],PROVEEDORES[PROVEEDOR],PROVEEDORES[[#This Row],[PROVEEDOR]],PROVEEDORES[FECHA DE PAGO],"")</f>
        <v>0</v>
      </c>
      <c r="E1050" s="25"/>
      <c r="F105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0" s="289">
        <v>45100</v>
      </c>
      <c r="H1050" s="26" t="s">
        <v>415</v>
      </c>
      <c r="I1050" s="289">
        <v>45078</v>
      </c>
      <c r="J1050" s="35" t="s">
        <v>889</v>
      </c>
      <c r="K1050" s="21">
        <v>914023</v>
      </c>
      <c r="L1050" s="21"/>
      <c r="M1050" s="22">
        <f>(PROVEEDORES[[#This Row],[SUBTOTAL]]-PROVEEDORES[[#This Row],[descuento sobre subtotal]])*VLOOKUP(PROVEEDORES[[#This Row],[PROVEEDOR]],TERCEROS_INFO[#All],3,FALSE)</f>
        <v>0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72">
        <f>+IF(PROVEEDORES[[#This Row],[SUBTOTAL]]&lt;PROVEEDORES[[#This Row],[base retencion]],0,PROVEEDORES[[#This Row],[retención aplicada]])</f>
        <v>0</v>
      </c>
      <c r="Q1050" s="22">
        <f>+PROVEEDORES[[#This Row],[Rete Fuente %]]*(PROVEEDORES[[#This Row],[SUBTOTAL]]-PROVEEDORES[[#This Row],[descuento sobre subtotal]])</f>
        <v>0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50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1">
        <f ca="1">IF(PROVEEDORES[[#This Row],[FECHA DE PAGO]]=0,TODAY()-PROVEEDORES[[#This Row],[FECHA DE FACTURACIÓN]]-PROVEEDORES[[#This Row],[PLAZO Días]],0)</f>
        <v>0</v>
      </c>
      <c r="U1050" s="97">
        <f>+VLOOKUP(PROVEEDORES[[#This Row],[PROVEEDOR]],Terceros!$A:$D,4,FALSE)</f>
        <v>0</v>
      </c>
      <c r="V1050" s="98">
        <f>+YEAR(PROVEEDORES[[#This Row],[FECHA DE FACTURACIÓN]])</f>
        <v>2023</v>
      </c>
      <c r="W1050" s="98">
        <f>+MATCH(PROVEEDORES[[#This Row],[año facturado]],Retenciones!$1:$1,0)</f>
        <v>6</v>
      </c>
      <c r="X1050" s="99">
        <f>+VLOOKUP(PROVEEDORES[[#This Row],[ID RETENCION]],Retenciones!$A$1:$O$25,PROVEEDORES[[#This Row],[indicador de columna]],FALSE)</f>
        <v>0</v>
      </c>
      <c r="Y1050" s="100">
        <f>+VLOOKUP(PROVEEDORES[[#This Row],[ID RETENCION]],Retenciones!$A$1:$O$25,2,FALSE)</f>
        <v>0</v>
      </c>
      <c r="Z1050" s="103" t="b">
        <f>OR(COUNTIF(PROVEEDORES[[#This Row],[PROVEEDOR]],"*"&amp;'Palabra no opera'!$A$2&amp;"*"))</f>
        <v>1</v>
      </c>
    </row>
    <row r="1051" spans="1:26" ht="22.35" customHeight="1" x14ac:dyDescent="0.25">
      <c r="A1051" s="211" t="str">
        <f>+IF(PROVEEDORES[[#This Row],[FECHA DE PAGO]]=PROVEEDORES[[#This Row],[FECHA DE FACTURACIÓN]],"DE CONTADO","CRÉDITO")</f>
        <v>CRÉDITO</v>
      </c>
      <c r="B1051" s="38" t="b">
        <f>+IF((PROVEEDORES[[#This Row],[FECHA DE PAGO]]-PROVEEDORES[[#This Row],[FECHA DE FACTURACIÓN]])&gt;PROVEEDORES[[#This Row],[PLAZO Días]],"PAGO VENCIDO")</f>
        <v>0</v>
      </c>
      <c r="C1051" s="20">
        <f>+VLOOKUP(PROVEEDORES[[#This Row],[PROVEEDOR]],TERCEROS_INFO[#All],2,FALSE)</f>
        <v>30</v>
      </c>
      <c r="D1051" s="25">
        <f>+SUMIFS(PROVEEDORES[Total],PROVEEDORES[PROVEEDOR],PROVEEDORES[[#This Row],[PROVEEDOR]],PROVEEDORES[FECHA DE PAGO],"")</f>
        <v>0</v>
      </c>
      <c r="E1051" s="25"/>
      <c r="F105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1" s="289">
        <v>45131</v>
      </c>
      <c r="H1051" s="26" t="s">
        <v>415</v>
      </c>
      <c r="I1051" s="289">
        <v>45108</v>
      </c>
      <c r="J1051" s="35" t="s">
        <v>949</v>
      </c>
      <c r="K1051" s="21">
        <v>914023</v>
      </c>
      <c r="L1051" s="21"/>
      <c r="M1051" s="22">
        <f>(PROVEEDORES[[#This Row],[SUBTOTAL]]-PROVEEDORES[[#This Row],[descuento sobre subtotal]])*VLOOKUP(PROVEEDORES[[#This Row],[PROVEEDOR]],TERCEROS_INFO[#All],3,FALSE)</f>
        <v>0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72">
        <f>+IF(PROVEEDORES[[#This Row],[SUBTOTAL]]&lt;PROVEEDORES[[#This Row],[base retencion]],0,PROVEEDORES[[#This Row],[retención aplicada]])</f>
        <v>0</v>
      </c>
      <c r="Q1051" s="22">
        <f>+PROVEEDORES[[#This Row],[Rete Fuente %]]*(PROVEEDORES[[#This Row],[SUBTOTAL]]-PROVEEDORES[[#This Row],[descuento sobre subtotal]])</f>
        <v>0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51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1">
        <f ca="1">IF(PROVEEDORES[[#This Row],[FECHA DE PAGO]]=0,TODAY()-PROVEEDORES[[#This Row],[FECHA DE FACTURACIÓN]]-PROVEEDORES[[#This Row],[PLAZO Días]],0)</f>
        <v>0</v>
      </c>
      <c r="U1051" s="97">
        <f>+VLOOKUP(PROVEEDORES[[#This Row],[PROVEEDOR]],Terceros!$A:$D,4,FALSE)</f>
        <v>0</v>
      </c>
      <c r="V1051" s="98">
        <f>+YEAR(PROVEEDORES[[#This Row],[FECHA DE FACTURACIÓN]])</f>
        <v>2023</v>
      </c>
      <c r="W1051" s="98">
        <f>+MATCH(PROVEEDORES[[#This Row],[año facturado]],Retenciones!$1:$1,0)</f>
        <v>6</v>
      </c>
      <c r="X1051" s="99">
        <f>+VLOOKUP(PROVEEDORES[[#This Row],[ID RETENCION]],Retenciones!$A$1:$O$25,PROVEEDORES[[#This Row],[indicador de columna]],FALSE)</f>
        <v>0</v>
      </c>
      <c r="Y1051" s="100">
        <f>+VLOOKUP(PROVEEDORES[[#This Row],[ID RETENCION]],Retenciones!$A$1:$O$25,2,FALSE)</f>
        <v>0</v>
      </c>
      <c r="Z1051" s="103" t="b">
        <f>OR(COUNTIF(PROVEEDORES[[#This Row],[PROVEEDOR]],"*"&amp;'Palabra no opera'!$A$2&amp;"*"))</f>
        <v>1</v>
      </c>
    </row>
    <row r="1052" spans="1:26" ht="22.35" customHeight="1" x14ac:dyDescent="0.25">
      <c r="A1052" s="211" t="str">
        <f>+IF(PROVEEDORES[[#This Row],[FECHA DE PAGO]]=PROVEEDORES[[#This Row],[FECHA DE FACTURACIÓN]],"DE CONTADO","CRÉDITO")</f>
        <v>CRÉDITO</v>
      </c>
      <c r="B1052" s="38" t="b">
        <f>+IF((PROVEEDORES[[#This Row],[FECHA DE PAGO]]-PROVEEDORES[[#This Row],[FECHA DE FACTURACIÓN]])&gt;PROVEEDORES[[#This Row],[PLAZO Días]],"PAGO VENCIDO")</f>
        <v>0</v>
      </c>
      <c r="C1052" s="20">
        <f>+VLOOKUP(PROVEEDORES[[#This Row],[PROVEEDOR]],TERCEROS_INFO[#All],2,FALSE)</f>
        <v>30</v>
      </c>
      <c r="D1052" s="25">
        <f>+SUMIFS(PROVEEDORES[Total],PROVEEDORES[PROVEEDOR],PROVEEDORES[[#This Row],[PROVEEDOR]],PROVEEDORES[FECHA DE PAGO],"")</f>
        <v>0</v>
      </c>
      <c r="E1052" s="25"/>
      <c r="F105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2" s="289">
        <v>45131</v>
      </c>
      <c r="H1052" s="26" t="s">
        <v>415</v>
      </c>
      <c r="I1052" s="289">
        <v>45108</v>
      </c>
      <c r="J1052" s="35" t="s">
        <v>950</v>
      </c>
      <c r="K1052" s="21">
        <v>934363</v>
      </c>
      <c r="L1052" s="21"/>
      <c r="M1052" s="22">
        <f>(PROVEEDORES[[#This Row],[SUBTOTAL]]-PROVEEDORES[[#This Row],[descuento sobre subtotal]])*VLOOKUP(PROVEEDORES[[#This Row],[PROVEEDOR]],TERCEROS_INFO[#All],3,FALSE)</f>
        <v>0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72">
        <f>+IF(PROVEEDORES[[#This Row],[SUBTOTAL]]&lt;PROVEEDORES[[#This Row],[base retencion]],0,PROVEEDORES[[#This Row],[retención aplicada]])</f>
        <v>0</v>
      </c>
      <c r="Q1052" s="22">
        <f>+PROVEEDORES[[#This Row],[Rete Fuente %]]*(PROVEEDORES[[#This Row],[SUBTOTAL]]-PROVEEDORES[[#This Row],[descuento sobre subtotal]])</f>
        <v>0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52" s="21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1">
        <f ca="1">IF(PROVEEDORES[[#This Row],[FECHA DE PAGO]]=0,TODAY()-PROVEEDORES[[#This Row],[FECHA DE FACTURACIÓN]]-PROVEEDORES[[#This Row],[PLAZO Días]],0)</f>
        <v>0</v>
      </c>
      <c r="U1052" s="97">
        <f>+VLOOKUP(PROVEEDORES[[#This Row],[PROVEEDOR]],Terceros!$A:$D,4,FALSE)</f>
        <v>0</v>
      </c>
      <c r="V1052" s="98">
        <f>+YEAR(PROVEEDORES[[#This Row],[FECHA DE FACTURACIÓN]])</f>
        <v>2023</v>
      </c>
      <c r="W1052" s="98">
        <f>+MATCH(PROVEEDORES[[#This Row],[año facturado]],Retenciones!$1:$1,0)</f>
        <v>6</v>
      </c>
      <c r="X1052" s="99">
        <f>+VLOOKUP(PROVEEDORES[[#This Row],[ID RETENCION]],Retenciones!$A$1:$O$25,PROVEEDORES[[#This Row],[indicador de columna]],FALSE)</f>
        <v>0</v>
      </c>
      <c r="Y1052" s="100">
        <f>+VLOOKUP(PROVEEDORES[[#This Row],[ID RETENCION]],Retenciones!$A$1:$O$25,2,FALSE)</f>
        <v>0</v>
      </c>
      <c r="Z1052" s="103" t="b">
        <f>OR(COUNTIF(PROVEEDORES[[#This Row],[PROVEEDOR]],"*"&amp;'Palabra no opera'!$A$2&amp;"*"))</f>
        <v>1</v>
      </c>
    </row>
    <row r="1053" spans="1:26" ht="22.35" customHeight="1" x14ac:dyDescent="0.25">
      <c r="A1053" s="65" t="str">
        <f>+IF(PROVEEDORES[[#This Row],[FECHA DE PAGO]]=PROVEEDORES[[#This Row],[FECHA DE FACTURACIÓN]],"DE CONTADO","CRÉDITO")</f>
        <v>CRÉDITO</v>
      </c>
      <c r="B1053" s="38" t="b">
        <f>+IF((PROVEEDORES[[#This Row],[FECHA DE PAGO]]-PROVEEDORES[[#This Row],[FECHA DE FACTURACIÓN]])&gt;PROVEEDORES[[#This Row],[PLAZO Días]],"PAGO VENCIDO")</f>
        <v>0</v>
      </c>
      <c r="C1053" s="20">
        <f>+VLOOKUP(PROVEEDORES[[#This Row],[PROVEEDOR]],TERCEROS_INFO[#All],2,FALSE)</f>
        <v>30</v>
      </c>
      <c r="D1053" s="25">
        <f>+SUMIFS(PROVEEDORES[Total],PROVEEDORES[PROVEEDOR],PROVEEDORES[[#This Row],[PROVEEDOR]],PROVEEDORES[FECHA DE PAGO],"")</f>
        <v>0</v>
      </c>
      <c r="E1053" s="25"/>
      <c r="F105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3" s="289">
        <v>45161</v>
      </c>
      <c r="H1053" s="26" t="s">
        <v>415</v>
      </c>
      <c r="I1053" s="289">
        <v>45139</v>
      </c>
      <c r="J1053" s="35" t="s">
        <v>1033</v>
      </c>
      <c r="K1053" s="21">
        <v>934363</v>
      </c>
      <c r="L1053" s="21"/>
      <c r="M1053" s="22">
        <f>(PROVEEDORES[[#This Row],[SUBTOTAL]]-PROVEEDORES[[#This Row],[descuento sobre subtotal]])*VLOOKUP(PROVEEDORES[[#This Row],[PROVEEDOR]],TERCEROS_INFO[#All],3,FALSE)</f>
        <v>0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72">
        <f>+IF(PROVEEDORES[[#This Row],[SUBTOTAL]]&lt;PROVEEDORES[[#This Row],[base retencion]],0,PROVEEDORES[[#This Row],[retención aplicada]])</f>
        <v>0</v>
      </c>
      <c r="Q1053" s="22">
        <f>+PROVEEDORES[[#This Row],[Rete Fuente %]]*(PROVEEDORES[[#This Row],[SUBTOTAL]]-PROVEEDORES[[#This Row],[descuento sobre subtotal]])</f>
        <v>0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5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1">
        <f ca="1">IF(PROVEEDORES[[#This Row],[FECHA DE PAGO]]=0,TODAY()-PROVEEDORES[[#This Row],[FECHA DE FACTURACIÓN]]-PROVEEDORES[[#This Row],[PLAZO Días]],0)</f>
        <v>0</v>
      </c>
      <c r="U1053" s="97">
        <f>+VLOOKUP(PROVEEDORES[[#This Row],[PROVEEDOR]],Terceros!$A:$D,4,FALSE)</f>
        <v>0</v>
      </c>
      <c r="V1053" s="98">
        <f>+YEAR(PROVEEDORES[[#This Row],[FECHA DE FACTURACIÓN]])</f>
        <v>2023</v>
      </c>
      <c r="W1053" s="98">
        <f>+MATCH(PROVEEDORES[[#This Row],[año facturado]],Retenciones!$1:$1,0)</f>
        <v>6</v>
      </c>
      <c r="X1053" s="99">
        <f>+VLOOKUP(PROVEEDORES[[#This Row],[ID RETENCION]],Retenciones!$A$1:$O$25,PROVEEDORES[[#This Row],[indicador de columna]],FALSE)</f>
        <v>0</v>
      </c>
      <c r="Y1053" s="100">
        <f>+VLOOKUP(PROVEEDORES[[#This Row],[ID RETENCION]],Retenciones!$A$1:$O$25,2,FALSE)</f>
        <v>0</v>
      </c>
      <c r="Z1053" s="103" t="b">
        <f>OR(COUNTIF(PROVEEDORES[[#This Row],[PROVEEDOR]],"*"&amp;'Palabra no opera'!$A$2&amp;"*"))</f>
        <v>1</v>
      </c>
    </row>
    <row r="1054" spans="1:26" ht="22.35" customHeight="1" x14ac:dyDescent="0.25">
      <c r="A1054" s="65" t="str">
        <f>+IF(PROVEEDORES[[#This Row],[FECHA DE PAGO]]=PROVEEDORES[[#This Row],[FECHA DE FACTURACIÓN]],"DE CONTADO","CRÉDITO")</f>
        <v>CRÉDITO</v>
      </c>
      <c r="B1054" s="38" t="b">
        <f>+IF((PROVEEDORES[[#This Row],[FECHA DE PAGO]]-PROVEEDORES[[#This Row],[FECHA DE FACTURACIÓN]])&gt;PROVEEDORES[[#This Row],[PLAZO Días]],"PAGO VENCIDO")</f>
        <v>0</v>
      </c>
      <c r="C1054" s="20">
        <f>+VLOOKUP(PROVEEDORES[[#This Row],[PROVEEDOR]],TERCEROS_INFO[#All],2,FALSE)</f>
        <v>30</v>
      </c>
      <c r="D1054" s="25">
        <f>+SUMIFS(PROVEEDORES[Total],PROVEEDORES[PROVEEDOR],PROVEEDORES[[#This Row],[PROVEEDOR]],PROVEEDORES[FECHA DE PAGO],"")</f>
        <v>0</v>
      </c>
      <c r="E1054" s="25"/>
      <c r="F105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4" s="289">
        <v>45161</v>
      </c>
      <c r="H1054" s="26" t="s">
        <v>415</v>
      </c>
      <c r="I1054" s="289">
        <v>45139</v>
      </c>
      <c r="J1054" s="35" t="s">
        <v>1034</v>
      </c>
      <c r="K1054" s="21">
        <v>914023</v>
      </c>
      <c r="L1054" s="21"/>
      <c r="M1054" s="22">
        <f>(PROVEEDORES[[#This Row],[SUBTOTAL]]-PROVEEDORES[[#This Row],[descuento sobre subtotal]])*VLOOKUP(PROVEEDORES[[#This Row],[PROVEEDOR]],TERCEROS_INFO[#All],3,FALSE)</f>
        <v>0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72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5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1">
        <f ca="1">IF(PROVEEDORES[[#This Row],[FECHA DE PAGO]]=0,TODAY()-PROVEEDORES[[#This Row],[FECHA DE FACTURACIÓN]]-PROVEEDORES[[#This Row],[PLAZO Días]],0)</f>
        <v>0</v>
      </c>
      <c r="U1054" s="97">
        <f>+VLOOKUP(PROVEEDORES[[#This Row],[PROVEEDOR]],Terceros!$A:$D,4,FALSE)</f>
        <v>0</v>
      </c>
      <c r="V1054" s="98">
        <f>+YEAR(PROVEEDORES[[#This Row],[FECHA DE FACTURACIÓN]])</f>
        <v>2023</v>
      </c>
      <c r="W1054" s="98">
        <f>+MATCH(PROVEEDORES[[#This Row],[año facturado]],Retenciones!$1:$1,0)</f>
        <v>6</v>
      </c>
      <c r="X1054" s="99">
        <f>+VLOOKUP(PROVEEDORES[[#This Row],[ID RETENCION]],Retenciones!$A$1:$O$25,PROVEEDORES[[#This Row],[indicador de columna]],FALSE)</f>
        <v>0</v>
      </c>
      <c r="Y1054" s="100">
        <f>+VLOOKUP(PROVEEDORES[[#This Row],[ID RETENCION]],Retenciones!$A$1:$O$25,2,FALSE)</f>
        <v>0</v>
      </c>
      <c r="Z1054" s="103" t="b">
        <f>OR(COUNTIF(PROVEEDORES[[#This Row],[PROVEEDOR]],"*"&amp;'Palabra no opera'!$A$2&amp;"*"))</f>
        <v>1</v>
      </c>
    </row>
    <row r="1055" spans="1:26" ht="22.35" customHeight="1" x14ac:dyDescent="0.25">
      <c r="A1055" s="240" t="str">
        <f>+IF(PROVEEDORES[[#This Row],[FECHA DE PAGO]]=PROVEEDORES[[#This Row],[FECHA DE FACTURACIÓN]],"DE CONTADO","CRÉDITO")</f>
        <v>CRÉDITO</v>
      </c>
      <c r="B1055" s="38" t="b">
        <f>+IF((PROVEEDORES[[#This Row],[FECHA DE PAGO]]-PROVEEDORES[[#This Row],[FECHA DE FACTURACIÓN]])&gt;PROVEEDORES[[#This Row],[PLAZO Días]],"PAGO VENCIDO")</f>
        <v>0</v>
      </c>
      <c r="C1055" s="20">
        <f>+VLOOKUP(PROVEEDORES[[#This Row],[PROVEEDOR]],TERCEROS_INFO[#All],2,FALSE)</f>
        <v>30</v>
      </c>
      <c r="D1055" s="25">
        <f>+SUMIFS(PROVEEDORES[Total],PROVEEDORES[PROVEEDOR],PROVEEDORES[[#This Row],[PROVEEDOR]],PROVEEDORES[FECHA DE PAGO],"")</f>
        <v>0</v>
      </c>
      <c r="E1055" s="25"/>
      <c r="F105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5" s="289">
        <v>45194</v>
      </c>
      <c r="H1055" s="26" t="s">
        <v>415</v>
      </c>
      <c r="I1055" s="289">
        <v>45170</v>
      </c>
      <c r="J1055" s="35" t="s">
        <v>1097</v>
      </c>
      <c r="K1055" s="21">
        <v>914023</v>
      </c>
      <c r="L1055" s="21"/>
      <c r="M1055" s="22">
        <f>(PROVEEDORES[[#This Row],[SUBTOTAL]]-PROVEEDORES[[#This Row],[descuento sobre subtotal]])*VLOOKUP(PROVEEDORES[[#This Row],[PROVEEDOR]],TERCEROS_INFO[#All],3,FALSE)</f>
        <v>0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72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55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1">
        <f ca="1">IF(PROVEEDORES[[#This Row],[FECHA DE PAGO]]=0,TODAY()-PROVEEDORES[[#This Row],[FECHA DE FACTURACIÓN]]-PROVEEDORES[[#This Row],[PLAZO Días]],0)</f>
        <v>0</v>
      </c>
      <c r="U1055" s="97">
        <f>+VLOOKUP(PROVEEDORES[[#This Row],[PROVEEDOR]],Terceros!$A:$D,4,FALSE)</f>
        <v>0</v>
      </c>
      <c r="V1055" s="98">
        <f>+YEAR(PROVEEDORES[[#This Row],[FECHA DE FACTURACIÓN]])</f>
        <v>2023</v>
      </c>
      <c r="W1055" s="98">
        <f>+MATCH(PROVEEDORES[[#This Row],[año facturado]],Retenciones!$1:$1,0)</f>
        <v>6</v>
      </c>
      <c r="X1055" s="99">
        <f>+VLOOKUP(PROVEEDORES[[#This Row],[ID RETENCION]],Retenciones!$A$1:$O$25,PROVEEDORES[[#This Row],[indicador de columna]],FALSE)</f>
        <v>0</v>
      </c>
      <c r="Y1055" s="100">
        <f>+VLOOKUP(PROVEEDORES[[#This Row],[ID RETENCION]],Retenciones!$A$1:$O$25,2,FALSE)</f>
        <v>0</v>
      </c>
      <c r="Z1055" s="103" t="b">
        <f>OR(COUNTIF(PROVEEDORES[[#This Row],[PROVEEDOR]],"*"&amp;'Palabra no opera'!$A$2&amp;"*"))</f>
        <v>1</v>
      </c>
    </row>
    <row r="1056" spans="1:26" ht="22.35" customHeight="1" x14ac:dyDescent="0.25">
      <c r="A1056" s="240" t="str">
        <f>+IF(PROVEEDORES[[#This Row],[FECHA DE PAGO]]=PROVEEDORES[[#This Row],[FECHA DE FACTURACIÓN]],"DE CONTADO","CRÉDITO")</f>
        <v>CRÉDITO</v>
      </c>
      <c r="B1056" s="38" t="b">
        <f>+IF((PROVEEDORES[[#This Row],[FECHA DE PAGO]]-PROVEEDORES[[#This Row],[FECHA DE FACTURACIÓN]])&gt;PROVEEDORES[[#This Row],[PLAZO Días]],"PAGO VENCIDO")</f>
        <v>0</v>
      </c>
      <c r="C1056" s="20">
        <f>+VLOOKUP(PROVEEDORES[[#This Row],[PROVEEDOR]],TERCEROS_INFO[#All],2,FALSE)</f>
        <v>30</v>
      </c>
      <c r="D1056" s="25">
        <f>+SUMIFS(PROVEEDORES[Total],PROVEEDORES[PROVEEDOR],PROVEEDORES[[#This Row],[PROVEEDOR]],PROVEEDORES[FECHA DE PAGO],"")</f>
        <v>0</v>
      </c>
      <c r="E1056" s="25"/>
      <c r="F105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6" s="289">
        <v>45194</v>
      </c>
      <c r="H1056" s="26" t="s">
        <v>415</v>
      </c>
      <c r="I1056" s="289">
        <v>45170</v>
      </c>
      <c r="J1056" s="35" t="s">
        <v>1098</v>
      </c>
      <c r="K1056" s="21">
        <v>934363</v>
      </c>
      <c r="L1056" s="21"/>
      <c r="M1056" s="22">
        <f>(PROVEEDORES[[#This Row],[SUBTOTAL]]-PROVEEDORES[[#This Row],[descuento sobre subtotal]])*VLOOKUP(PROVEEDORES[[#This Row],[PROVEEDOR]],TERCEROS_INFO[#All],3,FALSE)</f>
        <v>0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72">
        <f>+IF(PROVEEDORES[[#This Row],[SUBTOTAL]]&lt;PROVEEDORES[[#This Row],[base retencion]],0,PROVEEDORES[[#This Row],[retención aplicada]])</f>
        <v>0</v>
      </c>
      <c r="Q1056" s="22">
        <f>+PROVEEDORES[[#This Row],[Rete Fuente %]]*(PROVEEDORES[[#This Row],[SUBTOTAL]]-PROVEEDORES[[#This Row],[descuento sobre subtotal]])</f>
        <v>0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56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1">
        <f ca="1">IF(PROVEEDORES[[#This Row],[FECHA DE PAGO]]=0,TODAY()-PROVEEDORES[[#This Row],[FECHA DE FACTURACIÓN]]-PROVEEDORES[[#This Row],[PLAZO Días]],0)</f>
        <v>0</v>
      </c>
      <c r="U1056" s="97">
        <f>+VLOOKUP(PROVEEDORES[[#This Row],[PROVEEDOR]],Terceros!$A:$D,4,FALSE)</f>
        <v>0</v>
      </c>
      <c r="V1056" s="98">
        <f>+YEAR(PROVEEDORES[[#This Row],[FECHA DE FACTURACIÓN]])</f>
        <v>2023</v>
      </c>
      <c r="W1056" s="98">
        <f>+MATCH(PROVEEDORES[[#This Row],[año facturado]],Retenciones!$1:$1,0)</f>
        <v>6</v>
      </c>
      <c r="X1056" s="99">
        <f>+VLOOKUP(PROVEEDORES[[#This Row],[ID RETENCION]],Retenciones!$A$1:$O$25,PROVEEDORES[[#This Row],[indicador de columna]],FALSE)</f>
        <v>0</v>
      </c>
      <c r="Y1056" s="100">
        <f>+VLOOKUP(PROVEEDORES[[#This Row],[ID RETENCION]],Retenciones!$A$1:$O$25,2,FALSE)</f>
        <v>0</v>
      </c>
      <c r="Z1056" s="103" t="b">
        <f>OR(COUNTIF(PROVEEDORES[[#This Row],[PROVEEDOR]],"*"&amp;'Palabra no opera'!$A$2&amp;"*"))</f>
        <v>1</v>
      </c>
    </row>
    <row r="1057" spans="1:26" ht="22.35" customHeight="1" x14ac:dyDescent="0.25">
      <c r="A1057" s="65" t="str">
        <f>+IF(PROVEEDORES[[#This Row],[FECHA DE PAGO]]=PROVEEDORES[[#This Row],[FECHA DE FACTURACIÓN]],"DE CONTADO","CRÉDITO")</f>
        <v>CRÉDITO</v>
      </c>
      <c r="B1057" s="38" t="b">
        <f>+IF((PROVEEDORES[[#This Row],[FECHA DE PAGO]]-PROVEEDORES[[#This Row],[FECHA DE FACTURACIÓN]])&gt;PROVEEDORES[[#This Row],[PLAZO Días]],"PAGO VENCIDO")</f>
        <v>0</v>
      </c>
      <c r="C1057" s="20">
        <f>+VLOOKUP(PROVEEDORES[[#This Row],[PROVEEDOR]],TERCEROS_INFO[#All],2,FALSE)</f>
        <v>30</v>
      </c>
      <c r="D1057" s="25">
        <f>+SUMIFS(PROVEEDORES[Total],PROVEEDORES[PROVEEDOR],PROVEEDORES[[#This Row],[PROVEEDOR]],PROVEEDORES[FECHA DE PAGO],"")</f>
        <v>0</v>
      </c>
      <c r="E1057" s="25"/>
      <c r="F1057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7" s="289">
        <v>45223</v>
      </c>
      <c r="H1057" s="26" t="s">
        <v>415</v>
      </c>
      <c r="I1057" s="289">
        <v>45200</v>
      </c>
      <c r="J1057" s="35" t="s">
        <v>1181</v>
      </c>
      <c r="K1057" s="21">
        <v>934363</v>
      </c>
      <c r="L1057" s="21"/>
      <c r="M1057" s="22">
        <f>(PROVEEDORES[[#This Row],[SUBTOTAL]]-PROVEEDORES[[#This Row],[descuento sobre subtotal]])*VLOOKUP(PROVEEDORES[[#This Row],[PROVEEDOR]],TERCEROS_INFO[#All],3,FALSE)</f>
        <v>0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72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1">
        <f ca="1">IF(PROVEEDORES[[#This Row],[FECHA DE PAGO]]=0,TODAY()-PROVEEDORES[[#This Row],[FECHA DE FACTURACIÓN]]-PROVEEDORES[[#This Row],[PLAZO Días]],0)</f>
        <v>0</v>
      </c>
      <c r="U1057" s="97">
        <f>+VLOOKUP(PROVEEDORES[[#This Row],[PROVEEDOR]],Terceros!$A:$D,4,FALSE)</f>
        <v>0</v>
      </c>
      <c r="V1057" s="98">
        <f>+YEAR(PROVEEDORES[[#This Row],[FECHA DE FACTURACIÓN]])</f>
        <v>2023</v>
      </c>
      <c r="W1057" s="98">
        <f>+MATCH(PROVEEDORES[[#This Row],[año facturado]],Retenciones!$1:$1,0)</f>
        <v>6</v>
      </c>
      <c r="X1057" s="99">
        <f>+VLOOKUP(PROVEEDORES[[#This Row],[ID RETENCION]],Retenciones!$A$1:$O$25,PROVEEDORES[[#This Row],[indicador de columna]],FALSE)</f>
        <v>0</v>
      </c>
      <c r="Y1057" s="100">
        <f>+VLOOKUP(PROVEEDORES[[#This Row],[ID RETENCION]],Retenciones!$A$1:$O$25,2,FALSE)</f>
        <v>0</v>
      </c>
      <c r="Z1057" s="103" t="b">
        <f>OR(COUNTIF(PROVEEDORES[[#This Row],[PROVEEDOR]],"*"&amp;'Palabra no opera'!$A$2&amp;"*"))</f>
        <v>1</v>
      </c>
    </row>
    <row r="1058" spans="1:26" ht="22.35" customHeight="1" x14ac:dyDescent="0.25">
      <c r="A1058" s="65" t="str">
        <f>+IF(PROVEEDORES[[#This Row],[FECHA DE PAGO]]=PROVEEDORES[[#This Row],[FECHA DE FACTURACIÓN]],"DE CONTADO","CRÉDITO")</f>
        <v>CRÉDITO</v>
      </c>
      <c r="B1058" s="38" t="b">
        <f>+IF((PROVEEDORES[[#This Row],[FECHA DE PAGO]]-PROVEEDORES[[#This Row],[FECHA DE FACTURACIÓN]])&gt;PROVEEDORES[[#This Row],[PLAZO Días]],"PAGO VENCIDO")</f>
        <v>0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8" s="289">
        <v>45223</v>
      </c>
      <c r="H1058" s="26" t="s">
        <v>415</v>
      </c>
      <c r="I1058" s="289">
        <v>45200</v>
      </c>
      <c r="J1058" s="35" t="s">
        <v>1182</v>
      </c>
      <c r="K1058" s="21">
        <v>914023</v>
      </c>
      <c r="L1058" s="21"/>
      <c r="M1058" s="22">
        <f>(PROVEEDORES[[#This Row],[SUBTOTAL]]-PROVEEDORES[[#This Row],[descuento sobre subtotal]])*VLOOKUP(PROVEEDORES[[#This Row],[PROVEEDOR]],TERCEROS_INFO[#All],3,FALSE)</f>
        <v>0</v>
      </c>
      <c r="N1058" s="23"/>
      <c r="O1058" s="22">
        <f>+PROVEEDORES[[#This Row],[Descuento sobre subtotal %]]*(PROVEEDORES[[#This Row],[SUBTOTAL]]-PROVEEDORES[[#This Row],[descuento sobre subtotal]])</f>
        <v>0</v>
      </c>
      <c r="P1058" s="72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1">
        <f ca="1">IF(PROVEEDORES[[#This Row],[FECHA DE PAGO]]=0,TODAY()-PROVEEDORES[[#This Row],[FECHA DE FACTURACIÓN]]-PROVEEDORES[[#This Row],[PLAZO Días]],0)</f>
        <v>0</v>
      </c>
      <c r="U1058" s="97">
        <f>+VLOOKUP(PROVEEDORES[[#This Row],[PROVEEDOR]],Terceros!$A:$D,4,FALSE)</f>
        <v>0</v>
      </c>
      <c r="V1058" s="98">
        <f>+YEAR(PROVEEDORES[[#This Row],[FECHA DE FACTURACIÓN]])</f>
        <v>2023</v>
      </c>
      <c r="W1058" s="98">
        <f>+MATCH(PROVEEDORES[[#This Row],[año facturado]],Retenciones!$1:$1,0)</f>
        <v>6</v>
      </c>
      <c r="X1058" s="99">
        <f>+VLOOKUP(PROVEEDORES[[#This Row],[ID RETENCION]],Retenciones!$A$1:$O$25,PROVEEDORES[[#This Row],[indicador de columna]],FALSE)</f>
        <v>0</v>
      </c>
      <c r="Y1058" s="100">
        <f>+VLOOKUP(PROVEEDORES[[#This Row],[ID RETENCION]],Retenciones!$A$1:$O$25,2,FALSE)</f>
        <v>0</v>
      </c>
      <c r="Z1058" s="103" t="b">
        <f>OR(COUNTIF(PROVEEDORES[[#This Row],[PROVEEDOR]],"*"&amp;'Palabra no opera'!$A$2&amp;"*"))</f>
        <v>1</v>
      </c>
    </row>
    <row r="1059" spans="1:26" ht="22.35" customHeight="1" x14ac:dyDescent="0.25">
      <c r="A1059" s="65" t="str">
        <f>+IF(PROVEEDORES[[#This Row],[FECHA DE PAGO]]=PROVEEDORES[[#This Row],[FECHA DE FACTURACIÓN]],"DE CONTADO","CRÉDITO")</f>
        <v>CRÉDITO</v>
      </c>
      <c r="B1059" s="38" t="b">
        <f>+IF((PROVEEDORES[[#This Row],[FECHA DE PAGO]]-PROVEEDORES[[#This Row],[FECHA DE FACTURACIÓN]])&gt;PROVEEDORES[[#This Row],[PLAZO Días]],"PAGO VENCIDO")</f>
        <v>0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0</v>
      </c>
      <c r="E1059" s="25"/>
      <c r="F105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59" s="289">
        <v>45250</v>
      </c>
      <c r="H1059" s="26" t="s">
        <v>415</v>
      </c>
      <c r="I1059" s="289">
        <v>45231</v>
      </c>
      <c r="J1059" s="35" t="s">
        <v>1255</v>
      </c>
      <c r="K1059" s="21">
        <v>934363</v>
      </c>
      <c r="L1059" s="21"/>
      <c r="M1059" s="22">
        <f>(PROVEEDORES[[#This Row],[SUBTOTAL]]-PROVEEDORES[[#This Row],[descuento sobre subtotal]])*VLOOKUP(PROVEEDORES[[#This Row],[PROVEEDOR]],TERCEROS_INFO[#All],3,FALSE)</f>
        <v>0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72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1">
        <f ca="1">IF(PROVEEDORES[[#This Row],[FECHA DE PAGO]]=0,TODAY()-PROVEEDORES[[#This Row],[FECHA DE FACTURACIÓN]]-PROVEEDORES[[#This Row],[PLAZO Días]],0)</f>
        <v>0</v>
      </c>
      <c r="U1059" s="97">
        <f>+VLOOKUP(PROVEEDORES[[#This Row],[PROVEEDOR]],Terceros!$A:$D,4,FALSE)</f>
        <v>0</v>
      </c>
      <c r="V1059" s="98">
        <f>+YEAR(PROVEEDORES[[#This Row],[FECHA DE FACTURACIÓN]])</f>
        <v>2023</v>
      </c>
      <c r="W1059" s="98">
        <f>+MATCH(PROVEEDORES[[#This Row],[año facturado]],Retenciones!$1:$1,0)</f>
        <v>6</v>
      </c>
      <c r="X1059" s="99">
        <f>+VLOOKUP(PROVEEDORES[[#This Row],[ID RETENCION]],Retenciones!$A$1:$O$25,PROVEEDORES[[#This Row],[indicador de columna]],FALSE)</f>
        <v>0</v>
      </c>
      <c r="Y1059" s="100">
        <f>+VLOOKUP(PROVEEDORES[[#This Row],[ID RETENCION]],Retenciones!$A$1:$O$25,2,FALSE)</f>
        <v>0</v>
      </c>
      <c r="Z1059" s="103" t="b">
        <f>OR(COUNTIF(PROVEEDORES[[#This Row],[PROVEEDOR]],"*"&amp;'Palabra no opera'!$A$2&amp;"*"))</f>
        <v>1</v>
      </c>
    </row>
    <row r="1060" spans="1:26" ht="22.35" customHeight="1" x14ac:dyDescent="0.25">
      <c r="A1060" s="65" t="str">
        <f>+IF(PROVEEDORES[[#This Row],[FECHA DE PAGO]]=PROVEEDORES[[#This Row],[FECHA DE FACTURACIÓN]],"DE CONTADO","CRÉDITO")</f>
        <v>CRÉDITO</v>
      </c>
      <c r="B1060" s="38" t="b">
        <f>+IF((PROVEEDORES[[#This Row],[FECHA DE PAGO]]-PROVEEDORES[[#This Row],[FECHA DE FACTURACIÓN]])&gt;PROVEEDORES[[#This Row],[PLAZO Días]],"PAGO VENCIDO")</f>
        <v>0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0</v>
      </c>
      <c r="E1060" s="25"/>
      <c r="F106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0" s="289">
        <v>45250</v>
      </c>
      <c r="H1060" s="26" t="s">
        <v>415</v>
      </c>
      <c r="I1060" s="289">
        <v>45231</v>
      </c>
      <c r="J1060" s="35" t="s">
        <v>1256</v>
      </c>
      <c r="K1060" s="21">
        <v>914023</v>
      </c>
      <c r="L1060" s="21"/>
      <c r="M1060" s="22">
        <f>(PROVEEDORES[[#This Row],[SUBTOTAL]]-PROVEEDORES[[#This Row],[descuento sobre subtotal]])*VLOOKUP(PROVEEDORES[[#This Row],[PROVEEDOR]],TERCEROS_INFO[#All],3,FALSE)</f>
        <v>0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72">
        <f>+IF(PROVEEDORES[[#This Row],[SUBTOTAL]]&lt;PROVEEDORES[[#This Row],[base retencion]],0,PROVEEDORES[[#This Row],[retención aplicada]])</f>
        <v>0</v>
      </c>
      <c r="Q1060" s="22">
        <f>+PROVEEDORES[[#This Row],[Rete Fuente %]]*(PROVEEDORES[[#This Row],[SUBTOTAL]]-PROVEEDORES[[#This Row],[descuento sobre subtotal]])</f>
        <v>0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6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1">
        <f ca="1">IF(PROVEEDORES[[#This Row],[FECHA DE PAGO]]=0,TODAY()-PROVEEDORES[[#This Row],[FECHA DE FACTURACIÓN]]-PROVEEDORES[[#This Row],[PLAZO Días]],0)</f>
        <v>0</v>
      </c>
      <c r="U1060" s="97">
        <f>+VLOOKUP(PROVEEDORES[[#This Row],[PROVEEDOR]],Terceros!$A:$D,4,FALSE)</f>
        <v>0</v>
      </c>
      <c r="V1060" s="98">
        <f>+YEAR(PROVEEDORES[[#This Row],[FECHA DE FACTURACIÓN]])</f>
        <v>2023</v>
      </c>
      <c r="W1060" s="98">
        <f>+MATCH(PROVEEDORES[[#This Row],[año facturado]],Retenciones!$1:$1,0)</f>
        <v>6</v>
      </c>
      <c r="X1060" s="99">
        <f>+VLOOKUP(PROVEEDORES[[#This Row],[ID RETENCION]],Retenciones!$A$1:$O$25,PROVEEDORES[[#This Row],[indicador de columna]],FALSE)</f>
        <v>0</v>
      </c>
      <c r="Y1060" s="100">
        <f>+VLOOKUP(PROVEEDORES[[#This Row],[ID RETENCION]],Retenciones!$A$1:$O$25,2,FALSE)</f>
        <v>0</v>
      </c>
      <c r="Z1060" s="103" t="b">
        <f>OR(COUNTIF(PROVEEDORES[[#This Row],[PROVEEDOR]],"*"&amp;'Palabra no opera'!$A$2&amp;"*"))</f>
        <v>1</v>
      </c>
    </row>
    <row r="1061" spans="1:26" ht="22.35" customHeight="1" x14ac:dyDescent="0.25">
      <c r="A1061" s="65" t="str">
        <f>+IF(PROVEEDORES[[#This Row],[FECHA DE PAGO]]=PROVEEDORES[[#This Row],[FECHA DE FACTURACIÓN]],"DE CONTADO","CRÉDITO")</f>
        <v>CRÉDITO</v>
      </c>
      <c r="B1061" s="38" t="b">
        <f>+IF((PROVEEDORES[[#This Row],[FECHA DE PAGO]]-PROVEEDORES[[#This Row],[FECHA DE FACTURACIÓN]])&gt;PROVEEDORES[[#This Row],[PLAZO Días]],"PAGO VENCIDO")</f>
        <v>0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0</v>
      </c>
      <c r="E1061" s="25"/>
      <c r="F1061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1" s="289">
        <v>45271</v>
      </c>
      <c r="H1061" s="26" t="s">
        <v>415</v>
      </c>
      <c r="I1061" s="289">
        <v>45261</v>
      </c>
      <c r="J1061" s="35" t="s">
        <v>1365</v>
      </c>
      <c r="K1061" s="21">
        <v>914023</v>
      </c>
      <c r="L1061" s="21"/>
      <c r="M1061" s="22">
        <f>(PROVEEDORES[[#This Row],[SUBTOTAL]]-PROVEEDORES[[#This Row],[descuento sobre subtotal]])*VLOOKUP(PROVEEDORES[[#This Row],[PROVEEDOR]],TERCEROS_INFO[#All],3,FALSE)</f>
        <v>0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72">
        <f>+IF(PROVEEDORES[[#This Row],[SUBTOTAL]]&lt;PROVEEDORES[[#This Row],[base retencion]],0,PROVEEDORES[[#This Row],[retención aplicada]])</f>
        <v>0</v>
      </c>
      <c r="Q1061" s="22">
        <f>+PROVEEDORES[[#This Row],[Rete Fuente %]]*(PROVEEDORES[[#This Row],[SUBTOTAL]]-PROVEEDORES[[#This Row],[descuento sobre subtotal]])</f>
        <v>0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914023</v>
      </c>
      <c r="S106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1">
        <f ca="1">IF(PROVEEDORES[[#This Row],[FECHA DE PAGO]]=0,TODAY()-PROVEEDORES[[#This Row],[FECHA DE FACTURACIÓN]]-PROVEEDORES[[#This Row],[PLAZO Días]],0)</f>
        <v>0</v>
      </c>
      <c r="U1061" s="97">
        <f>+VLOOKUP(PROVEEDORES[[#This Row],[PROVEEDOR]],Terceros!$A:$D,4,FALSE)</f>
        <v>0</v>
      </c>
      <c r="V1061" s="98">
        <f>+YEAR(PROVEEDORES[[#This Row],[FECHA DE FACTURACIÓN]])</f>
        <v>2023</v>
      </c>
      <c r="W1061" s="98">
        <f>+MATCH(PROVEEDORES[[#This Row],[año facturado]],Retenciones!$1:$1,0)</f>
        <v>6</v>
      </c>
      <c r="X1061" s="99">
        <f>+VLOOKUP(PROVEEDORES[[#This Row],[ID RETENCION]],Retenciones!$A$1:$O$25,PROVEEDORES[[#This Row],[indicador de columna]],FALSE)</f>
        <v>0</v>
      </c>
      <c r="Y1061" s="100">
        <f>+VLOOKUP(PROVEEDORES[[#This Row],[ID RETENCION]],Retenciones!$A$1:$O$25,2,FALSE)</f>
        <v>0</v>
      </c>
      <c r="Z1061" s="103" t="b">
        <f>OR(COUNTIF(PROVEEDORES[[#This Row],[PROVEEDOR]],"*"&amp;'Palabra no opera'!$A$2&amp;"*"))</f>
        <v>1</v>
      </c>
    </row>
    <row r="1062" spans="1:26" ht="33" customHeight="1" x14ac:dyDescent="0.25">
      <c r="A1062" s="65" t="str">
        <f>+IF(PROVEEDORES[[#This Row],[FECHA DE PAGO]]=PROVEEDORES[[#This Row],[FECHA DE FACTURACIÓN]],"DE CONTADO","CRÉDITO")</f>
        <v>CRÉDITO</v>
      </c>
      <c r="B1062" s="38" t="b">
        <f>+IF((PROVEEDORES[[#This Row],[FECHA DE PAGO]]-PROVEEDORES[[#This Row],[FECHA DE FACTURACIÓN]])&gt;PROVEEDORES[[#This Row],[PLAZO Días]],"PAGO VENCIDO")</f>
        <v>0</v>
      </c>
      <c r="C1062" s="20">
        <f>+VLOOKUP(PROVEEDORES[[#This Row],[PROVEEDOR]],TERCEROS_INFO[#All],2,FALSE)</f>
        <v>30</v>
      </c>
      <c r="D1062" s="25">
        <f>+SUMIFS(PROVEEDORES[Total],PROVEEDORES[PROVEEDOR],PROVEEDORES[[#This Row],[PROVEEDOR]],PROVEEDORES[FECHA DE PAGO],"")</f>
        <v>0</v>
      </c>
      <c r="E1062" s="25"/>
      <c r="F1062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2" s="289">
        <v>45271</v>
      </c>
      <c r="H1062" s="26" t="s">
        <v>415</v>
      </c>
      <c r="I1062" s="289">
        <v>45261</v>
      </c>
      <c r="J1062" s="35" t="s">
        <v>1366</v>
      </c>
      <c r="K1062" s="21">
        <v>934363</v>
      </c>
      <c r="L1062" s="21"/>
      <c r="M1062" s="22">
        <f>(PROVEEDORES[[#This Row],[SUBTOTAL]]-PROVEEDORES[[#This Row],[descuento sobre subtotal]])*VLOOKUP(PROVEEDORES[[#This Row],[PROVEEDOR]],TERCEROS_INFO[#All],3,FALSE)</f>
        <v>0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72">
        <f>+IF(PROVEEDORES[[#This Row],[SUBTOTAL]]&lt;PROVEEDORES[[#This Row],[base retencion]],0,PROVEEDORES[[#This Row],[retención aplicada]])</f>
        <v>0</v>
      </c>
      <c r="Q1062" s="22">
        <f>+PROVEEDORES[[#This Row],[Rete Fuente %]]*(PROVEEDORES[[#This Row],[SUBTOTAL]]-PROVEEDORES[[#This Row],[descuento sobre subtotal]])</f>
        <v>0</v>
      </c>
      <c r="R1062" s="21">
        <f>+PROVEEDORES[[#This Row],[SUBTOTAL]]+PROVEEDORES[[#This Row],[IVA 19%]]-PROVEEDORES[[#This Row],[descuento sobre subtotal]]-PROVEEDORES[[#This Row],[Descuento sobre subtotal $2]]-PROVEEDORES[[#This Row],[Rete Fuente $]]</f>
        <v>934363</v>
      </c>
      <c r="S10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1">
        <f ca="1">IF(PROVEEDORES[[#This Row],[FECHA DE PAGO]]=0,TODAY()-PROVEEDORES[[#This Row],[FECHA DE FACTURACIÓN]]-PROVEEDORES[[#This Row],[PLAZO Días]],0)</f>
        <v>0</v>
      </c>
      <c r="U1062" s="97">
        <f>+VLOOKUP(PROVEEDORES[[#This Row],[PROVEEDOR]],Terceros!$A:$D,4,FALSE)</f>
        <v>0</v>
      </c>
      <c r="V1062" s="98">
        <f>+YEAR(PROVEEDORES[[#This Row],[FECHA DE FACTURACIÓN]])</f>
        <v>2023</v>
      </c>
      <c r="W1062" s="98">
        <f>+MATCH(PROVEEDORES[[#This Row],[año facturado]],Retenciones!$1:$1,0)</f>
        <v>6</v>
      </c>
      <c r="X1062" s="99">
        <f>+VLOOKUP(PROVEEDORES[[#This Row],[ID RETENCION]],Retenciones!$A$1:$O$25,PROVEEDORES[[#This Row],[indicador de columna]],FALSE)</f>
        <v>0</v>
      </c>
      <c r="Y1062" s="100">
        <f>+VLOOKUP(PROVEEDORES[[#This Row],[ID RETENCION]],Retenciones!$A$1:$O$25,2,FALSE)</f>
        <v>0</v>
      </c>
      <c r="Z1062" s="103" t="b">
        <f>OR(COUNTIF(PROVEEDORES[[#This Row],[PROVEEDOR]],"*"&amp;'Palabra no opera'!$A$2&amp;"*"))</f>
        <v>1</v>
      </c>
    </row>
    <row r="1063" spans="1:26" ht="22.35" customHeight="1" x14ac:dyDescent="0.25">
      <c r="A1063" s="65" t="str">
        <f>+IF(PROVEEDORES[[#This Row],[FECHA DE PAGO]]=PROVEEDORES[[#This Row],[FECHA DE FACTURACIÓN]],"DE CONTADO","CRÉDITO")</f>
        <v>CRÉDITO</v>
      </c>
      <c r="B1063" s="38" t="b">
        <f>+IF((PROVEEDORES[[#This Row],[FECHA DE PAGO]]-PROVEEDORES[[#This Row],[FECHA DE FACTURACIÓN]])&gt;PROVEEDORES[[#This Row],[PLAZO Días]],"PAGO VENCIDO")</f>
        <v>0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0</v>
      </c>
      <c r="E1063" s="25"/>
      <c r="F1063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3" s="289">
        <v>45281</v>
      </c>
      <c r="H1063" s="26" t="s">
        <v>415</v>
      </c>
      <c r="I1063" s="289">
        <v>45280</v>
      </c>
      <c r="J1063" s="35" t="s">
        <v>1441</v>
      </c>
      <c r="K1063" s="21">
        <v>82000</v>
      </c>
      <c r="L1063" s="21"/>
      <c r="M1063" s="22">
        <f>(PROVEEDORES[[#This Row],[SUBTOTAL]]-PROVEEDORES[[#This Row],[descuento sobre subtotal]])*VLOOKUP(PROVEEDORES[[#This Row],[PROVEEDOR]],TERCEROS_INFO[#All],3,FALSE)</f>
        <v>0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72">
        <f>+IF(PROVEEDORES[[#This Row],[SUBTOTAL]]&lt;PROVEEDORES[[#This Row],[base retencion]],0,PROVEEDORES[[#This Row],[retención aplicada]])</f>
        <v>0</v>
      </c>
      <c r="Q1063" s="22">
        <f>+PROVEEDORES[[#This Row],[Rete Fuente %]]*(PROVEEDORES[[#This Row],[SUBTOTAL]]-PROVEEDORES[[#This Row],[descuento sobre subtotal]])</f>
        <v>0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82000</v>
      </c>
      <c r="S10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1">
        <f ca="1">IF(PROVEEDORES[[#This Row],[FECHA DE PAGO]]=0,TODAY()-PROVEEDORES[[#This Row],[FECHA DE FACTURACIÓN]]-PROVEEDORES[[#This Row],[PLAZO Días]],0)</f>
        <v>0</v>
      </c>
      <c r="U1063" s="97">
        <f>+VLOOKUP(PROVEEDORES[[#This Row],[PROVEEDOR]],Terceros!$A:$D,4,FALSE)</f>
        <v>0</v>
      </c>
      <c r="V1063" s="98">
        <f>+YEAR(PROVEEDORES[[#This Row],[FECHA DE FACTURACIÓN]])</f>
        <v>2023</v>
      </c>
      <c r="W1063" s="98">
        <f>+MATCH(PROVEEDORES[[#This Row],[año facturado]],Retenciones!$1:$1,0)</f>
        <v>6</v>
      </c>
      <c r="X1063" s="99">
        <f>+VLOOKUP(PROVEEDORES[[#This Row],[ID RETENCION]],Retenciones!$A$1:$O$25,PROVEEDORES[[#This Row],[indicador de columna]],FALSE)</f>
        <v>0</v>
      </c>
      <c r="Y1063" s="100">
        <f>+VLOOKUP(PROVEEDORES[[#This Row],[ID RETENCION]],Retenciones!$A$1:$O$25,2,FALSE)</f>
        <v>0</v>
      </c>
      <c r="Z1063" s="103" t="b">
        <f>OR(COUNTIF(PROVEEDORES[[#This Row],[PROVEEDOR]],"*"&amp;'Palabra no opera'!$A$2&amp;"*"))</f>
        <v>1</v>
      </c>
    </row>
    <row r="1064" spans="1:26" ht="22.35" customHeight="1" x14ac:dyDescent="0.25">
      <c r="A1064" s="65" t="str">
        <f>+IF(PROVEEDORES[[#This Row],[FECHA DE PAGO]]=PROVEEDORES[[#This Row],[FECHA DE FACTURACIÓN]],"DE CONTADO","CRÉDITO")</f>
        <v>CRÉDITO</v>
      </c>
      <c r="B1064" s="38" t="b">
        <f>+IF((PROVEEDORES[[#This Row],[FECHA DE PAGO]]-PROVEEDORES[[#This Row],[FECHA DE FACTURACIÓN]])&gt;PROVEEDORES[[#This Row],[PLAZO Días]],"PAGO VENCIDO")</f>
        <v>0</v>
      </c>
      <c r="C1064" s="20">
        <f>+VLOOKUP(PROVEEDORES[[#This Row],[PROVEEDOR]],TERCEROS_INFO[#All],2,FALSE)</f>
        <v>30</v>
      </c>
      <c r="D1064" s="25">
        <f>+SUMIFS(PROVEEDORES[Total],PROVEEDORES[PROVEEDOR],PROVEEDORES[[#This Row],[PROVEEDOR]],PROVEEDORES[FECHA DE PAGO],"")</f>
        <v>0</v>
      </c>
      <c r="E1064" s="25"/>
      <c r="F1064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4" s="289">
        <v>45307</v>
      </c>
      <c r="H1064" s="26" t="s">
        <v>415</v>
      </c>
      <c r="I1064" s="289">
        <v>45292</v>
      </c>
      <c r="J1064" s="35" t="s">
        <v>1490</v>
      </c>
      <c r="K1064" s="21">
        <v>1047050</v>
      </c>
      <c r="L1064" s="21"/>
      <c r="M1064" s="22">
        <f>(PROVEEDORES[[#This Row],[SUBTOTAL]]-PROVEEDORES[[#This Row],[descuento sobre subtotal]])*VLOOKUP(PROVEEDORES[[#This Row],[PROVEEDOR]],TERCEROS_INFO[#All],3,FALSE)</f>
        <v>0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72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1047050</v>
      </c>
      <c r="S10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1">
        <f ca="1">IF(PROVEEDORES[[#This Row],[FECHA DE PAGO]]=0,TODAY()-PROVEEDORES[[#This Row],[FECHA DE FACTURACIÓN]]-PROVEEDORES[[#This Row],[PLAZO Días]],0)</f>
        <v>0</v>
      </c>
      <c r="U1064" s="97">
        <f>+VLOOKUP(PROVEEDORES[[#This Row],[PROVEEDOR]],Terceros!$A:$D,4,FALSE)</f>
        <v>0</v>
      </c>
      <c r="V1064" s="98">
        <f>+YEAR(PROVEEDORES[[#This Row],[FECHA DE FACTURACIÓN]])</f>
        <v>2024</v>
      </c>
      <c r="W1064" s="98">
        <f>+MATCH(PROVEEDORES[[#This Row],[año facturado]],Retenciones!$1:$1,0)</f>
        <v>7</v>
      </c>
      <c r="X1064" s="99">
        <f>+VLOOKUP(PROVEEDORES[[#This Row],[ID RETENCION]],Retenciones!$A$1:$O$25,PROVEEDORES[[#This Row],[indicador de columna]],FALSE)</f>
        <v>0</v>
      </c>
      <c r="Y1064" s="100">
        <f>+VLOOKUP(PROVEEDORES[[#This Row],[ID RETENCION]],Retenciones!$A$1:$O$25,2,FALSE)</f>
        <v>0</v>
      </c>
      <c r="Z1064" s="103" t="b">
        <f>OR(COUNTIF(PROVEEDORES[[#This Row],[PROVEEDOR]],"*"&amp;'Palabra no opera'!$A$2&amp;"*"))</f>
        <v>1</v>
      </c>
    </row>
    <row r="1065" spans="1:26" ht="22.35" customHeight="1" x14ac:dyDescent="0.25">
      <c r="A1065" s="65" t="str">
        <f>+IF(PROVEEDORES[[#This Row],[FECHA DE PAGO]]=PROVEEDORES[[#This Row],[FECHA DE FACTURACIÓN]],"DE CONTADO","CRÉDITO")</f>
        <v>CRÉDITO</v>
      </c>
      <c r="B1065" s="38" t="b">
        <f>+IF((PROVEEDORES[[#This Row],[FECHA DE PAGO]]-PROVEEDORES[[#This Row],[FECHA DE FACTURACIÓN]])&gt;PROVEEDORES[[#This Row],[PLAZO Días]],"PAGO VENCIDO")</f>
        <v>0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0</v>
      </c>
      <c r="E1065" s="25"/>
      <c r="F1065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5" s="289">
        <v>45307</v>
      </c>
      <c r="H1065" s="26" t="s">
        <v>415</v>
      </c>
      <c r="I1065" s="289">
        <v>45292</v>
      </c>
      <c r="J1065" s="35" t="s">
        <v>1489</v>
      </c>
      <c r="K1065" s="21">
        <v>1024255</v>
      </c>
      <c r="L1065" s="21"/>
      <c r="M1065" s="22">
        <f>(PROVEEDORES[[#This Row],[SUBTOTAL]]-PROVEEDORES[[#This Row],[descuento sobre subtotal]])*VLOOKUP(PROVEEDORES[[#This Row],[PROVEEDOR]],TERCEROS_INFO[#All],3,FALSE)</f>
        <v>0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72">
        <f>+IF(PROVEEDORES[[#This Row],[SUBTOTAL]]&lt;PROVEEDORES[[#This Row],[base retencion]],0,PROVEEDORES[[#This Row],[retención aplicada]])</f>
        <v>0</v>
      </c>
      <c r="Q1065" s="22">
        <f>+PROVEEDORES[[#This Row],[Rete Fuente %]]*(PROVEEDORES[[#This Row],[SUBTOTAL]]-PROVEEDORES[[#This Row],[descuento sobre subtotal]])</f>
        <v>0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1024255</v>
      </c>
      <c r="S106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1">
        <f ca="1">IF(PROVEEDORES[[#This Row],[FECHA DE PAGO]]=0,TODAY()-PROVEEDORES[[#This Row],[FECHA DE FACTURACIÓN]]-PROVEEDORES[[#This Row],[PLAZO Días]],0)</f>
        <v>0</v>
      </c>
      <c r="U1065" s="97">
        <f>+VLOOKUP(PROVEEDORES[[#This Row],[PROVEEDOR]],Terceros!$A:$D,4,FALSE)</f>
        <v>0</v>
      </c>
      <c r="V1065" s="98">
        <f>+YEAR(PROVEEDORES[[#This Row],[FECHA DE FACTURACIÓN]])</f>
        <v>2024</v>
      </c>
      <c r="W1065" s="98">
        <f>+MATCH(PROVEEDORES[[#This Row],[año facturado]],Retenciones!$1:$1,0)</f>
        <v>7</v>
      </c>
      <c r="X1065" s="99">
        <f>+VLOOKUP(PROVEEDORES[[#This Row],[ID RETENCION]],Retenciones!$A$1:$O$25,PROVEEDORES[[#This Row],[indicador de columna]],FALSE)</f>
        <v>0</v>
      </c>
      <c r="Y1065" s="100">
        <f>+VLOOKUP(PROVEEDORES[[#This Row],[ID RETENCION]],Retenciones!$A$1:$O$25,2,FALSE)</f>
        <v>0</v>
      </c>
      <c r="Z1065" s="103" t="b">
        <f>OR(COUNTIF(PROVEEDORES[[#This Row],[PROVEEDOR]],"*"&amp;'Palabra no opera'!$A$2&amp;"*"))</f>
        <v>1</v>
      </c>
    </row>
    <row r="1066" spans="1:26" ht="22.35" customHeight="1" x14ac:dyDescent="0.25">
      <c r="A1066" s="314" t="str">
        <f>+IF(PROVEEDORES[[#This Row],[FECHA DE PAGO]]=PROVEEDORES[[#This Row],[FECHA DE FACTURACIÓN]],"DE CONTADO","CRÉDITO")</f>
        <v>CRÉDITO</v>
      </c>
      <c r="B1066" s="38" t="b">
        <f>+IF((PROVEEDORES[[#This Row],[FECHA DE PAGO]]-PROVEEDORES[[#This Row],[FECHA DE FACTURACIÓN]])&gt;PROVEEDORES[[#This Row],[PLAZO Días]],"PAGO VENCIDO")</f>
        <v>0</v>
      </c>
      <c r="C1066" s="20">
        <f>+VLOOKUP(PROVEEDORES[[#This Row],[PROVEEDOR]],TERCEROS_INFO[#All],2,FALSE)</f>
        <v>30</v>
      </c>
      <c r="D1066" s="25">
        <f>+SUMIFS(PROVEEDORES[Total],PROVEEDORES[PROVEEDOR],PROVEEDORES[[#This Row],[PROVEEDOR]],PROVEEDORES[FECHA DE PAGO],"")</f>
        <v>0</v>
      </c>
      <c r="E1066" s="25"/>
      <c r="F1066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66" s="289">
        <v>45313</v>
      </c>
      <c r="H1066" s="26" t="s">
        <v>415</v>
      </c>
      <c r="I1066" s="289">
        <v>45323</v>
      </c>
      <c r="J1066" s="35" t="s">
        <v>1536</v>
      </c>
      <c r="K1066" s="21">
        <v>25000</v>
      </c>
      <c r="L1066" s="21"/>
      <c r="M1066" s="22">
        <f>(PROVEEDORES[[#This Row],[SUBTOTAL]]-PROVEEDORES[[#This Row],[descuento sobre subtotal]])*VLOOKUP(PROVEEDORES[[#This Row],[PROVEEDOR]],TERCEROS_INFO[#All],3,FALSE)</f>
        <v>0</v>
      </c>
      <c r="N1066" s="23"/>
      <c r="O1066" s="22">
        <f>+PROVEEDORES[[#This Row],[Descuento sobre subtotal %]]*(PROVEEDORES[[#This Row],[SUBTOTAL]]-PROVEEDORES[[#This Row],[descuento sobre subtotal]])</f>
        <v>0</v>
      </c>
      <c r="P1066" s="72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f>+PROVEEDORES[[#This Row],[SUBTOTAL]]+PROVEEDORES[[#This Row],[IVA 19%]]-PROVEEDORES[[#This Row],[descuento sobre subtotal]]-PROVEEDORES[[#This Row],[Descuento sobre subtotal $2]]-PROVEEDORES[[#This Row],[Rete Fuente $]]</f>
        <v>25000</v>
      </c>
      <c r="S1066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1">
        <f ca="1">IF(PROVEEDORES[[#This Row],[FECHA DE PAGO]]=0,TODAY()-PROVEEDORES[[#This Row],[FECHA DE FACTURACIÓN]]-PROVEEDORES[[#This Row],[PLAZO Días]],0)</f>
        <v>0</v>
      </c>
      <c r="U1066" s="97">
        <f>+VLOOKUP(PROVEEDORES[[#This Row],[PROVEEDOR]],Terceros!$A:$D,4,FALSE)</f>
        <v>0</v>
      </c>
      <c r="V1066" s="98">
        <f>+YEAR(PROVEEDORES[[#This Row],[FECHA DE FACTURACIÓN]])</f>
        <v>2024</v>
      </c>
      <c r="W1066" s="98">
        <f>+MATCH(PROVEEDORES[[#This Row],[año facturado]],Retenciones!$1:$1,0)</f>
        <v>7</v>
      </c>
      <c r="X1066" s="99">
        <f>+VLOOKUP(PROVEEDORES[[#This Row],[ID RETENCION]],Retenciones!$A$1:$O$25,PROVEEDORES[[#This Row],[indicador de columna]],FALSE)</f>
        <v>0</v>
      </c>
      <c r="Y1066" s="100">
        <f>+VLOOKUP(PROVEEDORES[[#This Row],[ID RETENCION]],Retenciones!$A$1:$O$25,2,FALSE)</f>
        <v>0</v>
      </c>
      <c r="Z1066" s="103" t="b">
        <f>OR(COUNTIF(PROVEEDORES[[#This Row],[PROVEEDOR]],"*"&amp;'Palabra no opera'!$A$2&amp;"*"))</f>
        <v>1</v>
      </c>
    </row>
    <row r="1067" spans="1:26" ht="22.35" customHeight="1" x14ac:dyDescent="0.25">
      <c r="A1067" s="65" t="str">
        <f>+IF(PROVEEDORES[[#This Row],[FECHA DE PAGO]]=PROVEEDORES[[#This Row],[FECHA DE FACTURACIÓN]],"DE CONTADO","CRÉDITO")</f>
        <v>CRÉDITO</v>
      </c>
      <c r="B1067" s="38" t="str">
        <f>+IF((PROVEEDORES[[#This Row],[FECHA DE PAGO]]-PROVEEDORES[[#This Row],[FECHA DE FACTURACIÓN]])&gt;PROVEEDORES[[#This Row],[PLAZO Días]],"PAGO VENCIDO")</f>
        <v>PAGO VENCIDO</v>
      </c>
      <c r="C1067" s="20">
        <f>+VLOOKUP(PROVEEDORES[[#This Row],[PROVEEDOR]],TERCEROS_INFO[#All],2,FALSE)</f>
        <v>30</v>
      </c>
      <c r="D1067" s="25">
        <f>+SUMIFS(PROVEEDORES[Total],PROVEEDORES[PROVEEDOR],PROVEEDORES[[#This Row],[PROVEEDOR]],PROVEEDORES[FECHA DE PAGO],"")</f>
        <v>6857153.040000001</v>
      </c>
      <c r="E1067" s="25"/>
      <c r="F1067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67" s="289">
        <v>44988</v>
      </c>
      <c r="H1067" s="26" t="s">
        <v>254</v>
      </c>
      <c r="I1067" s="289">
        <v>44949</v>
      </c>
      <c r="J1067" s="35" t="s">
        <v>580</v>
      </c>
      <c r="K1067" s="21">
        <v>732750</v>
      </c>
      <c r="L1067" s="21"/>
      <c r="M1067" s="22">
        <f>(PROVEEDORES[[#This Row],[SUBTOTAL]]-PROVEEDORES[[#This Row],[descuento sobre subtotal]])*VLOOKUP(PROVEEDORES[[#This Row],[PROVEEDOR]],TERCEROS_INFO[#All],3,FALSE)</f>
        <v>139222.5</v>
      </c>
      <c r="N1067" s="23"/>
      <c r="O1067" s="22">
        <f>+PROVEEDORES[[#This Row],[Descuento sobre subtotal %]]*(PROVEEDORES[[#This Row],[SUBTOTAL]]-PROVEEDORES[[#This Row],[descuento sobre subtotal]])</f>
        <v>0</v>
      </c>
      <c r="P1067" s="72">
        <f>+IF(PROVEEDORES[[#This Row],[SUBTOTAL]]&lt;PROVEEDORES[[#This Row],[base retencion]],0,PROVEEDORES[[#This Row],[retención aplicada]])</f>
        <v>0</v>
      </c>
      <c r="Q1067" s="22">
        <f>+PROVEEDORES[[#This Row],[Rete Fuente %]]*(PROVEEDORES[[#This Row],[SUBTOTAL]]-PROVEEDORES[[#This Row],[descuento sobre subtotal]])</f>
        <v>0</v>
      </c>
      <c r="R1067" s="21">
        <f>+PROVEEDORES[[#This Row],[SUBTOTAL]]+PROVEEDORES[[#This Row],[IVA 19%]]-PROVEEDORES[[#This Row],[descuento sobre subtotal]]-PROVEEDORES[[#This Row],[Descuento sobre subtotal $2]]-PROVEEDORES[[#This Row],[Rete Fuente $]]</f>
        <v>871972.5</v>
      </c>
      <c r="S10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1">
        <f ca="1">IF(PROVEEDORES[[#This Row],[FECHA DE PAGO]]=0,TODAY()-PROVEEDORES[[#This Row],[FECHA DE FACTURACIÓN]]-PROVEEDORES[[#This Row],[PLAZO Días]],0)</f>
        <v>0</v>
      </c>
      <c r="U1067" s="97" t="str">
        <f>+VLOOKUP(PROVEEDORES[[#This Row],[PROVEEDOR]],Terceros!$A:$D,4,FALSE)</f>
        <v>2,5% con base</v>
      </c>
      <c r="V1067" s="98">
        <f>+YEAR(PROVEEDORES[[#This Row],[FECHA DE FACTURACIÓN]])</f>
        <v>2023</v>
      </c>
      <c r="W1067" s="98">
        <f>+MATCH(PROVEEDORES[[#This Row],[año facturado]],Retenciones!$1:$1,0)</f>
        <v>6</v>
      </c>
      <c r="X1067" s="99">
        <f>+VLOOKUP(PROVEEDORES[[#This Row],[ID RETENCION]],Retenciones!$A$1:$O$25,PROVEEDORES[[#This Row],[indicador de columna]],FALSE)</f>
        <v>1145000</v>
      </c>
      <c r="Y1067" s="100">
        <f>+VLOOKUP(PROVEEDORES[[#This Row],[ID RETENCION]],Retenciones!$A$1:$O$25,2,FALSE)</f>
        <v>2.5000000000000001E-2</v>
      </c>
      <c r="Z1067" s="103" t="b">
        <f>OR(COUNTIF(PROVEEDORES[[#This Row],[PROVEEDOR]],"*"&amp;'Palabra no opera'!$A$2&amp;"*"))</f>
        <v>0</v>
      </c>
    </row>
    <row r="1068" spans="1:26" ht="22.35" customHeight="1" x14ac:dyDescent="0.25">
      <c r="A1068" s="65" t="str">
        <f>+IF(PROVEEDORES[[#This Row],[FECHA DE PAGO]]=PROVEEDORES[[#This Row],[FECHA DE FACTURACIÓN]],"DE CONTADO","CRÉDITO")</f>
        <v>CRÉDITO</v>
      </c>
      <c r="B1068" s="38" t="str">
        <f>+IF((PROVEEDORES[[#This Row],[FECHA DE PAGO]]-PROVEEDORES[[#This Row],[FECHA DE FACTURACIÓN]])&gt;PROVEEDORES[[#This Row],[PLAZO Días]],"PAGO VENCIDO")</f>
        <v>PAGO VENCIDO</v>
      </c>
      <c r="C1068" s="20">
        <f>+VLOOKUP(PROVEEDORES[[#This Row],[PROVEEDOR]],TERCEROS_INFO[#All],2,FALSE)</f>
        <v>30</v>
      </c>
      <c r="D1068" s="25">
        <f>+SUMIFS(PROVEEDORES[Total],PROVEEDORES[PROVEEDOR],PROVEEDORES[[#This Row],[PROVEEDOR]],PROVEEDORES[FECHA DE PAGO],"")</f>
        <v>6857153.040000001</v>
      </c>
      <c r="E1068" s="25"/>
      <c r="F1068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68" s="289">
        <v>45054</v>
      </c>
      <c r="H1068" s="26" t="s">
        <v>254</v>
      </c>
      <c r="I1068" s="289">
        <v>44992</v>
      </c>
      <c r="J1068" s="35" t="s">
        <v>658</v>
      </c>
      <c r="K1068" s="21">
        <v>2463004</v>
      </c>
      <c r="L1068" s="21"/>
      <c r="M1068" s="22">
        <f>(PROVEEDORES[[#This Row],[SUBTOTAL]]-PROVEEDORES[[#This Row],[descuento sobre subtotal]])*VLOOKUP(PROVEEDORES[[#This Row],[PROVEEDOR]],TERCEROS_INFO[#All],3,FALSE)</f>
        <v>467970.76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72">
        <f>+IF(PROVEEDORES[[#This Row],[SUBTOTAL]]&lt;PROVEEDORES[[#This Row],[base retencion]],0,PROVEEDORES[[#This Row],[retención aplicada]])</f>
        <v>2.5000000000000001E-2</v>
      </c>
      <c r="Q1068" s="22">
        <f>+PROVEEDORES[[#This Row],[Rete Fuente %]]*(PROVEEDORES[[#This Row],[SUBTOTAL]]-PROVEEDORES[[#This Row],[descuento sobre subtotal]])</f>
        <v>61575.100000000006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2869399.6599999997</v>
      </c>
      <c r="S10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1">
        <f ca="1">IF(PROVEEDORES[[#This Row],[FECHA DE PAGO]]=0,TODAY()-PROVEEDORES[[#This Row],[FECHA DE FACTURACIÓN]]-PROVEEDORES[[#This Row],[PLAZO Días]],0)</f>
        <v>0</v>
      </c>
      <c r="U1068" s="97" t="str">
        <f>+VLOOKUP(PROVEEDORES[[#This Row],[PROVEEDOR]],Terceros!$A:$D,4,FALSE)</f>
        <v>2,5% con base</v>
      </c>
      <c r="V1068" s="98">
        <f>+YEAR(PROVEEDORES[[#This Row],[FECHA DE FACTURACIÓN]])</f>
        <v>2023</v>
      </c>
      <c r="W1068" s="98">
        <f>+MATCH(PROVEEDORES[[#This Row],[año facturado]],Retenciones!$1:$1,0)</f>
        <v>6</v>
      </c>
      <c r="X1068" s="99">
        <f>+VLOOKUP(PROVEEDORES[[#This Row],[ID RETENCION]],Retenciones!$A$1:$O$25,PROVEEDORES[[#This Row],[indicador de columna]],FALSE)</f>
        <v>1145000</v>
      </c>
      <c r="Y1068" s="100">
        <f>+VLOOKUP(PROVEEDORES[[#This Row],[ID RETENCION]],Retenciones!$A$1:$O$25,2,FALSE)</f>
        <v>2.5000000000000001E-2</v>
      </c>
      <c r="Z1068" s="103" t="b">
        <f>OR(COUNTIF(PROVEEDORES[[#This Row],[PROVEEDOR]],"*"&amp;'Palabra no opera'!$A$2&amp;"*"))</f>
        <v>0</v>
      </c>
    </row>
    <row r="1069" spans="1:26" ht="22.35" customHeight="1" x14ac:dyDescent="0.25">
      <c r="A1069" s="164" t="str">
        <f>+IF(PROVEEDORES[[#This Row],[FECHA DE PAGO]]=PROVEEDORES[[#This Row],[FECHA DE FACTURACIÓN]],"DE CONTADO","CRÉDITO")</f>
        <v>CRÉDITO</v>
      </c>
      <c r="B1069" s="38" t="str">
        <f>+IF((PROVEEDORES[[#This Row],[FECHA DE PAGO]]-PROVEEDORES[[#This Row],[FECHA DE FACTURACIÓN]])&gt;PROVEEDORES[[#This Row],[PLAZO Días]],"PAGO VENCIDO")</f>
        <v>PAGO VENCIDO</v>
      </c>
      <c r="C1069" s="20">
        <f>+VLOOKUP(PROVEEDORES[[#This Row],[PROVEEDOR]],TERCEROS_INFO[#All],2,FALSE)</f>
        <v>30</v>
      </c>
      <c r="D1069" s="25">
        <f>+SUMIFS(PROVEEDORES[Total],PROVEEDORES[PROVEEDOR],PROVEEDORES[[#This Row],[PROVEEDOR]],PROVEEDORES[FECHA DE PAGO],"")</f>
        <v>6857153.040000001</v>
      </c>
      <c r="E1069" s="25"/>
      <c r="F1069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69" s="289">
        <v>45054</v>
      </c>
      <c r="H1069" s="26" t="s">
        <v>254</v>
      </c>
      <c r="I1069" s="289">
        <v>45006</v>
      </c>
      <c r="J1069" s="35" t="s">
        <v>742</v>
      </c>
      <c r="K1069" s="21">
        <v>659490</v>
      </c>
      <c r="L1069" s="21"/>
      <c r="M1069" s="22">
        <f>(PROVEEDORES[[#This Row],[SUBTOTAL]]-PROVEEDORES[[#This Row],[descuento sobre subtotal]])*VLOOKUP(PROVEEDORES[[#This Row],[PROVEEDOR]],TERCEROS_INFO[#All],3,FALSE)</f>
        <v>125303.1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72">
        <f>+IF(PROVEEDORES[[#This Row],[SUBTOTAL]]&lt;PROVEEDORES[[#This Row],[base retencion]],0,PROVEEDORES[[#This Row],[retención aplicada]])</f>
        <v>0</v>
      </c>
      <c r="Q1069" s="22">
        <f>+PROVEEDORES[[#This Row],[Rete Fuente %]]*(PROVEEDORES[[#This Row],[SUBTOTAL]]-PROVEEDORES[[#This Row],[descuento sobre subtotal]])</f>
        <v>0</v>
      </c>
      <c r="R1069" s="21">
        <f>+PROVEEDORES[[#This Row],[SUBTOTAL]]+PROVEEDORES[[#This Row],[IVA 19%]]-PROVEEDORES[[#This Row],[descuento sobre subtotal]]-PROVEEDORES[[#This Row],[Descuento sobre subtotal $2]]-PROVEEDORES[[#This Row],[Rete Fuente $]]</f>
        <v>784793.1</v>
      </c>
      <c r="S1069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1">
        <f ca="1">IF(PROVEEDORES[[#This Row],[FECHA DE PAGO]]=0,TODAY()-PROVEEDORES[[#This Row],[FECHA DE FACTURACIÓN]]-PROVEEDORES[[#This Row],[PLAZO Días]],0)</f>
        <v>0</v>
      </c>
      <c r="U1069" s="97" t="str">
        <f>+VLOOKUP(PROVEEDORES[[#This Row],[PROVEEDOR]],Terceros!$A:$D,4,FALSE)</f>
        <v>2,5% con base</v>
      </c>
      <c r="V1069" s="98">
        <f>+YEAR(PROVEEDORES[[#This Row],[FECHA DE FACTURACIÓN]])</f>
        <v>2023</v>
      </c>
      <c r="W1069" s="98">
        <f>+MATCH(PROVEEDORES[[#This Row],[año facturado]],Retenciones!$1:$1,0)</f>
        <v>6</v>
      </c>
      <c r="X1069" s="99">
        <f>+VLOOKUP(PROVEEDORES[[#This Row],[ID RETENCION]],Retenciones!$A$1:$O$25,PROVEEDORES[[#This Row],[indicador de columna]],FALSE)</f>
        <v>1145000</v>
      </c>
      <c r="Y1069" s="100">
        <f>+VLOOKUP(PROVEEDORES[[#This Row],[ID RETENCION]],Retenciones!$A$1:$O$25,2,FALSE)</f>
        <v>2.5000000000000001E-2</v>
      </c>
      <c r="Z1069" s="103" t="b">
        <f>OR(COUNTIF(PROVEEDORES[[#This Row],[PROVEEDOR]],"*"&amp;'Palabra no opera'!$A$2&amp;"*"))</f>
        <v>0</v>
      </c>
    </row>
    <row r="1070" spans="1:26" ht="22.35" customHeight="1" x14ac:dyDescent="0.25">
      <c r="A1070" s="65" t="str">
        <f>+IF(PROVEEDORES[[#This Row],[FECHA DE PAGO]]=PROVEEDORES[[#This Row],[FECHA DE FACTURACIÓN]],"DE CONTADO","CRÉDITO")</f>
        <v>CRÉDITO</v>
      </c>
      <c r="B1070" s="38" t="str">
        <f>+IF((PROVEEDORES[[#This Row],[FECHA DE PAGO]]-PROVEEDORES[[#This Row],[FECHA DE FACTURACIÓN]])&gt;PROVEEDORES[[#This Row],[PLAZO Días]],"PAGO VENCIDO")</f>
        <v>PAGO VENCIDO</v>
      </c>
      <c r="C1070" s="20">
        <f>+VLOOKUP(PROVEEDORES[[#This Row],[PROVEEDOR]],TERCEROS_INFO[#All],2,FALSE)</f>
        <v>30</v>
      </c>
      <c r="D1070" s="25">
        <f>+SUMIFS(PROVEEDORES[Total],PROVEEDORES[PROVEEDOR],PROVEEDORES[[#This Row],[PROVEEDOR]],PROVEEDORES[FECHA DE PAGO],"")</f>
        <v>6857153.040000001</v>
      </c>
      <c r="E1070" s="25"/>
      <c r="F1070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0" s="289">
        <v>45111</v>
      </c>
      <c r="H1070" s="26" t="s">
        <v>254</v>
      </c>
      <c r="I1070" s="289">
        <v>45056</v>
      </c>
      <c r="J1070" s="35" t="s">
        <v>842</v>
      </c>
      <c r="K1070" s="21">
        <v>3156811</v>
      </c>
      <c r="L1070" s="21"/>
      <c r="M1070" s="22">
        <f>(PROVEEDORES[[#This Row],[SUBTOTAL]]-PROVEEDORES[[#This Row],[descuento sobre subtotal]])*VLOOKUP(PROVEEDORES[[#This Row],[PROVEEDOR]],TERCEROS_INFO[#All],3,FALSE)</f>
        <v>599794.09</v>
      </c>
      <c r="N1070" s="23"/>
      <c r="O1070" s="22">
        <v>72735</v>
      </c>
      <c r="P1070" s="72">
        <f>+IF(PROVEEDORES[[#This Row],[SUBTOTAL]]&lt;PROVEEDORES[[#This Row],[base retencion]],0,PROVEEDORES[[#This Row],[retención aplicada]])</f>
        <v>2.5000000000000001E-2</v>
      </c>
      <c r="Q1070" s="22">
        <f>+PROVEEDORES[[#This Row],[Rete Fuente %]]*(PROVEEDORES[[#This Row],[SUBTOTAL]]-PROVEEDORES[[#This Row],[descuento sobre subtotal]])</f>
        <v>78920.275000000009</v>
      </c>
      <c r="R1070" s="21">
        <f>+PROVEEDORES[[#This Row],[SUBTOTAL]]+PROVEEDORES[[#This Row],[IVA 19%]]-PROVEEDORES[[#This Row],[descuento sobre subtotal]]-PROVEEDORES[[#This Row],[Descuento sobre subtotal $2]]-PROVEEDORES[[#This Row],[Rete Fuente $]]</f>
        <v>3604949.8149999999</v>
      </c>
      <c r="S107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1">
        <f ca="1">IF(PROVEEDORES[[#This Row],[FECHA DE PAGO]]=0,TODAY()-PROVEEDORES[[#This Row],[FECHA DE FACTURACIÓN]]-PROVEEDORES[[#This Row],[PLAZO Días]],0)</f>
        <v>0</v>
      </c>
      <c r="U1070" s="97" t="str">
        <f>+VLOOKUP(PROVEEDORES[[#This Row],[PROVEEDOR]],Terceros!$A:$D,4,FALSE)</f>
        <v>2,5% con base</v>
      </c>
      <c r="V1070" s="98">
        <f>+YEAR(PROVEEDORES[[#This Row],[FECHA DE FACTURACIÓN]])</f>
        <v>2023</v>
      </c>
      <c r="W1070" s="98">
        <f>+MATCH(PROVEEDORES[[#This Row],[año facturado]],Retenciones!$1:$1,0)</f>
        <v>6</v>
      </c>
      <c r="X1070" s="99">
        <f>+VLOOKUP(PROVEEDORES[[#This Row],[ID RETENCION]],Retenciones!$A$1:$O$25,PROVEEDORES[[#This Row],[indicador de columna]],FALSE)</f>
        <v>1145000</v>
      </c>
      <c r="Y1070" s="100">
        <f>+VLOOKUP(PROVEEDORES[[#This Row],[ID RETENCION]],Retenciones!$A$1:$O$25,2,FALSE)</f>
        <v>2.5000000000000001E-2</v>
      </c>
      <c r="Z1070" s="103" t="b">
        <f>OR(COUNTIF(PROVEEDORES[[#This Row],[PROVEEDOR]],"*"&amp;'Palabra no opera'!$A$2&amp;"*"))</f>
        <v>0</v>
      </c>
    </row>
    <row r="1071" spans="1:26" ht="22.35" customHeight="1" x14ac:dyDescent="0.25">
      <c r="A1071" s="65" t="str">
        <f>+IF(PROVEEDORES[[#This Row],[FECHA DE PAGO]]=PROVEEDORES[[#This Row],[FECHA DE FACTURACIÓN]],"DE CONTADO","CRÉDITO")</f>
        <v>CRÉDITO</v>
      </c>
      <c r="B1071" s="38" t="str">
        <f>+IF((PROVEEDORES[[#This Row],[FECHA DE PAGO]]-PROVEEDORES[[#This Row],[FECHA DE FACTURACIÓN]])&gt;PROVEEDORES[[#This Row],[PLAZO Días]],"PAGO VENCIDO")</f>
        <v>PAGO VENCIDO</v>
      </c>
      <c r="C1071" s="20">
        <f>+VLOOKUP(PROVEEDORES[[#This Row],[PROVEEDOR]],TERCEROS_INFO[#All],2,FALSE)</f>
        <v>30</v>
      </c>
      <c r="D1071" s="25">
        <f>+SUMIFS(PROVEEDORES[Total],PROVEEDORES[PROVEEDOR],PROVEEDORES[[#This Row],[PROVEEDOR]],PROVEEDORES[FECHA DE PAGO],"")</f>
        <v>6857153.040000001</v>
      </c>
      <c r="E1071" s="25"/>
      <c r="F107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1" s="289">
        <v>45111</v>
      </c>
      <c r="H1071" s="26" t="s">
        <v>254</v>
      </c>
      <c r="I1071" s="289">
        <v>45062</v>
      </c>
      <c r="J1071" s="35" t="s">
        <v>843</v>
      </c>
      <c r="K1071" s="21">
        <v>-123655</v>
      </c>
      <c r="L1071" s="21"/>
      <c r="M1071" s="22">
        <f>(PROVEEDORES[[#This Row],[SUBTOTAL]]-PROVEEDORES[[#This Row],[descuento sobre subtotal]])*VLOOKUP(PROVEEDORES[[#This Row],[PROVEEDOR]],TERCEROS_INFO[#All],3,FALSE)</f>
        <v>-23494.45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72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f>+PROVEEDORES[[#This Row],[SUBTOTAL]]+PROVEEDORES[[#This Row],[IVA 19%]]-PROVEEDORES[[#This Row],[descuento sobre subtotal]]-PROVEEDORES[[#This Row],[Descuento sobre subtotal $2]]-PROVEEDORES[[#This Row],[Rete Fuente $]]</f>
        <v>-147149.45000000001</v>
      </c>
      <c r="S10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1">
        <f ca="1">IF(PROVEEDORES[[#This Row],[FECHA DE PAGO]]=0,TODAY()-PROVEEDORES[[#This Row],[FECHA DE FACTURACIÓN]]-PROVEEDORES[[#This Row],[PLAZO Días]],0)</f>
        <v>0</v>
      </c>
      <c r="U1071" s="97" t="str">
        <f>+VLOOKUP(PROVEEDORES[[#This Row],[PROVEEDOR]],Terceros!$A:$D,4,FALSE)</f>
        <v>2,5% con base</v>
      </c>
      <c r="V1071" s="98">
        <f>+YEAR(PROVEEDORES[[#This Row],[FECHA DE FACTURACIÓN]])</f>
        <v>2023</v>
      </c>
      <c r="W1071" s="98">
        <f>+MATCH(PROVEEDORES[[#This Row],[año facturado]],Retenciones!$1:$1,0)</f>
        <v>6</v>
      </c>
      <c r="X1071" s="99">
        <f>+VLOOKUP(PROVEEDORES[[#This Row],[ID RETENCION]],Retenciones!$A$1:$O$25,PROVEEDORES[[#This Row],[indicador de columna]],FALSE)</f>
        <v>1145000</v>
      </c>
      <c r="Y1071" s="100">
        <f>+VLOOKUP(PROVEEDORES[[#This Row],[ID RETENCION]],Retenciones!$A$1:$O$25,2,FALSE)</f>
        <v>2.5000000000000001E-2</v>
      </c>
      <c r="Z1071" s="103" t="b">
        <f>OR(COUNTIF(PROVEEDORES[[#This Row],[PROVEEDOR]],"*"&amp;'Palabra no opera'!$A$2&amp;"*"))</f>
        <v>0</v>
      </c>
    </row>
    <row r="1072" spans="1:26" ht="22.35" customHeight="1" x14ac:dyDescent="0.25">
      <c r="A1072" s="213" t="str">
        <f>+IF(PROVEEDORES[[#This Row],[FECHA DE PAGO]]=PROVEEDORES[[#This Row],[FECHA DE FACTURACIÓN]],"DE CONTADO","CRÉDITO")</f>
        <v>CRÉDITO</v>
      </c>
      <c r="B1072" s="38" t="str">
        <f>+IF((PROVEEDORES[[#This Row],[FECHA DE PAGO]]-PROVEEDORES[[#This Row],[FECHA DE FACTURACIÓN]])&gt;PROVEEDORES[[#This Row],[PLAZO Días]],"PAGO VENCIDO")</f>
        <v>PAGO VENCIDO</v>
      </c>
      <c r="C1072" s="20">
        <f>+VLOOKUP(PROVEEDORES[[#This Row],[PROVEEDOR]],TERCEROS_INFO[#All],2,FALSE)</f>
        <v>30</v>
      </c>
      <c r="D1072" s="25">
        <f>+SUMIFS(PROVEEDORES[Total],PROVEEDORES[PROVEEDOR],PROVEEDORES[[#This Row],[PROVEEDOR]],PROVEEDORES[FECHA DE PAGO],"")</f>
        <v>6857153.040000001</v>
      </c>
      <c r="E1072" s="25"/>
      <c r="F1072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2" s="289">
        <v>45191</v>
      </c>
      <c r="H1072" s="26" t="s">
        <v>254</v>
      </c>
      <c r="I1072" s="289">
        <v>45108</v>
      </c>
      <c r="J1072" s="35" t="s">
        <v>966</v>
      </c>
      <c r="K1072" s="21">
        <v>4879238</v>
      </c>
      <c r="L1072" s="21"/>
      <c r="M1072" s="22">
        <f>(PROVEEDORES[[#This Row],[SUBTOTAL]]-PROVEEDORES[[#This Row],[descuento sobre subtotal]])*VLOOKUP(PROVEEDORES[[#This Row],[PROVEEDOR]],TERCEROS_INFO[#All],3,FALSE)</f>
        <v>927055.22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72">
        <f>+IF(PROVEEDORES[[#This Row],[SUBTOTAL]]&lt;PROVEEDORES[[#This Row],[base retencion]],0,PROVEEDORES[[#This Row],[retención aplicada]])</f>
        <v>2.5000000000000001E-2</v>
      </c>
      <c r="Q1072" s="22">
        <f>+PROVEEDORES[[#This Row],[Rete Fuente %]]*(PROVEEDORES[[#This Row],[SUBTOTAL]]-PROVEEDORES[[#This Row],[descuento sobre subtotal]])</f>
        <v>121980.95000000001</v>
      </c>
      <c r="R1072" s="21">
        <f>+PROVEEDORES[[#This Row],[SUBTOTAL]]+PROVEEDORES[[#This Row],[IVA 19%]]-PROVEEDORES[[#This Row],[descuento sobre subtotal]]-PROVEEDORES[[#This Row],[Descuento sobre subtotal $2]]-PROVEEDORES[[#This Row],[Rete Fuente $]]</f>
        <v>5684312.2699999996</v>
      </c>
      <c r="S1072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1">
        <f ca="1">IF(PROVEEDORES[[#This Row],[FECHA DE PAGO]]=0,TODAY()-PROVEEDORES[[#This Row],[FECHA DE FACTURACIÓN]]-PROVEEDORES[[#This Row],[PLAZO Días]],0)</f>
        <v>0</v>
      </c>
      <c r="U1072" s="97" t="str">
        <f>+VLOOKUP(PROVEEDORES[[#This Row],[PROVEEDOR]],Terceros!$A:$D,4,FALSE)</f>
        <v>2,5% con base</v>
      </c>
      <c r="V1072" s="98">
        <f>+YEAR(PROVEEDORES[[#This Row],[FECHA DE FACTURACIÓN]])</f>
        <v>2023</v>
      </c>
      <c r="W1072" s="98">
        <f>+MATCH(PROVEEDORES[[#This Row],[año facturado]],Retenciones!$1:$1,0)</f>
        <v>6</v>
      </c>
      <c r="X1072" s="99">
        <f>+VLOOKUP(PROVEEDORES[[#This Row],[ID RETENCION]],Retenciones!$A$1:$O$25,PROVEEDORES[[#This Row],[indicador de columna]],FALSE)</f>
        <v>1145000</v>
      </c>
      <c r="Y1072" s="100">
        <f>+VLOOKUP(PROVEEDORES[[#This Row],[ID RETENCION]],Retenciones!$A$1:$O$25,2,FALSE)</f>
        <v>2.5000000000000001E-2</v>
      </c>
      <c r="Z1072" s="103" t="b">
        <f>OR(COUNTIF(PROVEEDORES[[#This Row],[PROVEEDOR]],"*"&amp;'Palabra no opera'!$A$2&amp;"*"))</f>
        <v>0</v>
      </c>
    </row>
    <row r="1073" spans="1:26" ht="22.35" customHeight="1" x14ac:dyDescent="0.25">
      <c r="A1073" s="65" t="str">
        <f>+IF(PROVEEDORES[[#This Row],[FECHA DE PAGO]]=PROVEEDORES[[#This Row],[FECHA DE FACTURACIÓN]],"DE CONTADO","CRÉDITO")</f>
        <v>CRÉDITO</v>
      </c>
      <c r="B1073" s="38" t="str">
        <f>+IF((PROVEEDORES[[#This Row],[FECHA DE PAGO]]-PROVEEDORES[[#This Row],[FECHA DE FACTURACIÓN]])&gt;PROVEEDORES[[#This Row],[PLAZO Días]],"PAGO VENCIDO")</f>
        <v>PAGO VENCIDO</v>
      </c>
      <c r="C1073" s="20">
        <f>+VLOOKUP(PROVEEDORES[[#This Row],[PROVEEDOR]],TERCEROS_INFO[#All],2,FALSE)</f>
        <v>30</v>
      </c>
      <c r="D1073" s="25">
        <f>+SUMIFS(PROVEEDORES[Total],PROVEEDORES[PROVEEDOR],PROVEEDORES[[#This Row],[PROVEEDOR]],PROVEEDORES[FECHA DE PAGO],"")</f>
        <v>6857153.040000001</v>
      </c>
      <c r="E1073" s="25"/>
      <c r="F1073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3" s="289">
        <v>45191</v>
      </c>
      <c r="H1073" s="26" t="s">
        <v>254</v>
      </c>
      <c r="I1073" s="289">
        <v>45156</v>
      </c>
      <c r="J1073" s="35" t="s">
        <v>1055</v>
      </c>
      <c r="K1073" s="21">
        <v>1000204</v>
      </c>
      <c r="L1073" s="21"/>
      <c r="M1073" s="22">
        <f>(PROVEEDORES[[#This Row],[SUBTOTAL]]-PROVEEDORES[[#This Row],[descuento sobre subtotal]])*VLOOKUP(PROVEEDORES[[#This Row],[PROVEEDOR]],TERCEROS_INFO[#All],3,FALSE)</f>
        <v>190038.76</v>
      </c>
      <c r="N1073" s="23"/>
      <c r="O1073" s="22">
        <f>+PROVEEDORES[[#This Row],[Descuento sobre subtotal %]]*(PROVEEDORES[[#This Row],[SUBTOTAL]]-PROVEEDORES[[#This Row],[descuento sobre subtotal]])</f>
        <v>0</v>
      </c>
      <c r="P1073" s="72">
        <f>+IF(PROVEEDORES[[#This Row],[SUBTOTAL]]&lt;PROVEEDORES[[#This Row],[base retencion]],0,PROVEEDORES[[#This Row],[retención aplicada]])</f>
        <v>0</v>
      </c>
      <c r="Q1073" s="22">
        <f>+PROVEEDORES[[#This Row],[Rete Fuente %]]*(PROVEEDORES[[#This Row],[SUBTOTAL]]-PROVEEDORES[[#This Row],[descuento sobre subtotal]])</f>
        <v>0</v>
      </c>
      <c r="R1073" s="21">
        <f>+PROVEEDORES[[#This Row],[SUBTOTAL]]+PROVEEDORES[[#This Row],[IVA 19%]]-PROVEEDORES[[#This Row],[descuento sobre subtotal]]-PROVEEDORES[[#This Row],[Descuento sobre subtotal $2]]-PROVEEDORES[[#This Row],[Rete Fuente $]]</f>
        <v>1190242.76</v>
      </c>
      <c r="S10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1">
        <f ca="1">IF(PROVEEDORES[[#This Row],[FECHA DE PAGO]]=0,TODAY()-PROVEEDORES[[#This Row],[FECHA DE FACTURACIÓN]]-PROVEEDORES[[#This Row],[PLAZO Días]],0)</f>
        <v>0</v>
      </c>
      <c r="U1073" s="97" t="str">
        <f>+VLOOKUP(PROVEEDORES[[#This Row],[PROVEEDOR]],Terceros!$A:$D,4,FALSE)</f>
        <v>2,5% con base</v>
      </c>
      <c r="V1073" s="98">
        <f>+YEAR(PROVEEDORES[[#This Row],[FECHA DE FACTURACIÓN]])</f>
        <v>2023</v>
      </c>
      <c r="W1073" s="98">
        <f>+MATCH(PROVEEDORES[[#This Row],[año facturado]],Retenciones!$1:$1,0)</f>
        <v>6</v>
      </c>
      <c r="X1073" s="99">
        <f>+VLOOKUP(PROVEEDORES[[#This Row],[ID RETENCION]],Retenciones!$A$1:$O$25,PROVEEDORES[[#This Row],[indicador de columna]],FALSE)</f>
        <v>1145000</v>
      </c>
      <c r="Y1073" s="100">
        <f>+VLOOKUP(PROVEEDORES[[#This Row],[ID RETENCION]],Retenciones!$A$1:$O$25,2,FALSE)</f>
        <v>2.5000000000000001E-2</v>
      </c>
      <c r="Z1073" s="103" t="b">
        <f>OR(COUNTIF(PROVEEDORES[[#This Row],[PROVEEDOR]],"*"&amp;'Palabra no opera'!$A$2&amp;"*"))</f>
        <v>0</v>
      </c>
    </row>
    <row r="1074" spans="1:26" ht="22.35" customHeight="1" x14ac:dyDescent="0.25">
      <c r="A1074" s="65" t="str">
        <f>+IF(PROVEEDORES[[#This Row],[FECHA DE PAGO]]=PROVEEDORES[[#This Row],[FECHA DE FACTURACIÓN]],"DE CONTADO","CRÉDITO")</f>
        <v>CRÉDITO</v>
      </c>
      <c r="B1074" s="38" t="str">
        <f>+IF((PROVEEDORES[[#This Row],[FECHA DE PAGO]]-PROVEEDORES[[#This Row],[FECHA DE FACTURACIÓN]])&gt;PROVEEDORES[[#This Row],[PLAZO Días]],"PAGO VENCIDO")</f>
        <v>PAGO VENCIDO</v>
      </c>
      <c r="C1074" s="20">
        <f>+VLOOKUP(PROVEEDORES[[#This Row],[PROVEEDOR]],TERCEROS_INFO[#All],2,FALSE)</f>
        <v>30</v>
      </c>
      <c r="D1074" s="25">
        <f>+SUMIFS(PROVEEDORES[Total],PROVEEDORES[PROVEEDOR],PROVEEDORES[[#This Row],[PROVEEDOR]],PROVEEDORES[FECHA DE PAGO],"")</f>
        <v>6857153.040000001</v>
      </c>
      <c r="E1074" s="25"/>
      <c r="F1074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4" s="289">
        <v>45264</v>
      </c>
      <c r="H1074" s="26" t="s">
        <v>254</v>
      </c>
      <c r="I1074" s="289">
        <v>45210</v>
      </c>
      <c r="J1074" s="35" t="s">
        <v>1226</v>
      </c>
      <c r="K1074" s="21">
        <v>7197270</v>
      </c>
      <c r="L1074" s="21"/>
      <c r="M1074" s="22">
        <f>(PROVEEDORES[[#This Row],[SUBTOTAL]]-PROVEEDORES[[#This Row],[descuento sobre subtotal]])*VLOOKUP(PROVEEDORES[[#This Row],[PROVEEDOR]],TERCEROS_INFO[#All],3,FALSE)</f>
        <v>1367481.3</v>
      </c>
      <c r="N1074" s="23"/>
      <c r="O1074" s="22">
        <f>+PROVEEDORES[[#This Row],[Descuento sobre subtotal %]]*(PROVEEDORES[[#This Row],[SUBTOTAL]]-PROVEEDORES[[#This Row],[descuento sobre subtotal]])</f>
        <v>0</v>
      </c>
      <c r="P1074" s="72">
        <f>+IF(PROVEEDORES[[#This Row],[SUBTOTAL]]&lt;PROVEEDORES[[#This Row],[base retencion]],0,PROVEEDORES[[#This Row],[retención aplicada]])</f>
        <v>2.5000000000000001E-2</v>
      </c>
      <c r="Q1074" s="22">
        <f>+PROVEEDORES[[#This Row],[Rete Fuente %]]*(PROVEEDORES[[#This Row],[SUBTOTAL]]-PROVEEDORES[[#This Row],[descuento sobre subtotal]])</f>
        <v>179931.75</v>
      </c>
      <c r="R1074" s="21">
        <f>+PROVEEDORES[[#This Row],[SUBTOTAL]]+PROVEEDORES[[#This Row],[IVA 19%]]-PROVEEDORES[[#This Row],[descuento sobre subtotal]]-PROVEEDORES[[#This Row],[Descuento sobre subtotal $2]]-PROVEEDORES[[#This Row],[Rete Fuente $]]</f>
        <v>8384819.5500000007</v>
      </c>
      <c r="S10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1">
        <f ca="1">IF(PROVEEDORES[[#This Row],[FECHA DE PAGO]]=0,TODAY()-PROVEEDORES[[#This Row],[FECHA DE FACTURACIÓN]]-PROVEEDORES[[#This Row],[PLAZO Días]],0)</f>
        <v>0</v>
      </c>
      <c r="U1074" s="97" t="str">
        <f>+VLOOKUP(PROVEEDORES[[#This Row],[PROVEEDOR]],Terceros!$A:$D,4,FALSE)</f>
        <v>2,5% con base</v>
      </c>
      <c r="V1074" s="98">
        <f>+YEAR(PROVEEDORES[[#This Row],[FECHA DE FACTURACIÓN]])</f>
        <v>2023</v>
      </c>
      <c r="W1074" s="98">
        <f>+MATCH(PROVEEDORES[[#This Row],[año facturado]],Retenciones!$1:$1,0)</f>
        <v>6</v>
      </c>
      <c r="X1074" s="99">
        <f>+VLOOKUP(PROVEEDORES[[#This Row],[ID RETENCION]],Retenciones!$A$1:$O$25,PROVEEDORES[[#This Row],[indicador de columna]],FALSE)</f>
        <v>1145000</v>
      </c>
      <c r="Y1074" s="100">
        <f>+VLOOKUP(PROVEEDORES[[#This Row],[ID RETENCION]],Retenciones!$A$1:$O$25,2,FALSE)</f>
        <v>2.5000000000000001E-2</v>
      </c>
      <c r="Z1074" s="103" t="b">
        <f>OR(COUNTIF(PROVEEDORES[[#This Row],[PROVEEDOR]],"*"&amp;'Palabra no opera'!$A$2&amp;"*"))</f>
        <v>0</v>
      </c>
    </row>
    <row r="1075" spans="1:26" ht="22.35" customHeight="1" x14ac:dyDescent="0.25">
      <c r="A1075" s="262" t="str">
        <f>+IF(PROVEEDORES[[#This Row],[FECHA DE PAGO]]=PROVEEDORES[[#This Row],[FECHA DE FACTURACIÓN]],"DE CONTADO","CRÉDITO")</f>
        <v>CRÉDITO</v>
      </c>
      <c r="B1075" s="38" t="str">
        <f>+IF((PROVEEDORES[[#This Row],[FECHA DE PAGO]]-PROVEEDORES[[#This Row],[FECHA DE FACTURACIÓN]])&gt;PROVEEDORES[[#This Row],[PLAZO Días]],"PAGO VENCIDO")</f>
        <v>PAGO VENCIDO</v>
      </c>
      <c r="C1075" s="20">
        <f>+VLOOKUP(PROVEEDORES[[#This Row],[PROVEEDOR]],TERCEROS_INFO[#All],2,FALSE)</f>
        <v>30</v>
      </c>
      <c r="D1075" s="25">
        <f>+SUMIFS(PROVEEDORES[Total],PROVEEDORES[PROVEEDOR],PROVEEDORES[[#This Row],[PROVEEDOR]],PROVEEDORES[FECHA DE PAGO],"")</f>
        <v>6857153.040000001</v>
      </c>
      <c r="E1075" s="25"/>
      <c r="F1075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75" s="289">
        <v>45280</v>
      </c>
      <c r="H1075" s="26" t="s">
        <v>254</v>
      </c>
      <c r="I1075" s="289">
        <v>45246</v>
      </c>
      <c r="J1075" s="35" t="s">
        <v>1297</v>
      </c>
      <c r="K1075" s="21">
        <v>2491740</v>
      </c>
      <c r="L1075" s="21"/>
      <c r="M1075" s="22">
        <f>(PROVEEDORES[[#This Row],[SUBTOTAL]]-PROVEEDORES[[#This Row],[descuento sobre subtotal]])*VLOOKUP(PROVEEDORES[[#This Row],[PROVEEDOR]],TERCEROS_INFO[#All],3,FALSE)</f>
        <v>473430.6</v>
      </c>
      <c r="N1075" s="23">
        <v>0.05</v>
      </c>
      <c r="O1075" s="22">
        <f>+PROVEEDORES[[#This Row],[Descuento sobre subtotal %]]*(PROVEEDORES[[#This Row],[SUBTOTAL]]-PROVEEDORES[[#This Row],[descuento sobre subtotal]])</f>
        <v>124587</v>
      </c>
      <c r="P1075" s="72">
        <f>+IF(PROVEEDORES[[#This Row],[SUBTOTAL]]&lt;PROVEEDORES[[#This Row],[base retencion]],0,PROVEEDORES[[#This Row],[retención aplicada]])</f>
        <v>2.5000000000000001E-2</v>
      </c>
      <c r="Q1075" s="22">
        <f>+PROVEEDORES[[#This Row],[Rete Fuente %]]*(PROVEEDORES[[#This Row],[SUBTOTAL]]-PROVEEDORES[[#This Row],[descuento sobre subtotal]])</f>
        <v>62293.5</v>
      </c>
      <c r="R1075" s="21">
        <f>+PROVEEDORES[[#This Row],[SUBTOTAL]]+PROVEEDORES[[#This Row],[IVA 19%]]-PROVEEDORES[[#This Row],[descuento sobre subtotal]]-PROVEEDORES[[#This Row],[Descuento sobre subtotal $2]]-PROVEEDORES[[#This Row],[Rete Fuente $]]</f>
        <v>2778290.1</v>
      </c>
      <c r="S1075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1">
        <f ca="1">IF(PROVEEDORES[[#This Row],[FECHA DE PAGO]]=0,TODAY()-PROVEEDORES[[#This Row],[FECHA DE FACTURACIÓN]]-PROVEEDORES[[#This Row],[PLAZO Días]],0)</f>
        <v>0</v>
      </c>
      <c r="U1075" s="97" t="str">
        <f>+VLOOKUP(PROVEEDORES[[#This Row],[PROVEEDOR]],Terceros!$A:$D,4,FALSE)</f>
        <v>2,5% con base</v>
      </c>
      <c r="V1075" s="98">
        <f>+YEAR(PROVEEDORES[[#This Row],[FECHA DE FACTURACIÓN]])</f>
        <v>2023</v>
      </c>
      <c r="W1075" s="98">
        <f>+MATCH(PROVEEDORES[[#This Row],[año facturado]],Retenciones!$1:$1,0)</f>
        <v>6</v>
      </c>
      <c r="X1075" s="99">
        <f>+VLOOKUP(PROVEEDORES[[#This Row],[ID RETENCION]],Retenciones!$A$1:$O$25,PROVEEDORES[[#This Row],[indicador de columna]],FALSE)</f>
        <v>1145000</v>
      </c>
      <c r="Y1075" s="100">
        <f>+VLOOKUP(PROVEEDORES[[#This Row],[ID RETENCION]],Retenciones!$A$1:$O$25,2,FALSE)</f>
        <v>2.5000000000000001E-2</v>
      </c>
      <c r="Z1075" s="103" t="b">
        <f>OR(COUNTIF(PROVEEDORES[[#This Row],[PROVEEDOR]],"*"&amp;'Palabra no opera'!$A$2&amp;"*"))</f>
        <v>0</v>
      </c>
    </row>
    <row r="1076" spans="1:26" ht="22.35" customHeight="1" x14ac:dyDescent="0.25">
      <c r="A1076" s="65" t="str">
        <f>+IF(PROVEEDORES[[#This Row],[FECHA DE PAGO]]=PROVEEDORES[[#This Row],[FECHA DE FACTURACIÓN]],"DE CONTADO","CRÉDITO")</f>
        <v>CRÉDITO</v>
      </c>
      <c r="B1076" s="38" t="str">
        <f>+IF((PROVEEDORES[[#This Row],[FECHA DE PAGO]]-PROVEEDORES[[#This Row],[FECHA DE FACTURACIÓN]])&gt;PROVEEDORES[[#This Row],[PLAZO Días]],"PAGO VENCIDO")</f>
        <v>PAGO VENCIDO</v>
      </c>
      <c r="C1076" s="20">
        <f>+VLOOKUP(PROVEEDORES[[#This Row],[PROVEEDOR]],TERCEROS_INFO[#All],2,FALSE)</f>
        <v>30</v>
      </c>
      <c r="D1076" s="25">
        <f>+SUMIFS(PROVEEDORES[Total],PROVEEDORES[PROVEEDOR],PROVEEDORES[[#This Row],[PROVEEDOR]],PROVEEDORES[FECHA DE PAGO],"")</f>
        <v>1499400</v>
      </c>
      <c r="E1076" s="25"/>
      <c r="F1076" s="56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76" s="289">
        <v>45322</v>
      </c>
      <c r="H1076" s="26" t="s">
        <v>490</v>
      </c>
      <c r="I1076" s="289">
        <v>45286</v>
      </c>
      <c r="J1076" s="35" t="s">
        <v>1436</v>
      </c>
      <c r="K1076" s="21">
        <v>4116710</v>
      </c>
      <c r="L1076" s="21">
        <v>316670</v>
      </c>
      <c r="M1076" s="22">
        <f>(PROVEEDORES[[#This Row],[SUBTOTAL]]-PROVEEDORES[[#This Row],[descuento sobre subtotal]])*VLOOKUP(PROVEEDORES[[#This Row],[PROVEEDOR]],TERCEROS_INFO[#All],3,FALSE)</f>
        <v>722007.6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72">
        <f>+IF(PROVEEDORES[[#This Row],[SUBTOTAL]]&lt;PROVEEDORES[[#This Row],[base retencion]],0,PROVEEDORES[[#This Row],[retención aplicada]])</f>
        <v>2.5000000000000001E-2</v>
      </c>
      <c r="Q1076" s="22">
        <f>+PROVEEDORES[[#This Row],[Rete Fuente %]]*(PROVEEDORES[[#This Row],[SUBTOTAL]]-PROVEEDORES[[#This Row],[descuento sobre subtotal]])</f>
        <v>95001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4427046.5999999996</v>
      </c>
      <c r="S10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1">
        <f ca="1">IF(PROVEEDORES[[#This Row],[FECHA DE PAGO]]=0,TODAY()-PROVEEDORES[[#This Row],[FECHA DE FACTURACIÓN]]-PROVEEDORES[[#This Row],[PLAZO Días]],0)</f>
        <v>0</v>
      </c>
      <c r="U1076" s="97" t="str">
        <f>+VLOOKUP(PROVEEDORES[[#This Row],[PROVEEDOR]],Terceros!$A:$D,4,FALSE)</f>
        <v>2,5% con base</v>
      </c>
      <c r="V1076" s="98">
        <f>+YEAR(PROVEEDORES[[#This Row],[FECHA DE FACTURACIÓN]])</f>
        <v>2023</v>
      </c>
      <c r="W1076" s="98">
        <f>+MATCH(PROVEEDORES[[#This Row],[año facturado]],Retenciones!$1:$1,0)</f>
        <v>6</v>
      </c>
      <c r="X1076" s="99">
        <f>+VLOOKUP(PROVEEDORES[[#This Row],[ID RETENCION]],Retenciones!$A$1:$O$25,PROVEEDORES[[#This Row],[indicador de columna]],FALSE)</f>
        <v>1145000</v>
      </c>
      <c r="Y1076" s="100">
        <f>+VLOOKUP(PROVEEDORES[[#This Row],[ID RETENCION]],Retenciones!$A$1:$O$25,2,FALSE)</f>
        <v>2.5000000000000001E-2</v>
      </c>
      <c r="Z1076" s="103" t="b">
        <f>OR(COUNTIF(PROVEEDORES[[#This Row],[PROVEEDOR]],"*"&amp;'Palabra no opera'!$A$2&amp;"*"))</f>
        <v>0</v>
      </c>
    </row>
    <row r="1077" spans="1:26" ht="22.35" customHeight="1" x14ac:dyDescent="0.25">
      <c r="A1077" s="65" t="str">
        <f>+IF(PROVEEDORES[[#This Row],[FECHA DE PAGO]]=PROVEEDORES[[#This Row],[FECHA DE FACTURACIÓN]],"DE CONTADO","CRÉDITO")</f>
        <v>CRÉDITO</v>
      </c>
      <c r="B1077" s="38" t="str">
        <f>+IF((PROVEEDORES[[#This Row],[FECHA DE PAGO]]-PROVEEDORES[[#This Row],[FECHA DE FACTURACIÓN]])&gt;PROVEEDORES[[#This Row],[PLAZO Días]],"PAGO VENCIDO")</f>
        <v>PAGO VENCIDO</v>
      </c>
      <c r="C1077" s="20">
        <f>+VLOOKUP(PROVEEDORES[[#This Row],[PROVEEDOR]],TERCEROS_INFO[#All],2,FALSE)</f>
        <v>30</v>
      </c>
      <c r="D1077" s="25">
        <f>+SUMIFS(PROVEEDORES[Total],PROVEEDORES[PROVEEDOR],PROVEEDORES[[#This Row],[PROVEEDOR]],PROVEEDORES[FECHA DE PAGO],"")</f>
        <v>2923945.6174999997</v>
      </c>
      <c r="E1077" s="25"/>
      <c r="F1077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077" s="289">
        <v>45327</v>
      </c>
      <c r="H1077" s="26" t="s">
        <v>1526</v>
      </c>
      <c r="I1077" s="289">
        <v>45287</v>
      </c>
      <c r="J1077" s="35" t="s">
        <v>1438</v>
      </c>
      <c r="K1077" s="21">
        <v>128442</v>
      </c>
      <c r="L1077" s="21"/>
      <c r="M1077" s="22">
        <f>(PROVEEDORES[[#This Row],[SUBTOTAL]]-PROVEEDORES[[#This Row],[descuento sobre subtotal]])*VLOOKUP(PROVEEDORES[[#This Row],[PROVEEDOR]],TERCEROS_INFO[#All],3,FALSE)</f>
        <v>24403.98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72">
        <f>+IF(PROVEEDORES[[#This Row],[SUBTOTAL]]&lt;PROVEEDORES[[#This Row],[base retencion]],0,PROVEEDORES[[#This Row],[retención aplicada]])</f>
        <v>0</v>
      </c>
      <c r="Q1077" s="22">
        <f>+PROVEEDORES[[#This Row],[Rete Fuente %]]*(PROVEEDORES[[#This Row],[SUBTOTAL]]-PROVEEDORES[[#This Row],[descuento sobre subtotal]])</f>
        <v>0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152845.98000000001</v>
      </c>
      <c r="S10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1">
        <f ca="1">IF(PROVEEDORES[[#This Row],[FECHA DE PAGO]]=0,TODAY()-PROVEEDORES[[#This Row],[FECHA DE FACTURACIÓN]]-PROVEEDORES[[#This Row],[PLAZO Días]],0)</f>
        <v>0</v>
      </c>
      <c r="U1077" s="97" t="str">
        <f>+VLOOKUP(PROVEEDORES[[#This Row],[PROVEEDOR]],Terceros!$A:$D,4,FALSE)</f>
        <v>2,5% con base</v>
      </c>
      <c r="V1077" s="98">
        <f>+YEAR(PROVEEDORES[[#This Row],[FECHA DE FACTURACIÓN]])</f>
        <v>2023</v>
      </c>
      <c r="W1077" s="98">
        <f>+MATCH(PROVEEDORES[[#This Row],[año facturado]],Retenciones!$1:$1,0)</f>
        <v>6</v>
      </c>
      <c r="X1077" s="99">
        <f>+VLOOKUP(PROVEEDORES[[#This Row],[ID RETENCION]],Retenciones!$A$1:$O$25,PROVEEDORES[[#This Row],[indicador de columna]],FALSE)</f>
        <v>1145000</v>
      </c>
      <c r="Y1077" s="100">
        <f>+VLOOKUP(PROVEEDORES[[#This Row],[ID RETENCION]],Retenciones!$A$1:$O$25,2,FALSE)</f>
        <v>2.5000000000000001E-2</v>
      </c>
      <c r="Z1077" s="103" t="b">
        <f>OR(COUNTIF(PROVEEDORES[[#This Row],[PROVEEDOR]],"*"&amp;'Palabra no opera'!$A$2&amp;"*"))</f>
        <v>0</v>
      </c>
    </row>
    <row r="1078" spans="1:26" ht="22.35" customHeight="1" x14ac:dyDescent="0.25">
      <c r="A1078" s="314" t="str">
        <f>+IF(PROVEEDORES[[#This Row],[FECHA DE PAGO]]=PROVEEDORES[[#This Row],[FECHA DE FACTURACIÓN]],"DE CONTADO","CRÉDITO")</f>
        <v>CRÉDITO</v>
      </c>
      <c r="B1078" s="38" t="b">
        <f>+IF((PROVEEDORES[[#This Row],[FECHA DE PAGO]]-PROVEEDORES[[#This Row],[FECHA DE FACTURACIÓN]])&gt;PROVEEDORES[[#This Row],[PLAZO Días]],"PAGO VENCIDO")</f>
        <v>0</v>
      </c>
      <c r="C1078" s="20">
        <f>+VLOOKUP(PROVEEDORES[[#This Row],[PROVEEDOR]],TERCEROS_INFO[#All],2,FALSE)</f>
        <v>30</v>
      </c>
      <c r="D1078" s="25">
        <f>+SUMIFS(PROVEEDORES[Total],PROVEEDORES[PROVEEDOR],PROVEEDORES[[#This Row],[PROVEEDOR]],PROVEEDORES[FECHA DE PAGO],"")</f>
        <v>6857153.040000001</v>
      </c>
      <c r="E1078" s="25"/>
      <c r="F1078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H1078" s="26" t="s">
        <v>254</v>
      </c>
      <c r="I1078" s="289">
        <v>45308</v>
      </c>
      <c r="J1078" s="35" t="s">
        <v>1515</v>
      </c>
      <c r="K1078" s="21">
        <v>1109186</v>
      </c>
      <c r="L1078" s="21"/>
      <c r="M1078" s="22">
        <f>(PROVEEDORES[[#This Row],[SUBTOTAL]]-PROVEEDORES[[#This Row],[descuento sobre subtotal]])*VLOOKUP(PROVEEDORES[[#This Row],[PROVEEDOR]],TERCEROS_INFO[#All],3,FALSE)</f>
        <v>210745.34</v>
      </c>
      <c r="N1078" s="23"/>
      <c r="O1078" s="22">
        <f>+PROVEEDORES[[#This Row],[Descuento sobre subtotal %]]*(PROVEEDORES[[#This Row],[SUBTOTAL]]-PROVEEDORES[[#This Row],[descuento sobre subtotal]])</f>
        <v>0</v>
      </c>
      <c r="P1078" s="72">
        <f>+IF(PROVEEDORES[[#This Row],[SUBTOTAL]]&lt;PROVEEDORES[[#This Row],[base retencion]],0,PROVEEDORES[[#This Row],[retención aplicada]])</f>
        <v>0</v>
      </c>
      <c r="Q1078" s="22">
        <f>+PROVEEDORES[[#This Row],[Rete Fuente %]]*(PROVEEDORES[[#This Row],[SUBTOTAL]]-PROVEEDORES[[#This Row],[descuento sobre subtotal]])</f>
        <v>0</v>
      </c>
      <c r="R1078" s="21">
        <f>+PROVEEDORES[[#This Row],[SUBTOTAL]]+PROVEEDORES[[#This Row],[IVA 19%]]-PROVEEDORES[[#This Row],[descuento sobre subtotal]]-PROVEEDORES[[#This Row],[Descuento sobre subtotal $2]]-PROVEEDORES[[#This Row],[Rete Fuente $]]</f>
        <v>1319931.3400000001</v>
      </c>
      <c r="S1078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078" s="61">
        <f ca="1">IF(PROVEEDORES[[#This Row],[FECHA DE PAGO]]=0,TODAY()-PROVEEDORES[[#This Row],[FECHA DE FACTURACIÓN]]-PROVEEDORES[[#This Row],[PLAZO Días]],0)</f>
        <v>-10</v>
      </c>
      <c r="U1078" s="97" t="str">
        <f>+VLOOKUP(PROVEEDORES[[#This Row],[PROVEEDOR]],Terceros!$A:$D,4,FALSE)</f>
        <v>2,5% con base</v>
      </c>
      <c r="V1078" s="98">
        <f>+YEAR(PROVEEDORES[[#This Row],[FECHA DE FACTURACIÓN]])</f>
        <v>2024</v>
      </c>
      <c r="W1078" s="98">
        <f>+MATCH(PROVEEDORES[[#This Row],[año facturado]],Retenciones!$1:$1,0)</f>
        <v>7</v>
      </c>
      <c r="X1078" s="99">
        <f>+VLOOKUP(PROVEEDORES[[#This Row],[ID RETENCION]],Retenciones!$A$1:$O$25,PROVEEDORES[[#This Row],[indicador de columna]],FALSE)</f>
        <v>1271000</v>
      </c>
      <c r="Y1078" s="100">
        <f>+VLOOKUP(PROVEEDORES[[#This Row],[ID RETENCION]],Retenciones!$A$1:$O$25,2,FALSE)</f>
        <v>2.5000000000000001E-2</v>
      </c>
      <c r="Z1078" s="103" t="b">
        <f>OR(COUNTIF(PROVEEDORES[[#This Row],[PROVEEDOR]],"*"&amp;'Palabra no opera'!$A$2&amp;"*"))</f>
        <v>0</v>
      </c>
    </row>
    <row r="1079" spans="1:26" ht="22.35" customHeight="1" x14ac:dyDescent="0.25">
      <c r="A1079" s="65" t="str">
        <f>+IF(PROVEEDORES[[#This Row],[FECHA DE PAGO]]=PROVEEDORES[[#This Row],[FECHA DE FACTURACIÓN]],"DE CONTADO","CRÉDITO")</f>
        <v>CRÉDITO</v>
      </c>
      <c r="B1079" s="38" t="b">
        <f>+IF((PROVEEDORES[[#This Row],[FECHA DE PAGO]]-PROVEEDORES[[#This Row],[FECHA DE FACTURACIÓN]])&gt;PROVEEDORES[[#This Row],[PLAZO Días]],"PAGO VENCIDO")</f>
        <v>0</v>
      </c>
      <c r="C1079" s="20">
        <f>+VLOOKUP(PROVEEDORES[[#This Row],[PROVEEDOR]],TERCEROS_INFO[#All],2,FALSE)</f>
        <v>10</v>
      </c>
      <c r="D1079" s="25">
        <f>+SUMIFS(PROVEEDORES[Total],PROVEEDORES[PROVEEDOR],PROVEEDORES[[#This Row],[PROVEEDOR]],PROVEEDORES[FECHA DE PAGO],"")</f>
        <v>0</v>
      </c>
      <c r="E1079" s="25"/>
      <c r="F1079" s="56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079" s="289">
        <v>45300</v>
      </c>
      <c r="H1079" s="26" t="s">
        <v>1513</v>
      </c>
      <c r="I1079" s="289">
        <v>45292</v>
      </c>
      <c r="J1079" s="35" t="s">
        <v>1459</v>
      </c>
      <c r="K1079" s="21">
        <v>4394976</v>
      </c>
      <c r="L1079" s="21"/>
      <c r="M1079" s="22">
        <v>752248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72">
        <f>+IF(PROVEEDORES[[#This Row],[SUBTOTAL]]&lt;PROVEEDORES[[#This Row],[base retencion]],0,PROVEEDORES[[#This Row],[retención aplicada]])</f>
        <v>3.5000000000000003E-2</v>
      </c>
      <c r="Q1079" s="22">
        <v>138572</v>
      </c>
      <c r="R1079" s="21">
        <f>+PROVEEDORES[[#This Row],[SUBTOTAL]]+PROVEEDORES[[#This Row],[IVA 19%]]-PROVEEDORES[[#This Row],[descuento sobre subtotal]]-PROVEEDORES[[#This Row],[Descuento sobre subtotal $2]]-PROVEEDORES[[#This Row],[Rete Fuente $]]</f>
        <v>5008652</v>
      </c>
      <c r="S107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1">
        <f ca="1">IF(PROVEEDORES[[#This Row],[FECHA DE PAGO]]=0,TODAY()-PROVEEDORES[[#This Row],[FECHA DE FACTURACIÓN]]-PROVEEDORES[[#This Row],[PLAZO Días]],0)</f>
        <v>0</v>
      </c>
      <c r="U1079" s="97" t="str">
        <f>+VLOOKUP(PROVEEDORES[[#This Row],[PROVEEDOR]],Terceros!$A:$D,4,FALSE)</f>
        <v>3,5% sin base</v>
      </c>
      <c r="V1079" s="98">
        <f>+YEAR(PROVEEDORES[[#This Row],[FECHA DE FACTURACIÓN]])</f>
        <v>2024</v>
      </c>
      <c r="W1079" s="98">
        <f>+MATCH(PROVEEDORES[[#This Row],[año facturado]],Retenciones!$1:$1,0)</f>
        <v>7</v>
      </c>
      <c r="X1079" s="99">
        <f>+VLOOKUP(PROVEEDORES[[#This Row],[ID RETENCION]],Retenciones!$A$1:$O$25,PROVEEDORES[[#This Row],[indicador de columna]],FALSE)</f>
        <v>0</v>
      </c>
      <c r="Y1079" s="100">
        <f>+VLOOKUP(PROVEEDORES[[#This Row],[ID RETENCION]],Retenciones!$A$1:$O$25,2,FALSE)</f>
        <v>3.5000000000000003E-2</v>
      </c>
      <c r="Z1079" s="103" t="b">
        <f>OR(COUNTIF(PROVEEDORES[[#This Row],[PROVEEDOR]],"*"&amp;'Palabra no opera'!$A$2&amp;"*"))</f>
        <v>1</v>
      </c>
    </row>
    <row r="1080" spans="1:26" ht="22.35" customHeight="1" x14ac:dyDescent="0.25">
      <c r="A1080" s="314" t="str">
        <f>+IF(PROVEEDORES[[#This Row],[FECHA DE PAGO]]=PROVEEDORES[[#This Row],[FECHA DE FACTURACIÓN]],"DE CONTADO","CRÉDITO")</f>
        <v>CRÉDITO</v>
      </c>
      <c r="B1080" s="38" t="b">
        <f>+IF((PROVEEDORES[[#This Row],[FECHA DE PAGO]]-PROVEEDORES[[#This Row],[FECHA DE FACTURACIÓN]])&gt;PROVEEDORES[[#This Row],[PLAZO Días]],"PAGO VENCIDO")</f>
        <v>0</v>
      </c>
      <c r="C1080" s="20">
        <f>+VLOOKUP(PROVEEDORES[[#This Row],[PROVEEDOR]],TERCEROS_INFO[#All],2,FALSE)</f>
        <v>10</v>
      </c>
      <c r="D1080" s="25">
        <f>+SUMIFS(PROVEEDORES[Total],PROVEEDORES[PROVEEDOR],PROVEEDORES[[#This Row],[PROVEEDOR]],PROVEEDORES[FECHA DE PAGO],"")</f>
        <v>0</v>
      </c>
      <c r="E1080" s="25"/>
      <c r="F1080" s="56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080" s="289">
        <v>45317</v>
      </c>
      <c r="H1080" s="26" t="s">
        <v>1513</v>
      </c>
      <c r="I1080" s="289">
        <v>45308</v>
      </c>
      <c r="J1080" s="35" t="s">
        <v>1514</v>
      </c>
      <c r="K1080" s="21">
        <v>40441</v>
      </c>
      <c r="L1080" s="21"/>
      <c r="M1080" s="22">
        <f>(PROVEEDORES[[#This Row],[SUBTOTAL]]-PROVEEDORES[[#This Row],[descuento sobre subtotal]])*VLOOKUP(PROVEEDORES[[#This Row],[PROVEEDOR]],TERCEROS_INFO[#All],3,FALSE)</f>
        <v>7683.79</v>
      </c>
      <c r="N1080" s="23"/>
      <c r="O1080" s="22">
        <f>+PROVEEDORES[[#This Row],[Descuento sobre subtotal %]]*(PROVEEDORES[[#This Row],[SUBTOTAL]]-PROVEEDORES[[#This Row],[descuento sobre subtotal]])</f>
        <v>0</v>
      </c>
      <c r="P1080" s="72">
        <f>+IF(PROVEEDORES[[#This Row],[SUBTOTAL]]&lt;PROVEEDORES[[#This Row],[base retencion]],0,PROVEEDORES[[#This Row],[retención aplicada]])</f>
        <v>3.5000000000000003E-2</v>
      </c>
      <c r="Q1080" s="22">
        <f>+PROVEEDORES[[#This Row],[Rete Fuente %]]*(PROVEEDORES[[#This Row],[SUBTOTAL]]-PROVEEDORES[[#This Row],[descuento sobre subtotal]])</f>
        <v>1415.4350000000002</v>
      </c>
      <c r="R1080" s="21">
        <f>+PROVEEDORES[[#This Row],[SUBTOTAL]]+PROVEEDORES[[#This Row],[IVA 19%]]-PROVEEDORES[[#This Row],[descuento sobre subtotal]]-PROVEEDORES[[#This Row],[Descuento sobre subtotal $2]]-PROVEEDORES[[#This Row],[Rete Fuente $]]</f>
        <v>46709.355000000003</v>
      </c>
      <c r="S1080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1">
        <f ca="1">IF(PROVEEDORES[[#This Row],[FECHA DE PAGO]]=0,TODAY()-PROVEEDORES[[#This Row],[FECHA DE FACTURACIÓN]]-PROVEEDORES[[#This Row],[PLAZO Días]],0)</f>
        <v>0</v>
      </c>
      <c r="U1080" s="97" t="str">
        <f>+VLOOKUP(PROVEEDORES[[#This Row],[PROVEEDOR]],Terceros!$A:$D,4,FALSE)</f>
        <v>3,5% sin base</v>
      </c>
      <c r="V1080" s="98">
        <f>+YEAR(PROVEEDORES[[#This Row],[FECHA DE FACTURACIÓN]])</f>
        <v>2024</v>
      </c>
      <c r="W1080" s="98">
        <f>+MATCH(PROVEEDORES[[#This Row],[año facturado]],Retenciones!$1:$1,0)</f>
        <v>7</v>
      </c>
      <c r="X1080" s="99">
        <f>+VLOOKUP(PROVEEDORES[[#This Row],[ID RETENCION]],Retenciones!$A$1:$O$25,PROVEEDORES[[#This Row],[indicador de columna]],FALSE)</f>
        <v>0</v>
      </c>
      <c r="Y1080" s="100">
        <f>+VLOOKUP(PROVEEDORES[[#This Row],[ID RETENCION]],Retenciones!$A$1:$O$25,2,FALSE)</f>
        <v>3.5000000000000003E-2</v>
      </c>
      <c r="Z1080" s="103" t="b">
        <f>OR(COUNTIF(PROVEEDORES[[#This Row],[PROVEEDOR]],"*"&amp;'Palabra no opera'!$A$2&amp;"*"))</f>
        <v>1</v>
      </c>
    </row>
    <row r="1081" spans="1:26" ht="22.35" customHeight="1" x14ac:dyDescent="0.25">
      <c r="A1081" s="145" t="str">
        <f>+IF(PROVEEDORES[[#This Row],[FECHA DE PAGO]]=PROVEEDORES[[#This Row],[FECHA DE FACTURACIÓN]],"DE CONTADO","CRÉDITO")</f>
        <v>CRÉDITO</v>
      </c>
      <c r="B1081" s="38" t="b">
        <f>+IF((PROVEEDORES[[#This Row],[FECHA DE PAGO]]-PROVEEDORES[[#This Row],[FECHA DE FACTURACIÓN]])&gt;PROVEEDORES[[#This Row],[PLAZO Días]],"PAGO VENCIDO")</f>
        <v>0</v>
      </c>
      <c r="C1081" s="20">
        <f>+VLOOKUP(PROVEEDORES[[#This Row],[PROVEEDOR]],TERCEROS_INFO[#All],2,FALSE)</f>
        <v>30</v>
      </c>
      <c r="D1081" s="25">
        <f>+SUMIFS(PROVEEDORES[Total],PROVEEDORES[PROVEEDOR],PROVEEDORES[[#This Row],[PROVEEDOR]],PROVEEDORES[FECHA DE PAGO],"")</f>
        <v>0</v>
      </c>
      <c r="E1081" s="25"/>
      <c r="F1081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1" s="289">
        <v>44953</v>
      </c>
      <c r="H1081" s="26" t="s">
        <v>416</v>
      </c>
      <c r="I1081" s="289">
        <v>44928</v>
      </c>
      <c r="J1081" s="35" t="s">
        <v>559</v>
      </c>
      <c r="K1081" s="21">
        <v>3891260</v>
      </c>
      <c r="L1081" s="21"/>
      <c r="M1081" s="22">
        <f>(PROVEEDORES[[#This Row],[SUBTOTAL]]-PROVEEDORES[[#This Row],[descuento sobre subtotal]])*VLOOKUP(PROVEEDORES[[#This Row],[PROVEEDOR]],TERCEROS_INFO[#All],3,FALSE)</f>
        <v>739339.4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72">
        <f>+IF(PROVEEDORES[[#This Row],[SUBTOTAL]]&lt;PROVEEDORES[[#This Row],[base retencion]],0,PROVEEDORES[[#This Row],[retención aplicada]])</f>
        <v>3.5000000000000003E-2</v>
      </c>
      <c r="Q1081" s="22">
        <f>+PROVEEDORES[[#This Row],[Rete Fuente %]]*(PROVEEDORES[[#This Row],[SUBTOTAL]]-PROVEEDORES[[#This Row],[descuento sobre subtotal]])</f>
        <v>136194.1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4494405.3000000007</v>
      </c>
      <c r="S1081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1">
        <f ca="1">IF(PROVEEDORES[[#This Row],[FECHA DE PAGO]]=0,TODAY()-PROVEEDORES[[#This Row],[FECHA DE FACTURACIÓN]]-PROVEEDORES[[#This Row],[PLAZO Días]],0)</f>
        <v>0</v>
      </c>
      <c r="U1081" s="97" t="str">
        <f>+VLOOKUP(PROVEEDORES[[#This Row],[PROVEEDOR]],Terceros!$A:$D,4,FALSE)</f>
        <v>3,5% sin base</v>
      </c>
      <c r="V1081" s="98">
        <f>+YEAR(PROVEEDORES[[#This Row],[FECHA DE FACTURACIÓN]])</f>
        <v>2023</v>
      </c>
      <c r="W1081" s="98">
        <f>+MATCH(PROVEEDORES[[#This Row],[año facturado]],Retenciones!$1:$1,0)</f>
        <v>6</v>
      </c>
      <c r="X1081" s="99">
        <f>+VLOOKUP(PROVEEDORES[[#This Row],[ID RETENCION]],Retenciones!$A$1:$O$25,PROVEEDORES[[#This Row],[indicador de columna]],FALSE)</f>
        <v>0</v>
      </c>
      <c r="Y1081" s="100">
        <f>+VLOOKUP(PROVEEDORES[[#This Row],[ID RETENCION]],Retenciones!$A$1:$O$25,2,FALSE)</f>
        <v>3.5000000000000003E-2</v>
      </c>
      <c r="Z1081" s="103" t="b">
        <f>OR(COUNTIF(PROVEEDORES[[#This Row],[PROVEEDOR]],"*"&amp;'Palabra no opera'!$A$2&amp;"*"))</f>
        <v>1</v>
      </c>
    </row>
    <row r="1082" spans="1:26" ht="22.35" customHeight="1" x14ac:dyDescent="0.25">
      <c r="A1082" s="164" t="str">
        <f>+IF(PROVEEDORES[[#This Row],[FECHA DE PAGO]]=PROVEEDORES[[#This Row],[FECHA DE FACTURACIÓN]],"DE CONTADO","CRÉDITO")</f>
        <v>CRÉDITO</v>
      </c>
      <c r="B1082" s="38" t="b">
        <f>+IF((PROVEEDORES[[#This Row],[FECHA DE PAGO]]-PROVEEDORES[[#This Row],[FECHA DE FACTURACIÓN]])&gt;PROVEEDORES[[#This Row],[PLAZO Días]],"PAGO VENCIDO")</f>
        <v>0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2" s="289">
        <v>45014</v>
      </c>
      <c r="H1082" s="26" t="s">
        <v>416</v>
      </c>
      <c r="I1082" s="289">
        <v>44986</v>
      </c>
      <c r="J1082" s="35" t="s">
        <v>687</v>
      </c>
      <c r="K1082" s="21">
        <v>3945038</v>
      </c>
      <c r="L1082" s="21"/>
      <c r="M1082" s="22">
        <v>665000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72">
        <v>0</v>
      </c>
      <c r="Q1082" s="22">
        <f>+PROVEEDORES[[#This Row],[Rete Fuente %]]*(PROVEEDORES[[#This Row],[SUBTOTAL]]-PROVEEDORES[[#This Row],[descuento sobre subtotal]])</f>
        <v>0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4610038</v>
      </c>
      <c r="S1082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1">
        <f ca="1">IF(PROVEEDORES[[#This Row],[FECHA DE PAGO]]=0,TODAY()-PROVEEDORES[[#This Row],[FECHA DE FACTURACIÓN]]-PROVEEDORES[[#This Row],[PLAZO Días]],0)</f>
        <v>0</v>
      </c>
      <c r="U1082" s="97" t="str">
        <f>+VLOOKUP(PROVEEDORES[[#This Row],[PROVEEDOR]],Terceros!$A:$D,4,FALSE)</f>
        <v>3,5% sin base</v>
      </c>
      <c r="V1082" s="98">
        <f>+YEAR(PROVEEDORES[[#This Row],[FECHA DE FACTURACIÓN]])</f>
        <v>2023</v>
      </c>
      <c r="W1082" s="98">
        <f>+MATCH(PROVEEDORES[[#This Row],[año facturado]],Retenciones!$1:$1,0)</f>
        <v>6</v>
      </c>
      <c r="X1082" s="99">
        <f>+VLOOKUP(PROVEEDORES[[#This Row],[ID RETENCION]],Retenciones!$A$1:$O$25,PROVEEDORES[[#This Row],[indicador de columna]],FALSE)</f>
        <v>0</v>
      </c>
      <c r="Y1082" s="100">
        <f>+VLOOKUP(PROVEEDORES[[#This Row],[ID RETENCION]],Retenciones!$A$1:$O$25,2,FALSE)</f>
        <v>3.5000000000000003E-2</v>
      </c>
      <c r="Z1082" s="103" t="b">
        <f>OR(COUNTIF(PROVEEDORES[[#This Row],[PROVEEDOR]],"*"&amp;'Palabra no opera'!$A$2&amp;"*"))</f>
        <v>1</v>
      </c>
    </row>
    <row r="1083" spans="1:26" ht="22.35" customHeight="1" x14ac:dyDescent="0.25">
      <c r="A1083" s="164" t="str">
        <f>+IF(PROVEEDORES[[#This Row],[FECHA DE PAGO]]=PROVEEDORES[[#This Row],[FECHA DE FACTURACIÓN]],"DE CONTADO","CRÉDITO")</f>
        <v>CRÉDITO</v>
      </c>
      <c r="B1083" s="38" t="b">
        <f>+IF((PROVEEDORES[[#This Row],[FECHA DE PAGO]]-PROVEEDORES[[#This Row],[FECHA DE FACTURACIÓN]])&gt;PROVEEDORES[[#This Row],[PLAZO Días]],"PAGO VENCIDO")</f>
        <v>0</v>
      </c>
      <c r="C1083" s="20">
        <f>+VLOOKUP(PROVEEDORES[[#This Row],[PROVEEDOR]],TERCEROS_INFO[#All],2,FALSE)</f>
        <v>30</v>
      </c>
      <c r="D1083" s="25">
        <f>+SUMIFS(PROVEEDORES[Total],PROVEEDORES[PROVEEDOR],PROVEEDORES[[#This Row],[PROVEEDOR]],PROVEEDORES[FECHA DE PAGO],"")</f>
        <v>0</v>
      </c>
      <c r="E1083" s="25"/>
      <c r="F108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3" s="289">
        <v>45014</v>
      </c>
      <c r="H1083" s="26" t="s">
        <v>416</v>
      </c>
      <c r="I1083" s="289">
        <v>44986</v>
      </c>
      <c r="J1083" s="35" t="s">
        <v>688</v>
      </c>
      <c r="K1083" s="21">
        <v>92201</v>
      </c>
      <c r="L1083" s="21"/>
      <c r="M1083" s="22">
        <f>(PROVEEDORES[[#This Row],[SUBTOTAL]]-PROVEEDORES[[#This Row],[descuento sobre subtotal]])*VLOOKUP(PROVEEDORES[[#This Row],[PROVEEDOR]],TERCEROS_INFO[#All],3,FALSE)</f>
        <v>17518.189999999999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72">
        <f>+IF(PROVEEDORES[[#This Row],[SUBTOTAL]]&lt;PROVEEDORES[[#This Row],[base retencion]],0,PROVEEDORES[[#This Row],[retención aplicada]])</f>
        <v>3.5000000000000003E-2</v>
      </c>
      <c r="Q1083" s="22">
        <f>+PROVEEDORES[[#This Row],[Rete Fuente %]]*(PROVEEDORES[[#This Row],[SUBTOTAL]]-PROVEEDORES[[#This Row],[descuento sobre subtotal]])</f>
        <v>3227.0350000000003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106492.155</v>
      </c>
      <c r="S1083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1">
        <f ca="1">IF(PROVEEDORES[[#This Row],[FECHA DE PAGO]]=0,TODAY()-PROVEEDORES[[#This Row],[FECHA DE FACTURACIÓN]]-PROVEEDORES[[#This Row],[PLAZO Días]],0)</f>
        <v>0</v>
      </c>
      <c r="U1083" s="97" t="str">
        <f>+VLOOKUP(PROVEEDORES[[#This Row],[PROVEEDOR]],Terceros!$A:$D,4,FALSE)</f>
        <v>3,5% sin base</v>
      </c>
      <c r="V1083" s="98">
        <f>+YEAR(PROVEEDORES[[#This Row],[FECHA DE FACTURACIÓN]])</f>
        <v>2023</v>
      </c>
      <c r="W1083" s="98">
        <f>+MATCH(PROVEEDORES[[#This Row],[año facturado]],Retenciones!$1:$1,0)</f>
        <v>6</v>
      </c>
      <c r="X1083" s="99">
        <f>+VLOOKUP(PROVEEDORES[[#This Row],[ID RETENCION]],Retenciones!$A$1:$O$25,PROVEEDORES[[#This Row],[indicador de columna]],FALSE)</f>
        <v>0</v>
      </c>
      <c r="Y1083" s="100">
        <f>+VLOOKUP(PROVEEDORES[[#This Row],[ID RETENCION]],Retenciones!$A$1:$O$25,2,FALSE)</f>
        <v>3.5000000000000003E-2</v>
      </c>
      <c r="Z1083" s="103" t="b">
        <f>OR(COUNTIF(PROVEEDORES[[#This Row],[PROVEEDOR]],"*"&amp;'Palabra no opera'!$A$2&amp;"*"))</f>
        <v>1</v>
      </c>
    </row>
    <row r="1084" spans="1:26" ht="22.35" customHeight="1" x14ac:dyDescent="0.25">
      <c r="A1084" s="164" t="str">
        <f>+IF(PROVEEDORES[[#This Row],[FECHA DE PAGO]]=PROVEEDORES[[#This Row],[FECHA DE FACTURACIÓN]],"DE CONTADO","CRÉDITO")</f>
        <v>CRÉDITO</v>
      </c>
      <c r="B1084" s="38" t="b">
        <f>+IF((PROVEEDORES[[#This Row],[FECHA DE PAGO]]-PROVEEDORES[[#This Row],[FECHA DE FACTURACIÓN]])&gt;PROVEEDORES[[#This Row],[PLAZO Días]],"PAGO VENCIDO")</f>
        <v>0</v>
      </c>
      <c r="C1084" s="20">
        <f>+VLOOKUP(PROVEEDORES[[#This Row],[PROVEEDOR]],TERCEROS_INFO[#All],2,FALSE)</f>
        <v>30</v>
      </c>
      <c r="D1084" s="25">
        <f>+SUMIFS(PROVEEDORES[Total],PROVEEDORES[PROVEEDOR],PROVEEDORES[[#This Row],[PROVEEDOR]],PROVEEDORES[FECHA DE PAGO],"")</f>
        <v>0</v>
      </c>
      <c r="E1084" s="25"/>
      <c r="F1084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4" s="289">
        <v>45014</v>
      </c>
      <c r="H1084" s="26" t="s">
        <v>416</v>
      </c>
      <c r="I1084" s="289">
        <v>44986</v>
      </c>
      <c r="J1084" s="35" t="s">
        <v>689</v>
      </c>
      <c r="K1084" s="21">
        <v>-7783</v>
      </c>
      <c r="L1084" s="21"/>
      <c r="M1084" s="22">
        <f>(PROVEEDORES[[#This Row],[SUBTOTAL]]-PROVEEDORES[[#This Row],[descuento sobre subtotal]])*VLOOKUP(PROVEEDORES[[#This Row],[PROVEEDOR]],TERCEROS_INFO[#All],3,FALSE)</f>
        <v>-1478.77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72">
        <f>+IF(PROVEEDORES[[#This Row],[SUBTOTAL]]&lt;PROVEEDORES[[#This Row],[base retencion]],0,PROVEEDORES[[#This Row],[retención aplicada]])</f>
        <v>0</v>
      </c>
      <c r="Q1084" s="22">
        <f>+PROVEEDORES[[#This Row],[Rete Fuente %]]*(PROVEEDORES[[#This Row],[SUBTOTAL]]-PROVEEDORES[[#This Row],[descuento sobre subtotal]])</f>
        <v>0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-9261.77</v>
      </c>
      <c r="S1084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1">
        <f ca="1">IF(PROVEEDORES[[#This Row],[FECHA DE PAGO]]=0,TODAY()-PROVEEDORES[[#This Row],[FECHA DE FACTURACIÓN]]-PROVEEDORES[[#This Row],[PLAZO Días]],0)</f>
        <v>0</v>
      </c>
      <c r="U1084" s="97" t="str">
        <f>+VLOOKUP(PROVEEDORES[[#This Row],[PROVEEDOR]],Terceros!$A:$D,4,FALSE)</f>
        <v>3,5% sin base</v>
      </c>
      <c r="V1084" s="98">
        <f>+YEAR(PROVEEDORES[[#This Row],[FECHA DE FACTURACIÓN]])</f>
        <v>2023</v>
      </c>
      <c r="W1084" s="98">
        <f>+MATCH(PROVEEDORES[[#This Row],[año facturado]],Retenciones!$1:$1,0)</f>
        <v>6</v>
      </c>
      <c r="X1084" s="99">
        <f>+VLOOKUP(PROVEEDORES[[#This Row],[ID RETENCION]],Retenciones!$A$1:$O$25,PROVEEDORES[[#This Row],[indicador de columna]],FALSE)</f>
        <v>0</v>
      </c>
      <c r="Y1084" s="100">
        <f>+VLOOKUP(PROVEEDORES[[#This Row],[ID RETENCION]],Retenciones!$A$1:$O$25,2,FALSE)</f>
        <v>3.5000000000000003E-2</v>
      </c>
      <c r="Z1084" s="103" t="b">
        <f>OR(COUNTIF(PROVEEDORES[[#This Row],[PROVEEDOR]],"*"&amp;'Palabra no opera'!$A$2&amp;"*"))</f>
        <v>1</v>
      </c>
    </row>
    <row r="1085" spans="1:26" ht="22.35" customHeight="1" x14ac:dyDescent="0.25">
      <c r="A1085" s="65" t="str">
        <f>+IF(PROVEEDORES[[#This Row],[FECHA DE PAGO]]=PROVEEDORES[[#This Row],[FECHA DE FACTURACIÓN]],"DE CONTADO","CRÉDITO")</f>
        <v>CRÉDITO</v>
      </c>
      <c r="B1085" s="38" t="b">
        <f>+IF((PROVEEDORES[[#This Row],[FECHA DE PAGO]]-PROVEEDORES[[#This Row],[FECHA DE FACTURACIÓN]])&gt;PROVEEDORES[[#This Row],[PLAZO Días]],"PAGO VENCIDO")</f>
        <v>0</v>
      </c>
      <c r="C1085" s="20">
        <f>+VLOOKUP(PROVEEDORES[[#This Row],[PROVEEDOR]],TERCEROS_INFO[#All],2,FALSE)</f>
        <v>30</v>
      </c>
      <c r="D1085" s="25">
        <f>+SUMIFS(PROVEEDORES[Total],PROVEEDORES[PROVEEDOR],PROVEEDORES[[#This Row],[PROVEEDOR]],PROVEEDORES[FECHA DE PAGO],"")</f>
        <v>0</v>
      </c>
      <c r="E1085" s="25"/>
      <c r="F108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5" s="289">
        <v>45026</v>
      </c>
      <c r="H1085" s="26" t="s">
        <v>416</v>
      </c>
      <c r="I1085" s="289">
        <v>45017</v>
      </c>
      <c r="J1085" s="35" t="s">
        <v>716</v>
      </c>
      <c r="K1085" s="21">
        <v>3935776</v>
      </c>
      <c r="L1085" s="21"/>
      <c r="M1085" s="22">
        <v>665000</v>
      </c>
      <c r="N1085" s="23"/>
      <c r="O1085" s="22">
        <f>+PROVEEDORES[[#This Row],[Descuento sobre subtotal %]]*(PROVEEDORES[[#This Row],[SUBTOTAL]]-PROVEEDORES[[#This Row],[descuento sobre subtotal]])</f>
        <v>0</v>
      </c>
      <c r="P1085" s="72">
        <f>+IF(PROVEEDORES[[#This Row],[SUBTOTAL]]&lt;PROVEEDORES[[#This Row],[base retencion]],0,PROVEEDORES[[#This Row],[retención aplicada]])</f>
        <v>3.5000000000000003E-2</v>
      </c>
      <c r="Q1085" s="22"/>
      <c r="R1085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8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1">
        <f ca="1">IF(PROVEEDORES[[#This Row],[FECHA DE PAGO]]=0,TODAY()-PROVEEDORES[[#This Row],[FECHA DE FACTURACIÓN]]-PROVEEDORES[[#This Row],[PLAZO Días]],0)</f>
        <v>0</v>
      </c>
      <c r="U1085" s="97" t="str">
        <f>+VLOOKUP(PROVEEDORES[[#This Row],[PROVEEDOR]],Terceros!$A:$D,4,FALSE)</f>
        <v>3,5% sin base</v>
      </c>
      <c r="V1085" s="98">
        <f>+YEAR(PROVEEDORES[[#This Row],[FECHA DE FACTURACIÓN]])</f>
        <v>2023</v>
      </c>
      <c r="W1085" s="98">
        <f>+MATCH(PROVEEDORES[[#This Row],[año facturado]],Retenciones!$1:$1,0)</f>
        <v>6</v>
      </c>
      <c r="X1085" s="99">
        <f>+VLOOKUP(PROVEEDORES[[#This Row],[ID RETENCION]],Retenciones!$A$1:$O$25,PROVEEDORES[[#This Row],[indicador de columna]],FALSE)</f>
        <v>0</v>
      </c>
      <c r="Y1085" s="100">
        <f>+VLOOKUP(PROVEEDORES[[#This Row],[ID RETENCION]],Retenciones!$A$1:$O$25,2,FALSE)</f>
        <v>3.5000000000000003E-2</v>
      </c>
      <c r="Z1085" s="103" t="b">
        <f>OR(COUNTIF(PROVEEDORES[[#This Row],[PROVEEDOR]],"*"&amp;'Palabra no opera'!$A$2&amp;"*"))</f>
        <v>1</v>
      </c>
    </row>
    <row r="1086" spans="1:26" ht="22.35" customHeight="1" x14ac:dyDescent="0.25">
      <c r="A1086" s="194" t="str">
        <f>+IF(PROVEEDORES[[#This Row],[FECHA DE PAGO]]=PROVEEDORES[[#This Row],[FECHA DE FACTURACIÓN]],"DE CONTADO","CRÉDITO")</f>
        <v>CRÉDITO</v>
      </c>
      <c r="B1086" s="38" t="b">
        <f>+IF((PROVEEDORES[[#This Row],[FECHA DE PAGO]]-PROVEEDORES[[#This Row],[FECHA DE FACTURACIÓN]])&gt;PROVEEDORES[[#This Row],[PLAZO Días]],"PAGO VENCIDO")</f>
        <v>0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0</v>
      </c>
      <c r="E1086" s="25"/>
      <c r="F1086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6" s="289">
        <v>45056</v>
      </c>
      <c r="H1086" s="26" t="s">
        <v>416</v>
      </c>
      <c r="I1086" s="289">
        <v>45047</v>
      </c>
      <c r="J1086" s="35" t="s">
        <v>816</v>
      </c>
      <c r="K1086" s="21">
        <v>52142</v>
      </c>
      <c r="L1086" s="21"/>
      <c r="M1086" s="22">
        <f>(PROVEEDORES[[#This Row],[SUBTOTAL]]-PROVEEDORES[[#This Row],[descuento sobre subtotal]])*VLOOKUP(PROVEEDORES[[#This Row],[PROVEEDOR]],TERCEROS_INFO[#All],3,FALSE)</f>
        <v>9906.98</v>
      </c>
      <c r="N1086" s="23"/>
      <c r="O1086" s="22">
        <f>+PROVEEDORES[[#This Row],[Descuento sobre subtotal %]]*(PROVEEDORES[[#This Row],[SUBTOTAL]]-PROVEEDORES[[#This Row],[descuento sobre subtotal]])</f>
        <v>0</v>
      </c>
      <c r="P1086" s="72">
        <f>+IF(PROVEEDORES[[#This Row],[SUBTOTAL]]&lt;PROVEEDORES[[#This Row],[base retencion]],0,PROVEEDORES[[#This Row],[retención aplicada]])</f>
        <v>3.5000000000000003E-2</v>
      </c>
      <c r="Q1086" s="22"/>
      <c r="R1086" s="21">
        <f>+PROVEEDORES[[#This Row],[SUBTOTAL]]+PROVEEDORES[[#This Row],[IVA 19%]]-PROVEEDORES[[#This Row],[descuento sobre subtotal]]-PROVEEDORES[[#This Row],[Descuento sobre subtotal $2]]-PROVEEDORES[[#This Row],[Rete Fuente $]]</f>
        <v>62048.979999999996</v>
      </c>
      <c r="S1086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1">
        <f ca="1">IF(PROVEEDORES[[#This Row],[FECHA DE PAGO]]=0,TODAY()-PROVEEDORES[[#This Row],[FECHA DE FACTURACIÓN]]-PROVEEDORES[[#This Row],[PLAZO Días]],0)</f>
        <v>0</v>
      </c>
      <c r="U1086" s="97" t="str">
        <f>+VLOOKUP(PROVEEDORES[[#This Row],[PROVEEDOR]],Terceros!$A:$D,4,FALSE)</f>
        <v>3,5% sin base</v>
      </c>
      <c r="V1086" s="98">
        <f>+YEAR(PROVEEDORES[[#This Row],[FECHA DE FACTURACIÓN]])</f>
        <v>2023</v>
      </c>
      <c r="W1086" s="98">
        <f>+MATCH(PROVEEDORES[[#This Row],[año facturado]],Retenciones!$1:$1,0)</f>
        <v>6</v>
      </c>
      <c r="X1086" s="99">
        <f>+VLOOKUP(PROVEEDORES[[#This Row],[ID RETENCION]],Retenciones!$A$1:$O$25,PROVEEDORES[[#This Row],[indicador de columna]],FALSE)</f>
        <v>0</v>
      </c>
      <c r="Y1086" s="100">
        <f>+VLOOKUP(PROVEEDORES[[#This Row],[ID RETENCION]],Retenciones!$A$1:$O$25,2,FALSE)</f>
        <v>3.5000000000000003E-2</v>
      </c>
      <c r="Z1086" s="103" t="b">
        <f>OR(COUNTIF(PROVEEDORES[[#This Row],[PROVEEDOR]],"*"&amp;'Palabra no opera'!$A$2&amp;"*"))</f>
        <v>1</v>
      </c>
    </row>
    <row r="1087" spans="1:26" ht="22.35" customHeight="1" x14ac:dyDescent="0.25">
      <c r="A1087" s="194" t="str">
        <f>+IF(PROVEEDORES[[#This Row],[FECHA DE PAGO]]=PROVEEDORES[[#This Row],[FECHA DE FACTURACIÓN]],"DE CONTADO","CRÉDITO")</f>
        <v>CRÉDITO</v>
      </c>
      <c r="B1087" s="38" t="b">
        <f>+IF((PROVEEDORES[[#This Row],[FECHA DE PAGO]]-PROVEEDORES[[#This Row],[FECHA DE FACTURACIÓN]])&gt;PROVEEDORES[[#This Row],[PLAZO Días]],"PAGO VENCIDO")</f>
        <v>0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0</v>
      </c>
      <c r="E1087" s="25"/>
      <c r="F1087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7" s="289">
        <v>45056</v>
      </c>
      <c r="H1087" s="26" t="s">
        <v>416</v>
      </c>
      <c r="I1087" s="289">
        <v>45047</v>
      </c>
      <c r="J1087" s="35" t="s">
        <v>817</v>
      </c>
      <c r="K1087" s="21">
        <v>3935776</v>
      </c>
      <c r="L1087" s="21"/>
      <c r="M1087" s="22">
        <v>665000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72">
        <f>+IF(PROVEEDORES[[#This Row],[SUBTOTAL]]&lt;PROVEEDORES[[#This Row],[base retencion]],0,PROVEEDORES[[#This Row],[retención aplicada]])</f>
        <v>3.5000000000000003E-2</v>
      </c>
      <c r="Q1087" s="22"/>
      <c r="R1087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87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1">
        <f ca="1">IF(PROVEEDORES[[#This Row],[FECHA DE PAGO]]=0,TODAY()-PROVEEDORES[[#This Row],[FECHA DE FACTURACIÓN]]-PROVEEDORES[[#This Row],[PLAZO Días]],0)</f>
        <v>0</v>
      </c>
      <c r="U1087" s="97" t="str">
        <f>+VLOOKUP(PROVEEDORES[[#This Row],[PROVEEDOR]],Terceros!$A:$D,4,FALSE)</f>
        <v>3,5% sin base</v>
      </c>
      <c r="V1087" s="98">
        <f>+YEAR(PROVEEDORES[[#This Row],[FECHA DE FACTURACIÓN]])</f>
        <v>2023</v>
      </c>
      <c r="W1087" s="98">
        <f>+MATCH(PROVEEDORES[[#This Row],[año facturado]],Retenciones!$1:$1,0)</f>
        <v>6</v>
      </c>
      <c r="X1087" s="99">
        <f>+VLOOKUP(PROVEEDORES[[#This Row],[ID RETENCION]],Retenciones!$A$1:$O$25,PROVEEDORES[[#This Row],[indicador de columna]],FALSE)</f>
        <v>0</v>
      </c>
      <c r="Y1087" s="100">
        <f>+VLOOKUP(PROVEEDORES[[#This Row],[ID RETENCION]],Retenciones!$A$1:$O$25,2,FALSE)</f>
        <v>3.5000000000000003E-2</v>
      </c>
      <c r="Z1087" s="103" t="b">
        <f>OR(COUNTIF(PROVEEDORES[[#This Row],[PROVEEDOR]],"*"&amp;'Palabra no opera'!$A$2&amp;"*"))</f>
        <v>1</v>
      </c>
    </row>
    <row r="1088" spans="1:26" ht="22.35" customHeight="1" x14ac:dyDescent="0.25">
      <c r="A1088" s="65" t="str">
        <f>+IF(PROVEEDORES[[#This Row],[FECHA DE PAGO]]=PROVEEDORES[[#This Row],[FECHA DE FACTURACIÓN]],"DE CONTADO","CRÉDITO")</f>
        <v>CRÉDITO</v>
      </c>
      <c r="B1088" s="38" t="b">
        <f>+IF((PROVEEDORES[[#This Row],[FECHA DE PAGO]]-PROVEEDORES[[#This Row],[FECHA DE FACTURACIÓN]])&gt;PROVEEDORES[[#This Row],[PLAZO Días]],"PAGO VENCIDO")</f>
        <v>0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0</v>
      </c>
      <c r="E1088" s="25"/>
      <c r="F1088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8" s="289">
        <v>45086</v>
      </c>
      <c r="H1088" s="26" t="s">
        <v>416</v>
      </c>
      <c r="I1088" s="289">
        <v>45078</v>
      </c>
      <c r="J1088" s="35" t="s">
        <v>864</v>
      </c>
      <c r="K1088" s="21">
        <v>3935776</v>
      </c>
      <c r="L1088" s="21"/>
      <c r="M1088" s="22">
        <v>665000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72">
        <f>+IF(PROVEEDORES[[#This Row],[SUBTOTAL]]&lt;PROVEEDORES[[#This Row],[base retencion]],0,PROVEEDORES[[#This Row],[retención aplicada]])</f>
        <v>3.5000000000000003E-2</v>
      </c>
      <c r="Q1088" s="22"/>
      <c r="R1088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1">
        <f ca="1">IF(PROVEEDORES[[#This Row],[FECHA DE PAGO]]=0,TODAY()-PROVEEDORES[[#This Row],[FECHA DE FACTURACIÓN]]-PROVEEDORES[[#This Row],[PLAZO Días]],0)</f>
        <v>0</v>
      </c>
      <c r="U1088" s="97" t="str">
        <f>+VLOOKUP(PROVEEDORES[[#This Row],[PROVEEDOR]],Terceros!$A:$D,4,FALSE)</f>
        <v>3,5% sin base</v>
      </c>
      <c r="V1088" s="98">
        <f>+YEAR(PROVEEDORES[[#This Row],[FECHA DE FACTURACIÓN]])</f>
        <v>2023</v>
      </c>
      <c r="W1088" s="98">
        <f>+MATCH(PROVEEDORES[[#This Row],[año facturado]],Retenciones!$1:$1,0)</f>
        <v>6</v>
      </c>
      <c r="X1088" s="99">
        <f>+VLOOKUP(PROVEEDORES[[#This Row],[ID RETENCION]],Retenciones!$A$1:$O$25,PROVEEDORES[[#This Row],[indicador de columna]],FALSE)</f>
        <v>0</v>
      </c>
      <c r="Y1088" s="100">
        <f>+VLOOKUP(PROVEEDORES[[#This Row],[ID RETENCION]],Retenciones!$A$1:$O$25,2,FALSE)</f>
        <v>3.5000000000000003E-2</v>
      </c>
      <c r="Z1088" s="103" t="b">
        <f>OR(COUNTIF(PROVEEDORES[[#This Row],[PROVEEDOR]],"*"&amp;'Palabra no opera'!$A$2&amp;"*"))</f>
        <v>1</v>
      </c>
    </row>
    <row r="1089" spans="1:26" ht="22.35" customHeight="1" x14ac:dyDescent="0.25">
      <c r="A1089" s="65" t="str">
        <f>+IF(PROVEEDORES[[#This Row],[FECHA DE PAGO]]=PROVEEDORES[[#This Row],[FECHA DE FACTURACIÓN]],"DE CONTADO","CRÉDITO")</f>
        <v>CRÉDITO</v>
      </c>
      <c r="B1089" s="38" t="b">
        <f>+IF((PROVEEDORES[[#This Row],[FECHA DE PAGO]]-PROVEEDORES[[#This Row],[FECHA DE FACTURACIÓN]])&gt;PROVEEDORES[[#This Row],[PLAZO Días]],"PAGO VENCIDO")</f>
        <v>0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89" s="289">
        <v>45116</v>
      </c>
      <c r="H1089" s="26" t="s">
        <v>416</v>
      </c>
      <c r="I1089" s="289">
        <v>45108</v>
      </c>
      <c r="J1089" s="35" t="s">
        <v>1029</v>
      </c>
      <c r="K1089" s="21">
        <v>3935776</v>
      </c>
      <c r="L1089" s="21"/>
      <c r="M1089" s="22">
        <v>665000</v>
      </c>
      <c r="N1089" s="23"/>
      <c r="O1089" s="22">
        <f>+PROVEEDORES[[#This Row],[Descuento sobre subtotal %]]*(PROVEEDORES[[#This Row],[SUBTOTAL]]-PROVEEDORES[[#This Row],[descuento sobre subtotal]])</f>
        <v>0</v>
      </c>
      <c r="P1089" s="72">
        <f>+IF(PROVEEDORES[[#This Row],[SUBTOTAL]]&lt;PROVEEDORES[[#This Row],[base retencion]],0,PROVEEDORES[[#This Row],[retención aplicada]])</f>
        <v>3.5000000000000003E-2</v>
      </c>
      <c r="Q1089" s="22"/>
      <c r="R1089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1">
        <f ca="1">IF(PROVEEDORES[[#This Row],[FECHA DE PAGO]]=0,TODAY()-PROVEEDORES[[#This Row],[FECHA DE FACTURACIÓN]]-PROVEEDORES[[#This Row],[PLAZO Días]],0)</f>
        <v>0</v>
      </c>
      <c r="U1089" s="97" t="str">
        <f>+VLOOKUP(PROVEEDORES[[#This Row],[PROVEEDOR]],Terceros!$A:$D,4,FALSE)</f>
        <v>3,5% sin base</v>
      </c>
      <c r="V1089" s="98">
        <f>+YEAR(PROVEEDORES[[#This Row],[FECHA DE FACTURACIÓN]])</f>
        <v>2023</v>
      </c>
      <c r="W1089" s="98">
        <f>+MATCH(PROVEEDORES[[#This Row],[año facturado]],Retenciones!$1:$1,0)</f>
        <v>6</v>
      </c>
      <c r="X1089" s="99">
        <f>+VLOOKUP(PROVEEDORES[[#This Row],[ID RETENCION]],Retenciones!$A$1:$O$25,PROVEEDORES[[#This Row],[indicador de columna]],FALSE)</f>
        <v>0</v>
      </c>
      <c r="Y1089" s="100">
        <f>+VLOOKUP(PROVEEDORES[[#This Row],[ID RETENCION]],Retenciones!$A$1:$O$25,2,FALSE)</f>
        <v>3.5000000000000003E-2</v>
      </c>
      <c r="Z1089" s="103" t="b">
        <f>OR(COUNTIF(PROVEEDORES[[#This Row],[PROVEEDOR]],"*"&amp;'Palabra no opera'!$A$2&amp;"*"))</f>
        <v>1</v>
      </c>
    </row>
    <row r="1090" spans="1:26" ht="22.35" customHeight="1" x14ac:dyDescent="0.25">
      <c r="A1090" s="65" t="str">
        <f>+IF(PROVEEDORES[[#This Row],[FECHA DE PAGO]]=PROVEEDORES[[#This Row],[FECHA DE FACTURACIÓN]],"DE CONTADO","CRÉDITO")</f>
        <v>CRÉDITO</v>
      </c>
      <c r="B1090" s="38" t="b">
        <f>+IF((PROVEEDORES[[#This Row],[FECHA DE PAGO]]-PROVEEDORES[[#This Row],[FECHA DE FACTURACIÓN]])&gt;PROVEEDORES[[#This Row],[PLAZO Días]],"PAGO VENCIDO")</f>
        <v>0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0" s="289">
        <v>45148</v>
      </c>
      <c r="H1090" s="26" t="s">
        <v>416</v>
      </c>
      <c r="I1090" s="289">
        <v>45139</v>
      </c>
      <c r="J1090" s="35" t="s">
        <v>1028</v>
      </c>
      <c r="K1090" s="21">
        <v>3935776</v>
      </c>
      <c r="L1090" s="21"/>
      <c r="M1090" s="22">
        <v>665000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72">
        <f>+IF(PROVEEDORES[[#This Row],[SUBTOTAL]]&lt;PROVEEDORES[[#This Row],[base retencion]],0,PROVEEDORES[[#This Row],[retención aplicada]])</f>
        <v>3.5000000000000003E-2</v>
      </c>
      <c r="Q1090" s="22"/>
      <c r="R1090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1">
        <f ca="1">IF(PROVEEDORES[[#This Row],[FECHA DE PAGO]]=0,TODAY()-PROVEEDORES[[#This Row],[FECHA DE FACTURACIÓN]]-PROVEEDORES[[#This Row],[PLAZO Días]],0)</f>
        <v>0</v>
      </c>
      <c r="U1090" s="97" t="str">
        <f>+VLOOKUP(PROVEEDORES[[#This Row],[PROVEEDOR]],Terceros!$A:$D,4,FALSE)</f>
        <v>3,5% sin base</v>
      </c>
      <c r="V1090" s="98">
        <f>+YEAR(PROVEEDORES[[#This Row],[FECHA DE FACTURACIÓN]])</f>
        <v>2023</v>
      </c>
      <c r="W1090" s="98">
        <f>+MATCH(PROVEEDORES[[#This Row],[año facturado]],Retenciones!$1:$1,0)</f>
        <v>6</v>
      </c>
      <c r="X1090" s="99">
        <f>+VLOOKUP(PROVEEDORES[[#This Row],[ID RETENCION]],Retenciones!$A$1:$O$25,PROVEEDORES[[#This Row],[indicador de columna]],FALSE)</f>
        <v>0</v>
      </c>
      <c r="Y1090" s="100">
        <f>+VLOOKUP(PROVEEDORES[[#This Row],[ID RETENCION]],Retenciones!$A$1:$O$25,2,FALSE)</f>
        <v>3.5000000000000003E-2</v>
      </c>
      <c r="Z1090" s="103" t="b">
        <f>OR(COUNTIF(PROVEEDORES[[#This Row],[PROVEEDOR]],"*"&amp;'Palabra no opera'!$A$2&amp;"*"))</f>
        <v>1</v>
      </c>
    </row>
    <row r="1091" spans="1:26" ht="22.35" customHeight="1" x14ac:dyDescent="0.25">
      <c r="A1091" s="233" t="str">
        <f>+IF(PROVEEDORES[[#This Row],[FECHA DE PAGO]]=PROVEEDORES[[#This Row],[FECHA DE FACTURACIÓN]],"DE CONTADO","CRÉDITO")</f>
        <v>CRÉDITO</v>
      </c>
      <c r="B1091" s="38" t="b">
        <f>+IF((PROVEEDORES[[#This Row],[FECHA DE PAGO]]-PROVEEDORES[[#This Row],[FECHA DE FACTURACIÓN]])&gt;PROVEEDORES[[#This Row],[PLAZO Días]],"PAGO VENCIDO")</f>
        <v>0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0</v>
      </c>
      <c r="E1091" s="25"/>
      <c r="F1091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1" s="289">
        <v>45188</v>
      </c>
      <c r="H1091" s="26" t="s">
        <v>416</v>
      </c>
      <c r="I1091" s="289">
        <v>45170</v>
      </c>
      <c r="J1091" s="35" t="s">
        <v>1089</v>
      </c>
      <c r="K1091" s="21">
        <v>3935776</v>
      </c>
      <c r="L1091" s="21"/>
      <c r="M1091" s="22">
        <v>665000</v>
      </c>
      <c r="N1091" s="23"/>
      <c r="O1091" s="22">
        <f>+PROVEEDORES[[#This Row],[Descuento sobre subtotal %]]*(PROVEEDORES[[#This Row],[SUBTOTAL]]-PROVEEDORES[[#This Row],[descuento sobre subtotal]])</f>
        <v>0</v>
      </c>
      <c r="P1091" s="72">
        <f>+IF(PROVEEDORES[[#This Row],[SUBTOTAL]]&lt;PROVEEDORES[[#This Row],[base retencion]],0,PROVEEDORES[[#This Row],[retención aplicada]])</f>
        <v>3.5000000000000003E-2</v>
      </c>
      <c r="Q1091" s="22"/>
      <c r="R1091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91" s="23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1">
        <f ca="1">IF(PROVEEDORES[[#This Row],[FECHA DE PAGO]]=0,TODAY()-PROVEEDORES[[#This Row],[FECHA DE FACTURACIÓN]]-PROVEEDORES[[#This Row],[PLAZO Días]],0)</f>
        <v>0</v>
      </c>
      <c r="U1091" s="97" t="str">
        <f>+VLOOKUP(PROVEEDORES[[#This Row],[PROVEEDOR]],Terceros!$A:$D,4,FALSE)</f>
        <v>3,5% sin base</v>
      </c>
      <c r="V1091" s="98">
        <f>+YEAR(PROVEEDORES[[#This Row],[FECHA DE FACTURACIÓN]])</f>
        <v>2023</v>
      </c>
      <c r="W1091" s="98">
        <f>+MATCH(PROVEEDORES[[#This Row],[año facturado]],Retenciones!$1:$1,0)</f>
        <v>6</v>
      </c>
      <c r="X1091" s="99">
        <f>+VLOOKUP(PROVEEDORES[[#This Row],[ID RETENCION]],Retenciones!$A$1:$O$25,PROVEEDORES[[#This Row],[indicador de columna]],FALSE)</f>
        <v>0</v>
      </c>
      <c r="Y1091" s="100">
        <f>+VLOOKUP(PROVEEDORES[[#This Row],[ID RETENCION]],Retenciones!$A$1:$O$25,2,FALSE)</f>
        <v>3.5000000000000003E-2</v>
      </c>
      <c r="Z1091" s="103" t="b">
        <f>OR(COUNTIF(PROVEEDORES[[#This Row],[PROVEEDOR]],"*"&amp;'Palabra no opera'!$A$2&amp;"*"))</f>
        <v>1</v>
      </c>
    </row>
    <row r="1092" spans="1:26" ht="22.35" customHeight="1" x14ac:dyDescent="0.25">
      <c r="A1092" s="245" t="str">
        <f>+IF(PROVEEDORES[[#This Row],[FECHA DE PAGO]]=PROVEEDORES[[#This Row],[FECHA DE FACTURACIÓN]],"DE CONTADO","CRÉDITO")</f>
        <v>CRÉDITO</v>
      </c>
      <c r="B1092" s="38" t="b">
        <f>+IF((PROVEEDORES[[#This Row],[FECHA DE PAGO]]-PROVEEDORES[[#This Row],[FECHA DE FACTURACIÓN]])&gt;PROVEEDORES[[#This Row],[PLAZO Días]],"PAGO VENCIDO")</f>
        <v>0</v>
      </c>
      <c r="C1092" s="20">
        <f>+VLOOKUP(PROVEEDORES[[#This Row],[PROVEEDOR]],TERCEROS_INFO[#All],2,FALSE)</f>
        <v>30</v>
      </c>
      <c r="D1092" s="25">
        <f>+SUMIFS(PROVEEDORES[Total],PROVEEDORES[PROVEEDOR],PROVEEDORES[[#This Row],[PROVEEDOR]],PROVEEDORES[FECHA DE PAGO],"")</f>
        <v>0</v>
      </c>
      <c r="E1092" s="25"/>
      <c r="F1092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2" s="289">
        <v>45218</v>
      </c>
      <c r="H1092" s="26" t="s">
        <v>416</v>
      </c>
      <c r="I1092" s="289">
        <v>45200</v>
      </c>
      <c r="J1092" s="35" t="s">
        <v>1175</v>
      </c>
      <c r="K1092" s="21">
        <v>3935776</v>
      </c>
      <c r="L1092" s="21"/>
      <c r="M1092" s="22">
        <v>665000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72">
        <f>+IF(PROVEEDORES[[#This Row],[SUBTOTAL]]&lt;PROVEEDORES[[#This Row],[base retencion]],0,PROVEEDORES[[#This Row],[retención aplicada]])</f>
        <v>3.5000000000000003E-2</v>
      </c>
      <c r="Q1092" s="22"/>
      <c r="R1092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92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1">
        <f ca="1">IF(PROVEEDORES[[#This Row],[FECHA DE PAGO]]=0,TODAY()-PROVEEDORES[[#This Row],[FECHA DE FACTURACIÓN]]-PROVEEDORES[[#This Row],[PLAZO Días]],0)</f>
        <v>0</v>
      </c>
      <c r="U1092" s="97" t="str">
        <f>+VLOOKUP(PROVEEDORES[[#This Row],[PROVEEDOR]],Terceros!$A:$D,4,FALSE)</f>
        <v>3,5% sin base</v>
      </c>
      <c r="V1092" s="98">
        <f>+YEAR(PROVEEDORES[[#This Row],[FECHA DE FACTURACIÓN]])</f>
        <v>2023</v>
      </c>
      <c r="W1092" s="98">
        <f>+MATCH(PROVEEDORES[[#This Row],[año facturado]],Retenciones!$1:$1,0)</f>
        <v>6</v>
      </c>
      <c r="X1092" s="99">
        <f>+VLOOKUP(PROVEEDORES[[#This Row],[ID RETENCION]],Retenciones!$A$1:$O$25,PROVEEDORES[[#This Row],[indicador de columna]],FALSE)</f>
        <v>0</v>
      </c>
      <c r="Y1092" s="100">
        <f>+VLOOKUP(PROVEEDORES[[#This Row],[ID RETENCION]],Retenciones!$A$1:$O$25,2,FALSE)</f>
        <v>3.5000000000000003E-2</v>
      </c>
      <c r="Z1092" s="103" t="b">
        <f>OR(COUNTIF(PROVEEDORES[[#This Row],[PROVEEDOR]],"*"&amp;'Palabra no opera'!$A$2&amp;"*"))</f>
        <v>1</v>
      </c>
    </row>
    <row r="1093" spans="1:26" ht="22.35" customHeight="1" x14ac:dyDescent="0.25">
      <c r="A1093" s="65" t="str">
        <f>+IF(PROVEEDORES[[#This Row],[FECHA DE PAGO]]=PROVEEDORES[[#This Row],[FECHA DE FACTURACIÓN]],"DE CONTADO","CRÉDITO")</f>
        <v>CRÉDITO</v>
      </c>
      <c r="B1093" s="38" t="b">
        <f>+IF((PROVEEDORES[[#This Row],[FECHA DE PAGO]]-PROVEEDORES[[#This Row],[FECHA DE FACTURACIÓN]])&gt;PROVEEDORES[[#This Row],[PLAZO Días]],"PAGO VENCIDO")</f>
        <v>0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0</v>
      </c>
      <c r="E1093" s="25"/>
      <c r="F1093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3" s="289">
        <v>45250</v>
      </c>
      <c r="H1093" s="26" t="s">
        <v>416</v>
      </c>
      <c r="I1093" s="289">
        <v>45231</v>
      </c>
      <c r="J1093" s="35" t="s">
        <v>1283</v>
      </c>
      <c r="K1093" s="21">
        <v>3935776</v>
      </c>
      <c r="L1093" s="21"/>
      <c r="M1093" s="22">
        <v>665000</v>
      </c>
      <c r="N1093" s="23"/>
      <c r="O1093" s="22">
        <f>+PROVEEDORES[[#This Row],[Descuento sobre subtotal %]]*(PROVEEDORES[[#This Row],[SUBTOTAL]]-PROVEEDORES[[#This Row],[descuento sobre subtotal]])</f>
        <v>0</v>
      </c>
      <c r="P1093" s="72">
        <f>+IF(PROVEEDORES[[#This Row],[SUBTOTAL]]&lt;PROVEEDORES[[#This Row],[base retencion]],0,PROVEEDORES[[#This Row],[retención aplicada]])</f>
        <v>3.5000000000000003E-2</v>
      </c>
      <c r="Q1093" s="22"/>
      <c r="R1093" s="21">
        <f>+PROVEEDORES[[#This Row],[SUBTOTAL]]+PROVEEDORES[[#This Row],[IVA 19%]]-PROVEEDORES[[#This Row],[descuento sobre subtotal]]-PROVEEDORES[[#This Row],[Descuento sobre subtotal $2]]-PROVEEDORES[[#This Row],[Rete Fuente $]]</f>
        <v>4600776</v>
      </c>
      <c r="S109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1">
        <f ca="1">IF(PROVEEDORES[[#This Row],[FECHA DE PAGO]]=0,TODAY()-PROVEEDORES[[#This Row],[FECHA DE FACTURACIÓN]]-PROVEEDORES[[#This Row],[PLAZO Días]],0)</f>
        <v>0</v>
      </c>
      <c r="U1093" s="97" t="str">
        <f>+VLOOKUP(PROVEEDORES[[#This Row],[PROVEEDOR]],Terceros!$A:$D,4,FALSE)</f>
        <v>3,5% sin base</v>
      </c>
      <c r="V1093" s="98">
        <f>+YEAR(PROVEEDORES[[#This Row],[FECHA DE FACTURACIÓN]])</f>
        <v>2023</v>
      </c>
      <c r="W1093" s="98">
        <f>+MATCH(PROVEEDORES[[#This Row],[año facturado]],Retenciones!$1:$1,0)</f>
        <v>6</v>
      </c>
      <c r="X1093" s="99">
        <f>+VLOOKUP(PROVEEDORES[[#This Row],[ID RETENCION]],Retenciones!$A$1:$O$25,PROVEEDORES[[#This Row],[indicador de columna]],FALSE)</f>
        <v>0</v>
      </c>
      <c r="Y1093" s="100">
        <f>+VLOOKUP(PROVEEDORES[[#This Row],[ID RETENCION]],Retenciones!$A$1:$O$25,2,FALSE)</f>
        <v>3.5000000000000003E-2</v>
      </c>
      <c r="Z1093" s="103" t="b">
        <f>OR(COUNTIF(PROVEEDORES[[#This Row],[PROVEEDOR]],"*"&amp;'Palabra no opera'!$A$2&amp;"*"))</f>
        <v>1</v>
      </c>
    </row>
    <row r="1094" spans="1:26" ht="22.35" customHeight="1" x14ac:dyDescent="0.25">
      <c r="A1094" s="65" t="str">
        <f>+IF(PROVEEDORES[[#This Row],[FECHA DE PAGO]]=PROVEEDORES[[#This Row],[FECHA DE FACTURACIÓN]],"DE CONTADO","CRÉDITO")</f>
        <v>CRÉDITO</v>
      </c>
      <c r="B1094" s="38" t="b">
        <f>+IF((PROVEEDORES[[#This Row],[FECHA DE PAGO]]-PROVEEDORES[[#This Row],[FECHA DE FACTURACIÓN]])&gt;PROVEEDORES[[#This Row],[PLAZO Días]],"PAGO VENCIDO")</f>
        <v>0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4" s="289">
        <v>45271</v>
      </c>
      <c r="H1094" s="26" t="s">
        <v>416</v>
      </c>
      <c r="I1094" s="289">
        <v>45261</v>
      </c>
      <c r="J1094" s="35" t="s">
        <v>1362</v>
      </c>
      <c r="K1094" s="21">
        <v>4394976</v>
      </c>
      <c r="L1094" s="21"/>
      <c r="M1094" s="22">
        <v>752248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72">
        <f>+IF(PROVEEDORES[[#This Row],[SUBTOTAL]]&lt;PROVEEDORES[[#This Row],[base retencion]],0,PROVEEDORES[[#This Row],[retención aplicada]])</f>
        <v>3.5000000000000003E-2</v>
      </c>
      <c r="Q1094" s="22"/>
      <c r="R1094" s="21">
        <f>+PROVEEDORES[[#This Row],[SUBTOTAL]]+PROVEEDORES[[#This Row],[IVA 19%]]-PROVEEDORES[[#This Row],[descuento sobre subtotal]]-PROVEEDORES[[#This Row],[Descuento sobre subtotal $2]]-PROVEEDORES[[#This Row],[Rete Fuente $]]</f>
        <v>5147224</v>
      </c>
      <c r="S109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1">
        <f ca="1">IF(PROVEEDORES[[#This Row],[FECHA DE PAGO]]=0,TODAY()-PROVEEDORES[[#This Row],[FECHA DE FACTURACIÓN]]-PROVEEDORES[[#This Row],[PLAZO Días]],0)</f>
        <v>0</v>
      </c>
      <c r="U1094" s="97" t="str">
        <f>+VLOOKUP(PROVEEDORES[[#This Row],[PROVEEDOR]],Terceros!$A:$D,4,FALSE)</f>
        <v>3,5% sin base</v>
      </c>
      <c r="V1094" s="98">
        <f>+YEAR(PROVEEDORES[[#This Row],[FECHA DE FACTURACIÓN]])</f>
        <v>2023</v>
      </c>
      <c r="W1094" s="98">
        <f>+MATCH(PROVEEDORES[[#This Row],[año facturado]],Retenciones!$1:$1,0)</f>
        <v>6</v>
      </c>
      <c r="X1094" s="99">
        <f>+VLOOKUP(PROVEEDORES[[#This Row],[ID RETENCION]],Retenciones!$A$1:$O$25,PROVEEDORES[[#This Row],[indicador de columna]],FALSE)</f>
        <v>0</v>
      </c>
      <c r="Y1094" s="100">
        <f>+VLOOKUP(PROVEEDORES[[#This Row],[ID RETENCION]],Retenciones!$A$1:$O$25,2,FALSE)</f>
        <v>3.5000000000000003E-2</v>
      </c>
      <c r="Z1094" s="103" t="b">
        <f>OR(COUNTIF(PROVEEDORES[[#This Row],[PROVEEDOR]],"*"&amp;'Palabra no opera'!$A$2&amp;"*"))</f>
        <v>1</v>
      </c>
    </row>
    <row r="1095" spans="1:26" ht="22.35" customHeight="1" x14ac:dyDescent="0.25">
      <c r="A1095" s="65" t="str">
        <f>+IF(PROVEEDORES[[#This Row],[FECHA DE PAGO]]=PROVEEDORES[[#This Row],[FECHA DE FACTURACIÓN]],"DE CONTADO","CRÉDITO")</f>
        <v>CRÉDITO</v>
      </c>
      <c r="B1095" s="38" t="b">
        <f>+IF((PROVEEDORES[[#This Row],[FECHA DE PAGO]]-PROVEEDORES[[#This Row],[FECHA DE FACTURACIÓN]])&gt;PROVEEDORES[[#This Row],[PLAZO Días]],"PAGO VENCIDO")</f>
        <v>0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6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095" s="289">
        <v>45303</v>
      </c>
      <c r="H1095" s="26" t="s">
        <v>416</v>
      </c>
      <c r="I1095" s="289">
        <v>45292</v>
      </c>
      <c r="J1095" s="35" t="s">
        <v>1512</v>
      </c>
      <c r="K1095" s="21">
        <v>27605</v>
      </c>
      <c r="L1095" s="21"/>
      <c r="M1095" s="22">
        <f>(PROVEEDORES[[#This Row],[SUBTOTAL]]-PROVEEDORES[[#This Row],[descuento sobre subtotal]])*VLOOKUP(PROVEEDORES[[#This Row],[PROVEEDOR]],TERCEROS_INFO[#All],3,FALSE)</f>
        <v>5244.95</v>
      </c>
      <c r="N1095" s="23"/>
      <c r="O1095" s="22">
        <f>+PROVEEDORES[[#This Row],[Descuento sobre subtotal %]]*(PROVEEDORES[[#This Row],[SUBTOTAL]]-PROVEEDORES[[#This Row],[descuento sobre subtotal]])</f>
        <v>0</v>
      </c>
      <c r="P1095" s="72">
        <v>0</v>
      </c>
      <c r="Q1095" s="22">
        <f>+PROVEEDORES[[#This Row],[Rete Fuente %]]*(PROVEEDORES[[#This Row],[SUBTOTAL]]-PROVEEDORES[[#This Row],[descuento sobre subtotal]])</f>
        <v>0</v>
      </c>
      <c r="R1095" s="21">
        <f>+PROVEEDORES[[#This Row],[SUBTOTAL]]+PROVEEDORES[[#This Row],[IVA 19%]]-PROVEEDORES[[#This Row],[descuento sobre subtotal]]-PROVEEDORES[[#This Row],[Descuento sobre subtotal $2]]-PROVEEDORES[[#This Row],[Rete Fuente $]]</f>
        <v>32849.949999999997</v>
      </c>
      <c r="S109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1">
        <f ca="1">IF(PROVEEDORES[[#This Row],[FECHA DE PAGO]]=0,TODAY()-PROVEEDORES[[#This Row],[FECHA DE FACTURACIÓN]]-PROVEEDORES[[#This Row],[PLAZO Días]],0)</f>
        <v>0</v>
      </c>
      <c r="U1095" s="97" t="str">
        <f>+VLOOKUP(PROVEEDORES[[#This Row],[PROVEEDOR]],Terceros!$A:$D,4,FALSE)</f>
        <v>3,5% sin base</v>
      </c>
      <c r="V1095" s="98">
        <f>+YEAR(PROVEEDORES[[#This Row],[FECHA DE FACTURACIÓN]])</f>
        <v>2024</v>
      </c>
      <c r="W1095" s="98">
        <f>+MATCH(PROVEEDORES[[#This Row],[año facturado]],Retenciones!$1:$1,0)</f>
        <v>7</v>
      </c>
      <c r="X1095" s="99">
        <f>+VLOOKUP(PROVEEDORES[[#This Row],[ID RETENCION]],Retenciones!$A$1:$O$25,PROVEEDORES[[#This Row],[indicador de columna]],FALSE)</f>
        <v>0</v>
      </c>
      <c r="Y1095" s="100">
        <f>+VLOOKUP(PROVEEDORES[[#This Row],[ID RETENCION]],Retenciones!$A$1:$O$25,2,FALSE)</f>
        <v>3.5000000000000003E-2</v>
      </c>
      <c r="Z1095" s="103" t="b">
        <f>OR(COUNTIF(PROVEEDORES[[#This Row],[PROVEEDOR]],"*"&amp;'Palabra no opera'!$A$2&amp;"*"))</f>
        <v>1</v>
      </c>
    </row>
    <row r="1096" spans="1:26" ht="22.35" customHeight="1" x14ac:dyDescent="0.25">
      <c r="A1096" s="65" t="str">
        <f>+IF(PROVEEDORES[[#This Row],[FECHA DE PAGO]]=PROVEEDORES[[#This Row],[FECHA DE FACTURACIÓN]],"DE CONTADO","CRÉDITO")</f>
        <v>CRÉDITO</v>
      </c>
      <c r="B1096" s="38" t="b">
        <f>+IF((PROVEEDORES[[#This Row],[FECHA DE PAGO]]-PROVEEDORES[[#This Row],[FECHA DE FACTURACIÓN]])&gt;PROVEEDORES[[#This Row],[PLAZO Días]],"PAGO VENCIDO")</f>
        <v>0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96" s="289">
        <v>44952</v>
      </c>
      <c r="H1096" s="26" t="s">
        <v>427</v>
      </c>
      <c r="I1096" s="289">
        <v>44928</v>
      </c>
      <c r="J1096" s="35" t="s">
        <v>556</v>
      </c>
      <c r="K1096" s="21">
        <v>242340</v>
      </c>
      <c r="L1096" s="21"/>
      <c r="M1096" s="22">
        <f>(PROVEEDORES[[#This Row],[SUBTOTAL]]-PROVEEDORES[[#This Row],[descuento sobre subtotal]])*VLOOKUP(PROVEEDORES[[#This Row],[PROVEEDOR]],TERCEROS_INFO[#All],3,FALSE)</f>
        <v>46044.6</v>
      </c>
      <c r="N1096" s="23"/>
      <c r="O1096" s="22">
        <f>+PROVEEDORES[[#This Row],[Descuento sobre subtotal %]]*(PROVEEDORES[[#This Row],[SUBTOTAL]]-PROVEEDORES[[#This Row],[descuento sobre subtotal]])</f>
        <v>0</v>
      </c>
      <c r="P1096" s="72">
        <f>+IF(PROVEEDORES[[#This Row],[SUBTOTAL]]&lt;PROVEEDORES[[#This Row],[base retencion]],0,PROVEEDORES[[#This Row],[retención aplicada]])</f>
        <v>3.5000000000000003E-2</v>
      </c>
      <c r="Q1096" s="22">
        <f>+PROVEEDORES[[#This Row],[Rete Fuente %]]*(PROVEEDORES[[#This Row],[SUBTOTAL]]-PROVEEDORES[[#This Row],[descuento sobre subtotal]])</f>
        <v>8481.9000000000015</v>
      </c>
      <c r="R1096" s="21">
        <f>+PROVEEDORES[[#This Row],[SUBTOTAL]]+PROVEEDORES[[#This Row],[IVA 19%]]-PROVEEDORES[[#This Row],[descuento sobre subtotal]]-PROVEEDORES[[#This Row],[Descuento sobre subtotal $2]]-PROVEEDORES[[#This Row],[Rete Fuente $]]</f>
        <v>279902.69999999995</v>
      </c>
      <c r="S10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1">
        <f ca="1">IF(PROVEEDORES[[#This Row],[FECHA DE PAGO]]=0,TODAY()-PROVEEDORES[[#This Row],[FECHA DE FACTURACIÓN]]-PROVEEDORES[[#This Row],[PLAZO Días]],0)</f>
        <v>0</v>
      </c>
      <c r="U1096" s="97" t="str">
        <f>+VLOOKUP(PROVEEDORES[[#This Row],[PROVEEDOR]],Terceros!$A:$D,4,FALSE)</f>
        <v>3,5% sin base</v>
      </c>
      <c r="V1096" s="98">
        <f>+YEAR(PROVEEDORES[[#This Row],[FECHA DE FACTURACIÓN]])</f>
        <v>2023</v>
      </c>
      <c r="W1096" s="98">
        <f>+MATCH(PROVEEDORES[[#This Row],[año facturado]],Retenciones!$1:$1,0)</f>
        <v>6</v>
      </c>
      <c r="X1096" s="99">
        <f>+VLOOKUP(PROVEEDORES[[#This Row],[ID RETENCION]],Retenciones!$A$1:$O$25,PROVEEDORES[[#This Row],[indicador de columna]],FALSE)</f>
        <v>0</v>
      </c>
      <c r="Y1096" s="100">
        <f>+VLOOKUP(PROVEEDORES[[#This Row],[ID RETENCION]],Retenciones!$A$1:$O$25,2,FALSE)</f>
        <v>3.5000000000000003E-2</v>
      </c>
      <c r="Z1096" s="103" t="b">
        <f>OR(COUNTIF(PROVEEDORES[[#This Row],[PROVEEDOR]],"*"&amp;'Palabra no opera'!$A$2&amp;"*"))</f>
        <v>1</v>
      </c>
    </row>
    <row r="1097" spans="1:26" ht="22.35" customHeight="1" x14ac:dyDescent="0.25">
      <c r="A1097" s="155" t="str">
        <f>+IF(PROVEEDORES[[#This Row],[FECHA DE PAGO]]=PROVEEDORES[[#This Row],[FECHA DE FACTURACIÓN]],"DE CONTADO","CRÉDITO")</f>
        <v>CRÉDITO</v>
      </c>
      <c r="B1097" s="38" t="b">
        <f>+IF((PROVEEDORES[[#This Row],[FECHA DE PAGO]]-PROVEEDORES[[#This Row],[FECHA DE FACTURACIÓN]])&gt;PROVEEDORES[[#This Row],[PLAZO Días]],"PAGO VENCIDO")</f>
        <v>0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0</v>
      </c>
      <c r="E1097" s="25"/>
      <c r="F1097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97" s="289">
        <v>44984</v>
      </c>
      <c r="H1097" s="26" t="s">
        <v>427</v>
      </c>
      <c r="I1097" s="289">
        <v>44958</v>
      </c>
      <c r="J1097" s="35" t="s">
        <v>628</v>
      </c>
      <c r="K1097" s="21">
        <v>243611</v>
      </c>
      <c r="L1097" s="21"/>
      <c r="M1097" s="22">
        <f>(PROVEEDORES[[#This Row],[SUBTOTAL]]-PROVEEDORES[[#This Row],[descuento sobre subtotal]])*VLOOKUP(PROVEEDORES[[#This Row],[PROVEEDOR]],TERCEROS_INFO[#All],3,FALSE)</f>
        <v>46286.090000000004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72">
        <f>+IF(PROVEEDORES[[#This Row],[SUBTOTAL]]&lt;PROVEEDORES[[#This Row],[base retencion]],0,PROVEEDORES[[#This Row],[retención aplicada]])</f>
        <v>3.5000000000000003E-2</v>
      </c>
      <c r="Q1097" s="22">
        <f>+PROVEEDORES[[#This Row],[Rete Fuente %]]*(PROVEEDORES[[#This Row],[SUBTOTAL]]-PROVEEDORES[[#This Row],[descuento sobre subtotal]])</f>
        <v>8526.3850000000002</v>
      </c>
      <c r="R1097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097" s="15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1">
        <f ca="1">IF(PROVEEDORES[[#This Row],[FECHA DE PAGO]]=0,TODAY()-PROVEEDORES[[#This Row],[FECHA DE FACTURACIÓN]]-PROVEEDORES[[#This Row],[PLAZO Días]],0)</f>
        <v>0</v>
      </c>
      <c r="U1097" s="97" t="str">
        <f>+VLOOKUP(PROVEEDORES[[#This Row],[PROVEEDOR]],Terceros!$A:$D,4,FALSE)</f>
        <v>3,5% sin base</v>
      </c>
      <c r="V1097" s="98">
        <f>+YEAR(PROVEEDORES[[#This Row],[FECHA DE FACTURACIÓN]])</f>
        <v>2023</v>
      </c>
      <c r="W1097" s="98">
        <f>+MATCH(PROVEEDORES[[#This Row],[año facturado]],Retenciones!$1:$1,0)</f>
        <v>6</v>
      </c>
      <c r="X1097" s="99">
        <f>+VLOOKUP(PROVEEDORES[[#This Row],[ID RETENCION]],Retenciones!$A$1:$O$25,PROVEEDORES[[#This Row],[indicador de columna]],FALSE)</f>
        <v>0</v>
      </c>
      <c r="Y1097" s="100">
        <f>+VLOOKUP(PROVEEDORES[[#This Row],[ID RETENCION]],Retenciones!$A$1:$O$25,2,FALSE)</f>
        <v>3.5000000000000003E-2</v>
      </c>
      <c r="Z1097" s="103" t="b">
        <f>OR(COUNTIF(PROVEEDORES[[#This Row],[PROVEEDOR]],"*"&amp;'Palabra no opera'!$A$2&amp;"*"))</f>
        <v>1</v>
      </c>
    </row>
    <row r="1098" spans="1:26" ht="22.35" customHeight="1" x14ac:dyDescent="0.25">
      <c r="A1098" s="164" t="str">
        <f>+IF(PROVEEDORES[[#This Row],[FECHA DE PAGO]]=PROVEEDORES[[#This Row],[FECHA DE FACTURACIÓN]],"DE CONTADO","CRÉDITO")</f>
        <v>CRÉDITO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98" s="289">
        <v>45012</v>
      </c>
      <c r="H1098" s="26" t="s">
        <v>427</v>
      </c>
      <c r="I1098" s="289">
        <v>44986</v>
      </c>
      <c r="J1098" s="35" t="s">
        <v>673</v>
      </c>
      <c r="K1098" s="21">
        <v>243611</v>
      </c>
      <c r="L1098" s="21"/>
      <c r="M1098" s="22">
        <f>(PROVEEDORES[[#This Row],[SUBTOTAL]]-PROVEEDORES[[#This Row],[descuento sobre subtotal]])*VLOOKUP(PROVEEDORES[[#This Row],[PROVEEDOR]],TERCEROS_INFO[#All],3,FALSE)</f>
        <v>46286.090000000004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72">
        <f>+IF(PROVEEDORES[[#This Row],[SUBTOTAL]]&lt;PROVEEDORES[[#This Row],[base retencion]],0,PROVEEDORES[[#This Row],[retención aplicada]])</f>
        <v>3.5000000000000003E-2</v>
      </c>
      <c r="Q1098" s="22">
        <f>+PROVEEDORES[[#This Row],[Rete Fuente %]]*(PROVEEDORES[[#This Row],[SUBTOTAL]]-PROVEEDORES[[#This Row],[descuento sobre subtotal]])</f>
        <v>8526.3850000000002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098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1">
        <f ca="1">IF(PROVEEDORES[[#This Row],[FECHA DE PAGO]]=0,TODAY()-PROVEEDORES[[#This Row],[FECHA DE FACTURACIÓN]]-PROVEEDORES[[#This Row],[PLAZO Días]],0)</f>
        <v>0</v>
      </c>
      <c r="U1098" s="97" t="str">
        <f>+VLOOKUP(PROVEEDORES[[#This Row],[PROVEEDOR]],Terceros!$A:$D,4,FALSE)</f>
        <v>3,5% sin base</v>
      </c>
      <c r="V1098" s="98">
        <f>+YEAR(PROVEEDORES[[#This Row],[FECHA DE FACTURACIÓN]])</f>
        <v>2023</v>
      </c>
      <c r="W1098" s="98">
        <f>+MATCH(PROVEEDORES[[#This Row],[año facturado]],Retenciones!$1:$1,0)</f>
        <v>6</v>
      </c>
      <c r="X1098" s="99">
        <f>+VLOOKUP(PROVEEDORES[[#This Row],[ID RETENCION]],Retenciones!$A$1:$O$25,PROVEEDORES[[#This Row],[indicador de columna]],FALSE)</f>
        <v>0</v>
      </c>
      <c r="Y1098" s="100">
        <f>+VLOOKUP(PROVEEDORES[[#This Row],[ID RETENCION]],Retenciones!$A$1:$O$25,2,FALSE)</f>
        <v>3.5000000000000003E-2</v>
      </c>
      <c r="Z1098" s="103" t="b">
        <f>OR(COUNTIF(PROVEEDORES[[#This Row],[PROVEEDOR]],"*"&amp;'Palabra no opera'!$A$2&amp;"*"))</f>
        <v>1</v>
      </c>
    </row>
    <row r="1099" spans="1:26" ht="22.35" customHeight="1" x14ac:dyDescent="0.25">
      <c r="A1099" s="65" t="str">
        <f>+IF(PROVEEDORES[[#This Row],[FECHA DE PAGO]]=PROVEEDORES[[#This Row],[FECHA DE FACTURACIÓN]],"DE CONTADO","CRÉDITO")</f>
        <v>CRÉDITO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0</v>
      </c>
      <c r="E1099" s="25"/>
      <c r="F1099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99" s="289">
        <v>45027</v>
      </c>
      <c r="H1099" s="26" t="s">
        <v>427</v>
      </c>
      <c r="I1099" s="289">
        <v>45017</v>
      </c>
      <c r="J1099" s="35" t="s">
        <v>734</v>
      </c>
      <c r="K1099" s="21">
        <v>243611</v>
      </c>
      <c r="L1099" s="21"/>
      <c r="M1099" s="22">
        <f>(PROVEEDORES[[#This Row],[SUBTOTAL]]-PROVEEDORES[[#This Row],[descuento sobre subtotal]])*VLOOKUP(PROVEEDORES[[#This Row],[PROVEEDOR]],TERCEROS_INFO[#All],3,FALSE)</f>
        <v>46286.090000000004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72">
        <f>+IF(PROVEEDORES[[#This Row],[SUBTOTAL]]&lt;PROVEEDORES[[#This Row],[base retencion]],0,PROVEEDORES[[#This Row],[retención aplicada]])</f>
        <v>3.5000000000000003E-2</v>
      </c>
      <c r="Q1099" s="22">
        <f>+PROVEEDORES[[#This Row],[Rete Fuente %]]*(PROVEEDORES[[#This Row],[SUBTOTAL]]-PROVEEDORES[[#This Row],[descuento sobre subtotal]])</f>
        <v>8526.3850000000002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0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1">
        <f ca="1">IF(PROVEEDORES[[#This Row],[FECHA DE PAGO]]=0,TODAY()-PROVEEDORES[[#This Row],[FECHA DE FACTURACIÓN]]-PROVEEDORES[[#This Row],[PLAZO Días]],0)</f>
        <v>0</v>
      </c>
      <c r="U1099" s="97" t="str">
        <f>+VLOOKUP(PROVEEDORES[[#This Row],[PROVEEDOR]],Terceros!$A:$D,4,FALSE)</f>
        <v>3,5% sin base</v>
      </c>
      <c r="V1099" s="98">
        <f>+YEAR(PROVEEDORES[[#This Row],[FECHA DE FACTURACIÓN]])</f>
        <v>2023</v>
      </c>
      <c r="W1099" s="98">
        <f>+MATCH(PROVEEDORES[[#This Row],[año facturado]],Retenciones!$1:$1,0)</f>
        <v>6</v>
      </c>
      <c r="X1099" s="99">
        <f>+VLOOKUP(PROVEEDORES[[#This Row],[ID RETENCION]],Retenciones!$A$1:$O$25,PROVEEDORES[[#This Row],[indicador de columna]],FALSE)</f>
        <v>0</v>
      </c>
      <c r="Y1099" s="100">
        <f>+VLOOKUP(PROVEEDORES[[#This Row],[ID RETENCION]],Retenciones!$A$1:$O$25,2,FALSE)</f>
        <v>3.5000000000000003E-2</v>
      </c>
      <c r="Z1099" s="103" t="b">
        <f>OR(COUNTIF(PROVEEDORES[[#This Row],[PROVEEDOR]],"*"&amp;'Palabra no opera'!$A$2&amp;"*"))</f>
        <v>1</v>
      </c>
    </row>
    <row r="1100" spans="1:26" ht="22.35" customHeight="1" x14ac:dyDescent="0.25">
      <c r="A1100" s="194" t="str">
        <f>+IF(PROVEEDORES[[#This Row],[FECHA DE PAGO]]=PROVEEDORES[[#This Row],[FECHA DE FACTURACIÓN]],"DE CONTADO","CRÉDITO")</f>
        <v>CRÉDITO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0</v>
      </c>
      <c r="E1100" s="25"/>
      <c r="F1100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0" s="289">
        <v>45056</v>
      </c>
      <c r="H1100" s="26" t="s">
        <v>427</v>
      </c>
      <c r="I1100" s="289">
        <v>45048</v>
      </c>
      <c r="J1100" s="35" t="s">
        <v>815</v>
      </c>
      <c r="K1100" s="21">
        <v>243611</v>
      </c>
      <c r="L1100" s="21"/>
      <c r="M1100" s="22">
        <f>(PROVEEDORES[[#This Row],[SUBTOTAL]]-PROVEEDORES[[#This Row],[descuento sobre subtotal]])*VLOOKUP(PROVEEDORES[[#This Row],[PROVEEDOR]],TERCEROS_INFO[#All],3,FALSE)</f>
        <v>46286.090000000004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72">
        <f>+IF(PROVEEDORES[[#This Row],[SUBTOTAL]]&lt;PROVEEDORES[[#This Row],[base retencion]],0,PROVEEDORES[[#This Row],[retención aplicada]])</f>
        <v>3.5000000000000003E-2</v>
      </c>
      <c r="Q1100" s="22">
        <f>+PROVEEDORES[[#This Row],[Rete Fuente %]]*(PROVEEDORES[[#This Row],[SUBTOTAL]]-PROVEEDORES[[#This Row],[descuento sobre subtotal]])</f>
        <v>8526.3850000000002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0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1">
        <f ca="1">IF(PROVEEDORES[[#This Row],[FECHA DE PAGO]]=0,TODAY()-PROVEEDORES[[#This Row],[FECHA DE FACTURACIÓN]]-PROVEEDORES[[#This Row],[PLAZO Días]],0)</f>
        <v>0</v>
      </c>
      <c r="U1100" s="97" t="str">
        <f>+VLOOKUP(PROVEEDORES[[#This Row],[PROVEEDOR]],Terceros!$A:$D,4,FALSE)</f>
        <v>3,5% sin base</v>
      </c>
      <c r="V1100" s="98">
        <f>+YEAR(PROVEEDORES[[#This Row],[FECHA DE FACTURACIÓN]])</f>
        <v>2023</v>
      </c>
      <c r="W1100" s="98">
        <f>+MATCH(PROVEEDORES[[#This Row],[año facturado]],Retenciones!$1:$1,0)</f>
        <v>6</v>
      </c>
      <c r="X1100" s="99">
        <f>+VLOOKUP(PROVEEDORES[[#This Row],[ID RETENCION]],Retenciones!$A$1:$O$25,PROVEEDORES[[#This Row],[indicador de columna]],FALSE)</f>
        <v>0</v>
      </c>
      <c r="Y1100" s="100">
        <f>+VLOOKUP(PROVEEDORES[[#This Row],[ID RETENCION]],Retenciones!$A$1:$O$25,2,FALSE)</f>
        <v>3.5000000000000003E-2</v>
      </c>
      <c r="Z1100" s="103" t="b">
        <f>OR(COUNTIF(PROVEEDORES[[#This Row],[PROVEEDOR]],"*"&amp;'Palabra no opera'!$A$2&amp;"*"))</f>
        <v>1</v>
      </c>
    </row>
    <row r="1101" spans="1:26" ht="22.35" customHeight="1" x14ac:dyDescent="0.25">
      <c r="A1101" s="65" t="str">
        <f>+IF(PROVEEDORES[[#This Row],[FECHA DE PAGO]]=PROVEEDORES[[#This Row],[FECHA DE FACTURACIÓN]],"DE CONTADO","CRÉDITO")</f>
        <v>CRÉDITO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0</v>
      </c>
      <c r="E1101" s="25"/>
      <c r="F1101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1" s="289">
        <v>45097</v>
      </c>
      <c r="H1101" s="26" t="s">
        <v>427</v>
      </c>
      <c r="I1101" s="289">
        <v>45078</v>
      </c>
      <c r="J1101" s="35" t="s">
        <v>878</v>
      </c>
      <c r="K1101" s="21">
        <v>243611</v>
      </c>
      <c r="L1101" s="21"/>
      <c r="M1101" s="22">
        <f>(PROVEEDORES[[#This Row],[SUBTOTAL]]-PROVEEDORES[[#This Row],[descuento sobre subtotal]])*VLOOKUP(PROVEEDORES[[#This Row],[PROVEEDOR]],TERCEROS_INFO[#All],3,FALSE)</f>
        <v>46286.090000000004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72">
        <f>+IF(PROVEEDORES[[#This Row],[SUBTOTAL]]&lt;PROVEEDORES[[#This Row],[base retencion]],0,PROVEEDORES[[#This Row],[retención aplicada]])</f>
        <v>3.5000000000000003E-2</v>
      </c>
      <c r="Q1101" s="22">
        <f>+PROVEEDORES[[#This Row],[Rete Fuente %]]*(PROVEEDORES[[#This Row],[SUBTOTAL]]-PROVEEDORES[[#This Row],[descuento sobre subtotal]])</f>
        <v>8526.3850000000002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1">
        <f ca="1">IF(PROVEEDORES[[#This Row],[FECHA DE PAGO]]=0,TODAY()-PROVEEDORES[[#This Row],[FECHA DE FACTURACIÓN]]-PROVEEDORES[[#This Row],[PLAZO Días]],0)</f>
        <v>0</v>
      </c>
      <c r="U1101" s="97" t="str">
        <f>+VLOOKUP(PROVEEDORES[[#This Row],[PROVEEDOR]],Terceros!$A:$D,4,FALSE)</f>
        <v>3,5% sin base</v>
      </c>
      <c r="V1101" s="98">
        <f>+YEAR(PROVEEDORES[[#This Row],[FECHA DE FACTURACIÓN]])</f>
        <v>2023</v>
      </c>
      <c r="W1101" s="98">
        <f>+MATCH(PROVEEDORES[[#This Row],[año facturado]],Retenciones!$1:$1,0)</f>
        <v>6</v>
      </c>
      <c r="X1101" s="99">
        <f>+VLOOKUP(PROVEEDORES[[#This Row],[ID RETENCION]],Retenciones!$A$1:$O$25,PROVEEDORES[[#This Row],[indicador de columna]],FALSE)</f>
        <v>0</v>
      </c>
      <c r="Y1101" s="100">
        <f>+VLOOKUP(PROVEEDORES[[#This Row],[ID RETENCION]],Retenciones!$A$1:$O$25,2,FALSE)</f>
        <v>3.5000000000000003E-2</v>
      </c>
      <c r="Z1101" s="103" t="b">
        <f>OR(COUNTIF(PROVEEDORES[[#This Row],[PROVEEDOR]],"*"&amp;'Palabra no opera'!$A$2&amp;"*"))</f>
        <v>1</v>
      </c>
    </row>
    <row r="1102" spans="1:26" ht="22.35" customHeight="1" x14ac:dyDescent="0.25">
      <c r="A1102" s="209" t="str">
        <f>+IF(PROVEEDORES[[#This Row],[FECHA DE PAGO]]=PROVEEDORES[[#This Row],[FECHA DE FACTURACIÓN]],"DE CONTADO","CRÉDITO")</f>
        <v>CRÉDITO</v>
      </c>
      <c r="B1102" s="38" t="b">
        <f>+IF((PROVEEDORES[[#This Row],[FECHA DE PAGO]]-PROVEEDORES[[#This Row],[FECHA DE FACTURACIÓN]])&gt;PROVEEDORES[[#This Row],[PLAZO Días]],"PAGO VENCIDO")</f>
        <v>0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0</v>
      </c>
      <c r="E1102" s="25"/>
      <c r="F1102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2" s="289">
        <v>45117</v>
      </c>
      <c r="H1102" s="26" t="s">
        <v>427</v>
      </c>
      <c r="I1102" s="289">
        <v>45108</v>
      </c>
      <c r="J1102" s="35" t="s">
        <v>933</v>
      </c>
      <c r="K1102" s="21">
        <v>243611</v>
      </c>
      <c r="L1102" s="21"/>
      <c r="M1102" s="22">
        <f>(PROVEEDORES[[#This Row],[SUBTOTAL]]-PROVEEDORES[[#This Row],[descuento sobre subtotal]])*VLOOKUP(PROVEEDORES[[#This Row],[PROVEEDOR]],TERCEROS_INFO[#All],3,FALSE)</f>
        <v>46286.090000000004</v>
      </c>
      <c r="N1102" s="23"/>
      <c r="O1102" s="22">
        <f>+PROVEEDORES[[#This Row],[Descuento sobre subtotal %]]*(PROVEEDORES[[#This Row],[SUBTOTAL]]-PROVEEDORES[[#This Row],[descuento sobre subtotal]])</f>
        <v>0</v>
      </c>
      <c r="P1102" s="72">
        <f>+IF(PROVEEDORES[[#This Row],[SUBTOTAL]]&lt;PROVEEDORES[[#This Row],[base retencion]],0,PROVEEDORES[[#This Row],[retención aplicada]])</f>
        <v>3.5000000000000003E-2</v>
      </c>
      <c r="Q1102" s="22">
        <f>+PROVEEDORES[[#This Row],[Rete Fuente %]]*(PROVEEDORES[[#This Row],[SUBTOTAL]]-PROVEEDORES[[#This Row],[descuento sobre subtotal]])</f>
        <v>8526.3850000000002</v>
      </c>
      <c r="R1102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2" s="2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1">
        <f ca="1">IF(PROVEEDORES[[#This Row],[FECHA DE PAGO]]=0,TODAY()-PROVEEDORES[[#This Row],[FECHA DE FACTURACIÓN]]-PROVEEDORES[[#This Row],[PLAZO Días]],0)</f>
        <v>0</v>
      </c>
      <c r="U1102" s="97" t="str">
        <f>+VLOOKUP(PROVEEDORES[[#This Row],[PROVEEDOR]],Terceros!$A:$D,4,FALSE)</f>
        <v>3,5% sin base</v>
      </c>
      <c r="V1102" s="98">
        <f>+YEAR(PROVEEDORES[[#This Row],[FECHA DE FACTURACIÓN]])</f>
        <v>2023</v>
      </c>
      <c r="W1102" s="98">
        <f>+MATCH(PROVEEDORES[[#This Row],[año facturado]],Retenciones!$1:$1,0)</f>
        <v>6</v>
      </c>
      <c r="X1102" s="99">
        <f>+VLOOKUP(PROVEEDORES[[#This Row],[ID RETENCION]],Retenciones!$A$1:$O$25,PROVEEDORES[[#This Row],[indicador de columna]],FALSE)</f>
        <v>0</v>
      </c>
      <c r="Y1102" s="100">
        <f>+VLOOKUP(PROVEEDORES[[#This Row],[ID RETENCION]],Retenciones!$A$1:$O$25,2,FALSE)</f>
        <v>3.5000000000000003E-2</v>
      </c>
      <c r="Z1102" s="103" t="b">
        <f>OR(COUNTIF(PROVEEDORES[[#This Row],[PROVEEDOR]],"*"&amp;'Palabra no opera'!$A$2&amp;"*"))</f>
        <v>1</v>
      </c>
    </row>
    <row r="1103" spans="1:26" ht="22.35" customHeight="1" x14ac:dyDescent="0.25">
      <c r="A1103" s="231" t="str">
        <f>+IF(PROVEEDORES[[#This Row],[FECHA DE PAGO]]=PROVEEDORES[[#This Row],[FECHA DE FACTURACIÓN]],"DE CONTADO","CRÉDITO")</f>
        <v>CRÉDITO</v>
      </c>
      <c r="B1103" s="38" t="b">
        <f>+IF((PROVEEDORES[[#This Row],[FECHA DE PAGO]]-PROVEEDORES[[#This Row],[FECHA DE FACTURACIÓN]])&gt;PROVEEDORES[[#This Row],[PLAZO Días]],"PAGO VENCIDO")</f>
        <v>0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0</v>
      </c>
      <c r="E1103" s="25"/>
      <c r="F1103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3" s="289">
        <v>45154</v>
      </c>
      <c r="H1103" s="26" t="s">
        <v>427</v>
      </c>
      <c r="I1103" s="289">
        <v>45139</v>
      </c>
      <c r="J1103" s="35" t="s">
        <v>1085</v>
      </c>
      <c r="K1103" s="21">
        <v>243611</v>
      </c>
      <c r="L1103" s="21"/>
      <c r="M1103" s="22">
        <f>(PROVEEDORES[[#This Row],[SUBTOTAL]]-PROVEEDORES[[#This Row],[descuento sobre subtotal]])*VLOOKUP(PROVEEDORES[[#This Row],[PROVEEDOR]],TERCEROS_INFO[#All],3,FALSE)</f>
        <v>46286.090000000004</v>
      </c>
      <c r="N1103" s="23"/>
      <c r="O1103" s="22">
        <f>+PROVEEDORES[[#This Row],[Descuento sobre subtotal %]]*(PROVEEDORES[[#This Row],[SUBTOTAL]]-PROVEEDORES[[#This Row],[descuento sobre subtotal]])</f>
        <v>0</v>
      </c>
      <c r="P1103" s="72">
        <f>+IF(PROVEEDORES[[#This Row],[SUBTOTAL]]&lt;PROVEEDORES[[#This Row],[base retencion]],0,PROVEEDORES[[#This Row],[retención aplicada]])</f>
        <v>3.5000000000000003E-2</v>
      </c>
      <c r="Q1103" s="22">
        <f>+PROVEEDORES[[#This Row],[Rete Fuente %]]*(PROVEEDORES[[#This Row],[SUBTOTAL]]-PROVEEDORES[[#This Row],[descuento sobre subtotal]])</f>
        <v>8526.3850000000002</v>
      </c>
      <c r="R1103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3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1">
        <f ca="1">IF(PROVEEDORES[[#This Row],[FECHA DE PAGO]]=0,TODAY()-PROVEEDORES[[#This Row],[FECHA DE FACTURACIÓN]]-PROVEEDORES[[#This Row],[PLAZO Días]],0)</f>
        <v>0</v>
      </c>
      <c r="U1103" s="97" t="str">
        <f>+VLOOKUP(PROVEEDORES[[#This Row],[PROVEEDOR]],Terceros!$A:$D,4,FALSE)</f>
        <v>3,5% sin base</v>
      </c>
      <c r="V1103" s="98">
        <f>+YEAR(PROVEEDORES[[#This Row],[FECHA DE FACTURACIÓN]])</f>
        <v>2023</v>
      </c>
      <c r="W1103" s="98">
        <f>+MATCH(PROVEEDORES[[#This Row],[año facturado]],Retenciones!$1:$1,0)</f>
        <v>6</v>
      </c>
      <c r="X1103" s="99">
        <f>+VLOOKUP(PROVEEDORES[[#This Row],[ID RETENCION]],Retenciones!$A$1:$O$25,PROVEEDORES[[#This Row],[indicador de columna]],FALSE)</f>
        <v>0</v>
      </c>
      <c r="Y1103" s="100">
        <f>+VLOOKUP(PROVEEDORES[[#This Row],[ID RETENCION]],Retenciones!$A$1:$O$25,2,FALSE)</f>
        <v>3.5000000000000003E-2</v>
      </c>
      <c r="Z1103" s="103" t="b">
        <f>OR(COUNTIF(PROVEEDORES[[#This Row],[PROVEEDOR]],"*"&amp;'Palabra no opera'!$A$2&amp;"*"))</f>
        <v>1</v>
      </c>
    </row>
    <row r="1104" spans="1:26" ht="22.35" customHeight="1" x14ac:dyDescent="0.25">
      <c r="A1104" s="231" t="str">
        <f>+IF(PROVEEDORES[[#This Row],[FECHA DE PAGO]]=PROVEEDORES[[#This Row],[FECHA DE FACTURACIÓN]],"DE CONTADO","CRÉDITO")</f>
        <v>CRÉDITO</v>
      </c>
      <c r="B1104" s="38" t="b">
        <f>+IF((PROVEEDORES[[#This Row],[FECHA DE PAGO]]-PROVEEDORES[[#This Row],[FECHA DE FACTURACIÓN]])&gt;PROVEEDORES[[#This Row],[PLAZO Días]],"PAGO VENCIDO")</f>
        <v>0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0</v>
      </c>
      <c r="E1104" s="25"/>
      <c r="F110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4" s="289">
        <v>45187</v>
      </c>
      <c r="H1104" s="26" t="s">
        <v>427</v>
      </c>
      <c r="I1104" s="289">
        <v>45170</v>
      </c>
      <c r="J1104" s="35" t="s">
        <v>1084</v>
      </c>
      <c r="K1104" s="21">
        <v>243611</v>
      </c>
      <c r="L1104" s="21"/>
      <c r="M1104" s="22">
        <f>(PROVEEDORES[[#This Row],[SUBTOTAL]]-PROVEEDORES[[#This Row],[descuento sobre subtotal]])*VLOOKUP(PROVEEDORES[[#This Row],[PROVEEDOR]],TERCEROS_INFO[#All],3,FALSE)</f>
        <v>46286.090000000004</v>
      </c>
      <c r="N1104" s="23"/>
      <c r="O1104" s="22">
        <f>+PROVEEDORES[[#This Row],[Descuento sobre subtotal %]]*(PROVEEDORES[[#This Row],[SUBTOTAL]]-PROVEEDORES[[#This Row],[descuento sobre subtotal]])</f>
        <v>0</v>
      </c>
      <c r="P1104" s="72">
        <f>+IF(PROVEEDORES[[#This Row],[SUBTOTAL]]&lt;PROVEEDORES[[#This Row],[base retencion]],0,PROVEEDORES[[#This Row],[retención aplicada]])</f>
        <v>3.5000000000000003E-2</v>
      </c>
      <c r="Q1104" s="22">
        <f>+PROVEEDORES[[#This Row],[Rete Fuente %]]*(PROVEEDORES[[#This Row],[SUBTOTAL]]-PROVEEDORES[[#This Row],[descuento sobre subtotal]])</f>
        <v>8526.3850000000002</v>
      </c>
      <c r="R1104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4" s="23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1">
        <f ca="1">IF(PROVEEDORES[[#This Row],[FECHA DE PAGO]]=0,TODAY()-PROVEEDORES[[#This Row],[FECHA DE FACTURACIÓN]]-PROVEEDORES[[#This Row],[PLAZO Días]],0)</f>
        <v>0</v>
      </c>
      <c r="U1104" s="97" t="str">
        <f>+VLOOKUP(PROVEEDORES[[#This Row],[PROVEEDOR]],Terceros!$A:$D,4,FALSE)</f>
        <v>3,5% sin base</v>
      </c>
      <c r="V1104" s="98">
        <f>+YEAR(PROVEEDORES[[#This Row],[FECHA DE FACTURACIÓN]])</f>
        <v>2023</v>
      </c>
      <c r="W1104" s="98">
        <f>+MATCH(PROVEEDORES[[#This Row],[año facturado]],Retenciones!$1:$1,0)</f>
        <v>6</v>
      </c>
      <c r="X1104" s="99">
        <f>+VLOOKUP(PROVEEDORES[[#This Row],[ID RETENCION]],Retenciones!$A$1:$O$25,PROVEEDORES[[#This Row],[indicador de columna]],FALSE)</f>
        <v>0</v>
      </c>
      <c r="Y1104" s="100">
        <f>+VLOOKUP(PROVEEDORES[[#This Row],[ID RETENCION]],Retenciones!$A$1:$O$25,2,FALSE)</f>
        <v>3.5000000000000003E-2</v>
      </c>
      <c r="Z1104" s="103" t="b">
        <f>OR(COUNTIF(PROVEEDORES[[#This Row],[PROVEEDOR]],"*"&amp;'Palabra no opera'!$A$2&amp;"*"))</f>
        <v>1</v>
      </c>
    </row>
    <row r="1105" spans="1:26" ht="22.35" customHeight="1" x14ac:dyDescent="0.25">
      <c r="A1105" s="65" t="str">
        <f>+IF(PROVEEDORES[[#This Row],[FECHA DE PAGO]]=PROVEEDORES[[#This Row],[FECHA DE FACTURACIÓN]],"DE CONTADO","CRÉDITO")</f>
        <v>CRÉDITO</v>
      </c>
      <c r="B1105" s="38" t="b">
        <f>+IF((PROVEEDORES[[#This Row],[FECHA DE PAGO]]-PROVEEDORES[[#This Row],[FECHA DE FACTURACIÓN]])&gt;PROVEEDORES[[#This Row],[PLAZO Días]],"PAGO VENCIDO")</f>
        <v>0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0</v>
      </c>
      <c r="E1105" s="25"/>
      <c r="F1105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5" s="289">
        <v>45218</v>
      </c>
      <c r="H1105" s="26" t="s">
        <v>427</v>
      </c>
      <c r="I1105" s="289">
        <v>45200</v>
      </c>
      <c r="J1105" s="35" t="s">
        <v>1166</v>
      </c>
      <c r="K1105" s="21">
        <v>243611</v>
      </c>
      <c r="L1105" s="21"/>
      <c r="M1105" s="22">
        <f>(PROVEEDORES[[#This Row],[SUBTOTAL]]-PROVEEDORES[[#This Row],[descuento sobre subtotal]])*VLOOKUP(PROVEEDORES[[#This Row],[PROVEEDOR]],TERCEROS_INFO[#All],3,FALSE)</f>
        <v>46286.090000000004</v>
      </c>
      <c r="N1105" s="23"/>
      <c r="O1105" s="22">
        <f>+PROVEEDORES[[#This Row],[Descuento sobre subtotal %]]*(PROVEEDORES[[#This Row],[SUBTOTAL]]-PROVEEDORES[[#This Row],[descuento sobre subtotal]])</f>
        <v>0</v>
      </c>
      <c r="P1105" s="72">
        <f>+IF(PROVEEDORES[[#This Row],[SUBTOTAL]]&lt;PROVEEDORES[[#This Row],[base retencion]],0,PROVEEDORES[[#This Row],[retención aplicada]])</f>
        <v>3.5000000000000003E-2</v>
      </c>
      <c r="Q1105" s="22">
        <f>+PROVEEDORES[[#This Row],[Rete Fuente %]]*(PROVEEDORES[[#This Row],[SUBTOTAL]]-PROVEEDORES[[#This Row],[descuento sobre subtotal]])</f>
        <v>8526.3850000000002</v>
      </c>
      <c r="R1105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1">
        <f ca="1">IF(PROVEEDORES[[#This Row],[FECHA DE PAGO]]=0,TODAY()-PROVEEDORES[[#This Row],[FECHA DE FACTURACIÓN]]-PROVEEDORES[[#This Row],[PLAZO Días]],0)</f>
        <v>0</v>
      </c>
      <c r="U1105" s="97" t="str">
        <f>+VLOOKUP(PROVEEDORES[[#This Row],[PROVEEDOR]],Terceros!$A:$D,4,FALSE)</f>
        <v>3,5% sin base</v>
      </c>
      <c r="V1105" s="98">
        <f>+YEAR(PROVEEDORES[[#This Row],[FECHA DE FACTURACIÓN]])</f>
        <v>2023</v>
      </c>
      <c r="W1105" s="98">
        <f>+MATCH(PROVEEDORES[[#This Row],[año facturado]],Retenciones!$1:$1,0)</f>
        <v>6</v>
      </c>
      <c r="X1105" s="99">
        <f>+VLOOKUP(PROVEEDORES[[#This Row],[ID RETENCION]],Retenciones!$A$1:$O$25,PROVEEDORES[[#This Row],[indicador de columna]],FALSE)</f>
        <v>0</v>
      </c>
      <c r="Y1105" s="100">
        <f>+VLOOKUP(PROVEEDORES[[#This Row],[ID RETENCION]],Retenciones!$A$1:$O$25,2,FALSE)</f>
        <v>3.5000000000000003E-2</v>
      </c>
      <c r="Z1105" s="103" t="b">
        <f>OR(COUNTIF(PROVEEDORES[[#This Row],[PROVEEDOR]],"*"&amp;'Palabra no opera'!$A$2&amp;"*"))</f>
        <v>1</v>
      </c>
    </row>
    <row r="1106" spans="1:26" ht="22.35" customHeight="1" x14ac:dyDescent="0.25">
      <c r="A1106" s="65" t="str">
        <f>+IF(PROVEEDORES[[#This Row],[FECHA DE PAGO]]=PROVEEDORES[[#This Row],[FECHA DE FACTURACIÓN]],"DE CONTADO","CRÉDITO")</f>
        <v>CRÉDITO</v>
      </c>
      <c r="B1106" s="38" t="b">
        <f>+IF((PROVEEDORES[[#This Row],[FECHA DE PAGO]]-PROVEEDORES[[#This Row],[FECHA DE FACTURACIÓN]])&gt;PROVEEDORES[[#This Row],[PLAZO Días]],"PAGO VENCIDO")</f>
        <v>0</v>
      </c>
      <c r="C1106" s="20">
        <f>+VLOOKUP(PROVEEDORES[[#This Row],[PROVEEDOR]],TERCEROS_INFO[#All],2,FALSE)</f>
        <v>30</v>
      </c>
      <c r="D1106" s="25">
        <f>+SUMIFS(PROVEEDORES[Total],PROVEEDORES[PROVEEDOR],PROVEEDORES[[#This Row],[PROVEEDOR]],PROVEEDORES[FECHA DE PAGO],"")</f>
        <v>0</v>
      </c>
      <c r="E1106" s="25"/>
      <c r="F1106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6" s="289">
        <v>45246</v>
      </c>
      <c r="H1106" s="26" t="s">
        <v>427</v>
      </c>
      <c r="I1106" s="289">
        <v>45231</v>
      </c>
      <c r="J1106" s="35" t="s">
        <v>1248</v>
      </c>
      <c r="K1106" s="21">
        <v>243611</v>
      </c>
      <c r="L1106" s="21"/>
      <c r="M1106" s="22">
        <f>(PROVEEDORES[[#This Row],[SUBTOTAL]]-PROVEEDORES[[#This Row],[descuento sobre subtotal]])*VLOOKUP(PROVEEDORES[[#This Row],[PROVEEDOR]],TERCEROS_INFO[#All],3,FALSE)</f>
        <v>46286.090000000004</v>
      </c>
      <c r="N1106" s="23"/>
      <c r="O1106" s="22">
        <f>+PROVEEDORES[[#This Row],[Descuento sobre subtotal %]]*(PROVEEDORES[[#This Row],[SUBTOTAL]]-PROVEEDORES[[#This Row],[descuento sobre subtotal]])</f>
        <v>0</v>
      </c>
      <c r="P1106" s="72">
        <f>+IF(PROVEEDORES[[#This Row],[SUBTOTAL]]&lt;PROVEEDORES[[#This Row],[base retencion]],0,PROVEEDORES[[#This Row],[retención aplicada]])</f>
        <v>3.5000000000000003E-2</v>
      </c>
      <c r="Q1106" s="22">
        <f>+PROVEEDORES[[#This Row],[Rete Fuente %]]*(PROVEEDORES[[#This Row],[SUBTOTAL]]-PROVEEDORES[[#This Row],[descuento sobre subtotal]])</f>
        <v>8526.3850000000002</v>
      </c>
      <c r="R1106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1">
        <f ca="1">IF(PROVEEDORES[[#This Row],[FECHA DE PAGO]]=0,TODAY()-PROVEEDORES[[#This Row],[FECHA DE FACTURACIÓN]]-PROVEEDORES[[#This Row],[PLAZO Días]],0)</f>
        <v>0</v>
      </c>
      <c r="U1106" s="97" t="str">
        <f>+VLOOKUP(PROVEEDORES[[#This Row],[PROVEEDOR]],Terceros!$A:$D,4,FALSE)</f>
        <v>3,5% sin base</v>
      </c>
      <c r="V1106" s="98">
        <f>+YEAR(PROVEEDORES[[#This Row],[FECHA DE FACTURACIÓN]])</f>
        <v>2023</v>
      </c>
      <c r="W1106" s="98">
        <f>+MATCH(PROVEEDORES[[#This Row],[año facturado]],Retenciones!$1:$1,0)</f>
        <v>6</v>
      </c>
      <c r="X1106" s="99">
        <f>+VLOOKUP(PROVEEDORES[[#This Row],[ID RETENCION]],Retenciones!$A$1:$O$25,PROVEEDORES[[#This Row],[indicador de columna]],FALSE)</f>
        <v>0</v>
      </c>
      <c r="Y1106" s="100">
        <f>+VLOOKUP(PROVEEDORES[[#This Row],[ID RETENCION]],Retenciones!$A$1:$O$25,2,FALSE)</f>
        <v>3.5000000000000003E-2</v>
      </c>
      <c r="Z1106" s="103" t="b">
        <f>OR(COUNTIF(PROVEEDORES[[#This Row],[PROVEEDOR]],"*"&amp;'Palabra no opera'!$A$2&amp;"*"))</f>
        <v>1</v>
      </c>
    </row>
    <row r="1107" spans="1:26" ht="22.35" customHeight="1" x14ac:dyDescent="0.25">
      <c r="A1107" s="65" t="str">
        <f>+IF(PROVEEDORES[[#This Row],[FECHA DE PAGO]]=PROVEEDORES[[#This Row],[FECHA DE FACTURACIÓN]],"DE CONTADO","CRÉDITO")</f>
        <v>CRÉDITO</v>
      </c>
      <c r="B1107" s="38" t="b">
        <f>+IF((PROVEEDORES[[#This Row],[FECHA DE PAGO]]-PROVEEDORES[[#This Row],[FECHA DE FACTURACIÓN]])&gt;PROVEEDORES[[#This Row],[PLAZO Días]],"PAGO VENCIDO")</f>
        <v>0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0</v>
      </c>
      <c r="E1107" s="25"/>
      <c r="F1107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7" s="289">
        <v>45271</v>
      </c>
      <c r="H1107" s="26" t="s">
        <v>427</v>
      </c>
      <c r="I1107" s="289">
        <v>45261</v>
      </c>
      <c r="J1107" s="35" t="s">
        <v>1364</v>
      </c>
      <c r="K1107" s="21">
        <v>243611</v>
      </c>
      <c r="L1107" s="21"/>
      <c r="M1107" s="22">
        <f>(PROVEEDORES[[#This Row],[SUBTOTAL]]-PROVEEDORES[[#This Row],[descuento sobre subtotal]])*VLOOKUP(PROVEEDORES[[#This Row],[PROVEEDOR]],TERCEROS_INFO[#All],3,FALSE)</f>
        <v>46286.090000000004</v>
      </c>
      <c r="N1107" s="23"/>
      <c r="O1107" s="22">
        <f>+PROVEEDORES[[#This Row],[Descuento sobre subtotal %]]*(PROVEEDORES[[#This Row],[SUBTOTAL]]-PROVEEDORES[[#This Row],[descuento sobre subtotal]])</f>
        <v>0</v>
      </c>
      <c r="P1107" s="72">
        <f>+IF(PROVEEDORES[[#This Row],[SUBTOTAL]]&lt;PROVEEDORES[[#This Row],[base retencion]],0,PROVEEDORES[[#This Row],[retención aplicada]])</f>
        <v>3.5000000000000003E-2</v>
      </c>
      <c r="Q1107" s="22">
        <f>+PROVEEDORES[[#This Row],[Rete Fuente %]]*(PROVEEDORES[[#This Row],[SUBTOTAL]]-PROVEEDORES[[#This Row],[descuento sobre subtotal]])</f>
        <v>8526.3850000000002</v>
      </c>
      <c r="R1107" s="21">
        <f>+PROVEEDORES[[#This Row],[SUBTOTAL]]+PROVEEDORES[[#This Row],[IVA 19%]]-PROVEEDORES[[#This Row],[descuento sobre subtotal]]-PROVEEDORES[[#This Row],[Descuento sobre subtotal $2]]-PROVEEDORES[[#This Row],[Rete Fuente $]]</f>
        <v>281370.70500000002</v>
      </c>
      <c r="S11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1">
        <f ca="1">IF(PROVEEDORES[[#This Row],[FECHA DE PAGO]]=0,TODAY()-PROVEEDORES[[#This Row],[FECHA DE FACTURACIÓN]]-PROVEEDORES[[#This Row],[PLAZO Días]],0)</f>
        <v>0</v>
      </c>
      <c r="U1107" s="97" t="str">
        <f>+VLOOKUP(PROVEEDORES[[#This Row],[PROVEEDOR]],Terceros!$A:$D,4,FALSE)</f>
        <v>3,5% sin base</v>
      </c>
      <c r="V1107" s="98">
        <f>+YEAR(PROVEEDORES[[#This Row],[FECHA DE FACTURACIÓN]])</f>
        <v>2023</v>
      </c>
      <c r="W1107" s="98">
        <f>+MATCH(PROVEEDORES[[#This Row],[año facturado]],Retenciones!$1:$1,0)</f>
        <v>6</v>
      </c>
      <c r="X1107" s="99">
        <f>+VLOOKUP(PROVEEDORES[[#This Row],[ID RETENCION]],Retenciones!$A$1:$O$25,PROVEEDORES[[#This Row],[indicador de columna]],FALSE)</f>
        <v>0</v>
      </c>
      <c r="Y1107" s="100">
        <f>+VLOOKUP(PROVEEDORES[[#This Row],[ID RETENCION]],Retenciones!$A$1:$O$25,2,FALSE)</f>
        <v>3.5000000000000003E-2</v>
      </c>
      <c r="Z1107" s="103" t="b">
        <f>OR(COUNTIF(PROVEEDORES[[#This Row],[PROVEEDOR]],"*"&amp;'Palabra no opera'!$A$2&amp;"*"))</f>
        <v>1</v>
      </c>
    </row>
    <row r="1108" spans="1:26" ht="22.35" customHeight="1" x14ac:dyDescent="0.25">
      <c r="A1108" s="304" t="str">
        <f>+IF(PROVEEDORES[[#This Row],[FECHA DE PAGO]]=PROVEEDORES[[#This Row],[FECHA DE FACTURACIÓN]],"DE CONTADO","CRÉDITO")</f>
        <v>CRÉDITO</v>
      </c>
      <c r="B1108" s="38" t="b">
        <f>+IF((PROVEEDORES[[#This Row],[FECHA DE PAGO]]-PROVEEDORES[[#This Row],[FECHA DE FACTURACIÓN]])&gt;PROVEEDORES[[#This Row],[PLAZO Días]],"PAGO VENCIDO")</f>
        <v>0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08" s="289">
        <v>45307</v>
      </c>
      <c r="H1108" s="26" t="s">
        <v>427</v>
      </c>
      <c r="I1108" s="289">
        <v>45292</v>
      </c>
      <c r="J1108" s="35" t="s">
        <v>1487</v>
      </c>
      <c r="K1108" s="21">
        <v>246493</v>
      </c>
      <c r="L1108" s="21"/>
      <c r="M1108" s="22">
        <f>(PROVEEDORES[[#This Row],[SUBTOTAL]]-PROVEEDORES[[#This Row],[descuento sobre subtotal]])*VLOOKUP(PROVEEDORES[[#This Row],[PROVEEDOR]],TERCEROS_INFO[#All],3,FALSE)</f>
        <v>46833.67</v>
      </c>
      <c r="N1108" s="23"/>
      <c r="O1108" s="22">
        <f>+PROVEEDORES[[#This Row],[Descuento sobre subtotal %]]*(PROVEEDORES[[#This Row],[SUBTOTAL]]-PROVEEDORES[[#This Row],[descuento sobre subtotal]])</f>
        <v>0</v>
      </c>
      <c r="P1108" s="72">
        <f>+IF(PROVEEDORES[[#This Row],[SUBTOTAL]]&lt;PROVEEDORES[[#This Row],[base retencion]],0,PROVEEDORES[[#This Row],[retención aplicada]])</f>
        <v>3.5000000000000003E-2</v>
      </c>
      <c r="Q1108" s="22">
        <f>+PROVEEDORES[[#This Row],[Rete Fuente %]]*(PROVEEDORES[[#This Row],[SUBTOTAL]]-PROVEEDORES[[#This Row],[descuento sobre subtotal]])</f>
        <v>8627.255000000001</v>
      </c>
      <c r="R1108" s="21">
        <f>+PROVEEDORES[[#This Row],[SUBTOTAL]]+PROVEEDORES[[#This Row],[IVA 19%]]-PROVEEDORES[[#This Row],[descuento sobre subtotal]]-PROVEEDORES[[#This Row],[Descuento sobre subtotal $2]]-PROVEEDORES[[#This Row],[Rete Fuente $]]</f>
        <v>284699.41499999998</v>
      </c>
      <c r="S1108" s="3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1">
        <f ca="1">IF(PROVEEDORES[[#This Row],[FECHA DE PAGO]]=0,TODAY()-PROVEEDORES[[#This Row],[FECHA DE FACTURACIÓN]]-PROVEEDORES[[#This Row],[PLAZO Días]],0)</f>
        <v>0</v>
      </c>
      <c r="U1108" s="97" t="str">
        <f>+VLOOKUP(PROVEEDORES[[#This Row],[PROVEEDOR]],Terceros!$A:$D,4,FALSE)</f>
        <v>3,5% sin base</v>
      </c>
      <c r="V1108" s="98">
        <f>+YEAR(PROVEEDORES[[#This Row],[FECHA DE FACTURACIÓN]])</f>
        <v>2024</v>
      </c>
      <c r="W1108" s="98">
        <f>+MATCH(PROVEEDORES[[#This Row],[año facturado]],Retenciones!$1:$1,0)</f>
        <v>7</v>
      </c>
      <c r="X1108" s="99">
        <f>+VLOOKUP(PROVEEDORES[[#This Row],[ID RETENCION]],Retenciones!$A$1:$O$25,PROVEEDORES[[#This Row],[indicador de columna]],FALSE)</f>
        <v>0</v>
      </c>
      <c r="Y1108" s="100">
        <f>+VLOOKUP(PROVEEDORES[[#This Row],[ID RETENCION]],Retenciones!$A$1:$O$25,2,FALSE)</f>
        <v>3.5000000000000003E-2</v>
      </c>
      <c r="Z1108" s="103" t="b">
        <f>OR(COUNTIF(PROVEEDORES[[#This Row],[PROVEEDOR]],"*"&amp;'Palabra no opera'!$A$2&amp;"*"))</f>
        <v>1</v>
      </c>
    </row>
    <row r="1109" spans="1:26" ht="22.35" customHeight="1" x14ac:dyDescent="0.25">
      <c r="A1109" s="65" t="str">
        <f>+IF(PROVEEDORES[[#This Row],[FECHA DE PAGO]]=PROVEEDORES[[#This Row],[FECHA DE FACTURACIÓN]],"DE CONTADO","CRÉDITO")</f>
        <v>CRÉDITO</v>
      </c>
      <c r="B1109" s="38" t="str">
        <f>+IF((PROVEEDORES[[#This Row],[FECHA DE PAGO]]-PROVEEDORES[[#This Row],[FECHA DE FACTURACIÓN]])&gt;PROVEEDORES[[#This Row],[PLAZO Días]],"PAGO VENCIDO")</f>
        <v>PAGO VENCIDO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1426700.52</v>
      </c>
      <c r="E1109" s="25"/>
      <c r="F1109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09" s="289">
        <v>44988</v>
      </c>
      <c r="H1109" s="26" t="s">
        <v>151</v>
      </c>
      <c r="I1109" s="289">
        <v>44951</v>
      </c>
      <c r="J1109" s="35" t="s">
        <v>581</v>
      </c>
      <c r="K1109" s="21">
        <v>1216808</v>
      </c>
      <c r="L1109" s="21"/>
      <c r="M1109" s="22">
        <f>(PROVEEDORES[[#This Row],[SUBTOTAL]]-PROVEEDORES[[#This Row],[descuento sobre subtotal]])*VLOOKUP(PROVEEDORES[[#This Row],[PROVEEDOR]],TERCEROS_INFO[#All],3,FALSE)</f>
        <v>231193.52</v>
      </c>
      <c r="N1109" s="23"/>
      <c r="O1109" s="22">
        <f>+PROVEEDORES[[#This Row],[Descuento sobre subtotal %]]*(PROVEEDORES[[#This Row],[SUBTOTAL]]-PROVEEDORES[[#This Row],[descuento sobre subtotal]])</f>
        <v>0</v>
      </c>
      <c r="P1109" s="72">
        <f>+IF(PROVEEDORES[[#This Row],[SUBTOTAL]]&lt;PROVEEDORES[[#This Row],[base retencion]],0,PROVEEDORES[[#This Row],[retención aplicada]])</f>
        <v>2.5000000000000001E-2</v>
      </c>
      <c r="Q1109" s="22">
        <f>+PROVEEDORES[[#This Row],[Rete Fuente %]]*(PROVEEDORES[[#This Row],[SUBTOTAL]]-PROVEEDORES[[#This Row],[descuento sobre subtotal]])</f>
        <v>30420.2</v>
      </c>
      <c r="R1109" s="21">
        <f>+PROVEEDORES[[#This Row],[SUBTOTAL]]+PROVEEDORES[[#This Row],[IVA 19%]]-PROVEEDORES[[#This Row],[descuento sobre subtotal]]-PROVEEDORES[[#This Row],[Descuento sobre subtotal $2]]-PROVEEDORES[[#This Row],[Rete Fuente $]]</f>
        <v>1417581.32</v>
      </c>
      <c r="S110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1">
        <f ca="1">IF(PROVEEDORES[[#This Row],[FECHA DE PAGO]]=0,TODAY()-PROVEEDORES[[#This Row],[FECHA DE FACTURACIÓN]]-PROVEEDORES[[#This Row],[PLAZO Días]],0)</f>
        <v>0</v>
      </c>
      <c r="U1109" s="97" t="str">
        <f>+VLOOKUP(PROVEEDORES[[#This Row],[PROVEEDOR]],Terceros!$A:$D,4,FALSE)</f>
        <v>2,5% con base</v>
      </c>
      <c r="V1109" s="98">
        <f>+YEAR(PROVEEDORES[[#This Row],[FECHA DE FACTURACIÓN]])</f>
        <v>2023</v>
      </c>
      <c r="W1109" s="98">
        <f>+MATCH(PROVEEDORES[[#This Row],[año facturado]],Retenciones!$1:$1,0)</f>
        <v>6</v>
      </c>
      <c r="X1109" s="99">
        <f>+VLOOKUP(PROVEEDORES[[#This Row],[ID RETENCION]],Retenciones!$A$1:$O$25,PROVEEDORES[[#This Row],[indicador de columna]],FALSE)</f>
        <v>1145000</v>
      </c>
      <c r="Y1109" s="100">
        <f>+VLOOKUP(PROVEEDORES[[#This Row],[ID RETENCION]],Retenciones!$A$1:$O$25,2,FALSE)</f>
        <v>2.5000000000000001E-2</v>
      </c>
      <c r="Z1109" s="103" t="b">
        <f>OR(COUNTIF(PROVEEDORES[[#This Row],[PROVEEDOR]],"*"&amp;'Palabra no opera'!$A$2&amp;"*"))</f>
        <v>0</v>
      </c>
    </row>
    <row r="1110" spans="1:26" ht="22.35" customHeight="1" x14ac:dyDescent="0.25">
      <c r="A1110" s="65" t="str">
        <f>+IF(PROVEEDORES[[#This Row],[FECHA DE PAGO]]=PROVEEDORES[[#This Row],[FECHA DE FACTURACIÓN]],"DE CONTADO","CRÉDITO")</f>
        <v>CRÉDITO</v>
      </c>
      <c r="B1110" s="38" t="str">
        <f>+IF((PROVEEDORES[[#This Row],[FECHA DE PAGO]]-PROVEEDORES[[#This Row],[FECHA DE FACTURACIÓN]])&gt;PROVEEDORES[[#This Row],[PLAZO Días]],"PAGO VENCIDO")</f>
        <v>PAGO VENCIDO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1426700.52</v>
      </c>
      <c r="E1110" s="25"/>
      <c r="F1110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0" s="289">
        <v>44988</v>
      </c>
      <c r="H1110" s="26" t="s">
        <v>151</v>
      </c>
      <c r="I1110" s="289">
        <v>44957</v>
      </c>
      <c r="J1110" s="35" t="s">
        <v>585</v>
      </c>
      <c r="K1110" s="21">
        <v>262185</v>
      </c>
      <c r="L1110" s="21"/>
      <c r="M1110" s="22">
        <f>(PROVEEDORES[[#This Row],[SUBTOTAL]]-PROVEEDORES[[#This Row],[descuento sobre subtotal]])*VLOOKUP(PROVEEDORES[[#This Row],[PROVEEDOR]],TERCEROS_INFO[#All],3,FALSE)</f>
        <v>49815.15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72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312000.15000000002</v>
      </c>
      <c r="S11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1">
        <f ca="1">IF(PROVEEDORES[[#This Row],[FECHA DE PAGO]]=0,TODAY()-PROVEEDORES[[#This Row],[FECHA DE FACTURACIÓN]]-PROVEEDORES[[#This Row],[PLAZO Días]],0)</f>
        <v>0</v>
      </c>
      <c r="U1110" s="97" t="str">
        <f>+VLOOKUP(PROVEEDORES[[#This Row],[PROVEEDOR]],Terceros!$A:$D,4,FALSE)</f>
        <v>2,5% con base</v>
      </c>
      <c r="V1110" s="98">
        <f>+YEAR(PROVEEDORES[[#This Row],[FECHA DE FACTURACIÓN]])</f>
        <v>2023</v>
      </c>
      <c r="W1110" s="98">
        <f>+MATCH(PROVEEDORES[[#This Row],[año facturado]],Retenciones!$1:$1,0)</f>
        <v>6</v>
      </c>
      <c r="X1110" s="99">
        <f>+VLOOKUP(PROVEEDORES[[#This Row],[ID RETENCION]],Retenciones!$A$1:$O$25,PROVEEDORES[[#This Row],[indicador de columna]],FALSE)</f>
        <v>1145000</v>
      </c>
      <c r="Y1110" s="100">
        <f>+VLOOKUP(PROVEEDORES[[#This Row],[ID RETENCION]],Retenciones!$A$1:$O$25,2,FALSE)</f>
        <v>2.5000000000000001E-2</v>
      </c>
      <c r="Z1110" s="103" t="b">
        <f>OR(COUNTIF(PROVEEDORES[[#This Row],[PROVEEDOR]],"*"&amp;'Palabra no opera'!$A$2&amp;"*"))</f>
        <v>0</v>
      </c>
    </row>
    <row r="1111" spans="1:26" ht="22.35" customHeight="1" x14ac:dyDescent="0.25">
      <c r="A1111" s="65" t="str">
        <f>+IF(PROVEEDORES[[#This Row],[FECHA DE PAGO]]=PROVEEDORES[[#This Row],[FECHA DE FACTURACIÓN]],"DE CONTADO","CRÉDITO")</f>
        <v>CRÉDITO</v>
      </c>
      <c r="B1111" s="38" t="str">
        <f>+IF((PROVEEDORES[[#This Row],[FECHA DE PAGO]]-PROVEEDORES[[#This Row],[FECHA DE FACTURACIÓN]])&gt;PROVEEDORES[[#This Row],[PLAZO Días]],"PAGO VENCIDO")</f>
        <v>PAGO VENCIDO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1426700.52</v>
      </c>
      <c r="E1111" s="25"/>
      <c r="F1111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1" s="289">
        <v>45139</v>
      </c>
      <c r="H1111" s="26" t="s">
        <v>151</v>
      </c>
      <c r="I1111" s="289">
        <v>45057</v>
      </c>
      <c r="J1111" s="35" t="s">
        <v>844</v>
      </c>
      <c r="K1111" s="21">
        <v>3564706</v>
      </c>
      <c r="L1111" s="21"/>
      <c r="M1111" s="22">
        <f>(PROVEEDORES[[#This Row],[SUBTOTAL]]-PROVEEDORES[[#This Row],[descuento sobre subtotal]])*VLOOKUP(PROVEEDORES[[#This Row],[PROVEEDOR]],TERCEROS_INFO[#All],3,FALSE)</f>
        <v>677294.14</v>
      </c>
      <c r="N1111" s="23"/>
      <c r="O1111" s="22">
        <f>+PROVEEDORES[[#This Row],[Descuento sobre subtotal %]]*(PROVEEDORES[[#This Row],[SUBTOTAL]]-PROVEEDORES[[#This Row],[descuento sobre subtotal]])</f>
        <v>0</v>
      </c>
      <c r="P1111" s="72">
        <f>+IF(PROVEEDORES[[#This Row],[SUBTOTAL]]&lt;PROVEEDORES[[#This Row],[base retencion]],0,PROVEEDORES[[#This Row],[retención aplicada]])</f>
        <v>2.5000000000000001E-2</v>
      </c>
      <c r="Q1111" s="22">
        <f>+PROVEEDORES[[#This Row],[Rete Fuente %]]*(PROVEEDORES[[#This Row],[SUBTOTAL]]-PROVEEDORES[[#This Row],[descuento sobre subtotal]])</f>
        <v>89117.650000000009</v>
      </c>
      <c r="R1111" s="21">
        <f>+PROVEEDORES[[#This Row],[SUBTOTAL]]+PROVEEDORES[[#This Row],[IVA 19%]]-PROVEEDORES[[#This Row],[descuento sobre subtotal]]-PROVEEDORES[[#This Row],[Descuento sobre subtotal $2]]-PROVEEDORES[[#This Row],[Rete Fuente $]]</f>
        <v>4152882.4899999998</v>
      </c>
      <c r="S11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1">
        <f ca="1">IF(PROVEEDORES[[#This Row],[FECHA DE PAGO]]=0,TODAY()-PROVEEDORES[[#This Row],[FECHA DE FACTURACIÓN]]-PROVEEDORES[[#This Row],[PLAZO Días]],0)</f>
        <v>0</v>
      </c>
      <c r="U1111" s="97" t="str">
        <f>+VLOOKUP(PROVEEDORES[[#This Row],[PROVEEDOR]],Terceros!$A:$D,4,FALSE)</f>
        <v>2,5% con base</v>
      </c>
      <c r="V1111" s="98">
        <f>+YEAR(PROVEEDORES[[#This Row],[FECHA DE FACTURACIÓN]])</f>
        <v>2023</v>
      </c>
      <c r="W1111" s="98">
        <f>+MATCH(PROVEEDORES[[#This Row],[año facturado]],Retenciones!$1:$1,0)</f>
        <v>6</v>
      </c>
      <c r="X1111" s="99">
        <f>+VLOOKUP(PROVEEDORES[[#This Row],[ID RETENCION]],Retenciones!$A$1:$O$25,PROVEEDORES[[#This Row],[indicador de columna]],FALSE)</f>
        <v>1145000</v>
      </c>
      <c r="Y1111" s="100">
        <f>+VLOOKUP(PROVEEDORES[[#This Row],[ID RETENCION]],Retenciones!$A$1:$O$25,2,FALSE)</f>
        <v>2.5000000000000001E-2</v>
      </c>
      <c r="Z1111" s="103" t="b">
        <f>OR(COUNTIF(PROVEEDORES[[#This Row],[PROVEEDOR]],"*"&amp;'Palabra no opera'!$A$2&amp;"*"))</f>
        <v>0</v>
      </c>
    </row>
    <row r="1112" spans="1:26" ht="22.35" customHeight="1" x14ac:dyDescent="0.25">
      <c r="A1112" s="205" t="str">
        <f>+IF(PROVEEDORES[[#This Row],[FECHA DE PAGO]]=PROVEEDORES[[#This Row],[FECHA DE FACTURACIÓN]],"DE CONTADO","CRÉDITO")</f>
        <v>CRÉDITO</v>
      </c>
      <c r="B1112" s="38" t="str">
        <f>+IF((PROVEEDORES[[#This Row],[FECHA DE PAGO]]-PROVEEDORES[[#This Row],[FECHA DE FACTURACIÓN]])&gt;PROVEEDORES[[#This Row],[PLAZO Días]],"PAGO VENCIDO")</f>
        <v>PAGO VENCIDO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1426700.52</v>
      </c>
      <c r="E1112" s="25"/>
      <c r="F1112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2" s="289">
        <v>45139</v>
      </c>
      <c r="H1112" s="26" t="s">
        <v>151</v>
      </c>
      <c r="I1112" s="289">
        <v>45094</v>
      </c>
      <c r="J1112" s="35" t="s">
        <v>894</v>
      </c>
      <c r="K1112" s="21">
        <v>537815</v>
      </c>
      <c r="L1112" s="21"/>
      <c r="M1112" s="22">
        <f>(PROVEEDORES[[#This Row],[SUBTOTAL]]-PROVEEDORES[[#This Row],[descuento sobre subtotal]])*VLOOKUP(PROVEEDORES[[#This Row],[PROVEEDOR]],TERCEROS_INFO[#All],3,FALSE)</f>
        <v>102184.85</v>
      </c>
      <c r="N1112" s="23"/>
      <c r="O1112" s="22">
        <f>+PROVEEDORES[[#This Row],[Descuento sobre subtotal %]]*(PROVEEDORES[[#This Row],[SUBTOTAL]]-PROVEEDORES[[#This Row],[descuento sobre subtotal]])</f>
        <v>0</v>
      </c>
      <c r="P1112" s="72">
        <f>+IF(PROVEEDORES[[#This Row],[SUBTOTAL]]&lt;PROVEEDORES[[#This Row],[base retencion]],0,PROVEEDORES[[#This Row],[retención aplicada]])</f>
        <v>0</v>
      </c>
      <c r="Q1112" s="22">
        <f>+PROVEEDORES[[#This Row],[Rete Fuente %]]*(PROVEEDORES[[#This Row],[SUBTOTAL]]-PROVEEDORES[[#This Row],[descuento sobre subtotal]])</f>
        <v>0</v>
      </c>
      <c r="R1112" s="21">
        <f>+PROVEEDORES[[#This Row],[SUBTOTAL]]+PROVEEDORES[[#This Row],[IVA 19%]]-PROVEEDORES[[#This Row],[descuento sobre subtotal]]-PROVEEDORES[[#This Row],[Descuento sobre subtotal $2]]-PROVEEDORES[[#This Row],[Rete Fuente $]]</f>
        <v>639999.85</v>
      </c>
      <c r="S1112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1">
        <f ca="1">IF(PROVEEDORES[[#This Row],[FECHA DE PAGO]]=0,TODAY()-PROVEEDORES[[#This Row],[FECHA DE FACTURACIÓN]]-PROVEEDORES[[#This Row],[PLAZO Días]],0)</f>
        <v>0</v>
      </c>
      <c r="U1112" s="97" t="str">
        <f>+VLOOKUP(PROVEEDORES[[#This Row],[PROVEEDOR]],Terceros!$A:$D,4,FALSE)</f>
        <v>2,5% con base</v>
      </c>
      <c r="V1112" s="98">
        <f>+YEAR(PROVEEDORES[[#This Row],[FECHA DE FACTURACIÓN]])</f>
        <v>2023</v>
      </c>
      <c r="W1112" s="98">
        <f>+MATCH(PROVEEDORES[[#This Row],[año facturado]],Retenciones!$1:$1,0)</f>
        <v>6</v>
      </c>
      <c r="X1112" s="99">
        <f>+VLOOKUP(PROVEEDORES[[#This Row],[ID RETENCION]],Retenciones!$A$1:$O$25,PROVEEDORES[[#This Row],[indicador de columna]],FALSE)</f>
        <v>1145000</v>
      </c>
      <c r="Y1112" s="100">
        <f>+VLOOKUP(PROVEEDORES[[#This Row],[ID RETENCION]],Retenciones!$A$1:$O$25,2,FALSE)</f>
        <v>2.5000000000000001E-2</v>
      </c>
      <c r="Z1112" s="103" t="b">
        <f>OR(COUNTIF(PROVEEDORES[[#This Row],[PROVEEDOR]],"*"&amp;'Palabra no opera'!$A$2&amp;"*"))</f>
        <v>0</v>
      </c>
    </row>
    <row r="1113" spans="1:26" ht="22.35" customHeight="1" x14ac:dyDescent="0.25">
      <c r="A1113" s="227" t="str">
        <f>+IF(PROVEEDORES[[#This Row],[FECHA DE PAGO]]=PROVEEDORES[[#This Row],[FECHA DE FACTURACIÓN]],"DE CONTADO","CRÉDITO")</f>
        <v>CRÉDITO</v>
      </c>
      <c r="B1113" s="38" t="str">
        <f>+IF((PROVEEDORES[[#This Row],[FECHA DE PAGO]]-PROVEEDORES[[#This Row],[FECHA DE FACTURACIÓN]])&gt;PROVEEDORES[[#This Row],[PLAZO Días]],"PAGO VENCIDO")</f>
        <v>PAGO VENCIDO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1426700.52</v>
      </c>
      <c r="E1113" s="25"/>
      <c r="F111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3" s="289">
        <v>45246</v>
      </c>
      <c r="H1113" s="26" t="s">
        <v>151</v>
      </c>
      <c r="I1113" s="289">
        <v>45156</v>
      </c>
      <c r="J1113" s="35" t="s">
        <v>541</v>
      </c>
      <c r="K1113" s="21">
        <v>-537815</v>
      </c>
      <c r="L1113" s="21"/>
      <c r="M1113" s="22">
        <f>(PROVEEDORES[[#This Row],[SUBTOTAL]]-PROVEEDORES[[#This Row],[descuento sobre subtotal]])*VLOOKUP(PROVEEDORES[[#This Row],[PROVEEDOR]],TERCEROS_INFO[#All],3,FALSE)</f>
        <v>-102184.85</v>
      </c>
      <c r="N1113" s="23"/>
      <c r="O1113" s="22">
        <f>+PROVEEDORES[[#This Row],[Descuento sobre subtotal %]]*(PROVEEDORES[[#This Row],[SUBTOTAL]]-PROVEEDORES[[#This Row],[descuento sobre subtotal]])</f>
        <v>0</v>
      </c>
      <c r="P1113" s="72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-639999.85</v>
      </c>
      <c r="S1113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1">
        <f ca="1">IF(PROVEEDORES[[#This Row],[FECHA DE PAGO]]=0,TODAY()-PROVEEDORES[[#This Row],[FECHA DE FACTURACIÓN]]-PROVEEDORES[[#This Row],[PLAZO Días]],0)</f>
        <v>0</v>
      </c>
      <c r="U1113" s="97" t="str">
        <f>+VLOOKUP(PROVEEDORES[[#This Row],[PROVEEDOR]],Terceros!$A:$D,4,FALSE)</f>
        <v>2,5% con base</v>
      </c>
      <c r="V1113" s="98">
        <f>+YEAR(PROVEEDORES[[#This Row],[FECHA DE FACTURACIÓN]])</f>
        <v>2023</v>
      </c>
      <c r="W1113" s="98">
        <f>+MATCH(PROVEEDORES[[#This Row],[año facturado]],Retenciones!$1:$1,0)</f>
        <v>6</v>
      </c>
      <c r="X1113" s="99">
        <f>+VLOOKUP(PROVEEDORES[[#This Row],[ID RETENCION]],Retenciones!$A$1:$O$25,PROVEEDORES[[#This Row],[indicador de columna]],FALSE)</f>
        <v>1145000</v>
      </c>
      <c r="Y1113" s="100">
        <f>+VLOOKUP(PROVEEDORES[[#This Row],[ID RETENCION]],Retenciones!$A$1:$O$25,2,FALSE)</f>
        <v>2.5000000000000001E-2</v>
      </c>
      <c r="Z1113" s="103" t="b">
        <f>OR(COUNTIF(PROVEEDORES[[#This Row],[PROVEEDOR]],"*"&amp;'Palabra no opera'!$A$2&amp;"*"))</f>
        <v>0</v>
      </c>
    </row>
    <row r="1114" spans="1:26" ht="22.35" customHeight="1" x14ac:dyDescent="0.25">
      <c r="A1114" s="65" t="str">
        <f>+IF(PROVEEDORES[[#This Row],[FECHA DE PAGO]]=PROVEEDORES[[#This Row],[FECHA DE FACTURACIÓN]],"DE CONTADO","CRÉDITO")</f>
        <v>CRÉDITO</v>
      </c>
      <c r="B1114" s="38" t="str">
        <f>+IF((PROVEEDORES[[#This Row],[FECHA DE PAGO]]-PROVEEDORES[[#This Row],[FECHA DE FACTURACIÓN]])&gt;PROVEEDORES[[#This Row],[PLAZO Días]],"PAGO VENCIDO")</f>
        <v>PAGO VENCIDO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1426700.52</v>
      </c>
      <c r="E1114" s="25"/>
      <c r="F1114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4" s="289">
        <v>45246</v>
      </c>
      <c r="H1114" s="26" t="s">
        <v>151</v>
      </c>
      <c r="I1114" s="289">
        <v>45177</v>
      </c>
      <c r="J1114" s="35" t="s">
        <v>1105</v>
      </c>
      <c r="K1114" s="21">
        <v>3048739</v>
      </c>
      <c r="L1114" s="21"/>
      <c r="M1114" s="22">
        <f>(PROVEEDORES[[#This Row],[SUBTOTAL]]-PROVEEDORES[[#This Row],[descuento sobre subtotal]])*VLOOKUP(PROVEEDORES[[#This Row],[PROVEEDOR]],TERCEROS_INFO[#All],3,FALSE)</f>
        <v>579260.41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72">
        <f>+IF(PROVEEDORES[[#This Row],[SUBTOTAL]]&lt;PROVEEDORES[[#This Row],[base retencion]],0,PROVEEDORES[[#This Row],[retención aplicada]])</f>
        <v>2.5000000000000001E-2</v>
      </c>
      <c r="Q1114" s="22">
        <f>+PROVEEDORES[[#This Row],[Rete Fuente %]]*(PROVEEDORES[[#This Row],[SUBTOTAL]]-PROVEEDORES[[#This Row],[descuento sobre subtotal]])</f>
        <v>76218.475000000006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3551780.9350000001</v>
      </c>
      <c r="S111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1">
        <f ca="1">IF(PROVEEDORES[[#This Row],[FECHA DE PAGO]]=0,TODAY()-PROVEEDORES[[#This Row],[FECHA DE FACTURACIÓN]]-PROVEEDORES[[#This Row],[PLAZO Días]],0)</f>
        <v>0</v>
      </c>
      <c r="U1114" s="97" t="str">
        <f>+VLOOKUP(PROVEEDORES[[#This Row],[PROVEEDOR]],Terceros!$A:$D,4,FALSE)</f>
        <v>2,5% con base</v>
      </c>
      <c r="V1114" s="98">
        <f>+YEAR(PROVEEDORES[[#This Row],[FECHA DE FACTURACIÓN]])</f>
        <v>2023</v>
      </c>
      <c r="W1114" s="98">
        <f>+MATCH(PROVEEDORES[[#This Row],[año facturado]],Retenciones!$1:$1,0)</f>
        <v>6</v>
      </c>
      <c r="X1114" s="99">
        <f>+VLOOKUP(PROVEEDORES[[#This Row],[ID RETENCION]],Retenciones!$A$1:$O$25,PROVEEDORES[[#This Row],[indicador de columna]],FALSE)</f>
        <v>1145000</v>
      </c>
      <c r="Y1114" s="100">
        <f>+VLOOKUP(PROVEEDORES[[#This Row],[ID RETENCION]],Retenciones!$A$1:$O$25,2,FALSE)</f>
        <v>2.5000000000000001E-2</v>
      </c>
      <c r="Z1114" s="103" t="b">
        <f>OR(COUNTIF(PROVEEDORES[[#This Row],[PROVEEDOR]],"*"&amp;'Palabra no opera'!$A$2&amp;"*"))</f>
        <v>0</v>
      </c>
    </row>
    <row r="1115" spans="1:26" ht="22.35" customHeight="1" x14ac:dyDescent="0.25">
      <c r="A1115" s="65" t="str">
        <f>+IF(PROVEEDORES[[#This Row],[FECHA DE PAGO]]=PROVEEDORES[[#This Row],[FECHA DE FACTURACIÓN]],"DE CONTADO","CRÉDITO")</f>
        <v>CRÉDITO</v>
      </c>
      <c r="B1115" s="38" t="str">
        <f>+IF((PROVEEDORES[[#This Row],[FECHA DE PAGO]]-PROVEEDORES[[#This Row],[FECHA DE FACTURACIÓN]])&gt;PROVEEDORES[[#This Row],[PLAZO Días]],"PAGO VENCIDO")</f>
        <v>PAGO VENCIDO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1426700.52</v>
      </c>
      <c r="E1115" s="25"/>
      <c r="F1115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5" s="289">
        <v>45246</v>
      </c>
      <c r="H1115" s="26" t="s">
        <v>151</v>
      </c>
      <c r="I1115" s="289">
        <v>45184</v>
      </c>
      <c r="J1115" s="35" t="s">
        <v>1106</v>
      </c>
      <c r="K1115" s="21">
        <v>483193</v>
      </c>
      <c r="L1115" s="21"/>
      <c r="M1115" s="22">
        <f>(PROVEEDORES[[#This Row],[SUBTOTAL]]-PROVEEDORES[[#This Row],[descuento sobre subtotal]])*VLOOKUP(PROVEEDORES[[#This Row],[PROVEEDOR]],TERCEROS_INFO[#All],3,FALSE)</f>
        <v>91806.67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72">
        <f>+IF(PROVEEDORES[[#This Row],[SUBTOTAL]]&lt;PROVEEDORES[[#This Row],[base retencion]],0,PROVEEDORES[[#This Row],[retención aplicada]])</f>
        <v>0</v>
      </c>
      <c r="Q1115" s="22">
        <f>+PROVEEDORES[[#This Row],[Rete Fuente %]]*(PROVEEDORES[[#This Row],[SUBTOTAL]]-PROVEEDORES[[#This Row],[descuento sobre subtotal]])</f>
        <v>0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574999.67000000004</v>
      </c>
      <c r="S111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1">
        <f ca="1">IF(PROVEEDORES[[#This Row],[FECHA DE PAGO]]=0,TODAY()-PROVEEDORES[[#This Row],[FECHA DE FACTURACIÓN]]-PROVEEDORES[[#This Row],[PLAZO Días]],0)</f>
        <v>0</v>
      </c>
      <c r="U1115" s="97" t="str">
        <f>+VLOOKUP(PROVEEDORES[[#This Row],[PROVEEDOR]],Terceros!$A:$D,4,FALSE)</f>
        <v>2,5% con base</v>
      </c>
      <c r="V1115" s="98">
        <f>+YEAR(PROVEEDORES[[#This Row],[FECHA DE FACTURACIÓN]])</f>
        <v>2023</v>
      </c>
      <c r="W1115" s="98">
        <f>+MATCH(PROVEEDORES[[#This Row],[año facturado]],Retenciones!$1:$1,0)</f>
        <v>6</v>
      </c>
      <c r="X1115" s="99">
        <f>+VLOOKUP(PROVEEDORES[[#This Row],[ID RETENCION]],Retenciones!$A$1:$O$25,PROVEEDORES[[#This Row],[indicador de columna]],FALSE)</f>
        <v>1145000</v>
      </c>
      <c r="Y1115" s="100">
        <f>+VLOOKUP(PROVEEDORES[[#This Row],[ID RETENCION]],Retenciones!$A$1:$O$25,2,FALSE)</f>
        <v>2.5000000000000001E-2</v>
      </c>
      <c r="Z1115" s="103" t="b">
        <f>OR(COUNTIF(PROVEEDORES[[#This Row],[PROVEEDOR]],"*"&amp;'Palabra no opera'!$A$2&amp;"*"))</f>
        <v>0</v>
      </c>
    </row>
    <row r="1116" spans="1:26" ht="22.35" customHeight="1" x14ac:dyDescent="0.25">
      <c r="A1116" s="65" t="str">
        <f>+IF(PROVEEDORES[[#This Row],[FECHA DE PAGO]]=PROVEEDORES[[#This Row],[FECHA DE FACTURACIÓN]],"DE CONTADO","CRÉDITO")</f>
        <v>CRÉDITO</v>
      </c>
      <c r="B1116" s="38" t="str">
        <f>+IF((PROVEEDORES[[#This Row],[FECHA DE PAGO]]-PROVEEDORES[[#This Row],[FECHA DE FACTURACIÓN]])&gt;PROVEEDORES[[#This Row],[PLAZO Días]],"PAGO VENCIDO")</f>
        <v>PAGO VENCIDO</v>
      </c>
      <c r="C1116" s="20">
        <f>+VLOOKUP(PROVEEDORES[[#This Row],[PROVEEDOR]],TERCEROS_INFO[#All],2,FALSE)</f>
        <v>30</v>
      </c>
      <c r="D1116" s="25">
        <f>+SUMIFS(PROVEEDORES[Total],PROVEEDORES[PROVEEDOR],PROVEEDORES[[#This Row],[PROVEEDOR]],PROVEEDORES[FECHA DE PAGO],"")</f>
        <v>1426700.52</v>
      </c>
      <c r="E1116" s="25"/>
      <c r="F1116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16" s="289">
        <v>45246</v>
      </c>
      <c r="H1116" s="26" t="s">
        <v>151</v>
      </c>
      <c r="I1116" s="289">
        <v>45184</v>
      </c>
      <c r="J1116" s="35" t="s">
        <v>1107</v>
      </c>
      <c r="K1116" s="21">
        <v>-210084</v>
      </c>
      <c r="L1116" s="21"/>
      <c r="M1116" s="22">
        <f>(PROVEEDORES[[#This Row],[SUBTOTAL]]-PROVEEDORES[[#This Row],[descuento sobre subtotal]])*VLOOKUP(PROVEEDORES[[#This Row],[PROVEEDOR]],TERCEROS_INFO[#All],3,FALSE)</f>
        <v>-39915.96</v>
      </c>
      <c r="N1116" s="23"/>
      <c r="O1116" s="22">
        <f>+PROVEEDORES[[#This Row],[Descuento sobre subtotal %]]*(PROVEEDORES[[#This Row],[SUBTOTAL]]-PROVEEDORES[[#This Row],[descuento sobre subtotal]])</f>
        <v>0</v>
      </c>
      <c r="P1116" s="72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f>+PROVEEDORES[[#This Row],[SUBTOTAL]]+PROVEEDORES[[#This Row],[IVA 19%]]-PROVEEDORES[[#This Row],[descuento sobre subtotal]]-PROVEEDORES[[#This Row],[Descuento sobre subtotal $2]]-PROVEEDORES[[#This Row],[Rete Fuente $]]</f>
        <v>-249999.96</v>
      </c>
      <c r="S111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1">
        <f ca="1">IF(PROVEEDORES[[#This Row],[FECHA DE PAGO]]=0,TODAY()-PROVEEDORES[[#This Row],[FECHA DE FACTURACIÓN]]-PROVEEDORES[[#This Row],[PLAZO Días]],0)</f>
        <v>0</v>
      </c>
      <c r="U1116" s="97" t="str">
        <f>+VLOOKUP(PROVEEDORES[[#This Row],[PROVEEDOR]],Terceros!$A:$D,4,FALSE)</f>
        <v>2,5% con base</v>
      </c>
      <c r="V1116" s="98">
        <f>+YEAR(PROVEEDORES[[#This Row],[FECHA DE FACTURACIÓN]])</f>
        <v>2023</v>
      </c>
      <c r="W1116" s="98">
        <f>+MATCH(PROVEEDORES[[#This Row],[año facturado]],Retenciones!$1:$1,0)</f>
        <v>6</v>
      </c>
      <c r="X1116" s="99">
        <f>+VLOOKUP(PROVEEDORES[[#This Row],[ID RETENCION]],Retenciones!$A$1:$O$25,PROVEEDORES[[#This Row],[indicador de columna]],FALSE)</f>
        <v>1145000</v>
      </c>
      <c r="Y1116" s="100">
        <f>+VLOOKUP(PROVEEDORES[[#This Row],[ID RETENCION]],Retenciones!$A$1:$O$25,2,FALSE)</f>
        <v>2.5000000000000001E-2</v>
      </c>
      <c r="Z1116" s="103" t="b">
        <f>OR(COUNTIF(PROVEEDORES[[#This Row],[PROVEEDOR]],"*"&amp;'Palabra no opera'!$A$2&amp;"*"))</f>
        <v>0</v>
      </c>
    </row>
    <row r="1117" spans="1:26" ht="22.35" customHeight="1" x14ac:dyDescent="0.25">
      <c r="A1117" s="65" t="str">
        <f>+IF(PROVEEDORES[[#This Row],[FECHA DE PAGO]]=PROVEEDORES[[#This Row],[FECHA DE FACTURACIÓN]],"DE CONTADO","CRÉDITO")</f>
        <v>CRÉDITO</v>
      </c>
      <c r="B1117" s="38" t="str">
        <f>+IF((PROVEEDORES[[#This Row],[FECHA DE PAGO]]-PROVEEDORES[[#This Row],[FECHA DE FACTURACIÓN]])&gt;PROVEEDORES[[#This Row],[PLAZO Días]],"PAGO VENCIDO")</f>
        <v>PAGO VENCIDO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2169355.9580000001</v>
      </c>
      <c r="E1117" s="25"/>
      <c r="F1117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17" s="289">
        <v>45327</v>
      </c>
      <c r="H1117" s="26" t="s">
        <v>18</v>
      </c>
      <c r="I1117" s="289">
        <v>45287</v>
      </c>
      <c r="J1117" s="35" t="s">
        <v>1440</v>
      </c>
      <c r="K1117" s="21">
        <v>6665062</v>
      </c>
      <c r="L1117" s="21"/>
      <c r="M1117" s="22">
        <f>(PROVEEDORES[[#This Row],[SUBTOTAL]]-PROVEEDORES[[#This Row],[descuento sobre subtotal]])*VLOOKUP(PROVEEDORES[[#This Row],[PROVEEDOR]],TERCEROS_INFO[#All],3,FALSE)</f>
        <v>1266361.78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72">
        <f>+IF(PROVEEDORES[[#This Row],[SUBTOTAL]]&lt;PROVEEDORES[[#This Row],[base retencion]],0,PROVEEDORES[[#This Row],[retención aplicada]])</f>
        <v>2.5000000000000001E-2</v>
      </c>
      <c r="Q1117" s="22">
        <f>+PROVEEDORES[[#This Row],[Rete Fuente %]]*(PROVEEDORES[[#This Row],[SUBTOTAL]]-PROVEEDORES[[#This Row],[descuento sobre subtotal]])</f>
        <v>166626.55000000002</v>
      </c>
      <c r="R1117" s="21">
        <f>+PROVEEDORES[[#This Row],[SUBTOTAL]]+PROVEEDORES[[#This Row],[IVA 19%]]-PROVEEDORES[[#This Row],[descuento sobre subtotal]]-PROVEEDORES[[#This Row],[Descuento sobre subtotal $2]]-PROVEEDORES[[#This Row],[Rete Fuente $]]</f>
        <v>7764797.2300000004</v>
      </c>
      <c r="S111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1">
        <f ca="1">IF(PROVEEDORES[[#This Row],[FECHA DE PAGO]]=0,TODAY()-PROVEEDORES[[#This Row],[FECHA DE FACTURACIÓN]]-PROVEEDORES[[#This Row],[PLAZO Días]],0)</f>
        <v>0</v>
      </c>
      <c r="U1117" s="97" t="str">
        <f>+VLOOKUP(PROVEEDORES[[#This Row],[PROVEEDOR]],Terceros!$A:$D,4,FALSE)</f>
        <v>2,5% con base</v>
      </c>
      <c r="V1117" s="98">
        <f>+YEAR(PROVEEDORES[[#This Row],[FECHA DE FACTURACIÓN]])</f>
        <v>2023</v>
      </c>
      <c r="W1117" s="98">
        <f>+MATCH(PROVEEDORES[[#This Row],[año facturado]],Retenciones!$1:$1,0)</f>
        <v>6</v>
      </c>
      <c r="X1117" s="99">
        <f>+VLOOKUP(PROVEEDORES[[#This Row],[ID RETENCION]],Retenciones!$A$1:$O$25,PROVEEDORES[[#This Row],[indicador de columna]],FALSE)</f>
        <v>1145000</v>
      </c>
      <c r="Y1117" s="100">
        <f>+VLOOKUP(PROVEEDORES[[#This Row],[ID RETENCION]],Retenciones!$A$1:$O$25,2,FALSE)</f>
        <v>2.5000000000000001E-2</v>
      </c>
      <c r="Z1117" s="103" t="b">
        <f>OR(COUNTIF(PROVEEDORES[[#This Row],[PROVEEDOR]],"*"&amp;'Palabra no opera'!$A$2&amp;"*"))</f>
        <v>0</v>
      </c>
    </row>
    <row r="1118" spans="1:26" ht="22.35" customHeight="1" x14ac:dyDescent="0.25">
      <c r="A1118" s="151" t="str">
        <f>+IF(PROVEEDORES[[#This Row],[FECHA DE PAGO]]=PROVEEDORES[[#This Row],[FECHA DE FACTURACIÓN]],"DE CONTADO","CRÉDITO")</f>
        <v>CRÉDITO</v>
      </c>
      <c r="B1118" s="38" t="b">
        <f>+IF((PROVEEDORES[[#This Row],[FECHA DE PAGO]]-PROVEEDORES[[#This Row],[FECHA DE FACTURACIÓN]])&gt;PROVEEDORES[[#This Row],[PLAZO Días]],"PAGO VENCIDO")</f>
        <v>0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0</v>
      </c>
      <c r="E1118" s="25"/>
      <c r="F1118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18" s="289">
        <v>44991</v>
      </c>
      <c r="H1118" s="26" t="s">
        <v>418</v>
      </c>
      <c r="I1118" s="289">
        <v>44966</v>
      </c>
      <c r="J1118" s="35" t="s">
        <v>590</v>
      </c>
      <c r="K1118" s="21">
        <v>1520000</v>
      </c>
      <c r="L1118" s="21"/>
      <c r="M1118" s="22">
        <f>(PROVEEDORES[[#This Row],[SUBTOTAL]]-PROVEEDORES[[#This Row],[descuento sobre subtotal]])*VLOOKUP(PROVEEDORES[[#This Row],[PROVEEDOR]],TERCEROS_INFO[#All],3,FALSE)</f>
        <v>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72"/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1520000</v>
      </c>
      <c r="S1118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1">
        <f ca="1">IF(PROVEEDORES[[#This Row],[FECHA DE PAGO]]=0,TODAY()-PROVEEDORES[[#This Row],[FECHA DE FACTURACIÓN]]-PROVEEDORES[[#This Row],[PLAZO Días]],0)</f>
        <v>0</v>
      </c>
      <c r="U1118" s="97" t="str">
        <f>+VLOOKUP(PROVEEDORES[[#This Row],[PROVEEDOR]],Terceros!$A:$D,4,FALSE)</f>
        <v>3,5% sin base</v>
      </c>
      <c r="V1118" s="98">
        <f>+YEAR(PROVEEDORES[[#This Row],[FECHA DE FACTURACIÓN]])</f>
        <v>2023</v>
      </c>
      <c r="W1118" s="98">
        <f>+MATCH(PROVEEDORES[[#This Row],[año facturado]],Retenciones!$1:$1,0)</f>
        <v>6</v>
      </c>
      <c r="X1118" s="99">
        <f>+VLOOKUP(PROVEEDORES[[#This Row],[ID RETENCION]],Retenciones!$A$1:$O$25,PROVEEDORES[[#This Row],[indicador de columna]],FALSE)</f>
        <v>0</v>
      </c>
      <c r="Y1118" s="100">
        <f>+VLOOKUP(PROVEEDORES[[#This Row],[ID RETENCION]],Retenciones!$A$1:$O$25,2,FALSE)</f>
        <v>3.5000000000000003E-2</v>
      </c>
      <c r="Z1118" s="103" t="b">
        <f>OR(COUNTIF(PROVEEDORES[[#This Row],[PROVEEDOR]],"*"&amp;'Palabra no opera'!$A$2&amp;"*"))</f>
        <v>1</v>
      </c>
    </row>
    <row r="1119" spans="1:26" ht="22.35" customHeight="1" x14ac:dyDescent="0.25">
      <c r="A1119" s="65" t="str">
        <f>+IF(PROVEEDORES[[#This Row],[FECHA DE PAGO]]=PROVEEDORES[[#This Row],[FECHA DE FACTURACIÓN]],"DE CONTADO","CRÉDITO")</f>
        <v>CRÉDITO</v>
      </c>
      <c r="B1119" s="38" t="b">
        <f>+IF((PROVEEDORES[[#This Row],[FECHA DE PAGO]]-PROVEEDORES[[#This Row],[FECHA DE FACTURACIÓN]])&gt;PROVEEDORES[[#This Row],[PLAZO Días]],"PAGO VENCIDO")</f>
        <v>0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0</v>
      </c>
      <c r="E1119" s="25"/>
      <c r="F1119" s="56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19" s="289">
        <v>45099</v>
      </c>
      <c r="H1119" s="26" t="s">
        <v>418</v>
      </c>
      <c r="I1119" s="289">
        <v>45097</v>
      </c>
      <c r="J1119" s="35">
        <v>254</v>
      </c>
      <c r="K1119" s="21">
        <v>540000</v>
      </c>
      <c r="L1119" s="21"/>
      <c r="M1119" s="22">
        <f>(PROVEEDORES[[#This Row],[SUBTOTAL]]-PROVEEDORES[[#This Row],[descuento sobre subtotal]])*VLOOKUP(PROVEEDORES[[#This Row],[PROVEEDOR]],TERCEROS_INFO[#All],3,FALSE)</f>
        <v>0</v>
      </c>
      <c r="N1119" s="23"/>
      <c r="O1119" s="22">
        <f>+PROVEEDORES[[#This Row],[Descuento sobre subtotal %]]*(PROVEEDORES[[#This Row],[SUBTOTAL]]-PROVEEDORES[[#This Row],[descuento sobre subtotal]])</f>
        <v>0</v>
      </c>
      <c r="P1119" s="72">
        <f>+IF(PROVEEDORES[[#This Row],[SUBTOTAL]]&lt;PROVEEDORES[[#This Row],[base retencion]],0,PROVEEDORES[[#This Row],[retención aplicada]])</f>
        <v>3.5000000000000003E-2</v>
      </c>
      <c r="Q1119" s="22">
        <f>+PROVEEDORES[[#This Row],[Rete Fuente %]]*(PROVEEDORES[[#This Row],[SUBTOTAL]]-PROVEEDORES[[#This Row],[descuento sobre subtotal]])</f>
        <v>18900</v>
      </c>
      <c r="R1119" s="21">
        <f>+PROVEEDORES[[#This Row],[SUBTOTAL]]+PROVEEDORES[[#This Row],[IVA 19%]]-PROVEEDORES[[#This Row],[descuento sobre subtotal]]-PROVEEDORES[[#This Row],[Descuento sobre subtotal $2]]-PROVEEDORES[[#This Row],[Rete Fuente $]]</f>
        <v>521100</v>
      </c>
      <c r="S11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1">
        <f ca="1">IF(PROVEEDORES[[#This Row],[FECHA DE PAGO]]=0,TODAY()-PROVEEDORES[[#This Row],[FECHA DE FACTURACIÓN]]-PROVEEDORES[[#This Row],[PLAZO Días]],0)</f>
        <v>0</v>
      </c>
      <c r="U1119" s="97" t="str">
        <f>+VLOOKUP(PROVEEDORES[[#This Row],[PROVEEDOR]],Terceros!$A:$D,4,FALSE)</f>
        <v>3,5% sin base</v>
      </c>
      <c r="V1119" s="98">
        <f>+YEAR(PROVEEDORES[[#This Row],[FECHA DE FACTURACIÓN]])</f>
        <v>2023</v>
      </c>
      <c r="W1119" s="98">
        <f>+MATCH(PROVEEDORES[[#This Row],[año facturado]],Retenciones!$1:$1,0)</f>
        <v>6</v>
      </c>
      <c r="X1119" s="99">
        <f>+VLOOKUP(PROVEEDORES[[#This Row],[ID RETENCION]],Retenciones!$A$1:$O$25,PROVEEDORES[[#This Row],[indicador de columna]],FALSE)</f>
        <v>0</v>
      </c>
      <c r="Y1119" s="100">
        <f>+VLOOKUP(PROVEEDORES[[#This Row],[ID RETENCION]],Retenciones!$A$1:$O$25,2,FALSE)</f>
        <v>3.5000000000000003E-2</v>
      </c>
      <c r="Z1119" s="103" t="b">
        <f>OR(COUNTIF(PROVEEDORES[[#This Row],[PROVEEDOR]],"*"&amp;'Palabra no opera'!$A$2&amp;"*"))</f>
        <v>1</v>
      </c>
    </row>
    <row r="1120" spans="1:26" ht="22.35" customHeight="1" x14ac:dyDescent="0.25">
      <c r="A1120" s="151" t="str">
        <f>+IF(PROVEEDORES[[#This Row],[FECHA DE PAGO]]=PROVEEDORES[[#This Row],[FECHA DE FACTURACIÓN]],"DE CONTADO","CRÉDITO")</f>
        <v>CRÉDITO</v>
      </c>
      <c r="B1120" s="38" t="b">
        <f>+IF((PROVEEDORES[[#This Row],[FECHA DE PAGO]]-PROVEEDORES[[#This Row],[FECHA DE FACTURACIÓN]])&gt;PROVEEDORES[[#This Row],[PLAZO Días]],"PAGO VENCIDO")</f>
        <v>0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0</v>
      </c>
      <c r="E1120" s="25"/>
      <c r="F1120" s="56">
        <f>+VLOOKUP(PROVEEDORES[[#This Row],[PROVEEDOR]],
                       Terceros!$A:$F,
                       5,
                       FALSE)</f>
        <v>0</v>
      </c>
      <c r="G1120" s="289">
        <v>44984</v>
      </c>
      <c r="H1120" s="26" t="s">
        <v>591</v>
      </c>
      <c r="I1120" s="289">
        <v>44965</v>
      </c>
      <c r="J1120" s="35" t="s">
        <v>601</v>
      </c>
      <c r="K1120" s="21">
        <v>200000</v>
      </c>
      <c r="L1120" s="21"/>
      <c r="M1120" s="22">
        <f>(PROVEEDORES[[#This Row],[SUBTOTAL]]-PROVEEDORES[[#This Row],[descuento sobre subtotal]])*VLOOKUP(PROVEEDORES[[#This Row],[PROVEEDOR]],TERCEROS_INFO[#All],3,FALSE)</f>
        <v>38000</v>
      </c>
      <c r="N1120" s="23"/>
      <c r="O1120" s="22">
        <f>+PROVEEDORES[[#This Row],[Descuento sobre subtotal %]]*(PROVEEDORES[[#This Row],[SUBTOTAL]]-PROVEEDORES[[#This Row],[descuento sobre subtotal]])</f>
        <v>0</v>
      </c>
      <c r="P1120" s="72">
        <f>+IF(PROVEEDORES[[#This Row],[SUBTOTAL]]&lt;PROVEEDORES[[#This Row],[base retencion]],0,PROVEEDORES[[#This Row],[retención aplicada]])</f>
        <v>0</v>
      </c>
      <c r="Q1120" s="22">
        <f>+PROVEEDORES[[#This Row],[Rete Fuente %]]*(PROVEEDORES[[#This Row],[SUBTOTAL]]-PROVEEDORES[[#This Row],[descuento sobre subtotal]])</f>
        <v>0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238000</v>
      </c>
      <c r="S1120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1">
        <f ca="1">IF(PROVEEDORES[[#This Row],[FECHA DE PAGO]]=0,TODAY()-PROVEEDORES[[#This Row],[FECHA DE FACTURACIÓN]]-PROVEEDORES[[#This Row],[PLAZO Días]],0)</f>
        <v>0</v>
      </c>
      <c r="U1120" s="97" t="str">
        <f>+VLOOKUP(PROVEEDORES[[#This Row],[PROVEEDOR]],Terceros!$A:$D,4,FALSE)</f>
        <v>2,5% con base</v>
      </c>
      <c r="V1120" s="98">
        <f>+YEAR(PROVEEDORES[[#This Row],[FECHA DE FACTURACIÓN]])</f>
        <v>2023</v>
      </c>
      <c r="W1120" s="98">
        <f>+MATCH(PROVEEDORES[[#This Row],[año facturado]],Retenciones!$1:$1,0)</f>
        <v>6</v>
      </c>
      <c r="X1120" s="99">
        <f>+VLOOKUP(PROVEEDORES[[#This Row],[ID RETENCION]],Retenciones!$A$1:$O$25,PROVEEDORES[[#This Row],[indicador de columna]],FALSE)</f>
        <v>1145000</v>
      </c>
      <c r="Y1120" s="100">
        <f>+VLOOKUP(PROVEEDORES[[#This Row],[ID RETENCION]],Retenciones!$A$1:$O$25,2,FALSE)</f>
        <v>2.5000000000000001E-2</v>
      </c>
      <c r="Z1120" s="103" t="b">
        <f>OR(COUNTIF(PROVEEDORES[[#This Row],[PROVEEDOR]],"*"&amp;'Palabra no opera'!$A$2&amp;"*"))</f>
        <v>1</v>
      </c>
    </row>
    <row r="1121" spans="1:26" ht="22.35" customHeight="1" x14ac:dyDescent="0.25">
      <c r="A1121" s="203" t="str">
        <f>+IF(PROVEEDORES[[#This Row],[FECHA DE PAGO]]=PROVEEDORES[[#This Row],[FECHA DE FACTURACIÓN]],"DE CONTADO","CRÉDITO")</f>
        <v>CRÉDITO</v>
      </c>
      <c r="B1121" s="38" t="str">
        <f>+IF((PROVEEDORES[[#This Row],[FECHA DE PAGO]]-PROVEEDORES[[#This Row],[FECHA DE FACTURACIÓN]])&gt;PROVEEDORES[[#This Row],[PLAZO Días]],"PAGO VENCIDO")</f>
        <v>PAGO VENCIDO</v>
      </c>
      <c r="C1121" s="20">
        <f>+VLOOKUP(PROVEEDORES[[#This Row],[PROVEEDOR]],TERCEROS_INFO[#All],2,FALSE)</f>
        <v>30</v>
      </c>
      <c r="D1121" s="25">
        <f>+SUMIFS(PROVEEDORES[Total],PROVEEDORES[PROVEEDOR],PROVEEDORES[[#This Row],[PROVEEDOR]],PROVEEDORES[FECHA DE PAGO],"")</f>
        <v>0</v>
      </c>
      <c r="E1121" s="25"/>
      <c r="F1121" s="56">
        <f>+VLOOKUP(PROVEEDORES[[#This Row],[PROVEEDOR]],
                       Terceros!$A:$F,
                       5,
                       FALSE)</f>
        <v>0</v>
      </c>
      <c r="G1121" s="289">
        <v>45100</v>
      </c>
      <c r="H1121" s="26" t="s">
        <v>591</v>
      </c>
      <c r="I1121" s="289">
        <v>44965</v>
      </c>
      <c r="J1121" s="35" t="s">
        <v>887</v>
      </c>
      <c r="K1121" s="21">
        <v>5700</v>
      </c>
      <c r="L1121" s="21"/>
      <c r="M1121" s="22"/>
      <c r="N1121" s="23"/>
      <c r="O1121" s="22">
        <f>+PROVEEDORES[[#This Row],[Descuento sobre subtotal %]]*(PROVEEDORES[[#This Row],[SUBTOTAL]]-PROVEEDORES[[#This Row],[descuento sobre subtotal]])</f>
        <v>0</v>
      </c>
      <c r="P1121" s="72">
        <f>+IF(PROVEEDORES[[#This Row],[SUBTOTAL]]&lt;PROVEEDORES[[#This Row],[base retencion]],0,PROVEEDORES[[#This Row],[retención aplicada]])</f>
        <v>0</v>
      </c>
      <c r="Q1121" s="22">
        <f>+PROVEEDORES[[#This Row],[Rete Fuente %]]*(PROVEEDORES[[#This Row],[SUBTOTAL]]-PROVEEDORES[[#This Row],[descuento sobre subtotal]])</f>
        <v>0</v>
      </c>
      <c r="R1121" s="21">
        <f>+PROVEEDORES[[#This Row],[SUBTOTAL]]+PROVEEDORES[[#This Row],[IVA 19%]]-PROVEEDORES[[#This Row],[descuento sobre subtotal]]-PROVEEDORES[[#This Row],[Descuento sobre subtotal $2]]-PROVEEDORES[[#This Row],[Rete Fuente $]]</f>
        <v>5700</v>
      </c>
      <c r="S1121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1">
        <f ca="1">IF(PROVEEDORES[[#This Row],[FECHA DE PAGO]]=0,TODAY()-PROVEEDORES[[#This Row],[FECHA DE FACTURACIÓN]]-PROVEEDORES[[#This Row],[PLAZO Días]],0)</f>
        <v>0</v>
      </c>
      <c r="U1121" s="97" t="str">
        <f>+VLOOKUP(PROVEEDORES[[#This Row],[PROVEEDOR]],Terceros!$A:$D,4,FALSE)</f>
        <v>2,5% con base</v>
      </c>
      <c r="V1121" s="98">
        <f>+YEAR(PROVEEDORES[[#This Row],[FECHA DE FACTURACIÓN]])</f>
        <v>2023</v>
      </c>
      <c r="W1121" s="98">
        <f>+MATCH(PROVEEDORES[[#This Row],[año facturado]],Retenciones!$1:$1,0)</f>
        <v>6</v>
      </c>
      <c r="X1121" s="99">
        <f>+VLOOKUP(PROVEEDORES[[#This Row],[ID RETENCION]],Retenciones!$A$1:$O$25,PROVEEDORES[[#This Row],[indicador de columna]],FALSE)</f>
        <v>1145000</v>
      </c>
      <c r="Y1121" s="100">
        <f>+VLOOKUP(PROVEEDORES[[#This Row],[ID RETENCION]],Retenciones!$A$1:$O$25,2,FALSE)</f>
        <v>2.5000000000000001E-2</v>
      </c>
      <c r="Z1121" s="103" t="b">
        <f>OR(COUNTIF(PROVEEDORES[[#This Row],[PROVEEDOR]],"*"&amp;'Palabra no opera'!$A$2&amp;"*"))</f>
        <v>1</v>
      </c>
    </row>
    <row r="1122" spans="1:26" ht="22.35" customHeight="1" x14ac:dyDescent="0.25">
      <c r="A1122" s="203" t="str">
        <f>+IF(PROVEEDORES[[#This Row],[FECHA DE PAGO]]=PROVEEDORES[[#This Row],[FECHA DE FACTURACIÓN]],"DE CONTADO","CRÉDITO")</f>
        <v>CRÉDITO</v>
      </c>
      <c r="B1122" s="38" t="b">
        <f>+IF((PROVEEDORES[[#This Row],[FECHA DE PAGO]]-PROVEEDORES[[#This Row],[FECHA DE FACTURACIÓN]])&gt;PROVEEDORES[[#This Row],[PLAZO Días]],"PAGO VENCIDO")</f>
        <v>0</v>
      </c>
      <c r="C1122" s="20">
        <f>+VLOOKUP(PROVEEDORES[[#This Row],[PROVEEDOR]],TERCEROS_INFO[#All],2,FALSE)</f>
        <v>30</v>
      </c>
      <c r="D1122" s="25">
        <f>+SUMIFS(PROVEEDORES[Total],PROVEEDORES[PROVEEDOR],PROVEEDORES[[#This Row],[PROVEEDOR]],PROVEEDORES[FECHA DE PAGO],"")</f>
        <v>0</v>
      </c>
      <c r="E1122" s="25"/>
      <c r="F1122" s="56">
        <f>+VLOOKUP(PROVEEDORES[[#This Row],[PROVEEDOR]],
                       Terceros!$A:$F,
                       5,
                       FALSE)</f>
        <v>0</v>
      </c>
      <c r="G1122" s="289">
        <v>45100</v>
      </c>
      <c r="H1122" s="26" t="s">
        <v>591</v>
      </c>
      <c r="I1122" s="289">
        <v>45098</v>
      </c>
      <c r="J1122" s="35" t="s">
        <v>886</v>
      </c>
      <c r="K1122" s="21">
        <v>217200</v>
      </c>
      <c r="L1122" s="21"/>
      <c r="M1122" s="22">
        <f>(PROVEEDORES[[#This Row],[SUBTOTAL]]-PROVEEDORES[[#This Row],[descuento sobre subtotal]])*VLOOKUP(PROVEEDORES[[#This Row],[PROVEEDOR]],TERCEROS_INFO[#All],3,FALSE)</f>
        <v>41268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72">
        <f>+IF(PROVEEDORES[[#This Row],[SUBTOTAL]]&lt;PROVEEDORES[[#This Row],[base retencion]],0,PROVEEDORES[[#This Row],[retención aplicada]])</f>
        <v>0</v>
      </c>
      <c r="Q1122" s="22">
        <f>+PROVEEDORES[[#This Row],[Rete Fuente %]]*(PROVEEDORES[[#This Row],[SUBTOTAL]]-PROVEEDORES[[#This Row],[descuento sobre subtotal]])</f>
        <v>0</v>
      </c>
      <c r="R1122" s="21">
        <f>+PROVEEDORES[[#This Row],[SUBTOTAL]]+PROVEEDORES[[#This Row],[IVA 19%]]-PROVEEDORES[[#This Row],[descuento sobre subtotal]]-PROVEEDORES[[#This Row],[Descuento sobre subtotal $2]]-PROVEEDORES[[#This Row],[Rete Fuente $]]</f>
        <v>258468</v>
      </c>
      <c r="S1122" s="20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1">
        <f ca="1">IF(PROVEEDORES[[#This Row],[FECHA DE PAGO]]=0,TODAY()-PROVEEDORES[[#This Row],[FECHA DE FACTURACIÓN]]-PROVEEDORES[[#This Row],[PLAZO Días]],0)</f>
        <v>0</v>
      </c>
      <c r="U1122" s="97" t="str">
        <f>+VLOOKUP(PROVEEDORES[[#This Row],[PROVEEDOR]],Terceros!$A:$D,4,FALSE)</f>
        <v>2,5% con base</v>
      </c>
      <c r="V1122" s="98">
        <f>+YEAR(PROVEEDORES[[#This Row],[FECHA DE FACTURACIÓN]])</f>
        <v>2023</v>
      </c>
      <c r="W1122" s="98">
        <f>+MATCH(PROVEEDORES[[#This Row],[año facturado]],Retenciones!$1:$1,0)</f>
        <v>6</v>
      </c>
      <c r="X1122" s="99">
        <f>+VLOOKUP(PROVEEDORES[[#This Row],[ID RETENCION]],Retenciones!$A$1:$O$25,PROVEEDORES[[#This Row],[indicador de columna]],FALSE)</f>
        <v>1145000</v>
      </c>
      <c r="Y1122" s="100">
        <f>+VLOOKUP(PROVEEDORES[[#This Row],[ID RETENCION]],Retenciones!$A$1:$O$25,2,FALSE)</f>
        <v>2.5000000000000001E-2</v>
      </c>
      <c r="Z1122" s="103" t="b">
        <f>OR(COUNTIF(PROVEEDORES[[#This Row],[PROVEEDOR]],"*"&amp;'Palabra no opera'!$A$2&amp;"*"))</f>
        <v>1</v>
      </c>
    </row>
    <row r="1123" spans="1:26" ht="22.35" customHeight="1" x14ac:dyDescent="0.25">
      <c r="A1123" s="310" t="str">
        <f>+IF(PROVEEDORES[[#This Row],[FECHA DE PAGO]]=PROVEEDORES[[#This Row],[FECHA DE FACTURACIÓN]],"DE CONTADO","CRÉDITO")</f>
        <v>CRÉDITO</v>
      </c>
      <c r="B1123" s="38" t="b">
        <f>+IF((PROVEEDORES[[#This Row],[FECHA DE PAGO]]-PROVEEDORES[[#This Row],[FECHA DE FACTURACIÓN]])&gt;PROVEEDORES[[#This Row],[PLAZO Días]],"PAGO VENCIDO")</f>
        <v>0</v>
      </c>
      <c r="C1123" s="20">
        <f>+VLOOKUP(PROVEEDORES[[#This Row],[PROVEEDOR]],TERCEROS_INFO[#All],2,FALSE)</f>
        <v>10</v>
      </c>
      <c r="D1123" s="25">
        <f>+SUMIFS(PROVEEDORES[Total],PROVEEDORES[PROVEEDOR],PROVEEDORES[[#This Row],[PROVEEDOR]],PROVEEDORES[FECHA DE PAGO],"")</f>
        <v>0</v>
      </c>
      <c r="E1123" s="25"/>
      <c r="F1123" s="56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123" s="289">
        <v>45309</v>
      </c>
      <c r="H1123" s="26" t="s">
        <v>469</v>
      </c>
      <c r="I1123" s="289">
        <v>45307</v>
      </c>
      <c r="J1123" s="35">
        <v>3883</v>
      </c>
      <c r="K1123" s="21">
        <v>945000</v>
      </c>
      <c r="L1123" s="21"/>
      <c r="M1123" s="22">
        <f>(PROVEEDORES[[#This Row],[SUBTOTAL]]-PROVEEDORES[[#This Row],[descuento sobre subtotal]])*VLOOKUP(PROVEEDORES[[#This Row],[PROVEEDOR]],TERCEROS_INFO[#All],3,FALSE)</f>
        <v>179550</v>
      </c>
      <c r="N1123" s="23"/>
      <c r="O1123" s="22">
        <f>+PROVEEDORES[[#This Row],[Descuento sobre subtotal %]]*(PROVEEDORES[[#This Row],[SUBTOTAL]]-PROVEEDORES[[#This Row],[descuento sobre subtotal]])</f>
        <v>0</v>
      </c>
      <c r="P1123" s="72">
        <f>+IF(PROVEEDORES[[#This Row],[SUBTOTAL]]&lt;PROVEEDORES[[#This Row],[base retencion]],0,PROVEEDORES[[#This Row],[retención aplicada]])</f>
        <v>0.04</v>
      </c>
      <c r="Q1123" s="22">
        <f>+PROVEEDORES[[#This Row],[Rete Fuente %]]*(PROVEEDORES[[#This Row],[SUBTOTAL]]-PROVEEDORES[[#This Row],[descuento sobre subtotal]])</f>
        <v>37800</v>
      </c>
      <c r="R1123" s="21">
        <f>+PROVEEDORES[[#This Row],[SUBTOTAL]]+PROVEEDORES[[#This Row],[IVA 19%]]-PROVEEDORES[[#This Row],[descuento sobre subtotal]]-PROVEEDORES[[#This Row],[Descuento sobre subtotal $2]]-PROVEEDORES[[#This Row],[Rete Fuente $]]</f>
        <v>1086750</v>
      </c>
      <c r="S1123" s="3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1">
        <f ca="1">IF(PROVEEDORES[[#This Row],[FECHA DE PAGO]]=0,TODAY()-PROVEEDORES[[#This Row],[FECHA DE FACTURACIÓN]]-PROVEEDORES[[#This Row],[PLAZO Días]],0)</f>
        <v>0</v>
      </c>
      <c r="U1123" s="97" t="str">
        <f>+VLOOKUP(PROVEEDORES[[#This Row],[PROVEEDOR]],Terceros!$A:$D,4,FALSE)</f>
        <v>4% con base</v>
      </c>
      <c r="V1123" s="98">
        <f>+YEAR(PROVEEDORES[[#This Row],[FECHA DE FACTURACIÓN]])</f>
        <v>2024</v>
      </c>
      <c r="W1123" s="98">
        <f>+MATCH(PROVEEDORES[[#This Row],[año facturado]],Retenciones!$1:$1,0)</f>
        <v>7</v>
      </c>
      <c r="X1123" s="99">
        <f>+VLOOKUP(PROVEEDORES[[#This Row],[ID RETENCION]],Retenciones!$A$1:$O$25,PROVEEDORES[[#This Row],[indicador de columna]],FALSE)</f>
        <v>188000</v>
      </c>
      <c r="Y1123" s="100">
        <f>+VLOOKUP(PROVEEDORES[[#This Row],[ID RETENCION]],Retenciones!$A$1:$O$25,2,FALSE)</f>
        <v>0.04</v>
      </c>
      <c r="Z1123" s="103" t="b">
        <f>OR(COUNTIF(PROVEEDORES[[#This Row],[PROVEEDOR]],"*"&amp;'Palabra no opera'!$A$2&amp;"*"))</f>
        <v>1</v>
      </c>
    </row>
    <row r="1124" spans="1:26" ht="22.35" customHeight="1" x14ac:dyDescent="0.25">
      <c r="A1124" s="169" t="str">
        <f>+IF(PROVEEDORES[[#This Row],[FECHA DE PAGO]]=PROVEEDORES[[#This Row],[FECHA DE FACTURACIÓN]],"DE CONTADO","CRÉDITO")</f>
        <v>CRÉDITO</v>
      </c>
      <c r="B1124" s="170" t="str">
        <f>+IF((PROVEEDORES[[#This Row],[FECHA DE PAGO]]-PROVEEDORES[[#This Row],[FECHA DE FACTURACIÓN]])&gt;PROVEEDORES[[#This Row],[PLAZO Días]],"PAGO VENCIDO")</f>
        <v>PAGO VENCIDO</v>
      </c>
      <c r="C1124" s="171">
        <f>+VLOOKUP(PROVEEDORES[[#This Row],[PROVEEDOR]],TERCEROS_INFO[#All],2,FALSE)</f>
        <v>30</v>
      </c>
      <c r="D1124" s="172">
        <f>+SUMIFS(PROVEEDORES[Total],PROVEEDORES[PROVEEDOR],PROVEEDORES[[#This Row],[PROVEEDOR]],PROVEEDORES[FECHA DE PAGO],"")</f>
        <v>214200</v>
      </c>
      <c r="E1124" s="172"/>
      <c r="F1124" s="173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124" s="290">
        <v>45006</v>
      </c>
      <c r="H1124" s="26" t="s">
        <v>39</v>
      </c>
      <c r="I1124" s="290">
        <v>44960</v>
      </c>
      <c r="J1124" s="174" t="s">
        <v>592</v>
      </c>
      <c r="K1124" s="175">
        <v>756000</v>
      </c>
      <c r="L1124" s="175"/>
      <c r="M1124" s="176">
        <f>(PROVEEDORES[[#This Row],[SUBTOTAL]]-PROVEEDORES[[#This Row],[descuento sobre subtotal]])*VLOOKUP(PROVEEDORES[[#This Row],[PROVEEDOR]],TERCEROS_INFO[#All],3,FALSE)</f>
        <v>143640</v>
      </c>
      <c r="N1124" s="177"/>
      <c r="O1124" s="176">
        <f>+PROVEEDORES[[#This Row],[Descuento sobre subtotal %]]*(PROVEEDORES[[#This Row],[SUBTOTAL]]-PROVEEDORES[[#This Row],[descuento sobre subtotal]])</f>
        <v>0</v>
      </c>
      <c r="P1124" s="178">
        <f>+IF(PROVEEDORES[[#This Row],[SUBTOTAL]]&lt;PROVEEDORES[[#This Row],[base retencion]],0,PROVEEDORES[[#This Row],[retención aplicada]])</f>
        <v>0</v>
      </c>
      <c r="Q1124" s="176">
        <f>+PROVEEDORES[[#This Row],[Rete Fuente %]]*(PROVEEDORES[[#This Row],[SUBTOTAL]]-PROVEEDORES[[#This Row],[descuento sobre subtotal]])</f>
        <v>0</v>
      </c>
      <c r="R1124" s="175">
        <f>+PROVEEDORES[[#This Row],[SUBTOTAL]]+PROVEEDORES[[#This Row],[IVA 19%]]-PROVEEDORES[[#This Row],[descuento sobre subtotal]]-PROVEEDORES[[#This Row],[Descuento sobre subtotal $2]]-PROVEEDORES[[#This Row],[Rete Fuente $]]</f>
        <v>899640</v>
      </c>
      <c r="S1124" s="17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180">
        <f ca="1">IF(PROVEEDORES[[#This Row],[FECHA DE PAGO]]=0,TODAY()-PROVEEDORES[[#This Row],[FECHA DE FACTURACIÓN]]-PROVEEDORES[[#This Row],[PLAZO Días]],0)</f>
        <v>0</v>
      </c>
      <c r="U1124" s="181" t="str">
        <f>+VLOOKUP(PROVEEDORES[[#This Row],[PROVEEDOR]],Terceros!$A:$D,4,FALSE)</f>
        <v>2,5% con base</v>
      </c>
      <c r="V1124" s="182">
        <f>+YEAR(PROVEEDORES[[#This Row],[FECHA DE FACTURACIÓN]])</f>
        <v>2023</v>
      </c>
      <c r="W1124" s="182">
        <f>+MATCH(PROVEEDORES[[#This Row],[año facturado]],Retenciones!$1:$1,0)</f>
        <v>6</v>
      </c>
      <c r="X1124" s="183">
        <f>+VLOOKUP(PROVEEDORES[[#This Row],[ID RETENCION]],Retenciones!$A$1:$O$25,PROVEEDORES[[#This Row],[indicador de columna]],FALSE)</f>
        <v>1145000</v>
      </c>
      <c r="Y1124" s="184">
        <f>+VLOOKUP(PROVEEDORES[[#This Row],[ID RETENCION]],Retenciones!$A$1:$O$25,2,FALSE)</f>
        <v>2.5000000000000001E-2</v>
      </c>
      <c r="Z1124" s="185" t="b">
        <f>OR(COUNTIF(PROVEEDORES[[#This Row],[PROVEEDOR]],"*"&amp;'Palabra no opera'!$A$2&amp;"*"))</f>
        <v>0</v>
      </c>
    </row>
    <row r="1125" spans="1:26" ht="22.35" customHeight="1" x14ac:dyDescent="0.25">
      <c r="A1125" s="65" t="str">
        <f>+IF(PROVEEDORES[[#This Row],[FECHA DE PAGO]]=PROVEEDORES[[#This Row],[FECHA DE FACTURACIÓN]],"DE CONTADO","CRÉDITO")</f>
        <v>CRÉDITO</v>
      </c>
      <c r="B1125" s="38" t="str">
        <f>+IF((PROVEEDORES[[#This Row],[FECHA DE PAGO]]-PROVEEDORES[[#This Row],[FECHA DE FACTURACIÓN]])&gt;PROVEEDORES[[#This Row],[PLAZO Días]],"PAGO VENCIDO")</f>
        <v>PAGO VENCIDO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214200</v>
      </c>
      <c r="E1125" s="25"/>
      <c r="F1125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125" s="289">
        <v>45201</v>
      </c>
      <c r="H1125" s="26" t="s">
        <v>39</v>
      </c>
      <c r="I1125" s="289">
        <v>45160</v>
      </c>
      <c r="J1125" s="35" t="s">
        <v>1057</v>
      </c>
      <c r="K1125" s="21">
        <v>376000</v>
      </c>
      <c r="L1125" s="21"/>
      <c r="M1125" s="22">
        <f>(PROVEEDORES[[#This Row],[SUBTOTAL]]-PROVEEDORES[[#This Row],[descuento sobre subtotal]])*VLOOKUP(PROVEEDORES[[#This Row],[PROVEEDOR]],TERCEROS_INFO[#All],3,FALSE)</f>
        <v>71440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72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11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1">
        <f ca="1">IF(PROVEEDORES[[#This Row],[FECHA DE PAGO]]=0,TODAY()-PROVEEDORES[[#This Row],[FECHA DE FACTURACIÓN]]-PROVEEDORES[[#This Row],[PLAZO Días]],0)</f>
        <v>0</v>
      </c>
      <c r="U1125" s="97" t="str">
        <f>+VLOOKUP(PROVEEDORES[[#This Row],[PROVEEDOR]],Terceros!$A:$D,4,FALSE)</f>
        <v>2,5% con base</v>
      </c>
      <c r="V1125" s="98">
        <f>+YEAR(PROVEEDORES[[#This Row],[FECHA DE FACTURACIÓN]])</f>
        <v>2023</v>
      </c>
      <c r="W1125" s="98">
        <f>+MATCH(PROVEEDORES[[#This Row],[año facturado]],Retenciones!$1:$1,0)</f>
        <v>6</v>
      </c>
      <c r="X1125" s="99">
        <f>+VLOOKUP(PROVEEDORES[[#This Row],[ID RETENCION]],Retenciones!$A$1:$O$25,PROVEEDORES[[#This Row],[indicador de columna]],FALSE)</f>
        <v>1145000</v>
      </c>
      <c r="Y1125" s="100">
        <f>+VLOOKUP(PROVEEDORES[[#This Row],[ID RETENCION]],Retenciones!$A$1:$O$25,2,FALSE)</f>
        <v>2.5000000000000001E-2</v>
      </c>
      <c r="Z1125" s="103" t="b">
        <f>OR(COUNTIF(PROVEEDORES[[#This Row],[PROVEEDOR]],"*"&amp;'Palabra no opera'!$A$2&amp;"*"))</f>
        <v>0</v>
      </c>
    </row>
    <row r="1126" spans="1:26" ht="22.35" customHeight="1" x14ac:dyDescent="0.25">
      <c r="A1126" s="65" t="str">
        <f>+IF(PROVEEDORES[[#This Row],[FECHA DE PAGO]]=PROVEEDORES[[#This Row],[FECHA DE FACTURACIÓN]],"DE CONTADO","CRÉDITO")</f>
        <v>CRÉDITO</v>
      </c>
      <c r="B1126" s="38" t="str">
        <f>+IF((PROVEEDORES[[#This Row],[FECHA DE PAGO]]-PROVEEDORES[[#This Row],[FECHA DE FACTURACIÓN]])&gt;PROVEEDORES[[#This Row],[PLAZO Días]],"PAGO VENCIDO")</f>
        <v>PAGO VENCIDO</v>
      </c>
      <c r="C1126" s="20">
        <f>+VLOOKUP(PROVEEDORES[[#This Row],[PROVEEDOR]],TERCEROS_INFO[#All],2,FALSE)</f>
        <v>30</v>
      </c>
      <c r="D1126" s="25">
        <f>+SUMIFS(PROVEEDORES[Total],PROVEEDORES[PROVEEDOR],PROVEEDORES[[#This Row],[PROVEEDOR]],PROVEEDORES[FECHA DE PAGO],"")</f>
        <v>214200</v>
      </c>
      <c r="E1126" s="25"/>
      <c r="F1126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126" s="289">
        <v>45201</v>
      </c>
      <c r="H1126" s="26" t="s">
        <v>39</v>
      </c>
      <c r="I1126" s="289">
        <v>45162</v>
      </c>
      <c r="J1126" s="35" t="s">
        <v>1056</v>
      </c>
      <c r="K1126" s="21">
        <v>8000000</v>
      </c>
      <c r="L1126" s="21"/>
      <c r="M1126" s="22">
        <f>(PROVEEDORES[[#This Row],[SUBTOTAL]]-PROVEEDORES[[#This Row],[descuento sobre subtotal]])*VLOOKUP(PROVEEDORES[[#This Row],[PROVEEDOR]],TERCEROS_INFO[#All],3,FALSE)</f>
        <v>1520000</v>
      </c>
      <c r="N1126" s="23"/>
      <c r="O1126" s="22">
        <f>+PROVEEDORES[[#This Row],[Descuento sobre subtotal %]]*(PROVEEDORES[[#This Row],[SUBTOTAL]]-PROVEEDORES[[#This Row],[descuento sobre subtotal]])</f>
        <v>0</v>
      </c>
      <c r="P1126" s="72">
        <f>+IF(PROVEEDORES[[#This Row],[SUBTOTAL]]&lt;PROVEEDORES[[#This Row],[base retencion]],0,PROVEEDORES[[#This Row],[retención aplicada]])</f>
        <v>2.5000000000000001E-2</v>
      </c>
      <c r="Q1126" s="22">
        <f>+PROVEEDORES[[#This Row],[Rete Fuente %]]*(PROVEEDORES[[#This Row],[SUBTOTAL]]-PROVEEDORES[[#This Row],[descuento sobre subtotal]])</f>
        <v>200000</v>
      </c>
      <c r="R1126" s="21">
        <f>+PROVEEDORES[[#This Row],[SUBTOTAL]]+PROVEEDORES[[#This Row],[IVA 19%]]-PROVEEDORES[[#This Row],[descuento sobre subtotal]]-PROVEEDORES[[#This Row],[Descuento sobre subtotal $2]]-PROVEEDORES[[#This Row],[Rete Fuente $]]</f>
        <v>9320000</v>
      </c>
      <c r="S11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1">
        <f ca="1">IF(PROVEEDORES[[#This Row],[FECHA DE PAGO]]=0,TODAY()-PROVEEDORES[[#This Row],[FECHA DE FACTURACIÓN]]-PROVEEDORES[[#This Row],[PLAZO Días]],0)</f>
        <v>0</v>
      </c>
      <c r="U1126" s="97" t="str">
        <f>+VLOOKUP(PROVEEDORES[[#This Row],[PROVEEDOR]],Terceros!$A:$D,4,FALSE)</f>
        <v>2,5% con base</v>
      </c>
      <c r="V1126" s="98">
        <f>+YEAR(PROVEEDORES[[#This Row],[FECHA DE FACTURACIÓN]])</f>
        <v>2023</v>
      </c>
      <c r="W1126" s="98">
        <f>+MATCH(PROVEEDORES[[#This Row],[año facturado]],Retenciones!$1:$1,0)</f>
        <v>6</v>
      </c>
      <c r="X1126" s="99">
        <f>+VLOOKUP(PROVEEDORES[[#This Row],[ID RETENCION]],Retenciones!$A$1:$O$25,PROVEEDORES[[#This Row],[indicador de columna]],FALSE)</f>
        <v>1145000</v>
      </c>
      <c r="Y1126" s="100">
        <f>+VLOOKUP(PROVEEDORES[[#This Row],[ID RETENCION]],Retenciones!$A$1:$O$25,2,FALSE)</f>
        <v>2.5000000000000001E-2</v>
      </c>
      <c r="Z1126" s="103" t="b">
        <f>OR(COUNTIF(PROVEEDORES[[#This Row],[PROVEEDOR]],"*"&amp;'Palabra no opera'!$A$2&amp;"*"))</f>
        <v>0</v>
      </c>
    </row>
    <row r="1127" spans="1:26" ht="22.35" customHeight="1" x14ac:dyDescent="0.25">
      <c r="A1127" s="65" t="str">
        <f>+IF(PROVEEDORES[[#This Row],[FECHA DE PAGO]]=PROVEEDORES[[#This Row],[FECHA DE FACTURACIÓN]],"DE CONTADO","CRÉDITO")</f>
        <v>CRÉDITO</v>
      </c>
      <c r="B1127" s="38" t="str">
        <f>+IF((PROVEEDORES[[#This Row],[FECHA DE PAGO]]-PROVEEDORES[[#This Row],[FECHA DE FACTURACIÓN]])&gt;PROVEEDORES[[#This Row],[PLAZO Días]],"PAGO VENCIDO")</f>
        <v>PAGO VENCIDO</v>
      </c>
      <c r="C1127" s="20">
        <f>+VLOOKUP(PROVEEDORES[[#This Row],[PROVEEDOR]],TERCEROS_INFO[#All],2,FALSE)</f>
        <v>30</v>
      </c>
      <c r="D1127" s="25">
        <f>+SUMIFS(PROVEEDORES[Total],PROVEEDORES[PROVEEDOR],PROVEEDORES[[#This Row],[PROVEEDOR]],PROVEEDORES[FECHA DE PAGO],"")</f>
        <v>214200</v>
      </c>
      <c r="E1127" s="25"/>
      <c r="F1127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127" s="289">
        <v>45303</v>
      </c>
      <c r="H1127" s="26" t="s">
        <v>39</v>
      </c>
      <c r="I1127" s="289">
        <v>45272</v>
      </c>
      <c r="J1127" s="35" t="s">
        <v>1386</v>
      </c>
      <c r="K1127" s="21">
        <v>361000</v>
      </c>
      <c r="L1127" s="21"/>
      <c r="M1127" s="22">
        <f>(PROVEEDORES[[#This Row],[SUBTOTAL]]-PROVEEDORES[[#This Row],[descuento sobre subtotal]])*VLOOKUP(PROVEEDORES[[#This Row],[PROVEEDOR]],TERCEROS_INFO[#All],3,FALSE)</f>
        <v>68590</v>
      </c>
      <c r="N1127" s="23"/>
      <c r="O1127" s="22">
        <f>+PROVEEDORES[[#This Row],[Descuento sobre subtotal %]]*(PROVEEDORES[[#This Row],[SUBTOTAL]]-PROVEEDORES[[#This Row],[descuento sobre subtotal]])</f>
        <v>0</v>
      </c>
      <c r="P1127" s="72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112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1">
        <f ca="1">IF(PROVEEDORES[[#This Row],[FECHA DE PAGO]]=0,TODAY()-PROVEEDORES[[#This Row],[FECHA DE FACTURACIÓN]]-PROVEEDORES[[#This Row],[PLAZO Días]],0)</f>
        <v>0</v>
      </c>
      <c r="U1127" s="97" t="str">
        <f>+VLOOKUP(PROVEEDORES[[#This Row],[PROVEEDOR]],Terceros!$A:$D,4,FALSE)</f>
        <v>2,5% con base</v>
      </c>
      <c r="V1127" s="98">
        <f>+YEAR(PROVEEDORES[[#This Row],[FECHA DE FACTURACIÓN]])</f>
        <v>2023</v>
      </c>
      <c r="W1127" s="98">
        <f>+MATCH(PROVEEDORES[[#This Row],[año facturado]],Retenciones!$1:$1,0)</f>
        <v>6</v>
      </c>
      <c r="X1127" s="99">
        <f>+VLOOKUP(PROVEEDORES[[#This Row],[ID RETENCION]],Retenciones!$A$1:$O$25,PROVEEDORES[[#This Row],[indicador de columna]],FALSE)</f>
        <v>1145000</v>
      </c>
      <c r="Y1127" s="100">
        <f>+VLOOKUP(PROVEEDORES[[#This Row],[ID RETENCION]],Retenciones!$A$1:$O$25,2,FALSE)</f>
        <v>2.5000000000000001E-2</v>
      </c>
      <c r="Z1127" s="103" t="b">
        <f>OR(COUNTIF(PROVEEDORES[[#This Row],[PROVEEDOR]],"*"&amp;'Palabra no opera'!$A$2&amp;"*"))</f>
        <v>0</v>
      </c>
    </row>
    <row r="1128" spans="1:26" ht="22.35" customHeight="1" x14ac:dyDescent="0.25">
      <c r="A1128" s="310" t="str">
        <f>+IF(PROVEEDORES[[#This Row],[FECHA DE PAGO]]=PROVEEDORES[[#This Row],[FECHA DE FACTURACIÓN]],"DE CONTADO","CRÉDITO")</f>
        <v>CRÉDITO</v>
      </c>
      <c r="B1128" s="38" t="b">
        <f>+IF((PROVEEDORES[[#This Row],[FECHA DE PAGO]]-PROVEEDORES[[#This Row],[FECHA DE FACTURACIÓN]])&gt;PROVEEDORES[[#This Row],[PLAZO Días]],"PAGO VENCIDO")</f>
        <v>0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214200</v>
      </c>
      <c r="E1128" s="25"/>
      <c r="F1128" s="56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H1128" s="26" t="s">
        <v>39</v>
      </c>
      <c r="I1128" s="289">
        <v>45303</v>
      </c>
      <c r="J1128" s="35" t="s">
        <v>1495</v>
      </c>
      <c r="K1128" s="21">
        <v>180000</v>
      </c>
      <c r="L1128" s="21"/>
      <c r="M1128" s="22">
        <f>(PROVEEDORES[[#This Row],[SUBTOTAL]]-PROVEEDORES[[#This Row],[descuento sobre subtotal]])*VLOOKUP(PROVEEDORES[[#This Row],[PROVEEDOR]],TERCEROS_INFO[#All],3,FALSE)</f>
        <v>34200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72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f>+PROVEEDORES[[#This Row],[SUBTOTAL]]+PROVEEDORES[[#This Row],[IVA 19%]]-PROVEEDORES[[#This Row],[descuento sobre subtotal]]-PROVEEDORES[[#This Row],[Descuento sobre subtotal $2]]-PROVEEDORES[[#This Row],[Rete Fuente $]]</f>
        <v>214200</v>
      </c>
      <c r="S1128" s="31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28" s="61">
        <f ca="1">IF(PROVEEDORES[[#This Row],[FECHA DE PAGO]]=0,TODAY()-PROVEEDORES[[#This Row],[FECHA DE FACTURACIÓN]]-PROVEEDORES[[#This Row],[PLAZO Días]],0)</f>
        <v>-5</v>
      </c>
      <c r="U1128" s="97" t="str">
        <f>+VLOOKUP(PROVEEDORES[[#This Row],[PROVEEDOR]],Terceros!$A:$D,4,FALSE)</f>
        <v>2,5% con base</v>
      </c>
      <c r="V1128" s="98">
        <f>+YEAR(PROVEEDORES[[#This Row],[FECHA DE FACTURACIÓN]])</f>
        <v>2024</v>
      </c>
      <c r="W1128" s="98">
        <f>+MATCH(PROVEEDORES[[#This Row],[año facturado]],Retenciones!$1:$1,0)</f>
        <v>7</v>
      </c>
      <c r="X1128" s="99">
        <f>+VLOOKUP(PROVEEDORES[[#This Row],[ID RETENCION]],Retenciones!$A$1:$O$25,PROVEEDORES[[#This Row],[indicador de columna]],FALSE)</f>
        <v>1271000</v>
      </c>
      <c r="Y1128" s="100">
        <f>+VLOOKUP(PROVEEDORES[[#This Row],[ID RETENCION]],Retenciones!$A$1:$O$25,2,FALSE)</f>
        <v>2.5000000000000001E-2</v>
      </c>
      <c r="Z1128" s="103" t="b">
        <f>OR(COUNTIF(PROVEEDORES[[#This Row],[PROVEEDOR]],"*"&amp;'Palabra no opera'!$A$2&amp;"*"))</f>
        <v>0</v>
      </c>
    </row>
    <row r="1129" spans="1:26" ht="22.35" customHeight="1" x14ac:dyDescent="0.25">
      <c r="A1129" s="65" t="str">
        <f>+IF(PROVEEDORES[[#This Row],[FECHA DE PAGO]]=PROVEEDORES[[#This Row],[FECHA DE FACTURACIÓN]],"DE CONTADO","CRÉDITO")</f>
        <v>CRÉDITO</v>
      </c>
      <c r="B1129" s="38" t="b">
        <f>+IF((PROVEEDORES[[#This Row],[FECHA DE PAGO]]-PROVEEDORES[[#This Row],[FECHA DE FACTURACIÓN]])&gt;PROVEEDORES[[#This Row],[PLAZO Días]],"PAGO VENCIDO")</f>
        <v>0</v>
      </c>
      <c r="C1129" s="20">
        <f>+VLOOKUP(PROVEEDORES[[#This Row],[PROVEEDOR]],TERCEROS_INFO[#All],2,FALSE)</f>
        <v>60</v>
      </c>
      <c r="D1129" s="25">
        <f>+SUMIFS(PROVEEDORES[Total],PROVEEDORES[PROVEEDOR],PROVEEDORES[[#This Row],[PROVEEDOR]],PROVEEDORES[FECHA DE PAGO],"")</f>
        <v>22881826.27</v>
      </c>
      <c r="E1129" s="25"/>
      <c r="F112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29" s="289">
        <v>44988</v>
      </c>
      <c r="H1129" s="26" t="s">
        <v>9</v>
      </c>
      <c r="I1129" s="289">
        <v>44937</v>
      </c>
      <c r="J1129" s="35" t="s">
        <v>582</v>
      </c>
      <c r="K1129" s="21">
        <v>612179</v>
      </c>
      <c r="L1129" s="21"/>
      <c r="M1129" s="22">
        <f>(PROVEEDORES[[#This Row],[SUBTOTAL]]-PROVEEDORES[[#This Row],[descuento sobre subtotal]])*VLOOKUP(PROVEEDORES[[#This Row],[PROVEEDOR]],TERCEROS_INFO[#All],3,FALSE)</f>
        <v>116314.01</v>
      </c>
      <c r="N1129" s="23"/>
      <c r="O1129" s="22">
        <f>+PROVEEDORES[[#This Row],[Descuento sobre subtotal %]]*(PROVEEDORES[[#This Row],[SUBTOTAL]]-PROVEEDORES[[#This Row],[descuento sobre subtotal]])</f>
        <v>0</v>
      </c>
      <c r="P1129" s="72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f>+PROVEEDORES[[#This Row],[SUBTOTAL]]+PROVEEDORES[[#This Row],[IVA 19%]]-PROVEEDORES[[#This Row],[descuento sobre subtotal]]-PROVEEDORES[[#This Row],[Descuento sobre subtotal $2]]-PROVEEDORES[[#This Row],[Rete Fuente $]]</f>
        <v>728493.01</v>
      </c>
      <c r="S11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1">
        <f ca="1">IF(PROVEEDORES[[#This Row],[FECHA DE PAGO]]=0,TODAY()-PROVEEDORES[[#This Row],[FECHA DE FACTURACIÓN]]-PROVEEDORES[[#This Row],[PLAZO Días]],0)</f>
        <v>0</v>
      </c>
      <c r="U1129" s="97" t="str">
        <f>+VLOOKUP(PROVEEDORES[[#This Row],[PROVEEDOR]],Terceros!$A:$D,4,FALSE)</f>
        <v>2,5% con base</v>
      </c>
      <c r="V1129" s="98">
        <f>+YEAR(PROVEEDORES[[#This Row],[FECHA DE FACTURACIÓN]])</f>
        <v>2023</v>
      </c>
      <c r="W1129" s="98">
        <f>+MATCH(PROVEEDORES[[#This Row],[año facturado]],Retenciones!$1:$1,0)</f>
        <v>6</v>
      </c>
      <c r="X1129" s="99">
        <f>+VLOOKUP(PROVEEDORES[[#This Row],[ID RETENCION]],Retenciones!$A$1:$O$25,PROVEEDORES[[#This Row],[indicador de columna]],FALSE)</f>
        <v>1145000</v>
      </c>
      <c r="Y1129" s="100">
        <f>+VLOOKUP(PROVEEDORES[[#This Row],[ID RETENCION]],Retenciones!$A$1:$O$25,2,FALSE)</f>
        <v>2.5000000000000001E-2</v>
      </c>
      <c r="Z1129" s="103" t="b">
        <f>OR(COUNTIF(PROVEEDORES[[#This Row],[PROVEEDOR]],"*"&amp;'Palabra no opera'!$A$2&amp;"*"))</f>
        <v>0</v>
      </c>
    </row>
    <row r="1130" spans="1:26" ht="22.35" customHeight="1" x14ac:dyDescent="0.25">
      <c r="A1130" s="192" t="str">
        <f>+IF(PROVEEDORES[[#This Row],[FECHA DE PAGO]]=PROVEEDORES[[#This Row],[FECHA DE FACTURACIÓN]],"DE CONTADO","CRÉDITO")</f>
        <v>CRÉDITO</v>
      </c>
      <c r="B1130" s="38" t="str">
        <f>+IF((PROVEEDORES[[#This Row],[FECHA DE PAGO]]-PROVEEDORES[[#This Row],[FECHA DE FACTURACIÓN]])&gt;PROVEEDORES[[#This Row],[PLAZO Días]],"PAGO VENCIDO")</f>
        <v>PAGO VENCIDO</v>
      </c>
      <c r="C1130" s="20">
        <f>+VLOOKUP(PROVEEDORES[[#This Row],[PROVEEDOR]],TERCEROS_INFO[#All],2,FALSE)</f>
        <v>60</v>
      </c>
      <c r="D1130" s="25">
        <f>+SUMIFS(PROVEEDORES[Total],PROVEEDORES[PROVEEDOR],PROVEEDORES[[#This Row],[PROVEEDOR]],PROVEEDORES[FECHA DE PAGO],"")</f>
        <v>22881826.27</v>
      </c>
      <c r="E1130" s="25"/>
      <c r="F113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0" s="289">
        <v>45133</v>
      </c>
      <c r="H1130" s="26" t="s">
        <v>9</v>
      </c>
      <c r="I1130" s="289">
        <v>45034</v>
      </c>
      <c r="J1130" s="35" t="s">
        <v>790</v>
      </c>
      <c r="K1130" s="21">
        <v>25848261</v>
      </c>
      <c r="L1130" s="21"/>
      <c r="M1130" s="22">
        <f>(PROVEEDORES[[#This Row],[SUBTOTAL]]-PROVEEDORES[[#This Row],[descuento sobre subtotal]])*VLOOKUP(PROVEEDORES[[#This Row],[PROVEEDOR]],TERCEROS_INFO[#All],3,FALSE)</f>
        <v>4911169.59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72">
        <f>+IF(PROVEEDORES[[#This Row],[SUBTOTAL]]&lt;PROVEEDORES[[#This Row],[base retencion]],0,PROVEEDORES[[#This Row],[retención aplicada]])</f>
        <v>2.5000000000000001E-2</v>
      </c>
      <c r="Q1130" s="22">
        <f>+PROVEEDORES[[#This Row],[Rete Fuente %]]*(PROVEEDORES[[#This Row],[SUBTOTAL]]-PROVEEDORES[[#This Row],[descuento sobre subtotal]])</f>
        <v>646206.52500000002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30113224.065000001</v>
      </c>
      <c r="S113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1">
        <f ca="1">IF(PROVEEDORES[[#This Row],[FECHA DE PAGO]]=0,TODAY()-PROVEEDORES[[#This Row],[FECHA DE FACTURACIÓN]]-PROVEEDORES[[#This Row],[PLAZO Días]],0)</f>
        <v>0</v>
      </c>
      <c r="U1130" s="97" t="str">
        <f>+VLOOKUP(PROVEEDORES[[#This Row],[PROVEEDOR]],Terceros!$A:$D,4,FALSE)</f>
        <v>2,5% con base</v>
      </c>
      <c r="V1130" s="98">
        <f>+YEAR(PROVEEDORES[[#This Row],[FECHA DE FACTURACIÓN]])</f>
        <v>2023</v>
      </c>
      <c r="W1130" s="98">
        <f>+MATCH(PROVEEDORES[[#This Row],[año facturado]],Retenciones!$1:$1,0)</f>
        <v>6</v>
      </c>
      <c r="X1130" s="99">
        <f>+VLOOKUP(PROVEEDORES[[#This Row],[ID RETENCION]],Retenciones!$A$1:$O$25,PROVEEDORES[[#This Row],[indicador de columna]],FALSE)</f>
        <v>1145000</v>
      </c>
      <c r="Y1130" s="100">
        <f>+VLOOKUP(PROVEEDORES[[#This Row],[ID RETENCION]],Retenciones!$A$1:$O$25,2,FALSE)</f>
        <v>2.5000000000000001E-2</v>
      </c>
      <c r="Z1130" s="103" t="b">
        <f>OR(COUNTIF(PROVEEDORES[[#This Row],[PROVEEDOR]],"*"&amp;'Palabra no opera'!$A$2&amp;"*"))</f>
        <v>0</v>
      </c>
    </row>
    <row r="1131" spans="1:26" ht="22.35" customHeight="1" x14ac:dyDescent="0.25">
      <c r="A1131" s="65" t="str">
        <f>+IF(PROVEEDORES[[#This Row],[FECHA DE PAGO]]=PROVEEDORES[[#This Row],[FECHA DE FACTURACIÓN]],"DE CONTADO","CRÉDITO")</f>
        <v>CRÉDITO</v>
      </c>
      <c r="B1131" s="38" t="str">
        <f>+IF((PROVEEDORES[[#This Row],[FECHA DE PAGO]]-PROVEEDORES[[#This Row],[FECHA DE FACTURACIÓN]])&gt;PROVEEDORES[[#This Row],[PLAZO Días]],"PAGO VENCIDO")</f>
        <v>PAGO VENCIDO</v>
      </c>
      <c r="C1131" s="20">
        <f>+VLOOKUP(PROVEEDORES[[#This Row],[PROVEEDOR]],TERCEROS_INFO[#All],2,FALSE)</f>
        <v>60</v>
      </c>
      <c r="D1131" s="25">
        <f>+SUMIFS(PROVEEDORES[Total],PROVEEDORES[PROVEEDOR],PROVEEDORES[[#This Row],[PROVEEDOR]],PROVEEDORES[FECHA DE PAGO],"")</f>
        <v>22881826.27</v>
      </c>
      <c r="E1131" s="25"/>
      <c r="F113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1" s="289">
        <v>45133</v>
      </c>
      <c r="H1131" s="26" t="s">
        <v>9</v>
      </c>
      <c r="I1131" s="289">
        <v>45054</v>
      </c>
      <c r="J1131" s="35" t="s">
        <v>846</v>
      </c>
      <c r="K1131" s="21">
        <v>-446120</v>
      </c>
      <c r="L1131" s="21"/>
      <c r="M1131" s="22">
        <f>(PROVEEDORES[[#This Row],[SUBTOTAL]]-PROVEEDORES[[#This Row],[descuento sobre subtotal]])*VLOOKUP(PROVEEDORES[[#This Row],[PROVEEDOR]],TERCEROS_INFO[#All],3,FALSE)</f>
        <v>-84762.8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72">
        <v>2.5000000000000001E-2</v>
      </c>
      <c r="Q1131" s="22">
        <f>+PROVEEDORES[[#This Row],[Rete Fuente %]]*(PROVEEDORES[[#This Row],[SUBTOTAL]]-PROVEEDORES[[#This Row],[descuento sobre subtotal]])</f>
        <v>-11153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-519729.80000000005</v>
      </c>
      <c r="S11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1">
        <f ca="1">IF(PROVEEDORES[[#This Row],[FECHA DE PAGO]]=0,TODAY()-PROVEEDORES[[#This Row],[FECHA DE FACTURACIÓN]]-PROVEEDORES[[#This Row],[PLAZO Días]],0)</f>
        <v>0</v>
      </c>
      <c r="U1131" s="97" t="str">
        <f>+VLOOKUP(PROVEEDORES[[#This Row],[PROVEEDOR]],Terceros!$A:$D,4,FALSE)</f>
        <v>2,5% con base</v>
      </c>
      <c r="V1131" s="98">
        <f>+YEAR(PROVEEDORES[[#This Row],[FECHA DE FACTURACIÓN]])</f>
        <v>2023</v>
      </c>
      <c r="W1131" s="98">
        <f>+MATCH(PROVEEDORES[[#This Row],[año facturado]],Retenciones!$1:$1,0)</f>
        <v>6</v>
      </c>
      <c r="X1131" s="99">
        <f>+VLOOKUP(PROVEEDORES[[#This Row],[ID RETENCION]],Retenciones!$A$1:$O$25,PROVEEDORES[[#This Row],[indicador de columna]],FALSE)</f>
        <v>1145000</v>
      </c>
      <c r="Y1131" s="100">
        <f>+VLOOKUP(PROVEEDORES[[#This Row],[ID RETENCION]],Retenciones!$A$1:$O$25,2,FALSE)</f>
        <v>2.5000000000000001E-2</v>
      </c>
      <c r="Z1131" s="103" t="b">
        <f>OR(COUNTIF(PROVEEDORES[[#This Row],[PROVEEDOR]],"*"&amp;'Palabra no opera'!$A$2&amp;"*"))</f>
        <v>0</v>
      </c>
    </row>
    <row r="1132" spans="1:26" ht="22.35" customHeight="1" x14ac:dyDescent="0.25">
      <c r="A1132" s="205" t="str">
        <f>+IF(PROVEEDORES[[#This Row],[FECHA DE PAGO]]=PROVEEDORES[[#This Row],[FECHA DE FACTURACIÓN]],"DE CONTADO","CRÉDITO")</f>
        <v>CRÉDITO</v>
      </c>
      <c r="B1132" s="38" t="str">
        <f>+IF((PROVEEDORES[[#This Row],[FECHA DE PAGO]]-PROVEEDORES[[#This Row],[FECHA DE FACTURACIÓN]])&gt;PROVEEDORES[[#This Row],[PLAZO Días]],"PAGO VENCIDO")</f>
        <v>PAGO VENCIDO</v>
      </c>
      <c r="C1132" s="20">
        <f>+VLOOKUP(PROVEEDORES[[#This Row],[PROVEEDOR]],TERCEROS_INFO[#All],2,FALSE)</f>
        <v>60</v>
      </c>
      <c r="D1132" s="25">
        <f>+SUMIFS(PROVEEDORES[Total],PROVEEDORES[PROVEEDOR],PROVEEDORES[[#This Row],[PROVEEDOR]],PROVEEDORES[FECHA DE PAGO],"")</f>
        <v>22881826.27</v>
      </c>
      <c r="E1132" s="25"/>
      <c r="F1132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2" s="289">
        <v>45175</v>
      </c>
      <c r="H1132" s="26" t="s">
        <v>9</v>
      </c>
      <c r="I1132" s="289">
        <v>45090</v>
      </c>
      <c r="J1132" s="35" t="s">
        <v>893</v>
      </c>
      <c r="K1132" s="21">
        <v>3578973</v>
      </c>
      <c r="L1132" s="21"/>
      <c r="M1132" s="22">
        <f>(PROVEEDORES[[#This Row],[SUBTOTAL]]-PROVEEDORES[[#This Row],[descuento sobre subtotal]])*VLOOKUP(PROVEEDORES[[#This Row],[PROVEEDOR]],TERCEROS_INFO[#All],3,FALSE)</f>
        <v>680004.87</v>
      </c>
      <c r="N1132" s="23"/>
      <c r="O1132" s="22">
        <f>+PROVEEDORES[[#This Row],[Descuento sobre subtotal %]]*(PROVEEDORES[[#This Row],[SUBTOTAL]]-PROVEEDORES[[#This Row],[descuento sobre subtotal]])</f>
        <v>0</v>
      </c>
      <c r="P1132" s="72">
        <f>+IF(PROVEEDORES[[#This Row],[SUBTOTAL]]&lt;PROVEEDORES[[#This Row],[base retencion]],0,PROVEEDORES[[#This Row],[retención aplicada]])</f>
        <v>2.5000000000000001E-2</v>
      </c>
      <c r="Q1132" s="22">
        <f>+PROVEEDORES[[#This Row],[Rete Fuente %]]*(PROVEEDORES[[#This Row],[SUBTOTAL]]-PROVEEDORES[[#This Row],[descuento sobre subtotal]])</f>
        <v>89474.325000000012</v>
      </c>
      <c r="R1132" s="21">
        <f>+PROVEEDORES[[#This Row],[SUBTOTAL]]+PROVEEDORES[[#This Row],[IVA 19%]]-PROVEEDORES[[#This Row],[descuento sobre subtotal]]-PROVEEDORES[[#This Row],[Descuento sobre subtotal $2]]-PROVEEDORES[[#This Row],[Rete Fuente $]]</f>
        <v>4169503.5449999999</v>
      </c>
      <c r="S1132" s="20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1">
        <f ca="1">IF(PROVEEDORES[[#This Row],[FECHA DE PAGO]]=0,TODAY()-PROVEEDORES[[#This Row],[FECHA DE FACTURACIÓN]]-PROVEEDORES[[#This Row],[PLAZO Días]],0)</f>
        <v>0</v>
      </c>
      <c r="U1132" s="97" t="str">
        <f>+VLOOKUP(PROVEEDORES[[#This Row],[PROVEEDOR]],Terceros!$A:$D,4,FALSE)</f>
        <v>2,5% con base</v>
      </c>
      <c r="V1132" s="98">
        <f>+YEAR(PROVEEDORES[[#This Row],[FECHA DE FACTURACIÓN]])</f>
        <v>2023</v>
      </c>
      <c r="W1132" s="98">
        <f>+MATCH(PROVEEDORES[[#This Row],[año facturado]],Retenciones!$1:$1,0)</f>
        <v>6</v>
      </c>
      <c r="X1132" s="99">
        <f>+VLOOKUP(PROVEEDORES[[#This Row],[ID RETENCION]],Retenciones!$A$1:$O$25,PROVEEDORES[[#This Row],[indicador de columna]],FALSE)</f>
        <v>1145000</v>
      </c>
      <c r="Y1132" s="100">
        <f>+VLOOKUP(PROVEEDORES[[#This Row],[ID RETENCION]],Retenciones!$A$1:$O$25,2,FALSE)</f>
        <v>2.5000000000000001E-2</v>
      </c>
      <c r="Z1132" s="103" t="b">
        <f>OR(COUNTIF(PROVEEDORES[[#This Row],[PROVEEDOR]],"*"&amp;'Palabra no opera'!$A$2&amp;"*"))</f>
        <v>0</v>
      </c>
    </row>
    <row r="1133" spans="1:26" ht="22.35" customHeight="1" x14ac:dyDescent="0.25">
      <c r="A1133" s="65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60</v>
      </c>
      <c r="D1133" s="25">
        <f>+SUMIFS(PROVEEDORES[Total],PROVEEDORES[PROVEEDOR],PROVEEDORES[[#This Row],[PROVEEDOR]],PROVEEDORES[FECHA DE PAGO],"")</f>
        <v>22881826.27</v>
      </c>
      <c r="E1133" s="25"/>
      <c r="F1133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3" s="289">
        <v>45194</v>
      </c>
      <c r="H1133" s="26" t="s">
        <v>9</v>
      </c>
      <c r="I1133" s="289">
        <v>45100</v>
      </c>
      <c r="J1133" s="35" t="s">
        <v>928</v>
      </c>
      <c r="K1133" s="21">
        <v>2734715</v>
      </c>
      <c r="L1133" s="21"/>
      <c r="M1133" s="22">
        <f>(PROVEEDORES[[#This Row],[SUBTOTAL]]-PROVEEDORES[[#This Row],[descuento sobre subtotal]])*VLOOKUP(PROVEEDORES[[#This Row],[PROVEEDOR]],TERCEROS_INFO[#All],3,FALSE)</f>
        <v>519595.85000000003</v>
      </c>
      <c r="N1133" s="23"/>
      <c r="O1133" s="22">
        <f>+PROVEEDORES[[#This Row],[Descuento sobre subtotal %]]*(PROVEEDORES[[#This Row],[SUBTOTAL]]-PROVEEDORES[[#This Row],[descuento sobre subtotal]])</f>
        <v>0</v>
      </c>
      <c r="P1133" s="72">
        <f>+IF(PROVEEDORES[[#This Row],[SUBTOTAL]]&lt;PROVEEDORES[[#This Row],[base retencion]],0,PROVEEDORES[[#This Row],[retención aplicada]])</f>
        <v>2.5000000000000001E-2</v>
      </c>
      <c r="Q1133" s="22">
        <f>+PROVEEDORES[[#This Row],[Rete Fuente %]]*(PROVEEDORES[[#This Row],[SUBTOTAL]]-PROVEEDORES[[#This Row],[descuento sobre subtotal]])</f>
        <v>68367.875</v>
      </c>
      <c r="R1133" s="21">
        <f>+PROVEEDORES[[#This Row],[SUBTOTAL]]+PROVEEDORES[[#This Row],[IVA 19%]]-PROVEEDORES[[#This Row],[descuento sobre subtotal]]-PROVEEDORES[[#This Row],[Descuento sobre subtotal $2]]-PROVEEDORES[[#This Row],[Rete Fuente $]]</f>
        <v>3185942.9750000001</v>
      </c>
      <c r="S113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1">
        <f ca="1">IF(PROVEEDORES[[#This Row],[FECHA DE PAGO]]=0,TODAY()-PROVEEDORES[[#This Row],[FECHA DE FACTURACIÓN]]-PROVEEDORES[[#This Row],[PLAZO Días]],0)</f>
        <v>0</v>
      </c>
      <c r="U1133" s="97" t="str">
        <f>+VLOOKUP(PROVEEDORES[[#This Row],[PROVEEDOR]],Terceros!$A:$D,4,FALSE)</f>
        <v>2,5% con base</v>
      </c>
      <c r="V1133" s="98">
        <f>+YEAR(PROVEEDORES[[#This Row],[FECHA DE FACTURACIÓN]])</f>
        <v>2023</v>
      </c>
      <c r="W1133" s="98">
        <f>+MATCH(PROVEEDORES[[#This Row],[año facturado]],Retenciones!$1:$1,0)</f>
        <v>6</v>
      </c>
      <c r="X1133" s="99">
        <f>+VLOOKUP(PROVEEDORES[[#This Row],[ID RETENCION]],Retenciones!$A$1:$O$25,PROVEEDORES[[#This Row],[indicador de columna]],FALSE)</f>
        <v>1145000</v>
      </c>
      <c r="Y1133" s="100">
        <f>+VLOOKUP(PROVEEDORES[[#This Row],[ID RETENCION]],Retenciones!$A$1:$O$25,2,FALSE)</f>
        <v>2.5000000000000001E-2</v>
      </c>
      <c r="Z1133" s="103" t="b">
        <f>OR(COUNTIF(PROVEEDORES[[#This Row],[PROVEEDOR]],"*"&amp;'Palabra no opera'!$A$2&amp;"*"))</f>
        <v>0</v>
      </c>
    </row>
    <row r="1134" spans="1:26" ht="22.35" customHeight="1" x14ac:dyDescent="0.25">
      <c r="A1134" s="65" t="str">
        <f>+IF(PROVEEDORES[[#This Row],[FECHA DE PAGO]]=PROVEEDORES[[#This Row],[FECHA DE FACTURACIÓN]],"DE CONTADO","CRÉDITO")</f>
        <v>CRÉDITO</v>
      </c>
      <c r="B1134" s="38" t="b">
        <f>+IF((PROVEEDORES[[#This Row],[FECHA DE PAGO]]-PROVEEDORES[[#This Row],[FECHA DE FACTURACIÓN]])&gt;PROVEEDORES[[#This Row],[PLAZO Días]],"PAGO VENCIDO")</f>
        <v>0</v>
      </c>
      <c r="C1134" s="20">
        <f>+VLOOKUP(PROVEEDORES[[#This Row],[PROVEEDOR]],TERCEROS_INFO[#All],2,FALSE)</f>
        <v>60</v>
      </c>
      <c r="D1134" s="25">
        <f>+SUMIFS(PROVEEDORES[Total],PROVEEDORES[PROVEEDOR],PROVEEDORES[[#This Row],[PROVEEDOR]],PROVEEDORES[FECHA DE PAGO],"")</f>
        <v>22881826.27</v>
      </c>
      <c r="E1134" s="25"/>
      <c r="F1134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4" s="289">
        <v>45133</v>
      </c>
      <c r="H1134" s="26" t="s">
        <v>9</v>
      </c>
      <c r="I1134" s="289">
        <v>45111</v>
      </c>
      <c r="J1134" s="35" t="s">
        <v>640</v>
      </c>
      <c r="K1134" s="21">
        <v>-8403361</v>
      </c>
      <c r="L1134" s="21"/>
      <c r="M1134" s="22">
        <f>(PROVEEDORES[[#This Row],[SUBTOTAL]]-PROVEEDORES[[#This Row],[descuento sobre subtotal]])*VLOOKUP(PROVEEDORES[[#This Row],[PROVEEDOR]],TERCEROS_INFO[#All],3,FALSE)</f>
        <v>-1596638.59</v>
      </c>
      <c r="N1134" s="23"/>
      <c r="O1134" s="22">
        <f>+PROVEEDORES[[#This Row],[Descuento sobre subtotal %]]*(PROVEEDORES[[#This Row],[SUBTOTAL]]-PROVEEDORES[[#This Row],[descuento sobre subtotal]])</f>
        <v>0</v>
      </c>
      <c r="P1134" s="72">
        <v>0</v>
      </c>
      <c r="Q1134" s="22"/>
      <c r="R1134" s="21">
        <f>+PROVEEDORES[[#This Row],[SUBTOTAL]]+PROVEEDORES[[#This Row],[IVA 19%]]-PROVEEDORES[[#This Row],[descuento sobre subtotal]]-PROVEEDORES[[#This Row],[Descuento sobre subtotal $2]]-PROVEEDORES[[#This Row],[Rete Fuente $]]</f>
        <v>-9999999.5899999999</v>
      </c>
      <c r="S113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1">
        <f ca="1">IF(PROVEEDORES[[#This Row],[FECHA DE PAGO]]=0,TODAY()-PROVEEDORES[[#This Row],[FECHA DE FACTURACIÓN]]-PROVEEDORES[[#This Row],[PLAZO Días]],0)</f>
        <v>0</v>
      </c>
      <c r="U1134" s="97" t="str">
        <f>+VLOOKUP(PROVEEDORES[[#This Row],[PROVEEDOR]],Terceros!$A:$D,4,FALSE)</f>
        <v>2,5% con base</v>
      </c>
      <c r="V1134" s="98">
        <f>+YEAR(PROVEEDORES[[#This Row],[FECHA DE FACTURACIÓN]])</f>
        <v>2023</v>
      </c>
      <c r="W1134" s="98">
        <f>+MATCH(PROVEEDORES[[#This Row],[año facturado]],Retenciones!$1:$1,0)</f>
        <v>6</v>
      </c>
      <c r="X1134" s="99">
        <f>+VLOOKUP(PROVEEDORES[[#This Row],[ID RETENCION]],Retenciones!$A$1:$O$25,PROVEEDORES[[#This Row],[indicador de columna]],FALSE)</f>
        <v>1145000</v>
      </c>
      <c r="Y1134" s="100">
        <f>+VLOOKUP(PROVEEDORES[[#This Row],[ID RETENCION]],Retenciones!$A$1:$O$25,2,FALSE)</f>
        <v>2.5000000000000001E-2</v>
      </c>
      <c r="Z1134" s="103" t="b">
        <f>OR(COUNTIF(PROVEEDORES[[#This Row],[PROVEEDOR]],"*"&amp;'Palabra no opera'!$A$2&amp;"*"))</f>
        <v>0</v>
      </c>
    </row>
    <row r="1135" spans="1:26" ht="22.35" customHeight="1" x14ac:dyDescent="0.25">
      <c r="A1135" s="65" t="str">
        <f>+IF(PROVEEDORES[[#This Row],[FECHA DE PAGO]]=PROVEEDORES[[#This Row],[FECHA DE FACTURACIÓN]],"DE CONTADO","CRÉDITO")</f>
        <v>CRÉDITO</v>
      </c>
      <c r="B1135" s="38" t="str">
        <f>+IF((PROVEEDORES[[#This Row],[FECHA DE PAGO]]-PROVEEDORES[[#This Row],[FECHA DE FACTURACIÓN]])&gt;PROVEEDORES[[#This Row],[PLAZO Días]],"PAGO VENCIDO")</f>
        <v>PAGO VENCIDO</v>
      </c>
      <c r="C1135" s="20">
        <f>+VLOOKUP(PROVEEDORES[[#This Row],[PROVEEDOR]],TERCEROS_INFO[#All],2,FALSE)</f>
        <v>60</v>
      </c>
      <c r="D1135" s="25">
        <f>+SUMIFS(PROVEEDORES[Total],PROVEEDORES[PROVEEDOR],PROVEEDORES[[#This Row],[PROVEEDOR]],PROVEEDORES[FECHA DE PAGO],"")</f>
        <v>22881826.27</v>
      </c>
      <c r="E1135" s="25"/>
      <c r="F1135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5" s="289">
        <v>45225</v>
      </c>
      <c r="H1135" s="26" t="s">
        <v>9</v>
      </c>
      <c r="I1135" s="289">
        <v>45156</v>
      </c>
      <c r="J1135" s="35" t="s">
        <v>1032</v>
      </c>
      <c r="K1135" s="215">
        <v>-18933650</v>
      </c>
      <c r="L1135" s="21"/>
      <c r="M1135" s="216">
        <f>(PROVEEDORES[[#This Row],[SUBTOTAL]]-PROVEEDORES[[#This Row],[descuento sobre subtotal]])*VLOOKUP(PROVEEDORES[[#This Row],[PROVEEDOR]],TERCEROS_INFO[#All],3,FALSE)</f>
        <v>-3597393.5</v>
      </c>
      <c r="N1135" s="23"/>
      <c r="O1135" s="22">
        <f>+PROVEEDORES[[#This Row],[Descuento sobre subtotal %]]*(PROVEEDORES[[#This Row],[SUBTOTAL]]-PROVEEDORES[[#This Row],[descuento sobre subtotal]])</f>
        <v>0</v>
      </c>
      <c r="P1135" s="72">
        <f>+IF(PROVEEDORES[[#This Row],[SUBTOTAL]]&lt;PROVEEDORES[[#This Row],[base retencion]],0,PROVEEDORES[[#This Row],[retención aplicada]])</f>
        <v>0</v>
      </c>
      <c r="Q1135" s="22"/>
      <c r="R1135" s="215">
        <f>+PROVEEDORES[[#This Row],[SUBTOTAL]]+PROVEEDORES[[#This Row],[IVA 19%]]-PROVEEDORES[[#This Row],[descuento sobre subtotal]]-PROVEEDORES[[#This Row],[Descuento sobre subtotal $2]]-PROVEEDORES[[#This Row],[Rete Fuente $]]</f>
        <v>-22531043.5</v>
      </c>
      <c r="S113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1">
        <f ca="1">IF(PROVEEDORES[[#This Row],[FECHA DE PAGO]]=0,TODAY()-PROVEEDORES[[#This Row],[FECHA DE FACTURACIÓN]]-PROVEEDORES[[#This Row],[PLAZO Días]],0)</f>
        <v>0</v>
      </c>
      <c r="U1135" s="97" t="str">
        <f>+VLOOKUP(PROVEEDORES[[#This Row],[PROVEEDOR]],Terceros!$A:$D,4,FALSE)</f>
        <v>2,5% con base</v>
      </c>
      <c r="V1135" s="98">
        <f>+YEAR(PROVEEDORES[[#This Row],[FECHA DE FACTURACIÓN]])</f>
        <v>2023</v>
      </c>
      <c r="W1135" s="98">
        <f>+MATCH(PROVEEDORES[[#This Row],[año facturado]],Retenciones!$1:$1,0)</f>
        <v>6</v>
      </c>
      <c r="X1135" s="99">
        <f>+VLOOKUP(PROVEEDORES[[#This Row],[ID RETENCION]],Retenciones!$A$1:$O$25,PROVEEDORES[[#This Row],[indicador de columna]],FALSE)</f>
        <v>1145000</v>
      </c>
      <c r="Y1135" s="100">
        <f>+VLOOKUP(PROVEEDORES[[#This Row],[ID RETENCION]],Retenciones!$A$1:$O$25,2,FALSE)</f>
        <v>2.5000000000000001E-2</v>
      </c>
      <c r="Z1135" s="103" t="b">
        <f>OR(COUNTIF(PROVEEDORES[[#This Row],[PROVEEDOR]],"*"&amp;'Palabra no opera'!$A$2&amp;"*"))</f>
        <v>0</v>
      </c>
    </row>
    <row r="1136" spans="1:26" ht="22.35" customHeight="1" x14ac:dyDescent="0.25">
      <c r="A1136" s="229" t="str">
        <f>+IF(PROVEEDORES[[#This Row],[FECHA DE PAGO]]=PROVEEDORES[[#This Row],[FECHA DE FACTURACIÓN]],"DE CONTADO","CRÉDITO")</f>
        <v>CRÉDITO</v>
      </c>
      <c r="B1136" s="38" t="str">
        <f>+IF((PROVEEDORES[[#This Row],[FECHA DE PAGO]]-PROVEEDORES[[#This Row],[FECHA DE FACTURACIÓN]])&gt;PROVEEDORES[[#This Row],[PLAZO Días]],"PAGO VENCIDO")</f>
        <v>PAGO VENCIDO</v>
      </c>
      <c r="C1136" s="20">
        <f>+VLOOKUP(PROVEEDORES[[#This Row],[PROVEEDOR]],TERCEROS_INFO[#All],2,FALSE)</f>
        <v>60</v>
      </c>
      <c r="D1136" s="25">
        <f>+SUMIFS(PROVEEDORES[Total],PROVEEDORES[PROVEEDOR],PROVEEDORES[[#This Row],[PROVEEDOR]],PROVEEDORES[FECHA DE PAGO],"")</f>
        <v>22881826.27</v>
      </c>
      <c r="E1136" s="25"/>
      <c r="F1136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6" s="289">
        <v>45225</v>
      </c>
      <c r="H1136" s="26" t="s">
        <v>9</v>
      </c>
      <c r="I1136" s="289">
        <v>45162</v>
      </c>
      <c r="J1136" s="35" t="s">
        <v>1065</v>
      </c>
      <c r="K1136" s="21">
        <v>62709092</v>
      </c>
      <c r="L1136" s="21"/>
      <c r="M1136" s="22">
        <f>(PROVEEDORES[[#This Row],[SUBTOTAL]]-PROVEEDORES[[#This Row],[descuento sobre subtotal]])*VLOOKUP(PROVEEDORES[[#This Row],[PROVEEDOR]],TERCEROS_INFO[#All],3,FALSE)</f>
        <v>11914727.48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72">
        <f>+IF(PROVEEDORES[[#This Row],[SUBTOTAL]]&lt;PROVEEDORES[[#This Row],[base retencion]],0,PROVEEDORES[[#This Row],[retención aplicada]])</f>
        <v>2.5000000000000001E-2</v>
      </c>
      <c r="Q1136" s="22">
        <f>+PROVEEDORES[[#This Row],[Rete Fuente %]]*(PROVEEDORES[[#This Row],[SUBTOTAL]]-PROVEEDORES[[#This Row],[descuento sobre subtotal]])</f>
        <v>1567727.3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73056092.180000007</v>
      </c>
      <c r="S1136" s="23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1">
        <f ca="1">IF(PROVEEDORES[[#This Row],[FECHA DE PAGO]]=0,TODAY()-PROVEEDORES[[#This Row],[FECHA DE FACTURACIÓN]]-PROVEEDORES[[#This Row],[PLAZO Días]],0)</f>
        <v>0</v>
      </c>
      <c r="U1136" s="97" t="str">
        <f>+VLOOKUP(PROVEEDORES[[#This Row],[PROVEEDOR]],Terceros!$A:$D,4,FALSE)</f>
        <v>2,5% con base</v>
      </c>
      <c r="V1136" s="98">
        <f>+YEAR(PROVEEDORES[[#This Row],[FECHA DE FACTURACIÓN]])</f>
        <v>2023</v>
      </c>
      <c r="W1136" s="98">
        <f>+MATCH(PROVEEDORES[[#This Row],[año facturado]],Retenciones!$1:$1,0)</f>
        <v>6</v>
      </c>
      <c r="X1136" s="99">
        <f>+VLOOKUP(PROVEEDORES[[#This Row],[ID RETENCION]],Retenciones!$A$1:$O$25,PROVEEDORES[[#This Row],[indicador de columna]],FALSE)</f>
        <v>1145000</v>
      </c>
      <c r="Y1136" s="100">
        <f>+VLOOKUP(PROVEEDORES[[#This Row],[ID RETENCION]],Retenciones!$A$1:$O$25,2,FALSE)</f>
        <v>2.5000000000000001E-2</v>
      </c>
      <c r="Z1136" s="103" t="b">
        <f>OR(COUNTIF(PROVEEDORES[[#This Row],[PROVEEDOR]],"*"&amp;'Palabra no opera'!$A$2&amp;"*"))</f>
        <v>0</v>
      </c>
    </row>
    <row r="1137" spans="1:26" ht="22.35" customHeight="1" x14ac:dyDescent="0.25">
      <c r="A1137" s="243" t="str">
        <f>+IF(PROVEEDORES[[#This Row],[FECHA DE PAGO]]=PROVEEDORES[[#This Row],[FECHA DE FACTURACIÓN]],"DE CONTADO","CRÉDITO")</f>
        <v>CRÉDITO</v>
      </c>
      <c r="B1137" s="38" t="b">
        <f>+IF((PROVEEDORES[[#This Row],[FECHA DE PAGO]]-PROVEEDORES[[#This Row],[FECHA DE FACTURACIÓN]])&gt;PROVEEDORES[[#This Row],[PLAZO Días]],"PAGO VENCIDO")</f>
        <v>0</v>
      </c>
      <c r="C1137" s="20">
        <f>+VLOOKUP(PROVEEDORES[[#This Row],[PROVEEDOR]],TERCEROS_INFO[#All],2,FALSE)</f>
        <v>60</v>
      </c>
      <c r="D1137" s="25">
        <f>+SUMIFS(PROVEEDORES[Total],PROVEEDORES[PROVEEDOR],PROVEEDORES[[#This Row],[PROVEEDOR]],PROVEEDORES[FECHA DE PAGO],"")</f>
        <v>22881826.27</v>
      </c>
      <c r="E1137" s="25"/>
      <c r="F1137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7" s="289">
        <v>45225</v>
      </c>
      <c r="H1137" s="26" t="s">
        <v>9</v>
      </c>
      <c r="I1137" s="289">
        <v>45203</v>
      </c>
      <c r="J1137" s="35" t="s">
        <v>1133</v>
      </c>
      <c r="K1137" s="21">
        <v>-159664</v>
      </c>
      <c r="L1137" s="21"/>
      <c r="M1137" s="22">
        <f>(PROVEEDORES[[#This Row],[SUBTOTAL]]-PROVEEDORES[[#This Row],[descuento sobre subtotal]])*VLOOKUP(PROVEEDORES[[#This Row],[PROVEEDOR]],TERCEROS_INFO[#All],3,FALSE)</f>
        <v>-30336.16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72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-190000.16</v>
      </c>
      <c r="S1137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61">
        <f ca="1">IF(PROVEEDORES[[#This Row],[FECHA DE PAGO]]=0,TODAY()-PROVEEDORES[[#This Row],[FECHA DE FACTURACIÓN]]-PROVEEDORES[[#This Row],[PLAZO Días]],0)</f>
        <v>0</v>
      </c>
      <c r="U1137" s="97" t="str">
        <f>+VLOOKUP(PROVEEDORES[[#This Row],[PROVEEDOR]],Terceros!$A:$D,4,FALSE)</f>
        <v>2,5% con base</v>
      </c>
      <c r="V1137" s="98">
        <f>+YEAR(PROVEEDORES[[#This Row],[FECHA DE FACTURACIÓN]])</f>
        <v>2023</v>
      </c>
      <c r="W1137" s="98">
        <f>+MATCH(PROVEEDORES[[#This Row],[año facturado]],Retenciones!$1:$1,0)</f>
        <v>6</v>
      </c>
      <c r="X1137" s="99">
        <f>+VLOOKUP(PROVEEDORES[[#This Row],[ID RETENCION]],Retenciones!$A$1:$O$25,PROVEEDORES[[#This Row],[indicador de columna]],FALSE)</f>
        <v>1145000</v>
      </c>
      <c r="Y1137" s="100">
        <f>+VLOOKUP(PROVEEDORES[[#This Row],[ID RETENCION]],Retenciones!$A$1:$O$25,2,FALSE)</f>
        <v>2.5000000000000001E-2</v>
      </c>
      <c r="Z1137" s="103" t="b">
        <f>OR(COUNTIF(PROVEEDORES[[#This Row],[PROVEEDOR]],"*"&amp;'Palabra no opera'!$A$2&amp;"*"))</f>
        <v>0</v>
      </c>
    </row>
    <row r="1138" spans="1:26" ht="22.35" customHeight="1" x14ac:dyDescent="0.25">
      <c r="A1138" s="65" t="str">
        <f>+IF(PROVEEDORES[[#This Row],[FECHA DE PAGO]]=PROVEEDORES[[#This Row],[FECHA DE FACTURACIÓN]],"DE CONTADO","CRÉDITO")</f>
        <v>CRÉDITO</v>
      </c>
      <c r="B1138" s="38" t="str">
        <f>+IF((PROVEEDORES[[#This Row],[FECHA DE PAGO]]-PROVEEDORES[[#This Row],[FECHA DE FACTURACIÓN]])&gt;PROVEEDORES[[#This Row],[PLAZO Días]],"PAGO VENCIDO")</f>
        <v>PAGO VENCIDO</v>
      </c>
      <c r="C1138" s="20">
        <f>+VLOOKUP(PROVEEDORES[[#This Row],[PROVEEDOR]],TERCEROS_INFO[#All],2,FALSE)</f>
        <v>60</v>
      </c>
      <c r="D1138" s="25">
        <f>+SUMIFS(PROVEEDORES[Total],PROVEEDORES[PROVEEDOR],PROVEEDORES[[#This Row],[PROVEEDOR]],PROVEEDORES[FECHA DE PAGO],"")</f>
        <v>22881826.27</v>
      </c>
      <c r="E1138" s="25"/>
      <c r="F1138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8" s="289">
        <v>45286</v>
      </c>
      <c r="H1138" s="26" t="s">
        <v>9</v>
      </c>
      <c r="I1138" s="289">
        <v>45203</v>
      </c>
      <c r="J1138" s="35" t="s">
        <v>1395</v>
      </c>
      <c r="K1138" s="21">
        <v>67227</v>
      </c>
      <c r="L1138" s="21"/>
      <c r="M1138" s="22">
        <f>(PROVEEDORES[[#This Row],[SUBTOTAL]]-PROVEEDORES[[#This Row],[descuento sobre subtotal]])*VLOOKUP(PROVEEDORES[[#This Row],[PROVEEDOR]],TERCEROS_INFO[#All],3,FALSE)</f>
        <v>12773.130000000001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72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80000.13</v>
      </c>
      <c r="S113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1">
        <f ca="1">IF(PROVEEDORES[[#This Row],[FECHA DE PAGO]]=0,TODAY()-PROVEEDORES[[#This Row],[FECHA DE FACTURACIÓN]]-PROVEEDORES[[#This Row],[PLAZO Días]],0)</f>
        <v>0</v>
      </c>
      <c r="U1138" s="97" t="str">
        <f>+VLOOKUP(PROVEEDORES[[#This Row],[PROVEEDOR]],Terceros!$A:$D,4,FALSE)</f>
        <v>2,5% con base</v>
      </c>
      <c r="V1138" s="98">
        <f>+YEAR(PROVEEDORES[[#This Row],[FECHA DE FACTURACIÓN]])</f>
        <v>2023</v>
      </c>
      <c r="W1138" s="98">
        <f>+MATCH(PROVEEDORES[[#This Row],[año facturado]],Retenciones!$1:$1,0)</f>
        <v>6</v>
      </c>
      <c r="X1138" s="99">
        <f>+VLOOKUP(PROVEEDORES[[#This Row],[ID RETENCION]],Retenciones!$A$1:$O$25,PROVEEDORES[[#This Row],[indicador de columna]],FALSE)</f>
        <v>1145000</v>
      </c>
      <c r="Y1138" s="100">
        <f>+VLOOKUP(PROVEEDORES[[#This Row],[ID RETENCION]],Retenciones!$A$1:$O$25,2,FALSE)</f>
        <v>2.5000000000000001E-2</v>
      </c>
      <c r="Z1138" s="103" t="b">
        <f>OR(COUNTIF(PROVEEDORES[[#This Row],[PROVEEDOR]],"*"&amp;'Palabra no opera'!$A$2&amp;"*"))</f>
        <v>0</v>
      </c>
    </row>
    <row r="1139" spans="1:26" ht="22.35" customHeight="1" x14ac:dyDescent="0.25">
      <c r="A1139" s="65" t="str">
        <f>+IF(PROVEEDORES[[#This Row],[FECHA DE PAGO]]=PROVEEDORES[[#This Row],[FECHA DE FACTURACIÓN]],"DE CONTADO","CRÉDITO")</f>
        <v>CRÉDITO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60</v>
      </c>
      <c r="D1139" s="25">
        <f>+SUMIFS(PROVEEDORES[Total],PROVEEDORES[PROVEEDOR],PROVEEDORES[[#This Row],[PROVEEDOR]],PROVEEDORES[FECHA DE PAGO],"")</f>
        <v>22881826.27</v>
      </c>
      <c r="E1139" s="25"/>
      <c r="F1139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9" s="289">
        <v>45287</v>
      </c>
      <c r="H1139" s="26" t="s">
        <v>9</v>
      </c>
      <c r="I1139" s="289">
        <v>45261</v>
      </c>
      <c r="J1139" s="35" t="s">
        <v>1424</v>
      </c>
      <c r="K1139" s="21">
        <v>159664</v>
      </c>
      <c r="L1139" s="21"/>
      <c r="M1139" s="22">
        <f>(PROVEEDORES[[#This Row],[SUBTOTAL]]-PROVEEDORES[[#This Row],[descuento sobre subtotal]])*VLOOKUP(PROVEEDORES[[#This Row],[PROVEEDOR]],TERCEROS_INFO[#All],3,FALSE)</f>
        <v>30336.16</v>
      </c>
      <c r="N1139" s="23"/>
      <c r="O1139" s="22">
        <f>+PROVEEDORES[[#This Row],[Descuento sobre subtotal %]]*(PROVEEDORES[[#This Row],[SUBTOTAL]]-PROVEEDORES[[#This Row],[descuento sobre subtotal]])</f>
        <v>0</v>
      </c>
      <c r="P1139" s="72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190000.16</v>
      </c>
      <c r="S113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1">
        <f ca="1">IF(PROVEEDORES[[#This Row],[FECHA DE PAGO]]=0,TODAY()-PROVEEDORES[[#This Row],[FECHA DE FACTURACIÓN]]-PROVEEDORES[[#This Row],[PLAZO Días]],0)</f>
        <v>0</v>
      </c>
      <c r="U1139" s="97" t="str">
        <f>+VLOOKUP(PROVEEDORES[[#This Row],[PROVEEDOR]],Terceros!$A:$D,4,FALSE)</f>
        <v>2,5% con base</v>
      </c>
      <c r="V1139" s="98">
        <f>+YEAR(PROVEEDORES[[#This Row],[FECHA DE FACTURACIÓN]])</f>
        <v>2023</v>
      </c>
      <c r="W1139" s="98">
        <f>+MATCH(PROVEEDORES[[#This Row],[año facturado]],Retenciones!$1:$1,0)</f>
        <v>6</v>
      </c>
      <c r="X1139" s="99">
        <f>+VLOOKUP(PROVEEDORES[[#This Row],[ID RETENCION]],Retenciones!$A$1:$O$25,PROVEEDORES[[#This Row],[indicador de columna]],FALSE)</f>
        <v>1145000</v>
      </c>
      <c r="Y1139" s="100">
        <f>+VLOOKUP(PROVEEDORES[[#This Row],[ID RETENCION]],Retenciones!$A$1:$O$25,2,FALSE)</f>
        <v>2.5000000000000001E-2</v>
      </c>
      <c r="Z1139" s="103" t="b">
        <f>OR(COUNTIF(PROVEEDORES[[#This Row],[PROVEEDOR]],"*"&amp;'Palabra no opera'!$A$2&amp;"*"))</f>
        <v>0</v>
      </c>
    </row>
    <row r="1140" spans="1:26" ht="22.35" customHeight="1" x14ac:dyDescent="0.25">
      <c r="A1140" s="65" t="str">
        <f>+IF(PROVEEDORES[[#This Row],[FECHA DE PAGO]]=PROVEEDORES[[#This Row],[FECHA DE FACTURACIÓN]],"DE CONTADO","CRÉDITO")</f>
        <v>CRÉDITO</v>
      </c>
      <c r="B1140" s="38" t="b">
        <f>+IF((PROVEEDORES[[#This Row],[FECHA DE PAGO]]-PROVEEDORES[[#This Row],[FECHA DE FACTURACIÓN]])&gt;PROVEEDORES[[#This Row],[PLAZO Días]],"PAGO VENCIDO")</f>
        <v>0</v>
      </c>
      <c r="C1140" s="20">
        <f>+VLOOKUP(PROVEEDORES[[#This Row],[PROVEEDOR]],TERCEROS_INFO[#All],2,FALSE)</f>
        <v>60</v>
      </c>
      <c r="D1140" s="25">
        <f>+SUMIFS(PROVEEDORES[Total],PROVEEDORES[PROVEEDOR],PROVEEDORES[[#This Row],[PROVEEDOR]],PROVEEDORES[FECHA DE PAGO],"")</f>
        <v>22881826.27</v>
      </c>
      <c r="E1140" s="25"/>
      <c r="F1140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40" s="289">
        <v>45286</v>
      </c>
      <c r="H1140" s="26" t="s">
        <v>9</v>
      </c>
      <c r="I1140" s="289">
        <v>45281</v>
      </c>
      <c r="J1140" s="35" t="s">
        <v>1394</v>
      </c>
      <c r="K1140" s="21">
        <v>22815172</v>
      </c>
      <c r="L1140" s="21"/>
      <c r="M1140" s="22">
        <f>(PROVEEDORES[[#This Row],[SUBTOTAL]]-PROVEEDORES[[#This Row],[descuento sobre subtotal]])*VLOOKUP(PROVEEDORES[[#This Row],[PROVEEDOR]],TERCEROS_INFO[#All],3,FALSE)</f>
        <v>4334882.68</v>
      </c>
      <c r="N1140" s="23">
        <v>0.08</v>
      </c>
      <c r="O1140" s="22">
        <f>+PROVEEDORES[[#This Row],[Descuento sobre subtotal %]]*(PROVEEDORES[[#This Row],[SUBTOTAL]]-PROVEEDORES[[#This Row],[descuento sobre subtotal]])</f>
        <v>1825213.76</v>
      </c>
      <c r="P1140" s="72">
        <f>+IF(PROVEEDORES[[#This Row],[SUBTOTAL]]&lt;PROVEEDORES[[#This Row],[base retencion]],0,PROVEEDORES[[#This Row],[retención aplicada]])</f>
        <v>2.5000000000000001E-2</v>
      </c>
      <c r="Q1140" s="22">
        <f>+PROVEEDORES[[#This Row],[Rete Fuente %]]*(PROVEEDORES[[#This Row],[SUBTOTAL]]-PROVEEDORES[[#This Row],[descuento sobre subtotal]])</f>
        <v>570379.30000000005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24754461.619999997</v>
      </c>
      <c r="S114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1">
        <f ca="1">IF(PROVEEDORES[[#This Row],[FECHA DE PAGO]]=0,TODAY()-PROVEEDORES[[#This Row],[FECHA DE FACTURACIÓN]]-PROVEEDORES[[#This Row],[PLAZO Días]],0)</f>
        <v>0</v>
      </c>
      <c r="U1140" s="97" t="str">
        <f>+VLOOKUP(PROVEEDORES[[#This Row],[PROVEEDOR]],Terceros!$A:$D,4,FALSE)</f>
        <v>2,5% con base</v>
      </c>
      <c r="V1140" s="98">
        <f>+YEAR(PROVEEDORES[[#This Row],[FECHA DE FACTURACIÓN]])</f>
        <v>2023</v>
      </c>
      <c r="W1140" s="98">
        <f>+MATCH(PROVEEDORES[[#This Row],[año facturado]],Retenciones!$1:$1,0)</f>
        <v>6</v>
      </c>
      <c r="X1140" s="99">
        <f>+VLOOKUP(PROVEEDORES[[#This Row],[ID RETENCION]],Retenciones!$A$1:$O$25,PROVEEDORES[[#This Row],[indicador de columna]],FALSE)</f>
        <v>1145000</v>
      </c>
      <c r="Y1140" s="100">
        <f>+VLOOKUP(PROVEEDORES[[#This Row],[ID RETENCION]],Retenciones!$A$1:$O$25,2,FALSE)</f>
        <v>2.5000000000000001E-2</v>
      </c>
      <c r="Z1140" s="103" t="b">
        <f>OR(COUNTIF(PROVEEDORES[[#This Row],[PROVEEDOR]],"*"&amp;'Palabra no opera'!$A$2&amp;"*"))</f>
        <v>0</v>
      </c>
    </row>
    <row r="1141" spans="1:26" ht="22.35" customHeight="1" x14ac:dyDescent="0.25">
      <c r="A1141" s="65" t="str">
        <f>+IF(PROVEEDORES[[#This Row],[FECHA DE PAGO]]=PROVEEDORES[[#This Row],[FECHA DE FACTURACIÓN]],"DE CONTADO","CRÉDITO")</f>
        <v>CRÉDITO</v>
      </c>
      <c r="B1141" s="38" t="b">
        <f>+IF((PROVEEDORES[[#This Row],[FECHA DE PAGO]]-PROVEEDORES[[#This Row],[FECHA DE FACTURACIÓN]])&gt;PROVEEDORES[[#This Row],[PLAZO Días]],"PAGO VENCIDO")</f>
        <v>0</v>
      </c>
      <c r="C1141" s="20">
        <f>+VLOOKUP(PROVEEDORES[[#This Row],[PROVEEDOR]],TERCEROS_INFO[#All],2,FALSE)</f>
        <v>60</v>
      </c>
      <c r="D1141" s="25">
        <f>+SUMIFS(PROVEEDORES[Total],PROVEEDORES[PROVEEDOR],PROVEEDORES[[#This Row],[PROVEEDOR]],PROVEEDORES[FECHA DE PAGO],"")</f>
        <v>22881826.27</v>
      </c>
      <c r="E1141" s="25"/>
      <c r="F1141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1141" s="26" t="s">
        <v>9</v>
      </c>
      <c r="I1141" s="289">
        <v>45281</v>
      </c>
      <c r="J1141" s="35" t="s">
        <v>1403</v>
      </c>
      <c r="K1141" s="21">
        <v>19142938</v>
      </c>
      <c r="L1141" s="21"/>
      <c r="M1141" s="22">
        <f>(PROVEEDORES[[#This Row],[SUBTOTAL]]-PROVEEDORES[[#This Row],[descuento sobre subtotal]])*VLOOKUP(PROVEEDORES[[#This Row],[PROVEEDOR]],TERCEROS_INFO[#All],3,FALSE)</f>
        <v>3637158.22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72">
        <f>+IF(PROVEEDORES[[#This Row],[SUBTOTAL]]&lt;PROVEEDORES[[#This Row],[base retencion]],0,PROVEEDORES[[#This Row],[retención aplicada]])</f>
        <v>2.5000000000000001E-2</v>
      </c>
      <c r="Q1141" s="22">
        <f>+PROVEEDORES[[#This Row],[Rete Fuente %]]*(PROVEEDORES[[#This Row],[SUBTOTAL]]-PROVEEDORES[[#This Row],[descuento sobre subtotal]])</f>
        <v>478573.45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22301522.77</v>
      </c>
      <c r="S1141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41" s="61">
        <f ca="1">IF(PROVEEDORES[[#This Row],[FECHA DE PAGO]]=0,TODAY()-PROVEEDORES[[#This Row],[FECHA DE FACTURACIÓN]]-PROVEEDORES[[#This Row],[PLAZO Días]],0)</f>
        <v>-13</v>
      </c>
      <c r="U1141" s="97" t="str">
        <f>+VLOOKUP(PROVEEDORES[[#This Row],[PROVEEDOR]],Terceros!$A:$D,4,FALSE)</f>
        <v>2,5% con base</v>
      </c>
      <c r="V1141" s="98">
        <f>+YEAR(PROVEEDORES[[#This Row],[FECHA DE FACTURACIÓN]])</f>
        <v>2023</v>
      </c>
      <c r="W1141" s="98">
        <f>+MATCH(PROVEEDORES[[#This Row],[año facturado]],Retenciones!$1:$1,0)</f>
        <v>6</v>
      </c>
      <c r="X1141" s="99">
        <f>+VLOOKUP(PROVEEDORES[[#This Row],[ID RETENCION]],Retenciones!$A$1:$O$25,PROVEEDORES[[#This Row],[indicador de columna]],FALSE)</f>
        <v>1145000</v>
      </c>
      <c r="Y1141" s="100">
        <f>+VLOOKUP(PROVEEDORES[[#This Row],[ID RETENCION]],Retenciones!$A$1:$O$25,2,FALSE)</f>
        <v>2.5000000000000001E-2</v>
      </c>
      <c r="Z1141" s="103" t="b">
        <f>OR(COUNTIF(PROVEEDORES[[#This Row],[PROVEEDOR]],"*"&amp;'Palabra no opera'!$A$2&amp;"*"))</f>
        <v>0</v>
      </c>
    </row>
    <row r="1142" spans="1:26" ht="22.35" customHeight="1" x14ac:dyDescent="0.25">
      <c r="A1142" s="65" t="str">
        <f>+IF(PROVEEDORES[[#This Row],[FECHA DE PAGO]]=PROVEEDORES[[#This Row],[FECHA DE FACTURACIÓN]],"DE CONTADO","CRÉDITO")</f>
        <v>CRÉDITO</v>
      </c>
      <c r="B1142" s="38" t="b">
        <f>+IF((PROVEEDORES[[#This Row],[FECHA DE PAGO]]-PROVEEDORES[[#This Row],[FECHA DE FACTURACIÓN]])&gt;PROVEEDORES[[#This Row],[PLAZO Días]],"PAGO VENCIDO")</f>
        <v>0</v>
      </c>
      <c r="C1142" s="20">
        <f>+VLOOKUP(PROVEEDORES[[#This Row],[PROVEEDOR]],TERCEROS_INFO[#All],2,FALSE)</f>
        <v>60</v>
      </c>
      <c r="D1142" s="25">
        <f>+SUMIFS(PROVEEDORES[Total],PROVEEDORES[PROVEEDOR],PROVEEDORES[[#This Row],[PROVEEDOR]],PROVEEDORES[FECHA DE PAGO],"")</f>
        <v>22881826.27</v>
      </c>
      <c r="E1142" s="25"/>
      <c r="F1142" s="56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1142" s="26" t="s">
        <v>9</v>
      </c>
      <c r="I1142" s="289">
        <v>45286</v>
      </c>
      <c r="J1142" s="35" t="s">
        <v>1427</v>
      </c>
      <c r="K1142" s="21">
        <v>487650</v>
      </c>
      <c r="L1142" s="21"/>
      <c r="M1142" s="22">
        <f>(PROVEEDORES[[#This Row],[SUBTOTAL]]-PROVEEDORES[[#This Row],[descuento sobre subtotal]])*VLOOKUP(PROVEEDORES[[#This Row],[PROVEEDOR]],TERCEROS_INFO[#All],3,FALSE)</f>
        <v>92653.5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72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580303.5</v>
      </c>
      <c r="S1142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42" s="61">
        <f ca="1">IF(PROVEEDORES[[#This Row],[FECHA DE PAGO]]=0,TODAY()-PROVEEDORES[[#This Row],[FECHA DE FACTURACIÓN]]-PROVEEDORES[[#This Row],[PLAZO Días]],0)</f>
        <v>-18</v>
      </c>
      <c r="U1142" s="97" t="str">
        <f>+VLOOKUP(PROVEEDORES[[#This Row],[PROVEEDOR]],Terceros!$A:$D,4,FALSE)</f>
        <v>2,5% con base</v>
      </c>
      <c r="V1142" s="98">
        <f>+YEAR(PROVEEDORES[[#This Row],[FECHA DE FACTURACIÓN]])</f>
        <v>2023</v>
      </c>
      <c r="W1142" s="98">
        <f>+MATCH(PROVEEDORES[[#This Row],[año facturado]],Retenciones!$1:$1,0)</f>
        <v>6</v>
      </c>
      <c r="X1142" s="99">
        <f>+VLOOKUP(PROVEEDORES[[#This Row],[ID RETENCION]],Retenciones!$A$1:$O$25,PROVEEDORES[[#This Row],[indicador de columna]],FALSE)</f>
        <v>1145000</v>
      </c>
      <c r="Y1142" s="100">
        <f>+VLOOKUP(PROVEEDORES[[#This Row],[ID RETENCION]],Retenciones!$A$1:$O$25,2,FALSE)</f>
        <v>2.5000000000000001E-2</v>
      </c>
      <c r="Z1142" s="103" t="b">
        <f>OR(COUNTIF(PROVEEDORES[[#This Row],[PROVEEDOR]],"*"&amp;'Palabra no opera'!$A$2&amp;"*"))</f>
        <v>0</v>
      </c>
    </row>
    <row r="1143" spans="1:26" ht="22.35" customHeight="1" x14ac:dyDescent="0.25">
      <c r="A1143" s="252" t="str">
        <f>+IF(PROVEEDORES[[#This Row],[FECHA DE PAGO]]=PROVEEDORES[[#This Row],[FECHA DE FACTURACIÓN]],"DE CONTADO","CRÉDITO")</f>
        <v>CRÉDITO</v>
      </c>
      <c r="B1143" s="38" t="b">
        <f>+IF((PROVEEDORES[[#This Row],[FECHA DE PAGO]]-PROVEEDORES[[#This Row],[FECHA DE FACTURACIÓN]])&gt;PROVEEDORES[[#This Row],[PLAZO Días]],"PAGO VENCIDO")</f>
        <v>0</v>
      </c>
      <c r="C1143" s="20">
        <f>+VLOOKUP(PROVEEDORES[[#This Row],[PROVEEDOR]],TERCEROS_INFO[#All],2,FALSE)</f>
        <v>30</v>
      </c>
      <c r="D1143" s="25">
        <f>+SUMIFS(PROVEEDORES[Total],PROVEEDORES[PROVEEDOR],PROVEEDORES[[#This Row],[PROVEEDOR]],PROVEEDORES[FECHA DE PAGO],"")</f>
        <v>0</v>
      </c>
      <c r="E1143" s="25"/>
      <c r="F1143" s="56">
        <f>+VLOOKUP(PROVEEDORES[[#This Row],[PROVEEDOR]],
                       Terceros!$A:$F,
                       5,
                       FALSE)</f>
        <v>0</v>
      </c>
      <c r="G1143" s="289">
        <v>45203</v>
      </c>
      <c r="H1143" s="26" t="s">
        <v>420</v>
      </c>
      <c r="I1143" s="289">
        <v>45200</v>
      </c>
      <c r="J1143" s="35" t="s">
        <v>480</v>
      </c>
      <c r="K1143" s="21">
        <v>129083</v>
      </c>
      <c r="L1143" s="21"/>
      <c r="M1143" s="22">
        <f>(PROVEEDORES[[#This Row],[SUBTOTAL]]-PROVEEDORES[[#This Row],[descuento sobre subtotal]])*VLOOKUP(PROVEEDORES[[#This Row],[PROVEEDOR]],TERCEROS_INFO[#All],3,FALSE)</f>
        <v>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72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114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1">
        <f ca="1">IF(PROVEEDORES[[#This Row],[FECHA DE PAGO]]=0,TODAY()-PROVEEDORES[[#This Row],[FECHA DE FACTURACIÓN]]-PROVEEDORES[[#This Row],[PLAZO Días]],0)</f>
        <v>0</v>
      </c>
      <c r="U1143" s="97">
        <f>+VLOOKUP(PROVEEDORES[[#This Row],[PROVEEDOR]],Terceros!$A:$D,4,FALSE)</f>
        <v>0</v>
      </c>
      <c r="V1143" s="98">
        <f>+YEAR(PROVEEDORES[[#This Row],[FECHA DE FACTURACIÓN]])</f>
        <v>2023</v>
      </c>
      <c r="W1143" s="98">
        <f>+MATCH(PROVEEDORES[[#This Row],[año facturado]],Retenciones!$1:$1,0)</f>
        <v>6</v>
      </c>
      <c r="X1143" s="99">
        <f>+VLOOKUP(PROVEEDORES[[#This Row],[ID RETENCION]],Retenciones!$A$1:$O$25,PROVEEDORES[[#This Row],[indicador de columna]],FALSE)</f>
        <v>0</v>
      </c>
      <c r="Y1143" s="100">
        <f>+VLOOKUP(PROVEEDORES[[#This Row],[ID RETENCION]],Retenciones!$A$1:$O$25,2,FALSE)</f>
        <v>0</v>
      </c>
      <c r="Z1143" s="103" t="b">
        <f>OR(COUNTIF(PROVEEDORES[[#This Row],[PROVEEDOR]],"*"&amp;'Palabra no opera'!$A$2&amp;"*"))</f>
        <v>1</v>
      </c>
    </row>
    <row r="1144" spans="1:26" ht="22.35" customHeight="1" x14ac:dyDescent="0.25">
      <c r="A1144" s="252" t="str">
        <f>+IF(PROVEEDORES[[#This Row],[FECHA DE PAGO]]=PROVEEDORES[[#This Row],[FECHA DE FACTURACIÓN]],"DE CONTADO","CRÉDITO")</f>
        <v>CRÉDITO</v>
      </c>
      <c r="B1144" s="38" t="b">
        <f>+IF((PROVEEDORES[[#This Row],[FECHA DE PAGO]]-PROVEEDORES[[#This Row],[FECHA DE FACTURACIÓN]])&gt;PROVEEDORES[[#This Row],[PLAZO Días]],"PAGO VENCIDO")</f>
        <v>0</v>
      </c>
      <c r="C1144" s="20">
        <f>+VLOOKUP(PROVEEDORES[[#This Row],[PROVEEDOR]],TERCEROS_INFO[#All],2,FALSE)</f>
        <v>30</v>
      </c>
      <c r="D1144" s="25">
        <f>+SUMIFS(PROVEEDORES[Total],PROVEEDORES[PROVEEDOR],PROVEEDORES[[#This Row],[PROVEEDOR]],PROVEEDORES[FECHA DE PAGO],"")</f>
        <v>0</v>
      </c>
      <c r="E1144" s="25"/>
      <c r="F1144" s="56">
        <f>+VLOOKUP(PROVEEDORES[[#This Row],[PROVEEDOR]],
                       Terceros!$A:$F,
                       5,
                       FALSE)</f>
        <v>0</v>
      </c>
      <c r="G1144" s="289">
        <v>45205</v>
      </c>
      <c r="H1144" s="26" t="s">
        <v>420</v>
      </c>
      <c r="I1144" s="289">
        <v>45200</v>
      </c>
      <c r="J1144" s="35" t="s">
        <v>195</v>
      </c>
      <c r="K1144" s="21">
        <v>411454</v>
      </c>
      <c r="L1144" s="21"/>
      <c r="M1144" s="22">
        <f>(PROVEEDORES[[#This Row],[SUBTOTAL]]-PROVEEDORES[[#This Row],[descuento sobre subtotal]])*VLOOKUP(PROVEEDORES[[#This Row],[PROVEEDOR]],TERCEROS_INFO[#All],3,FALSE)</f>
        <v>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72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1144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1">
        <f ca="1">IF(PROVEEDORES[[#This Row],[FECHA DE PAGO]]=0,TODAY()-PROVEEDORES[[#This Row],[FECHA DE FACTURACIÓN]]-PROVEEDORES[[#This Row],[PLAZO Días]],0)</f>
        <v>0</v>
      </c>
      <c r="U1144" s="97">
        <f>+VLOOKUP(PROVEEDORES[[#This Row],[PROVEEDOR]],Terceros!$A:$D,4,FALSE)</f>
        <v>0</v>
      </c>
      <c r="V1144" s="98">
        <f>+YEAR(PROVEEDORES[[#This Row],[FECHA DE FACTURACIÓN]])</f>
        <v>2023</v>
      </c>
      <c r="W1144" s="98">
        <f>+MATCH(PROVEEDORES[[#This Row],[año facturado]],Retenciones!$1:$1,0)</f>
        <v>6</v>
      </c>
      <c r="X1144" s="99">
        <f>+VLOOKUP(PROVEEDORES[[#This Row],[ID RETENCION]],Retenciones!$A$1:$O$25,PROVEEDORES[[#This Row],[indicador de columna]],FALSE)</f>
        <v>0</v>
      </c>
      <c r="Y1144" s="100">
        <f>+VLOOKUP(PROVEEDORES[[#This Row],[ID RETENCION]],Retenciones!$A$1:$O$25,2,FALSE)</f>
        <v>0</v>
      </c>
      <c r="Z1144" s="103" t="b">
        <f>OR(COUNTIF(PROVEEDORES[[#This Row],[PROVEEDOR]],"*"&amp;'Palabra no opera'!$A$2&amp;"*"))</f>
        <v>1</v>
      </c>
    </row>
    <row r="1145" spans="1:26" ht="22.35" customHeight="1" x14ac:dyDescent="0.25">
      <c r="A1145" s="252" t="str">
        <f>+IF(PROVEEDORES[[#This Row],[FECHA DE PAGO]]=PROVEEDORES[[#This Row],[FECHA DE FACTURACIÓN]],"DE CONTADO","CRÉDITO")</f>
        <v>CRÉDITO</v>
      </c>
      <c r="B1145" s="38" t="b">
        <f>+IF((PROVEEDORES[[#This Row],[FECHA DE PAGO]]-PROVEEDORES[[#This Row],[FECHA DE FACTURACIÓN]])&gt;PROVEEDORES[[#This Row],[PLAZO Días]],"PAGO VENCIDO")</f>
        <v>0</v>
      </c>
      <c r="C1145" s="20">
        <f>+VLOOKUP(PROVEEDORES[[#This Row],[PROVEEDOR]],TERCEROS_INFO[#All],2,FALSE)</f>
        <v>30</v>
      </c>
      <c r="D1145" s="25">
        <f>+SUMIFS(PROVEEDORES[Total],PROVEEDORES[PROVEEDOR],PROVEEDORES[[#This Row],[PROVEEDOR]],PROVEEDORES[FECHA DE PAGO],"")</f>
        <v>0</v>
      </c>
      <c r="E1145" s="25"/>
      <c r="F1145" s="56">
        <f>+VLOOKUP(PROVEEDORES[[#This Row],[PROVEEDOR]],
                       Terceros!$A:$F,
                       5,
                       FALSE)</f>
        <v>0</v>
      </c>
      <c r="G1145" s="289">
        <v>45234</v>
      </c>
      <c r="H1145" s="26" t="s">
        <v>420</v>
      </c>
      <c r="I1145" s="289">
        <v>45231</v>
      </c>
      <c r="J1145" s="35" t="s">
        <v>195</v>
      </c>
      <c r="K1145" s="21">
        <v>411454</v>
      </c>
      <c r="L1145" s="21"/>
      <c r="M1145" s="22">
        <f>(PROVEEDORES[[#This Row],[SUBTOTAL]]-PROVEEDORES[[#This Row],[descuento sobre subtotal]])*VLOOKUP(PROVEEDORES[[#This Row],[PROVEEDOR]],TERCEROS_INFO[#All],3,FALSE)</f>
        <v>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72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1145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1">
        <f ca="1">IF(PROVEEDORES[[#This Row],[FECHA DE PAGO]]=0,TODAY()-PROVEEDORES[[#This Row],[FECHA DE FACTURACIÓN]]-PROVEEDORES[[#This Row],[PLAZO Días]],0)</f>
        <v>0</v>
      </c>
      <c r="U1145" s="97">
        <f>+VLOOKUP(PROVEEDORES[[#This Row],[PROVEEDOR]],Terceros!$A:$D,4,FALSE)</f>
        <v>0</v>
      </c>
      <c r="V1145" s="98">
        <f>+YEAR(PROVEEDORES[[#This Row],[FECHA DE FACTURACIÓN]])</f>
        <v>2023</v>
      </c>
      <c r="W1145" s="98">
        <f>+MATCH(PROVEEDORES[[#This Row],[año facturado]],Retenciones!$1:$1,0)</f>
        <v>6</v>
      </c>
      <c r="X1145" s="99">
        <f>+VLOOKUP(PROVEEDORES[[#This Row],[ID RETENCION]],Retenciones!$A$1:$O$25,PROVEEDORES[[#This Row],[indicador de columna]],FALSE)</f>
        <v>0</v>
      </c>
      <c r="Y1145" s="100">
        <f>+VLOOKUP(PROVEEDORES[[#This Row],[ID RETENCION]],Retenciones!$A$1:$O$25,2,FALSE)</f>
        <v>0</v>
      </c>
      <c r="Z1145" s="103" t="b">
        <f>OR(COUNTIF(PROVEEDORES[[#This Row],[PROVEEDOR]],"*"&amp;'Palabra no opera'!$A$2&amp;"*"))</f>
        <v>1</v>
      </c>
    </row>
    <row r="1146" spans="1:26" ht="22.35" customHeight="1" x14ac:dyDescent="0.25">
      <c r="A1146" s="252" t="str">
        <f>+IF(PROVEEDORES[[#This Row],[FECHA DE PAGO]]=PROVEEDORES[[#This Row],[FECHA DE FACTURACIÓN]],"DE CONTADO","CRÉDITO")</f>
        <v>CRÉDITO</v>
      </c>
      <c r="B1146" s="38" t="b">
        <f>+IF((PROVEEDORES[[#This Row],[FECHA DE PAGO]]-PROVEEDORES[[#This Row],[FECHA DE FACTURACIÓN]])&gt;PROVEEDORES[[#This Row],[PLAZO Días]],"PAGO VENCIDO")</f>
        <v>0</v>
      </c>
      <c r="C1146" s="20">
        <f>+VLOOKUP(PROVEEDORES[[#This Row],[PROVEEDOR]],TERCEROS_INFO[#All],2,FALSE)</f>
        <v>30</v>
      </c>
      <c r="D1146" s="25">
        <f>+SUMIFS(PROVEEDORES[Total],PROVEEDORES[PROVEEDOR],PROVEEDORES[[#This Row],[PROVEEDOR]],PROVEEDORES[FECHA DE PAGO],"")</f>
        <v>0</v>
      </c>
      <c r="E1146" s="25"/>
      <c r="F1146" s="56">
        <f>+VLOOKUP(PROVEEDORES[[#This Row],[PROVEEDOR]],
                       Terceros!$A:$F,
                       5,
                       FALSE)</f>
        <v>0</v>
      </c>
      <c r="G1146" s="289">
        <v>45239</v>
      </c>
      <c r="H1146" s="26" t="s">
        <v>420</v>
      </c>
      <c r="I1146" s="289">
        <v>45231</v>
      </c>
      <c r="J1146" s="35" t="s">
        <v>480</v>
      </c>
      <c r="K1146" s="21">
        <v>129083</v>
      </c>
      <c r="L1146" s="21"/>
      <c r="M1146" s="22">
        <f>(PROVEEDORES[[#This Row],[SUBTOTAL]]-PROVEEDORES[[#This Row],[descuento sobre subtotal]])*VLOOKUP(PROVEEDORES[[#This Row],[PROVEEDOR]],TERCEROS_INFO[#All],3,FALSE)</f>
        <v>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72">
        <f>+IF(PROVEEDORES[[#This Row],[SUBTOTAL]]&lt;PROVEEDORES[[#This Row],[base retencion]],0,PROVEEDORES[[#This Row],[retención aplicada]])</f>
        <v>0</v>
      </c>
      <c r="Q1146" s="22">
        <f>+PROVEEDORES[[#This Row],[Rete Fuente %]]*(PROVEEDORES[[#This Row],[SUBTOTAL]]-PROVEEDORES[[#This Row],[descuento sobre subtotal]])</f>
        <v>0</v>
      </c>
      <c r="R1146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1146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1">
        <f ca="1">IF(PROVEEDORES[[#This Row],[FECHA DE PAGO]]=0,TODAY()-PROVEEDORES[[#This Row],[FECHA DE FACTURACIÓN]]-PROVEEDORES[[#This Row],[PLAZO Días]],0)</f>
        <v>0</v>
      </c>
      <c r="U1146" s="97">
        <f>+VLOOKUP(PROVEEDORES[[#This Row],[PROVEEDOR]],Terceros!$A:$D,4,FALSE)</f>
        <v>0</v>
      </c>
      <c r="V1146" s="98">
        <f>+YEAR(PROVEEDORES[[#This Row],[FECHA DE FACTURACIÓN]])</f>
        <v>2023</v>
      </c>
      <c r="W1146" s="98">
        <f>+MATCH(PROVEEDORES[[#This Row],[año facturado]],Retenciones!$1:$1,0)</f>
        <v>6</v>
      </c>
      <c r="X1146" s="99">
        <f>+VLOOKUP(PROVEEDORES[[#This Row],[ID RETENCION]],Retenciones!$A$1:$O$25,PROVEEDORES[[#This Row],[indicador de columna]],FALSE)</f>
        <v>0</v>
      </c>
      <c r="Y1146" s="100">
        <f>+VLOOKUP(PROVEEDORES[[#This Row],[ID RETENCION]],Retenciones!$A$1:$O$25,2,FALSE)</f>
        <v>0</v>
      </c>
      <c r="Z1146" s="103" t="b">
        <f>OR(COUNTIF(PROVEEDORES[[#This Row],[PROVEEDOR]],"*"&amp;'Palabra no opera'!$A$2&amp;"*"))</f>
        <v>1</v>
      </c>
    </row>
    <row r="1147" spans="1:26" ht="22.35" customHeight="1" x14ac:dyDescent="0.25">
      <c r="A1147" s="252" t="str">
        <f>+IF(PROVEEDORES[[#This Row],[FECHA DE PAGO]]=PROVEEDORES[[#This Row],[FECHA DE FACTURACIÓN]],"DE CONTADO","CRÉDITO")</f>
        <v>DE CONTADO</v>
      </c>
      <c r="B1147" s="38" t="b">
        <f>+IF((PROVEEDORES[[#This Row],[FECHA DE PAGO]]-PROVEEDORES[[#This Row],[FECHA DE FACTURACIÓN]])&gt;PROVEEDORES[[#This Row],[PLAZO Días]],"PAGO VENCIDO")</f>
        <v>0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0</v>
      </c>
      <c r="E1147" s="25"/>
      <c r="F1147" s="56">
        <f>+VLOOKUP(PROVEEDORES[[#This Row],[PROVEEDOR]],
                       Terceros!$A:$F,
                       5,
                       FALSE)</f>
        <v>0</v>
      </c>
      <c r="G1147" s="289">
        <v>45239</v>
      </c>
      <c r="H1147" s="26" t="s">
        <v>420</v>
      </c>
      <c r="I1147" s="289">
        <v>45239</v>
      </c>
      <c r="J1147" s="35" t="s">
        <v>1241</v>
      </c>
      <c r="K1147" s="21">
        <v>1482303</v>
      </c>
      <c r="L1147" s="21"/>
      <c r="M1147" s="22">
        <f>(PROVEEDORES[[#This Row],[SUBTOTAL]]-PROVEEDORES[[#This Row],[descuento sobre subtotal]])*VLOOKUP(PROVEEDORES[[#This Row],[PROVEEDOR]],TERCEROS_INFO[#All],3,FALSE)</f>
        <v>0</v>
      </c>
      <c r="N1147" s="23"/>
      <c r="O1147" s="22">
        <f>+PROVEEDORES[[#This Row],[Descuento sobre subtotal %]]*(PROVEEDORES[[#This Row],[SUBTOTAL]]-PROVEEDORES[[#This Row],[descuento sobre subtotal]])</f>
        <v>0</v>
      </c>
      <c r="P1147" s="72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f>+PROVEEDORES[[#This Row],[SUBTOTAL]]+PROVEEDORES[[#This Row],[IVA 19%]]-PROVEEDORES[[#This Row],[descuento sobre subtotal]]-PROVEEDORES[[#This Row],[Descuento sobre subtotal $2]]-PROVEEDORES[[#This Row],[Rete Fuente $]]</f>
        <v>1482303</v>
      </c>
      <c r="S1147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1">
        <f ca="1">IF(PROVEEDORES[[#This Row],[FECHA DE PAGO]]=0,TODAY()-PROVEEDORES[[#This Row],[FECHA DE FACTURACIÓN]]-PROVEEDORES[[#This Row],[PLAZO Días]],0)</f>
        <v>0</v>
      </c>
      <c r="U1147" s="97">
        <f>+VLOOKUP(PROVEEDORES[[#This Row],[PROVEEDOR]],Terceros!$A:$D,4,FALSE)</f>
        <v>0</v>
      </c>
      <c r="V1147" s="98">
        <f>+YEAR(PROVEEDORES[[#This Row],[FECHA DE FACTURACIÓN]])</f>
        <v>2023</v>
      </c>
      <c r="W1147" s="98">
        <f>+MATCH(PROVEEDORES[[#This Row],[año facturado]],Retenciones!$1:$1,0)</f>
        <v>6</v>
      </c>
      <c r="X1147" s="99">
        <f>+VLOOKUP(PROVEEDORES[[#This Row],[ID RETENCION]],Retenciones!$A$1:$O$25,PROVEEDORES[[#This Row],[indicador de columna]],FALSE)</f>
        <v>0</v>
      </c>
      <c r="Y1147" s="100">
        <f>+VLOOKUP(PROVEEDORES[[#This Row],[ID RETENCION]],Retenciones!$A$1:$O$25,2,FALSE)</f>
        <v>0</v>
      </c>
      <c r="Z1147" s="103" t="b">
        <f>OR(COUNTIF(PROVEEDORES[[#This Row],[PROVEEDOR]],"*"&amp;'Palabra no opera'!$A$2&amp;"*"))</f>
        <v>1</v>
      </c>
    </row>
    <row r="1148" spans="1:26" ht="22.35" customHeight="1" x14ac:dyDescent="0.25">
      <c r="A1148" s="65" t="str">
        <f>+IF(PROVEEDORES[[#This Row],[FECHA DE PAGO]]=PROVEEDORES[[#This Row],[FECHA DE FACTURACIÓN]],"DE CONTADO","CRÉDITO")</f>
        <v>CRÉDITO</v>
      </c>
      <c r="B1148" s="38" t="b">
        <f>+IF((PROVEEDORES[[#This Row],[FECHA DE PAGO]]-PROVEEDORES[[#This Row],[FECHA DE FACTURACIÓN]])&gt;PROVEEDORES[[#This Row],[PLAZO Días]],"PAGO VENCIDO")</f>
        <v>0</v>
      </c>
      <c r="C1148" s="20">
        <f>+VLOOKUP(PROVEEDORES[[#This Row],[PROVEEDOR]],TERCEROS_INFO[#All],2,FALSE)</f>
        <v>30</v>
      </c>
      <c r="D1148" s="25">
        <f>+SUMIFS(PROVEEDORES[Total],PROVEEDORES[PROVEEDOR],PROVEEDORES[[#This Row],[PROVEEDOR]],PROVEEDORES[FECHA DE PAGO],"")</f>
        <v>0</v>
      </c>
      <c r="E1148" s="25"/>
      <c r="F1148" s="56">
        <f>+VLOOKUP(PROVEEDORES[[#This Row],[PROVEEDOR]],
                       Terceros!$A:$F,
                       5,
                       FALSE)</f>
        <v>0</v>
      </c>
      <c r="G1148" s="289">
        <v>45262</v>
      </c>
      <c r="H1148" s="26" t="s">
        <v>420</v>
      </c>
      <c r="I1148" s="289">
        <v>45261</v>
      </c>
      <c r="J1148" s="35" t="s">
        <v>195</v>
      </c>
      <c r="K1148" s="21">
        <v>411454</v>
      </c>
      <c r="L1148" s="21"/>
      <c r="M1148" s="22">
        <f>(PROVEEDORES[[#This Row],[SUBTOTAL]]-PROVEEDORES[[#This Row],[descuento sobre subtotal]])*VLOOKUP(PROVEEDORES[[#This Row],[PROVEEDOR]],TERCEROS_INFO[#All],3,FALSE)</f>
        <v>0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72">
        <f>+IF(PROVEEDORES[[#This Row],[SUBTOTAL]]&lt;PROVEEDORES[[#This Row],[base retencion]],0,PROVEEDORES[[#This Row],[retención aplicada]])</f>
        <v>0</v>
      </c>
      <c r="Q1148" s="22">
        <f>+PROVEEDORES[[#This Row],[Rete Fuente %]]*(PROVEEDORES[[#This Row],[SUBTOTAL]]-PROVEEDORES[[#This Row],[descuento sobre subtotal]])</f>
        <v>0</v>
      </c>
      <c r="R1148" s="21">
        <f>+PROVEEDORES[[#This Row],[SUBTOTAL]]+PROVEEDORES[[#This Row],[IVA 19%]]-PROVEEDORES[[#This Row],[descuento sobre subtotal]]-PROVEEDORES[[#This Row],[Descuento sobre subtotal $2]]-PROVEEDORES[[#This Row],[Rete Fuente $]]</f>
        <v>411454</v>
      </c>
      <c r="S114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1">
        <f ca="1">IF(PROVEEDORES[[#This Row],[FECHA DE PAGO]]=0,TODAY()-PROVEEDORES[[#This Row],[FECHA DE FACTURACIÓN]]-PROVEEDORES[[#This Row],[PLAZO Días]],0)</f>
        <v>0</v>
      </c>
      <c r="U1148" s="97">
        <f>+VLOOKUP(PROVEEDORES[[#This Row],[PROVEEDOR]],Terceros!$A:$D,4,FALSE)</f>
        <v>0</v>
      </c>
      <c r="V1148" s="98">
        <f>+YEAR(PROVEEDORES[[#This Row],[FECHA DE FACTURACIÓN]])</f>
        <v>2023</v>
      </c>
      <c r="W1148" s="98">
        <f>+MATCH(PROVEEDORES[[#This Row],[año facturado]],Retenciones!$1:$1,0)</f>
        <v>6</v>
      </c>
      <c r="X1148" s="99">
        <f>+VLOOKUP(PROVEEDORES[[#This Row],[ID RETENCION]],Retenciones!$A$1:$O$25,PROVEEDORES[[#This Row],[indicador de columna]],FALSE)</f>
        <v>0</v>
      </c>
      <c r="Y1148" s="100">
        <f>+VLOOKUP(PROVEEDORES[[#This Row],[ID RETENCION]],Retenciones!$A$1:$O$25,2,FALSE)</f>
        <v>0</v>
      </c>
      <c r="Z1148" s="103" t="b">
        <f>OR(COUNTIF(PROVEEDORES[[#This Row],[PROVEEDOR]],"*"&amp;'Palabra no opera'!$A$2&amp;"*"))</f>
        <v>1</v>
      </c>
    </row>
    <row r="1149" spans="1:26" ht="22.35" customHeight="1" x14ac:dyDescent="0.25">
      <c r="A1149" s="65" t="str">
        <f>+IF(PROVEEDORES[[#This Row],[FECHA DE PAGO]]=PROVEEDORES[[#This Row],[FECHA DE FACTURACIÓN]],"DE CONTADO","CRÉDITO")</f>
        <v>DE CONTADO</v>
      </c>
      <c r="B1149" s="38" t="b">
        <f>+IF((PROVEEDORES[[#This Row],[FECHA DE PAGO]]-PROVEEDORES[[#This Row],[FECHA DE FACTURACIÓN]])&gt;PROVEEDORES[[#This Row],[PLAZO Días]],"PAGO VENCIDO")</f>
        <v>0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0</v>
      </c>
      <c r="E1149" s="25"/>
      <c r="F1149" s="56">
        <f>+VLOOKUP(PROVEEDORES[[#This Row],[PROVEEDOR]],
                       Terceros!$A:$F,
                       5,
                       FALSE)</f>
        <v>0</v>
      </c>
      <c r="G1149" s="289">
        <v>45269</v>
      </c>
      <c r="H1149" s="26" t="s">
        <v>420</v>
      </c>
      <c r="I1149" s="289">
        <v>45269</v>
      </c>
      <c r="J1149" s="35" t="s">
        <v>480</v>
      </c>
      <c r="K1149" s="21">
        <v>129083</v>
      </c>
      <c r="L1149" s="21"/>
      <c r="M1149" s="22">
        <f>(PROVEEDORES[[#This Row],[SUBTOTAL]]-PROVEEDORES[[#This Row],[descuento sobre subtotal]])*VLOOKUP(PROVEEDORES[[#This Row],[PROVEEDOR]],TERCEROS_INFO[#All],3,FALSE)</f>
        <v>0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72">
        <f>+IF(PROVEEDORES[[#This Row],[SUBTOTAL]]&lt;PROVEEDORES[[#This Row],[base retencion]],0,PROVEEDORES[[#This Row],[retención aplicada]])</f>
        <v>0</v>
      </c>
      <c r="Q1149" s="22">
        <f>+PROVEEDORES[[#This Row],[Rete Fuente %]]*(PROVEEDORES[[#This Row],[SUBTOTAL]]-PROVEEDORES[[#This Row],[descuento sobre subtotal]])</f>
        <v>0</v>
      </c>
      <c r="R1149" s="21">
        <f>+PROVEEDORES[[#This Row],[SUBTOTAL]]+PROVEEDORES[[#This Row],[IVA 19%]]-PROVEEDORES[[#This Row],[descuento sobre subtotal]]-PROVEEDORES[[#This Row],[Descuento sobre subtotal $2]]-PROVEEDORES[[#This Row],[Rete Fuente $]]</f>
        <v>129083</v>
      </c>
      <c r="S114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1">
        <f ca="1">IF(PROVEEDORES[[#This Row],[FECHA DE PAGO]]=0,TODAY()-PROVEEDORES[[#This Row],[FECHA DE FACTURACIÓN]]-PROVEEDORES[[#This Row],[PLAZO Días]],0)</f>
        <v>0</v>
      </c>
      <c r="U1149" s="97">
        <f>+VLOOKUP(PROVEEDORES[[#This Row],[PROVEEDOR]],Terceros!$A:$D,4,FALSE)</f>
        <v>0</v>
      </c>
      <c r="V1149" s="98">
        <f>+YEAR(PROVEEDORES[[#This Row],[FECHA DE FACTURACIÓN]])</f>
        <v>2023</v>
      </c>
      <c r="W1149" s="98">
        <f>+MATCH(PROVEEDORES[[#This Row],[año facturado]],Retenciones!$1:$1,0)</f>
        <v>6</v>
      </c>
      <c r="X1149" s="99">
        <f>+VLOOKUP(PROVEEDORES[[#This Row],[ID RETENCION]],Retenciones!$A$1:$O$25,PROVEEDORES[[#This Row],[indicador de columna]],FALSE)</f>
        <v>0</v>
      </c>
      <c r="Y1149" s="100">
        <f>+VLOOKUP(PROVEEDORES[[#This Row],[ID RETENCION]],Retenciones!$A$1:$O$25,2,FALSE)</f>
        <v>0</v>
      </c>
      <c r="Z1149" s="103" t="b">
        <f>OR(COUNTIF(PROVEEDORES[[#This Row],[PROVEEDOR]],"*"&amp;'Palabra no opera'!$A$2&amp;"*"))</f>
        <v>1</v>
      </c>
    </row>
    <row r="1150" spans="1:26" ht="22.35" customHeight="1" x14ac:dyDescent="0.25">
      <c r="A1150" s="65" t="str">
        <f>+IF(PROVEEDORES[[#This Row],[FECHA DE PAGO]]=PROVEEDORES[[#This Row],[FECHA DE FACTURACIÓN]],"DE CONTADO","CRÉDITO")</f>
        <v>DE CONTADO</v>
      </c>
      <c r="B1150" s="38" t="b">
        <f>+IF((PROVEEDORES[[#This Row],[FECHA DE PAGO]]-PROVEEDORES[[#This Row],[FECHA DE FACTURACIÓN]])&gt;PROVEEDORES[[#This Row],[PLAZO Días]],"PAGO VENCIDO")</f>
        <v>0</v>
      </c>
      <c r="C1150" s="20">
        <f>+VLOOKUP(PROVEEDORES[[#This Row],[PROVEEDOR]],TERCEROS_INFO[#All],2,FALSE)</f>
        <v>0</v>
      </c>
      <c r="D1150" s="25">
        <f>+SUMIFS(PROVEEDORES[Total],PROVEEDORES[PROVEEDOR],PROVEEDORES[[#This Row],[PROVEEDOR]],PROVEEDORES[FECHA DE PAGO],"")</f>
        <v>0</v>
      </c>
      <c r="E1150" s="25"/>
      <c r="F1150" s="56">
        <f>+VLOOKUP(PROVEEDORES[[#This Row],[PROVEEDOR]],
                       Terceros!$A:$F,
                       5,
                       FALSE)</f>
        <v>0</v>
      </c>
      <c r="G1150" s="289">
        <v>45153</v>
      </c>
      <c r="H1150" s="26" t="s">
        <v>1022</v>
      </c>
      <c r="I1150" s="289">
        <v>45153</v>
      </c>
      <c r="J1150" s="35">
        <v>471</v>
      </c>
      <c r="K1150" s="21">
        <v>234000</v>
      </c>
      <c r="L1150" s="21"/>
      <c r="M1150" s="22">
        <f>(PROVEEDORES[[#This Row],[SUBTOTAL]]-PROVEEDORES[[#This Row],[descuento sobre subtotal]])*VLOOKUP(PROVEEDORES[[#This Row],[PROVEEDOR]],TERCEROS_INFO[#All],3,FALSE)</f>
        <v>44460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72">
        <f>+IF(PROVEEDORES[[#This Row],[SUBTOTAL]]&lt;PROVEEDORES[[#This Row],[base retencion]],0,PROVEEDORES[[#This Row],[retención aplicada]])</f>
        <v>0</v>
      </c>
      <c r="Q1150" s="22">
        <f>+PROVEEDORES[[#This Row],[Rete Fuente %]]*(PROVEEDORES[[#This Row],[SUBTOTAL]]-PROVEEDORES[[#This Row],[descuento sobre subtotal]])</f>
        <v>0</v>
      </c>
      <c r="R1150" s="21">
        <f>+PROVEEDORES[[#This Row],[SUBTOTAL]]+PROVEEDORES[[#This Row],[IVA 19%]]-PROVEEDORES[[#This Row],[descuento sobre subtotal]]-PROVEEDORES[[#This Row],[Descuento sobre subtotal $2]]-PROVEEDORES[[#This Row],[Rete Fuente $]]</f>
        <v>278460</v>
      </c>
      <c r="S115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1">
        <f ca="1">IF(PROVEEDORES[[#This Row],[FECHA DE PAGO]]=0,TODAY()-PROVEEDORES[[#This Row],[FECHA DE FACTURACIÓN]]-PROVEEDORES[[#This Row],[PLAZO Días]],0)</f>
        <v>0</v>
      </c>
      <c r="U1150" s="97" t="str">
        <f>+VLOOKUP(PROVEEDORES[[#This Row],[PROVEEDOR]],Terceros!$A:$D,4,FALSE)</f>
        <v>2,5% con base</v>
      </c>
      <c r="V1150" s="98">
        <f>+YEAR(PROVEEDORES[[#This Row],[FECHA DE FACTURACIÓN]])</f>
        <v>2023</v>
      </c>
      <c r="W1150" s="98">
        <f>+MATCH(PROVEEDORES[[#This Row],[año facturado]],Retenciones!$1:$1,0)</f>
        <v>6</v>
      </c>
      <c r="X1150" s="99">
        <f>+VLOOKUP(PROVEEDORES[[#This Row],[ID RETENCION]],Retenciones!$A$1:$O$25,PROVEEDORES[[#This Row],[indicador de columna]],FALSE)</f>
        <v>1145000</v>
      </c>
      <c r="Y1150" s="100">
        <f>+VLOOKUP(PROVEEDORES[[#This Row],[ID RETENCION]],Retenciones!$A$1:$O$25,2,FALSE)</f>
        <v>2.5000000000000001E-2</v>
      </c>
      <c r="Z1150" s="103" t="b">
        <f>OR(COUNTIF(PROVEEDORES[[#This Row],[PROVEEDOR]],"*"&amp;'Palabra no opera'!$A$2&amp;"*"))</f>
        <v>0</v>
      </c>
    </row>
    <row r="1151" spans="1:26" ht="22.35" customHeight="1" x14ac:dyDescent="0.25">
      <c r="A1151" s="65" t="str">
        <f>+IF(PROVEEDORES[[#This Row],[FECHA DE PAGO]]=PROVEEDORES[[#This Row],[FECHA DE FACTURACIÓN]],"DE CONTADO","CRÉDITO")</f>
        <v>CRÉDITO</v>
      </c>
      <c r="B1151" s="38" t="b">
        <f>+IF((PROVEEDORES[[#This Row],[FECHA DE PAGO]]-PROVEEDORES[[#This Row],[FECHA DE FACTURACIÓN]])&gt;PROVEEDORES[[#This Row],[PLAZO Días]],"PAGO VENCIDO")</f>
        <v>0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0</v>
      </c>
      <c r="E1151" s="25"/>
      <c r="F1151" s="56" t="str">
        <f>+VLOOKUP(PROVEEDORES[[#This Row],[PROVEEDOR]],
                       Terceros!$A:$F,
                       5,
                       FALSE)</f>
        <v>PSE</v>
      </c>
      <c r="G1151" s="289">
        <v>44958</v>
      </c>
      <c r="H1151" s="26" t="s">
        <v>421</v>
      </c>
      <c r="I1151" s="289">
        <v>44931</v>
      </c>
      <c r="J1151" s="35" t="s">
        <v>557</v>
      </c>
      <c r="K1151" s="21">
        <v>398800</v>
      </c>
      <c r="L1151" s="21"/>
      <c r="M1151" s="22">
        <f>(PROVEEDORES[[#This Row],[SUBTOTAL]]-PROVEEDORES[[#This Row],[descuento sobre subtotal]])*VLOOKUP(PROVEEDORES[[#This Row],[PROVEEDOR]],TERCEROS_INFO[#All],3,FALSE)</f>
        <v>75772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72">
        <f>+IF(PROVEEDORES[[#This Row],[SUBTOTAL]]&lt;PROVEEDORES[[#This Row],[base retencion]],0,PROVEEDORES[[#This Row],[retención aplicada]])</f>
        <v>0</v>
      </c>
      <c r="Q1151" s="22">
        <f>+PROVEEDORES[[#This Row],[Rete Fuente %]]*(PROVEEDORES[[#This Row],[SUBTOTAL]]-PROVEEDORES[[#This Row],[descuento sobre subtotal]])</f>
        <v>0</v>
      </c>
      <c r="R1151" s="21">
        <f>+PROVEEDORES[[#This Row],[SUBTOTAL]]+PROVEEDORES[[#This Row],[IVA 19%]]-PROVEEDORES[[#This Row],[descuento sobre subtotal]]-PROVEEDORES[[#This Row],[Descuento sobre subtotal $2]]-PROVEEDORES[[#This Row],[Rete Fuente $]]</f>
        <v>474572</v>
      </c>
      <c r="S11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1">
        <f ca="1">IF(PROVEEDORES[[#This Row],[FECHA DE PAGO]]=0,TODAY()-PROVEEDORES[[#This Row],[FECHA DE FACTURACIÓN]]-PROVEEDORES[[#This Row],[PLAZO Días]],0)</f>
        <v>0</v>
      </c>
      <c r="U1151" s="97">
        <f>+VLOOKUP(PROVEEDORES[[#This Row],[PROVEEDOR]],Terceros!$A:$D,4,FALSE)</f>
        <v>0</v>
      </c>
      <c r="V1151" s="98">
        <f>+YEAR(PROVEEDORES[[#This Row],[FECHA DE FACTURACIÓN]])</f>
        <v>2023</v>
      </c>
      <c r="W1151" s="98">
        <f>+MATCH(PROVEEDORES[[#This Row],[año facturado]],Retenciones!$1:$1,0)</f>
        <v>6</v>
      </c>
      <c r="X1151" s="99">
        <f>+VLOOKUP(PROVEEDORES[[#This Row],[ID RETENCION]],Retenciones!$A$1:$O$25,PROVEEDORES[[#This Row],[indicador de columna]],FALSE)</f>
        <v>0</v>
      </c>
      <c r="Y1151" s="100">
        <f>+VLOOKUP(PROVEEDORES[[#This Row],[ID RETENCION]],Retenciones!$A$1:$O$25,2,FALSE)</f>
        <v>0</v>
      </c>
      <c r="Z1151" s="103" t="b">
        <f>OR(COUNTIF(PROVEEDORES[[#This Row],[PROVEEDOR]],"*"&amp;'Palabra no opera'!$A$2&amp;"*"))</f>
        <v>1</v>
      </c>
    </row>
    <row r="1152" spans="1:26" ht="22.35" customHeight="1" x14ac:dyDescent="0.25">
      <c r="A1152" s="304" t="str">
        <f>+IF(PROVEEDORES[[#This Row],[FECHA DE PAGO]]=PROVEEDORES[[#This Row],[FECHA DE FACTURACIÓN]],"DE CONTADO","CRÉDITO")</f>
        <v>CRÉDITO</v>
      </c>
      <c r="B1152" s="38" t="b">
        <f>+IF((PROVEEDORES[[#This Row],[FECHA DE PAGO]]-PROVEEDORES[[#This Row],[FECHA DE FACTURACIÓN]])&gt;PROVEEDORES[[#This Row],[PLAZO Días]],"PAGO VENCIDO")</f>
        <v>0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0</v>
      </c>
      <c r="E1152" s="25"/>
      <c r="F1152" s="56" t="str">
        <f>+VLOOKUP(PROVEEDORES[[#This Row],[PROVEEDOR]],
                       Terceros!$A:$F,
                       5,
                       FALSE)</f>
        <v>PSE</v>
      </c>
      <c r="G1152" s="289">
        <v>45303</v>
      </c>
      <c r="H1152" s="26" t="s">
        <v>421</v>
      </c>
      <c r="I1152" s="289">
        <v>45292</v>
      </c>
      <c r="J1152" s="35" t="s">
        <v>1482</v>
      </c>
      <c r="K1152" s="21">
        <v>458700</v>
      </c>
      <c r="L1152" s="21">
        <f>458700-446700</f>
        <v>12000</v>
      </c>
      <c r="M1152" s="22">
        <f>(PROVEEDORES[[#This Row],[SUBTOTAL]]-PROVEEDORES[[#This Row],[descuento sobre subtotal]])*VLOOKUP(PROVEEDORES[[#This Row],[PROVEEDOR]],TERCEROS_INFO[#All],3,FALSE)</f>
        <v>84873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72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f>+PROVEEDORES[[#This Row],[SUBTOTAL]]+PROVEEDORES[[#This Row],[IVA 19%]]-PROVEEDORES[[#This Row],[descuento sobre subtotal]]-PROVEEDORES[[#This Row],[Descuento sobre subtotal $2]]-PROVEEDORES[[#This Row],[Rete Fuente $]]</f>
        <v>531573</v>
      </c>
      <c r="S1152" s="3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1">
        <f ca="1">IF(PROVEEDORES[[#This Row],[FECHA DE PAGO]]=0,TODAY()-PROVEEDORES[[#This Row],[FECHA DE FACTURACIÓN]]-PROVEEDORES[[#This Row],[PLAZO Días]],0)</f>
        <v>0</v>
      </c>
      <c r="U1152" s="97">
        <f>+VLOOKUP(PROVEEDORES[[#This Row],[PROVEEDOR]],Terceros!$A:$D,4,FALSE)</f>
        <v>0</v>
      </c>
      <c r="V1152" s="98">
        <f>+YEAR(PROVEEDORES[[#This Row],[FECHA DE FACTURACIÓN]])</f>
        <v>2024</v>
      </c>
      <c r="W1152" s="98">
        <f>+MATCH(PROVEEDORES[[#This Row],[año facturado]],Retenciones!$1:$1,0)</f>
        <v>7</v>
      </c>
      <c r="X1152" s="99">
        <f>+VLOOKUP(PROVEEDORES[[#This Row],[ID RETENCION]],Retenciones!$A$1:$O$25,PROVEEDORES[[#This Row],[indicador de columna]],FALSE)</f>
        <v>0</v>
      </c>
      <c r="Y1152" s="100">
        <f>+VLOOKUP(PROVEEDORES[[#This Row],[ID RETENCION]],Retenciones!$A$1:$O$25,2,FALSE)</f>
        <v>0</v>
      </c>
      <c r="Z1152" s="103" t="b">
        <f>OR(COUNTIF(PROVEEDORES[[#This Row],[PROVEEDOR]],"*"&amp;'Palabra no opera'!$A$2&amp;"*"))</f>
        <v>1</v>
      </c>
    </row>
    <row r="1153" spans="1:26" ht="22.35" customHeight="1" x14ac:dyDescent="0.25">
      <c r="A1153" s="157" t="str">
        <f>+IF(PROVEEDORES[[#This Row],[FECHA DE PAGO]]=PROVEEDORES[[#This Row],[FECHA DE FACTURACIÓN]],"DE CONTADO","CRÉDITO")</f>
        <v>DE CONTADO</v>
      </c>
      <c r="B1153" s="38" t="b">
        <f>+IF((PROVEEDORES[[#This Row],[FECHA DE PAGO]]-PROVEEDORES[[#This Row],[FECHA DE FACTURACIÓN]])&gt;PROVEEDORES[[#This Row],[PLAZO Días]],"PAGO VENCIDO")</f>
        <v>0</v>
      </c>
      <c r="C1153" s="20">
        <f>+VLOOKUP(PROVEEDORES[[#This Row],[PROVEEDOR]],TERCEROS_INFO[#All],2,FALSE)</f>
        <v>30</v>
      </c>
      <c r="D1153" s="25">
        <f>+SUMIFS(PROVEEDORES[Total],PROVEEDORES[PROVEEDOR],PROVEEDORES[[#This Row],[PROVEEDOR]],PROVEEDORES[FECHA DE PAGO],"")</f>
        <v>0</v>
      </c>
      <c r="E1153" s="25"/>
      <c r="F1153" s="56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153" s="289">
        <v>44991</v>
      </c>
      <c r="H1153" s="26" t="s">
        <v>226</v>
      </c>
      <c r="I1153" s="289">
        <v>44991</v>
      </c>
      <c r="J1153" s="35">
        <v>6922</v>
      </c>
      <c r="K1153" s="21">
        <v>4100000</v>
      </c>
      <c r="L1153" s="21"/>
      <c r="M1153" s="22">
        <f>(PROVEEDORES[[#This Row],[SUBTOTAL]]-PROVEEDORES[[#This Row],[descuento sobre subtotal]])*VLOOKUP(PROVEEDORES[[#This Row],[PROVEEDOR]],TERCEROS_INFO[#All],3,FALSE)</f>
        <v>779000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72">
        <f>+IF(PROVEEDORES[[#This Row],[SUBTOTAL]]&lt;PROVEEDORES[[#This Row],[base retencion]],0,PROVEEDORES[[#This Row],[retención aplicada]])</f>
        <v>2.5000000000000001E-2</v>
      </c>
      <c r="Q1153" s="22">
        <f>+PROVEEDORES[[#This Row],[Rete Fuente %]]*(PROVEEDORES[[#This Row],[SUBTOTAL]]-PROVEEDORES[[#This Row],[descuento sobre subtotal]])</f>
        <v>102500</v>
      </c>
      <c r="R1153" s="21">
        <f>+PROVEEDORES[[#This Row],[SUBTOTAL]]+PROVEEDORES[[#This Row],[IVA 19%]]-PROVEEDORES[[#This Row],[descuento sobre subtotal]]-PROVEEDORES[[#This Row],[Descuento sobre subtotal $2]]-PROVEEDORES[[#This Row],[Rete Fuente $]]</f>
        <v>4776500</v>
      </c>
      <c r="S1153" s="15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1">
        <f ca="1">IF(PROVEEDORES[[#This Row],[FECHA DE PAGO]]=0,TODAY()-PROVEEDORES[[#This Row],[FECHA DE FACTURACIÓN]]-PROVEEDORES[[#This Row],[PLAZO Días]],0)</f>
        <v>0</v>
      </c>
      <c r="U1153" s="97" t="str">
        <f>+VLOOKUP(PROVEEDORES[[#This Row],[PROVEEDOR]],Terceros!$A:$D,4,FALSE)</f>
        <v>2,5% con base</v>
      </c>
      <c r="V1153" s="98">
        <f>+YEAR(PROVEEDORES[[#This Row],[FECHA DE FACTURACIÓN]])</f>
        <v>2023</v>
      </c>
      <c r="W1153" s="98">
        <f>+MATCH(PROVEEDORES[[#This Row],[año facturado]],Retenciones!$1:$1,0)</f>
        <v>6</v>
      </c>
      <c r="X1153" s="99">
        <f>+VLOOKUP(PROVEEDORES[[#This Row],[ID RETENCION]],Retenciones!$A$1:$O$25,PROVEEDORES[[#This Row],[indicador de columna]],FALSE)</f>
        <v>1145000</v>
      </c>
      <c r="Y1153" s="100">
        <f>+VLOOKUP(PROVEEDORES[[#This Row],[ID RETENCION]],Retenciones!$A$1:$O$25,2,FALSE)</f>
        <v>2.5000000000000001E-2</v>
      </c>
      <c r="Z1153" s="103" t="b">
        <f>OR(COUNTIF(PROVEEDORES[[#This Row],[PROVEEDOR]],"*"&amp;'Palabra no opera'!$A$2&amp;"*"))</f>
        <v>0</v>
      </c>
    </row>
    <row r="1154" spans="1:26" ht="22.35" customHeight="1" x14ac:dyDescent="0.25">
      <c r="A1154" s="249" t="str">
        <f>+IF(PROVEEDORES[[#This Row],[FECHA DE PAGO]]=PROVEEDORES[[#This Row],[FECHA DE FACTURACIÓN]],"DE CONTADO","CRÉDITO")</f>
        <v>CRÉDITO</v>
      </c>
      <c r="B1154" s="38" t="b">
        <f>+IF((PROVEEDORES[[#This Row],[FECHA DE PAGO]]-PROVEEDORES[[#This Row],[FECHA DE FACTURACIÓN]])&gt;PROVEEDORES[[#This Row],[PLAZO Días]],"PAGO VENCIDO")</f>
        <v>0</v>
      </c>
      <c r="C1154" s="20">
        <f>+VLOOKUP(PROVEEDORES[[#This Row],[PROVEEDOR]],TERCEROS_INFO[#All],2,FALSE)</f>
        <v>30</v>
      </c>
      <c r="D1154" s="25">
        <f>+SUMIFS(PROVEEDORES[Total],PROVEEDORES[PROVEEDOR],PROVEEDORES[[#This Row],[PROVEEDOR]],PROVEEDORES[FECHA DE PAGO],"")</f>
        <v>0</v>
      </c>
      <c r="E1154" s="25"/>
      <c r="F1154" s="56" t="str">
        <f>+VLOOKUP(PROVEEDORES[[#This Row],[PROVEEDOR]],
                       Terceros!$A:$F,
                       5,
                       FALSE)</f>
        <v>PSE</v>
      </c>
      <c r="G1154" s="289">
        <v>45232</v>
      </c>
      <c r="H1154" s="26" t="s">
        <v>423</v>
      </c>
      <c r="I1154" s="289">
        <v>45231</v>
      </c>
      <c r="J1154" s="35"/>
      <c r="K1154" s="21">
        <v>620524</v>
      </c>
      <c r="L1154" s="21"/>
      <c r="M1154" s="22">
        <f>(PROVEEDORES[[#This Row],[SUBTOTAL]]-PROVEEDORES[[#This Row],[descuento sobre subtotal]])*VLOOKUP(PROVEEDORES[[#This Row],[PROVEEDOR]],TERCEROS_INFO[#All],3,FALSE)</f>
        <v>0</v>
      </c>
      <c r="N1154" s="23"/>
      <c r="O1154" s="22">
        <f>+PROVEEDORES[[#This Row],[Descuento sobre subtotal %]]*(PROVEEDORES[[#This Row],[SUBTOTAL]]-PROVEEDORES[[#This Row],[descuento sobre subtotal]])</f>
        <v>0</v>
      </c>
      <c r="P1154" s="72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f>+PROVEEDORES[[#This Row],[SUBTOTAL]]+PROVEEDORES[[#This Row],[IVA 19%]]-PROVEEDORES[[#This Row],[descuento sobre subtotal]]-PROVEEDORES[[#This Row],[Descuento sobre subtotal $2]]-PROVEEDORES[[#This Row],[Rete Fuente $]]</f>
        <v>620524</v>
      </c>
      <c r="S1154" s="25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1">
        <f ca="1">IF(PROVEEDORES[[#This Row],[FECHA DE PAGO]]=0,TODAY()-PROVEEDORES[[#This Row],[FECHA DE FACTURACIÓN]]-PROVEEDORES[[#This Row],[PLAZO Días]],0)</f>
        <v>0</v>
      </c>
      <c r="U1154" s="97">
        <f>+VLOOKUP(PROVEEDORES[[#This Row],[PROVEEDOR]],Terceros!$A:$D,4,FALSE)</f>
        <v>0</v>
      </c>
      <c r="V1154" s="98">
        <f>+YEAR(PROVEEDORES[[#This Row],[FECHA DE FACTURACIÓN]])</f>
        <v>2023</v>
      </c>
      <c r="W1154" s="98">
        <f>+MATCH(PROVEEDORES[[#This Row],[año facturado]],Retenciones!$1:$1,0)</f>
        <v>6</v>
      </c>
      <c r="X1154" s="99">
        <f>+VLOOKUP(PROVEEDORES[[#This Row],[ID RETENCION]],Retenciones!$A$1:$O$25,PROVEEDORES[[#This Row],[indicador de columna]],FALSE)</f>
        <v>0</v>
      </c>
      <c r="Y1154" s="100">
        <f>+VLOOKUP(PROVEEDORES[[#This Row],[ID RETENCION]],Retenciones!$A$1:$O$25,2,FALSE)</f>
        <v>0</v>
      </c>
      <c r="Z1154" s="103" t="b">
        <f>OR(COUNTIF(PROVEEDORES[[#This Row],[PROVEEDOR]],"*"&amp;'Palabra no opera'!$A$2&amp;"*"))</f>
        <v>1</v>
      </c>
    </row>
    <row r="1155" spans="1:26" ht="22.35" customHeight="1" x14ac:dyDescent="0.25">
      <c r="A1155" s="65" t="str">
        <f>+IF(PROVEEDORES[[#This Row],[FECHA DE PAGO]]=PROVEEDORES[[#This Row],[FECHA DE FACTURACIÓN]],"DE CONTADO","CRÉDITO")</f>
        <v>CRÉDITO</v>
      </c>
      <c r="B1155" s="38" t="str">
        <f>+IF((PROVEEDORES[[#This Row],[FECHA DE PAGO]]-PROVEEDORES[[#This Row],[FECHA DE FACTURACIÓN]])&gt;PROVEEDORES[[#This Row],[PLAZO Días]],"PAGO VENCIDO")</f>
        <v>PAGO VENCIDO</v>
      </c>
      <c r="C1155" s="20">
        <f>+VLOOKUP(PROVEEDORES[[#This Row],[PROVEEDOR]],TERCEROS_INFO[#All],2,FALSE)</f>
        <v>13</v>
      </c>
      <c r="D1155" s="25">
        <f>+SUMIFS(PROVEEDORES[Total],PROVEEDORES[PROVEEDOR],PROVEEDORES[[#This Row],[PROVEEDOR]],PROVEEDORES[FECHA DE PAGO],"")</f>
        <v>0</v>
      </c>
      <c r="E1155" s="25"/>
      <c r="F1155" s="56">
        <f>+VLOOKUP(PROVEEDORES[[#This Row],[PROVEEDOR]],
                       Terceros!$A:$F,
                       5,
                       FALSE)</f>
        <v>0</v>
      </c>
      <c r="G1155" s="289">
        <v>45245</v>
      </c>
      <c r="H1155" s="26" t="s">
        <v>422</v>
      </c>
      <c r="I1155" s="289">
        <v>45231</v>
      </c>
      <c r="J1155" s="35"/>
      <c r="K1155" s="21">
        <v>959182</v>
      </c>
      <c r="L1155" s="21"/>
      <c r="M1155" s="22">
        <f>(PROVEEDORES[[#This Row],[SUBTOTAL]]-PROVEEDORES[[#This Row],[descuento sobre subtotal]])*VLOOKUP(PROVEEDORES[[#This Row],[PROVEEDOR]],TERCEROS_INFO[#All],3,FALSE)</f>
        <v>0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72">
        <f>+IF(PROVEEDORES[[#This Row],[SUBTOTAL]]&lt;PROVEEDORES[[#This Row],[base retencion]],0,PROVEEDORES[[#This Row],[retención aplicada]])</f>
        <v>0</v>
      </c>
      <c r="Q1155" s="22">
        <f>+PROVEEDORES[[#This Row],[Rete Fuente %]]*(PROVEEDORES[[#This Row],[SUBTOTAL]]-PROVEEDORES[[#This Row],[descuento sobre subtotal]])</f>
        <v>0</v>
      </c>
      <c r="R1155" s="21">
        <f>+PROVEEDORES[[#This Row],[SUBTOTAL]]+PROVEEDORES[[#This Row],[IVA 19%]]-PROVEEDORES[[#This Row],[descuento sobre subtotal]]-PROVEEDORES[[#This Row],[Descuento sobre subtotal $2]]-PROVEEDORES[[#This Row],[Rete Fuente $]]</f>
        <v>959182</v>
      </c>
      <c r="S115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1">
        <f ca="1">IF(PROVEEDORES[[#This Row],[FECHA DE PAGO]]=0,TODAY()-PROVEEDORES[[#This Row],[FECHA DE FACTURACIÓN]]-PROVEEDORES[[#This Row],[PLAZO Días]],0)</f>
        <v>0</v>
      </c>
      <c r="U1155" s="97">
        <f>+VLOOKUP(PROVEEDORES[[#This Row],[PROVEEDOR]],Terceros!$A:$D,4,FALSE)</f>
        <v>0</v>
      </c>
      <c r="V1155" s="98">
        <f>+YEAR(PROVEEDORES[[#This Row],[FECHA DE FACTURACIÓN]])</f>
        <v>2023</v>
      </c>
      <c r="W1155" s="98">
        <f>+MATCH(PROVEEDORES[[#This Row],[año facturado]],Retenciones!$1:$1,0)</f>
        <v>6</v>
      </c>
      <c r="X1155" s="99">
        <f>+VLOOKUP(PROVEEDORES[[#This Row],[ID RETENCION]],Retenciones!$A$1:$O$25,PROVEEDORES[[#This Row],[indicador de columna]],FALSE)</f>
        <v>0</v>
      </c>
      <c r="Y1155" s="100">
        <f>+VLOOKUP(PROVEEDORES[[#This Row],[ID RETENCION]],Retenciones!$A$1:$O$25,2,FALSE)</f>
        <v>0</v>
      </c>
      <c r="Z1155" s="103" t="b">
        <f>OR(COUNTIF(PROVEEDORES[[#This Row],[PROVEEDOR]],"*"&amp;'Palabra no opera'!$A$2&amp;"*"))</f>
        <v>1</v>
      </c>
    </row>
    <row r="1156" spans="1:26" ht="22.35" customHeight="1" x14ac:dyDescent="0.25">
      <c r="A1156" s="265" t="str">
        <f>+IF(PROVEEDORES[[#This Row],[FECHA DE PAGO]]=PROVEEDORES[[#This Row],[FECHA DE FACTURACIÓN]],"DE CONTADO","CRÉDITO")</f>
        <v>CRÉDITO</v>
      </c>
      <c r="B1156" s="38" t="b">
        <f>+IF((PROVEEDORES[[#This Row],[FECHA DE PAGO]]-PROVEEDORES[[#This Row],[FECHA DE FACTURACIÓN]])&gt;PROVEEDORES[[#This Row],[PLAZO Días]],"PAGO VENCIDO")</f>
        <v>0</v>
      </c>
      <c r="C1156" s="20">
        <f>+VLOOKUP(PROVEEDORES[[#This Row],[PROVEEDOR]],TERCEROS_INFO[#All],2,FALSE)</f>
        <v>30</v>
      </c>
      <c r="D1156" s="25">
        <f>+SUMIFS(PROVEEDORES[Total],PROVEEDORES[PROVEEDOR],PROVEEDORES[[#This Row],[PROVEEDOR]],PROVEEDORES[FECHA DE PAGO],"")</f>
        <v>0</v>
      </c>
      <c r="E1156" s="25"/>
      <c r="F1156" s="56" t="str">
        <f>+VLOOKUP(PROVEEDORES[[#This Row],[PROVEEDOR]],
                       Terceros!$A:$F,
                       5,
                       FALSE)</f>
        <v>PSE</v>
      </c>
      <c r="G1156" s="289">
        <v>45262</v>
      </c>
      <c r="H1156" s="26" t="s">
        <v>423</v>
      </c>
      <c r="I1156" s="289">
        <v>45261</v>
      </c>
      <c r="J1156" s="35"/>
      <c r="K1156" s="21">
        <v>707697</v>
      </c>
      <c r="L1156" s="21"/>
      <c r="M1156" s="22">
        <f>(PROVEEDORES[[#This Row],[SUBTOTAL]]-PROVEEDORES[[#This Row],[descuento sobre subtotal]])*VLOOKUP(PROVEEDORES[[#This Row],[PROVEEDOR]],TERCEROS_INFO[#All],3,FALSE)</f>
        <v>0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72">
        <f>+IF(PROVEEDORES[[#This Row],[SUBTOTAL]]&lt;PROVEEDORES[[#This Row],[base retencion]],0,PROVEEDORES[[#This Row],[retención aplicada]])</f>
        <v>0</v>
      </c>
      <c r="Q1156" s="22">
        <f>+PROVEEDORES[[#This Row],[Rete Fuente %]]*(PROVEEDORES[[#This Row],[SUBTOTAL]]-PROVEEDORES[[#This Row],[descuento sobre subtotal]])</f>
        <v>0</v>
      </c>
      <c r="R1156" s="21">
        <f>+PROVEEDORES[[#This Row],[SUBTOTAL]]+PROVEEDORES[[#This Row],[IVA 19%]]-PROVEEDORES[[#This Row],[descuento sobre subtotal]]-PROVEEDORES[[#This Row],[Descuento sobre subtotal $2]]-PROVEEDORES[[#This Row],[Rete Fuente $]]</f>
        <v>707697</v>
      </c>
      <c r="S1156" s="26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1">
        <f ca="1">IF(PROVEEDORES[[#This Row],[FECHA DE PAGO]]=0,TODAY()-PROVEEDORES[[#This Row],[FECHA DE FACTURACIÓN]]-PROVEEDORES[[#This Row],[PLAZO Días]],0)</f>
        <v>0</v>
      </c>
      <c r="U1156" s="97">
        <f>+VLOOKUP(PROVEEDORES[[#This Row],[PROVEEDOR]],Terceros!$A:$D,4,FALSE)</f>
        <v>0</v>
      </c>
      <c r="V1156" s="98">
        <f>+YEAR(PROVEEDORES[[#This Row],[FECHA DE FACTURACIÓN]])</f>
        <v>2023</v>
      </c>
      <c r="W1156" s="98">
        <f>+MATCH(PROVEEDORES[[#This Row],[año facturado]],Retenciones!$1:$1,0)</f>
        <v>6</v>
      </c>
      <c r="X1156" s="99">
        <f>+VLOOKUP(PROVEEDORES[[#This Row],[ID RETENCION]],Retenciones!$A$1:$O$25,PROVEEDORES[[#This Row],[indicador de columna]],FALSE)</f>
        <v>0</v>
      </c>
      <c r="Y1156" s="100">
        <f>+VLOOKUP(PROVEEDORES[[#This Row],[ID RETENCION]],Retenciones!$A$1:$O$25,2,FALSE)</f>
        <v>0</v>
      </c>
      <c r="Z1156" s="103" t="b">
        <f>OR(COUNTIF(PROVEEDORES[[#This Row],[PROVEEDOR]],"*"&amp;'Palabra no opera'!$A$2&amp;"*"))</f>
        <v>1</v>
      </c>
    </row>
    <row r="1157" spans="1:26" ht="22.35" customHeight="1" x14ac:dyDescent="0.25">
      <c r="A1157" s="65" t="str">
        <f>+IF(PROVEEDORES[[#This Row],[FECHA DE PAGO]]=PROVEEDORES[[#This Row],[FECHA DE FACTURACIÓN]],"DE CONTADO","CRÉDITO")</f>
        <v>CRÉDITO</v>
      </c>
      <c r="B1157" s="38" t="str">
        <f>+IF((PROVEEDORES[[#This Row],[FECHA DE PAGO]]-PROVEEDORES[[#This Row],[FECHA DE FACTURACIÓN]])&gt;PROVEEDORES[[#This Row],[PLAZO Días]],"PAGO VENCIDO")</f>
        <v>PAGO VENCIDO</v>
      </c>
      <c r="C1157" s="20">
        <f>+VLOOKUP(PROVEEDORES[[#This Row],[PROVEEDOR]],TERCEROS_INFO[#All],2,FALSE)</f>
        <v>13</v>
      </c>
      <c r="D1157" s="25">
        <f>+SUMIFS(PROVEEDORES[Total],PROVEEDORES[PROVEEDOR],PROVEEDORES[[#This Row],[PROVEEDOR]],PROVEEDORES[FECHA DE PAGO],"")</f>
        <v>0</v>
      </c>
      <c r="E1157" s="25"/>
      <c r="F1157" s="56">
        <f>+VLOOKUP(PROVEEDORES[[#This Row],[PROVEEDOR]],
                       Terceros!$A:$F,
                       5,
                       FALSE)</f>
        <v>0</v>
      </c>
      <c r="G1157" s="289">
        <v>45275</v>
      </c>
      <c r="H1157" s="26" t="s">
        <v>422</v>
      </c>
      <c r="I1157" s="289">
        <v>45261</v>
      </c>
      <c r="J1157" s="35"/>
      <c r="K1157" s="21">
        <v>777310</v>
      </c>
      <c r="L1157" s="21"/>
      <c r="M1157" s="22">
        <f>(PROVEEDORES[[#This Row],[SUBTOTAL]]-PROVEEDORES[[#This Row],[descuento sobre subtotal]])*VLOOKUP(PROVEEDORES[[#This Row],[PROVEEDOR]],TERCEROS_INFO[#All],3,FALSE)</f>
        <v>0</v>
      </c>
      <c r="N1157" s="23"/>
      <c r="O1157" s="22">
        <f>+PROVEEDORES[[#This Row],[Descuento sobre subtotal %]]*(PROVEEDORES[[#This Row],[SUBTOTAL]]-PROVEEDORES[[#This Row],[descuento sobre subtotal]])</f>
        <v>0</v>
      </c>
      <c r="P1157" s="72">
        <f>+IF(PROVEEDORES[[#This Row],[SUBTOTAL]]&lt;PROVEEDORES[[#This Row],[base retencion]],0,PROVEEDORES[[#This Row],[retención aplicada]])</f>
        <v>0</v>
      </c>
      <c r="Q1157" s="22">
        <f>+PROVEEDORES[[#This Row],[Rete Fuente %]]*(PROVEEDORES[[#This Row],[SUBTOTAL]]-PROVEEDORES[[#This Row],[descuento sobre subtotal]])</f>
        <v>0</v>
      </c>
      <c r="R1157" s="21">
        <f>+PROVEEDORES[[#This Row],[SUBTOTAL]]+PROVEEDORES[[#This Row],[IVA 19%]]-PROVEEDORES[[#This Row],[descuento sobre subtotal]]-PROVEEDORES[[#This Row],[Descuento sobre subtotal $2]]-PROVEEDORES[[#This Row],[Rete Fuente $]]</f>
        <v>777310</v>
      </c>
      <c r="S115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1">
        <f ca="1">IF(PROVEEDORES[[#This Row],[FECHA DE PAGO]]=0,TODAY()-PROVEEDORES[[#This Row],[FECHA DE FACTURACIÓN]]-PROVEEDORES[[#This Row],[PLAZO Días]],0)</f>
        <v>0</v>
      </c>
      <c r="U1157" s="97">
        <f>+VLOOKUP(PROVEEDORES[[#This Row],[PROVEEDOR]],Terceros!$A:$D,4,FALSE)</f>
        <v>0</v>
      </c>
      <c r="V1157" s="98">
        <f>+YEAR(PROVEEDORES[[#This Row],[FECHA DE FACTURACIÓN]])</f>
        <v>2023</v>
      </c>
      <c r="W1157" s="98">
        <f>+MATCH(PROVEEDORES[[#This Row],[año facturado]],Retenciones!$1:$1,0)</f>
        <v>6</v>
      </c>
      <c r="X1157" s="99">
        <f>+VLOOKUP(PROVEEDORES[[#This Row],[ID RETENCION]],Retenciones!$A$1:$O$25,PROVEEDORES[[#This Row],[indicador de columna]],FALSE)</f>
        <v>0</v>
      </c>
      <c r="Y1157" s="100">
        <f>+VLOOKUP(PROVEEDORES[[#This Row],[ID RETENCION]],Retenciones!$A$1:$O$25,2,FALSE)</f>
        <v>0</v>
      </c>
      <c r="Z1157" s="103" t="b">
        <f>OR(COUNTIF(PROVEEDORES[[#This Row],[PROVEEDOR]],"*"&amp;'Palabra no opera'!$A$2&amp;"*"))</f>
        <v>1</v>
      </c>
    </row>
    <row r="1158" spans="1:26" ht="22.35" customHeight="1" x14ac:dyDescent="0.25">
      <c r="A1158" s="65" t="str">
        <f>+IF(PROVEEDORES[[#This Row],[FECHA DE PAGO]]=PROVEEDORES[[#This Row],[FECHA DE FACTURACIÓN]],"DE CONTADO","CRÉDITO")</f>
        <v>CRÉDITO</v>
      </c>
      <c r="B1158" s="38" t="b">
        <f>+IF((PROVEEDORES[[#This Row],[FECHA DE PAGO]]-PROVEEDORES[[#This Row],[FECHA DE FACTURACIÓN]])&gt;PROVEEDORES[[#This Row],[PLAZO Días]],"PAGO VENCIDO")</f>
        <v>0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6" t="str">
        <f>+VLOOKUP(PROVEEDORES[[#This Row],[PROVEEDOR]],
                       Terceros!$A:$F,
                       5,
                       FALSE)</f>
        <v>PSE</v>
      </c>
      <c r="G1158" s="289">
        <v>45293</v>
      </c>
      <c r="H1158" s="26" t="s">
        <v>423</v>
      </c>
      <c r="I1158" s="289">
        <v>45292</v>
      </c>
      <c r="J1158" s="35"/>
      <c r="K1158" s="21">
        <v>611127</v>
      </c>
      <c r="L1158" s="21"/>
      <c r="M1158" s="22">
        <f>(PROVEEDORES[[#This Row],[SUBTOTAL]]-PROVEEDORES[[#This Row],[descuento sobre subtotal]])*VLOOKUP(PROVEEDORES[[#This Row],[PROVEEDOR]],TERCEROS_INFO[#All],3,FALSE)</f>
        <v>0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72">
        <f>+IF(PROVEEDORES[[#This Row],[SUBTOTAL]]&lt;PROVEEDORES[[#This Row],[base retencion]],0,PROVEEDORES[[#This Row],[retención aplicada]])</f>
        <v>0</v>
      </c>
      <c r="Q1158" s="22">
        <f>+PROVEEDORES[[#This Row],[Rete Fuente %]]*(PROVEEDORES[[#This Row],[SUBTOTAL]]-PROVEEDORES[[#This Row],[descuento sobre subtotal]])</f>
        <v>0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611127</v>
      </c>
      <c r="S115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1">
        <f ca="1">IF(PROVEEDORES[[#This Row],[FECHA DE PAGO]]=0,TODAY()-PROVEEDORES[[#This Row],[FECHA DE FACTURACIÓN]]-PROVEEDORES[[#This Row],[PLAZO Días]],0)</f>
        <v>0</v>
      </c>
      <c r="U1158" s="97">
        <f>+VLOOKUP(PROVEEDORES[[#This Row],[PROVEEDOR]],Terceros!$A:$D,4,FALSE)</f>
        <v>0</v>
      </c>
      <c r="V1158" s="98">
        <f>+YEAR(PROVEEDORES[[#This Row],[FECHA DE FACTURACIÓN]])</f>
        <v>2024</v>
      </c>
      <c r="W1158" s="98">
        <f>+MATCH(PROVEEDORES[[#This Row],[año facturado]],Retenciones!$1:$1,0)</f>
        <v>7</v>
      </c>
      <c r="X1158" s="99">
        <f>+VLOOKUP(PROVEEDORES[[#This Row],[ID RETENCION]],Retenciones!$A$1:$O$25,PROVEEDORES[[#This Row],[indicador de columna]],FALSE)</f>
        <v>0</v>
      </c>
      <c r="Y1158" s="100">
        <f>+VLOOKUP(PROVEEDORES[[#This Row],[ID RETENCION]],Retenciones!$A$1:$O$25,2,FALSE)</f>
        <v>0</v>
      </c>
      <c r="Z1158" s="103" t="b">
        <f>OR(COUNTIF(PROVEEDORES[[#This Row],[PROVEEDOR]],"*"&amp;'Palabra no opera'!$A$2&amp;"*"))</f>
        <v>1</v>
      </c>
    </row>
    <row r="1159" spans="1:26" ht="22.35" customHeight="1" x14ac:dyDescent="0.25">
      <c r="A1159" s="65" t="str">
        <f>+IF(PROVEEDORES[[#This Row],[FECHA DE PAGO]]=PROVEEDORES[[#This Row],[FECHA DE FACTURACIÓN]],"DE CONTADO","CRÉDITO")</f>
        <v>CRÉDITO</v>
      </c>
      <c r="B1159" s="38" t="str">
        <f>+IF((PROVEEDORES[[#This Row],[FECHA DE PAGO]]-PROVEEDORES[[#This Row],[FECHA DE FACTURACIÓN]])&gt;PROVEEDORES[[#This Row],[PLAZO Días]],"PAGO VENCIDO")</f>
        <v>PAGO VENCIDO</v>
      </c>
      <c r="C1159" s="20">
        <f>+VLOOKUP(PROVEEDORES[[#This Row],[PROVEEDOR]],TERCEROS_INFO[#All],2,FALSE)</f>
        <v>13</v>
      </c>
      <c r="D1159" s="25">
        <f>+SUMIFS(PROVEEDORES[Total],PROVEEDORES[PROVEEDOR],PROVEEDORES[[#This Row],[PROVEEDOR]],PROVEEDORES[FECHA DE PAGO],"")</f>
        <v>0</v>
      </c>
      <c r="E1159" s="25"/>
      <c r="F1159" s="56">
        <f>+VLOOKUP(PROVEEDORES[[#This Row],[PROVEEDOR]],
                       Terceros!$A:$F,
                       5,
                       FALSE)</f>
        <v>0</v>
      </c>
      <c r="G1159" s="289">
        <v>45307</v>
      </c>
      <c r="H1159" s="26" t="s">
        <v>422</v>
      </c>
      <c r="I1159" s="289">
        <v>45292</v>
      </c>
      <c r="J1159" s="35"/>
      <c r="K1159" s="21">
        <v>777310</v>
      </c>
      <c r="L1159" s="21"/>
      <c r="M1159" s="22">
        <f>(PROVEEDORES[[#This Row],[SUBTOTAL]]-PROVEEDORES[[#This Row],[descuento sobre subtotal]])*VLOOKUP(PROVEEDORES[[#This Row],[PROVEEDOR]],TERCEROS_INFO[#All],3,FALSE)</f>
        <v>0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72">
        <f>+IF(PROVEEDORES[[#This Row],[SUBTOTAL]]&lt;PROVEEDORES[[#This Row],[base retencion]],0,PROVEEDORES[[#This Row],[retención aplicada]])</f>
        <v>0</v>
      </c>
      <c r="Q1159" s="22">
        <f>+PROVEEDORES[[#This Row],[Rete Fuente %]]*(PROVEEDORES[[#This Row],[SUBTOTAL]]-PROVEEDORES[[#This Row],[descuento sobre subtotal]])</f>
        <v>0</v>
      </c>
      <c r="R1159" s="21">
        <f>+PROVEEDORES[[#This Row],[SUBTOTAL]]+PROVEEDORES[[#This Row],[IVA 19%]]-PROVEEDORES[[#This Row],[descuento sobre subtotal]]-PROVEEDORES[[#This Row],[Descuento sobre subtotal $2]]-PROVEEDORES[[#This Row],[Rete Fuente $]]</f>
        <v>777310</v>
      </c>
      <c r="S115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1">
        <f ca="1">IF(PROVEEDORES[[#This Row],[FECHA DE PAGO]]=0,TODAY()-PROVEEDORES[[#This Row],[FECHA DE FACTURACIÓN]]-PROVEEDORES[[#This Row],[PLAZO Días]],0)</f>
        <v>0</v>
      </c>
      <c r="U1159" s="97">
        <f>+VLOOKUP(PROVEEDORES[[#This Row],[PROVEEDOR]],Terceros!$A:$D,4,FALSE)</f>
        <v>0</v>
      </c>
      <c r="V1159" s="98">
        <f>+YEAR(PROVEEDORES[[#This Row],[FECHA DE FACTURACIÓN]])</f>
        <v>2024</v>
      </c>
      <c r="W1159" s="98">
        <f>+MATCH(PROVEEDORES[[#This Row],[año facturado]],Retenciones!$1:$1,0)</f>
        <v>7</v>
      </c>
      <c r="X1159" s="99">
        <f>+VLOOKUP(PROVEEDORES[[#This Row],[ID RETENCION]],Retenciones!$A$1:$O$25,PROVEEDORES[[#This Row],[indicador de columna]],FALSE)</f>
        <v>0</v>
      </c>
      <c r="Y1159" s="100">
        <f>+VLOOKUP(PROVEEDORES[[#This Row],[ID RETENCION]],Retenciones!$A$1:$O$25,2,FALSE)</f>
        <v>0</v>
      </c>
      <c r="Z1159" s="103" t="b">
        <f>OR(COUNTIF(PROVEEDORES[[#This Row],[PROVEEDOR]],"*"&amp;'Palabra no opera'!$A$2&amp;"*"))</f>
        <v>1</v>
      </c>
    </row>
    <row r="1160" spans="1:26" ht="22.35" customHeight="1" x14ac:dyDescent="0.25">
      <c r="A1160" s="227" t="str">
        <f>+IF(PROVEEDORES[[#This Row],[FECHA DE PAGO]]=PROVEEDORES[[#This Row],[FECHA DE FACTURACIÓN]],"DE CONTADO","CRÉDITO")</f>
        <v>CRÉDITO</v>
      </c>
      <c r="B1160" s="38" t="b">
        <f>+IF((PROVEEDORES[[#This Row],[FECHA DE PAGO]]-PROVEEDORES[[#This Row],[FECHA DE FACTURACIÓN]])&gt;PROVEEDORES[[#This Row],[PLAZO Días]],"PAGO VENCIDO")</f>
        <v>0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0</v>
      </c>
      <c r="E1160" s="25"/>
      <c r="F1160" s="56" t="str">
        <f>+VLOOKUP(PROVEEDORES[[#This Row],[PROVEEDOR]],
                       Terceros!$A:$F,
                       5,
                       FALSE)</f>
        <v/>
      </c>
      <c r="G1160" s="289">
        <v>45155</v>
      </c>
      <c r="H1160" s="26" t="s">
        <v>23</v>
      </c>
      <c r="I1160" s="289">
        <v>45147</v>
      </c>
      <c r="J1160" s="35">
        <v>90105</v>
      </c>
      <c r="K1160" s="21">
        <v>50292956.899999999</v>
      </c>
      <c r="L1160" s="21"/>
      <c r="M1160" s="22">
        <f>(PROVEEDORES[[#This Row],[SUBTOTAL]]-PROVEEDORES[[#This Row],[descuento sobre subtotal]])*VLOOKUP(PROVEEDORES[[#This Row],[PROVEEDOR]],TERCEROS_INFO[#All],3,FALSE)</f>
        <v>0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72">
        <f>+IF(PROVEEDORES[[#This Row],[SUBTOTAL]]&lt;PROVEEDORES[[#This Row],[base retencion]],0,PROVEEDORES[[#This Row],[retención aplicada]])</f>
        <v>0</v>
      </c>
      <c r="Q1160" s="22">
        <f>+PROVEEDORES[[#This Row],[Rete Fuente %]]*(PROVEEDORES[[#This Row],[SUBTOTAL]]-PROVEEDORES[[#This Row],[descuento sobre subtotal]])</f>
        <v>0</v>
      </c>
      <c r="R1160" s="21">
        <f>+PROVEEDORES[[#This Row],[SUBTOTAL]]+PROVEEDORES[[#This Row],[IVA 19%]]-PROVEEDORES[[#This Row],[descuento sobre subtotal]]-PROVEEDORES[[#This Row],[Descuento sobre subtotal $2]]-PROVEEDORES[[#This Row],[Rete Fuente $]]</f>
        <v>50292956.899999999</v>
      </c>
      <c r="S1160" s="22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1">
        <f ca="1">IF(PROVEEDORES[[#This Row],[FECHA DE PAGO]]=0,TODAY()-PROVEEDORES[[#This Row],[FECHA DE FACTURACIÓN]]-PROVEEDORES[[#This Row],[PLAZO Días]],0)</f>
        <v>0</v>
      </c>
      <c r="U1160" s="97">
        <f>+VLOOKUP(PROVEEDORES[[#This Row],[PROVEEDOR]],Terceros!$A:$D,4,FALSE)</f>
        <v>0</v>
      </c>
      <c r="V1160" s="98">
        <f>+YEAR(PROVEEDORES[[#This Row],[FECHA DE FACTURACIÓN]])</f>
        <v>2023</v>
      </c>
      <c r="W1160" s="98">
        <f>+MATCH(PROVEEDORES[[#This Row],[año facturado]],Retenciones!$1:$1,0)</f>
        <v>6</v>
      </c>
      <c r="X1160" s="99">
        <f>+VLOOKUP(PROVEEDORES[[#This Row],[ID RETENCION]],Retenciones!$A$1:$O$25,PROVEEDORES[[#This Row],[indicador de columna]],FALSE)</f>
        <v>0</v>
      </c>
      <c r="Y1160" s="100">
        <f>+VLOOKUP(PROVEEDORES[[#This Row],[ID RETENCION]],Retenciones!$A$1:$O$25,2,FALSE)</f>
        <v>0</v>
      </c>
      <c r="Z1160" s="103" t="b">
        <f>OR(COUNTIF(PROVEEDORES[[#This Row],[PROVEEDOR]],"*"&amp;'Palabra no opera'!$A$2&amp;"*"))</f>
        <v>0</v>
      </c>
    </row>
    <row r="1161" spans="1:26" ht="22.35" customHeight="1" x14ac:dyDescent="0.25">
      <c r="A1161" s="153" t="str">
        <f>+IF(PROVEEDORES[[#This Row],[FECHA DE PAGO]]=PROVEEDORES[[#This Row],[FECHA DE FACTURACIÓN]],"DE CONTADO","CRÉDITO")</f>
        <v>CRÉDITO</v>
      </c>
      <c r="B1161" s="38" t="str">
        <f>+IF((PROVEEDORES[[#This Row],[FECHA DE PAGO]]-PROVEEDORES[[#This Row],[FECHA DE FACTURACIÓN]])&gt;PROVEEDORES[[#This Row],[PLAZO Días]],"PAGO VENCIDO")</f>
        <v>PAGO VENCIDO</v>
      </c>
      <c r="C1161" s="20">
        <f>+VLOOKUP(PROVEEDORES[[#This Row],[PROVEEDOR]],TERCEROS_INFO[#All],2,FALSE)</f>
        <v>45</v>
      </c>
      <c r="D1161" s="25">
        <f>+SUMIFS(PROVEEDORES[Total],PROVEEDORES[PROVEEDOR],PROVEEDORES[[#This Row],[PROVEEDOR]],PROVEEDORES[FECHA DE PAGO],"")</f>
        <v>13678360</v>
      </c>
      <c r="E1161" s="25"/>
      <c r="F116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1" s="289">
        <v>45019</v>
      </c>
      <c r="H1161" s="26" t="s">
        <v>10</v>
      </c>
      <c r="I1161" s="289">
        <v>44965</v>
      </c>
      <c r="J1161" s="35" t="s">
        <v>611</v>
      </c>
      <c r="K1161" s="21">
        <v>768000</v>
      </c>
      <c r="L1161" s="21"/>
      <c r="M1161" s="22">
        <f>(PROVEEDORES[[#This Row],[SUBTOTAL]]-PROVEEDORES[[#This Row],[descuento sobre subtotal]])*VLOOKUP(PROVEEDORES[[#This Row],[PROVEEDOR]],TERCEROS_INFO[#All],3,FALSE)</f>
        <v>145920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72">
        <f>+IF(PROVEEDORES[[#This Row],[SUBTOTAL]]&lt;PROVEEDORES[[#This Row],[base retencion]],0,PROVEEDORES[[#This Row],[retención aplicada]])</f>
        <v>0</v>
      </c>
      <c r="Q1161" s="22">
        <f>+PROVEEDORES[[#This Row],[Rete Fuente %]]*(PROVEEDORES[[#This Row],[SUBTOTAL]]-PROVEEDORES[[#This Row],[descuento sobre subtotal]])</f>
        <v>0</v>
      </c>
      <c r="R1161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1161" s="1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1">
        <f ca="1">IF(PROVEEDORES[[#This Row],[FECHA DE PAGO]]=0,TODAY()-PROVEEDORES[[#This Row],[FECHA DE FACTURACIÓN]]-PROVEEDORES[[#This Row],[PLAZO Días]],0)</f>
        <v>0</v>
      </c>
      <c r="U1161" s="97" t="str">
        <f>+VLOOKUP(PROVEEDORES[[#This Row],[PROVEEDOR]],Terceros!$A:$D,4,FALSE)</f>
        <v>2,5% con base</v>
      </c>
      <c r="V1161" s="98">
        <f>+YEAR(PROVEEDORES[[#This Row],[FECHA DE FACTURACIÓN]])</f>
        <v>2023</v>
      </c>
      <c r="W1161" s="98">
        <f>+MATCH(PROVEEDORES[[#This Row],[año facturado]],Retenciones!$1:$1,0)</f>
        <v>6</v>
      </c>
      <c r="X1161" s="99">
        <f>+VLOOKUP(PROVEEDORES[[#This Row],[ID RETENCION]],Retenciones!$A$1:$O$25,PROVEEDORES[[#This Row],[indicador de columna]],FALSE)</f>
        <v>1145000</v>
      </c>
      <c r="Y1161" s="100">
        <f>+VLOOKUP(PROVEEDORES[[#This Row],[ID RETENCION]],Retenciones!$A$1:$O$25,2,FALSE)</f>
        <v>2.5000000000000001E-2</v>
      </c>
      <c r="Z1161" s="103" t="b">
        <f>OR(COUNTIF(PROVEEDORES[[#This Row],[PROVEEDOR]],"*"&amp;'Palabra no opera'!$A$2&amp;"*"))</f>
        <v>0</v>
      </c>
    </row>
    <row r="1162" spans="1:26" ht="22.35" customHeight="1" x14ac:dyDescent="0.25">
      <c r="A1162" s="65" t="str">
        <f>+IF(PROVEEDORES[[#This Row],[FECHA DE PAGO]]=PROVEEDORES[[#This Row],[FECHA DE FACTURACIÓN]],"DE CONTADO","CRÉDITO")</f>
        <v>CRÉDITO</v>
      </c>
      <c r="B1162" s="38" t="str">
        <f>+IF((PROVEEDORES[[#This Row],[FECHA DE PAGO]]-PROVEEDORES[[#This Row],[FECHA DE FACTURACIÓN]])&gt;PROVEEDORES[[#This Row],[PLAZO Días]],"PAGO VENCIDO")</f>
        <v>PAGO VENCIDO</v>
      </c>
      <c r="C1162" s="20">
        <f>+VLOOKUP(PROVEEDORES[[#This Row],[PROVEEDOR]],TERCEROS_INFO[#All],2,FALSE)</f>
        <v>45</v>
      </c>
      <c r="D1162" s="25">
        <f>+SUMIFS(PROVEEDORES[Total],PROVEEDORES[PROVEEDOR],PROVEEDORES[[#This Row],[PROVEEDOR]],PROVEEDORES[FECHA DE PAGO],"")</f>
        <v>13678360</v>
      </c>
      <c r="E1162" s="25"/>
      <c r="F116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2" s="289">
        <v>45082</v>
      </c>
      <c r="H1162" s="26" t="s">
        <v>10</v>
      </c>
      <c r="I1162" s="289">
        <v>45014</v>
      </c>
      <c r="J1162" s="35" t="s">
        <v>705</v>
      </c>
      <c r="K1162" s="21">
        <v>2020000</v>
      </c>
      <c r="L1162" s="21"/>
      <c r="M1162" s="22">
        <f>(PROVEEDORES[[#This Row],[SUBTOTAL]]-PROVEEDORES[[#This Row],[descuento sobre subtotal]])*VLOOKUP(PROVEEDORES[[#This Row],[PROVEEDOR]],TERCEROS_INFO[#All],3,FALSE)</f>
        <v>383800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72">
        <f>+IF(PROVEEDORES[[#This Row],[SUBTOTAL]]&lt;PROVEEDORES[[#This Row],[base retencion]],0,PROVEEDORES[[#This Row],[retención aplicada]])</f>
        <v>2.5000000000000001E-2</v>
      </c>
      <c r="Q1162" s="22">
        <f>+PROVEEDORES[[#This Row],[Rete Fuente %]]*(PROVEEDORES[[#This Row],[SUBTOTAL]]-PROVEEDORES[[#This Row],[descuento sobre subtotal]])</f>
        <v>50500</v>
      </c>
      <c r="R1162" s="21">
        <f>+PROVEEDORES[[#This Row],[SUBTOTAL]]+PROVEEDORES[[#This Row],[IVA 19%]]-PROVEEDORES[[#This Row],[descuento sobre subtotal]]-PROVEEDORES[[#This Row],[Descuento sobre subtotal $2]]-PROVEEDORES[[#This Row],[Rete Fuente $]]</f>
        <v>2353300</v>
      </c>
      <c r="S116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1">
        <f ca="1">IF(PROVEEDORES[[#This Row],[FECHA DE PAGO]]=0,TODAY()-PROVEEDORES[[#This Row],[FECHA DE FACTURACIÓN]]-PROVEEDORES[[#This Row],[PLAZO Días]],0)</f>
        <v>0</v>
      </c>
      <c r="U1162" s="97" t="str">
        <f>+VLOOKUP(PROVEEDORES[[#This Row],[PROVEEDOR]],Terceros!$A:$D,4,FALSE)</f>
        <v>2,5% con base</v>
      </c>
      <c r="V1162" s="98">
        <f>+YEAR(PROVEEDORES[[#This Row],[FECHA DE FACTURACIÓN]])</f>
        <v>2023</v>
      </c>
      <c r="W1162" s="98">
        <f>+MATCH(PROVEEDORES[[#This Row],[año facturado]],Retenciones!$1:$1,0)</f>
        <v>6</v>
      </c>
      <c r="X1162" s="99">
        <f>+VLOOKUP(PROVEEDORES[[#This Row],[ID RETENCION]],Retenciones!$A$1:$O$25,PROVEEDORES[[#This Row],[indicador de columna]],FALSE)</f>
        <v>1145000</v>
      </c>
      <c r="Y1162" s="100">
        <f>+VLOOKUP(PROVEEDORES[[#This Row],[ID RETENCION]],Retenciones!$A$1:$O$25,2,FALSE)</f>
        <v>2.5000000000000001E-2</v>
      </c>
      <c r="Z1162" s="103" t="b">
        <f>OR(COUNTIF(PROVEEDORES[[#This Row],[PROVEEDOR]],"*"&amp;'Palabra no opera'!$A$2&amp;"*"))</f>
        <v>0</v>
      </c>
    </row>
    <row r="1163" spans="1:26" ht="22.35" customHeight="1" x14ac:dyDescent="0.25">
      <c r="A1163" s="65" t="str">
        <f>+IF(PROVEEDORES[[#This Row],[FECHA DE PAGO]]=PROVEEDORES[[#This Row],[FECHA DE FACTURACIÓN]],"DE CONTADO","CRÉDITO")</f>
        <v>CRÉDITO</v>
      </c>
      <c r="B1163" s="38" t="str">
        <f>+IF((PROVEEDORES[[#This Row],[FECHA DE PAGO]]-PROVEEDORES[[#This Row],[FECHA DE FACTURACIÓN]])&gt;PROVEEDORES[[#This Row],[PLAZO Días]],"PAGO VENCIDO")</f>
        <v>PAGO VENCIDO</v>
      </c>
      <c r="C1163" s="20">
        <f>+VLOOKUP(PROVEEDORES[[#This Row],[PROVEEDOR]],TERCEROS_INFO[#All],2,FALSE)</f>
        <v>45</v>
      </c>
      <c r="D1163" s="25">
        <f>+SUMIFS(PROVEEDORES[Total],PROVEEDORES[PROVEEDOR],PROVEEDORES[[#This Row],[PROVEEDOR]],PROVEEDORES[FECHA DE PAGO],"")</f>
        <v>13678360</v>
      </c>
      <c r="E1163" s="25"/>
      <c r="F116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3" s="289">
        <v>45082</v>
      </c>
      <c r="H1163" s="26" t="s">
        <v>10</v>
      </c>
      <c r="I1163" s="289">
        <v>45016</v>
      </c>
      <c r="J1163" s="35" t="s">
        <v>706</v>
      </c>
      <c r="K1163" s="21">
        <v>630000</v>
      </c>
      <c r="L1163" s="21"/>
      <c r="M1163" s="22">
        <f>(PROVEEDORES[[#This Row],[SUBTOTAL]]-PROVEEDORES[[#This Row],[descuento sobre subtotal]])*VLOOKUP(PROVEEDORES[[#This Row],[PROVEEDOR]],TERCEROS_INFO[#All],3,FALSE)</f>
        <v>119700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72">
        <f>+IF(PROVEEDORES[[#This Row],[SUBTOTAL]]&lt;PROVEEDORES[[#This Row],[base retencion]],0,PROVEEDORES[[#This Row],[retención aplicada]])</f>
        <v>0</v>
      </c>
      <c r="Q1163" s="22">
        <f>+PROVEEDORES[[#This Row],[Rete Fuente %]]*(PROVEEDORES[[#This Row],[SUBTOTAL]]-PROVEEDORES[[#This Row],[descuento sobre subtotal]])</f>
        <v>0</v>
      </c>
      <c r="R1163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116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1">
        <f ca="1">IF(PROVEEDORES[[#This Row],[FECHA DE PAGO]]=0,TODAY()-PROVEEDORES[[#This Row],[FECHA DE FACTURACIÓN]]-PROVEEDORES[[#This Row],[PLAZO Días]],0)</f>
        <v>0</v>
      </c>
      <c r="U1163" s="97" t="str">
        <f>+VLOOKUP(PROVEEDORES[[#This Row],[PROVEEDOR]],Terceros!$A:$D,4,FALSE)</f>
        <v>2,5% con base</v>
      </c>
      <c r="V1163" s="98">
        <f>+YEAR(PROVEEDORES[[#This Row],[FECHA DE FACTURACIÓN]])</f>
        <v>2023</v>
      </c>
      <c r="W1163" s="98">
        <f>+MATCH(PROVEEDORES[[#This Row],[año facturado]],Retenciones!$1:$1,0)</f>
        <v>6</v>
      </c>
      <c r="X1163" s="99">
        <f>+VLOOKUP(PROVEEDORES[[#This Row],[ID RETENCION]],Retenciones!$A$1:$O$25,PROVEEDORES[[#This Row],[indicador de columna]],FALSE)</f>
        <v>1145000</v>
      </c>
      <c r="Y1163" s="100">
        <f>+VLOOKUP(PROVEEDORES[[#This Row],[ID RETENCION]],Retenciones!$A$1:$O$25,2,FALSE)</f>
        <v>2.5000000000000001E-2</v>
      </c>
      <c r="Z1163" s="103" t="b">
        <f>OR(COUNTIF(PROVEEDORES[[#This Row],[PROVEEDOR]],"*"&amp;'Palabra no opera'!$A$2&amp;"*"))</f>
        <v>0</v>
      </c>
    </row>
    <row r="1164" spans="1:26" ht="22.35" customHeight="1" x14ac:dyDescent="0.25">
      <c r="A1164" s="65" t="str">
        <f>+IF(PROVEEDORES[[#This Row],[FECHA DE PAGO]]=PROVEEDORES[[#This Row],[FECHA DE FACTURACIÓN]],"DE CONTADO","CRÉDITO")</f>
        <v>CRÉDITO</v>
      </c>
      <c r="B1164" s="38" t="str">
        <f>+IF((PROVEEDORES[[#This Row],[FECHA DE PAGO]]-PROVEEDORES[[#This Row],[FECHA DE FACTURACIÓN]])&gt;PROVEEDORES[[#This Row],[PLAZO Días]],"PAGO VENCIDO")</f>
        <v>PAGO VENCIDO</v>
      </c>
      <c r="C1164" s="20">
        <f>+VLOOKUP(PROVEEDORES[[#This Row],[PROVEEDOR]],TERCEROS_INFO[#All],2,FALSE)</f>
        <v>45</v>
      </c>
      <c r="D1164" s="25">
        <f>+SUMIFS(PROVEEDORES[Total],PROVEEDORES[PROVEEDOR],PROVEEDORES[[#This Row],[PROVEEDOR]],PROVEEDORES[FECHA DE PAGO],"")</f>
        <v>13678360</v>
      </c>
      <c r="E1164" s="25"/>
      <c r="F116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4" s="289">
        <v>45082</v>
      </c>
      <c r="H1164" s="26" t="s">
        <v>10</v>
      </c>
      <c r="I1164" s="289">
        <v>45029</v>
      </c>
      <c r="J1164" s="35" t="s">
        <v>757</v>
      </c>
      <c r="K1164" s="21">
        <v>500000</v>
      </c>
      <c r="L1164" s="21"/>
      <c r="M1164" s="22">
        <f>(PROVEEDORES[[#This Row],[SUBTOTAL]]-PROVEEDORES[[#This Row],[descuento sobre subtotal]])*VLOOKUP(PROVEEDORES[[#This Row],[PROVEEDOR]],TERCEROS_INFO[#All],3,FALSE)</f>
        <v>95000</v>
      </c>
      <c r="N1164" s="23"/>
      <c r="O1164" s="22">
        <f>+PROVEEDORES[[#This Row],[Descuento sobre subtotal %]]*(PROVEEDORES[[#This Row],[SUBTOTAL]]-PROVEEDORES[[#This Row],[descuento sobre subtotal]])</f>
        <v>0</v>
      </c>
      <c r="P1164" s="72">
        <f>+IF(PROVEEDORES[[#This Row],[SUBTOTAL]]&lt;PROVEEDORES[[#This Row],[base retencion]],0,PROVEEDORES[[#This Row],[retención aplicada]])</f>
        <v>0</v>
      </c>
      <c r="Q1164" s="22">
        <f>+PROVEEDORES[[#This Row],[Rete Fuente %]]*(PROVEEDORES[[#This Row],[SUBTOTAL]]-PROVEEDORES[[#This Row],[descuento sobre subtotal]])</f>
        <v>0</v>
      </c>
      <c r="R1164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116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1">
        <f ca="1">IF(PROVEEDORES[[#This Row],[FECHA DE PAGO]]=0,TODAY()-PROVEEDORES[[#This Row],[FECHA DE FACTURACIÓN]]-PROVEEDORES[[#This Row],[PLAZO Días]],0)</f>
        <v>0</v>
      </c>
      <c r="U1164" s="97" t="str">
        <f>+VLOOKUP(PROVEEDORES[[#This Row],[PROVEEDOR]],Terceros!$A:$D,4,FALSE)</f>
        <v>2,5% con base</v>
      </c>
      <c r="V1164" s="98">
        <f>+YEAR(PROVEEDORES[[#This Row],[FECHA DE FACTURACIÓN]])</f>
        <v>2023</v>
      </c>
      <c r="W1164" s="98">
        <f>+MATCH(PROVEEDORES[[#This Row],[año facturado]],Retenciones!$1:$1,0)</f>
        <v>6</v>
      </c>
      <c r="X1164" s="99">
        <f>+VLOOKUP(PROVEEDORES[[#This Row],[ID RETENCION]],Retenciones!$A$1:$O$25,PROVEEDORES[[#This Row],[indicador de columna]],FALSE)</f>
        <v>1145000</v>
      </c>
      <c r="Y1164" s="100">
        <f>+VLOOKUP(PROVEEDORES[[#This Row],[ID RETENCION]],Retenciones!$A$1:$O$25,2,FALSE)</f>
        <v>2.5000000000000001E-2</v>
      </c>
      <c r="Z1164" s="103" t="b">
        <f>OR(COUNTIF(PROVEEDORES[[#This Row],[PROVEEDOR]],"*"&amp;'Palabra no opera'!$A$2&amp;"*"))</f>
        <v>0</v>
      </c>
    </row>
    <row r="1165" spans="1:26" ht="22.35" customHeight="1" x14ac:dyDescent="0.25">
      <c r="A1165" s="192" t="str">
        <f>+IF(PROVEEDORES[[#This Row],[FECHA DE PAGO]]=PROVEEDORES[[#This Row],[FECHA DE FACTURACIÓN]],"DE CONTADO","CRÉDITO")</f>
        <v>CRÉDITO</v>
      </c>
      <c r="B1165" s="38" t="str">
        <f>+IF((PROVEEDORES[[#This Row],[FECHA DE PAGO]]-PROVEEDORES[[#This Row],[FECHA DE FACTURACIÓN]])&gt;PROVEEDORES[[#This Row],[PLAZO Días]],"PAGO VENCIDO")</f>
        <v>PAGO VENCIDO</v>
      </c>
      <c r="C1165" s="20">
        <f>+VLOOKUP(PROVEEDORES[[#This Row],[PROVEEDOR]],TERCEROS_INFO[#All],2,FALSE)</f>
        <v>45</v>
      </c>
      <c r="D1165" s="25">
        <f>+SUMIFS(PROVEEDORES[Total],PROVEEDORES[PROVEEDOR],PROVEEDORES[[#This Row],[PROVEEDOR]],PROVEEDORES[FECHA DE PAGO],"")</f>
        <v>13678360</v>
      </c>
      <c r="E1165" s="25"/>
      <c r="F1165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5" s="289">
        <v>45082</v>
      </c>
      <c r="H1165" s="26" t="s">
        <v>10</v>
      </c>
      <c r="I1165" s="289">
        <v>45030</v>
      </c>
      <c r="J1165" s="35" t="s">
        <v>791</v>
      </c>
      <c r="K1165" s="21">
        <v>490000</v>
      </c>
      <c r="L1165" s="21"/>
      <c r="M1165" s="22">
        <f>(PROVEEDORES[[#This Row],[SUBTOTAL]]-PROVEEDORES[[#This Row],[descuento sobre subtotal]])*VLOOKUP(PROVEEDORES[[#This Row],[PROVEEDOR]],TERCEROS_INFO[#All],3,FALSE)</f>
        <v>93100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72">
        <f>+IF(PROVEEDORES[[#This Row],[SUBTOTAL]]&lt;PROVEEDORES[[#This Row],[base retencion]],0,PROVEEDORES[[#This Row],[retención aplicada]])</f>
        <v>0</v>
      </c>
      <c r="Q1165" s="22">
        <f>+PROVEEDORES[[#This Row],[Rete Fuente %]]*(PROVEEDORES[[#This Row],[SUBTOTAL]]-PROVEEDORES[[#This Row],[descuento sobre subtotal]])</f>
        <v>0</v>
      </c>
      <c r="R1165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116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1">
        <f ca="1">IF(PROVEEDORES[[#This Row],[FECHA DE PAGO]]=0,TODAY()-PROVEEDORES[[#This Row],[FECHA DE FACTURACIÓN]]-PROVEEDORES[[#This Row],[PLAZO Días]],0)</f>
        <v>0</v>
      </c>
      <c r="U1165" s="97" t="str">
        <f>+VLOOKUP(PROVEEDORES[[#This Row],[PROVEEDOR]],Terceros!$A:$D,4,FALSE)</f>
        <v>2,5% con base</v>
      </c>
      <c r="V1165" s="98">
        <f>+YEAR(PROVEEDORES[[#This Row],[FECHA DE FACTURACIÓN]])</f>
        <v>2023</v>
      </c>
      <c r="W1165" s="98">
        <f>+MATCH(PROVEEDORES[[#This Row],[año facturado]],Retenciones!$1:$1,0)</f>
        <v>6</v>
      </c>
      <c r="X1165" s="99">
        <f>+VLOOKUP(PROVEEDORES[[#This Row],[ID RETENCION]],Retenciones!$A$1:$O$25,PROVEEDORES[[#This Row],[indicador de columna]],FALSE)</f>
        <v>1145000</v>
      </c>
      <c r="Y1165" s="100">
        <f>+VLOOKUP(PROVEEDORES[[#This Row],[ID RETENCION]],Retenciones!$A$1:$O$25,2,FALSE)</f>
        <v>2.5000000000000001E-2</v>
      </c>
      <c r="Z1165" s="103" t="b">
        <f>OR(COUNTIF(PROVEEDORES[[#This Row],[PROVEEDOR]],"*"&amp;'Palabra no opera'!$A$2&amp;"*"))</f>
        <v>0</v>
      </c>
    </row>
    <row r="1166" spans="1:26" ht="22.35" customHeight="1" x14ac:dyDescent="0.25">
      <c r="A1166" s="192" t="str">
        <f>+IF(PROVEEDORES[[#This Row],[FECHA DE PAGO]]=PROVEEDORES[[#This Row],[FECHA DE FACTURACIÓN]],"DE CONTADO","CRÉDITO")</f>
        <v>CRÉDITO</v>
      </c>
      <c r="B1166" s="38" t="str">
        <f>+IF((PROVEEDORES[[#This Row],[FECHA DE PAGO]]-PROVEEDORES[[#This Row],[FECHA DE FACTURACIÓN]])&gt;PROVEEDORES[[#This Row],[PLAZO Días]],"PAGO VENCIDO")</f>
        <v>PAGO VENCIDO</v>
      </c>
      <c r="C1166" s="20">
        <f>+VLOOKUP(PROVEEDORES[[#This Row],[PROVEEDOR]],TERCEROS_INFO[#All],2,FALSE)</f>
        <v>45</v>
      </c>
      <c r="D1166" s="25">
        <f>+SUMIFS(PROVEEDORES[Total],PROVEEDORES[PROVEEDOR],PROVEEDORES[[#This Row],[PROVEEDOR]],PROVEEDORES[FECHA DE PAGO],"")</f>
        <v>13678360</v>
      </c>
      <c r="E1166" s="25"/>
      <c r="F116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6" s="289">
        <v>45103</v>
      </c>
      <c r="H1166" s="26" t="s">
        <v>10</v>
      </c>
      <c r="I1166" s="289">
        <v>45042</v>
      </c>
      <c r="J1166" s="35" t="s">
        <v>792</v>
      </c>
      <c r="K1166" s="21">
        <v>2179700</v>
      </c>
      <c r="L1166" s="21"/>
      <c r="M1166" s="22">
        <f>(PROVEEDORES[[#This Row],[SUBTOTAL]]-PROVEEDORES[[#This Row],[descuento sobre subtotal]])*VLOOKUP(PROVEEDORES[[#This Row],[PROVEEDOR]],TERCEROS_INFO[#All],3,FALSE)</f>
        <v>414143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72">
        <f>+IF(PROVEEDORES[[#This Row],[SUBTOTAL]]&lt;PROVEEDORES[[#This Row],[base retencion]],0,PROVEEDORES[[#This Row],[retención aplicada]])</f>
        <v>2.5000000000000001E-2</v>
      </c>
      <c r="Q1166" s="22">
        <f>+PROVEEDORES[[#This Row],[Rete Fuente %]]*(PROVEEDORES[[#This Row],[SUBTOTAL]]-PROVEEDORES[[#This Row],[descuento sobre subtotal]])</f>
        <v>54492.5</v>
      </c>
      <c r="R1166" s="21">
        <f>+PROVEEDORES[[#This Row],[SUBTOTAL]]+PROVEEDORES[[#This Row],[IVA 19%]]-PROVEEDORES[[#This Row],[descuento sobre subtotal]]-PROVEEDORES[[#This Row],[Descuento sobre subtotal $2]]-PROVEEDORES[[#This Row],[Rete Fuente $]]</f>
        <v>2539350.5</v>
      </c>
      <c r="S116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1">
        <f ca="1">IF(PROVEEDORES[[#This Row],[FECHA DE PAGO]]=0,TODAY()-PROVEEDORES[[#This Row],[FECHA DE FACTURACIÓN]]-PROVEEDORES[[#This Row],[PLAZO Días]],0)</f>
        <v>0</v>
      </c>
      <c r="U1166" s="97" t="str">
        <f>+VLOOKUP(PROVEEDORES[[#This Row],[PROVEEDOR]],Terceros!$A:$D,4,FALSE)</f>
        <v>2,5% con base</v>
      </c>
      <c r="V1166" s="98">
        <f>+YEAR(PROVEEDORES[[#This Row],[FECHA DE FACTURACIÓN]])</f>
        <v>2023</v>
      </c>
      <c r="W1166" s="98">
        <f>+MATCH(PROVEEDORES[[#This Row],[año facturado]],Retenciones!$1:$1,0)</f>
        <v>6</v>
      </c>
      <c r="X1166" s="99">
        <f>+VLOOKUP(PROVEEDORES[[#This Row],[ID RETENCION]],Retenciones!$A$1:$O$25,PROVEEDORES[[#This Row],[indicador de columna]],FALSE)</f>
        <v>1145000</v>
      </c>
      <c r="Y1166" s="100">
        <f>+VLOOKUP(PROVEEDORES[[#This Row],[ID RETENCION]],Retenciones!$A$1:$O$25,2,FALSE)</f>
        <v>2.5000000000000001E-2</v>
      </c>
      <c r="Z1166" s="103" t="b">
        <f>OR(COUNTIF(PROVEEDORES[[#This Row],[PROVEEDOR]],"*"&amp;'Palabra no opera'!$A$2&amp;"*"))</f>
        <v>0</v>
      </c>
    </row>
    <row r="1167" spans="1:26" ht="22.35" customHeight="1" x14ac:dyDescent="0.25">
      <c r="A1167" s="65" t="str">
        <f>+IF(PROVEEDORES[[#This Row],[FECHA DE PAGO]]=PROVEEDORES[[#This Row],[FECHA DE FACTURACIÓN]],"DE CONTADO","CRÉDITO")</f>
        <v>CRÉDITO</v>
      </c>
      <c r="B1167" s="38" t="str">
        <f>+IF((PROVEEDORES[[#This Row],[FECHA DE PAGO]]-PROVEEDORES[[#This Row],[FECHA DE FACTURACIÓN]])&gt;PROVEEDORES[[#This Row],[PLAZO Días]],"PAGO VENCIDO")</f>
        <v>PAGO VENCIDO</v>
      </c>
      <c r="C1167" s="20">
        <f>+VLOOKUP(PROVEEDORES[[#This Row],[PROVEEDOR]],TERCEROS_INFO[#All],2,FALSE)</f>
        <v>45</v>
      </c>
      <c r="D1167" s="25">
        <f>+SUMIFS(PROVEEDORES[Total],PROVEEDORES[PROVEEDOR],PROVEEDORES[[#This Row],[PROVEEDOR]],PROVEEDORES[FECHA DE PAGO],"")</f>
        <v>13678360</v>
      </c>
      <c r="E1167" s="25"/>
      <c r="F116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7" s="289">
        <v>45132</v>
      </c>
      <c r="H1167" s="26" t="s">
        <v>10</v>
      </c>
      <c r="I1167" s="289">
        <v>45085</v>
      </c>
      <c r="J1167" s="35" t="s">
        <v>874</v>
      </c>
      <c r="K1167" s="21">
        <v>1265000</v>
      </c>
      <c r="L1167" s="21"/>
      <c r="M1167" s="22">
        <f>(PROVEEDORES[[#This Row],[SUBTOTAL]]-PROVEEDORES[[#This Row],[descuento sobre subtotal]])*VLOOKUP(PROVEEDORES[[#This Row],[PROVEEDOR]],TERCEROS_INFO[#All],3,FALSE)</f>
        <v>240350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72">
        <f>+IF(PROVEEDORES[[#This Row],[SUBTOTAL]]&lt;PROVEEDORES[[#This Row],[base retencion]],0,PROVEEDORES[[#This Row],[retención aplicada]])</f>
        <v>2.5000000000000001E-2</v>
      </c>
      <c r="Q1167" s="22">
        <f>+PROVEEDORES[[#This Row],[Rete Fuente %]]*(PROVEEDORES[[#This Row],[SUBTOTAL]]-PROVEEDORES[[#This Row],[descuento sobre subtotal]])</f>
        <v>31625</v>
      </c>
      <c r="R1167" s="21">
        <f>+PROVEEDORES[[#This Row],[SUBTOTAL]]+PROVEEDORES[[#This Row],[IVA 19%]]-PROVEEDORES[[#This Row],[descuento sobre subtotal]]-PROVEEDORES[[#This Row],[Descuento sobre subtotal $2]]-PROVEEDORES[[#This Row],[Rete Fuente $]]</f>
        <v>1473725</v>
      </c>
      <c r="S116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1">
        <f ca="1">IF(PROVEEDORES[[#This Row],[FECHA DE PAGO]]=0,TODAY()-PROVEEDORES[[#This Row],[FECHA DE FACTURACIÓN]]-PROVEEDORES[[#This Row],[PLAZO Días]],0)</f>
        <v>0</v>
      </c>
      <c r="U1167" s="97" t="str">
        <f>+VLOOKUP(PROVEEDORES[[#This Row],[PROVEEDOR]],Terceros!$A:$D,4,FALSE)</f>
        <v>2,5% con base</v>
      </c>
      <c r="V1167" s="98">
        <f>+YEAR(PROVEEDORES[[#This Row],[FECHA DE FACTURACIÓN]])</f>
        <v>2023</v>
      </c>
      <c r="W1167" s="98">
        <f>+MATCH(PROVEEDORES[[#This Row],[año facturado]],Retenciones!$1:$1,0)</f>
        <v>6</v>
      </c>
      <c r="X1167" s="99">
        <f>+VLOOKUP(PROVEEDORES[[#This Row],[ID RETENCION]],Retenciones!$A$1:$O$25,PROVEEDORES[[#This Row],[indicador de columna]],FALSE)</f>
        <v>1145000</v>
      </c>
      <c r="Y1167" s="100">
        <f>+VLOOKUP(PROVEEDORES[[#This Row],[ID RETENCION]],Retenciones!$A$1:$O$25,2,FALSE)</f>
        <v>2.5000000000000001E-2</v>
      </c>
      <c r="Z1167" s="103" t="b">
        <f>OR(COUNTIF(PROVEEDORES[[#This Row],[PROVEEDOR]],"*"&amp;'Palabra no opera'!$A$2&amp;"*"))</f>
        <v>0</v>
      </c>
    </row>
    <row r="1168" spans="1:26" ht="22.35" customHeight="1" x14ac:dyDescent="0.25">
      <c r="A1168" s="65" t="str">
        <f>+IF(PROVEEDORES[[#This Row],[FECHA DE PAGO]]=PROVEEDORES[[#This Row],[FECHA DE FACTURACIÓN]],"DE CONTADO","CRÉDITO")</f>
        <v>CRÉDITO</v>
      </c>
      <c r="B1168" s="38" t="str">
        <f>+IF((PROVEEDORES[[#This Row],[FECHA DE PAGO]]-PROVEEDORES[[#This Row],[FECHA DE FACTURACIÓN]])&gt;PROVEEDORES[[#This Row],[PLAZO Días]],"PAGO VENCIDO")</f>
        <v>PAGO VENCIDO</v>
      </c>
      <c r="C1168" s="20">
        <f>+VLOOKUP(PROVEEDORES[[#This Row],[PROVEEDOR]],TERCEROS_INFO[#All],2,FALSE)</f>
        <v>45</v>
      </c>
      <c r="D1168" s="25">
        <f>+SUMIFS(PROVEEDORES[Total],PROVEEDORES[PROVEEDOR],PROVEEDORES[[#This Row],[PROVEEDOR]],PROVEEDORES[FECHA DE PAGO],"")</f>
        <v>13678360</v>
      </c>
      <c r="E1168" s="25"/>
      <c r="F116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8" s="289">
        <v>45175</v>
      </c>
      <c r="H1168" s="26" t="s">
        <v>10</v>
      </c>
      <c r="I1168" s="289">
        <v>45100</v>
      </c>
      <c r="J1168" s="35" t="s">
        <v>929</v>
      </c>
      <c r="K1168" s="21">
        <v>560000</v>
      </c>
      <c r="L1168" s="21"/>
      <c r="M1168" s="22">
        <f>(PROVEEDORES[[#This Row],[SUBTOTAL]]-PROVEEDORES[[#This Row],[descuento sobre subtotal]])*VLOOKUP(PROVEEDORES[[#This Row],[PROVEEDOR]],TERCEROS_INFO[#All],3,FALSE)</f>
        <v>106400</v>
      </c>
      <c r="N1168" s="23"/>
      <c r="O1168" s="22">
        <f>+PROVEEDORES[[#This Row],[Descuento sobre subtotal %]]*(PROVEEDORES[[#This Row],[SUBTOTAL]]-PROVEEDORES[[#This Row],[descuento sobre subtotal]])</f>
        <v>0</v>
      </c>
      <c r="P1168" s="72">
        <f>+IF(PROVEEDORES[[#This Row],[SUBTOTAL]]&lt;PROVEEDORES[[#This Row],[base retencion]],0,PROVEEDORES[[#This Row],[retención aplicada]])</f>
        <v>0</v>
      </c>
      <c r="Q1168" s="22">
        <f>+PROVEEDORES[[#This Row],[Rete Fuente %]]*(PROVEEDORES[[#This Row],[SUBTOTAL]]-PROVEEDORES[[#This Row],[descuento sobre subtotal]])</f>
        <v>0</v>
      </c>
      <c r="R1168" s="21">
        <f>+PROVEEDORES[[#This Row],[SUBTOTAL]]+PROVEEDORES[[#This Row],[IVA 19%]]-PROVEEDORES[[#This Row],[descuento sobre subtotal]]-PROVEEDORES[[#This Row],[Descuento sobre subtotal $2]]-PROVEEDORES[[#This Row],[Rete Fuente $]]</f>
        <v>666400</v>
      </c>
      <c r="S116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1">
        <f ca="1">IF(PROVEEDORES[[#This Row],[FECHA DE PAGO]]=0,TODAY()-PROVEEDORES[[#This Row],[FECHA DE FACTURACIÓN]]-PROVEEDORES[[#This Row],[PLAZO Días]],0)</f>
        <v>0</v>
      </c>
      <c r="U1168" s="97" t="str">
        <f>+VLOOKUP(PROVEEDORES[[#This Row],[PROVEEDOR]],Terceros!$A:$D,4,FALSE)</f>
        <v>2,5% con base</v>
      </c>
      <c r="V1168" s="98">
        <f>+YEAR(PROVEEDORES[[#This Row],[FECHA DE FACTURACIÓN]])</f>
        <v>2023</v>
      </c>
      <c r="W1168" s="98">
        <f>+MATCH(PROVEEDORES[[#This Row],[año facturado]],Retenciones!$1:$1,0)</f>
        <v>6</v>
      </c>
      <c r="X1168" s="99">
        <f>+VLOOKUP(PROVEEDORES[[#This Row],[ID RETENCION]],Retenciones!$A$1:$O$25,PROVEEDORES[[#This Row],[indicador de columna]],FALSE)</f>
        <v>1145000</v>
      </c>
      <c r="Y1168" s="100">
        <f>+VLOOKUP(PROVEEDORES[[#This Row],[ID RETENCION]],Retenciones!$A$1:$O$25,2,FALSE)</f>
        <v>2.5000000000000001E-2</v>
      </c>
      <c r="Z1168" s="103" t="b">
        <f>OR(COUNTIF(PROVEEDORES[[#This Row],[PROVEEDOR]],"*"&amp;'Palabra no opera'!$A$2&amp;"*"))</f>
        <v>0</v>
      </c>
    </row>
    <row r="1169" spans="1:26" ht="22.35" customHeight="1" x14ac:dyDescent="0.25">
      <c r="A1169" s="65" t="str">
        <f>+IF(PROVEEDORES[[#This Row],[FECHA DE PAGO]]=PROVEEDORES[[#This Row],[FECHA DE FACTURACIÓN]],"DE CONTADO","CRÉDITO")</f>
        <v>CRÉDITO</v>
      </c>
      <c r="B1169" s="38" t="str">
        <f>+IF((PROVEEDORES[[#This Row],[FECHA DE PAGO]]-PROVEEDORES[[#This Row],[FECHA DE FACTURACIÓN]])&gt;PROVEEDORES[[#This Row],[PLAZO Días]],"PAGO VENCIDO")</f>
        <v>PAGO VENCIDO</v>
      </c>
      <c r="C1169" s="20">
        <f>+VLOOKUP(PROVEEDORES[[#This Row],[PROVEEDOR]],TERCEROS_INFO[#All],2,FALSE)</f>
        <v>45</v>
      </c>
      <c r="D1169" s="25">
        <f>+SUMIFS(PROVEEDORES[Total],PROVEEDORES[PROVEEDOR],PROVEEDORES[[#This Row],[PROVEEDOR]],PROVEEDORES[FECHA DE PAGO],"")</f>
        <v>13678360</v>
      </c>
      <c r="E1169" s="25"/>
      <c r="F116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69" s="289">
        <v>45182</v>
      </c>
      <c r="H1169" s="26" t="s">
        <v>10</v>
      </c>
      <c r="I1169" s="289">
        <v>45107</v>
      </c>
      <c r="J1169" s="35" t="s">
        <v>969</v>
      </c>
      <c r="K1169" s="215">
        <v>3240000</v>
      </c>
      <c r="L1169" s="21"/>
      <c r="M1169" s="216">
        <f>(PROVEEDORES[[#This Row],[SUBTOTAL]]-PROVEEDORES[[#This Row],[descuento sobre subtotal]])*VLOOKUP(PROVEEDORES[[#This Row],[PROVEEDOR]],TERCEROS_INFO[#All],3,FALSE)</f>
        <v>615600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72">
        <f>+IF(PROVEEDORES[[#This Row],[SUBTOTAL]]&lt;PROVEEDORES[[#This Row],[base retencion]],0,PROVEEDORES[[#This Row],[retención aplicada]])</f>
        <v>2.5000000000000001E-2</v>
      </c>
      <c r="Q1169" s="22">
        <f>+PROVEEDORES[[#This Row],[Rete Fuente %]]*(PROVEEDORES[[#This Row],[SUBTOTAL]]-PROVEEDORES[[#This Row],[descuento sobre subtotal]])</f>
        <v>81000</v>
      </c>
      <c r="R1169" s="215">
        <f>+PROVEEDORES[[#This Row],[SUBTOTAL]]+PROVEEDORES[[#This Row],[IVA 19%]]-PROVEEDORES[[#This Row],[descuento sobre subtotal]]-PROVEEDORES[[#This Row],[Descuento sobre subtotal $2]]-PROVEEDORES[[#This Row],[Rete Fuente $]]</f>
        <v>3774600</v>
      </c>
      <c r="S116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1">
        <f ca="1">IF(PROVEEDORES[[#This Row],[FECHA DE PAGO]]=0,TODAY()-PROVEEDORES[[#This Row],[FECHA DE FACTURACIÓN]]-PROVEEDORES[[#This Row],[PLAZO Días]],0)</f>
        <v>0</v>
      </c>
      <c r="U1169" s="97" t="str">
        <f>+VLOOKUP(PROVEEDORES[[#This Row],[PROVEEDOR]],Terceros!$A:$D,4,FALSE)</f>
        <v>2,5% con base</v>
      </c>
      <c r="V1169" s="98">
        <f>+YEAR(PROVEEDORES[[#This Row],[FECHA DE FACTURACIÓN]])</f>
        <v>2023</v>
      </c>
      <c r="W1169" s="98">
        <f>+MATCH(PROVEEDORES[[#This Row],[año facturado]],Retenciones!$1:$1,0)</f>
        <v>6</v>
      </c>
      <c r="X1169" s="99">
        <f>+VLOOKUP(PROVEEDORES[[#This Row],[ID RETENCION]],Retenciones!$A$1:$O$25,PROVEEDORES[[#This Row],[indicador de columna]],FALSE)</f>
        <v>1145000</v>
      </c>
      <c r="Y1169" s="100">
        <f>+VLOOKUP(PROVEEDORES[[#This Row],[ID RETENCION]],Retenciones!$A$1:$O$25,2,FALSE)</f>
        <v>2.5000000000000001E-2</v>
      </c>
      <c r="Z1169" s="103" t="b">
        <f>OR(COUNTIF(PROVEEDORES[[#This Row],[PROVEEDOR]],"*"&amp;'Palabra no opera'!$A$2&amp;"*"))</f>
        <v>0</v>
      </c>
    </row>
    <row r="1170" spans="1:26" ht="22.35" customHeight="1" x14ac:dyDescent="0.25">
      <c r="A1170" s="213" t="str">
        <f>+IF(PROVEEDORES[[#This Row],[FECHA DE PAGO]]=PROVEEDORES[[#This Row],[FECHA DE FACTURACIÓN]],"DE CONTADO","CRÉDITO")</f>
        <v>CRÉDITO</v>
      </c>
      <c r="B1170" s="38" t="str">
        <f>+IF((PROVEEDORES[[#This Row],[FECHA DE PAGO]]-PROVEEDORES[[#This Row],[FECHA DE FACTURACIÓN]])&gt;PROVEEDORES[[#This Row],[PLAZO Días]],"PAGO VENCIDO")</f>
        <v>PAGO VENCIDO</v>
      </c>
      <c r="C1170" s="20">
        <f>+VLOOKUP(PROVEEDORES[[#This Row],[PROVEEDOR]],TERCEROS_INFO[#All],2,FALSE)</f>
        <v>45</v>
      </c>
      <c r="D1170" s="25">
        <f>+SUMIFS(PROVEEDORES[Total],PROVEEDORES[PROVEEDOR],PROVEEDORES[[#This Row],[PROVEEDOR]],PROVEEDORES[FECHA DE PAGO],"")</f>
        <v>13678360</v>
      </c>
      <c r="E1170" s="25"/>
      <c r="F117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0" s="289">
        <v>45182</v>
      </c>
      <c r="H1170" s="26" t="s">
        <v>10</v>
      </c>
      <c r="I1170" s="289">
        <v>45118</v>
      </c>
      <c r="J1170" s="35" t="s">
        <v>967</v>
      </c>
      <c r="K1170" s="21">
        <v>924000</v>
      </c>
      <c r="L1170" s="21"/>
      <c r="M1170" s="22">
        <f>(PROVEEDORES[[#This Row],[SUBTOTAL]]-PROVEEDORES[[#This Row],[descuento sobre subtotal]])*VLOOKUP(PROVEEDORES[[#This Row],[PROVEEDOR]],TERCEROS_INFO[#All],3,FALSE)</f>
        <v>175560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72">
        <f>+IF(PROVEEDORES[[#This Row],[SUBTOTAL]]&lt;PROVEEDORES[[#This Row],[base retencion]],0,PROVEEDORES[[#This Row],[retención aplicada]])</f>
        <v>0</v>
      </c>
      <c r="Q1170" s="22">
        <f>+PROVEEDORES[[#This Row],[Rete Fuente %]]*(PROVEEDORES[[#This Row],[SUBTOTAL]]-PROVEEDORES[[#This Row],[descuento sobre subtotal]])</f>
        <v>0</v>
      </c>
      <c r="R1170" s="21">
        <f>+PROVEEDORES[[#This Row],[SUBTOTAL]]+PROVEEDORES[[#This Row],[IVA 19%]]-PROVEEDORES[[#This Row],[descuento sobre subtotal]]-PROVEEDORES[[#This Row],[Descuento sobre subtotal $2]]-PROVEEDORES[[#This Row],[Rete Fuente $]]</f>
        <v>1099560</v>
      </c>
      <c r="S1170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1">
        <f ca="1">IF(PROVEEDORES[[#This Row],[FECHA DE PAGO]]=0,TODAY()-PROVEEDORES[[#This Row],[FECHA DE FACTURACIÓN]]-PROVEEDORES[[#This Row],[PLAZO Días]],0)</f>
        <v>0</v>
      </c>
      <c r="U1170" s="97" t="str">
        <f>+VLOOKUP(PROVEEDORES[[#This Row],[PROVEEDOR]],Terceros!$A:$D,4,FALSE)</f>
        <v>2,5% con base</v>
      </c>
      <c r="V1170" s="98">
        <f>+YEAR(PROVEEDORES[[#This Row],[FECHA DE FACTURACIÓN]])</f>
        <v>2023</v>
      </c>
      <c r="W1170" s="98">
        <f>+MATCH(PROVEEDORES[[#This Row],[año facturado]],Retenciones!$1:$1,0)</f>
        <v>6</v>
      </c>
      <c r="X1170" s="99">
        <f>+VLOOKUP(PROVEEDORES[[#This Row],[ID RETENCION]],Retenciones!$A$1:$O$25,PROVEEDORES[[#This Row],[indicador de columna]],FALSE)</f>
        <v>1145000</v>
      </c>
      <c r="Y1170" s="100">
        <f>+VLOOKUP(PROVEEDORES[[#This Row],[ID RETENCION]],Retenciones!$A$1:$O$25,2,FALSE)</f>
        <v>2.5000000000000001E-2</v>
      </c>
      <c r="Z1170" s="103" t="b">
        <f>OR(COUNTIF(PROVEEDORES[[#This Row],[PROVEEDOR]],"*"&amp;'Palabra no opera'!$A$2&amp;"*"))</f>
        <v>0</v>
      </c>
    </row>
    <row r="1171" spans="1:26" ht="22.35" customHeight="1" x14ac:dyDescent="0.25">
      <c r="A1171" s="213" t="str">
        <f>+IF(PROVEEDORES[[#This Row],[FECHA DE PAGO]]=PROVEEDORES[[#This Row],[FECHA DE FACTURACIÓN]],"DE CONTADO","CRÉDITO")</f>
        <v>CRÉDITO</v>
      </c>
      <c r="B1171" s="38" t="str">
        <f>+IF((PROVEEDORES[[#This Row],[FECHA DE PAGO]]-PROVEEDORES[[#This Row],[FECHA DE FACTURACIÓN]])&gt;PROVEEDORES[[#This Row],[PLAZO Días]],"PAGO VENCIDO")</f>
        <v>PAGO VENCIDO</v>
      </c>
      <c r="C1171" s="20">
        <f>+VLOOKUP(PROVEEDORES[[#This Row],[PROVEEDOR]],TERCEROS_INFO[#All],2,FALSE)</f>
        <v>45</v>
      </c>
      <c r="D1171" s="25">
        <f>+SUMIFS(PROVEEDORES[Total],PROVEEDORES[PROVEEDOR],PROVEEDORES[[#This Row],[PROVEEDOR]],PROVEEDORES[FECHA DE PAGO],"")</f>
        <v>13678360</v>
      </c>
      <c r="E1171" s="25"/>
      <c r="F1171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1" s="289">
        <v>45182</v>
      </c>
      <c r="H1171" s="26" t="s">
        <v>10</v>
      </c>
      <c r="I1171" s="289">
        <v>45118</v>
      </c>
      <c r="J1171" s="35" t="s">
        <v>968</v>
      </c>
      <c r="K1171" s="21">
        <v>-3240000</v>
      </c>
      <c r="L1171" s="21"/>
      <c r="M1171" s="22">
        <f>(PROVEEDORES[[#This Row],[SUBTOTAL]]-PROVEEDORES[[#This Row],[descuento sobre subtotal]])*VLOOKUP(PROVEEDORES[[#This Row],[PROVEEDOR]],TERCEROS_INFO[#All],3,FALSE)</f>
        <v>-615600</v>
      </c>
      <c r="N1171" s="23"/>
      <c r="O1171" s="22">
        <f>+PROVEEDORES[[#This Row],[Descuento sobre subtotal %]]*(PROVEEDORES[[#This Row],[SUBTOTAL]]-PROVEEDORES[[#This Row],[descuento sobre subtotal]])</f>
        <v>0</v>
      </c>
      <c r="P1171" s="72">
        <f>+IF(PROVEEDORES[[#This Row],[SUBTOTAL]]&lt;PROVEEDORES[[#This Row],[base retencion]],0,PROVEEDORES[[#This Row],[retención aplicada]])</f>
        <v>0</v>
      </c>
      <c r="Q1171" s="22">
        <f>+PROVEEDORES[[#This Row],[Rete Fuente %]]*(PROVEEDORES[[#This Row],[SUBTOTAL]]-PROVEEDORES[[#This Row],[descuento sobre subtotal]])</f>
        <v>0</v>
      </c>
      <c r="R1171" s="21">
        <f>+PROVEEDORES[[#This Row],[SUBTOTAL]]+PROVEEDORES[[#This Row],[IVA 19%]]-PROVEEDORES[[#This Row],[descuento sobre subtotal]]-PROVEEDORES[[#This Row],[Descuento sobre subtotal $2]]-PROVEEDORES[[#This Row],[Rete Fuente $]]</f>
        <v>-3855600</v>
      </c>
      <c r="S1171" s="21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1">
        <f ca="1">IF(PROVEEDORES[[#This Row],[FECHA DE PAGO]]=0,TODAY()-PROVEEDORES[[#This Row],[FECHA DE FACTURACIÓN]]-PROVEEDORES[[#This Row],[PLAZO Días]],0)</f>
        <v>0</v>
      </c>
      <c r="U1171" s="97" t="str">
        <f>+VLOOKUP(PROVEEDORES[[#This Row],[PROVEEDOR]],Terceros!$A:$D,4,FALSE)</f>
        <v>2,5% con base</v>
      </c>
      <c r="V1171" s="98">
        <f>+YEAR(PROVEEDORES[[#This Row],[FECHA DE FACTURACIÓN]])</f>
        <v>2023</v>
      </c>
      <c r="W1171" s="98">
        <f>+MATCH(PROVEEDORES[[#This Row],[año facturado]],Retenciones!$1:$1,0)</f>
        <v>6</v>
      </c>
      <c r="X1171" s="99">
        <f>+VLOOKUP(PROVEEDORES[[#This Row],[ID RETENCION]],Retenciones!$A$1:$O$25,PROVEEDORES[[#This Row],[indicador de columna]],FALSE)</f>
        <v>1145000</v>
      </c>
      <c r="Y1171" s="100">
        <f>+VLOOKUP(PROVEEDORES[[#This Row],[ID RETENCION]],Retenciones!$A$1:$O$25,2,FALSE)</f>
        <v>2.5000000000000001E-2</v>
      </c>
      <c r="Z1171" s="103" t="b">
        <f>OR(COUNTIF(PROVEEDORES[[#This Row],[PROVEEDOR]],"*"&amp;'Palabra no opera'!$A$2&amp;"*"))</f>
        <v>0</v>
      </c>
    </row>
    <row r="1172" spans="1:26" ht="22.35" customHeight="1" x14ac:dyDescent="0.25">
      <c r="A1172" s="217" t="str">
        <f>+IF(PROVEEDORES[[#This Row],[FECHA DE PAGO]]=PROVEEDORES[[#This Row],[FECHA DE FACTURACIÓN]],"DE CONTADO","CRÉDITO")</f>
        <v>CRÉDITO</v>
      </c>
      <c r="B1172" s="38" t="str">
        <f>+IF((PROVEEDORES[[#This Row],[FECHA DE PAGO]]-PROVEEDORES[[#This Row],[FECHA DE FACTURACIÓN]])&gt;PROVEEDORES[[#This Row],[PLAZO Días]],"PAGO VENCIDO")</f>
        <v>PAGO VENCIDO</v>
      </c>
      <c r="C1172" s="20">
        <f>+VLOOKUP(PROVEEDORES[[#This Row],[PROVEEDOR]],TERCEROS_INFO[#All],2,FALSE)</f>
        <v>45</v>
      </c>
      <c r="D1172" s="25">
        <f>+SUMIFS(PROVEEDORES[Total],PROVEEDORES[PROVEEDOR],PROVEEDORES[[#This Row],[PROVEEDOR]],PROVEEDORES[FECHA DE PAGO],"")</f>
        <v>13678360</v>
      </c>
      <c r="E1172" s="25"/>
      <c r="F117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2" s="289">
        <v>45201</v>
      </c>
      <c r="H1172" s="26" t="s">
        <v>10</v>
      </c>
      <c r="I1172" s="289">
        <v>45135</v>
      </c>
      <c r="J1172" s="35" t="s">
        <v>988</v>
      </c>
      <c r="K1172" s="21">
        <v>4200000</v>
      </c>
      <c r="L1172" s="21"/>
      <c r="M1172" s="22">
        <f>(PROVEEDORES[[#This Row],[SUBTOTAL]]-PROVEEDORES[[#This Row],[descuento sobre subtotal]])*VLOOKUP(PROVEEDORES[[#This Row],[PROVEEDOR]],TERCEROS_INFO[#All],3,FALSE)</f>
        <v>798000</v>
      </c>
      <c r="N1172" s="23"/>
      <c r="O1172" s="22">
        <f>+PROVEEDORES[[#This Row],[Descuento sobre subtotal %]]*(PROVEEDORES[[#This Row],[SUBTOTAL]]-PROVEEDORES[[#This Row],[descuento sobre subtotal]])</f>
        <v>0</v>
      </c>
      <c r="P1172" s="72">
        <f>+IF(PROVEEDORES[[#This Row],[SUBTOTAL]]&lt;PROVEEDORES[[#This Row],[base retencion]],0,PROVEEDORES[[#This Row],[retención aplicada]])</f>
        <v>2.5000000000000001E-2</v>
      </c>
      <c r="Q1172" s="22">
        <f>+PROVEEDORES[[#This Row],[Rete Fuente %]]*(PROVEEDORES[[#This Row],[SUBTOTAL]]-PROVEEDORES[[#This Row],[descuento sobre subtotal]])</f>
        <v>105000</v>
      </c>
      <c r="R1172" s="21">
        <f>+PROVEEDORES[[#This Row],[SUBTOTAL]]+PROVEEDORES[[#This Row],[IVA 19%]]-PROVEEDORES[[#This Row],[descuento sobre subtotal]]-PROVEEDORES[[#This Row],[Descuento sobre subtotal $2]]-PROVEEDORES[[#This Row],[Rete Fuente $]]</f>
        <v>4893000</v>
      </c>
      <c r="S1172" s="2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1">
        <f ca="1">IF(PROVEEDORES[[#This Row],[FECHA DE PAGO]]=0,TODAY()-PROVEEDORES[[#This Row],[FECHA DE FACTURACIÓN]]-PROVEEDORES[[#This Row],[PLAZO Días]],0)</f>
        <v>0</v>
      </c>
      <c r="U1172" s="97" t="str">
        <f>+VLOOKUP(PROVEEDORES[[#This Row],[PROVEEDOR]],Terceros!$A:$D,4,FALSE)</f>
        <v>2,5% con base</v>
      </c>
      <c r="V1172" s="98">
        <f>+YEAR(PROVEEDORES[[#This Row],[FECHA DE FACTURACIÓN]])</f>
        <v>2023</v>
      </c>
      <c r="W1172" s="98">
        <f>+MATCH(PROVEEDORES[[#This Row],[año facturado]],Retenciones!$1:$1,0)</f>
        <v>6</v>
      </c>
      <c r="X1172" s="99">
        <f>+VLOOKUP(PROVEEDORES[[#This Row],[ID RETENCION]],Retenciones!$A$1:$O$25,PROVEEDORES[[#This Row],[indicador de columna]],FALSE)</f>
        <v>1145000</v>
      </c>
      <c r="Y1172" s="100">
        <f>+VLOOKUP(PROVEEDORES[[#This Row],[ID RETENCION]],Retenciones!$A$1:$O$25,2,FALSE)</f>
        <v>2.5000000000000001E-2</v>
      </c>
      <c r="Z1172" s="103" t="b">
        <f>OR(COUNTIF(PROVEEDORES[[#This Row],[PROVEEDOR]],"*"&amp;'Palabra no opera'!$A$2&amp;"*"))</f>
        <v>0</v>
      </c>
    </row>
    <row r="1173" spans="1:26" ht="22.35" customHeight="1" x14ac:dyDescent="0.25">
      <c r="A1173" s="219" t="str">
        <f>+IF(PROVEEDORES[[#This Row],[FECHA DE PAGO]]=PROVEEDORES[[#This Row],[FECHA DE FACTURACIÓN]],"DE CONTADO","CRÉDITO")</f>
        <v>CRÉDITO</v>
      </c>
      <c r="B1173" s="38" t="str">
        <f>+IF((PROVEEDORES[[#This Row],[FECHA DE PAGO]]-PROVEEDORES[[#This Row],[FECHA DE FACTURACIÓN]])&gt;PROVEEDORES[[#This Row],[PLAZO Días]],"PAGO VENCIDO")</f>
        <v>PAGO VENCIDO</v>
      </c>
      <c r="C1173" s="20">
        <f>+VLOOKUP(PROVEEDORES[[#This Row],[PROVEEDOR]],TERCEROS_INFO[#All],2,FALSE)</f>
        <v>45</v>
      </c>
      <c r="D1173" s="25">
        <f>+SUMIFS(PROVEEDORES[Total],PROVEEDORES[PROVEEDOR],PROVEEDORES[[#This Row],[PROVEEDOR]],PROVEEDORES[FECHA DE PAGO],"")</f>
        <v>13678360</v>
      </c>
      <c r="E1173" s="25"/>
      <c r="F117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3" s="289">
        <v>45208</v>
      </c>
      <c r="H1173" s="26" t="s">
        <v>10</v>
      </c>
      <c r="I1173" s="289">
        <v>45142</v>
      </c>
      <c r="J1173" s="35" t="s">
        <v>1003</v>
      </c>
      <c r="K1173" s="21">
        <v>1250000</v>
      </c>
      <c r="L1173" s="21"/>
      <c r="M1173" s="22">
        <f>(PROVEEDORES[[#This Row],[SUBTOTAL]]-PROVEEDORES[[#This Row],[descuento sobre subtotal]])*VLOOKUP(PROVEEDORES[[#This Row],[PROVEEDOR]],TERCEROS_INFO[#All],3,FALSE)</f>
        <v>237500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72">
        <f>+IF(PROVEEDORES[[#This Row],[SUBTOTAL]]&lt;PROVEEDORES[[#This Row],[base retencion]],0,PROVEEDORES[[#This Row],[retención aplicada]])</f>
        <v>2.5000000000000001E-2</v>
      </c>
      <c r="Q1173" s="22">
        <f>+PROVEEDORES[[#This Row],[Rete Fuente %]]*(PROVEEDORES[[#This Row],[SUBTOTAL]]-PROVEEDORES[[#This Row],[descuento sobre subtotal]])</f>
        <v>31250</v>
      </c>
      <c r="R1173" s="21">
        <f>+PROVEEDORES[[#This Row],[SUBTOTAL]]+PROVEEDORES[[#This Row],[IVA 19%]]-PROVEEDORES[[#This Row],[descuento sobre subtotal]]-PROVEEDORES[[#This Row],[Descuento sobre subtotal $2]]-PROVEEDORES[[#This Row],[Rete Fuente $]]</f>
        <v>1456250</v>
      </c>
      <c r="S1173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1">
        <f ca="1">IF(PROVEEDORES[[#This Row],[FECHA DE PAGO]]=0,TODAY()-PROVEEDORES[[#This Row],[FECHA DE FACTURACIÓN]]-PROVEEDORES[[#This Row],[PLAZO Días]],0)</f>
        <v>0</v>
      </c>
      <c r="U1173" s="97" t="str">
        <f>+VLOOKUP(PROVEEDORES[[#This Row],[PROVEEDOR]],Terceros!$A:$D,4,FALSE)</f>
        <v>2,5% con base</v>
      </c>
      <c r="V1173" s="98">
        <f>+YEAR(PROVEEDORES[[#This Row],[FECHA DE FACTURACIÓN]])</f>
        <v>2023</v>
      </c>
      <c r="W1173" s="98">
        <f>+MATCH(PROVEEDORES[[#This Row],[año facturado]],Retenciones!$1:$1,0)</f>
        <v>6</v>
      </c>
      <c r="X1173" s="99">
        <f>+VLOOKUP(PROVEEDORES[[#This Row],[ID RETENCION]],Retenciones!$A$1:$O$25,PROVEEDORES[[#This Row],[indicador de columna]],FALSE)</f>
        <v>1145000</v>
      </c>
      <c r="Y1173" s="100">
        <f>+VLOOKUP(PROVEEDORES[[#This Row],[ID RETENCION]],Retenciones!$A$1:$O$25,2,FALSE)</f>
        <v>2.5000000000000001E-2</v>
      </c>
      <c r="Z1173" s="103" t="b">
        <f>OR(COUNTIF(PROVEEDORES[[#This Row],[PROVEEDOR]],"*"&amp;'Palabra no opera'!$A$2&amp;"*"))</f>
        <v>0</v>
      </c>
    </row>
    <row r="1174" spans="1:26" ht="22.35" customHeight="1" x14ac:dyDescent="0.25">
      <c r="A1174" s="65" t="str">
        <f>+IF(PROVEEDORES[[#This Row],[FECHA DE PAGO]]=PROVEEDORES[[#This Row],[FECHA DE FACTURACIÓN]],"DE CONTADO","CRÉDITO")</f>
        <v>CRÉDITO</v>
      </c>
      <c r="B1174" s="38" t="str">
        <f>+IF((PROVEEDORES[[#This Row],[FECHA DE PAGO]]-PROVEEDORES[[#This Row],[FECHA DE FACTURACIÓN]])&gt;PROVEEDORES[[#This Row],[PLAZO Días]],"PAGO VENCIDO")</f>
        <v>PAGO VENCIDO</v>
      </c>
      <c r="C1174" s="20">
        <f>+VLOOKUP(PROVEEDORES[[#This Row],[PROVEEDOR]],TERCEROS_INFO[#All],2,FALSE)</f>
        <v>45</v>
      </c>
      <c r="D1174" s="25">
        <f>+SUMIFS(PROVEEDORES[Total],PROVEEDORES[PROVEEDOR],PROVEEDORES[[#This Row],[PROVEEDOR]],PROVEEDORES[FECHA DE PAGO],"")</f>
        <v>13678360</v>
      </c>
      <c r="E1174" s="25"/>
      <c r="F117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4" s="289">
        <v>45208</v>
      </c>
      <c r="H1174" s="26" t="s">
        <v>10</v>
      </c>
      <c r="I1174" s="289">
        <v>45153</v>
      </c>
      <c r="J1174" s="35" t="s">
        <v>1059</v>
      </c>
      <c r="K1174" s="21">
        <v>768000</v>
      </c>
      <c r="L1174" s="21"/>
      <c r="M1174" s="22">
        <f>(PROVEEDORES[[#This Row],[SUBTOTAL]]-PROVEEDORES[[#This Row],[descuento sobre subtotal]])*VLOOKUP(PROVEEDORES[[#This Row],[PROVEEDOR]],TERCEROS_INFO[#All],3,FALSE)</f>
        <v>145920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72">
        <f>+IF(PROVEEDORES[[#This Row],[SUBTOTAL]]&lt;PROVEEDORES[[#This Row],[base retencion]],0,PROVEEDORES[[#This Row],[retención aplicada]])</f>
        <v>0</v>
      </c>
      <c r="Q1174" s="22">
        <f>+PROVEEDORES[[#This Row],[Rete Fuente %]]*(PROVEEDORES[[#This Row],[SUBTOTAL]]-PROVEEDORES[[#This Row],[descuento sobre subtotal]])</f>
        <v>0</v>
      </c>
      <c r="R1174" s="21">
        <f>+PROVEEDORES[[#This Row],[SUBTOTAL]]+PROVEEDORES[[#This Row],[IVA 19%]]-PROVEEDORES[[#This Row],[descuento sobre subtotal]]-PROVEEDORES[[#This Row],[Descuento sobre subtotal $2]]-PROVEEDORES[[#This Row],[Rete Fuente $]]</f>
        <v>913920</v>
      </c>
      <c r="S11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1">
        <f ca="1">IF(PROVEEDORES[[#This Row],[FECHA DE PAGO]]=0,TODAY()-PROVEEDORES[[#This Row],[FECHA DE FACTURACIÓN]]-PROVEEDORES[[#This Row],[PLAZO Días]],0)</f>
        <v>0</v>
      </c>
      <c r="U1174" s="97" t="str">
        <f>+VLOOKUP(PROVEEDORES[[#This Row],[PROVEEDOR]],Terceros!$A:$D,4,FALSE)</f>
        <v>2,5% con base</v>
      </c>
      <c r="V1174" s="98">
        <f>+YEAR(PROVEEDORES[[#This Row],[FECHA DE FACTURACIÓN]])</f>
        <v>2023</v>
      </c>
      <c r="W1174" s="98">
        <f>+MATCH(PROVEEDORES[[#This Row],[año facturado]],Retenciones!$1:$1,0)</f>
        <v>6</v>
      </c>
      <c r="X1174" s="99">
        <f>+VLOOKUP(PROVEEDORES[[#This Row],[ID RETENCION]],Retenciones!$A$1:$O$25,PROVEEDORES[[#This Row],[indicador de columna]],FALSE)</f>
        <v>1145000</v>
      </c>
      <c r="Y1174" s="100">
        <f>+VLOOKUP(PROVEEDORES[[#This Row],[ID RETENCION]],Retenciones!$A$1:$O$25,2,FALSE)</f>
        <v>2.5000000000000001E-2</v>
      </c>
      <c r="Z1174" s="103" t="b">
        <f>OR(COUNTIF(PROVEEDORES[[#This Row],[PROVEEDOR]],"*"&amp;'Palabra no opera'!$A$2&amp;"*"))</f>
        <v>0</v>
      </c>
    </row>
    <row r="1175" spans="1:26" ht="22.35" customHeight="1" x14ac:dyDescent="0.25">
      <c r="A1175" s="65" t="str">
        <f>+IF(PROVEEDORES[[#This Row],[FECHA DE PAGO]]=PROVEEDORES[[#This Row],[FECHA DE FACTURACIÓN]],"DE CONTADO","CRÉDITO")</f>
        <v>CRÉDITO</v>
      </c>
      <c r="B1175" s="38" t="str">
        <f>+IF((PROVEEDORES[[#This Row],[FECHA DE PAGO]]-PROVEEDORES[[#This Row],[FECHA DE FACTURACIÓN]])&gt;PROVEEDORES[[#This Row],[PLAZO Días]],"PAGO VENCIDO")</f>
        <v>PAGO VENCIDO</v>
      </c>
      <c r="C1175" s="20">
        <f>+VLOOKUP(PROVEEDORES[[#This Row],[PROVEEDOR]],TERCEROS_INFO[#All],2,FALSE)</f>
        <v>45</v>
      </c>
      <c r="D1175" s="25">
        <f>+SUMIFS(PROVEEDORES[Total],PROVEEDORES[PROVEEDOR],PROVEEDORES[[#This Row],[PROVEEDOR]],PROVEEDORES[FECHA DE PAGO],"")</f>
        <v>13678360</v>
      </c>
      <c r="E1175" s="25"/>
      <c r="F1175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5" s="289">
        <v>45208</v>
      </c>
      <c r="H1175" s="26" t="s">
        <v>10</v>
      </c>
      <c r="I1175" s="289">
        <v>45154</v>
      </c>
      <c r="J1175" s="35" t="s">
        <v>1058</v>
      </c>
      <c r="K1175" s="21">
        <v>3900000</v>
      </c>
      <c r="L1175" s="21"/>
      <c r="M1175" s="22">
        <f>(PROVEEDORES[[#This Row],[SUBTOTAL]]-PROVEEDORES[[#This Row],[descuento sobre subtotal]])*VLOOKUP(PROVEEDORES[[#This Row],[PROVEEDOR]],TERCEROS_INFO[#All],3,FALSE)</f>
        <v>741000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72">
        <f>+IF(PROVEEDORES[[#This Row],[SUBTOTAL]]&lt;PROVEEDORES[[#This Row],[base retencion]],0,PROVEEDORES[[#This Row],[retención aplicada]])</f>
        <v>2.5000000000000001E-2</v>
      </c>
      <c r="Q1175" s="22">
        <f>+PROVEEDORES[[#This Row],[Rete Fuente %]]*(PROVEEDORES[[#This Row],[SUBTOTAL]]-PROVEEDORES[[#This Row],[descuento sobre subtotal]])</f>
        <v>97500</v>
      </c>
      <c r="R1175" s="21">
        <f>+PROVEEDORES[[#This Row],[SUBTOTAL]]+PROVEEDORES[[#This Row],[IVA 19%]]-PROVEEDORES[[#This Row],[descuento sobre subtotal]]-PROVEEDORES[[#This Row],[Descuento sobre subtotal $2]]-PROVEEDORES[[#This Row],[Rete Fuente $]]</f>
        <v>4543500</v>
      </c>
      <c r="S117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1">
        <f ca="1">IF(PROVEEDORES[[#This Row],[FECHA DE PAGO]]=0,TODAY()-PROVEEDORES[[#This Row],[FECHA DE FACTURACIÓN]]-PROVEEDORES[[#This Row],[PLAZO Días]],0)</f>
        <v>0</v>
      </c>
      <c r="U1175" s="97" t="str">
        <f>+VLOOKUP(PROVEEDORES[[#This Row],[PROVEEDOR]],Terceros!$A:$D,4,FALSE)</f>
        <v>2,5% con base</v>
      </c>
      <c r="V1175" s="98">
        <f>+YEAR(PROVEEDORES[[#This Row],[FECHA DE FACTURACIÓN]])</f>
        <v>2023</v>
      </c>
      <c r="W1175" s="98">
        <f>+MATCH(PROVEEDORES[[#This Row],[año facturado]],Retenciones!$1:$1,0)</f>
        <v>6</v>
      </c>
      <c r="X1175" s="99">
        <f>+VLOOKUP(PROVEEDORES[[#This Row],[ID RETENCION]],Retenciones!$A$1:$O$25,PROVEEDORES[[#This Row],[indicador de columna]],FALSE)</f>
        <v>1145000</v>
      </c>
      <c r="Y1175" s="100">
        <f>+VLOOKUP(PROVEEDORES[[#This Row],[ID RETENCION]],Retenciones!$A$1:$O$25,2,FALSE)</f>
        <v>2.5000000000000001E-2</v>
      </c>
      <c r="Z1175" s="103" t="b">
        <f>OR(COUNTIF(PROVEEDORES[[#This Row],[PROVEEDOR]],"*"&amp;'Palabra no opera'!$A$2&amp;"*"))</f>
        <v>0</v>
      </c>
    </row>
    <row r="1176" spans="1:26" ht="22.35" customHeight="1" x14ac:dyDescent="0.25">
      <c r="A1176" s="65" t="str">
        <f>+IF(PROVEEDORES[[#This Row],[FECHA DE PAGO]]=PROVEEDORES[[#This Row],[FECHA DE FACTURACIÓN]],"DE CONTADO","CRÉDITO")</f>
        <v>CRÉDITO</v>
      </c>
      <c r="B1176" s="38" t="str">
        <f>+IF((PROVEEDORES[[#This Row],[FECHA DE PAGO]]-PROVEEDORES[[#This Row],[FECHA DE FACTURACIÓN]])&gt;PROVEEDORES[[#This Row],[PLAZO Días]],"PAGO VENCIDO")</f>
        <v>PAGO VENCIDO</v>
      </c>
      <c r="C1176" s="20">
        <f>+VLOOKUP(PROVEEDORES[[#This Row],[PROVEEDOR]],TERCEROS_INFO[#All],2,FALSE)</f>
        <v>45</v>
      </c>
      <c r="D1176" s="25">
        <f>+SUMIFS(PROVEEDORES[Total],PROVEEDORES[PROVEEDOR],PROVEEDORES[[#This Row],[PROVEEDOR]],PROVEEDORES[FECHA DE PAGO],"")</f>
        <v>13678360</v>
      </c>
      <c r="E1176" s="25"/>
      <c r="F1176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6" s="289">
        <v>45239</v>
      </c>
      <c r="H1176" s="26" t="s">
        <v>10</v>
      </c>
      <c r="I1176" s="289">
        <v>45184</v>
      </c>
      <c r="J1176" s="35" t="s">
        <v>1108</v>
      </c>
      <c r="K1176" s="21">
        <v>2520000</v>
      </c>
      <c r="L1176" s="21"/>
      <c r="M1176" s="22">
        <f>(PROVEEDORES[[#This Row],[SUBTOTAL]]-PROVEEDORES[[#This Row],[descuento sobre subtotal]])*VLOOKUP(PROVEEDORES[[#This Row],[PROVEEDOR]],TERCEROS_INFO[#All],3,FALSE)</f>
        <v>478800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72">
        <f>+IF(PROVEEDORES[[#This Row],[SUBTOTAL]]&lt;PROVEEDORES[[#This Row],[base retencion]],0,PROVEEDORES[[#This Row],[retención aplicada]])</f>
        <v>2.5000000000000001E-2</v>
      </c>
      <c r="Q1176" s="22">
        <f>+PROVEEDORES[[#This Row],[Rete Fuente %]]*(PROVEEDORES[[#This Row],[SUBTOTAL]]-PROVEEDORES[[#This Row],[descuento sobre subtotal]])</f>
        <v>63000</v>
      </c>
      <c r="R1176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117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1">
        <f ca="1">IF(PROVEEDORES[[#This Row],[FECHA DE PAGO]]=0,TODAY()-PROVEEDORES[[#This Row],[FECHA DE FACTURACIÓN]]-PROVEEDORES[[#This Row],[PLAZO Días]],0)</f>
        <v>0</v>
      </c>
      <c r="U1176" s="97" t="str">
        <f>+VLOOKUP(PROVEEDORES[[#This Row],[PROVEEDOR]],Terceros!$A:$D,4,FALSE)</f>
        <v>2,5% con base</v>
      </c>
      <c r="V1176" s="98">
        <f>+YEAR(PROVEEDORES[[#This Row],[FECHA DE FACTURACIÓN]])</f>
        <v>2023</v>
      </c>
      <c r="W1176" s="98">
        <f>+MATCH(PROVEEDORES[[#This Row],[año facturado]],Retenciones!$1:$1,0)</f>
        <v>6</v>
      </c>
      <c r="X1176" s="99">
        <f>+VLOOKUP(PROVEEDORES[[#This Row],[ID RETENCION]],Retenciones!$A$1:$O$25,PROVEEDORES[[#This Row],[indicador de columna]],FALSE)</f>
        <v>1145000</v>
      </c>
      <c r="Y1176" s="100">
        <f>+VLOOKUP(PROVEEDORES[[#This Row],[ID RETENCION]],Retenciones!$A$1:$O$25,2,FALSE)</f>
        <v>2.5000000000000001E-2</v>
      </c>
      <c r="Z1176" s="103" t="b">
        <f>OR(COUNTIF(PROVEEDORES[[#This Row],[PROVEEDOR]],"*"&amp;'Palabra no opera'!$A$2&amp;"*"))</f>
        <v>0</v>
      </c>
    </row>
    <row r="1177" spans="1:26" ht="22.35" customHeight="1" x14ac:dyDescent="0.25">
      <c r="A1177" s="65" t="str">
        <f>+IF(PROVEEDORES[[#This Row],[FECHA DE PAGO]]=PROVEEDORES[[#This Row],[FECHA DE FACTURACIÓN]],"DE CONTADO","CRÉDITO")</f>
        <v>CRÉDITO</v>
      </c>
      <c r="B1177" s="38" t="str">
        <f>+IF((PROVEEDORES[[#This Row],[FECHA DE PAGO]]-PROVEEDORES[[#This Row],[FECHA DE FACTURACIÓN]])&gt;PROVEEDORES[[#This Row],[PLAZO Días]],"PAGO VENCIDO")</f>
        <v>PAGO VENCIDO</v>
      </c>
      <c r="C1177" s="20">
        <f>+VLOOKUP(PROVEEDORES[[#This Row],[PROVEEDOR]],TERCEROS_INFO[#All],2,FALSE)</f>
        <v>45</v>
      </c>
      <c r="D1177" s="25">
        <f>+SUMIFS(PROVEEDORES[Total],PROVEEDORES[PROVEEDOR],PROVEEDORES[[#This Row],[PROVEEDOR]],PROVEEDORES[FECHA DE PAGO],"")</f>
        <v>13678360</v>
      </c>
      <c r="E1177" s="25"/>
      <c r="F1177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7" s="289">
        <v>45264</v>
      </c>
      <c r="H1177" s="26" t="s">
        <v>10</v>
      </c>
      <c r="I1177" s="289">
        <v>45210</v>
      </c>
      <c r="J1177" s="35" t="s">
        <v>1227</v>
      </c>
      <c r="K1177" s="21">
        <v>2000000</v>
      </c>
      <c r="L1177" s="21"/>
      <c r="M1177" s="22">
        <f>(PROVEEDORES[[#This Row],[SUBTOTAL]]-PROVEEDORES[[#This Row],[descuento sobre subtotal]])*VLOOKUP(PROVEEDORES[[#This Row],[PROVEEDOR]],TERCEROS_INFO[#All],3,FALSE)</f>
        <v>380000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72">
        <f>+IF(PROVEEDORES[[#This Row],[SUBTOTAL]]&lt;PROVEEDORES[[#This Row],[base retencion]],0,PROVEEDORES[[#This Row],[retención aplicada]])</f>
        <v>2.5000000000000001E-2</v>
      </c>
      <c r="Q1177" s="22">
        <f>+PROVEEDORES[[#This Row],[Rete Fuente %]]*(PROVEEDORES[[#This Row],[SUBTOTAL]]-PROVEEDORES[[#This Row],[descuento sobre subtotal]])</f>
        <v>50000</v>
      </c>
      <c r="R1177" s="21">
        <f>+PROVEEDORES[[#This Row],[SUBTOTAL]]+PROVEEDORES[[#This Row],[IVA 19%]]-PROVEEDORES[[#This Row],[descuento sobre subtotal]]-PROVEEDORES[[#This Row],[Descuento sobre subtotal $2]]-PROVEEDORES[[#This Row],[Rete Fuente $]]</f>
        <v>2330000</v>
      </c>
      <c r="S117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1">
        <f ca="1">IF(PROVEEDORES[[#This Row],[FECHA DE PAGO]]=0,TODAY()-PROVEEDORES[[#This Row],[FECHA DE FACTURACIÓN]]-PROVEEDORES[[#This Row],[PLAZO Días]],0)</f>
        <v>0</v>
      </c>
      <c r="U1177" s="97" t="str">
        <f>+VLOOKUP(PROVEEDORES[[#This Row],[PROVEEDOR]],Terceros!$A:$D,4,FALSE)</f>
        <v>2,5% con base</v>
      </c>
      <c r="V1177" s="98">
        <f>+YEAR(PROVEEDORES[[#This Row],[FECHA DE FACTURACIÓN]])</f>
        <v>2023</v>
      </c>
      <c r="W1177" s="98">
        <f>+MATCH(PROVEEDORES[[#This Row],[año facturado]],Retenciones!$1:$1,0)</f>
        <v>6</v>
      </c>
      <c r="X1177" s="99">
        <f>+VLOOKUP(PROVEEDORES[[#This Row],[ID RETENCION]],Retenciones!$A$1:$O$25,PROVEEDORES[[#This Row],[indicador de columna]],FALSE)</f>
        <v>1145000</v>
      </c>
      <c r="Y1177" s="100">
        <f>+VLOOKUP(PROVEEDORES[[#This Row],[ID RETENCION]],Retenciones!$A$1:$O$25,2,FALSE)</f>
        <v>2.5000000000000001E-2</v>
      </c>
      <c r="Z1177" s="103" t="b">
        <f>OR(COUNTIF(PROVEEDORES[[#This Row],[PROVEEDOR]],"*"&amp;'Palabra no opera'!$A$2&amp;"*"))</f>
        <v>0</v>
      </c>
    </row>
    <row r="1178" spans="1:26" ht="22.35" customHeight="1" x14ac:dyDescent="0.25">
      <c r="A1178" s="65" t="str">
        <f>+IF(PROVEEDORES[[#This Row],[FECHA DE PAGO]]=PROVEEDORES[[#This Row],[FECHA DE FACTURACIÓN]],"DE CONTADO","CRÉDITO")</f>
        <v>CRÉDITO</v>
      </c>
      <c r="B1178" s="38" t="str">
        <f>+IF((PROVEEDORES[[#This Row],[FECHA DE PAGO]]-PROVEEDORES[[#This Row],[FECHA DE FACTURACIÓN]])&gt;PROVEEDORES[[#This Row],[PLAZO Días]],"PAGO VENCIDO")</f>
        <v>PAGO VENCIDO</v>
      </c>
      <c r="C1178" s="20">
        <f>+VLOOKUP(PROVEEDORES[[#This Row],[PROVEEDOR]],TERCEROS_INFO[#All],2,FALSE)</f>
        <v>45</v>
      </c>
      <c r="D1178" s="25">
        <f>+SUMIFS(PROVEEDORES[Total],PROVEEDORES[PROVEEDOR],PROVEEDORES[[#This Row],[PROVEEDOR]],PROVEEDORES[FECHA DE PAGO],"")</f>
        <v>13678360</v>
      </c>
      <c r="E1178" s="25"/>
      <c r="F1178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8" s="289">
        <v>45272</v>
      </c>
      <c r="H1178" s="26" t="s">
        <v>10</v>
      </c>
      <c r="I1178" s="289">
        <v>45223</v>
      </c>
      <c r="J1178" s="35" t="s">
        <v>1228</v>
      </c>
      <c r="K1178" s="21">
        <v>4200000</v>
      </c>
      <c r="L1178" s="21"/>
      <c r="M1178" s="22">
        <f>(PROVEEDORES[[#This Row],[SUBTOTAL]]-PROVEEDORES[[#This Row],[descuento sobre subtotal]])*VLOOKUP(PROVEEDORES[[#This Row],[PROVEEDOR]],TERCEROS_INFO[#All],3,FALSE)</f>
        <v>798000</v>
      </c>
      <c r="N1178" s="23"/>
      <c r="O1178" s="22">
        <f>+PROVEEDORES[[#This Row],[Descuento sobre subtotal %]]*(PROVEEDORES[[#This Row],[SUBTOTAL]]-PROVEEDORES[[#This Row],[descuento sobre subtotal]])</f>
        <v>0</v>
      </c>
      <c r="P1178" s="72">
        <f>+IF(PROVEEDORES[[#This Row],[SUBTOTAL]]&lt;PROVEEDORES[[#This Row],[base retencion]],0,PROVEEDORES[[#This Row],[retención aplicada]])</f>
        <v>2.5000000000000001E-2</v>
      </c>
      <c r="Q1178" s="22">
        <f>+PROVEEDORES[[#This Row],[Rete Fuente %]]*(PROVEEDORES[[#This Row],[SUBTOTAL]]-PROVEEDORES[[#This Row],[descuento sobre subtotal]])</f>
        <v>105000</v>
      </c>
      <c r="R1178" s="21">
        <f>+PROVEEDORES[[#This Row],[SUBTOTAL]]+PROVEEDORES[[#This Row],[IVA 19%]]-PROVEEDORES[[#This Row],[descuento sobre subtotal]]-PROVEEDORES[[#This Row],[Descuento sobre subtotal $2]]-PROVEEDORES[[#This Row],[Rete Fuente $]]</f>
        <v>4893000</v>
      </c>
      <c r="S117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1">
        <f ca="1">IF(PROVEEDORES[[#This Row],[FECHA DE PAGO]]=0,TODAY()-PROVEEDORES[[#This Row],[FECHA DE FACTURACIÓN]]-PROVEEDORES[[#This Row],[PLAZO Días]],0)</f>
        <v>0</v>
      </c>
      <c r="U1178" s="97" t="str">
        <f>+VLOOKUP(PROVEEDORES[[#This Row],[PROVEEDOR]],Terceros!$A:$D,4,FALSE)</f>
        <v>2,5% con base</v>
      </c>
      <c r="V1178" s="98">
        <f>+YEAR(PROVEEDORES[[#This Row],[FECHA DE FACTURACIÓN]])</f>
        <v>2023</v>
      </c>
      <c r="W1178" s="98">
        <f>+MATCH(PROVEEDORES[[#This Row],[año facturado]],Retenciones!$1:$1,0)</f>
        <v>6</v>
      </c>
      <c r="X1178" s="99">
        <f>+VLOOKUP(PROVEEDORES[[#This Row],[ID RETENCION]],Retenciones!$A$1:$O$25,PROVEEDORES[[#This Row],[indicador de columna]],FALSE)</f>
        <v>1145000</v>
      </c>
      <c r="Y1178" s="100">
        <f>+VLOOKUP(PROVEEDORES[[#This Row],[ID RETENCION]],Retenciones!$A$1:$O$25,2,FALSE)</f>
        <v>2.5000000000000001E-2</v>
      </c>
      <c r="Z1178" s="103" t="b">
        <f>OR(COUNTIF(PROVEEDORES[[#This Row],[PROVEEDOR]],"*"&amp;'Palabra no opera'!$A$2&amp;"*"))</f>
        <v>0</v>
      </c>
    </row>
    <row r="1179" spans="1:26" ht="22.35" customHeight="1" x14ac:dyDescent="0.25">
      <c r="A1179" s="262" t="str">
        <f>+IF(PROVEEDORES[[#This Row],[FECHA DE PAGO]]=PROVEEDORES[[#This Row],[FECHA DE FACTURACIÓN]],"DE CONTADO","CRÉDITO")</f>
        <v>CRÉDITO</v>
      </c>
      <c r="B1179" s="38" t="b">
        <f>+IF((PROVEEDORES[[#This Row],[FECHA DE PAGO]]-PROVEEDORES[[#This Row],[FECHA DE FACTURACIÓN]])&gt;PROVEEDORES[[#This Row],[PLAZO Días]],"PAGO VENCIDO")</f>
        <v>0</v>
      </c>
      <c r="C1179" s="20">
        <f>+VLOOKUP(PROVEEDORES[[#This Row],[PROVEEDOR]],TERCEROS_INFO[#All],2,FALSE)</f>
        <v>45</v>
      </c>
      <c r="D1179" s="25">
        <f>+SUMIFS(PROVEEDORES[Total],PROVEEDORES[PROVEEDOR],PROVEEDORES[[#This Row],[PROVEEDOR]],PROVEEDORES[FECHA DE PAGO],"")</f>
        <v>13678360</v>
      </c>
      <c r="E1179" s="25"/>
      <c r="F117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9" s="289">
        <v>45288</v>
      </c>
      <c r="H1179" s="26" t="s">
        <v>10</v>
      </c>
      <c r="I1179" s="289">
        <v>45247</v>
      </c>
      <c r="J1179" s="35" t="s">
        <v>1295</v>
      </c>
      <c r="K1179" s="21">
        <v>2800000</v>
      </c>
      <c r="L1179" s="21"/>
      <c r="M1179" s="22">
        <f>(PROVEEDORES[[#This Row],[SUBTOTAL]]-PROVEEDORES[[#This Row],[descuento sobre subtotal]])*VLOOKUP(PROVEEDORES[[#This Row],[PROVEEDOR]],TERCEROS_INFO[#All],3,FALSE)</f>
        <v>532000</v>
      </c>
      <c r="N1179" s="23"/>
      <c r="O1179" s="22">
        <f>+PROVEEDORES[[#This Row],[Descuento sobre subtotal %]]*(PROVEEDORES[[#This Row],[SUBTOTAL]]-PROVEEDORES[[#This Row],[descuento sobre subtotal]])</f>
        <v>0</v>
      </c>
      <c r="P1179" s="72">
        <f>+IF(PROVEEDORES[[#This Row],[SUBTOTAL]]&lt;PROVEEDORES[[#This Row],[base retencion]],0,PROVEEDORES[[#This Row],[retención aplicada]])</f>
        <v>2.5000000000000001E-2</v>
      </c>
      <c r="Q1179" s="22">
        <f>+PROVEEDORES[[#This Row],[Rete Fuente %]]*(PROVEEDORES[[#This Row],[SUBTOTAL]]-PROVEEDORES[[#This Row],[descuento sobre subtotal]])</f>
        <v>70000</v>
      </c>
      <c r="R1179" s="21">
        <f>+PROVEEDORES[[#This Row],[SUBTOTAL]]+PROVEEDORES[[#This Row],[IVA 19%]]-PROVEEDORES[[#This Row],[descuento sobre subtotal]]-PROVEEDORES[[#This Row],[Descuento sobre subtotal $2]]-PROVEEDORES[[#This Row],[Rete Fuente $]]</f>
        <v>3262000</v>
      </c>
      <c r="S1179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61">
        <f ca="1">IF(PROVEEDORES[[#This Row],[FECHA DE PAGO]]=0,TODAY()-PROVEEDORES[[#This Row],[FECHA DE FACTURACIÓN]]-PROVEEDORES[[#This Row],[PLAZO Días]],0)</f>
        <v>0</v>
      </c>
      <c r="U1179" s="97" t="str">
        <f>+VLOOKUP(PROVEEDORES[[#This Row],[PROVEEDOR]],Terceros!$A:$D,4,FALSE)</f>
        <v>2,5% con base</v>
      </c>
      <c r="V1179" s="98">
        <f>+YEAR(PROVEEDORES[[#This Row],[FECHA DE FACTURACIÓN]])</f>
        <v>2023</v>
      </c>
      <c r="W1179" s="98">
        <f>+MATCH(PROVEEDORES[[#This Row],[año facturado]],Retenciones!$1:$1,0)</f>
        <v>6</v>
      </c>
      <c r="X1179" s="99">
        <f>+VLOOKUP(PROVEEDORES[[#This Row],[ID RETENCION]],Retenciones!$A$1:$O$25,PROVEEDORES[[#This Row],[indicador de columna]],FALSE)</f>
        <v>1145000</v>
      </c>
      <c r="Y1179" s="100">
        <f>+VLOOKUP(PROVEEDORES[[#This Row],[ID RETENCION]],Retenciones!$A$1:$O$25,2,FALSE)</f>
        <v>2.5000000000000001E-2</v>
      </c>
      <c r="Z1179" s="103" t="b">
        <f>OR(COUNTIF(PROVEEDORES[[#This Row],[PROVEEDOR]],"*"&amp;'Palabra no opera'!$A$2&amp;"*"))</f>
        <v>0</v>
      </c>
    </row>
    <row r="1180" spans="1:26" ht="22.35" customHeight="1" x14ac:dyDescent="0.25">
      <c r="A1180" s="262" t="str">
        <f>+IF(PROVEEDORES[[#This Row],[FECHA DE PAGO]]=PROVEEDORES[[#This Row],[FECHA DE FACTURACIÓN]],"DE CONTADO","CRÉDITO")</f>
        <v>CRÉDITO</v>
      </c>
      <c r="B1180" s="38" t="b">
        <f>+IF((PROVEEDORES[[#This Row],[FECHA DE PAGO]]-PROVEEDORES[[#This Row],[FECHA DE FACTURACIÓN]])&gt;PROVEEDORES[[#This Row],[PLAZO Días]],"PAGO VENCIDO")</f>
        <v>0</v>
      </c>
      <c r="C1180" s="20">
        <f>+VLOOKUP(PROVEEDORES[[#This Row],[PROVEEDOR]],TERCEROS_INFO[#All],2,FALSE)</f>
        <v>45</v>
      </c>
      <c r="D1180" s="25">
        <f>+SUMIFS(PROVEEDORES[Total],PROVEEDORES[PROVEEDOR],PROVEEDORES[[#This Row],[PROVEEDOR]],PROVEEDORES[FECHA DE PAGO],"")</f>
        <v>13678360</v>
      </c>
      <c r="E1180" s="25"/>
      <c r="F1180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80" s="289">
        <v>45288</v>
      </c>
      <c r="H1180" s="26" t="s">
        <v>10</v>
      </c>
      <c r="I1180" s="289">
        <v>45247</v>
      </c>
      <c r="J1180" s="35" t="s">
        <v>1296</v>
      </c>
      <c r="K1180" s="21">
        <v>380000</v>
      </c>
      <c r="L1180" s="21"/>
      <c r="M1180" s="22">
        <f>(PROVEEDORES[[#This Row],[SUBTOTAL]]-PROVEEDORES[[#This Row],[descuento sobre subtotal]])*VLOOKUP(PROVEEDORES[[#This Row],[PROVEEDOR]],TERCEROS_INFO[#All],3,FALSE)</f>
        <v>72200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72">
        <f>+IF(PROVEEDORES[[#This Row],[SUBTOTAL]]&lt;PROVEEDORES[[#This Row],[base retencion]],0,PROVEEDORES[[#This Row],[retención aplicada]])</f>
        <v>0</v>
      </c>
      <c r="Q1180" s="22">
        <f>+PROVEEDORES[[#This Row],[Rete Fuente %]]*(PROVEEDORES[[#This Row],[SUBTOTAL]]-PROVEEDORES[[#This Row],[descuento sobre subtotal]])</f>
        <v>0</v>
      </c>
      <c r="R1180" s="21">
        <f>+PROVEEDORES[[#This Row],[SUBTOTAL]]+PROVEEDORES[[#This Row],[IVA 19%]]-PROVEEDORES[[#This Row],[descuento sobre subtotal]]-PROVEEDORES[[#This Row],[Descuento sobre subtotal $2]]-PROVEEDORES[[#This Row],[Rete Fuente $]]</f>
        <v>452200</v>
      </c>
      <c r="S1180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1">
        <f ca="1">IF(PROVEEDORES[[#This Row],[FECHA DE PAGO]]=0,TODAY()-PROVEEDORES[[#This Row],[FECHA DE FACTURACIÓN]]-PROVEEDORES[[#This Row],[PLAZO Días]],0)</f>
        <v>0</v>
      </c>
      <c r="U1180" s="97" t="str">
        <f>+VLOOKUP(PROVEEDORES[[#This Row],[PROVEEDOR]],Terceros!$A:$D,4,FALSE)</f>
        <v>2,5% con base</v>
      </c>
      <c r="V1180" s="98">
        <f>+YEAR(PROVEEDORES[[#This Row],[FECHA DE FACTURACIÓN]])</f>
        <v>2023</v>
      </c>
      <c r="W1180" s="98">
        <f>+MATCH(PROVEEDORES[[#This Row],[año facturado]],Retenciones!$1:$1,0)</f>
        <v>6</v>
      </c>
      <c r="X1180" s="99">
        <f>+VLOOKUP(PROVEEDORES[[#This Row],[ID RETENCION]],Retenciones!$A$1:$O$25,PROVEEDORES[[#This Row],[indicador de columna]],FALSE)</f>
        <v>1145000</v>
      </c>
      <c r="Y1180" s="100">
        <f>+VLOOKUP(PROVEEDORES[[#This Row],[ID RETENCION]],Retenciones!$A$1:$O$25,2,FALSE)</f>
        <v>2.5000000000000001E-2</v>
      </c>
      <c r="Z1180" s="103" t="b">
        <f>OR(COUNTIF(PROVEEDORES[[#This Row],[PROVEEDOR]],"*"&amp;'Palabra no opera'!$A$2&amp;"*"))</f>
        <v>0</v>
      </c>
    </row>
    <row r="1181" spans="1:26" ht="22.35" customHeight="1" x14ac:dyDescent="0.25">
      <c r="A1181" s="270" t="str">
        <f>+IF(PROVEEDORES[[#This Row],[FECHA DE PAGO]]=PROVEEDORES[[#This Row],[FECHA DE FACTURACIÓN]],"DE CONTADO","CRÉDITO")</f>
        <v>CRÉDITO</v>
      </c>
      <c r="B1181" s="38" t="b">
        <f>+IF((PROVEEDORES[[#This Row],[FECHA DE PAGO]]-PROVEEDORES[[#This Row],[FECHA DE FACTURACIÓN]])&gt;PROVEEDORES[[#This Row],[PLAZO Días]],"PAGO VENCIDO")</f>
        <v>0</v>
      </c>
      <c r="C1181" s="20">
        <f>+VLOOKUP(PROVEEDORES[[#This Row],[PROVEEDOR]],TERCEROS_INFO[#All],2,FALSE)</f>
        <v>30</v>
      </c>
      <c r="D1181" s="25">
        <f>+SUMIFS(PROVEEDORES[Total],PROVEEDORES[PROVEEDOR],PROVEEDORES[[#This Row],[PROVEEDOR]],PROVEEDORES[FECHA DE PAGO],"")</f>
        <v>6857153.040000001</v>
      </c>
      <c r="E1181" s="25"/>
      <c r="F1181" s="56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H1181" s="26" t="s">
        <v>254</v>
      </c>
      <c r="I1181" s="289">
        <v>45289</v>
      </c>
      <c r="J1181" s="35" t="s">
        <v>1451</v>
      </c>
      <c r="K1181" s="21">
        <v>1274790</v>
      </c>
      <c r="L1181" s="21"/>
      <c r="M1181" s="22">
        <f>(PROVEEDORES[[#This Row],[SUBTOTAL]]-PROVEEDORES[[#This Row],[descuento sobre subtotal]])*VLOOKUP(PROVEEDORES[[#This Row],[PROVEEDOR]],TERCEROS_INFO[#All],3,FALSE)</f>
        <v>242210.1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72">
        <f>+IF(PROVEEDORES[[#This Row],[SUBTOTAL]]&lt;PROVEEDORES[[#This Row],[base retencion]],0,PROVEEDORES[[#This Row],[retención aplicada]])</f>
        <v>2.5000000000000001E-2</v>
      </c>
      <c r="Q1181" s="22">
        <f>+PROVEEDORES[[#This Row],[Rete Fuente %]]*(PROVEEDORES[[#This Row],[SUBTOTAL]]-PROVEEDORES[[#This Row],[descuento sobre subtotal]])</f>
        <v>31869.75</v>
      </c>
      <c r="R1181" s="21">
        <f>+PROVEEDORES[[#This Row],[SUBTOTAL]]+PROVEEDORES[[#This Row],[IVA 19%]]-PROVEEDORES[[#This Row],[descuento sobre subtotal]]-PROVEEDORES[[#This Row],[Descuento sobre subtotal $2]]-PROVEEDORES[[#This Row],[Rete Fuente $]]</f>
        <v>1485130.35</v>
      </c>
      <c r="S1181" s="271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181" s="61">
        <f ca="1">IF(PROVEEDORES[[#This Row],[FECHA DE PAGO]]=0,TODAY()-PROVEEDORES[[#This Row],[FECHA DE FACTURACIÓN]]-PROVEEDORES[[#This Row],[PLAZO Días]],0)</f>
        <v>9</v>
      </c>
      <c r="U1181" s="97" t="str">
        <f>+VLOOKUP(PROVEEDORES[[#This Row],[PROVEEDOR]],Terceros!$A:$D,4,FALSE)</f>
        <v>2,5% con base</v>
      </c>
      <c r="V1181" s="98">
        <f>+YEAR(PROVEEDORES[[#This Row],[FECHA DE FACTURACIÓN]])</f>
        <v>2023</v>
      </c>
      <c r="W1181" s="98">
        <f>+MATCH(PROVEEDORES[[#This Row],[año facturado]],Retenciones!$1:$1,0)</f>
        <v>6</v>
      </c>
      <c r="X1181" s="99">
        <f>+VLOOKUP(PROVEEDORES[[#This Row],[ID RETENCION]],Retenciones!$A$1:$O$25,PROVEEDORES[[#This Row],[indicador de columna]],FALSE)</f>
        <v>1145000</v>
      </c>
      <c r="Y1181" s="100">
        <f>+VLOOKUP(PROVEEDORES[[#This Row],[ID RETENCION]],Retenciones!$A$1:$O$25,2,FALSE)</f>
        <v>2.5000000000000001E-2</v>
      </c>
      <c r="Z1181" s="103" t="b">
        <f>OR(COUNTIF(PROVEEDORES[[#This Row],[PROVEEDOR]],"*"&amp;'Palabra no opera'!$A$2&amp;"*"))</f>
        <v>0</v>
      </c>
    </row>
    <row r="1182" spans="1:26" ht="22.35" customHeight="1" x14ac:dyDescent="0.25">
      <c r="A1182" s="65" t="str">
        <f>+IF(PROVEEDORES[[#This Row],[FECHA DE PAGO]]=PROVEEDORES[[#This Row],[FECHA DE FACTURACIÓN]],"DE CONTADO","CRÉDITO")</f>
        <v>CRÉDITO</v>
      </c>
      <c r="B1182" s="38" t="b">
        <f>+IF((PROVEEDORES[[#This Row],[FECHA DE PAGO]]-PROVEEDORES[[#This Row],[FECHA DE FACTURACIÓN]])&gt;PROVEEDORES[[#This Row],[PLAZO Días]],"PAGO VENCIDO")</f>
        <v>0</v>
      </c>
      <c r="C1182" s="20">
        <f>+VLOOKUP(PROVEEDORES[[#This Row],[PROVEEDOR]],TERCEROS_INFO[#All],2,FALSE)</f>
        <v>45</v>
      </c>
      <c r="D1182" s="25">
        <f>+SUMIFS(PROVEEDORES[Total],PROVEEDORES[PROVEEDOR],PROVEEDORES[[#This Row],[PROVEEDOR]],PROVEEDORES[FECHA DE PAGO],"")</f>
        <v>13678360</v>
      </c>
      <c r="E1182" s="25"/>
      <c r="F1182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182" s="26" t="s">
        <v>10</v>
      </c>
      <c r="I1182" s="289">
        <v>45287</v>
      </c>
      <c r="J1182" s="35" t="s">
        <v>1430</v>
      </c>
      <c r="K1182" s="21">
        <v>2584000</v>
      </c>
      <c r="L1182" s="21"/>
      <c r="M1182" s="22">
        <f>(PROVEEDORES[[#This Row],[SUBTOTAL]]-PROVEEDORES[[#This Row],[descuento sobre subtotal]])*VLOOKUP(PROVEEDORES[[#This Row],[PROVEEDOR]],TERCEROS_INFO[#All],3,FALSE)</f>
        <v>490960</v>
      </c>
      <c r="N1182" s="23"/>
      <c r="O1182" s="22">
        <f>+PROVEEDORES[[#This Row],[Descuento sobre subtotal %]]*(PROVEEDORES[[#This Row],[SUBTOTAL]]-PROVEEDORES[[#This Row],[descuento sobre subtotal]])</f>
        <v>0</v>
      </c>
      <c r="P1182" s="72">
        <f>+IF(PROVEEDORES[[#This Row],[SUBTOTAL]]&lt;PROVEEDORES[[#This Row],[base retencion]],0,PROVEEDORES[[#This Row],[retención aplicada]])</f>
        <v>2.5000000000000001E-2</v>
      </c>
      <c r="Q1182" s="22">
        <f>+PROVEEDORES[[#This Row],[Rete Fuente %]]*(PROVEEDORES[[#This Row],[SUBTOTAL]]-PROVEEDORES[[#This Row],[descuento sobre subtotal]])</f>
        <v>64600</v>
      </c>
      <c r="R1182" s="21">
        <f>+PROVEEDORES[[#This Row],[SUBTOTAL]]+PROVEEDORES[[#This Row],[IVA 19%]]-PROVEEDORES[[#This Row],[descuento sobre subtotal]]-PROVEEDORES[[#This Row],[Descuento sobre subtotal $2]]-PROVEEDORES[[#This Row],[Rete Fuente $]]</f>
        <v>3010360</v>
      </c>
      <c r="S1182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182" s="61">
        <f ca="1">IF(PROVEEDORES[[#This Row],[FECHA DE PAGO]]=0,TODAY()-PROVEEDORES[[#This Row],[FECHA DE FACTURACIÓN]]-PROVEEDORES[[#This Row],[PLAZO Días]],0)</f>
        <v>-4</v>
      </c>
      <c r="U1182" s="97" t="str">
        <f>+VLOOKUP(PROVEEDORES[[#This Row],[PROVEEDOR]],Terceros!$A:$D,4,FALSE)</f>
        <v>2,5% con base</v>
      </c>
      <c r="V1182" s="98">
        <f>+YEAR(PROVEEDORES[[#This Row],[FECHA DE FACTURACIÓN]])</f>
        <v>2023</v>
      </c>
      <c r="W1182" s="98">
        <f>+MATCH(PROVEEDORES[[#This Row],[año facturado]],Retenciones!$1:$1,0)</f>
        <v>6</v>
      </c>
      <c r="X1182" s="99">
        <f>+VLOOKUP(PROVEEDORES[[#This Row],[ID RETENCION]],Retenciones!$A$1:$O$25,PROVEEDORES[[#This Row],[indicador de columna]],FALSE)</f>
        <v>1145000</v>
      </c>
      <c r="Y1182" s="100">
        <f>+VLOOKUP(PROVEEDORES[[#This Row],[ID RETENCION]],Retenciones!$A$1:$O$25,2,FALSE)</f>
        <v>2.5000000000000001E-2</v>
      </c>
      <c r="Z1182" s="103" t="b">
        <f>OR(COUNTIF(PROVEEDORES[[#This Row],[PROVEEDOR]],"*"&amp;'Palabra no opera'!$A$2&amp;"*"))</f>
        <v>0</v>
      </c>
    </row>
    <row r="1183" spans="1:26" ht="22.35" customHeight="1" x14ac:dyDescent="0.25">
      <c r="A1183" s="65" t="str">
        <f>+IF(PROVEEDORES[[#This Row],[FECHA DE PAGO]]=PROVEEDORES[[#This Row],[FECHA DE FACTURACIÓN]],"DE CONTADO","CRÉDITO")</f>
        <v>CRÉDITO</v>
      </c>
      <c r="B1183" s="38" t="str">
        <f>+IF((PROVEEDORES[[#This Row],[FECHA DE PAGO]]-PROVEEDORES[[#This Row],[FECHA DE FACTURACIÓN]])&gt;PROVEEDORES[[#This Row],[PLAZO Días]],"PAGO VENCIDO")</f>
        <v>PAGO VENCIDO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2190013.0175000001</v>
      </c>
      <c r="E1183" s="25"/>
      <c r="F1183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3" s="289">
        <v>44988</v>
      </c>
      <c r="H1183" s="26" t="s">
        <v>491</v>
      </c>
      <c r="I1183" s="289">
        <v>44952</v>
      </c>
      <c r="J1183" s="35" t="s">
        <v>586</v>
      </c>
      <c r="K1183" s="21">
        <v>1278410</v>
      </c>
      <c r="L1183" s="21"/>
      <c r="M1183" s="22">
        <f>(PROVEEDORES[[#This Row],[SUBTOTAL]]-PROVEEDORES[[#This Row],[descuento sobre subtotal]])*VLOOKUP(PROVEEDORES[[#This Row],[PROVEEDOR]],TERCEROS_INFO[#All],3,FALSE)</f>
        <v>242897.9</v>
      </c>
      <c r="N1183" s="23"/>
      <c r="O1183" s="22">
        <f>+PROVEEDORES[[#This Row],[Descuento sobre subtotal %]]*(PROVEEDORES[[#This Row],[SUBTOTAL]]-PROVEEDORES[[#This Row],[descuento sobre subtotal]])</f>
        <v>0</v>
      </c>
      <c r="P1183" s="72">
        <f>+IF(PROVEEDORES[[#This Row],[SUBTOTAL]]&lt;PROVEEDORES[[#This Row],[base retencion]],0,PROVEEDORES[[#This Row],[retención aplicada]])</f>
        <v>2.5000000000000001E-2</v>
      </c>
      <c r="Q1183" s="22">
        <f>+PROVEEDORES[[#This Row],[Rete Fuente %]]*(PROVEEDORES[[#This Row],[SUBTOTAL]]-PROVEEDORES[[#This Row],[descuento sobre subtotal]])</f>
        <v>31960.25</v>
      </c>
      <c r="R1183" s="21">
        <f>+PROVEEDORES[[#This Row],[SUBTOTAL]]+PROVEEDORES[[#This Row],[IVA 19%]]-PROVEEDORES[[#This Row],[descuento sobre subtotal]]-PROVEEDORES[[#This Row],[Descuento sobre subtotal $2]]-PROVEEDORES[[#This Row],[Rete Fuente $]]</f>
        <v>1489347.65</v>
      </c>
      <c r="S118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61">
        <f ca="1">IF(PROVEEDORES[[#This Row],[FECHA DE PAGO]]=0,TODAY()-PROVEEDORES[[#This Row],[FECHA DE FACTURACIÓN]]-PROVEEDORES[[#This Row],[PLAZO Días]],0)</f>
        <v>0</v>
      </c>
      <c r="U1183" s="97" t="str">
        <f>+VLOOKUP(PROVEEDORES[[#This Row],[PROVEEDOR]],Terceros!$A:$D,4,FALSE)</f>
        <v>2,5% con base</v>
      </c>
      <c r="V1183" s="98">
        <f>+YEAR(PROVEEDORES[[#This Row],[FECHA DE FACTURACIÓN]])</f>
        <v>2023</v>
      </c>
      <c r="W1183" s="98">
        <f>+MATCH(PROVEEDORES[[#This Row],[año facturado]],Retenciones!$1:$1,0)</f>
        <v>6</v>
      </c>
      <c r="X1183" s="99">
        <f>+VLOOKUP(PROVEEDORES[[#This Row],[ID RETENCION]],Retenciones!$A$1:$O$25,PROVEEDORES[[#This Row],[indicador de columna]],FALSE)</f>
        <v>1145000</v>
      </c>
      <c r="Y1183" s="100">
        <f>+VLOOKUP(PROVEEDORES[[#This Row],[ID RETENCION]],Retenciones!$A$1:$O$25,2,FALSE)</f>
        <v>2.5000000000000001E-2</v>
      </c>
      <c r="Z1183" s="103" t="b">
        <f>OR(COUNTIF(PROVEEDORES[[#This Row],[PROVEEDOR]],"*"&amp;'Palabra no opera'!$A$2&amp;"*"))</f>
        <v>0</v>
      </c>
    </row>
    <row r="1184" spans="1:26" ht="22.35" customHeight="1" x14ac:dyDescent="0.25">
      <c r="A1184" s="65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2190013.0175000001</v>
      </c>
      <c r="E1184" s="25"/>
      <c r="F1184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4" s="289">
        <v>45036</v>
      </c>
      <c r="H1184" s="26" t="s">
        <v>491</v>
      </c>
      <c r="I1184" s="289">
        <v>44994</v>
      </c>
      <c r="J1184" s="35" t="s">
        <v>655</v>
      </c>
      <c r="K1184" s="21">
        <v>1487397</v>
      </c>
      <c r="L1184" s="21"/>
      <c r="M1184" s="22">
        <f>(PROVEEDORES[[#This Row],[SUBTOTAL]]-PROVEEDORES[[#This Row],[descuento sobre subtotal]])*VLOOKUP(PROVEEDORES[[#This Row],[PROVEEDOR]],TERCEROS_INFO[#All],3,FALSE)</f>
        <v>282605.43</v>
      </c>
      <c r="N1184" s="23"/>
      <c r="O1184" s="22">
        <f>+PROVEEDORES[[#This Row],[Descuento sobre subtotal %]]*(PROVEEDORES[[#This Row],[SUBTOTAL]]-PROVEEDORES[[#This Row],[descuento sobre subtotal]])</f>
        <v>0</v>
      </c>
      <c r="P1184" s="72">
        <f>+IF(PROVEEDORES[[#This Row],[SUBTOTAL]]&lt;PROVEEDORES[[#This Row],[base retencion]],0,PROVEEDORES[[#This Row],[retención aplicada]])</f>
        <v>2.5000000000000001E-2</v>
      </c>
      <c r="Q1184" s="22">
        <f>+PROVEEDORES[[#This Row],[Rete Fuente %]]*(PROVEEDORES[[#This Row],[SUBTOTAL]]-PROVEEDORES[[#This Row],[descuento sobre subtotal]])</f>
        <v>37184.925000000003</v>
      </c>
      <c r="R1184" s="21">
        <f>+PROVEEDORES[[#This Row],[SUBTOTAL]]+PROVEEDORES[[#This Row],[IVA 19%]]-PROVEEDORES[[#This Row],[descuento sobre subtotal]]-PROVEEDORES[[#This Row],[Descuento sobre subtotal $2]]-PROVEEDORES[[#This Row],[Rete Fuente $]]</f>
        <v>1732817.5049999999</v>
      </c>
      <c r="S118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1">
        <f ca="1">IF(PROVEEDORES[[#This Row],[FECHA DE PAGO]]=0,TODAY()-PROVEEDORES[[#This Row],[FECHA DE FACTURACIÓN]]-PROVEEDORES[[#This Row],[PLAZO Días]],0)</f>
        <v>0</v>
      </c>
      <c r="U1184" s="97" t="str">
        <f>+VLOOKUP(PROVEEDORES[[#This Row],[PROVEEDOR]],Terceros!$A:$D,4,FALSE)</f>
        <v>2,5% con base</v>
      </c>
      <c r="V1184" s="98">
        <f>+YEAR(PROVEEDORES[[#This Row],[FECHA DE FACTURACIÓN]])</f>
        <v>2023</v>
      </c>
      <c r="W1184" s="98">
        <f>+MATCH(PROVEEDORES[[#This Row],[año facturado]],Retenciones!$1:$1,0)</f>
        <v>6</v>
      </c>
      <c r="X1184" s="99">
        <f>+VLOOKUP(PROVEEDORES[[#This Row],[ID RETENCION]],Retenciones!$A$1:$O$25,PROVEEDORES[[#This Row],[indicador de columna]],FALSE)</f>
        <v>1145000</v>
      </c>
      <c r="Y1184" s="100">
        <f>+VLOOKUP(PROVEEDORES[[#This Row],[ID RETENCION]],Retenciones!$A$1:$O$25,2,FALSE)</f>
        <v>2.5000000000000001E-2</v>
      </c>
      <c r="Z1184" s="103" t="b">
        <f>OR(COUNTIF(PROVEEDORES[[#This Row],[PROVEEDOR]],"*"&amp;'Palabra no opera'!$A$2&amp;"*"))</f>
        <v>0</v>
      </c>
    </row>
    <row r="1185" spans="1:26" ht="22.35" customHeight="1" x14ac:dyDescent="0.25">
      <c r="A1185" s="164" t="str">
        <f>+IF(PROVEEDORES[[#This Row],[FECHA DE PAGO]]=PROVEEDORES[[#This Row],[FECHA DE FACTURACIÓN]],"DE CONTADO","CRÉDITO")</f>
        <v>CRÉDITO</v>
      </c>
      <c r="B1185" s="38" t="b">
        <f>+IF((PROVEEDORES[[#This Row],[FECHA DE PAGO]]-PROVEEDORES[[#This Row],[FECHA DE FACTURACIÓN]])&gt;PROVEEDORES[[#This Row],[PLAZO Días]],"PAGO VENCIDO")</f>
        <v>0</v>
      </c>
      <c r="C1185" s="20">
        <f>+VLOOKUP(PROVEEDORES[[#This Row],[PROVEEDOR]],TERCEROS_INFO[#All],2,FALSE)</f>
        <v>30</v>
      </c>
      <c r="D1185" s="25">
        <f>+SUMIFS(PROVEEDORES[Total],PROVEEDORES[PROVEEDOR],PROVEEDORES[[#This Row],[PROVEEDOR]],PROVEEDORES[FECHA DE PAGO],"")</f>
        <v>2190013.0175000001</v>
      </c>
      <c r="E1185" s="25"/>
      <c r="F1185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5" s="289">
        <v>45012</v>
      </c>
      <c r="H1185" s="26" t="s">
        <v>491</v>
      </c>
      <c r="I1185" s="289">
        <v>45008</v>
      </c>
      <c r="J1185" s="35" t="s">
        <v>683</v>
      </c>
      <c r="K1185" s="21">
        <v>16180800</v>
      </c>
      <c r="L1185" s="21"/>
      <c r="M1185" s="22">
        <f>(PROVEEDORES[[#This Row],[SUBTOTAL]]-PROVEEDORES[[#This Row],[descuento sobre subtotal]])*VLOOKUP(PROVEEDORES[[#This Row],[PROVEEDOR]],TERCEROS_INFO[#All],3,FALSE)</f>
        <v>3074352</v>
      </c>
      <c r="N1185" s="23"/>
      <c r="O1185" s="22">
        <f>+PROVEEDORES[[#This Row],[Descuento sobre subtotal %]]*(PROVEEDORES[[#This Row],[SUBTOTAL]]-PROVEEDORES[[#This Row],[descuento sobre subtotal]])</f>
        <v>0</v>
      </c>
      <c r="P1185" s="72">
        <f>+IF(PROVEEDORES[[#This Row],[SUBTOTAL]]&lt;PROVEEDORES[[#This Row],[base retencion]],0,PROVEEDORES[[#This Row],[retención aplicada]])</f>
        <v>2.5000000000000001E-2</v>
      </c>
      <c r="Q1185" s="22">
        <f>+PROVEEDORES[[#This Row],[Rete Fuente %]]*(PROVEEDORES[[#This Row],[SUBTOTAL]]-PROVEEDORES[[#This Row],[descuento sobre subtotal]])</f>
        <v>404520</v>
      </c>
      <c r="R1185" s="21">
        <f>+PROVEEDORES[[#This Row],[SUBTOTAL]]+PROVEEDORES[[#This Row],[IVA 19%]]-PROVEEDORES[[#This Row],[descuento sobre subtotal]]-PROVEEDORES[[#This Row],[Descuento sobre subtotal $2]]-PROVEEDORES[[#This Row],[Rete Fuente $]]</f>
        <v>18850632</v>
      </c>
      <c r="S1185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1">
        <f ca="1">IF(PROVEEDORES[[#This Row],[FECHA DE PAGO]]=0,TODAY()-PROVEEDORES[[#This Row],[FECHA DE FACTURACIÓN]]-PROVEEDORES[[#This Row],[PLAZO Días]],0)</f>
        <v>0</v>
      </c>
      <c r="U1185" s="97" t="str">
        <f>+VLOOKUP(PROVEEDORES[[#This Row],[PROVEEDOR]],Terceros!$A:$D,4,FALSE)</f>
        <v>2,5% con base</v>
      </c>
      <c r="V1185" s="98">
        <f>+YEAR(PROVEEDORES[[#This Row],[FECHA DE FACTURACIÓN]])</f>
        <v>2023</v>
      </c>
      <c r="W1185" s="98">
        <f>+MATCH(PROVEEDORES[[#This Row],[año facturado]],Retenciones!$1:$1,0)</f>
        <v>6</v>
      </c>
      <c r="X1185" s="99">
        <f>+VLOOKUP(PROVEEDORES[[#This Row],[ID RETENCION]],Retenciones!$A$1:$O$25,PROVEEDORES[[#This Row],[indicador de columna]],FALSE)</f>
        <v>1145000</v>
      </c>
      <c r="Y1185" s="100">
        <f>+VLOOKUP(PROVEEDORES[[#This Row],[ID RETENCION]],Retenciones!$A$1:$O$25,2,FALSE)</f>
        <v>2.5000000000000001E-2</v>
      </c>
      <c r="Z1185" s="103" t="b">
        <f>OR(COUNTIF(PROVEEDORES[[#This Row],[PROVEEDOR]],"*"&amp;'Palabra no opera'!$A$2&amp;"*"))</f>
        <v>0</v>
      </c>
    </row>
    <row r="1186" spans="1:26" ht="22.35" customHeight="1" x14ac:dyDescent="0.25">
      <c r="A1186" s="192" t="str">
        <f>+IF(PROVEEDORES[[#This Row],[FECHA DE PAGO]]=PROVEEDORES[[#This Row],[FECHA DE FACTURACIÓN]],"DE CONTADO","CRÉDITO")</f>
        <v>CRÉDITO</v>
      </c>
      <c r="B1186" s="38" t="str">
        <f>+IF((PROVEEDORES[[#This Row],[FECHA DE PAGO]]-PROVEEDORES[[#This Row],[FECHA DE FACTURACIÓN]])&gt;PROVEEDORES[[#This Row],[PLAZO Días]],"PAGO VENCIDO")</f>
        <v>PAGO VENCIDO</v>
      </c>
      <c r="C1186" s="20">
        <f>+VLOOKUP(PROVEEDORES[[#This Row],[PROVEEDOR]],TERCEROS_INFO[#All],2,FALSE)</f>
        <v>30</v>
      </c>
      <c r="D1186" s="25">
        <f>+SUMIFS(PROVEEDORES[Total],PROVEEDORES[PROVEEDOR],PROVEEDORES[[#This Row],[PROVEEDOR]],PROVEEDORES[FECHA DE PAGO],"")</f>
        <v>2190013.0175000001</v>
      </c>
      <c r="E1186" s="25"/>
      <c r="F1186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6" s="289">
        <v>45082</v>
      </c>
      <c r="H1186" s="26" t="s">
        <v>491</v>
      </c>
      <c r="I1186" s="289">
        <v>45040</v>
      </c>
      <c r="J1186" s="35" t="s">
        <v>793</v>
      </c>
      <c r="K1186" s="21">
        <v>2420170</v>
      </c>
      <c r="L1186" s="21"/>
      <c r="M1186" s="22">
        <f>(PROVEEDORES[[#This Row],[SUBTOTAL]]-PROVEEDORES[[#This Row],[descuento sobre subtotal]])*VLOOKUP(PROVEEDORES[[#This Row],[PROVEEDOR]],TERCEROS_INFO[#All],3,FALSE)</f>
        <v>459832.3</v>
      </c>
      <c r="N1186" s="23"/>
      <c r="O1186" s="22">
        <f>+PROVEEDORES[[#This Row],[Descuento sobre subtotal %]]*(PROVEEDORES[[#This Row],[SUBTOTAL]]-PROVEEDORES[[#This Row],[descuento sobre subtotal]])</f>
        <v>0</v>
      </c>
      <c r="P1186" s="72">
        <f>+IF(PROVEEDORES[[#This Row],[SUBTOTAL]]&lt;PROVEEDORES[[#This Row],[base retencion]],0,PROVEEDORES[[#This Row],[retención aplicada]])</f>
        <v>2.5000000000000001E-2</v>
      </c>
      <c r="Q1186" s="22">
        <f>+PROVEEDORES[[#This Row],[Rete Fuente %]]*(PROVEEDORES[[#This Row],[SUBTOTAL]]-PROVEEDORES[[#This Row],[descuento sobre subtotal]])</f>
        <v>60504.25</v>
      </c>
      <c r="R1186" s="21">
        <f>+PROVEEDORES[[#This Row],[SUBTOTAL]]+PROVEEDORES[[#This Row],[IVA 19%]]-PROVEEDORES[[#This Row],[descuento sobre subtotal]]-PROVEEDORES[[#This Row],[Descuento sobre subtotal $2]]-PROVEEDORES[[#This Row],[Rete Fuente $]]</f>
        <v>2819498.05</v>
      </c>
      <c r="S118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1">
        <f ca="1">IF(PROVEEDORES[[#This Row],[FECHA DE PAGO]]=0,TODAY()-PROVEEDORES[[#This Row],[FECHA DE FACTURACIÓN]]-PROVEEDORES[[#This Row],[PLAZO Días]],0)</f>
        <v>0</v>
      </c>
      <c r="U1186" s="97" t="str">
        <f>+VLOOKUP(PROVEEDORES[[#This Row],[PROVEEDOR]],Terceros!$A:$D,4,FALSE)</f>
        <v>2,5% con base</v>
      </c>
      <c r="V1186" s="98">
        <f>+YEAR(PROVEEDORES[[#This Row],[FECHA DE FACTURACIÓN]])</f>
        <v>2023</v>
      </c>
      <c r="W1186" s="98">
        <f>+MATCH(PROVEEDORES[[#This Row],[año facturado]],Retenciones!$1:$1,0)</f>
        <v>6</v>
      </c>
      <c r="X1186" s="99">
        <f>+VLOOKUP(PROVEEDORES[[#This Row],[ID RETENCION]],Retenciones!$A$1:$O$25,PROVEEDORES[[#This Row],[indicador de columna]],FALSE)</f>
        <v>1145000</v>
      </c>
      <c r="Y1186" s="100">
        <f>+VLOOKUP(PROVEEDORES[[#This Row],[ID RETENCION]],Retenciones!$A$1:$O$25,2,FALSE)</f>
        <v>2.5000000000000001E-2</v>
      </c>
      <c r="Z1186" s="103" t="b">
        <f>OR(COUNTIF(PROVEEDORES[[#This Row],[PROVEEDOR]],"*"&amp;'Palabra no opera'!$A$2&amp;"*"))</f>
        <v>0</v>
      </c>
    </row>
    <row r="1187" spans="1:26" ht="22.35" customHeight="1" x14ac:dyDescent="0.25">
      <c r="A1187" s="65" t="str">
        <f>+IF(PROVEEDORES[[#This Row],[FECHA DE PAGO]]=PROVEEDORES[[#This Row],[FECHA DE FACTURACIÓN]],"DE CONTADO","CRÉDITO")</f>
        <v>CRÉDITO</v>
      </c>
      <c r="B1187" s="38" t="str">
        <f>+IF((PROVEEDORES[[#This Row],[FECHA DE PAGO]]-PROVEEDORES[[#This Row],[FECHA DE FACTURACIÓN]])&gt;PROVEEDORES[[#This Row],[PLAZO Días]],"PAGO VENCIDO")</f>
        <v>PAGO VENCIDO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2190013.0175000001</v>
      </c>
      <c r="E1187" s="25"/>
      <c r="F1187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7" s="289">
        <v>45097</v>
      </c>
      <c r="H1187" s="26" t="s">
        <v>491</v>
      </c>
      <c r="I1187" s="289">
        <v>45061</v>
      </c>
      <c r="J1187" s="35" t="s">
        <v>840</v>
      </c>
      <c r="K1187" s="21">
        <v>4516272</v>
      </c>
      <c r="L1187" s="21"/>
      <c r="M1187" s="22">
        <f>(PROVEEDORES[[#This Row],[SUBTOTAL]]-PROVEEDORES[[#This Row],[descuento sobre subtotal]])*VLOOKUP(PROVEEDORES[[#This Row],[PROVEEDOR]],TERCEROS_INFO[#All],3,FALSE)</f>
        <v>858091.68</v>
      </c>
      <c r="N1187" s="23"/>
      <c r="O1187" s="22">
        <f>+PROVEEDORES[[#This Row],[Descuento sobre subtotal %]]*(PROVEEDORES[[#This Row],[SUBTOTAL]]-PROVEEDORES[[#This Row],[descuento sobre subtotal]])</f>
        <v>0</v>
      </c>
      <c r="P1187" s="72">
        <f>+IF(PROVEEDORES[[#This Row],[SUBTOTAL]]&lt;PROVEEDORES[[#This Row],[base retencion]],0,PROVEEDORES[[#This Row],[retención aplicada]])</f>
        <v>2.5000000000000001E-2</v>
      </c>
      <c r="Q1187" s="22">
        <f>+PROVEEDORES[[#This Row],[Rete Fuente %]]*(PROVEEDORES[[#This Row],[SUBTOTAL]]-PROVEEDORES[[#This Row],[descuento sobre subtotal]])</f>
        <v>112906.8</v>
      </c>
      <c r="R1187" s="21">
        <f>+PROVEEDORES[[#This Row],[SUBTOTAL]]+PROVEEDORES[[#This Row],[IVA 19%]]-PROVEEDORES[[#This Row],[descuento sobre subtotal]]-PROVEEDORES[[#This Row],[Descuento sobre subtotal $2]]-PROVEEDORES[[#This Row],[Rete Fuente $]]</f>
        <v>5261456.88</v>
      </c>
      <c r="S118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1">
        <f ca="1">IF(PROVEEDORES[[#This Row],[FECHA DE PAGO]]=0,TODAY()-PROVEEDORES[[#This Row],[FECHA DE FACTURACIÓN]]-PROVEEDORES[[#This Row],[PLAZO Días]],0)</f>
        <v>0</v>
      </c>
      <c r="U1187" s="97" t="str">
        <f>+VLOOKUP(PROVEEDORES[[#This Row],[PROVEEDOR]],Terceros!$A:$D,4,FALSE)</f>
        <v>2,5% con base</v>
      </c>
      <c r="V1187" s="98">
        <f>+YEAR(PROVEEDORES[[#This Row],[FECHA DE FACTURACIÓN]])</f>
        <v>2023</v>
      </c>
      <c r="W1187" s="98">
        <f>+MATCH(PROVEEDORES[[#This Row],[año facturado]],Retenciones!$1:$1,0)</f>
        <v>6</v>
      </c>
      <c r="X1187" s="99">
        <f>+VLOOKUP(PROVEEDORES[[#This Row],[ID RETENCION]],Retenciones!$A$1:$O$25,PROVEEDORES[[#This Row],[indicador de columna]],FALSE)</f>
        <v>1145000</v>
      </c>
      <c r="Y1187" s="100">
        <f>+VLOOKUP(PROVEEDORES[[#This Row],[ID RETENCION]],Retenciones!$A$1:$O$25,2,FALSE)</f>
        <v>2.5000000000000001E-2</v>
      </c>
      <c r="Z1187" s="103" t="b">
        <f>OR(COUNTIF(PROVEEDORES[[#This Row],[PROVEEDOR]],"*"&amp;'Palabra no opera'!$A$2&amp;"*"))</f>
        <v>0</v>
      </c>
    </row>
    <row r="1188" spans="1:26" ht="22.35" customHeight="1" x14ac:dyDescent="0.25">
      <c r="A1188" s="65" t="str">
        <f>+IF(PROVEEDORES[[#This Row],[FECHA DE PAGO]]=PROVEEDORES[[#This Row],[FECHA DE FACTURACIÓN]],"DE CONTADO","CRÉDITO")</f>
        <v>CRÉDITO</v>
      </c>
      <c r="B1188" s="38" t="str">
        <f>+IF((PROVEEDORES[[#This Row],[FECHA DE PAGO]]-PROVEEDORES[[#This Row],[FECHA DE FACTURACIÓN]])&gt;PROVEEDORES[[#This Row],[PLAZO Días]],"PAGO VENCIDO")</f>
        <v>PAGO VENCIDO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2190013.0175000001</v>
      </c>
      <c r="E1188" s="25"/>
      <c r="F1188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8" s="289">
        <v>45163</v>
      </c>
      <c r="H1188" s="26" t="s">
        <v>491</v>
      </c>
      <c r="I1188" s="289">
        <v>45128</v>
      </c>
      <c r="J1188" s="35" t="s">
        <v>970</v>
      </c>
      <c r="K1188" s="21">
        <v>1369750</v>
      </c>
      <c r="L1188" s="21"/>
      <c r="M1188" s="22">
        <f>(PROVEEDORES[[#This Row],[SUBTOTAL]]-PROVEEDORES[[#This Row],[descuento sobre subtotal]])*VLOOKUP(PROVEEDORES[[#This Row],[PROVEEDOR]],TERCEROS_INFO[#All],3,FALSE)</f>
        <v>260252.5</v>
      </c>
      <c r="N1188" s="23"/>
      <c r="O1188" s="22">
        <f>+PROVEEDORES[[#This Row],[Descuento sobre subtotal %]]*(PROVEEDORES[[#This Row],[SUBTOTAL]]-PROVEEDORES[[#This Row],[descuento sobre subtotal]])</f>
        <v>0</v>
      </c>
      <c r="P1188" s="72">
        <f>+IF(PROVEEDORES[[#This Row],[SUBTOTAL]]&lt;PROVEEDORES[[#This Row],[base retencion]],0,PROVEEDORES[[#This Row],[retención aplicada]])</f>
        <v>2.5000000000000001E-2</v>
      </c>
      <c r="Q1188" s="22">
        <f>+PROVEEDORES[[#This Row],[Rete Fuente %]]*(PROVEEDORES[[#This Row],[SUBTOTAL]]-PROVEEDORES[[#This Row],[descuento sobre subtotal]])</f>
        <v>34243.75</v>
      </c>
      <c r="R1188" s="21">
        <f>+PROVEEDORES[[#This Row],[SUBTOTAL]]+PROVEEDORES[[#This Row],[IVA 19%]]-PROVEEDORES[[#This Row],[descuento sobre subtotal]]-PROVEEDORES[[#This Row],[Descuento sobre subtotal $2]]-PROVEEDORES[[#This Row],[Rete Fuente $]]</f>
        <v>1595758.75</v>
      </c>
      <c r="S118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1">
        <f ca="1">IF(PROVEEDORES[[#This Row],[FECHA DE PAGO]]=0,TODAY()-PROVEEDORES[[#This Row],[FECHA DE FACTURACIÓN]]-PROVEEDORES[[#This Row],[PLAZO Días]],0)</f>
        <v>0</v>
      </c>
      <c r="U1188" s="97" t="str">
        <f>+VLOOKUP(PROVEEDORES[[#This Row],[PROVEEDOR]],Terceros!$A:$D,4,FALSE)</f>
        <v>2,5% con base</v>
      </c>
      <c r="V1188" s="98">
        <f>+YEAR(PROVEEDORES[[#This Row],[FECHA DE FACTURACIÓN]])</f>
        <v>2023</v>
      </c>
      <c r="W1188" s="98">
        <f>+MATCH(PROVEEDORES[[#This Row],[año facturado]],Retenciones!$1:$1,0)</f>
        <v>6</v>
      </c>
      <c r="X1188" s="99">
        <f>+VLOOKUP(PROVEEDORES[[#This Row],[ID RETENCION]],Retenciones!$A$1:$O$25,PROVEEDORES[[#This Row],[indicador de columna]],FALSE)</f>
        <v>1145000</v>
      </c>
      <c r="Y1188" s="100">
        <f>+VLOOKUP(PROVEEDORES[[#This Row],[ID RETENCION]],Retenciones!$A$1:$O$25,2,FALSE)</f>
        <v>2.5000000000000001E-2</v>
      </c>
      <c r="Z1188" s="103" t="b">
        <f>OR(COUNTIF(PROVEEDORES[[#This Row],[PROVEEDOR]],"*"&amp;'Palabra no opera'!$A$2&amp;"*"))</f>
        <v>0</v>
      </c>
    </row>
    <row r="1189" spans="1:26" ht="22.35" customHeight="1" x14ac:dyDescent="0.25">
      <c r="A1189" s="65" t="str">
        <f>+IF(PROVEEDORES[[#This Row],[FECHA DE PAGO]]=PROVEEDORES[[#This Row],[FECHA DE FACTURACIÓN]],"DE CONTADO","CRÉDITO")</f>
        <v>CRÉDITO</v>
      </c>
      <c r="B1189" s="38" t="str">
        <f>+IF((PROVEEDORES[[#This Row],[FECHA DE PAGO]]-PROVEEDORES[[#This Row],[FECHA DE FACTURACIÓN]])&gt;PROVEEDORES[[#This Row],[PLAZO Días]],"PAGO VENCIDO")</f>
        <v>PAGO VENCIDO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2190013.0175000001</v>
      </c>
      <c r="E1189" s="25"/>
      <c r="F1189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89" s="289">
        <v>45208</v>
      </c>
      <c r="H1189" s="26" t="s">
        <v>491</v>
      </c>
      <c r="I1189" s="289">
        <v>45174</v>
      </c>
      <c r="J1189" s="35" t="s">
        <v>1109</v>
      </c>
      <c r="K1189" s="21">
        <v>1928576</v>
      </c>
      <c r="L1189" s="21"/>
      <c r="M1189" s="22">
        <f>(PROVEEDORES[[#This Row],[SUBTOTAL]]-PROVEEDORES[[#This Row],[descuento sobre subtotal]])*VLOOKUP(PROVEEDORES[[#This Row],[PROVEEDOR]],TERCEROS_INFO[#All],3,FALSE)</f>
        <v>366429.44</v>
      </c>
      <c r="N1189" s="23"/>
      <c r="O1189" s="22">
        <f>+PROVEEDORES[[#This Row],[Descuento sobre subtotal %]]*(PROVEEDORES[[#This Row],[SUBTOTAL]]-PROVEEDORES[[#This Row],[descuento sobre subtotal]])</f>
        <v>0</v>
      </c>
      <c r="P1189" s="72">
        <f>+IF(PROVEEDORES[[#This Row],[SUBTOTAL]]&lt;PROVEEDORES[[#This Row],[base retencion]],0,PROVEEDORES[[#This Row],[retención aplicada]])</f>
        <v>2.5000000000000001E-2</v>
      </c>
      <c r="Q1189" s="22">
        <f>+PROVEEDORES[[#This Row],[Rete Fuente %]]*(PROVEEDORES[[#This Row],[SUBTOTAL]]-PROVEEDORES[[#This Row],[descuento sobre subtotal]])</f>
        <v>48214.400000000001</v>
      </c>
      <c r="R1189" s="21">
        <f>+PROVEEDORES[[#This Row],[SUBTOTAL]]+PROVEEDORES[[#This Row],[IVA 19%]]-PROVEEDORES[[#This Row],[descuento sobre subtotal]]-PROVEEDORES[[#This Row],[Descuento sobre subtotal $2]]-PROVEEDORES[[#This Row],[Rete Fuente $]]</f>
        <v>2246791.04</v>
      </c>
      <c r="S118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1">
        <f ca="1">IF(PROVEEDORES[[#This Row],[FECHA DE PAGO]]=0,TODAY()-PROVEEDORES[[#This Row],[FECHA DE FACTURACIÓN]]-PROVEEDORES[[#This Row],[PLAZO Días]],0)</f>
        <v>0</v>
      </c>
      <c r="U1189" s="97" t="str">
        <f>+VLOOKUP(PROVEEDORES[[#This Row],[PROVEEDOR]],Terceros!$A:$D,4,FALSE)</f>
        <v>2,5% con base</v>
      </c>
      <c r="V1189" s="98">
        <f>+YEAR(PROVEEDORES[[#This Row],[FECHA DE FACTURACIÓN]])</f>
        <v>2023</v>
      </c>
      <c r="W1189" s="98">
        <f>+MATCH(PROVEEDORES[[#This Row],[año facturado]],Retenciones!$1:$1,0)</f>
        <v>6</v>
      </c>
      <c r="X1189" s="99">
        <f>+VLOOKUP(PROVEEDORES[[#This Row],[ID RETENCION]],Retenciones!$A$1:$O$25,PROVEEDORES[[#This Row],[indicador de columna]],FALSE)</f>
        <v>1145000</v>
      </c>
      <c r="Y1189" s="100">
        <f>+VLOOKUP(PROVEEDORES[[#This Row],[ID RETENCION]],Retenciones!$A$1:$O$25,2,FALSE)</f>
        <v>2.5000000000000001E-2</v>
      </c>
      <c r="Z1189" s="103" t="b">
        <f>OR(COUNTIF(PROVEEDORES[[#This Row],[PROVEEDOR]],"*"&amp;'Palabra no opera'!$A$2&amp;"*"))</f>
        <v>0</v>
      </c>
    </row>
    <row r="1190" spans="1:26" ht="22.35" customHeight="1" x14ac:dyDescent="0.25">
      <c r="A1190" s="65" t="str">
        <f>+IF(PROVEEDORES[[#This Row],[FECHA DE PAGO]]=PROVEEDORES[[#This Row],[FECHA DE FACTURACIÓN]],"DE CONTADO","CRÉDITO")</f>
        <v>CRÉDITO</v>
      </c>
      <c r="B1190" s="38" t="str">
        <f>+IF((PROVEEDORES[[#This Row],[FECHA DE PAGO]]-PROVEEDORES[[#This Row],[FECHA DE FACTURACIÓN]])&gt;PROVEEDORES[[#This Row],[PLAZO Días]],"PAGO VENCIDO")</f>
        <v>PAGO VENCIDO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2190013.0175000001</v>
      </c>
      <c r="E1190" s="25"/>
      <c r="F1190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90" s="289">
        <v>45222</v>
      </c>
      <c r="H1190" s="26" t="s">
        <v>491</v>
      </c>
      <c r="I1190" s="289">
        <v>45187</v>
      </c>
      <c r="J1190" s="35" t="s">
        <v>1110</v>
      </c>
      <c r="K1190" s="21">
        <v>2762184</v>
      </c>
      <c r="L1190" s="21"/>
      <c r="M1190" s="22">
        <f>(PROVEEDORES[[#This Row],[SUBTOTAL]]-PROVEEDORES[[#This Row],[descuento sobre subtotal]])*VLOOKUP(PROVEEDORES[[#This Row],[PROVEEDOR]],TERCEROS_INFO[#All],3,FALSE)</f>
        <v>524814.96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72">
        <f>+IF(PROVEEDORES[[#This Row],[SUBTOTAL]]&lt;PROVEEDORES[[#This Row],[base retencion]],0,PROVEEDORES[[#This Row],[retención aplicada]])</f>
        <v>2.5000000000000001E-2</v>
      </c>
      <c r="Q1190" s="22">
        <f>+PROVEEDORES[[#This Row],[Rete Fuente %]]*(PROVEEDORES[[#This Row],[SUBTOTAL]]-PROVEEDORES[[#This Row],[descuento sobre subtotal]])</f>
        <v>69054.600000000006</v>
      </c>
      <c r="R1190" s="21">
        <f>+PROVEEDORES[[#This Row],[SUBTOTAL]]+PROVEEDORES[[#This Row],[IVA 19%]]-PROVEEDORES[[#This Row],[descuento sobre subtotal]]-PROVEEDORES[[#This Row],[Descuento sobre subtotal $2]]-PROVEEDORES[[#This Row],[Rete Fuente $]]</f>
        <v>3217944.36</v>
      </c>
      <c r="S119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1">
        <f ca="1">IF(PROVEEDORES[[#This Row],[FECHA DE PAGO]]=0,TODAY()-PROVEEDORES[[#This Row],[FECHA DE FACTURACIÓN]]-PROVEEDORES[[#This Row],[PLAZO Días]],0)</f>
        <v>0</v>
      </c>
      <c r="U1190" s="97" t="str">
        <f>+VLOOKUP(PROVEEDORES[[#This Row],[PROVEEDOR]],Terceros!$A:$D,4,FALSE)</f>
        <v>2,5% con base</v>
      </c>
      <c r="V1190" s="98">
        <f>+YEAR(PROVEEDORES[[#This Row],[FECHA DE FACTURACIÓN]])</f>
        <v>2023</v>
      </c>
      <c r="W1190" s="98">
        <f>+MATCH(PROVEEDORES[[#This Row],[año facturado]],Retenciones!$1:$1,0)</f>
        <v>6</v>
      </c>
      <c r="X1190" s="99">
        <f>+VLOOKUP(PROVEEDORES[[#This Row],[ID RETENCION]],Retenciones!$A$1:$O$25,PROVEEDORES[[#This Row],[indicador de columna]],FALSE)</f>
        <v>1145000</v>
      </c>
      <c r="Y1190" s="100">
        <f>+VLOOKUP(PROVEEDORES[[#This Row],[ID RETENCION]],Retenciones!$A$1:$O$25,2,FALSE)</f>
        <v>2.5000000000000001E-2</v>
      </c>
      <c r="Z1190" s="103" t="b">
        <f>OR(COUNTIF(PROVEEDORES[[#This Row],[PROVEEDOR]],"*"&amp;'Palabra no opera'!$A$2&amp;"*"))</f>
        <v>0</v>
      </c>
    </row>
    <row r="1191" spans="1:26" ht="22.35" customHeight="1" x14ac:dyDescent="0.25">
      <c r="A1191" s="65" t="str">
        <f>+IF(PROVEEDORES[[#This Row],[FECHA DE PAGO]]=PROVEEDORES[[#This Row],[FECHA DE FACTURACIÓN]],"DE CONTADO","CRÉDITO")</f>
        <v>CRÉDITO</v>
      </c>
      <c r="B1191" s="38" t="str">
        <f>+IF((PROVEEDORES[[#This Row],[FECHA DE PAGO]]-PROVEEDORES[[#This Row],[FECHA DE FACTURACIÓN]])&gt;PROVEEDORES[[#This Row],[PLAZO Días]],"PAGO VENCIDO")</f>
        <v>PAGO VENCIDO</v>
      </c>
      <c r="C1191" s="20">
        <f>+VLOOKUP(PROVEEDORES[[#This Row],[PROVEEDOR]],TERCEROS_INFO[#All],2,FALSE)</f>
        <v>30</v>
      </c>
      <c r="D1191" s="25">
        <f>+SUMIFS(PROVEEDORES[Total],PROVEEDORES[PROVEEDOR],PROVEEDORES[[#This Row],[PROVEEDOR]],PROVEEDORES[FECHA DE PAGO],"")</f>
        <v>2190013.0175000001</v>
      </c>
      <c r="E1191" s="25"/>
      <c r="F1191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91" s="289">
        <v>45251</v>
      </c>
      <c r="H1191" s="26" t="s">
        <v>491</v>
      </c>
      <c r="I1191" s="289">
        <v>45216</v>
      </c>
      <c r="J1191" s="35" t="s">
        <v>1229</v>
      </c>
      <c r="K1191" s="21">
        <v>884121</v>
      </c>
      <c r="L1191" s="21"/>
      <c r="M1191" s="22">
        <f>(PROVEEDORES[[#This Row],[SUBTOTAL]]-PROVEEDORES[[#This Row],[descuento sobre subtotal]])*VLOOKUP(PROVEEDORES[[#This Row],[PROVEEDOR]],TERCEROS_INFO[#All],3,FALSE)</f>
        <v>167982.99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72">
        <f>+IF(PROVEEDORES[[#This Row],[SUBTOTAL]]&lt;PROVEEDORES[[#This Row],[base retencion]],0,PROVEEDORES[[#This Row],[retención aplicada]])</f>
        <v>0</v>
      </c>
      <c r="Q1191" s="22">
        <f>+PROVEEDORES[[#This Row],[Rete Fuente %]]*(PROVEEDORES[[#This Row],[SUBTOTAL]]-PROVEEDORES[[#This Row],[descuento sobre subtotal]])</f>
        <v>0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1052103.99</v>
      </c>
      <c r="S119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1">
        <f ca="1">IF(PROVEEDORES[[#This Row],[FECHA DE PAGO]]=0,TODAY()-PROVEEDORES[[#This Row],[FECHA DE FACTURACIÓN]]-PROVEEDORES[[#This Row],[PLAZO Días]],0)</f>
        <v>0</v>
      </c>
      <c r="U1191" s="97" t="str">
        <f>+VLOOKUP(PROVEEDORES[[#This Row],[PROVEEDOR]],Terceros!$A:$D,4,FALSE)</f>
        <v>2,5% con base</v>
      </c>
      <c r="V1191" s="98">
        <f>+YEAR(PROVEEDORES[[#This Row],[FECHA DE FACTURACIÓN]])</f>
        <v>2023</v>
      </c>
      <c r="W1191" s="98">
        <f>+MATCH(PROVEEDORES[[#This Row],[año facturado]],Retenciones!$1:$1,0)</f>
        <v>6</v>
      </c>
      <c r="X1191" s="99">
        <f>+VLOOKUP(PROVEEDORES[[#This Row],[ID RETENCION]],Retenciones!$A$1:$O$25,PROVEEDORES[[#This Row],[indicador de columna]],FALSE)</f>
        <v>1145000</v>
      </c>
      <c r="Y1191" s="100">
        <f>+VLOOKUP(PROVEEDORES[[#This Row],[ID RETENCION]],Retenciones!$A$1:$O$25,2,FALSE)</f>
        <v>2.5000000000000001E-2</v>
      </c>
      <c r="Z1191" s="103" t="b">
        <f>OR(COUNTIF(PROVEEDORES[[#This Row],[PROVEEDOR]],"*"&amp;'Palabra no opera'!$A$2&amp;"*"))</f>
        <v>0</v>
      </c>
    </row>
    <row r="1192" spans="1:26" ht="22.35" customHeight="1" x14ac:dyDescent="0.25">
      <c r="A1192" s="262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30</v>
      </c>
      <c r="D1192" s="25">
        <f>+SUMIFS(PROVEEDORES[Total],PROVEEDORES[PROVEEDOR],PROVEEDORES[[#This Row],[PROVEEDOR]],PROVEEDORES[FECHA DE PAGO],"")</f>
        <v>2190013.0175000001</v>
      </c>
      <c r="E1192" s="25"/>
      <c r="F1192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192" s="289">
        <v>45282</v>
      </c>
      <c r="H1192" s="26" t="s">
        <v>491</v>
      </c>
      <c r="I1192" s="289">
        <v>45251</v>
      </c>
      <c r="J1192" s="35" t="s">
        <v>1294</v>
      </c>
      <c r="K1192" s="21">
        <v>1411768</v>
      </c>
      <c r="L1192" s="21"/>
      <c r="M1192" s="22">
        <f>(PROVEEDORES[[#This Row],[SUBTOTAL]]-PROVEEDORES[[#This Row],[descuento sobre subtotal]])*VLOOKUP(PROVEEDORES[[#This Row],[PROVEEDOR]],TERCEROS_INFO[#All],3,FALSE)</f>
        <v>268235.92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72">
        <f>+IF(PROVEEDORES[[#This Row],[SUBTOTAL]]&lt;PROVEEDORES[[#This Row],[base retencion]],0,PROVEEDORES[[#This Row],[retención aplicada]])</f>
        <v>2.5000000000000001E-2</v>
      </c>
      <c r="Q1192" s="22">
        <f>+PROVEEDORES[[#This Row],[Rete Fuente %]]*(PROVEEDORES[[#This Row],[SUBTOTAL]]-PROVEEDORES[[#This Row],[descuento sobre subtotal]])</f>
        <v>35294.200000000004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1644709.72</v>
      </c>
      <c r="S1192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1">
        <f ca="1">IF(PROVEEDORES[[#This Row],[FECHA DE PAGO]]=0,TODAY()-PROVEEDORES[[#This Row],[FECHA DE FACTURACIÓN]]-PROVEEDORES[[#This Row],[PLAZO Días]],0)</f>
        <v>0</v>
      </c>
      <c r="U1192" s="97" t="str">
        <f>+VLOOKUP(PROVEEDORES[[#This Row],[PROVEEDOR]],Terceros!$A:$D,4,FALSE)</f>
        <v>2,5% con base</v>
      </c>
      <c r="V1192" s="98">
        <f>+YEAR(PROVEEDORES[[#This Row],[FECHA DE FACTURACIÓN]])</f>
        <v>2023</v>
      </c>
      <c r="W1192" s="98">
        <f>+MATCH(PROVEEDORES[[#This Row],[año facturado]],Retenciones!$1:$1,0)</f>
        <v>6</v>
      </c>
      <c r="X1192" s="99">
        <f>+VLOOKUP(PROVEEDORES[[#This Row],[ID RETENCION]],Retenciones!$A$1:$O$25,PROVEEDORES[[#This Row],[indicador de columna]],FALSE)</f>
        <v>1145000</v>
      </c>
      <c r="Y1192" s="100">
        <f>+VLOOKUP(PROVEEDORES[[#This Row],[ID RETENCION]],Retenciones!$A$1:$O$25,2,FALSE)</f>
        <v>2.5000000000000001E-2</v>
      </c>
      <c r="Z1192" s="103" t="b">
        <f>OR(COUNTIF(PROVEEDORES[[#This Row],[PROVEEDOR]],"*"&amp;'Palabra no opera'!$A$2&amp;"*"))</f>
        <v>0</v>
      </c>
    </row>
    <row r="1193" spans="1:26" ht="22.35" customHeight="1" x14ac:dyDescent="0.25">
      <c r="A1193" s="145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10</v>
      </c>
      <c r="D1193" s="25">
        <f>+SUMIFS(PROVEEDORES[Total],PROVEEDORES[PROVEEDOR],PROVEEDORES[[#This Row],[PROVEEDOR]],PROVEEDORES[FECHA DE PAGO],"")</f>
        <v>0</v>
      </c>
      <c r="E1193" s="25"/>
      <c r="F119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3" s="289">
        <v>44953</v>
      </c>
      <c r="H1193" s="26" t="s">
        <v>522</v>
      </c>
      <c r="I1193" s="289">
        <v>44928</v>
      </c>
      <c r="J1193" s="35" t="s">
        <v>560</v>
      </c>
      <c r="K1193" s="21">
        <v>4730000</v>
      </c>
      <c r="L1193" s="21"/>
      <c r="M1193" s="22">
        <v>898700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72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193" s="1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1">
        <f ca="1">IF(PROVEEDORES[[#This Row],[FECHA DE PAGO]]=0,TODAY()-PROVEEDORES[[#This Row],[FECHA DE FACTURACIÓN]]-PROVEEDORES[[#This Row],[PLAZO Días]],0)</f>
        <v>0</v>
      </c>
      <c r="U1193" s="97">
        <f>+VLOOKUP(PROVEEDORES[[#This Row],[PROVEEDOR]],Terceros!$A:$D,4,FALSE)</f>
        <v>0</v>
      </c>
      <c r="V1193" s="98">
        <f>+YEAR(PROVEEDORES[[#This Row],[FECHA DE FACTURACIÓN]])</f>
        <v>2023</v>
      </c>
      <c r="W1193" s="98">
        <f>+MATCH(PROVEEDORES[[#This Row],[año facturado]],Retenciones!$1:$1,0)</f>
        <v>6</v>
      </c>
      <c r="X1193" s="99">
        <f>+VLOOKUP(PROVEEDORES[[#This Row],[ID RETENCION]],Retenciones!$A$1:$O$25,PROVEEDORES[[#This Row],[indicador de columna]],FALSE)</f>
        <v>0</v>
      </c>
      <c r="Y1193" s="100">
        <f>+VLOOKUP(PROVEEDORES[[#This Row],[ID RETENCION]],Retenciones!$A$1:$O$25,2,FALSE)</f>
        <v>0</v>
      </c>
      <c r="Z1193" s="103" t="b">
        <f>OR(COUNTIF(PROVEEDORES[[#This Row],[PROVEEDOR]],"*"&amp;'Palabra no opera'!$A$2&amp;"*"))</f>
        <v>1</v>
      </c>
    </row>
    <row r="1194" spans="1:26" ht="22.35" customHeight="1" x14ac:dyDescent="0.25">
      <c r="A1194" s="159" t="str">
        <f>+IF(PROVEEDORES[[#This Row],[FECHA DE PAGO]]=PROVEEDORES[[#This Row],[FECHA DE FACTURACIÓN]],"DE CONTADO","CRÉDITO")</f>
        <v>CRÉDITO</v>
      </c>
      <c r="B1194" s="38" t="str">
        <f>+IF((PROVEEDORES[[#This Row],[FECHA DE PAGO]]-PROVEEDORES[[#This Row],[FECHA DE FACTURACIÓN]])&gt;PROVEEDORES[[#This Row],[PLAZO Días]],"PAGO VENCIDO")</f>
        <v>PAGO VENCIDO</v>
      </c>
      <c r="C1194" s="20">
        <f>+VLOOKUP(PROVEEDORES[[#This Row],[PROVEEDOR]],TERCEROS_INFO[#All],2,FALSE)</f>
        <v>10</v>
      </c>
      <c r="D1194" s="25">
        <f>+SUMIFS(PROVEEDORES[Total],PROVEEDORES[PROVEEDOR],PROVEEDORES[[#This Row],[PROVEEDOR]],PROVEEDORES[FECHA DE PAGO],"")</f>
        <v>0</v>
      </c>
      <c r="E1194" s="25"/>
      <c r="F1194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4" s="289">
        <v>44995</v>
      </c>
      <c r="H1194" s="26" t="s">
        <v>522</v>
      </c>
      <c r="I1194" s="289">
        <v>44959</v>
      </c>
      <c r="J1194" s="35" t="s">
        <v>653</v>
      </c>
      <c r="K1194" s="21">
        <v>4730000</v>
      </c>
      <c r="L1194" s="21"/>
      <c r="M1194" s="22">
        <v>898700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72">
        <f>+IF(PROVEEDORES[[#This Row],[SUBTOTAL]]&lt;PROVEEDORES[[#This Row],[base retencion]],0,PROVEEDORES[[#This Row],[retención aplicada]])</f>
        <v>0</v>
      </c>
      <c r="Q1194" s="22">
        <f>+PROVEEDORES[[#This Row],[Rete Fuente %]]*(PROVEEDORES[[#This Row],[SUBTOTAL]]-PROVEEDORES[[#This Row],[descuento sobre subtotal]])</f>
        <v>0</v>
      </c>
      <c r="R1194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194" s="16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1">
        <f ca="1">IF(PROVEEDORES[[#This Row],[FECHA DE PAGO]]=0,TODAY()-PROVEEDORES[[#This Row],[FECHA DE FACTURACIÓN]]-PROVEEDORES[[#This Row],[PLAZO Días]],0)</f>
        <v>0</v>
      </c>
      <c r="U1194" s="97">
        <f>+VLOOKUP(PROVEEDORES[[#This Row],[PROVEEDOR]],Terceros!$A:$D,4,FALSE)</f>
        <v>0</v>
      </c>
      <c r="V1194" s="98">
        <f>+YEAR(PROVEEDORES[[#This Row],[FECHA DE FACTURACIÓN]])</f>
        <v>2023</v>
      </c>
      <c r="W1194" s="98">
        <f>+MATCH(PROVEEDORES[[#This Row],[año facturado]],Retenciones!$1:$1,0)</f>
        <v>6</v>
      </c>
      <c r="X1194" s="99">
        <f>+VLOOKUP(PROVEEDORES[[#This Row],[ID RETENCION]],Retenciones!$A$1:$O$25,PROVEEDORES[[#This Row],[indicador de columna]],FALSE)</f>
        <v>0</v>
      </c>
      <c r="Y1194" s="100">
        <f>+VLOOKUP(PROVEEDORES[[#This Row],[ID RETENCION]],Retenciones!$A$1:$O$25,2,FALSE)</f>
        <v>0</v>
      </c>
      <c r="Z1194" s="103" t="b">
        <f>OR(COUNTIF(PROVEEDORES[[#This Row],[PROVEEDOR]],"*"&amp;'Palabra no opera'!$A$2&amp;"*"))</f>
        <v>1</v>
      </c>
    </row>
    <row r="1195" spans="1:26" ht="22.35" customHeight="1" x14ac:dyDescent="0.25">
      <c r="A1195" s="164" t="str">
        <f>+IF(PROVEEDORES[[#This Row],[FECHA DE PAGO]]=PROVEEDORES[[#This Row],[FECHA DE FACTURACIÓN]],"DE CONTADO","CRÉDITO")</f>
        <v>CRÉDITO</v>
      </c>
      <c r="B1195" s="38" t="str">
        <f>+IF((PROVEEDORES[[#This Row],[FECHA DE PAGO]]-PROVEEDORES[[#This Row],[FECHA DE FACTURACIÓN]])&gt;PROVEEDORES[[#This Row],[PLAZO Días]],"PAGO VENCIDO")</f>
        <v>PAGO VENCIDO</v>
      </c>
      <c r="C1195" s="20">
        <f>+VLOOKUP(PROVEEDORES[[#This Row],[PROVEEDOR]],TERCEROS_INFO[#All],2,FALSE)</f>
        <v>10</v>
      </c>
      <c r="D1195" s="25">
        <f>+SUMIFS(PROVEEDORES[Total],PROVEEDORES[PROVEEDOR],PROVEEDORES[[#This Row],[PROVEEDOR]],PROVEEDORES[FECHA DE PAGO],"")</f>
        <v>0</v>
      </c>
      <c r="E1195" s="25"/>
      <c r="F1195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5" s="289">
        <v>45014</v>
      </c>
      <c r="H1195" s="26" t="s">
        <v>522</v>
      </c>
      <c r="I1195" s="289">
        <v>44986</v>
      </c>
      <c r="J1195" s="35" t="s">
        <v>686</v>
      </c>
      <c r="K1195" s="21">
        <v>4730000</v>
      </c>
      <c r="L1195" s="21"/>
      <c r="M1195" s="22">
        <v>898700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72">
        <f>+IF(PROVEEDORES[[#This Row],[SUBTOTAL]]&lt;PROVEEDORES[[#This Row],[base retencion]],0,PROVEEDORES[[#This Row],[retención aplicada]])</f>
        <v>0</v>
      </c>
      <c r="Q1195" s="22">
        <f>+PROVEEDORES[[#This Row],[Rete Fuente %]]*(PROVEEDORES[[#This Row],[SUBTOTAL]]-PROVEEDORES[[#This Row],[descuento sobre subtotal]])</f>
        <v>0</v>
      </c>
      <c r="R1195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195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1">
        <f ca="1">IF(PROVEEDORES[[#This Row],[FECHA DE PAGO]]=0,TODAY()-PROVEEDORES[[#This Row],[FECHA DE FACTURACIÓN]]-PROVEEDORES[[#This Row],[PLAZO Días]],0)</f>
        <v>0</v>
      </c>
      <c r="U1195" s="97">
        <f>+VLOOKUP(PROVEEDORES[[#This Row],[PROVEEDOR]],Terceros!$A:$D,4,FALSE)</f>
        <v>0</v>
      </c>
      <c r="V1195" s="98">
        <f>+YEAR(PROVEEDORES[[#This Row],[FECHA DE FACTURACIÓN]])</f>
        <v>2023</v>
      </c>
      <c r="W1195" s="98">
        <f>+MATCH(PROVEEDORES[[#This Row],[año facturado]],Retenciones!$1:$1,0)</f>
        <v>6</v>
      </c>
      <c r="X1195" s="99">
        <f>+VLOOKUP(PROVEEDORES[[#This Row],[ID RETENCION]],Retenciones!$A$1:$O$25,PROVEEDORES[[#This Row],[indicador de columna]],FALSE)</f>
        <v>0</v>
      </c>
      <c r="Y1195" s="100">
        <f>+VLOOKUP(PROVEEDORES[[#This Row],[ID RETENCION]],Retenciones!$A$1:$O$25,2,FALSE)</f>
        <v>0</v>
      </c>
      <c r="Z1195" s="103" t="b">
        <f>OR(COUNTIF(PROVEEDORES[[#This Row],[PROVEEDOR]],"*"&amp;'Palabra no opera'!$A$2&amp;"*"))</f>
        <v>1</v>
      </c>
    </row>
    <row r="1196" spans="1:26" ht="22.35" customHeight="1" x14ac:dyDescent="0.25">
      <c r="A1196" s="65" t="str">
        <f>+IF(PROVEEDORES[[#This Row],[FECHA DE PAGO]]=PROVEEDORES[[#This Row],[FECHA DE FACTURACIÓN]],"DE CONTADO","CRÉDITO")</f>
        <v>CRÉDITO</v>
      </c>
      <c r="B1196" s="38" t="b">
        <f>+IF((PROVEEDORES[[#This Row],[FECHA DE PAGO]]-PROVEEDORES[[#This Row],[FECHA DE FACTURACIÓN]])&gt;PROVEEDORES[[#This Row],[PLAZO Días]],"PAGO VENCIDO")</f>
        <v>0</v>
      </c>
      <c r="C1196" s="20">
        <f>+VLOOKUP(PROVEEDORES[[#This Row],[PROVEEDOR]],TERCEROS_INFO[#All],2,FALSE)</f>
        <v>10</v>
      </c>
      <c r="D1196" s="25">
        <f>+SUMIFS(PROVEEDORES[Total],PROVEEDORES[PROVEEDOR],PROVEEDORES[[#This Row],[PROVEEDOR]],PROVEEDORES[FECHA DE PAGO],"")</f>
        <v>0</v>
      </c>
      <c r="E1196" s="25"/>
      <c r="F1196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6" s="289">
        <v>45026</v>
      </c>
      <c r="H1196" s="26" t="s">
        <v>522</v>
      </c>
      <c r="I1196" s="289">
        <v>45017</v>
      </c>
      <c r="J1196" s="35" t="s">
        <v>715</v>
      </c>
      <c r="K1196" s="21">
        <v>4730000</v>
      </c>
      <c r="L1196" s="21"/>
      <c r="M1196" s="22">
        <v>898700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72">
        <f>+IF(PROVEEDORES[[#This Row],[SUBTOTAL]]&lt;PROVEEDORES[[#This Row],[base retencion]],0,PROVEEDORES[[#This Row],[retención aplicada]])</f>
        <v>0</v>
      </c>
      <c r="Q1196" s="22">
        <f>+PROVEEDORES[[#This Row],[Rete Fuente %]]*(PROVEEDORES[[#This Row],[SUBTOTAL]]-PROVEEDORES[[#This Row],[descuento sobre subtotal]])</f>
        <v>0</v>
      </c>
      <c r="R1196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19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1">
        <f ca="1">IF(PROVEEDORES[[#This Row],[FECHA DE PAGO]]=0,TODAY()-PROVEEDORES[[#This Row],[FECHA DE FACTURACIÓN]]-PROVEEDORES[[#This Row],[PLAZO Días]],0)</f>
        <v>0</v>
      </c>
      <c r="U1196" s="97">
        <f>+VLOOKUP(PROVEEDORES[[#This Row],[PROVEEDOR]],Terceros!$A:$D,4,FALSE)</f>
        <v>0</v>
      </c>
      <c r="V1196" s="98">
        <f>+YEAR(PROVEEDORES[[#This Row],[FECHA DE FACTURACIÓN]])</f>
        <v>2023</v>
      </c>
      <c r="W1196" s="98">
        <f>+MATCH(PROVEEDORES[[#This Row],[año facturado]],Retenciones!$1:$1,0)</f>
        <v>6</v>
      </c>
      <c r="X1196" s="99">
        <f>+VLOOKUP(PROVEEDORES[[#This Row],[ID RETENCION]],Retenciones!$A$1:$O$25,PROVEEDORES[[#This Row],[indicador de columna]],FALSE)</f>
        <v>0</v>
      </c>
      <c r="Y1196" s="100">
        <f>+VLOOKUP(PROVEEDORES[[#This Row],[ID RETENCION]],Retenciones!$A$1:$O$25,2,FALSE)</f>
        <v>0</v>
      </c>
      <c r="Z1196" s="103" t="b">
        <f>OR(COUNTIF(PROVEEDORES[[#This Row],[PROVEEDOR]],"*"&amp;'Palabra no opera'!$A$2&amp;"*"))</f>
        <v>1</v>
      </c>
    </row>
    <row r="1197" spans="1:26" ht="22.35" customHeight="1" x14ac:dyDescent="0.25">
      <c r="A1197" s="194" t="str">
        <f>+IF(PROVEEDORES[[#This Row],[FECHA DE PAGO]]=PROVEEDORES[[#This Row],[FECHA DE FACTURACIÓN]],"DE CONTADO","CRÉDITO")</f>
        <v>CRÉDITO</v>
      </c>
      <c r="B1197" s="38" t="b">
        <f>+IF((PROVEEDORES[[#This Row],[FECHA DE PAGO]]-PROVEEDORES[[#This Row],[FECHA DE FACTURACIÓN]])&gt;PROVEEDORES[[#This Row],[PLAZO Días]],"PAGO VENCIDO")</f>
        <v>0</v>
      </c>
      <c r="C1197" s="20">
        <f>+VLOOKUP(PROVEEDORES[[#This Row],[PROVEEDOR]],TERCEROS_INFO[#All],2,FALSE)</f>
        <v>10</v>
      </c>
      <c r="D1197" s="25">
        <f>+SUMIFS(PROVEEDORES[Total],PROVEEDORES[PROVEEDOR],PROVEEDORES[[#This Row],[PROVEEDOR]],PROVEEDORES[FECHA DE PAGO],"")</f>
        <v>0</v>
      </c>
      <c r="E1197" s="25"/>
      <c r="F1197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7" s="289">
        <v>45056</v>
      </c>
      <c r="H1197" s="26" t="s">
        <v>522</v>
      </c>
      <c r="I1197" s="289">
        <v>45047</v>
      </c>
      <c r="J1197" s="35" t="s">
        <v>810</v>
      </c>
      <c r="K1197" s="21">
        <v>5350576</v>
      </c>
      <c r="L1197" s="21"/>
      <c r="M1197" s="22">
        <v>1016609</v>
      </c>
      <c r="N1197" s="23"/>
      <c r="O1197" s="22">
        <f>+PROVEEDORES[[#This Row],[Descuento sobre subtotal %]]*(PROVEEDORES[[#This Row],[SUBTOTAL]]-PROVEEDORES[[#This Row],[descuento sobre subtotal]])</f>
        <v>0</v>
      </c>
      <c r="P1197" s="72">
        <f>+IF(PROVEEDORES[[#This Row],[SUBTOTAL]]&lt;PROVEEDORES[[#This Row],[base retencion]],0,PROVEEDORES[[#This Row],[retención aplicada]])</f>
        <v>0</v>
      </c>
      <c r="Q1197" s="22">
        <f>+PROVEEDORES[[#This Row],[Rete Fuente %]]*(PROVEEDORES[[#This Row],[SUBTOTAL]]-PROVEEDORES[[#This Row],[descuento sobre subtotal]])</f>
        <v>0</v>
      </c>
      <c r="R1197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197" s="19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1">
        <f ca="1">IF(PROVEEDORES[[#This Row],[FECHA DE PAGO]]=0,TODAY()-PROVEEDORES[[#This Row],[FECHA DE FACTURACIÓN]]-PROVEEDORES[[#This Row],[PLAZO Días]],0)</f>
        <v>0</v>
      </c>
      <c r="U1197" s="97">
        <f>+VLOOKUP(PROVEEDORES[[#This Row],[PROVEEDOR]],Terceros!$A:$D,4,FALSE)</f>
        <v>0</v>
      </c>
      <c r="V1197" s="98">
        <f>+YEAR(PROVEEDORES[[#This Row],[FECHA DE FACTURACIÓN]])</f>
        <v>2023</v>
      </c>
      <c r="W1197" s="98">
        <f>+MATCH(PROVEEDORES[[#This Row],[año facturado]],Retenciones!$1:$1,0)</f>
        <v>6</v>
      </c>
      <c r="X1197" s="99">
        <f>+VLOOKUP(PROVEEDORES[[#This Row],[ID RETENCION]],Retenciones!$A$1:$O$25,PROVEEDORES[[#This Row],[indicador de columna]],FALSE)</f>
        <v>0</v>
      </c>
      <c r="Y1197" s="100">
        <f>+VLOOKUP(PROVEEDORES[[#This Row],[ID RETENCION]],Retenciones!$A$1:$O$25,2,FALSE)</f>
        <v>0</v>
      </c>
      <c r="Z1197" s="103" t="b">
        <f>OR(COUNTIF(PROVEEDORES[[#This Row],[PROVEEDOR]],"*"&amp;'Palabra no opera'!$A$2&amp;"*"))</f>
        <v>1</v>
      </c>
    </row>
    <row r="1198" spans="1:26" ht="22.35" customHeight="1" x14ac:dyDescent="0.25">
      <c r="A1198" s="65" t="str">
        <f>+IF(PROVEEDORES[[#This Row],[FECHA DE PAGO]]=PROVEEDORES[[#This Row],[FECHA DE FACTURACIÓN]],"DE CONTADO","CRÉDITO")</f>
        <v>CRÉDITO</v>
      </c>
      <c r="B1198" s="38" t="str">
        <f>+IF((PROVEEDORES[[#This Row],[FECHA DE PAGO]]-PROVEEDORES[[#This Row],[FECHA DE FACTURACIÓN]])&gt;PROVEEDORES[[#This Row],[PLAZO Días]],"PAGO VENCIDO")</f>
        <v>PAGO VENCIDO</v>
      </c>
      <c r="C1198" s="20">
        <f>+VLOOKUP(PROVEEDORES[[#This Row],[PROVEEDOR]],TERCEROS_INFO[#All],2,FALSE)</f>
        <v>10</v>
      </c>
      <c r="D1198" s="25">
        <f>+SUMIFS(PROVEEDORES[Total],PROVEEDORES[PROVEEDOR],PROVEEDORES[[#This Row],[PROVEEDOR]],PROVEEDORES[FECHA DE PAGO],"")</f>
        <v>0</v>
      </c>
      <c r="E1198" s="25"/>
      <c r="F1198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8" s="289">
        <v>45090</v>
      </c>
      <c r="H1198" s="26" t="s">
        <v>522</v>
      </c>
      <c r="I1198" s="289">
        <v>45078</v>
      </c>
      <c r="J1198" s="35" t="s">
        <v>868</v>
      </c>
      <c r="K1198" s="21">
        <v>5350576</v>
      </c>
      <c r="L1198" s="21"/>
      <c r="M1198" s="22">
        <v>1016609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72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19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1">
        <f ca="1">IF(PROVEEDORES[[#This Row],[FECHA DE PAGO]]=0,TODAY()-PROVEEDORES[[#This Row],[FECHA DE FACTURACIÓN]]-PROVEEDORES[[#This Row],[PLAZO Días]],0)</f>
        <v>0</v>
      </c>
      <c r="U1198" s="97">
        <f>+VLOOKUP(PROVEEDORES[[#This Row],[PROVEEDOR]],Terceros!$A:$D,4,FALSE)</f>
        <v>0</v>
      </c>
      <c r="V1198" s="98">
        <f>+YEAR(PROVEEDORES[[#This Row],[FECHA DE FACTURACIÓN]])</f>
        <v>2023</v>
      </c>
      <c r="W1198" s="98">
        <f>+MATCH(PROVEEDORES[[#This Row],[año facturado]],Retenciones!$1:$1,0)</f>
        <v>6</v>
      </c>
      <c r="X1198" s="99">
        <f>+VLOOKUP(PROVEEDORES[[#This Row],[ID RETENCION]],Retenciones!$A$1:$O$25,PROVEEDORES[[#This Row],[indicador de columna]],FALSE)</f>
        <v>0</v>
      </c>
      <c r="Y1198" s="100">
        <f>+VLOOKUP(PROVEEDORES[[#This Row],[ID RETENCION]],Retenciones!$A$1:$O$25,2,FALSE)</f>
        <v>0</v>
      </c>
      <c r="Z1198" s="103" t="b">
        <f>OR(COUNTIF(PROVEEDORES[[#This Row],[PROVEEDOR]],"*"&amp;'Palabra no opera'!$A$2&amp;"*"))</f>
        <v>1</v>
      </c>
    </row>
    <row r="1199" spans="1:26" ht="22.35" customHeight="1" x14ac:dyDescent="0.25">
      <c r="A1199" s="65" t="str">
        <f>+IF(PROVEEDORES[[#This Row],[FECHA DE PAGO]]=PROVEEDORES[[#This Row],[FECHA DE FACTURACIÓN]],"DE CONTADO","CRÉDITO")</f>
        <v>CRÉDITO</v>
      </c>
      <c r="B1199" s="38" t="str">
        <f>+IF((PROVEEDORES[[#This Row],[FECHA DE PAGO]]-PROVEEDORES[[#This Row],[FECHA DE FACTURACIÓN]])&gt;PROVEEDORES[[#This Row],[PLAZO Días]],"PAGO VENCIDO")</f>
        <v>PAGO VENCIDO</v>
      </c>
      <c r="C1199" s="20">
        <f>+VLOOKUP(PROVEEDORES[[#This Row],[PROVEEDOR]],TERCEROS_INFO[#All],2,FALSE)</f>
        <v>10</v>
      </c>
      <c r="D1199" s="25">
        <f>+SUMIFS(PROVEEDORES[Total],PROVEEDORES[PROVEEDOR],PROVEEDORES[[#This Row],[PROVEEDOR]],PROVEEDORES[FECHA DE PAGO],"")</f>
        <v>0</v>
      </c>
      <c r="E1199" s="25"/>
      <c r="F1199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99" s="289">
        <v>45121</v>
      </c>
      <c r="H1199" s="26" t="s">
        <v>522</v>
      </c>
      <c r="I1199" s="289">
        <v>45108</v>
      </c>
      <c r="J1199" s="35" t="s">
        <v>937</v>
      </c>
      <c r="K1199" s="21">
        <v>5350576</v>
      </c>
      <c r="L1199" s="21"/>
      <c r="M1199" s="22">
        <v>1016609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72">
        <f>+IF(PROVEEDORES[[#This Row],[SUBTOTAL]]&lt;PROVEEDORES[[#This Row],[base retencion]],0,PROVEEDORES[[#This Row],[retención aplicada]])</f>
        <v>0</v>
      </c>
      <c r="Q1199" s="22">
        <f>+PROVEEDORES[[#This Row],[Rete Fuente %]]*(PROVEEDORES[[#This Row],[SUBTOTAL]]-PROVEEDORES[[#This Row],[descuento sobre subtotal]])</f>
        <v>0</v>
      </c>
      <c r="R1199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19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1">
        <f ca="1">IF(PROVEEDORES[[#This Row],[FECHA DE PAGO]]=0,TODAY()-PROVEEDORES[[#This Row],[FECHA DE FACTURACIÓN]]-PROVEEDORES[[#This Row],[PLAZO Días]],0)</f>
        <v>0</v>
      </c>
      <c r="U1199" s="97">
        <f>+VLOOKUP(PROVEEDORES[[#This Row],[PROVEEDOR]],Terceros!$A:$D,4,FALSE)</f>
        <v>0</v>
      </c>
      <c r="V1199" s="98">
        <f>+YEAR(PROVEEDORES[[#This Row],[FECHA DE FACTURACIÓN]])</f>
        <v>2023</v>
      </c>
      <c r="W1199" s="98">
        <f>+MATCH(PROVEEDORES[[#This Row],[año facturado]],Retenciones!$1:$1,0)</f>
        <v>6</v>
      </c>
      <c r="X1199" s="99">
        <f>+VLOOKUP(PROVEEDORES[[#This Row],[ID RETENCION]],Retenciones!$A$1:$O$25,PROVEEDORES[[#This Row],[indicador de columna]],FALSE)</f>
        <v>0</v>
      </c>
      <c r="Y1199" s="100">
        <f>+VLOOKUP(PROVEEDORES[[#This Row],[ID RETENCION]],Retenciones!$A$1:$O$25,2,FALSE)</f>
        <v>0</v>
      </c>
      <c r="Z1199" s="103" t="b">
        <f>OR(COUNTIF(PROVEEDORES[[#This Row],[PROVEEDOR]],"*"&amp;'Palabra no opera'!$A$2&amp;"*"))</f>
        <v>1</v>
      </c>
    </row>
    <row r="1200" spans="1:26" ht="22.35" customHeight="1" x14ac:dyDescent="0.25">
      <c r="A1200" s="65" t="str">
        <f>+IF(PROVEEDORES[[#This Row],[FECHA DE PAGO]]=PROVEEDORES[[#This Row],[FECHA DE FACTURACIÓN]],"DE CONTADO","CRÉDITO")</f>
        <v>CRÉDITO</v>
      </c>
      <c r="B1200" s="38" t="b">
        <f>+IF((PROVEEDORES[[#This Row],[FECHA DE PAGO]]-PROVEEDORES[[#This Row],[FECHA DE FACTURACIÓN]])&gt;PROVEEDORES[[#This Row],[PLAZO Días]],"PAGO VENCIDO")</f>
        <v>0</v>
      </c>
      <c r="C1200" s="20">
        <f>+VLOOKUP(PROVEEDORES[[#This Row],[PROVEEDOR]],TERCEROS_INFO[#All],2,FALSE)</f>
        <v>10</v>
      </c>
      <c r="D1200" s="25">
        <f>+SUMIFS(PROVEEDORES[Total],PROVEEDORES[PROVEEDOR],PROVEEDORES[[#This Row],[PROVEEDOR]],PROVEEDORES[FECHA DE PAGO],"")</f>
        <v>0</v>
      </c>
      <c r="E1200" s="25"/>
      <c r="F1200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0" s="289">
        <v>45149</v>
      </c>
      <c r="H1200" s="26" t="s">
        <v>522</v>
      </c>
      <c r="I1200" s="289">
        <v>45139</v>
      </c>
      <c r="J1200" s="35" t="s">
        <v>1030</v>
      </c>
      <c r="K1200" s="21">
        <v>5350576</v>
      </c>
      <c r="L1200" s="21"/>
      <c r="M1200" s="22">
        <v>1016609</v>
      </c>
      <c r="N1200" s="23"/>
      <c r="O1200" s="22">
        <f>+PROVEEDORES[[#This Row],[Descuento sobre subtotal %]]*(PROVEEDORES[[#This Row],[SUBTOTAL]]-PROVEEDORES[[#This Row],[descuento sobre subtotal]])</f>
        <v>0</v>
      </c>
      <c r="P1200" s="72">
        <f>+IF(PROVEEDORES[[#This Row],[SUBTOTAL]]&lt;PROVEEDORES[[#This Row],[base retencion]],0,PROVEEDORES[[#This Row],[retención aplicada]])</f>
        <v>0</v>
      </c>
      <c r="Q1200" s="22">
        <f>+PROVEEDORES[[#This Row],[Rete Fuente %]]*(PROVEEDORES[[#This Row],[SUBTOTAL]]-PROVEEDORES[[#This Row],[descuento sobre subtotal]])</f>
        <v>0</v>
      </c>
      <c r="R1200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1">
        <f ca="1">IF(PROVEEDORES[[#This Row],[FECHA DE PAGO]]=0,TODAY()-PROVEEDORES[[#This Row],[FECHA DE FACTURACIÓN]]-PROVEEDORES[[#This Row],[PLAZO Días]],0)</f>
        <v>0</v>
      </c>
      <c r="U1200" s="97">
        <f>+VLOOKUP(PROVEEDORES[[#This Row],[PROVEEDOR]],Terceros!$A:$D,4,FALSE)</f>
        <v>0</v>
      </c>
      <c r="V1200" s="98">
        <f>+YEAR(PROVEEDORES[[#This Row],[FECHA DE FACTURACIÓN]])</f>
        <v>2023</v>
      </c>
      <c r="W1200" s="98">
        <f>+MATCH(PROVEEDORES[[#This Row],[año facturado]],Retenciones!$1:$1,0)</f>
        <v>6</v>
      </c>
      <c r="X1200" s="99">
        <f>+VLOOKUP(PROVEEDORES[[#This Row],[ID RETENCION]],Retenciones!$A$1:$O$25,PROVEEDORES[[#This Row],[indicador de columna]],FALSE)</f>
        <v>0</v>
      </c>
      <c r="Y1200" s="100">
        <f>+VLOOKUP(PROVEEDORES[[#This Row],[ID RETENCION]],Retenciones!$A$1:$O$25,2,FALSE)</f>
        <v>0</v>
      </c>
      <c r="Z1200" s="103" t="b">
        <f>OR(COUNTIF(PROVEEDORES[[#This Row],[PROVEEDOR]],"*"&amp;'Palabra no opera'!$A$2&amp;"*"))</f>
        <v>1</v>
      </c>
    </row>
    <row r="1201" spans="1:26" ht="22.35" customHeight="1" x14ac:dyDescent="0.25">
      <c r="A1201" s="240" t="str">
        <f>+IF(PROVEEDORES[[#This Row],[FECHA DE PAGO]]=PROVEEDORES[[#This Row],[FECHA DE FACTURACIÓN]],"DE CONTADO","CRÉDITO")</f>
        <v>CRÉDITO</v>
      </c>
      <c r="B1201" s="38" t="str">
        <f>+IF((PROVEEDORES[[#This Row],[FECHA DE PAGO]]-PROVEEDORES[[#This Row],[FECHA DE FACTURACIÓN]])&gt;PROVEEDORES[[#This Row],[PLAZO Días]],"PAGO VENCIDO")</f>
        <v>PAGO VENCIDO</v>
      </c>
      <c r="C1201" s="20">
        <f>+VLOOKUP(PROVEEDORES[[#This Row],[PROVEEDOR]],TERCEROS_INFO[#All],2,FALSE)</f>
        <v>10</v>
      </c>
      <c r="D1201" s="25">
        <f>+SUMIFS(PROVEEDORES[Total],PROVEEDORES[PROVEEDOR],PROVEEDORES[[#This Row],[PROVEEDOR]],PROVEEDORES[FECHA DE PAGO],"")</f>
        <v>0</v>
      </c>
      <c r="E1201" s="25"/>
      <c r="F1201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1" s="289">
        <v>45194</v>
      </c>
      <c r="H1201" s="26" t="s">
        <v>522</v>
      </c>
      <c r="I1201" s="289">
        <v>45170</v>
      </c>
      <c r="J1201" s="35" t="s">
        <v>1096</v>
      </c>
      <c r="K1201" s="21">
        <v>5350576</v>
      </c>
      <c r="L1201" s="21"/>
      <c r="M1201" s="22">
        <v>1016609</v>
      </c>
      <c r="N1201" s="23"/>
      <c r="O1201" s="22">
        <f>+PROVEEDORES[[#This Row],[Descuento sobre subtotal %]]*(PROVEEDORES[[#This Row],[SUBTOTAL]]-PROVEEDORES[[#This Row],[descuento sobre subtotal]])</f>
        <v>0</v>
      </c>
      <c r="P1201" s="72">
        <f>+IF(PROVEEDORES[[#This Row],[SUBTOTAL]]&lt;PROVEEDORES[[#This Row],[base retencion]],0,PROVEEDORES[[#This Row],[retención aplicada]])</f>
        <v>0</v>
      </c>
      <c r="Q1201" s="22">
        <f>+PROVEEDORES[[#This Row],[Rete Fuente %]]*(PROVEEDORES[[#This Row],[SUBTOTAL]]-PROVEEDORES[[#This Row],[descuento sobre subtotal]])</f>
        <v>0</v>
      </c>
      <c r="R1201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1" s="24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1">
        <f ca="1">IF(PROVEEDORES[[#This Row],[FECHA DE PAGO]]=0,TODAY()-PROVEEDORES[[#This Row],[FECHA DE FACTURACIÓN]]-PROVEEDORES[[#This Row],[PLAZO Días]],0)</f>
        <v>0</v>
      </c>
      <c r="U1201" s="97">
        <f>+VLOOKUP(PROVEEDORES[[#This Row],[PROVEEDOR]],Terceros!$A:$D,4,FALSE)</f>
        <v>0</v>
      </c>
      <c r="V1201" s="98">
        <f>+YEAR(PROVEEDORES[[#This Row],[FECHA DE FACTURACIÓN]])</f>
        <v>2023</v>
      </c>
      <c r="W1201" s="98">
        <f>+MATCH(PROVEEDORES[[#This Row],[año facturado]],Retenciones!$1:$1,0)</f>
        <v>6</v>
      </c>
      <c r="X1201" s="99">
        <f>+VLOOKUP(PROVEEDORES[[#This Row],[ID RETENCION]],Retenciones!$A$1:$O$25,PROVEEDORES[[#This Row],[indicador de columna]],FALSE)</f>
        <v>0</v>
      </c>
      <c r="Y1201" s="100">
        <f>+VLOOKUP(PROVEEDORES[[#This Row],[ID RETENCION]],Retenciones!$A$1:$O$25,2,FALSE)</f>
        <v>0</v>
      </c>
      <c r="Z1201" s="103" t="b">
        <f>OR(COUNTIF(PROVEEDORES[[#This Row],[PROVEEDOR]],"*"&amp;'Palabra no opera'!$A$2&amp;"*"))</f>
        <v>1</v>
      </c>
    </row>
    <row r="1202" spans="1:26" ht="22.35" customHeight="1" x14ac:dyDescent="0.25">
      <c r="A1202" s="245" t="str">
        <f>+IF(PROVEEDORES[[#This Row],[FECHA DE PAGO]]=PROVEEDORES[[#This Row],[FECHA DE FACTURACIÓN]],"DE CONTADO","CRÉDITO")</f>
        <v>CRÉDITO</v>
      </c>
      <c r="B1202" s="38" t="str">
        <f>+IF((PROVEEDORES[[#This Row],[FECHA DE PAGO]]-PROVEEDORES[[#This Row],[FECHA DE FACTURACIÓN]])&gt;PROVEEDORES[[#This Row],[PLAZO Días]],"PAGO VENCIDO")</f>
        <v>PAGO VENCIDO</v>
      </c>
      <c r="C1202" s="20">
        <f>+VLOOKUP(PROVEEDORES[[#This Row],[PROVEEDOR]],TERCEROS_INFO[#All],2,FALSE)</f>
        <v>10</v>
      </c>
      <c r="D1202" s="25">
        <f>+SUMIFS(PROVEEDORES[Total],PROVEEDORES[PROVEEDOR],PROVEEDORES[[#This Row],[PROVEEDOR]],PROVEEDORES[FECHA DE PAGO],"")</f>
        <v>0</v>
      </c>
      <c r="E1202" s="25"/>
      <c r="F1202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2" s="289">
        <v>45218</v>
      </c>
      <c r="H1202" s="26" t="s">
        <v>522</v>
      </c>
      <c r="I1202" s="289">
        <v>45200</v>
      </c>
      <c r="J1202" s="35" t="s">
        <v>1163</v>
      </c>
      <c r="K1202" s="21">
        <v>5350576</v>
      </c>
      <c r="L1202" s="21"/>
      <c r="M1202" s="22">
        <v>1016609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72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2" s="24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1">
        <f ca="1">IF(PROVEEDORES[[#This Row],[FECHA DE PAGO]]=0,TODAY()-PROVEEDORES[[#This Row],[FECHA DE FACTURACIÓN]]-PROVEEDORES[[#This Row],[PLAZO Días]],0)</f>
        <v>0</v>
      </c>
      <c r="U1202" s="97">
        <f>+VLOOKUP(PROVEEDORES[[#This Row],[PROVEEDOR]],Terceros!$A:$D,4,FALSE)</f>
        <v>0</v>
      </c>
      <c r="V1202" s="98">
        <f>+YEAR(PROVEEDORES[[#This Row],[FECHA DE FACTURACIÓN]])</f>
        <v>2023</v>
      </c>
      <c r="W1202" s="98">
        <f>+MATCH(PROVEEDORES[[#This Row],[año facturado]],Retenciones!$1:$1,0)</f>
        <v>6</v>
      </c>
      <c r="X1202" s="99">
        <f>+VLOOKUP(PROVEEDORES[[#This Row],[ID RETENCION]],Retenciones!$A$1:$O$25,PROVEEDORES[[#This Row],[indicador de columna]],FALSE)</f>
        <v>0</v>
      </c>
      <c r="Y1202" s="100">
        <f>+VLOOKUP(PROVEEDORES[[#This Row],[ID RETENCION]],Retenciones!$A$1:$O$25,2,FALSE)</f>
        <v>0</v>
      </c>
      <c r="Z1202" s="103" t="b">
        <f>OR(COUNTIF(PROVEEDORES[[#This Row],[PROVEEDOR]],"*"&amp;'Palabra no opera'!$A$2&amp;"*"))</f>
        <v>1</v>
      </c>
    </row>
    <row r="1203" spans="1:26" ht="22.35" customHeight="1" x14ac:dyDescent="0.25">
      <c r="A1203" s="252" t="str">
        <f>+IF(PROVEEDORES[[#This Row],[FECHA DE PAGO]]=PROVEEDORES[[#This Row],[FECHA DE FACTURACIÓN]],"DE CONTADO","CRÉDITO")</f>
        <v>CRÉDITO</v>
      </c>
      <c r="B1203" s="38" t="b">
        <f>+IF((PROVEEDORES[[#This Row],[FECHA DE PAGO]]-PROVEEDORES[[#This Row],[FECHA DE FACTURACIÓN]])&gt;PROVEEDORES[[#This Row],[PLAZO Días]],"PAGO VENCIDO")</f>
        <v>0</v>
      </c>
      <c r="C1203" s="20">
        <f>+VLOOKUP(PROVEEDORES[[#This Row],[PROVEEDOR]],TERCEROS_INFO[#All],2,FALSE)</f>
        <v>10</v>
      </c>
      <c r="D1203" s="25">
        <f>+SUMIFS(PROVEEDORES[Total],PROVEEDORES[PROVEEDOR],PROVEEDORES[[#This Row],[PROVEEDOR]],PROVEEDORES[FECHA DE PAGO],"")</f>
        <v>0</v>
      </c>
      <c r="E1203" s="25"/>
      <c r="F120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3" s="289">
        <v>45240</v>
      </c>
      <c r="H1203" s="26" t="s">
        <v>522</v>
      </c>
      <c r="I1203" s="289">
        <v>45231</v>
      </c>
      <c r="J1203" s="35" t="s">
        <v>1242</v>
      </c>
      <c r="K1203" s="21">
        <v>5350576</v>
      </c>
      <c r="L1203" s="21"/>
      <c r="M1203" s="22">
        <v>1016609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72">
        <f>+IF(PROVEEDORES[[#This Row],[SUBTOTAL]]&lt;PROVEEDORES[[#This Row],[base retencion]],0,PROVEEDORES[[#This Row],[retención aplicada]])</f>
        <v>0</v>
      </c>
      <c r="Q1203" s="22">
        <f>+PROVEEDORES[[#This Row],[Rete Fuente %]]*(PROVEEDORES[[#This Row],[SUBTOTAL]]-PROVEEDORES[[#This Row],[descuento sobre subtotal]])</f>
        <v>0</v>
      </c>
      <c r="R1203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3" s="25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1">
        <f ca="1">IF(PROVEEDORES[[#This Row],[FECHA DE PAGO]]=0,TODAY()-PROVEEDORES[[#This Row],[FECHA DE FACTURACIÓN]]-PROVEEDORES[[#This Row],[PLAZO Días]],0)</f>
        <v>0</v>
      </c>
      <c r="U1203" s="97">
        <f>+VLOOKUP(PROVEEDORES[[#This Row],[PROVEEDOR]],Terceros!$A:$D,4,FALSE)</f>
        <v>0</v>
      </c>
      <c r="V1203" s="98">
        <f>+YEAR(PROVEEDORES[[#This Row],[FECHA DE FACTURACIÓN]])</f>
        <v>2023</v>
      </c>
      <c r="W1203" s="98">
        <f>+MATCH(PROVEEDORES[[#This Row],[año facturado]],Retenciones!$1:$1,0)</f>
        <v>6</v>
      </c>
      <c r="X1203" s="99">
        <f>+VLOOKUP(PROVEEDORES[[#This Row],[ID RETENCION]],Retenciones!$A$1:$O$25,PROVEEDORES[[#This Row],[indicador de columna]],FALSE)</f>
        <v>0</v>
      </c>
      <c r="Y1203" s="100">
        <f>+VLOOKUP(PROVEEDORES[[#This Row],[ID RETENCION]],Retenciones!$A$1:$O$25,2,FALSE)</f>
        <v>0</v>
      </c>
      <c r="Z1203" s="103" t="b">
        <f>OR(COUNTIF(PROVEEDORES[[#This Row],[PROVEEDOR]],"*"&amp;'Palabra no opera'!$A$2&amp;"*"))</f>
        <v>1</v>
      </c>
    </row>
    <row r="1204" spans="1:26" ht="22.35" customHeight="1" x14ac:dyDescent="0.25">
      <c r="A1204" s="65" t="str">
        <f>+IF(PROVEEDORES[[#This Row],[FECHA DE PAGO]]=PROVEEDORES[[#This Row],[FECHA DE FACTURACIÓN]],"DE CONTADO","CRÉDITO")</f>
        <v>CRÉDITO</v>
      </c>
      <c r="B1204" s="38" t="b">
        <f>+IF((PROVEEDORES[[#This Row],[FECHA DE PAGO]]-PROVEEDORES[[#This Row],[FECHA DE FACTURACIÓN]])&gt;PROVEEDORES[[#This Row],[PLAZO Días]],"PAGO VENCIDO")</f>
        <v>0</v>
      </c>
      <c r="C1204" s="20">
        <f>+VLOOKUP(PROVEEDORES[[#This Row],[PROVEEDOR]],TERCEROS_INFO[#All],2,FALSE)</f>
        <v>10</v>
      </c>
      <c r="D1204" s="25">
        <f>+SUMIFS(PROVEEDORES[Total],PROVEEDORES[PROVEEDOR],PROVEEDORES[[#This Row],[PROVEEDOR]],PROVEEDORES[FECHA DE PAGO],"")</f>
        <v>0</v>
      </c>
      <c r="E1204" s="25"/>
      <c r="F1204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4" s="289">
        <v>45271</v>
      </c>
      <c r="H1204" s="26" t="s">
        <v>522</v>
      </c>
      <c r="I1204" s="289">
        <v>45261</v>
      </c>
      <c r="J1204" s="35" t="s">
        <v>1359</v>
      </c>
      <c r="K1204" s="21">
        <v>5350576</v>
      </c>
      <c r="L1204" s="21"/>
      <c r="M1204" s="22">
        <v>1016609</v>
      </c>
      <c r="N1204" s="23"/>
      <c r="O1204" s="22">
        <f>+PROVEEDORES[[#This Row],[Descuento sobre subtotal %]]*(PROVEEDORES[[#This Row],[SUBTOTAL]]-PROVEEDORES[[#This Row],[descuento sobre subtotal]])</f>
        <v>0</v>
      </c>
      <c r="P1204" s="72">
        <f>+IF(PROVEEDORES[[#This Row],[SUBTOTAL]]&lt;PROVEEDORES[[#This Row],[base retencion]],0,PROVEEDORES[[#This Row],[retención aplicada]])</f>
        <v>0</v>
      </c>
      <c r="Q1204" s="22">
        <f>+PROVEEDORES[[#This Row],[Rete Fuente %]]*(PROVEEDORES[[#This Row],[SUBTOTAL]]-PROVEEDORES[[#This Row],[descuento sobre subtotal]])</f>
        <v>0</v>
      </c>
      <c r="R1204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1">
        <f ca="1">IF(PROVEEDORES[[#This Row],[FECHA DE PAGO]]=0,TODAY()-PROVEEDORES[[#This Row],[FECHA DE FACTURACIÓN]]-PROVEEDORES[[#This Row],[PLAZO Días]],0)</f>
        <v>0</v>
      </c>
      <c r="U1204" s="97">
        <f>+VLOOKUP(PROVEEDORES[[#This Row],[PROVEEDOR]],Terceros!$A:$D,4,FALSE)</f>
        <v>0</v>
      </c>
      <c r="V1204" s="98">
        <f>+YEAR(PROVEEDORES[[#This Row],[FECHA DE FACTURACIÓN]])</f>
        <v>2023</v>
      </c>
      <c r="W1204" s="98">
        <f>+MATCH(PROVEEDORES[[#This Row],[año facturado]],Retenciones!$1:$1,0)</f>
        <v>6</v>
      </c>
      <c r="X1204" s="99">
        <f>+VLOOKUP(PROVEEDORES[[#This Row],[ID RETENCION]],Retenciones!$A$1:$O$25,PROVEEDORES[[#This Row],[indicador de columna]],FALSE)</f>
        <v>0</v>
      </c>
      <c r="Y1204" s="100">
        <f>+VLOOKUP(PROVEEDORES[[#This Row],[ID RETENCION]],Retenciones!$A$1:$O$25,2,FALSE)</f>
        <v>0</v>
      </c>
      <c r="Z1204" s="103" t="b">
        <f>OR(COUNTIF(PROVEEDORES[[#This Row],[PROVEEDOR]],"*"&amp;'Palabra no opera'!$A$2&amp;"*"))</f>
        <v>1</v>
      </c>
    </row>
    <row r="1205" spans="1:26" ht="22.35" customHeight="1" x14ac:dyDescent="0.25">
      <c r="A1205" s="272" t="str">
        <f>+IF(PROVEEDORES[[#This Row],[FECHA DE PAGO]]=PROVEEDORES[[#This Row],[FECHA DE FACTURACIÓN]],"DE CONTADO","CRÉDITO")</f>
        <v>CRÉDITO</v>
      </c>
      <c r="B1205" s="38" t="b">
        <f>+IF((PROVEEDORES[[#This Row],[FECHA DE PAGO]]-PROVEEDORES[[#This Row],[FECHA DE FACTURACIÓN]])&gt;PROVEEDORES[[#This Row],[PLAZO Días]],"PAGO VENCIDO")</f>
        <v>0</v>
      </c>
      <c r="C1205" s="20">
        <f>+VLOOKUP(PROVEEDORES[[#This Row],[PROVEEDOR]],TERCEROS_INFO[#All],2,FALSE)</f>
        <v>10</v>
      </c>
      <c r="D1205" s="25">
        <f>+SUMIFS(PROVEEDORES[Total],PROVEEDORES[PROVEEDOR],PROVEEDORES[[#This Row],[PROVEEDOR]],PROVEEDORES[FECHA DE PAGO],"")</f>
        <v>0</v>
      </c>
      <c r="E1205" s="25"/>
      <c r="F1205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5" s="289">
        <v>45300</v>
      </c>
      <c r="H1205" s="26" t="s">
        <v>522</v>
      </c>
      <c r="I1205" s="289">
        <v>45292</v>
      </c>
      <c r="J1205" s="35" t="s">
        <v>1460</v>
      </c>
      <c r="K1205" s="21">
        <v>5350576</v>
      </c>
      <c r="L1205" s="21"/>
      <c r="M1205" s="22">
        <v>1016609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72">
        <f>+IF(PROVEEDORES[[#This Row],[SUBTOTAL]]&lt;PROVEEDORES[[#This Row],[base retencion]],0,PROVEEDORES[[#This Row],[retención aplicada]])</f>
        <v>0</v>
      </c>
      <c r="Q1205" s="22">
        <f>+PROVEEDORES[[#This Row],[Rete Fuente %]]*(PROVEEDORES[[#This Row],[SUBTOTAL]]-PROVEEDORES[[#This Row],[descuento sobre subtotal]])</f>
        <v>0</v>
      </c>
      <c r="R1205" s="21">
        <f>+PROVEEDORES[[#This Row],[SUBTOTAL]]+PROVEEDORES[[#This Row],[IVA 19%]]-PROVEEDORES[[#This Row],[descuento sobre subtotal]]-PROVEEDORES[[#This Row],[Descuento sobre subtotal $2]]-PROVEEDORES[[#This Row],[Rete Fuente $]]</f>
        <v>6367185</v>
      </c>
      <c r="S1205" s="27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1">
        <f ca="1">IF(PROVEEDORES[[#This Row],[FECHA DE PAGO]]=0,TODAY()-PROVEEDORES[[#This Row],[FECHA DE FACTURACIÓN]]-PROVEEDORES[[#This Row],[PLAZO Días]],0)</f>
        <v>0</v>
      </c>
      <c r="U1205" s="97">
        <f>+VLOOKUP(PROVEEDORES[[#This Row],[PROVEEDOR]],Terceros!$A:$D,4,FALSE)</f>
        <v>0</v>
      </c>
      <c r="V1205" s="98">
        <f>+YEAR(PROVEEDORES[[#This Row],[FECHA DE FACTURACIÓN]])</f>
        <v>2024</v>
      </c>
      <c r="W1205" s="98">
        <f>+MATCH(PROVEEDORES[[#This Row],[año facturado]],Retenciones!$1:$1,0)</f>
        <v>7</v>
      </c>
      <c r="X1205" s="99">
        <f>+VLOOKUP(PROVEEDORES[[#This Row],[ID RETENCION]],Retenciones!$A$1:$O$25,PROVEEDORES[[#This Row],[indicador de columna]],FALSE)</f>
        <v>0</v>
      </c>
      <c r="Y1205" s="100">
        <f>+VLOOKUP(PROVEEDORES[[#This Row],[ID RETENCION]],Retenciones!$A$1:$O$25,2,FALSE)</f>
        <v>0</v>
      </c>
      <c r="Z1205" s="103" t="b">
        <f>OR(COUNTIF(PROVEEDORES[[#This Row],[PROVEEDOR]],"*"&amp;'Palabra no opera'!$A$2&amp;"*"))</f>
        <v>1</v>
      </c>
    </row>
    <row r="1206" spans="1:26" ht="22.35" customHeight="1" x14ac:dyDescent="0.25">
      <c r="A1206" s="143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2713769.64</v>
      </c>
      <c r="E1206" s="25"/>
      <c r="F120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06" s="289">
        <v>44998</v>
      </c>
      <c r="H1206" s="26" t="s">
        <v>11</v>
      </c>
      <c r="I1206" s="289">
        <v>44937</v>
      </c>
      <c r="J1206" s="35" t="s">
        <v>546</v>
      </c>
      <c r="K1206" s="21">
        <v>-153013</v>
      </c>
      <c r="L1206" s="21"/>
      <c r="M1206" s="22">
        <f>(PROVEEDORES[[#This Row],[SUBTOTAL]]-PROVEEDORES[[#This Row],[descuento sobre subtotal]])*VLOOKUP(PROVEEDORES[[#This Row],[PROVEEDOR]],TERCEROS_INFO[#All],3,FALSE)</f>
        <v>-29072.47</v>
      </c>
      <c r="N1206" s="23"/>
      <c r="O1206" s="22">
        <f>+PROVEEDORES[[#This Row],[Descuento sobre subtotal %]]*(PROVEEDORES[[#This Row],[SUBTOTAL]]-PROVEEDORES[[#This Row],[descuento sobre subtotal]])</f>
        <v>0</v>
      </c>
      <c r="P1206" s="72">
        <f>+IF(PROVEEDORES[[#This Row],[SUBTOTAL]]&lt;PROVEEDORES[[#This Row],[base retencion]],0,PROVEEDORES[[#This Row],[retención aplicada]])</f>
        <v>0</v>
      </c>
      <c r="Q1206" s="22">
        <f>+PROVEEDORES[[#This Row],[Rete Fuente %]]*(PROVEEDORES[[#This Row],[SUBTOTAL]]-PROVEEDORES[[#This Row],[descuento sobre subtotal]])</f>
        <v>0</v>
      </c>
      <c r="R1206" s="21">
        <f>+PROVEEDORES[[#This Row],[SUBTOTAL]]+PROVEEDORES[[#This Row],[IVA 19%]]-PROVEEDORES[[#This Row],[descuento sobre subtotal]]-PROVEEDORES[[#This Row],[Descuento sobre subtotal $2]]-PROVEEDORES[[#This Row],[Rete Fuente $]]</f>
        <v>-182085.47</v>
      </c>
      <c r="S120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1">
        <f ca="1">IF(PROVEEDORES[[#This Row],[FECHA DE PAGO]]=0,TODAY()-PROVEEDORES[[#This Row],[FECHA DE FACTURACIÓN]]-PROVEEDORES[[#This Row],[PLAZO Días]],0)</f>
        <v>0</v>
      </c>
      <c r="U1206" s="97" t="str">
        <f>+VLOOKUP(PROVEEDORES[[#This Row],[PROVEEDOR]],Terceros!$A:$D,4,FALSE)</f>
        <v>2,5% con base</v>
      </c>
      <c r="V1206" s="98">
        <f>+YEAR(PROVEEDORES[[#This Row],[FECHA DE FACTURACIÓN]])</f>
        <v>2023</v>
      </c>
      <c r="W1206" s="98">
        <f>+MATCH(PROVEEDORES[[#This Row],[año facturado]],Retenciones!$1:$1,0)</f>
        <v>6</v>
      </c>
      <c r="X1206" s="99">
        <f>+VLOOKUP(PROVEEDORES[[#This Row],[ID RETENCION]],Retenciones!$A$1:$O$25,PROVEEDORES[[#This Row],[indicador de columna]],FALSE)</f>
        <v>1145000</v>
      </c>
      <c r="Y1206" s="100">
        <f>+VLOOKUP(PROVEEDORES[[#This Row],[ID RETENCION]],Retenciones!$A$1:$O$25,2,FALSE)</f>
        <v>2.5000000000000001E-2</v>
      </c>
      <c r="Z1206" s="103" t="b">
        <f>OR(COUNTIF(PROVEEDORES[[#This Row],[PROVEEDOR]],"*"&amp;'Palabra no opera'!$A$2&amp;"*"))</f>
        <v>0</v>
      </c>
    </row>
    <row r="1207" spans="1:26" ht="22.35" customHeight="1" x14ac:dyDescent="0.25">
      <c r="A1207" s="65" t="str">
        <f>+IF(PROVEEDORES[[#This Row],[FECHA DE PAGO]]=PROVEEDORES[[#This Row],[FECHA DE FACTURACIÓN]],"DE CONTADO","CRÉDITO")</f>
        <v>CRÉDITO</v>
      </c>
      <c r="B1207" s="38" t="str">
        <f>+IF((PROVEEDORES[[#This Row],[FECHA DE PAGO]]-PROVEEDORES[[#This Row],[FECHA DE FACTURACIÓN]])&gt;PROVEEDORES[[#This Row],[PLAZO Días]],"PAGO VENCIDO")</f>
        <v>PAGO VENCIDO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2713769.64</v>
      </c>
      <c r="E1207" s="25"/>
      <c r="F120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07" s="289">
        <v>44998</v>
      </c>
      <c r="H1207" s="26" t="s">
        <v>11</v>
      </c>
      <c r="I1207" s="289">
        <v>44951</v>
      </c>
      <c r="J1207" s="35" t="s">
        <v>583</v>
      </c>
      <c r="K1207" s="21">
        <v>2803032</v>
      </c>
      <c r="L1207" s="21"/>
      <c r="M1207" s="22">
        <f>(PROVEEDORES[[#This Row],[SUBTOTAL]]-PROVEEDORES[[#This Row],[descuento sobre subtotal]])*VLOOKUP(PROVEEDORES[[#This Row],[PROVEEDOR]],TERCEROS_INFO[#All],3,FALSE)</f>
        <v>532576.07999999996</v>
      </c>
      <c r="N1207" s="23"/>
      <c r="O1207" s="22">
        <f>+PROVEEDORES[[#This Row],[Descuento sobre subtotal %]]*(PROVEEDORES[[#This Row],[SUBTOTAL]]-PROVEEDORES[[#This Row],[descuento sobre subtotal]])</f>
        <v>0</v>
      </c>
      <c r="P1207" s="72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70075.8</v>
      </c>
      <c r="R1207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20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1">
        <f ca="1">IF(PROVEEDORES[[#This Row],[FECHA DE PAGO]]=0,TODAY()-PROVEEDORES[[#This Row],[FECHA DE FACTURACIÓN]]-PROVEEDORES[[#This Row],[PLAZO Días]],0)</f>
        <v>0</v>
      </c>
      <c r="U1207" s="97" t="str">
        <f>+VLOOKUP(PROVEEDORES[[#This Row],[PROVEEDOR]],Terceros!$A:$D,4,FALSE)</f>
        <v>2,5% con base</v>
      </c>
      <c r="V1207" s="98">
        <f>+YEAR(PROVEEDORES[[#This Row],[FECHA DE FACTURACIÓN]])</f>
        <v>2023</v>
      </c>
      <c r="W1207" s="98">
        <f>+MATCH(PROVEEDORES[[#This Row],[año facturado]],Retenciones!$1:$1,0)</f>
        <v>6</v>
      </c>
      <c r="X1207" s="99">
        <f>+VLOOKUP(PROVEEDORES[[#This Row],[ID RETENCION]],Retenciones!$A$1:$O$25,PROVEEDORES[[#This Row],[indicador de columna]],FALSE)</f>
        <v>1145000</v>
      </c>
      <c r="Y1207" s="100">
        <f>+VLOOKUP(PROVEEDORES[[#This Row],[ID RETENCION]],Retenciones!$A$1:$O$25,2,FALSE)</f>
        <v>2.5000000000000001E-2</v>
      </c>
      <c r="Z1207" s="103" t="b">
        <f>OR(COUNTIF(PROVEEDORES[[#This Row],[PROVEEDOR]],"*"&amp;'Palabra no opera'!$A$2&amp;"*"))</f>
        <v>0</v>
      </c>
    </row>
    <row r="1208" spans="1:26" ht="22.35" customHeight="1" x14ac:dyDescent="0.25">
      <c r="A1208" s="151" t="str">
        <f>+IF(PROVEEDORES[[#This Row],[FECHA DE PAGO]]=PROVEEDORES[[#This Row],[FECHA DE FACTURACIÓN]],"DE CONTADO","CRÉDITO")</f>
        <v>CRÉDITO</v>
      </c>
      <c r="B1208" s="38" t="str">
        <f>+IF((PROVEEDORES[[#This Row],[FECHA DE PAGO]]-PROVEEDORES[[#This Row],[FECHA DE FACTURACIÓN]])&gt;PROVEEDORES[[#This Row],[PLAZO Días]],"PAGO VENCIDO")</f>
        <v>PAGO VENCIDO</v>
      </c>
      <c r="C1208" s="20">
        <f>+VLOOKUP(PROVEEDORES[[#This Row],[PROVEEDOR]],TERCEROS_INFO[#All],2,FALSE)</f>
        <v>30</v>
      </c>
      <c r="D1208" s="25">
        <f>+SUMIFS(PROVEEDORES[Total],PROVEEDORES[PROVEEDOR],PROVEEDORES[[#This Row],[PROVEEDOR]],PROVEEDORES[FECHA DE PAGO],"")</f>
        <v>2713769.64</v>
      </c>
      <c r="E1208" s="25"/>
      <c r="F120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08" s="289">
        <v>44998</v>
      </c>
      <c r="H1208" s="26" t="s">
        <v>11</v>
      </c>
      <c r="I1208" s="289">
        <v>44958</v>
      </c>
      <c r="J1208" s="35" t="s">
        <v>595</v>
      </c>
      <c r="K1208" s="21">
        <v>700758</v>
      </c>
      <c r="L1208" s="21"/>
      <c r="M1208" s="22">
        <f>(PROVEEDORES[[#This Row],[SUBTOTAL]]-PROVEEDORES[[#This Row],[descuento sobre subtotal]])*VLOOKUP(PROVEEDORES[[#This Row],[PROVEEDOR]],TERCEROS_INFO[#All],3,FALSE)</f>
        <v>133144.01999999999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72">
        <f>+IF(PROVEEDORES[[#This Row],[SUBTOTAL]]&lt;PROVEEDORES[[#This Row],[base retencion]],0,PROVEEDORES[[#This Row],[retención aplicada]])</f>
        <v>0</v>
      </c>
      <c r="Q1208" s="22">
        <f>+PROVEEDORES[[#This Row],[Rete Fuente %]]*(PROVEEDORES[[#This Row],[SUBTOTAL]]-PROVEEDORES[[#This Row],[descuento sobre subtotal]])</f>
        <v>0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1208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1">
        <f ca="1">IF(PROVEEDORES[[#This Row],[FECHA DE PAGO]]=0,TODAY()-PROVEEDORES[[#This Row],[FECHA DE FACTURACIÓN]]-PROVEEDORES[[#This Row],[PLAZO Días]],0)</f>
        <v>0</v>
      </c>
      <c r="U1208" s="97" t="str">
        <f>+VLOOKUP(PROVEEDORES[[#This Row],[PROVEEDOR]],Terceros!$A:$D,4,FALSE)</f>
        <v>2,5% con base</v>
      </c>
      <c r="V1208" s="98">
        <f>+YEAR(PROVEEDORES[[#This Row],[FECHA DE FACTURACIÓN]])</f>
        <v>2023</v>
      </c>
      <c r="W1208" s="98">
        <f>+MATCH(PROVEEDORES[[#This Row],[año facturado]],Retenciones!$1:$1,0)</f>
        <v>6</v>
      </c>
      <c r="X1208" s="99">
        <f>+VLOOKUP(PROVEEDORES[[#This Row],[ID RETENCION]],Retenciones!$A$1:$O$25,PROVEEDORES[[#This Row],[indicador de columna]],FALSE)</f>
        <v>1145000</v>
      </c>
      <c r="Y1208" s="100">
        <f>+VLOOKUP(PROVEEDORES[[#This Row],[ID RETENCION]],Retenciones!$A$1:$O$25,2,FALSE)</f>
        <v>2.5000000000000001E-2</v>
      </c>
      <c r="Z1208" s="103" t="b">
        <f>OR(COUNTIF(PROVEEDORES[[#This Row],[PROVEEDOR]],"*"&amp;'Palabra no opera'!$A$2&amp;"*"))</f>
        <v>0</v>
      </c>
    </row>
    <row r="1209" spans="1:26" ht="22.35" customHeight="1" x14ac:dyDescent="0.25">
      <c r="A1209" s="151" t="str">
        <f>+IF(PROVEEDORES[[#This Row],[FECHA DE PAGO]]=PROVEEDORES[[#This Row],[FECHA DE FACTURACIÓN]],"DE CONTADO","CRÉDITO")</f>
        <v>CRÉDITO</v>
      </c>
      <c r="B1209" s="38" t="str">
        <f>+IF((PROVEEDORES[[#This Row],[FECHA DE PAGO]]-PROVEEDORES[[#This Row],[FECHA DE FACTURACIÓN]])&gt;PROVEEDORES[[#This Row],[PLAZO Días]],"PAGO VENCIDO")</f>
        <v>PAGO VENCIDO</v>
      </c>
      <c r="C1209" s="20">
        <f>+VLOOKUP(PROVEEDORES[[#This Row],[PROVEEDOR]],TERCEROS_INFO[#All],2,FALSE)</f>
        <v>30</v>
      </c>
      <c r="D1209" s="25">
        <f>+SUMIFS(PROVEEDORES[Total],PROVEEDORES[PROVEEDOR],PROVEEDORES[[#This Row],[PROVEEDOR]],PROVEEDORES[FECHA DE PAGO],"")</f>
        <v>2713769.64</v>
      </c>
      <c r="E1209" s="25"/>
      <c r="F120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09" s="289">
        <v>44998</v>
      </c>
      <c r="H1209" s="26" t="s">
        <v>11</v>
      </c>
      <c r="I1209" s="289">
        <v>44960</v>
      </c>
      <c r="J1209" s="35" t="s">
        <v>596</v>
      </c>
      <c r="K1209" s="21">
        <v>2102274</v>
      </c>
      <c r="L1209" s="21"/>
      <c r="M1209" s="22">
        <f>(PROVEEDORES[[#This Row],[SUBTOTAL]]-PROVEEDORES[[#This Row],[descuento sobre subtotal]])*VLOOKUP(PROVEEDORES[[#This Row],[PROVEEDOR]],TERCEROS_INFO[#All],3,FALSE)</f>
        <v>399432.06</v>
      </c>
      <c r="N1209" s="23"/>
      <c r="O1209" s="22">
        <f>+PROVEEDORES[[#This Row],[Descuento sobre subtotal %]]*(PROVEEDORES[[#This Row],[SUBTOTAL]]-PROVEEDORES[[#This Row],[descuento sobre subtotal]])</f>
        <v>0</v>
      </c>
      <c r="P1209" s="72">
        <f>+IF(PROVEEDORES[[#This Row],[SUBTOTAL]]&lt;PROVEEDORES[[#This Row],[base retencion]],0,PROVEEDORES[[#This Row],[retención aplicada]])</f>
        <v>2.5000000000000001E-2</v>
      </c>
      <c r="Q1209" s="22">
        <f>+PROVEEDORES[[#This Row],[Rete Fuente %]]*(PROVEEDORES[[#This Row],[SUBTOTAL]]-PROVEEDORES[[#This Row],[descuento sobre subtotal]])</f>
        <v>52556.850000000006</v>
      </c>
      <c r="R1209" s="21">
        <f>+PROVEEDORES[[#This Row],[SUBTOTAL]]+PROVEEDORES[[#This Row],[IVA 19%]]-PROVEEDORES[[#This Row],[descuento sobre subtotal]]-PROVEEDORES[[#This Row],[Descuento sobre subtotal $2]]-PROVEEDORES[[#This Row],[Rete Fuente $]]</f>
        <v>2449149.21</v>
      </c>
      <c r="S1209" s="15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1">
        <f ca="1">IF(PROVEEDORES[[#This Row],[FECHA DE PAGO]]=0,TODAY()-PROVEEDORES[[#This Row],[FECHA DE FACTURACIÓN]]-PROVEEDORES[[#This Row],[PLAZO Días]],0)</f>
        <v>0</v>
      </c>
      <c r="U1209" s="97" t="str">
        <f>+VLOOKUP(PROVEEDORES[[#This Row],[PROVEEDOR]],Terceros!$A:$D,4,FALSE)</f>
        <v>2,5% con base</v>
      </c>
      <c r="V1209" s="98">
        <f>+YEAR(PROVEEDORES[[#This Row],[FECHA DE FACTURACIÓN]])</f>
        <v>2023</v>
      </c>
      <c r="W1209" s="98">
        <f>+MATCH(PROVEEDORES[[#This Row],[año facturado]],Retenciones!$1:$1,0)</f>
        <v>6</v>
      </c>
      <c r="X1209" s="99">
        <f>+VLOOKUP(PROVEEDORES[[#This Row],[ID RETENCION]],Retenciones!$A$1:$O$25,PROVEEDORES[[#This Row],[indicador de columna]],FALSE)</f>
        <v>1145000</v>
      </c>
      <c r="Y1209" s="100">
        <f>+VLOOKUP(PROVEEDORES[[#This Row],[ID RETENCION]],Retenciones!$A$1:$O$25,2,FALSE)</f>
        <v>2.5000000000000001E-2</v>
      </c>
      <c r="Z1209" s="103" t="b">
        <f>OR(COUNTIF(PROVEEDORES[[#This Row],[PROVEEDOR]],"*"&amp;'Palabra no opera'!$A$2&amp;"*"))</f>
        <v>0</v>
      </c>
    </row>
    <row r="1210" spans="1:26" ht="22.35" customHeight="1" x14ac:dyDescent="0.25">
      <c r="A1210" s="65" t="str">
        <f>+IF(PROVEEDORES[[#This Row],[FECHA DE PAGO]]=PROVEEDORES[[#This Row],[FECHA DE FACTURACIÓN]],"DE CONTADO","CRÉDITO")</f>
        <v>DE CONTADO</v>
      </c>
      <c r="B1210" s="38" t="b">
        <f>+IF((PROVEEDORES[[#This Row],[FECHA DE PAGO]]-PROVEEDORES[[#This Row],[FECHA DE FACTURACIÓN]])&gt;PROVEEDORES[[#This Row],[PLAZO Días]],"PAGO VENCIDO")</f>
        <v>0</v>
      </c>
      <c r="C1210" s="20">
        <f>+VLOOKUP(PROVEEDORES[[#This Row],[PROVEEDOR]],TERCEROS_INFO[#All],2,FALSE)</f>
        <v>30</v>
      </c>
      <c r="D1210" s="25">
        <f>+SUMIFS(PROVEEDORES[Total],PROVEEDORES[PROVEEDOR],PROVEEDORES[[#This Row],[PROVEEDOR]],PROVEEDORES[FECHA DE PAGO],"")</f>
        <v>2713769.64</v>
      </c>
      <c r="E1210" s="25"/>
      <c r="F1210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0" s="289">
        <v>44991</v>
      </c>
      <c r="H1210" s="26" t="s">
        <v>11</v>
      </c>
      <c r="I1210" s="289">
        <v>44991</v>
      </c>
      <c r="J1210" s="35" t="s">
        <v>657</v>
      </c>
      <c r="K1210" s="21">
        <v>350379</v>
      </c>
      <c r="L1210" s="21"/>
      <c r="M1210" s="22">
        <f>(PROVEEDORES[[#This Row],[SUBTOTAL]]-PROVEEDORES[[#This Row],[descuento sobre subtotal]])*VLOOKUP(PROVEEDORES[[#This Row],[PROVEEDOR]],TERCEROS_INFO[#All],3,FALSE)</f>
        <v>66572.009999999995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72">
        <f>+IF(PROVEEDORES[[#This Row],[SUBTOTAL]]&lt;PROVEEDORES[[#This Row],[base retencion]],0,PROVEEDORES[[#This Row],[retención aplicada]])</f>
        <v>0</v>
      </c>
      <c r="Q1210" s="22">
        <f>+PROVEEDORES[[#This Row],[Rete Fuente %]]*(PROVEEDORES[[#This Row],[SUBTOTAL]]-PROVEEDORES[[#This Row],[descuento sobre subtotal]])</f>
        <v>0</v>
      </c>
      <c r="R1210" s="21">
        <f>+PROVEEDORES[[#This Row],[SUBTOTAL]]+PROVEEDORES[[#This Row],[IVA 19%]]-PROVEEDORES[[#This Row],[descuento sobre subtotal]]-PROVEEDORES[[#This Row],[Descuento sobre subtotal $2]]-PROVEEDORES[[#This Row],[Rete Fuente $]]</f>
        <v>416951.01</v>
      </c>
      <c r="S121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1">
        <f ca="1">IF(PROVEEDORES[[#This Row],[FECHA DE PAGO]]=0,TODAY()-PROVEEDORES[[#This Row],[FECHA DE FACTURACIÓN]]-PROVEEDORES[[#This Row],[PLAZO Días]],0)</f>
        <v>0</v>
      </c>
      <c r="U1210" s="97" t="str">
        <f>+VLOOKUP(PROVEEDORES[[#This Row],[PROVEEDOR]],Terceros!$A:$D,4,FALSE)</f>
        <v>2,5% con base</v>
      </c>
      <c r="V1210" s="98">
        <f>+YEAR(PROVEEDORES[[#This Row],[FECHA DE FACTURACIÓN]])</f>
        <v>2023</v>
      </c>
      <c r="W1210" s="98">
        <f>+MATCH(PROVEEDORES[[#This Row],[año facturado]],Retenciones!$1:$1,0)</f>
        <v>6</v>
      </c>
      <c r="X1210" s="99">
        <f>+VLOOKUP(PROVEEDORES[[#This Row],[ID RETENCION]],Retenciones!$A$1:$O$25,PROVEEDORES[[#This Row],[indicador de columna]],FALSE)</f>
        <v>1145000</v>
      </c>
      <c r="Y1210" s="100">
        <f>+VLOOKUP(PROVEEDORES[[#This Row],[ID RETENCION]],Retenciones!$A$1:$O$25,2,FALSE)</f>
        <v>2.5000000000000001E-2</v>
      </c>
      <c r="Z1210" s="103" t="b">
        <f>OR(COUNTIF(PROVEEDORES[[#This Row],[PROVEEDOR]],"*"&amp;'Palabra no opera'!$A$2&amp;"*"))</f>
        <v>0</v>
      </c>
    </row>
    <row r="1211" spans="1:26" ht="22.35" customHeight="1" x14ac:dyDescent="0.25">
      <c r="A1211" s="65" t="str">
        <f>+IF(PROVEEDORES[[#This Row],[FECHA DE PAGO]]=PROVEEDORES[[#This Row],[FECHA DE FACTURACIÓN]],"DE CONTADO","CRÉDITO")</f>
        <v>CRÉDITO</v>
      </c>
      <c r="B1211" s="38" t="str">
        <f>+IF((PROVEEDORES[[#This Row],[FECHA DE PAGO]]-PROVEEDORES[[#This Row],[FECHA DE FACTURACIÓN]])&gt;PROVEEDORES[[#This Row],[PLAZO Días]],"PAGO VENCIDO")</f>
        <v>PAGO VENCIDO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2713769.64</v>
      </c>
      <c r="E1211" s="25"/>
      <c r="F121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1" s="289">
        <v>45048</v>
      </c>
      <c r="H1211" s="26" t="s">
        <v>11</v>
      </c>
      <c r="I1211" s="289">
        <v>44994</v>
      </c>
      <c r="J1211" s="35" t="s">
        <v>656</v>
      </c>
      <c r="K1211" s="21">
        <v>3405512</v>
      </c>
      <c r="L1211" s="21"/>
      <c r="M1211" s="22">
        <f>(PROVEEDORES[[#This Row],[SUBTOTAL]]-PROVEEDORES[[#This Row],[descuento sobre subtotal]])*VLOOKUP(PROVEEDORES[[#This Row],[PROVEEDOR]],TERCEROS_INFO[#All],3,FALSE)</f>
        <v>647047.28</v>
      </c>
      <c r="N1211" s="23"/>
      <c r="O1211" s="22">
        <f>+PROVEEDORES[[#This Row],[Descuento sobre subtotal %]]*(PROVEEDORES[[#This Row],[SUBTOTAL]]-PROVEEDORES[[#This Row],[descuento sobre subtotal]])</f>
        <v>0</v>
      </c>
      <c r="P1211" s="72">
        <f>+IF(PROVEEDORES[[#This Row],[SUBTOTAL]]&lt;PROVEEDORES[[#This Row],[base retencion]],0,PROVEEDORES[[#This Row],[retención aplicada]])</f>
        <v>2.5000000000000001E-2</v>
      </c>
      <c r="Q1211" s="22">
        <f>+PROVEEDORES[[#This Row],[Rete Fuente %]]*(PROVEEDORES[[#This Row],[SUBTOTAL]]-PROVEEDORES[[#This Row],[descuento sobre subtotal]])</f>
        <v>85137.8</v>
      </c>
      <c r="R1211" s="21">
        <f>+PROVEEDORES[[#This Row],[SUBTOTAL]]+PROVEEDORES[[#This Row],[IVA 19%]]-PROVEEDORES[[#This Row],[descuento sobre subtotal]]-PROVEEDORES[[#This Row],[Descuento sobre subtotal $2]]-PROVEEDORES[[#This Row],[Rete Fuente $]]</f>
        <v>3967421.4800000004</v>
      </c>
      <c r="S121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1">
        <f ca="1">IF(PROVEEDORES[[#This Row],[FECHA DE PAGO]]=0,TODAY()-PROVEEDORES[[#This Row],[FECHA DE FACTURACIÓN]]-PROVEEDORES[[#This Row],[PLAZO Días]],0)</f>
        <v>0</v>
      </c>
      <c r="U1211" s="97" t="str">
        <f>+VLOOKUP(PROVEEDORES[[#This Row],[PROVEEDOR]],Terceros!$A:$D,4,FALSE)</f>
        <v>2,5% con base</v>
      </c>
      <c r="V1211" s="98">
        <f>+YEAR(PROVEEDORES[[#This Row],[FECHA DE FACTURACIÓN]])</f>
        <v>2023</v>
      </c>
      <c r="W1211" s="98">
        <f>+MATCH(PROVEEDORES[[#This Row],[año facturado]],Retenciones!$1:$1,0)</f>
        <v>6</v>
      </c>
      <c r="X1211" s="99">
        <f>+VLOOKUP(PROVEEDORES[[#This Row],[ID RETENCION]],Retenciones!$A$1:$O$25,PROVEEDORES[[#This Row],[indicador de columna]],FALSE)</f>
        <v>1145000</v>
      </c>
      <c r="Y1211" s="100">
        <f>+VLOOKUP(PROVEEDORES[[#This Row],[ID RETENCION]],Retenciones!$A$1:$O$25,2,FALSE)</f>
        <v>2.5000000000000001E-2</v>
      </c>
      <c r="Z1211" s="103" t="b">
        <f>OR(COUNTIF(PROVEEDORES[[#This Row],[PROVEEDOR]],"*"&amp;'Palabra no opera'!$A$2&amp;"*"))</f>
        <v>0</v>
      </c>
    </row>
    <row r="1212" spans="1:26" ht="22.35" customHeight="1" x14ac:dyDescent="0.25">
      <c r="A1212" s="164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30</v>
      </c>
      <c r="D1212" s="25">
        <f>+SUMIFS(PROVEEDORES[Total],PROVEEDORES[PROVEEDOR],PROVEEDORES[[#This Row],[PROVEEDOR]],PROVEEDORES[FECHA DE PAGO],"")</f>
        <v>2713769.64</v>
      </c>
      <c r="E1212" s="25"/>
      <c r="F121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2" s="289">
        <v>45064</v>
      </c>
      <c r="H1212" s="26" t="s">
        <v>11</v>
      </c>
      <c r="I1212" s="289">
        <v>45009</v>
      </c>
      <c r="J1212" s="35" t="s">
        <v>693</v>
      </c>
      <c r="K1212" s="21">
        <v>3503790</v>
      </c>
      <c r="L1212" s="21"/>
      <c r="M1212" s="22">
        <f>(PROVEEDORES[[#This Row],[SUBTOTAL]]-PROVEEDORES[[#This Row],[descuento sobre subtotal]])*VLOOKUP(PROVEEDORES[[#This Row],[PROVEEDOR]],TERCEROS_INFO[#All],3,FALSE)</f>
        <v>665720.1</v>
      </c>
      <c r="N1212" s="23"/>
      <c r="O1212" s="22">
        <f>+PROVEEDORES[[#This Row],[Descuento sobre subtotal %]]*(PROVEEDORES[[#This Row],[SUBTOTAL]]-PROVEEDORES[[#This Row],[descuento sobre subtotal]])</f>
        <v>0</v>
      </c>
      <c r="P1212" s="72">
        <f>+IF(PROVEEDORES[[#This Row],[SUBTOTAL]]&lt;PROVEEDORES[[#This Row],[base retencion]],0,PROVEEDORES[[#This Row],[retención aplicada]])</f>
        <v>2.5000000000000001E-2</v>
      </c>
      <c r="Q1212" s="22">
        <f>+PROVEEDORES[[#This Row],[Rete Fuente %]]*(PROVEEDORES[[#This Row],[SUBTOTAL]]-PROVEEDORES[[#This Row],[descuento sobre subtotal]])</f>
        <v>87594.75</v>
      </c>
      <c r="R1212" s="21">
        <f>+PROVEEDORES[[#This Row],[SUBTOTAL]]+PROVEEDORES[[#This Row],[IVA 19%]]-PROVEEDORES[[#This Row],[descuento sobre subtotal]]-PROVEEDORES[[#This Row],[Descuento sobre subtotal $2]]-PROVEEDORES[[#This Row],[Rete Fuente $]]</f>
        <v>4081915.35</v>
      </c>
      <c r="S1212" s="1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1">
        <f ca="1">IF(PROVEEDORES[[#This Row],[FECHA DE PAGO]]=0,TODAY()-PROVEEDORES[[#This Row],[FECHA DE FACTURACIÓN]]-PROVEEDORES[[#This Row],[PLAZO Días]],0)</f>
        <v>0</v>
      </c>
      <c r="U1212" s="97" t="str">
        <f>+VLOOKUP(PROVEEDORES[[#This Row],[PROVEEDOR]],Terceros!$A:$D,4,FALSE)</f>
        <v>2,5% con base</v>
      </c>
      <c r="V1212" s="98">
        <f>+YEAR(PROVEEDORES[[#This Row],[FECHA DE FACTURACIÓN]])</f>
        <v>2023</v>
      </c>
      <c r="W1212" s="98">
        <f>+MATCH(PROVEEDORES[[#This Row],[año facturado]],Retenciones!$1:$1,0)</f>
        <v>6</v>
      </c>
      <c r="X1212" s="99">
        <f>+VLOOKUP(PROVEEDORES[[#This Row],[ID RETENCION]],Retenciones!$A$1:$O$25,PROVEEDORES[[#This Row],[indicador de columna]],FALSE)</f>
        <v>1145000</v>
      </c>
      <c r="Y1212" s="100">
        <f>+VLOOKUP(PROVEEDORES[[#This Row],[ID RETENCION]],Retenciones!$A$1:$O$25,2,FALSE)</f>
        <v>2.5000000000000001E-2</v>
      </c>
      <c r="Z1212" s="103" t="b">
        <f>OR(COUNTIF(PROVEEDORES[[#This Row],[PROVEEDOR]],"*"&amp;'Palabra no opera'!$A$2&amp;"*"))</f>
        <v>0</v>
      </c>
    </row>
    <row r="1213" spans="1:26" ht="22.35" customHeight="1" x14ac:dyDescent="0.25">
      <c r="A1213" s="65" t="str">
        <f>+IF(PROVEEDORES[[#This Row],[FECHA DE PAGO]]=PROVEEDORES[[#This Row],[FECHA DE FACTURACIÓN]],"DE CONTADO","CRÉDITO")</f>
        <v>CRÉDITO</v>
      </c>
      <c r="B1213" s="38" t="str">
        <f>+IF((PROVEEDORES[[#This Row],[FECHA DE PAGO]]-PROVEEDORES[[#This Row],[FECHA DE FACTURACIÓN]])&gt;PROVEEDORES[[#This Row],[PLAZO Días]],"PAGO VENCIDO")</f>
        <v>PAGO VENCIDO</v>
      </c>
      <c r="C1213" s="20">
        <f>+VLOOKUP(PROVEEDORES[[#This Row],[PROVEEDOR]],TERCEROS_INFO[#All],2,FALSE)</f>
        <v>30</v>
      </c>
      <c r="D1213" s="25">
        <f>+SUMIFS(PROVEEDORES[Total],PROVEEDORES[PROVEEDOR],PROVEEDORES[[#This Row],[PROVEEDOR]],PROVEEDORES[FECHA DE PAGO],"")</f>
        <v>2713769.64</v>
      </c>
      <c r="E1213" s="25"/>
      <c r="F121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3" s="289">
        <v>45064</v>
      </c>
      <c r="H1213" s="26" t="s">
        <v>11</v>
      </c>
      <c r="I1213" s="289">
        <v>45019</v>
      </c>
      <c r="J1213" s="35" t="s">
        <v>759</v>
      </c>
      <c r="K1213" s="21">
        <v>700758</v>
      </c>
      <c r="L1213" s="21"/>
      <c r="M1213" s="22">
        <f>(PROVEEDORES[[#This Row],[SUBTOTAL]]-PROVEEDORES[[#This Row],[descuento sobre subtotal]])*VLOOKUP(PROVEEDORES[[#This Row],[PROVEEDOR]],TERCEROS_INFO[#All],3,FALSE)</f>
        <v>133144.01999999999</v>
      </c>
      <c r="N1213" s="23"/>
      <c r="O1213" s="22">
        <f>+PROVEEDORES[[#This Row],[Descuento sobre subtotal %]]*(PROVEEDORES[[#This Row],[SUBTOTAL]]-PROVEEDORES[[#This Row],[descuento sobre subtotal]])</f>
        <v>0</v>
      </c>
      <c r="P1213" s="72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f>+PROVEEDORES[[#This Row],[SUBTOTAL]]+PROVEEDORES[[#This Row],[IVA 19%]]-PROVEEDORES[[#This Row],[descuento sobre subtotal]]-PROVEEDORES[[#This Row],[Descuento sobre subtotal $2]]-PROVEEDORES[[#This Row],[Rete Fuente $]]</f>
        <v>833902.02</v>
      </c>
      <c r="S121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1">
        <f ca="1">IF(PROVEEDORES[[#This Row],[FECHA DE PAGO]]=0,TODAY()-PROVEEDORES[[#This Row],[FECHA DE FACTURACIÓN]]-PROVEEDORES[[#This Row],[PLAZO Días]],0)</f>
        <v>0</v>
      </c>
      <c r="U1213" s="97" t="str">
        <f>+VLOOKUP(PROVEEDORES[[#This Row],[PROVEEDOR]],Terceros!$A:$D,4,FALSE)</f>
        <v>2,5% con base</v>
      </c>
      <c r="V1213" s="98">
        <f>+YEAR(PROVEEDORES[[#This Row],[FECHA DE FACTURACIÓN]])</f>
        <v>2023</v>
      </c>
      <c r="W1213" s="98">
        <f>+MATCH(PROVEEDORES[[#This Row],[año facturado]],Retenciones!$1:$1,0)</f>
        <v>6</v>
      </c>
      <c r="X1213" s="99">
        <f>+VLOOKUP(PROVEEDORES[[#This Row],[ID RETENCION]],Retenciones!$A$1:$O$25,PROVEEDORES[[#This Row],[indicador de columna]],FALSE)</f>
        <v>1145000</v>
      </c>
      <c r="Y1213" s="100">
        <f>+VLOOKUP(PROVEEDORES[[#This Row],[ID RETENCION]],Retenciones!$A$1:$O$25,2,FALSE)</f>
        <v>2.5000000000000001E-2</v>
      </c>
      <c r="Z1213" s="103" t="b">
        <f>OR(COUNTIF(PROVEEDORES[[#This Row],[PROVEEDOR]],"*"&amp;'Palabra no opera'!$A$2&amp;"*"))</f>
        <v>0</v>
      </c>
    </row>
    <row r="1214" spans="1:26" ht="22.35" customHeight="1" x14ac:dyDescent="0.25">
      <c r="A1214" s="65" t="str">
        <f>+IF(PROVEEDORES[[#This Row],[FECHA DE PAGO]]=PROVEEDORES[[#This Row],[FECHA DE FACTURACIÓN]],"DE CONTADO","CRÉDITO")</f>
        <v>CRÉDITO</v>
      </c>
      <c r="B1214" s="38" t="str">
        <f>+IF((PROVEEDORES[[#This Row],[FECHA DE PAGO]]-PROVEEDORES[[#This Row],[FECHA DE FACTURACIÓN]])&gt;PROVEEDORES[[#This Row],[PLAZO Días]],"PAGO VENCIDO")</f>
        <v>PAGO VENCIDO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2713769.64</v>
      </c>
      <c r="E1214" s="25"/>
      <c r="F121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4" s="289">
        <v>45064</v>
      </c>
      <c r="H1214" s="26" t="s">
        <v>11</v>
      </c>
      <c r="I1214" s="289">
        <v>45029</v>
      </c>
      <c r="J1214" s="35" t="s">
        <v>758</v>
      </c>
      <c r="K1214" s="21">
        <v>2803032</v>
      </c>
      <c r="L1214" s="21"/>
      <c r="M1214" s="22">
        <f>(PROVEEDORES[[#This Row],[SUBTOTAL]]-PROVEEDORES[[#This Row],[descuento sobre subtotal]])*VLOOKUP(PROVEEDORES[[#This Row],[PROVEEDOR]],TERCEROS_INFO[#All],3,FALSE)</f>
        <v>532576.07999999996</v>
      </c>
      <c r="N1214" s="23"/>
      <c r="O1214" s="22">
        <f>+PROVEEDORES[[#This Row],[Descuento sobre subtotal %]]*(PROVEEDORES[[#This Row],[SUBTOTAL]]-PROVEEDORES[[#This Row],[descuento sobre subtotal]])</f>
        <v>0</v>
      </c>
      <c r="P1214" s="72">
        <f>+IF(PROVEEDORES[[#This Row],[SUBTOTAL]]&lt;PROVEEDORES[[#This Row],[base retencion]],0,PROVEEDORES[[#This Row],[retención aplicada]])</f>
        <v>2.5000000000000001E-2</v>
      </c>
      <c r="Q1214" s="22">
        <f>+PROVEEDORES[[#This Row],[Rete Fuente %]]*(PROVEEDORES[[#This Row],[SUBTOTAL]]-PROVEEDORES[[#This Row],[descuento sobre subtotal]])</f>
        <v>70075.8</v>
      </c>
      <c r="R1214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21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1">
        <f ca="1">IF(PROVEEDORES[[#This Row],[FECHA DE PAGO]]=0,TODAY()-PROVEEDORES[[#This Row],[FECHA DE FACTURACIÓN]]-PROVEEDORES[[#This Row],[PLAZO Días]],0)</f>
        <v>0</v>
      </c>
      <c r="U1214" s="97" t="str">
        <f>+VLOOKUP(PROVEEDORES[[#This Row],[PROVEEDOR]],Terceros!$A:$D,4,FALSE)</f>
        <v>2,5% con base</v>
      </c>
      <c r="V1214" s="98">
        <f>+YEAR(PROVEEDORES[[#This Row],[FECHA DE FACTURACIÓN]])</f>
        <v>2023</v>
      </c>
      <c r="W1214" s="98">
        <f>+MATCH(PROVEEDORES[[#This Row],[año facturado]],Retenciones!$1:$1,0)</f>
        <v>6</v>
      </c>
      <c r="X1214" s="99">
        <f>+VLOOKUP(PROVEEDORES[[#This Row],[ID RETENCION]],Retenciones!$A$1:$O$25,PROVEEDORES[[#This Row],[indicador de columna]],FALSE)</f>
        <v>1145000</v>
      </c>
      <c r="Y1214" s="100">
        <f>+VLOOKUP(PROVEEDORES[[#This Row],[ID RETENCION]],Retenciones!$A$1:$O$25,2,FALSE)</f>
        <v>2.5000000000000001E-2</v>
      </c>
      <c r="Z1214" s="103" t="b">
        <f>OR(COUNTIF(PROVEEDORES[[#This Row],[PROVEEDOR]],"*"&amp;'Palabra no opera'!$A$2&amp;"*"))</f>
        <v>0</v>
      </c>
    </row>
    <row r="1215" spans="1:26" ht="22.35" customHeight="1" x14ac:dyDescent="0.25">
      <c r="A1215" s="192" t="str">
        <f>+IF(PROVEEDORES[[#This Row],[FECHA DE PAGO]]=PROVEEDORES[[#This Row],[FECHA DE FACTURACIÓN]],"DE CONTADO","CRÉDITO")</f>
        <v>CRÉDITO</v>
      </c>
      <c r="B1215" s="38" t="str">
        <f>+IF((PROVEEDORES[[#This Row],[FECHA DE PAGO]]-PROVEEDORES[[#This Row],[FECHA DE FACTURACIÓN]])&gt;PROVEEDORES[[#This Row],[PLAZO Días]],"PAGO VENCIDO")</f>
        <v>PAGO VENCIDO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2713769.64</v>
      </c>
      <c r="E1215" s="25"/>
      <c r="F121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5" s="289">
        <v>45097</v>
      </c>
      <c r="H1215" s="26" t="s">
        <v>11</v>
      </c>
      <c r="I1215" s="289">
        <v>45044</v>
      </c>
      <c r="J1215" s="35" t="s">
        <v>801</v>
      </c>
      <c r="K1215" s="21">
        <v>5732114</v>
      </c>
      <c r="L1215" s="21"/>
      <c r="M1215" s="22">
        <f>(PROVEEDORES[[#This Row],[SUBTOTAL]]-PROVEEDORES[[#This Row],[descuento sobre subtotal]])*VLOOKUP(PROVEEDORES[[#This Row],[PROVEEDOR]],TERCEROS_INFO[#All],3,FALSE)</f>
        <v>1089101.6599999999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72">
        <f>+IF(PROVEEDORES[[#This Row],[SUBTOTAL]]&lt;PROVEEDORES[[#This Row],[base retencion]],0,PROVEEDORES[[#This Row],[retención aplicada]])</f>
        <v>2.5000000000000001E-2</v>
      </c>
      <c r="Q1215" s="22">
        <f>+PROVEEDORES[[#This Row],[Rete Fuente %]]*(PROVEEDORES[[#This Row],[SUBTOTAL]]-PROVEEDORES[[#This Row],[descuento sobre subtotal]])</f>
        <v>143302.85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6677912.8100000005</v>
      </c>
      <c r="S121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1">
        <f ca="1">IF(PROVEEDORES[[#This Row],[FECHA DE PAGO]]=0,TODAY()-PROVEEDORES[[#This Row],[FECHA DE FACTURACIÓN]]-PROVEEDORES[[#This Row],[PLAZO Días]],0)</f>
        <v>0</v>
      </c>
      <c r="U1215" s="97" t="str">
        <f>+VLOOKUP(PROVEEDORES[[#This Row],[PROVEEDOR]],Terceros!$A:$D,4,FALSE)</f>
        <v>2,5% con base</v>
      </c>
      <c r="V1215" s="98">
        <f>+YEAR(PROVEEDORES[[#This Row],[FECHA DE FACTURACIÓN]])</f>
        <v>2023</v>
      </c>
      <c r="W1215" s="98">
        <f>+MATCH(PROVEEDORES[[#This Row],[año facturado]],Retenciones!$1:$1,0)</f>
        <v>6</v>
      </c>
      <c r="X1215" s="99">
        <f>+VLOOKUP(PROVEEDORES[[#This Row],[ID RETENCION]],Retenciones!$A$1:$O$25,PROVEEDORES[[#This Row],[indicador de columna]],FALSE)</f>
        <v>1145000</v>
      </c>
      <c r="Y1215" s="100">
        <f>+VLOOKUP(PROVEEDORES[[#This Row],[ID RETENCION]],Retenciones!$A$1:$O$25,2,FALSE)</f>
        <v>2.5000000000000001E-2</v>
      </c>
      <c r="Z1215" s="103" t="b">
        <f>OR(COUNTIF(PROVEEDORES[[#This Row],[PROVEEDOR]],"*"&amp;'Palabra no opera'!$A$2&amp;"*"))</f>
        <v>0</v>
      </c>
    </row>
    <row r="1216" spans="1:26" ht="22.35" customHeight="1" x14ac:dyDescent="0.25">
      <c r="A1216" s="196" t="str">
        <f>+IF(PROVEEDORES[[#This Row],[FECHA DE PAGO]]=PROVEEDORES[[#This Row],[FECHA DE FACTURACIÓN]],"DE CONTADO","CRÉDITO")</f>
        <v>CRÉDITO</v>
      </c>
      <c r="B1216" s="38" t="str">
        <f>+IF((PROVEEDORES[[#This Row],[FECHA DE PAGO]]-PROVEEDORES[[#This Row],[FECHA DE FACTURACIÓN]])&gt;PROVEEDORES[[#This Row],[PLAZO Días]],"PAGO VENCIDO")</f>
        <v>PAGO VENCIDO</v>
      </c>
      <c r="C1216" s="20">
        <f>+VLOOKUP(PROVEEDORES[[#This Row],[PROVEEDOR]],TERCEROS_INFO[#All],2,FALSE)</f>
        <v>30</v>
      </c>
      <c r="D1216" s="25">
        <f>+SUMIFS(PROVEEDORES[Total],PROVEEDORES[PROVEEDOR],PROVEEDORES[[#This Row],[PROVEEDOR]],PROVEEDORES[FECHA DE PAGO],"")</f>
        <v>2713769.64</v>
      </c>
      <c r="E1216" s="25"/>
      <c r="F121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6" s="289">
        <v>45097</v>
      </c>
      <c r="H1216" s="26" t="s">
        <v>11</v>
      </c>
      <c r="I1216" s="289">
        <v>45055</v>
      </c>
      <c r="J1216" s="35" t="s">
        <v>822</v>
      </c>
      <c r="K1216" s="21">
        <v>854119</v>
      </c>
      <c r="L1216" s="21"/>
      <c r="M1216" s="22">
        <f>(PROVEEDORES[[#This Row],[SUBTOTAL]]-PROVEEDORES[[#This Row],[descuento sobre subtotal]])*VLOOKUP(PROVEEDORES[[#This Row],[PROVEEDOR]],TERCEROS_INFO[#All],3,FALSE)</f>
        <v>162282.61000000002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72">
        <f>+IF(PROVEEDORES[[#This Row],[SUBTOTAL]]&lt;PROVEEDORES[[#This Row],[base retencion]],0,PROVEEDORES[[#This Row],[retención aplicada]])</f>
        <v>0</v>
      </c>
      <c r="Q1216" s="22">
        <f>+PROVEEDORES[[#This Row],[Rete Fuente %]]*(PROVEEDORES[[#This Row],[SUBTOTAL]]-PROVEEDORES[[#This Row],[descuento sobre subtotal]])</f>
        <v>0</v>
      </c>
      <c r="R1216" s="21">
        <f>+PROVEEDORES[[#This Row],[SUBTOTAL]]+PROVEEDORES[[#This Row],[IVA 19%]]-PROVEEDORES[[#This Row],[descuento sobre subtotal]]-PROVEEDORES[[#This Row],[Descuento sobre subtotal $2]]-PROVEEDORES[[#This Row],[Rete Fuente $]]</f>
        <v>1016401.61</v>
      </c>
      <c r="S121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1">
        <f ca="1">IF(PROVEEDORES[[#This Row],[FECHA DE PAGO]]=0,TODAY()-PROVEEDORES[[#This Row],[FECHA DE FACTURACIÓN]]-PROVEEDORES[[#This Row],[PLAZO Días]],0)</f>
        <v>0</v>
      </c>
      <c r="U1216" s="97" t="str">
        <f>+VLOOKUP(PROVEEDORES[[#This Row],[PROVEEDOR]],Terceros!$A:$D,4,FALSE)</f>
        <v>2,5% con base</v>
      </c>
      <c r="V1216" s="98">
        <f>+YEAR(PROVEEDORES[[#This Row],[FECHA DE FACTURACIÓN]])</f>
        <v>2023</v>
      </c>
      <c r="W1216" s="98">
        <f>+MATCH(PROVEEDORES[[#This Row],[año facturado]],Retenciones!$1:$1,0)</f>
        <v>6</v>
      </c>
      <c r="X1216" s="99">
        <f>+VLOOKUP(PROVEEDORES[[#This Row],[ID RETENCION]],Retenciones!$A$1:$O$25,PROVEEDORES[[#This Row],[indicador de columna]],FALSE)</f>
        <v>1145000</v>
      </c>
      <c r="Y1216" s="100">
        <f>+VLOOKUP(PROVEEDORES[[#This Row],[ID RETENCION]],Retenciones!$A$1:$O$25,2,FALSE)</f>
        <v>2.5000000000000001E-2</v>
      </c>
      <c r="Z1216" s="103" t="b">
        <f>OR(COUNTIF(PROVEEDORES[[#This Row],[PROVEEDOR]],"*"&amp;'Palabra no opera'!$A$2&amp;"*"))</f>
        <v>0</v>
      </c>
    </row>
    <row r="1217" spans="1:26" ht="22.35" customHeight="1" x14ac:dyDescent="0.25">
      <c r="A1217" s="65" t="str">
        <f>+IF(PROVEEDORES[[#This Row],[FECHA DE PAGO]]=PROVEEDORES[[#This Row],[FECHA DE FACTURACIÓN]],"DE CONTADO","CRÉDITO")</f>
        <v>CRÉDITO</v>
      </c>
      <c r="B1217" s="38" t="str">
        <f>+IF((PROVEEDORES[[#This Row],[FECHA DE PAGO]]-PROVEEDORES[[#This Row],[FECHA DE FACTURACIÓN]])&gt;PROVEEDORES[[#This Row],[PLAZO Días]],"PAGO VENCIDO")</f>
        <v>PAGO VENCIDO</v>
      </c>
      <c r="C1217" s="20">
        <f>+VLOOKUP(PROVEEDORES[[#This Row],[PROVEEDOR]],TERCEROS_INFO[#All],2,FALSE)</f>
        <v>30</v>
      </c>
      <c r="D1217" s="25">
        <f>+SUMIFS(PROVEEDORES[Total],PROVEEDORES[PROVEEDOR],PROVEEDORES[[#This Row],[PROVEEDOR]],PROVEEDORES[FECHA DE PAGO],"")</f>
        <v>2713769.64</v>
      </c>
      <c r="E1217" s="25"/>
      <c r="F121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7" s="289">
        <v>45139</v>
      </c>
      <c r="H1217" s="26" t="s">
        <v>11</v>
      </c>
      <c r="I1217" s="289">
        <v>45098</v>
      </c>
      <c r="J1217" s="35" t="s">
        <v>931</v>
      </c>
      <c r="K1217" s="21">
        <v>2480677</v>
      </c>
      <c r="L1217" s="21"/>
      <c r="M1217" s="22">
        <f>(PROVEEDORES[[#This Row],[SUBTOTAL]]-PROVEEDORES[[#This Row],[descuento sobre subtotal]])*VLOOKUP(PROVEEDORES[[#This Row],[PROVEEDOR]],TERCEROS_INFO[#All],3,FALSE)</f>
        <v>471328.63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72">
        <f>+IF(PROVEEDORES[[#This Row],[SUBTOTAL]]&lt;PROVEEDORES[[#This Row],[base retencion]],0,PROVEEDORES[[#This Row],[retención aplicada]])</f>
        <v>2.5000000000000001E-2</v>
      </c>
      <c r="Q1217" s="22">
        <f>+PROVEEDORES[[#This Row],[Rete Fuente %]]*(PROVEEDORES[[#This Row],[SUBTOTAL]]-PROVEEDORES[[#This Row],[descuento sobre subtotal]])</f>
        <v>62016.925000000003</v>
      </c>
      <c r="R1217" s="21">
        <f>+PROVEEDORES[[#This Row],[SUBTOTAL]]+PROVEEDORES[[#This Row],[IVA 19%]]-PROVEEDORES[[#This Row],[descuento sobre subtotal]]-PROVEEDORES[[#This Row],[Descuento sobre subtotal $2]]-PROVEEDORES[[#This Row],[Rete Fuente $]]</f>
        <v>2889988.7050000001</v>
      </c>
      <c r="S1217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1">
        <f ca="1">IF(PROVEEDORES[[#This Row],[FECHA DE PAGO]]=0,TODAY()-PROVEEDORES[[#This Row],[FECHA DE FACTURACIÓN]]-PROVEEDORES[[#This Row],[PLAZO Días]],0)</f>
        <v>0</v>
      </c>
      <c r="U1217" s="97" t="str">
        <f>+VLOOKUP(PROVEEDORES[[#This Row],[PROVEEDOR]],Terceros!$A:$D,4,FALSE)</f>
        <v>2,5% con base</v>
      </c>
      <c r="V1217" s="98">
        <f>+YEAR(PROVEEDORES[[#This Row],[FECHA DE FACTURACIÓN]])</f>
        <v>2023</v>
      </c>
      <c r="W1217" s="98">
        <f>+MATCH(PROVEEDORES[[#This Row],[año facturado]],Retenciones!$1:$1,0)</f>
        <v>6</v>
      </c>
      <c r="X1217" s="99">
        <f>+VLOOKUP(PROVEEDORES[[#This Row],[ID RETENCION]],Retenciones!$A$1:$O$25,PROVEEDORES[[#This Row],[indicador de columna]],FALSE)</f>
        <v>1145000</v>
      </c>
      <c r="Y1217" s="100">
        <f>+VLOOKUP(PROVEEDORES[[#This Row],[ID RETENCION]],Retenciones!$A$1:$O$25,2,FALSE)</f>
        <v>2.5000000000000001E-2</v>
      </c>
      <c r="Z1217" s="103" t="b">
        <f>OR(COUNTIF(PROVEEDORES[[#This Row],[PROVEEDOR]],"*"&amp;'Palabra no opera'!$A$2&amp;"*"))</f>
        <v>0</v>
      </c>
    </row>
    <row r="1218" spans="1:26" ht="22.35" customHeight="1" x14ac:dyDescent="0.25">
      <c r="A1218" s="65" t="str">
        <f>+IF(PROVEEDORES[[#This Row],[FECHA DE PAGO]]=PROVEEDORES[[#This Row],[FECHA DE FACTURACIÓN]],"DE CONTADO","CRÉDITO")</f>
        <v>CRÉDITO</v>
      </c>
      <c r="B1218" s="38" t="str">
        <f>+IF((PROVEEDORES[[#This Row],[FECHA DE PAGO]]-PROVEEDORES[[#This Row],[FECHA DE FACTURACIÓN]])&gt;PROVEEDORES[[#This Row],[PLAZO Días]],"PAGO VENCIDO")</f>
        <v>PAGO VENCIDO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2713769.64</v>
      </c>
      <c r="E1218" s="25"/>
      <c r="F121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8" s="289">
        <v>45139</v>
      </c>
      <c r="H1218" s="26" t="s">
        <v>11</v>
      </c>
      <c r="I1218" s="289">
        <v>45105</v>
      </c>
      <c r="J1218" s="35" t="s">
        <v>930</v>
      </c>
      <c r="K1218" s="21">
        <v>3882360</v>
      </c>
      <c r="L1218" s="21"/>
      <c r="M1218" s="22">
        <f>(PROVEEDORES[[#This Row],[SUBTOTAL]]-PROVEEDORES[[#This Row],[descuento sobre subtotal]])*VLOOKUP(PROVEEDORES[[#This Row],[PROVEEDOR]],TERCEROS_INFO[#All],3,FALSE)</f>
        <v>737648.4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72">
        <f>+IF(PROVEEDORES[[#This Row],[SUBTOTAL]]&lt;PROVEEDORES[[#This Row],[base retencion]],0,PROVEEDORES[[#This Row],[retención aplicada]])</f>
        <v>2.5000000000000001E-2</v>
      </c>
      <c r="Q1218" s="22">
        <f>+PROVEEDORES[[#This Row],[Rete Fuente %]]*(PROVEEDORES[[#This Row],[SUBTOTAL]]-PROVEEDORES[[#This Row],[descuento sobre subtotal]])</f>
        <v>97059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4522949.4000000004</v>
      </c>
      <c r="S121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1">
        <f ca="1">IF(PROVEEDORES[[#This Row],[FECHA DE PAGO]]=0,TODAY()-PROVEEDORES[[#This Row],[FECHA DE FACTURACIÓN]]-PROVEEDORES[[#This Row],[PLAZO Días]],0)</f>
        <v>0</v>
      </c>
      <c r="U1218" s="97" t="str">
        <f>+VLOOKUP(PROVEEDORES[[#This Row],[PROVEEDOR]],Terceros!$A:$D,4,FALSE)</f>
        <v>2,5% con base</v>
      </c>
      <c r="V1218" s="98">
        <f>+YEAR(PROVEEDORES[[#This Row],[FECHA DE FACTURACIÓN]])</f>
        <v>2023</v>
      </c>
      <c r="W1218" s="98">
        <f>+MATCH(PROVEEDORES[[#This Row],[año facturado]],Retenciones!$1:$1,0)</f>
        <v>6</v>
      </c>
      <c r="X1218" s="99">
        <f>+VLOOKUP(PROVEEDORES[[#This Row],[ID RETENCION]],Retenciones!$A$1:$O$25,PROVEEDORES[[#This Row],[indicador de columna]],FALSE)</f>
        <v>1145000</v>
      </c>
      <c r="Y1218" s="100">
        <f>+VLOOKUP(PROVEEDORES[[#This Row],[ID RETENCION]],Retenciones!$A$1:$O$25,2,FALSE)</f>
        <v>2.5000000000000001E-2</v>
      </c>
      <c r="Z1218" s="103" t="b">
        <f>OR(COUNTIF(PROVEEDORES[[#This Row],[PROVEEDOR]],"*"&amp;'Palabra no opera'!$A$2&amp;"*"))</f>
        <v>0</v>
      </c>
    </row>
    <row r="1219" spans="1:26" ht="22.35" customHeight="1" x14ac:dyDescent="0.25">
      <c r="A1219" s="65" t="str">
        <f>+IF(PROVEEDORES[[#This Row],[FECHA DE PAGO]]=PROVEEDORES[[#This Row],[FECHA DE FACTURACIÓN]],"DE CONTADO","CRÉDITO")</f>
        <v>CRÉDITO</v>
      </c>
      <c r="B1219" s="38" t="str">
        <f>+IF((PROVEEDORES[[#This Row],[FECHA DE PAGO]]-PROVEEDORES[[#This Row],[FECHA DE FACTURACIÓN]])&gt;PROVEEDORES[[#This Row],[PLAZO Días]],"PAGO VENCIDO")</f>
        <v>PAGO VENCIDO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2713769.64</v>
      </c>
      <c r="E1219" s="25"/>
      <c r="F121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19" s="289">
        <v>45191</v>
      </c>
      <c r="H1219" s="26" t="s">
        <v>11</v>
      </c>
      <c r="I1219" s="289">
        <v>45133</v>
      </c>
      <c r="J1219" s="35" t="s">
        <v>981</v>
      </c>
      <c r="K1219" s="21">
        <v>1552944</v>
      </c>
      <c r="L1219" s="21"/>
      <c r="M1219" s="22">
        <f>(PROVEEDORES[[#This Row],[SUBTOTAL]]-PROVEEDORES[[#This Row],[descuento sobre subtotal]])*VLOOKUP(PROVEEDORES[[#This Row],[PROVEEDOR]],TERCEROS_INFO[#All],3,FALSE)</f>
        <v>295059.36</v>
      </c>
      <c r="N1219" s="23"/>
      <c r="O1219" s="22">
        <f>+PROVEEDORES[[#This Row],[Descuento sobre subtotal %]]*(PROVEEDORES[[#This Row],[SUBTOTAL]]-PROVEEDORES[[#This Row],[descuento sobre subtotal]])</f>
        <v>0</v>
      </c>
      <c r="P1219" s="72">
        <f>+IF(PROVEEDORES[[#This Row],[SUBTOTAL]]&lt;PROVEEDORES[[#This Row],[base retencion]],0,PROVEEDORES[[#This Row],[retención aplicada]])</f>
        <v>2.5000000000000001E-2</v>
      </c>
      <c r="Q1219" s="22">
        <f>+PROVEEDORES[[#This Row],[Rete Fuente %]]*(PROVEEDORES[[#This Row],[SUBTOTAL]]-PROVEEDORES[[#This Row],[descuento sobre subtotal]])</f>
        <v>38823.599999999999</v>
      </c>
      <c r="R1219" s="21">
        <f>+PROVEEDORES[[#This Row],[SUBTOTAL]]+PROVEEDORES[[#This Row],[IVA 19%]]-PROVEEDORES[[#This Row],[descuento sobre subtotal]]-PROVEEDORES[[#This Row],[Descuento sobre subtotal $2]]-PROVEEDORES[[#This Row],[Rete Fuente $]]</f>
        <v>1809179.7599999998</v>
      </c>
      <c r="S121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1">
        <f ca="1">IF(PROVEEDORES[[#This Row],[FECHA DE PAGO]]=0,TODAY()-PROVEEDORES[[#This Row],[FECHA DE FACTURACIÓN]]-PROVEEDORES[[#This Row],[PLAZO Días]],0)</f>
        <v>0</v>
      </c>
      <c r="U1219" s="97" t="str">
        <f>+VLOOKUP(PROVEEDORES[[#This Row],[PROVEEDOR]],Terceros!$A:$D,4,FALSE)</f>
        <v>2,5% con base</v>
      </c>
      <c r="V1219" s="98">
        <f>+YEAR(PROVEEDORES[[#This Row],[FECHA DE FACTURACIÓN]])</f>
        <v>2023</v>
      </c>
      <c r="W1219" s="98">
        <f>+MATCH(PROVEEDORES[[#This Row],[año facturado]],Retenciones!$1:$1,0)</f>
        <v>6</v>
      </c>
      <c r="X1219" s="99">
        <f>+VLOOKUP(PROVEEDORES[[#This Row],[ID RETENCION]],Retenciones!$A$1:$O$25,PROVEEDORES[[#This Row],[indicador de columna]],FALSE)</f>
        <v>1145000</v>
      </c>
      <c r="Y1219" s="100">
        <f>+VLOOKUP(PROVEEDORES[[#This Row],[ID RETENCION]],Retenciones!$A$1:$O$25,2,FALSE)</f>
        <v>2.5000000000000001E-2</v>
      </c>
      <c r="Z1219" s="103" t="b">
        <f>OR(COUNTIF(PROVEEDORES[[#This Row],[PROVEEDOR]],"*"&amp;'Palabra no opera'!$A$2&amp;"*"))</f>
        <v>0</v>
      </c>
    </row>
    <row r="1220" spans="1:26" ht="22.35" customHeight="1" x14ac:dyDescent="0.25">
      <c r="A1220" s="219" t="str">
        <f>+IF(PROVEEDORES[[#This Row],[FECHA DE PAGO]]=PROVEEDORES[[#This Row],[FECHA DE FACTURACIÓN]],"DE CONTADO","CRÉDITO")</f>
        <v>CRÉDITO</v>
      </c>
      <c r="B1220" s="38" t="str">
        <f>+IF((PROVEEDORES[[#This Row],[FECHA DE PAGO]]-PROVEEDORES[[#This Row],[FECHA DE FACTURACIÓN]])&gt;PROVEEDORES[[#This Row],[PLAZO Días]],"PAGO VENCIDO")</f>
        <v>PAGO VENCIDO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2713769.64</v>
      </c>
      <c r="E1220" s="25"/>
      <c r="F1220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0" s="289">
        <v>45208</v>
      </c>
      <c r="H1220" s="26" t="s">
        <v>11</v>
      </c>
      <c r="I1220" s="289">
        <v>45141</v>
      </c>
      <c r="J1220" s="35" t="s">
        <v>1002</v>
      </c>
      <c r="K1220" s="21">
        <v>2420172</v>
      </c>
      <c r="L1220" s="21"/>
      <c r="M1220" s="22">
        <f>(PROVEEDORES[[#This Row],[SUBTOTAL]]-PROVEEDORES[[#This Row],[descuento sobre subtotal]])*VLOOKUP(PROVEEDORES[[#This Row],[PROVEEDOR]],TERCEROS_INFO[#All],3,FALSE)</f>
        <v>459832.68</v>
      </c>
      <c r="N1220" s="23"/>
      <c r="O1220" s="22">
        <f>+PROVEEDORES[[#This Row],[Descuento sobre subtotal %]]*(PROVEEDORES[[#This Row],[SUBTOTAL]]-PROVEEDORES[[#This Row],[descuento sobre subtotal]])</f>
        <v>0</v>
      </c>
      <c r="P1220" s="72">
        <f>+IF(PROVEEDORES[[#This Row],[SUBTOTAL]]&lt;PROVEEDORES[[#This Row],[base retencion]],0,PROVEEDORES[[#This Row],[retención aplicada]])</f>
        <v>2.5000000000000001E-2</v>
      </c>
      <c r="Q1220" s="22">
        <f>+PROVEEDORES[[#This Row],[Rete Fuente %]]*(PROVEEDORES[[#This Row],[SUBTOTAL]]-PROVEEDORES[[#This Row],[descuento sobre subtotal]])</f>
        <v>60504.3</v>
      </c>
      <c r="R1220" s="21">
        <f>+PROVEEDORES[[#This Row],[SUBTOTAL]]+PROVEEDORES[[#This Row],[IVA 19%]]-PROVEEDORES[[#This Row],[descuento sobre subtotal]]-PROVEEDORES[[#This Row],[Descuento sobre subtotal $2]]-PROVEEDORES[[#This Row],[Rete Fuente $]]</f>
        <v>2819500.3800000004</v>
      </c>
      <c r="S1220" s="2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1">
        <f ca="1">IF(PROVEEDORES[[#This Row],[FECHA DE PAGO]]=0,TODAY()-PROVEEDORES[[#This Row],[FECHA DE FACTURACIÓN]]-PROVEEDORES[[#This Row],[PLAZO Días]],0)</f>
        <v>0</v>
      </c>
      <c r="U1220" s="97" t="str">
        <f>+VLOOKUP(PROVEEDORES[[#This Row],[PROVEEDOR]],Terceros!$A:$D,4,FALSE)</f>
        <v>2,5% con base</v>
      </c>
      <c r="V1220" s="98">
        <f>+YEAR(PROVEEDORES[[#This Row],[FECHA DE FACTURACIÓN]])</f>
        <v>2023</v>
      </c>
      <c r="W1220" s="98">
        <f>+MATCH(PROVEEDORES[[#This Row],[año facturado]],Retenciones!$1:$1,0)</f>
        <v>6</v>
      </c>
      <c r="X1220" s="99">
        <f>+VLOOKUP(PROVEEDORES[[#This Row],[ID RETENCION]],Retenciones!$A$1:$O$25,PROVEEDORES[[#This Row],[indicador de columna]],FALSE)</f>
        <v>1145000</v>
      </c>
      <c r="Y1220" s="100">
        <f>+VLOOKUP(PROVEEDORES[[#This Row],[ID RETENCION]],Retenciones!$A$1:$O$25,2,FALSE)</f>
        <v>2.5000000000000001E-2</v>
      </c>
      <c r="Z1220" s="103" t="b">
        <f>OR(COUNTIF(PROVEEDORES[[#This Row],[PROVEEDOR]],"*"&amp;'Palabra no opera'!$A$2&amp;"*"))</f>
        <v>0</v>
      </c>
    </row>
    <row r="1221" spans="1:26" ht="22.35" customHeight="1" x14ac:dyDescent="0.25">
      <c r="A1221" s="65" t="str">
        <f>+IF(PROVEEDORES[[#This Row],[FECHA DE PAGO]]=PROVEEDORES[[#This Row],[FECHA DE FACTURACIÓN]],"DE CONTADO","CRÉDITO")</f>
        <v>CRÉDITO</v>
      </c>
      <c r="B1221" s="38" t="str">
        <f>+IF((PROVEEDORES[[#This Row],[FECHA DE PAGO]]-PROVEEDORES[[#This Row],[FECHA DE FACTURACIÓN]])&gt;PROVEEDORES[[#This Row],[PLAZO Días]],"PAGO VENCIDO")</f>
        <v>PAGO VENCIDO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2713769.64</v>
      </c>
      <c r="E1221" s="25"/>
      <c r="F1221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1" s="289">
        <v>45208</v>
      </c>
      <c r="H1221" s="26" t="s">
        <v>11</v>
      </c>
      <c r="I1221" s="289">
        <v>45155</v>
      </c>
      <c r="J1221" s="35" t="s">
        <v>1061</v>
      </c>
      <c r="K1221" s="21">
        <v>4658832</v>
      </c>
      <c r="L1221" s="21"/>
      <c r="M1221" s="22">
        <f>(PROVEEDORES[[#This Row],[SUBTOTAL]]-PROVEEDORES[[#This Row],[descuento sobre subtotal]])*VLOOKUP(PROVEEDORES[[#This Row],[PROVEEDOR]],TERCEROS_INFO[#All],3,FALSE)</f>
        <v>885178.08</v>
      </c>
      <c r="N1221" s="23"/>
      <c r="O1221" s="22">
        <f>+PROVEEDORES[[#This Row],[Descuento sobre subtotal %]]*(PROVEEDORES[[#This Row],[SUBTOTAL]]-PROVEEDORES[[#This Row],[descuento sobre subtotal]])</f>
        <v>0</v>
      </c>
      <c r="P1221" s="72">
        <f>+IF(PROVEEDORES[[#This Row],[SUBTOTAL]]&lt;PROVEEDORES[[#This Row],[base retencion]],0,PROVEEDORES[[#This Row],[retención aplicada]])</f>
        <v>2.5000000000000001E-2</v>
      </c>
      <c r="Q1221" s="22">
        <f>+PROVEEDORES[[#This Row],[Rete Fuente %]]*(PROVEEDORES[[#This Row],[SUBTOTAL]]-PROVEEDORES[[#This Row],[descuento sobre subtotal]])</f>
        <v>116470.8</v>
      </c>
      <c r="R1221" s="21">
        <f>+PROVEEDORES[[#This Row],[SUBTOTAL]]+PROVEEDORES[[#This Row],[IVA 19%]]-PROVEEDORES[[#This Row],[descuento sobre subtotal]]-PROVEEDORES[[#This Row],[Descuento sobre subtotal $2]]-PROVEEDORES[[#This Row],[Rete Fuente $]]</f>
        <v>5427539.2800000003</v>
      </c>
      <c r="S122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1">
        <f ca="1">IF(PROVEEDORES[[#This Row],[FECHA DE PAGO]]=0,TODAY()-PROVEEDORES[[#This Row],[FECHA DE FACTURACIÓN]]-PROVEEDORES[[#This Row],[PLAZO Días]],0)</f>
        <v>0</v>
      </c>
      <c r="U1221" s="97" t="str">
        <f>+VLOOKUP(PROVEEDORES[[#This Row],[PROVEEDOR]],Terceros!$A:$D,4,FALSE)</f>
        <v>2,5% con base</v>
      </c>
      <c r="V1221" s="98">
        <f>+YEAR(PROVEEDORES[[#This Row],[FECHA DE FACTURACIÓN]])</f>
        <v>2023</v>
      </c>
      <c r="W1221" s="98">
        <f>+MATCH(PROVEEDORES[[#This Row],[año facturado]],Retenciones!$1:$1,0)</f>
        <v>6</v>
      </c>
      <c r="X1221" s="99">
        <f>+VLOOKUP(PROVEEDORES[[#This Row],[ID RETENCION]],Retenciones!$A$1:$O$25,PROVEEDORES[[#This Row],[indicador de columna]],FALSE)</f>
        <v>1145000</v>
      </c>
      <c r="Y1221" s="100">
        <f>+VLOOKUP(PROVEEDORES[[#This Row],[ID RETENCION]],Retenciones!$A$1:$O$25,2,FALSE)</f>
        <v>2.5000000000000001E-2</v>
      </c>
      <c r="Z1221" s="103" t="b">
        <f>OR(COUNTIF(PROVEEDORES[[#This Row],[PROVEEDOR]],"*"&amp;'Palabra no opera'!$A$2&amp;"*"))</f>
        <v>0</v>
      </c>
    </row>
    <row r="1222" spans="1:26" ht="22.35" customHeight="1" x14ac:dyDescent="0.25">
      <c r="A1222" s="65" t="str">
        <f>+IF(PROVEEDORES[[#This Row],[FECHA DE PAGO]]=PROVEEDORES[[#This Row],[FECHA DE FACTURACIÓN]],"DE CONTADO","CRÉDITO")</f>
        <v>CRÉDITO</v>
      </c>
      <c r="B1222" s="38" t="str">
        <f>+IF((PROVEEDORES[[#This Row],[FECHA DE PAGO]]-PROVEEDORES[[#This Row],[FECHA DE FACTURACIÓN]])&gt;PROVEEDORES[[#This Row],[PLAZO Días]],"PAGO VENCIDO")</f>
        <v>PAGO VENCIDO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2713769.64</v>
      </c>
      <c r="E1222" s="25"/>
      <c r="F1222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2" s="289">
        <v>45208</v>
      </c>
      <c r="H1222" s="26" t="s">
        <v>11</v>
      </c>
      <c r="I1222" s="289">
        <v>45160</v>
      </c>
      <c r="J1222" s="35" t="s">
        <v>1060</v>
      </c>
      <c r="K1222" s="21">
        <v>776472</v>
      </c>
      <c r="L1222" s="21"/>
      <c r="M1222" s="22">
        <f>(PROVEEDORES[[#This Row],[SUBTOTAL]]-PROVEEDORES[[#This Row],[descuento sobre subtotal]])*VLOOKUP(PROVEEDORES[[#This Row],[PROVEEDOR]],TERCEROS_INFO[#All],3,FALSE)</f>
        <v>147529.68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72">
        <f>+IF(PROVEEDORES[[#This Row],[SUBTOTAL]]&lt;PROVEEDORES[[#This Row],[base retencion]],0,PROVEEDORES[[#This Row],[retención aplicada]])</f>
        <v>0</v>
      </c>
      <c r="Q1222" s="22">
        <f>+PROVEEDORES[[#This Row],[Rete Fuente %]]*(PROVEEDORES[[#This Row],[SUBTOTAL]]-PROVEEDORES[[#This Row],[descuento sobre subtotal]])</f>
        <v>0</v>
      </c>
      <c r="R1222" s="21">
        <f>+PROVEEDORES[[#This Row],[SUBTOTAL]]+PROVEEDORES[[#This Row],[IVA 19%]]-PROVEEDORES[[#This Row],[descuento sobre subtotal]]-PROVEEDORES[[#This Row],[Descuento sobre subtotal $2]]-PROVEEDORES[[#This Row],[Rete Fuente $]]</f>
        <v>924001.67999999993</v>
      </c>
      <c r="S122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1">
        <f ca="1">IF(PROVEEDORES[[#This Row],[FECHA DE PAGO]]=0,TODAY()-PROVEEDORES[[#This Row],[FECHA DE FACTURACIÓN]]-PROVEEDORES[[#This Row],[PLAZO Días]],0)</f>
        <v>0</v>
      </c>
      <c r="U1222" s="97" t="str">
        <f>+VLOOKUP(PROVEEDORES[[#This Row],[PROVEEDOR]],Terceros!$A:$D,4,FALSE)</f>
        <v>2,5% con base</v>
      </c>
      <c r="V1222" s="98">
        <f>+YEAR(PROVEEDORES[[#This Row],[FECHA DE FACTURACIÓN]])</f>
        <v>2023</v>
      </c>
      <c r="W1222" s="98">
        <f>+MATCH(PROVEEDORES[[#This Row],[año facturado]],Retenciones!$1:$1,0)</f>
        <v>6</v>
      </c>
      <c r="X1222" s="99">
        <f>+VLOOKUP(PROVEEDORES[[#This Row],[ID RETENCION]],Retenciones!$A$1:$O$25,PROVEEDORES[[#This Row],[indicador de columna]],FALSE)</f>
        <v>1145000</v>
      </c>
      <c r="Y1222" s="100">
        <f>+VLOOKUP(PROVEEDORES[[#This Row],[ID RETENCION]],Retenciones!$A$1:$O$25,2,FALSE)</f>
        <v>2.5000000000000001E-2</v>
      </c>
      <c r="Z1222" s="103" t="b">
        <f>OR(COUNTIF(PROVEEDORES[[#This Row],[PROVEEDOR]],"*"&amp;'Palabra no opera'!$A$2&amp;"*"))</f>
        <v>0</v>
      </c>
    </row>
    <row r="1223" spans="1:26" ht="22.35" customHeight="1" x14ac:dyDescent="0.25">
      <c r="A1223" s="65" t="str">
        <f>+IF(PROVEEDORES[[#This Row],[FECHA DE PAGO]]=PROVEEDORES[[#This Row],[FECHA DE FACTURACIÓN]],"DE CONTADO","CRÉDITO")</f>
        <v>CRÉDITO</v>
      </c>
      <c r="B1223" s="38" t="str">
        <f>+IF((PROVEEDORES[[#This Row],[FECHA DE PAGO]]-PROVEEDORES[[#This Row],[FECHA DE FACTURACIÓN]])&gt;PROVEEDORES[[#This Row],[PLAZO Días]],"PAGO VENCIDO")</f>
        <v>PAGO VENCIDO</v>
      </c>
      <c r="C1223" s="20">
        <f>+VLOOKUP(PROVEEDORES[[#This Row],[PROVEEDOR]],TERCEROS_INFO[#All],2,FALSE)</f>
        <v>30</v>
      </c>
      <c r="D1223" s="25">
        <f>+SUMIFS(PROVEEDORES[Total],PROVEEDORES[PROVEEDOR],PROVEEDORES[[#This Row],[PROVEEDOR]],PROVEEDORES[FECHA DE PAGO],"")</f>
        <v>2713769.64</v>
      </c>
      <c r="E1223" s="25"/>
      <c r="F1223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3" s="289">
        <v>45237</v>
      </c>
      <c r="H1223" s="26" t="s">
        <v>11</v>
      </c>
      <c r="I1223" s="289">
        <v>45188</v>
      </c>
      <c r="J1223" s="35" t="s">
        <v>1111</v>
      </c>
      <c r="K1223" s="21">
        <v>2631937</v>
      </c>
      <c r="L1223" s="21"/>
      <c r="M1223" s="22">
        <f>(PROVEEDORES[[#This Row],[SUBTOTAL]]-PROVEEDORES[[#This Row],[descuento sobre subtotal]])*VLOOKUP(PROVEEDORES[[#This Row],[PROVEEDOR]],TERCEROS_INFO[#All],3,FALSE)</f>
        <v>500068.03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72">
        <f>+IF(PROVEEDORES[[#This Row],[SUBTOTAL]]&lt;PROVEEDORES[[#This Row],[base retencion]],0,PROVEEDORES[[#This Row],[retención aplicada]])</f>
        <v>2.5000000000000001E-2</v>
      </c>
      <c r="Q1223" s="22">
        <f>+PROVEEDORES[[#This Row],[Rete Fuente %]]*(PROVEEDORES[[#This Row],[SUBTOTAL]]-PROVEEDORES[[#This Row],[descuento sobre subtotal]])</f>
        <v>65798.425000000003</v>
      </c>
      <c r="R1223" s="21">
        <f>+PROVEEDORES[[#This Row],[SUBTOTAL]]+PROVEEDORES[[#This Row],[IVA 19%]]-PROVEEDORES[[#This Row],[descuento sobre subtotal]]-PROVEEDORES[[#This Row],[Descuento sobre subtotal $2]]-PROVEEDORES[[#This Row],[Rete Fuente $]]</f>
        <v>3066206.6050000004</v>
      </c>
      <c r="S122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1">
        <f ca="1">IF(PROVEEDORES[[#This Row],[FECHA DE PAGO]]=0,TODAY()-PROVEEDORES[[#This Row],[FECHA DE FACTURACIÓN]]-PROVEEDORES[[#This Row],[PLAZO Días]],0)</f>
        <v>0</v>
      </c>
      <c r="U1223" s="97" t="str">
        <f>+VLOOKUP(PROVEEDORES[[#This Row],[PROVEEDOR]],Terceros!$A:$D,4,FALSE)</f>
        <v>2,5% con base</v>
      </c>
      <c r="V1223" s="98">
        <f>+YEAR(PROVEEDORES[[#This Row],[FECHA DE FACTURACIÓN]])</f>
        <v>2023</v>
      </c>
      <c r="W1223" s="98">
        <f>+MATCH(PROVEEDORES[[#This Row],[año facturado]],Retenciones!$1:$1,0)</f>
        <v>6</v>
      </c>
      <c r="X1223" s="99">
        <f>+VLOOKUP(PROVEEDORES[[#This Row],[ID RETENCION]],Retenciones!$A$1:$O$25,PROVEEDORES[[#This Row],[indicador de columna]],FALSE)</f>
        <v>1145000</v>
      </c>
      <c r="Y1223" s="100">
        <f>+VLOOKUP(PROVEEDORES[[#This Row],[ID RETENCION]],Retenciones!$A$1:$O$25,2,FALSE)</f>
        <v>2.5000000000000001E-2</v>
      </c>
      <c r="Z1223" s="103" t="b">
        <f>OR(COUNTIF(PROVEEDORES[[#This Row],[PROVEEDOR]],"*"&amp;'Palabra no opera'!$A$2&amp;"*"))</f>
        <v>0</v>
      </c>
    </row>
    <row r="1224" spans="1:26" ht="22.35" customHeight="1" x14ac:dyDescent="0.25">
      <c r="A1224" s="243" t="str">
        <f>+IF(PROVEEDORES[[#This Row],[FECHA DE PAGO]]=PROVEEDORES[[#This Row],[FECHA DE FACTURACIÓN]],"DE CONTADO","CRÉDITO")</f>
        <v>CRÉDITO</v>
      </c>
      <c r="B1224" s="38" t="str">
        <f>+IF((PROVEEDORES[[#This Row],[FECHA DE PAGO]]-PROVEEDORES[[#This Row],[FECHA DE FACTURACIÓN]])&gt;PROVEEDORES[[#This Row],[PLAZO Días]],"PAGO VENCIDO")</f>
        <v>PAGO VENCIDO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2713769.64</v>
      </c>
      <c r="E1224" s="25"/>
      <c r="F1224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4" s="289">
        <v>45237</v>
      </c>
      <c r="H1224" s="26" t="s">
        <v>11</v>
      </c>
      <c r="I1224" s="289">
        <v>45197</v>
      </c>
      <c r="J1224" s="35" t="s">
        <v>1134</v>
      </c>
      <c r="K1224" s="21">
        <v>2329416</v>
      </c>
      <c r="L1224" s="21"/>
      <c r="M1224" s="22">
        <f>(PROVEEDORES[[#This Row],[SUBTOTAL]]-PROVEEDORES[[#This Row],[descuento sobre subtotal]])*VLOOKUP(PROVEEDORES[[#This Row],[PROVEEDOR]],TERCEROS_INFO[#All],3,FALSE)</f>
        <v>442589.04</v>
      </c>
      <c r="N1224" s="23"/>
      <c r="O1224" s="22">
        <f>+PROVEEDORES[[#This Row],[Descuento sobre subtotal %]]*(PROVEEDORES[[#This Row],[SUBTOTAL]]-PROVEEDORES[[#This Row],[descuento sobre subtotal]])</f>
        <v>0</v>
      </c>
      <c r="P1224" s="72">
        <f>+IF(PROVEEDORES[[#This Row],[SUBTOTAL]]&lt;PROVEEDORES[[#This Row],[base retencion]],0,PROVEEDORES[[#This Row],[retención aplicada]])</f>
        <v>2.5000000000000001E-2</v>
      </c>
      <c r="Q1224" s="22">
        <f>+PROVEEDORES[[#This Row],[Rete Fuente %]]*(PROVEEDORES[[#This Row],[SUBTOTAL]]-PROVEEDORES[[#This Row],[descuento sobre subtotal]])</f>
        <v>58235.4</v>
      </c>
      <c r="R1224" s="21">
        <f>+PROVEEDORES[[#This Row],[SUBTOTAL]]+PROVEEDORES[[#This Row],[IVA 19%]]-PROVEEDORES[[#This Row],[descuento sobre subtotal]]-PROVEEDORES[[#This Row],[Descuento sobre subtotal $2]]-PROVEEDORES[[#This Row],[Rete Fuente $]]</f>
        <v>2713769.64</v>
      </c>
      <c r="S1224" s="2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1">
        <f ca="1">IF(PROVEEDORES[[#This Row],[FECHA DE PAGO]]=0,TODAY()-PROVEEDORES[[#This Row],[FECHA DE FACTURACIÓN]]-PROVEEDORES[[#This Row],[PLAZO Días]],0)</f>
        <v>0</v>
      </c>
      <c r="U1224" s="97" t="str">
        <f>+VLOOKUP(PROVEEDORES[[#This Row],[PROVEEDOR]],Terceros!$A:$D,4,FALSE)</f>
        <v>2,5% con base</v>
      </c>
      <c r="V1224" s="98">
        <f>+YEAR(PROVEEDORES[[#This Row],[FECHA DE FACTURACIÓN]])</f>
        <v>2023</v>
      </c>
      <c r="W1224" s="98">
        <f>+MATCH(PROVEEDORES[[#This Row],[año facturado]],Retenciones!$1:$1,0)</f>
        <v>6</v>
      </c>
      <c r="X1224" s="99">
        <f>+VLOOKUP(PROVEEDORES[[#This Row],[ID RETENCION]],Retenciones!$A$1:$O$25,PROVEEDORES[[#This Row],[indicador de columna]],FALSE)</f>
        <v>1145000</v>
      </c>
      <c r="Y1224" s="100">
        <f>+VLOOKUP(PROVEEDORES[[#This Row],[ID RETENCION]],Retenciones!$A$1:$O$25,2,FALSE)</f>
        <v>2.5000000000000001E-2</v>
      </c>
      <c r="Z1224" s="103" t="b">
        <f>OR(COUNTIF(PROVEEDORES[[#This Row],[PROVEEDOR]],"*"&amp;'Palabra no opera'!$A$2&amp;"*"))</f>
        <v>0</v>
      </c>
    </row>
    <row r="1225" spans="1:26" ht="22.35" customHeight="1" x14ac:dyDescent="0.25">
      <c r="A1225" s="65" t="str">
        <f>+IF(PROVEEDORES[[#This Row],[FECHA DE PAGO]]=PROVEEDORES[[#This Row],[FECHA DE FACTURACIÓN]],"DE CONTADO","CRÉDITO")</f>
        <v>CRÉDITO</v>
      </c>
      <c r="B1225" s="38" t="str">
        <f>+IF((PROVEEDORES[[#This Row],[FECHA DE PAGO]]-PROVEEDORES[[#This Row],[FECHA DE FACTURACIÓN]])&gt;PROVEEDORES[[#This Row],[PLAZO Días]],"PAGO VENCIDO")</f>
        <v>PAGO VENCIDO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2713769.64</v>
      </c>
      <c r="E1225" s="25"/>
      <c r="F1225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5" s="289">
        <v>45264</v>
      </c>
      <c r="H1225" s="26" t="s">
        <v>11</v>
      </c>
      <c r="I1225" s="289">
        <v>45222</v>
      </c>
      <c r="J1225" s="35" t="s">
        <v>1230</v>
      </c>
      <c r="K1225" s="21">
        <v>3105888</v>
      </c>
      <c r="L1225" s="21"/>
      <c r="M1225" s="22">
        <f>(PROVEEDORES[[#This Row],[SUBTOTAL]]-PROVEEDORES[[#This Row],[descuento sobre subtotal]])*VLOOKUP(PROVEEDORES[[#This Row],[PROVEEDOR]],TERCEROS_INFO[#All],3,FALSE)</f>
        <v>590118.72</v>
      </c>
      <c r="N1225" s="23"/>
      <c r="O1225" s="22">
        <f>+PROVEEDORES[[#This Row],[Descuento sobre subtotal %]]*(PROVEEDORES[[#This Row],[SUBTOTAL]]-PROVEEDORES[[#This Row],[descuento sobre subtotal]])</f>
        <v>0</v>
      </c>
      <c r="P1225" s="72">
        <f>+IF(PROVEEDORES[[#This Row],[SUBTOTAL]]&lt;PROVEEDORES[[#This Row],[base retencion]],0,PROVEEDORES[[#This Row],[retención aplicada]])</f>
        <v>2.5000000000000001E-2</v>
      </c>
      <c r="Q1225" s="22">
        <f>+PROVEEDORES[[#This Row],[Rete Fuente %]]*(PROVEEDORES[[#This Row],[SUBTOTAL]]-PROVEEDORES[[#This Row],[descuento sobre subtotal]])</f>
        <v>77647.199999999997</v>
      </c>
      <c r="R1225" s="21">
        <f>+PROVEEDORES[[#This Row],[SUBTOTAL]]+PROVEEDORES[[#This Row],[IVA 19%]]-PROVEEDORES[[#This Row],[descuento sobre subtotal]]-PROVEEDORES[[#This Row],[Descuento sobre subtotal $2]]-PROVEEDORES[[#This Row],[Rete Fuente $]]</f>
        <v>3618359.5199999996</v>
      </c>
      <c r="S1225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1">
        <f ca="1">IF(PROVEEDORES[[#This Row],[FECHA DE PAGO]]=0,TODAY()-PROVEEDORES[[#This Row],[FECHA DE FACTURACIÓN]]-PROVEEDORES[[#This Row],[PLAZO Días]],0)</f>
        <v>0</v>
      </c>
      <c r="U1225" s="97" t="str">
        <f>+VLOOKUP(PROVEEDORES[[#This Row],[PROVEEDOR]],Terceros!$A:$D,4,FALSE)</f>
        <v>2,5% con base</v>
      </c>
      <c r="V1225" s="98">
        <f>+YEAR(PROVEEDORES[[#This Row],[FECHA DE FACTURACIÓN]])</f>
        <v>2023</v>
      </c>
      <c r="W1225" s="98">
        <f>+MATCH(PROVEEDORES[[#This Row],[año facturado]],Retenciones!$1:$1,0)</f>
        <v>6</v>
      </c>
      <c r="X1225" s="99">
        <f>+VLOOKUP(PROVEEDORES[[#This Row],[ID RETENCION]],Retenciones!$A$1:$O$25,PROVEEDORES[[#This Row],[indicador de columna]],FALSE)</f>
        <v>1145000</v>
      </c>
      <c r="Y1225" s="100">
        <f>+VLOOKUP(PROVEEDORES[[#This Row],[ID RETENCION]],Retenciones!$A$1:$O$25,2,FALSE)</f>
        <v>2.5000000000000001E-2</v>
      </c>
      <c r="Z1225" s="103" t="b">
        <f>OR(COUNTIF(PROVEEDORES[[#This Row],[PROVEEDOR]],"*"&amp;'Palabra no opera'!$A$2&amp;"*"))</f>
        <v>0</v>
      </c>
    </row>
    <row r="1226" spans="1:26" ht="22.35" customHeight="1" x14ac:dyDescent="0.25">
      <c r="A1226" s="65" t="str">
        <f>+IF(PROVEEDORES[[#This Row],[FECHA DE PAGO]]=PROVEEDORES[[#This Row],[FECHA DE FACTURACIÓN]],"DE CONTADO","CRÉDITO")</f>
        <v>CRÉDITO</v>
      </c>
      <c r="B1226" s="38" t="str">
        <f>+IF((PROVEEDORES[[#This Row],[FECHA DE PAGO]]-PROVEEDORES[[#This Row],[FECHA DE FACTURACIÓN]])&gt;PROVEEDORES[[#This Row],[PLAZO Días]],"PAGO VENCIDO")</f>
        <v>PAGO VENCIDO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2713769.64</v>
      </c>
      <c r="E1226" s="25"/>
      <c r="F1226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6" s="289">
        <v>45272</v>
      </c>
      <c r="H1226" s="26" t="s">
        <v>11</v>
      </c>
      <c r="I1226" s="289">
        <v>45238</v>
      </c>
      <c r="J1226" s="35" t="s">
        <v>1279</v>
      </c>
      <c r="K1226" s="21">
        <v>3105888</v>
      </c>
      <c r="L1226" s="21"/>
      <c r="M1226" s="22">
        <f>(PROVEEDORES[[#This Row],[SUBTOTAL]]-PROVEEDORES[[#This Row],[descuento sobre subtotal]])*VLOOKUP(PROVEEDORES[[#This Row],[PROVEEDOR]],TERCEROS_INFO[#All],3,FALSE)</f>
        <v>590118.72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72">
        <f>+IF(PROVEEDORES[[#This Row],[SUBTOTAL]]&lt;PROVEEDORES[[#This Row],[base retencion]],0,PROVEEDORES[[#This Row],[retención aplicada]])</f>
        <v>2.5000000000000001E-2</v>
      </c>
      <c r="Q1226" s="22">
        <f>+PROVEEDORES[[#This Row],[Rete Fuente %]]*(PROVEEDORES[[#This Row],[SUBTOTAL]]-PROVEEDORES[[#This Row],[descuento sobre subtotal]])</f>
        <v>77647.199999999997</v>
      </c>
      <c r="R1226" s="21">
        <f>+PROVEEDORES[[#This Row],[SUBTOTAL]]+PROVEEDORES[[#This Row],[IVA 19%]]-PROVEEDORES[[#This Row],[descuento sobre subtotal]]-PROVEEDORES[[#This Row],[Descuento sobre subtotal $2]]-PROVEEDORES[[#This Row],[Rete Fuente $]]</f>
        <v>3618359.5199999996</v>
      </c>
      <c r="S1226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1">
        <f ca="1">IF(PROVEEDORES[[#This Row],[FECHA DE PAGO]]=0,TODAY()-PROVEEDORES[[#This Row],[FECHA DE FACTURACIÓN]]-PROVEEDORES[[#This Row],[PLAZO Días]],0)</f>
        <v>0</v>
      </c>
      <c r="U1226" s="97" t="str">
        <f>+VLOOKUP(PROVEEDORES[[#This Row],[PROVEEDOR]],Terceros!$A:$D,4,FALSE)</f>
        <v>2,5% con base</v>
      </c>
      <c r="V1226" s="98">
        <f>+YEAR(PROVEEDORES[[#This Row],[FECHA DE FACTURACIÓN]])</f>
        <v>2023</v>
      </c>
      <c r="W1226" s="98">
        <f>+MATCH(PROVEEDORES[[#This Row],[año facturado]],Retenciones!$1:$1,0)</f>
        <v>6</v>
      </c>
      <c r="X1226" s="99">
        <f>+VLOOKUP(PROVEEDORES[[#This Row],[ID RETENCION]],Retenciones!$A$1:$O$25,PROVEEDORES[[#This Row],[indicador de columna]],FALSE)</f>
        <v>1145000</v>
      </c>
      <c r="Y1226" s="100">
        <f>+VLOOKUP(PROVEEDORES[[#This Row],[ID RETENCION]],Retenciones!$A$1:$O$25,2,FALSE)</f>
        <v>2.5000000000000001E-2</v>
      </c>
      <c r="Z1226" s="103" t="b">
        <f>OR(COUNTIF(PROVEEDORES[[#This Row],[PROVEEDOR]],"*"&amp;'Palabra no opera'!$A$2&amp;"*"))</f>
        <v>0</v>
      </c>
    </row>
    <row r="1227" spans="1:26" ht="22.35" customHeight="1" x14ac:dyDescent="0.25">
      <c r="A1227" s="262" t="str">
        <f>+IF(PROVEEDORES[[#This Row],[FECHA DE PAGO]]=PROVEEDORES[[#This Row],[FECHA DE FACTURACIÓN]],"DE CONTADO","CRÉDITO")</f>
        <v>CRÉDITO</v>
      </c>
      <c r="B1227" s="38" t="str">
        <f>+IF((PROVEEDORES[[#This Row],[FECHA DE PAGO]]-PROVEEDORES[[#This Row],[FECHA DE FACTURACIÓN]])&gt;PROVEEDORES[[#This Row],[PLAZO Días]],"PAGO VENCIDO")</f>
        <v>PAGO VENCIDO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2713769.64</v>
      </c>
      <c r="E1227" s="25"/>
      <c r="F1227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7" s="289">
        <v>45301</v>
      </c>
      <c r="H1227" s="26" t="s">
        <v>11</v>
      </c>
      <c r="I1227" s="289">
        <v>45253</v>
      </c>
      <c r="J1227" s="35" t="s">
        <v>1293</v>
      </c>
      <c r="K1227" s="21">
        <v>8067241</v>
      </c>
      <c r="L1227" s="21"/>
      <c r="M1227" s="22">
        <f>(PROVEEDORES[[#This Row],[SUBTOTAL]]-PROVEEDORES[[#This Row],[descuento sobre subtotal]])*VLOOKUP(PROVEEDORES[[#This Row],[PROVEEDOR]],TERCEROS_INFO[#All],3,FALSE)</f>
        <v>1532775.79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72">
        <f>+IF(PROVEEDORES[[#This Row],[SUBTOTAL]]&lt;PROVEEDORES[[#This Row],[base retencion]],0,PROVEEDORES[[#This Row],[retención aplicada]])</f>
        <v>2.5000000000000001E-2</v>
      </c>
      <c r="Q1227" s="22">
        <f>+PROVEEDORES[[#This Row],[Rete Fuente %]]*(PROVEEDORES[[#This Row],[SUBTOTAL]]-PROVEEDORES[[#This Row],[descuento sobre subtotal]])</f>
        <v>201681.02500000002</v>
      </c>
      <c r="R1227" s="21">
        <f>+PROVEEDORES[[#This Row],[SUBTOTAL]]+PROVEEDORES[[#This Row],[IVA 19%]]-PROVEEDORES[[#This Row],[descuento sobre subtotal]]-PROVEEDORES[[#This Row],[Descuento sobre subtotal $2]]-PROVEEDORES[[#This Row],[Rete Fuente $]]</f>
        <v>9398335.7649999987</v>
      </c>
      <c r="S1227" s="26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1">
        <f ca="1">IF(PROVEEDORES[[#This Row],[FECHA DE PAGO]]=0,TODAY()-PROVEEDORES[[#This Row],[FECHA DE FACTURACIÓN]]-PROVEEDORES[[#This Row],[PLAZO Días]],0)</f>
        <v>0</v>
      </c>
      <c r="U1227" s="97" t="str">
        <f>+VLOOKUP(PROVEEDORES[[#This Row],[PROVEEDOR]],Terceros!$A:$D,4,FALSE)</f>
        <v>2,5% con base</v>
      </c>
      <c r="V1227" s="98">
        <f>+YEAR(PROVEEDORES[[#This Row],[FECHA DE FACTURACIÓN]])</f>
        <v>2023</v>
      </c>
      <c r="W1227" s="98">
        <f>+MATCH(PROVEEDORES[[#This Row],[año facturado]],Retenciones!$1:$1,0)</f>
        <v>6</v>
      </c>
      <c r="X1227" s="99">
        <f>+VLOOKUP(PROVEEDORES[[#This Row],[ID RETENCION]],Retenciones!$A$1:$O$25,PROVEEDORES[[#This Row],[indicador de columna]],FALSE)</f>
        <v>1145000</v>
      </c>
      <c r="Y1227" s="100">
        <f>+VLOOKUP(PROVEEDORES[[#This Row],[ID RETENCION]],Retenciones!$A$1:$O$25,2,FALSE)</f>
        <v>2.5000000000000001E-2</v>
      </c>
      <c r="Z1227" s="103" t="b">
        <f>OR(COUNTIF(PROVEEDORES[[#This Row],[PROVEEDOR]],"*"&amp;'Palabra no opera'!$A$2&amp;"*"))</f>
        <v>0</v>
      </c>
    </row>
    <row r="1228" spans="1:26" ht="22.35" customHeight="1" x14ac:dyDescent="0.25">
      <c r="A1228" s="65" t="str">
        <f>+IF(PROVEEDORES[[#This Row],[FECHA DE PAGO]]=PROVEEDORES[[#This Row],[FECHA DE FACTURACIÓN]],"DE CONTADO","CRÉDITO")</f>
        <v>CRÉDITO</v>
      </c>
      <c r="B1228" s="38" t="str">
        <f>+IF((PROVEEDORES[[#This Row],[FECHA DE PAGO]]-PROVEEDORES[[#This Row],[FECHA DE FACTURACIÓN]])&gt;PROVEEDORES[[#This Row],[PLAZO Días]],"PAGO VENCIDO")</f>
        <v>PAGO VENCIDO</v>
      </c>
      <c r="C1228" s="20">
        <f>+VLOOKUP(PROVEEDORES[[#This Row],[PROVEEDOR]],TERCEROS_INFO[#All],2,FALSE)</f>
        <v>30</v>
      </c>
      <c r="D1228" s="25">
        <f>+SUMIFS(PROVEEDORES[Total],PROVEEDORES[PROVEEDOR],PROVEEDORES[[#This Row],[PROVEEDOR]],PROVEEDORES[FECHA DE PAGO],"")</f>
        <v>2713769.64</v>
      </c>
      <c r="E1228" s="25"/>
      <c r="F1228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8" s="289">
        <v>45317</v>
      </c>
      <c r="H1228" s="26" t="s">
        <v>11</v>
      </c>
      <c r="I1228" s="289">
        <v>45280</v>
      </c>
      <c r="J1228" s="35" t="s">
        <v>1425</v>
      </c>
      <c r="K1228" s="21">
        <v>3882361</v>
      </c>
      <c r="L1228" s="21"/>
      <c r="M1228" s="22">
        <f>(PROVEEDORES[[#This Row],[SUBTOTAL]]-PROVEEDORES[[#This Row],[descuento sobre subtotal]])*VLOOKUP(PROVEEDORES[[#This Row],[PROVEEDOR]],TERCEROS_INFO[#All],3,FALSE)</f>
        <v>737648.59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72">
        <f>+IF(PROVEEDORES[[#This Row],[SUBTOTAL]]&lt;PROVEEDORES[[#This Row],[base retencion]],0,PROVEEDORES[[#This Row],[retención aplicada]])</f>
        <v>2.5000000000000001E-2</v>
      </c>
      <c r="Q1228" s="22">
        <f>+PROVEEDORES[[#This Row],[Rete Fuente %]]*(PROVEEDORES[[#This Row],[SUBTOTAL]]-PROVEEDORES[[#This Row],[descuento sobre subtotal]])</f>
        <v>97059.025000000009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4522950.5649999995</v>
      </c>
      <c r="S1228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1">
        <f ca="1">IF(PROVEEDORES[[#This Row],[FECHA DE PAGO]]=0,TODAY()-PROVEEDORES[[#This Row],[FECHA DE FACTURACIÓN]]-PROVEEDORES[[#This Row],[PLAZO Días]],0)</f>
        <v>0</v>
      </c>
      <c r="U1228" s="97" t="str">
        <f>+VLOOKUP(PROVEEDORES[[#This Row],[PROVEEDOR]],Terceros!$A:$D,4,FALSE)</f>
        <v>2,5% con base</v>
      </c>
      <c r="V1228" s="98">
        <f>+YEAR(PROVEEDORES[[#This Row],[FECHA DE FACTURACIÓN]])</f>
        <v>2023</v>
      </c>
      <c r="W1228" s="98">
        <f>+MATCH(PROVEEDORES[[#This Row],[año facturado]],Retenciones!$1:$1,0)</f>
        <v>6</v>
      </c>
      <c r="X1228" s="99">
        <f>+VLOOKUP(PROVEEDORES[[#This Row],[ID RETENCION]],Retenciones!$A$1:$O$25,PROVEEDORES[[#This Row],[indicador de columna]],FALSE)</f>
        <v>1145000</v>
      </c>
      <c r="Y1228" s="100">
        <f>+VLOOKUP(PROVEEDORES[[#This Row],[ID RETENCION]],Retenciones!$A$1:$O$25,2,FALSE)</f>
        <v>2.5000000000000001E-2</v>
      </c>
      <c r="Z1228" s="103" t="b">
        <f>OR(COUNTIF(PROVEEDORES[[#This Row],[PROVEEDOR]],"*"&amp;'Palabra no opera'!$A$2&amp;"*"))</f>
        <v>0</v>
      </c>
    </row>
    <row r="1229" spans="1:26" ht="22.35" customHeight="1" x14ac:dyDescent="0.25">
      <c r="A1229" s="65" t="str">
        <f>+IF(PROVEEDORES[[#This Row],[FECHA DE PAGO]]=PROVEEDORES[[#This Row],[FECHA DE FACTURACIÓN]],"DE CONTADO","CRÉDITO")</f>
        <v>CRÉDITO</v>
      </c>
      <c r="B1229" s="38" t="str">
        <f>+IF((PROVEEDORES[[#This Row],[FECHA DE PAGO]]-PROVEEDORES[[#This Row],[FECHA DE FACTURACIÓN]])&gt;PROVEEDORES[[#This Row],[PLAZO Días]],"PAGO VENCIDO")</f>
        <v>PAGO VENCIDO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2713769.64</v>
      </c>
      <c r="E1229" s="25"/>
      <c r="F1229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29" s="289">
        <v>45317</v>
      </c>
      <c r="H1229" s="26" t="s">
        <v>11</v>
      </c>
      <c r="I1229" s="289">
        <v>45280</v>
      </c>
      <c r="J1229" s="35" t="s">
        <v>1426</v>
      </c>
      <c r="K1229" s="21">
        <v>3882361</v>
      </c>
      <c r="L1229" s="21"/>
      <c r="M1229" s="22">
        <f>(PROVEEDORES[[#This Row],[SUBTOTAL]]-PROVEEDORES[[#This Row],[descuento sobre subtotal]])*VLOOKUP(PROVEEDORES[[#This Row],[PROVEEDOR]],TERCEROS_INFO[#All],3,FALSE)</f>
        <v>737648.59</v>
      </c>
      <c r="N1229" s="23"/>
      <c r="O1229" s="22">
        <f>+PROVEEDORES[[#This Row],[Descuento sobre subtotal %]]*(PROVEEDORES[[#This Row],[SUBTOTAL]]-PROVEEDORES[[#This Row],[descuento sobre subtotal]])</f>
        <v>0</v>
      </c>
      <c r="P1229" s="72">
        <f>+IF(PROVEEDORES[[#This Row],[SUBTOTAL]]&lt;PROVEEDORES[[#This Row],[base retencion]],0,PROVEEDORES[[#This Row],[retención aplicada]])</f>
        <v>2.5000000000000001E-2</v>
      </c>
      <c r="Q1229" s="22">
        <f>+PROVEEDORES[[#This Row],[Rete Fuente %]]*(PROVEEDORES[[#This Row],[SUBTOTAL]]-PROVEEDORES[[#This Row],[descuento sobre subtotal]])</f>
        <v>97059.025000000009</v>
      </c>
      <c r="R1229" s="21">
        <f>+PROVEEDORES[[#This Row],[SUBTOTAL]]+PROVEEDORES[[#This Row],[IVA 19%]]-PROVEEDORES[[#This Row],[descuento sobre subtotal]]-PROVEEDORES[[#This Row],[Descuento sobre subtotal $2]]-PROVEEDORES[[#This Row],[Rete Fuente $]]</f>
        <v>4522950.5649999995</v>
      </c>
      <c r="S1229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1">
        <f ca="1">IF(PROVEEDORES[[#This Row],[FECHA DE PAGO]]=0,TODAY()-PROVEEDORES[[#This Row],[FECHA DE FACTURACIÓN]]-PROVEEDORES[[#This Row],[PLAZO Días]],0)</f>
        <v>0</v>
      </c>
      <c r="U1229" s="97" t="str">
        <f>+VLOOKUP(PROVEEDORES[[#This Row],[PROVEEDOR]],Terceros!$A:$D,4,FALSE)</f>
        <v>2,5% con base</v>
      </c>
      <c r="V1229" s="98">
        <f>+YEAR(PROVEEDORES[[#This Row],[FECHA DE FACTURACIÓN]])</f>
        <v>2023</v>
      </c>
      <c r="W1229" s="98">
        <f>+MATCH(PROVEEDORES[[#This Row],[año facturado]],Retenciones!$1:$1,0)</f>
        <v>6</v>
      </c>
      <c r="X1229" s="99">
        <f>+VLOOKUP(PROVEEDORES[[#This Row],[ID RETENCION]],Retenciones!$A$1:$O$25,PROVEEDORES[[#This Row],[indicador de columna]],FALSE)</f>
        <v>1145000</v>
      </c>
      <c r="Y1229" s="100">
        <f>+VLOOKUP(PROVEEDORES[[#This Row],[ID RETENCION]],Retenciones!$A$1:$O$25,2,FALSE)</f>
        <v>2.5000000000000001E-2</v>
      </c>
      <c r="Z1229" s="103" t="b">
        <f>OR(COUNTIF(PROVEEDORES[[#This Row],[PROVEEDOR]],"*"&amp;'Palabra no opera'!$A$2&amp;"*"))</f>
        <v>0</v>
      </c>
    </row>
    <row r="1230" spans="1:26" ht="22.35" customHeight="1" x14ac:dyDescent="0.25">
      <c r="A1230" s="65" t="str">
        <f>+IF(PROVEEDORES[[#This Row],[FECHA DE PAGO]]=PROVEEDORES[[#This Row],[FECHA DE FACTURACIÓN]],"DE CONTADO","CRÉDITO")</f>
        <v>DE CONTADO</v>
      </c>
      <c r="B1230" s="38" t="b">
        <f>+IF((PROVEEDORES[[#This Row],[FECHA DE PAGO]]-PROVEEDORES[[#This Row],[FECHA DE FACTURACIÓN]])&gt;PROVEEDORES[[#This Row],[PLAZO Días]],"PAGO VENCIDO")</f>
        <v>0</v>
      </c>
      <c r="C1230" s="20">
        <f>+VLOOKUP(PROVEEDORES[[#This Row],[PROVEEDOR]],TERCEROS_INFO[#All],2,FALSE)</f>
        <v>0</v>
      </c>
      <c r="D1230" s="25">
        <f>+SUMIFS(PROVEEDORES[Total],PROVEEDORES[PROVEEDOR],PROVEEDORES[[#This Row],[PROVEEDOR]],PROVEEDORES[FECHA DE PAGO],"")</f>
        <v>0</v>
      </c>
      <c r="E1230" s="25"/>
      <c r="F1230" s="56">
        <f>+VLOOKUP(PROVEEDORES[[#This Row],[PROVEEDOR]],
                       Terceros!$A:$F,
                       5,
                       FALSE)</f>
        <v>0</v>
      </c>
      <c r="G1230" s="289">
        <v>45178</v>
      </c>
      <c r="H1230" s="26" t="s">
        <v>1026</v>
      </c>
      <c r="I1230" s="289">
        <v>45178</v>
      </c>
      <c r="J1230" s="35" t="s">
        <v>1027</v>
      </c>
      <c r="K1230" s="21">
        <v>499612</v>
      </c>
      <c r="L1230" s="21"/>
      <c r="M1230" s="22">
        <f>(PROVEEDORES[[#This Row],[SUBTOTAL]]-PROVEEDORES[[#This Row],[descuento sobre subtotal]])*VLOOKUP(PROVEEDORES[[#This Row],[PROVEEDOR]],TERCEROS_INFO[#All],3,FALSE)</f>
        <v>94926.28</v>
      </c>
      <c r="N1230" s="23"/>
      <c r="O1230" s="22">
        <f>+PROVEEDORES[[#This Row],[Descuento sobre subtotal %]]*(PROVEEDORES[[#This Row],[SUBTOTAL]]-PROVEEDORES[[#This Row],[descuento sobre subtotal]])</f>
        <v>0</v>
      </c>
      <c r="P1230" s="72">
        <f>+IF(PROVEEDORES[[#This Row],[SUBTOTAL]]&lt;PROVEEDORES[[#This Row],[base retencion]],0,PROVEEDORES[[#This Row],[retención aplicada]])</f>
        <v>0.11</v>
      </c>
      <c r="Q1230" s="22">
        <f>+PROVEEDORES[[#This Row],[Rete Fuente %]]*(PROVEEDORES[[#This Row],[SUBTOTAL]]-PROVEEDORES[[#This Row],[descuento sobre subtotal]])</f>
        <v>54957.32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539580.96000000008</v>
      </c>
      <c r="S1230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1">
        <f ca="1">IF(PROVEEDORES[[#This Row],[FECHA DE PAGO]]=0,TODAY()-PROVEEDORES[[#This Row],[FECHA DE FACTURACIÓN]]-PROVEEDORES[[#This Row],[PLAZO Días]],0)</f>
        <v>0</v>
      </c>
      <c r="U1230" s="97" t="str">
        <f>+VLOOKUP(PROVEEDORES[[#This Row],[PROVEEDOR]],Terceros!$A:$D,4,FALSE)</f>
        <v>11% sin base</v>
      </c>
      <c r="V1230" s="98">
        <f>+YEAR(PROVEEDORES[[#This Row],[FECHA DE FACTURACIÓN]])</f>
        <v>2023</v>
      </c>
      <c r="W1230" s="98">
        <f>+MATCH(PROVEEDORES[[#This Row],[año facturado]],Retenciones!$1:$1,0)</f>
        <v>6</v>
      </c>
      <c r="X1230" s="99">
        <f>+VLOOKUP(PROVEEDORES[[#This Row],[ID RETENCION]],Retenciones!$A$1:$O$25,PROVEEDORES[[#This Row],[indicador de columna]],FALSE)</f>
        <v>0</v>
      </c>
      <c r="Y1230" s="100">
        <f>+VLOOKUP(PROVEEDORES[[#This Row],[ID RETENCION]],Retenciones!$A$1:$O$25,2,FALSE)</f>
        <v>0.11</v>
      </c>
      <c r="Z1230" s="103" t="b">
        <f>OR(COUNTIF(PROVEEDORES[[#This Row],[PROVEEDOR]],"*"&amp;'Palabra no opera'!$A$2&amp;"*"))</f>
        <v>0</v>
      </c>
    </row>
    <row r="1231" spans="1:26" ht="22.35" customHeight="1" x14ac:dyDescent="0.25">
      <c r="A1231" s="65" t="str">
        <f>+IF(PROVEEDORES[[#This Row],[FECHA DE PAGO]]=PROVEEDORES[[#This Row],[FECHA DE FACTURACIÓN]],"DE CONTADO","CRÉDITO")</f>
        <v>DE CONTADO</v>
      </c>
      <c r="B1231" s="38" t="b">
        <f>+IF((PROVEEDORES[[#This Row],[FECHA DE PAGO]]-PROVEEDORES[[#This Row],[FECHA DE FACTURACIÓN]])&gt;PROVEEDORES[[#This Row],[PLAZO Días]],"PAGO VENCIDO")</f>
        <v>0</v>
      </c>
      <c r="C1231" s="20">
        <f>+VLOOKUP(PROVEEDORES[[#This Row],[PROVEEDOR]],TERCEROS_INFO[#All],2,FALSE)</f>
        <v>0</v>
      </c>
      <c r="D1231" s="25">
        <f>+SUMIFS(PROVEEDORES[Total],PROVEEDORES[PROVEEDOR],PROVEEDORES[[#This Row],[PROVEEDOR]],PROVEEDORES[FECHA DE PAGO],"")</f>
        <v>0</v>
      </c>
      <c r="E1231" s="25"/>
      <c r="F1231" s="56">
        <f>+VLOOKUP(PROVEEDORES[[#This Row],[PROVEEDOR]],
                       Terceros!$A:$F,
                       5,
                       FALSE)</f>
        <v>0</v>
      </c>
      <c r="G1231" s="289">
        <v>45191</v>
      </c>
      <c r="H1231" s="26" t="s">
        <v>1026</v>
      </c>
      <c r="I1231" s="289">
        <v>45191</v>
      </c>
      <c r="J1231" s="35" t="s">
        <v>1093</v>
      </c>
      <c r="K1231" s="21">
        <v>105212</v>
      </c>
      <c r="L1231" s="21"/>
      <c r="M1231" s="22">
        <f>(PROVEEDORES[[#This Row],[SUBTOTAL]]-PROVEEDORES[[#This Row],[descuento sobre subtotal]])*VLOOKUP(PROVEEDORES[[#This Row],[PROVEEDOR]],TERCEROS_INFO[#All],3,FALSE)</f>
        <v>19990.28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72">
        <f>+IF(PROVEEDORES[[#This Row],[SUBTOTAL]]&lt;PROVEEDORES[[#This Row],[base retencion]],0,PROVEEDORES[[#This Row],[retención aplicada]])</f>
        <v>0.11</v>
      </c>
      <c r="Q1231" s="22">
        <f>+PROVEEDORES[[#This Row],[Rete Fuente %]]*(PROVEEDORES[[#This Row],[SUBTOTAL]]-PROVEEDORES[[#This Row],[descuento sobre subtotal]])</f>
        <v>11573.32</v>
      </c>
      <c r="R1231" s="21">
        <f>+PROVEEDORES[[#This Row],[SUBTOTAL]]+PROVEEDORES[[#This Row],[IVA 19%]]-PROVEEDORES[[#This Row],[descuento sobre subtotal]]-PROVEEDORES[[#This Row],[Descuento sobre subtotal $2]]-PROVEEDORES[[#This Row],[Rete Fuente $]]</f>
        <v>113628.95999999999</v>
      </c>
      <c r="S123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1">
        <f ca="1">IF(PROVEEDORES[[#This Row],[FECHA DE PAGO]]=0,TODAY()-PROVEEDORES[[#This Row],[FECHA DE FACTURACIÓN]]-PROVEEDORES[[#This Row],[PLAZO Días]],0)</f>
        <v>0</v>
      </c>
      <c r="U1231" s="97" t="str">
        <f>+VLOOKUP(PROVEEDORES[[#This Row],[PROVEEDOR]],Terceros!$A:$D,4,FALSE)</f>
        <v>11% sin base</v>
      </c>
      <c r="V1231" s="98">
        <f>+YEAR(PROVEEDORES[[#This Row],[FECHA DE FACTURACIÓN]])</f>
        <v>2023</v>
      </c>
      <c r="W1231" s="98">
        <f>+MATCH(PROVEEDORES[[#This Row],[año facturado]],Retenciones!$1:$1,0)</f>
        <v>6</v>
      </c>
      <c r="X1231" s="99">
        <f>+VLOOKUP(PROVEEDORES[[#This Row],[ID RETENCION]],Retenciones!$A$1:$O$25,PROVEEDORES[[#This Row],[indicador de columna]],FALSE)</f>
        <v>0</v>
      </c>
      <c r="Y1231" s="100">
        <f>+VLOOKUP(PROVEEDORES[[#This Row],[ID RETENCION]],Retenciones!$A$1:$O$25,2,FALSE)</f>
        <v>0.11</v>
      </c>
      <c r="Z1231" s="103" t="b">
        <f>OR(COUNTIF(PROVEEDORES[[#This Row],[PROVEEDOR]],"*"&amp;'Palabra no opera'!$A$2&amp;"*"))</f>
        <v>0</v>
      </c>
    </row>
    <row r="1232" spans="1:26" ht="22.35" customHeight="1" x14ac:dyDescent="0.25">
      <c r="A1232" s="314" t="str">
        <f>+IF(PROVEEDORES[[#This Row],[FECHA DE PAGO]]=PROVEEDORES[[#This Row],[FECHA DE FACTURACIÓN]],"DE CONTADO","CRÉDITO")</f>
        <v>CRÉDITO</v>
      </c>
      <c r="B1232" s="38" t="b">
        <f>+IF((PROVEEDORES[[#This Row],[FECHA DE PAGO]]-PROVEEDORES[[#This Row],[FECHA DE FACTURACIÓN]])&gt;PROVEEDORES[[#This Row],[PLAZO Días]],"PAGO VENCIDO")</f>
        <v>0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-100999.9886</v>
      </c>
      <c r="E1232" s="25"/>
      <c r="F1232" s="56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H1232" s="26" t="s">
        <v>246</v>
      </c>
      <c r="I1232" s="289">
        <v>45315</v>
      </c>
      <c r="J1232" s="35" t="s">
        <v>1540</v>
      </c>
      <c r="K1232" s="21">
        <v>-84873.94</v>
      </c>
      <c r="L1232" s="21"/>
      <c r="M1232" s="22">
        <f>(PROVEEDORES[[#This Row],[SUBTOTAL]]-PROVEEDORES[[#This Row],[descuento sobre subtotal]])*VLOOKUP(PROVEEDORES[[#This Row],[PROVEEDOR]],TERCEROS_INFO[#All],3,FALSE)</f>
        <v>-16126.0486</v>
      </c>
      <c r="N1232" s="23"/>
      <c r="O1232" s="22">
        <f>+PROVEEDORES[[#This Row],[Descuento sobre subtotal %]]*(PROVEEDORES[[#This Row],[SUBTOTAL]]-PROVEEDORES[[#This Row],[descuento sobre subtotal]])</f>
        <v>0</v>
      </c>
      <c r="P1232" s="72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f>+PROVEEDORES[[#This Row],[SUBTOTAL]]+PROVEEDORES[[#This Row],[IVA 19%]]-PROVEEDORES[[#This Row],[descuento sobre subtotal]]-PROVEEDORES[[#This Row],[Descuento sobre subtotal $2]]-PROVEEDORES[[#This Row],[Rete Fuente $]]</f>
        <v>-100999.9886</v>
      </c>
      <c r="S1232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2" s="61">
        <f ca="1">IF(PROVEEDORES[[#This Row],[FECHA DE PAGO]]=0,TODAY()-PROVEEDORES[[#This Row],[FECHA DE FACTURACIÓN]]-PROVEEDORES[[#This Row],[PLAZO Días]],0)</f>
        <v>-17</v>
      </c>
      <c r="U1232" s="97" t="str">
        <f>+VLOOKUP(PROVEEDORES[[#This Row],[PROVEEDOR]],Terceros!$A:$D,4,FALSE)</f>
        <v>2,5% con base</v>
      </c>
      <c r="V1232" s="98">
        <f>+YEAR(PROVEEDORES[[#This Row],[FECHA DE FACTURACIÓN]])</f>
        <v>2024</v>
      </c>
      <c r="W1232" s="98">
        <f>+MATCH(PROVEEDORES[[#This Row],[año facturado]],Retenciones!$1:$1,0)</f>
        <v>7</v>
      </c>
      <c r="X1232" s="99">
        <f>+VLOOKUP(PROVEEDORES[[#This Row],[ID RETENCION]],Retenciones!$A$1:$O$25,PROVEEDORES[[#This Row],[indicador de columna]],FALSE)</f>
        <v>1271000</v>
      </c>
      <c r="Y1232" s="100">
        <f>+VLOOKUP(PROVEEDORES[[#This Row],[ID RETENCION]],Retenciones!$A$1:$O$25,2,FALSE)</f>
        <v>2.5000000000000001E-2</v>
      </c>
      <c r="Z1232" s="103" t="b">
        <f>OR(COUNTIF(PROVEEDORES[[#This Row],[PROVEEDOR]],"*"&amp;'Palabra no opera'!$A$2&amp;"*"))</f>
        <v>0</v>
      </c>
    </row>
    <row r="1233" spans="1:26" ht="22.35" customHeight="1" x14ac:dyDescent="0.25">
      <c r="A1233" s="314" t="str">
        <f>+IF(PROVEEDORES[[#This Row],[FECHA DE PAGO]]=PROVEEDORES[[#This Row],[FECHA DE FACTURACIÓN]],"DE CONTADO","CRÉDITO")</f>
        <v>CRÉDITO</v>
      </c>
      <c r="B1233" s="38" t="b">
        <f>+IF((PROVEEDORES[[#This Row],[FECHA DE PAGO]]-PROVEEDORES[[#This Row],[FECHA DE FACTURACIÓN]])&gt;PROVEEDORES[[#This Row],[PLAZO Días]],"PAGO VENCIDO")</f>
        <v>0</v>
      </c>
      <c r="C1233" s="20">
        <f>+VLOOKUP(PROVEEDORES[[#This Row],[PROVEEDOR]],TERCEROS_INFO[#All],2,FALSE)</f>
        <v>30</v>
      </c>
      <c r="D1233" s="25">
        <f>+SUMIFS(PROVEEDORES[Total],PROVEEDORES[PROVEEDOR],PROVEEDORES[[#This Row],[PROVEEDOR]],PROVEEDORES[FECHA DE PAGO],"")</f>
        <v>1426700.52</v>
      </c>
      <c r="E1233" s="25"/>
      <c r="F1233" s="56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233" s="26" t="s">
        <v>151</v>
      </c>
      <c r="I1233" s="289">
        <v>45315</v>
      </c>
      <c r="J1233" s="35" t="s">
        <v>1541</v>
      </c>
      <c r="K1233" s="21">
        <v>330000</v>
      </c>
      <c r="L1233" s="21"/>
      <c r="M1233" s="22">
        <f>(PROVEEDORES[[#This Row],[SUBTOTAL]]-PROVEEDORES[[#This Row],[descuento sobre subtotal]])*VLOOKUP(PROVEEDORES[[#This Row],[PROVEEDOR]],TERCEROS_INFO[#All],3,FALSE)</f>
        <v>62700</v>
      </c>
      <c r="N1233" s="23"/>
      <c r="O1233" s="22">
        <f>+PROVEEDORES[[#This Row],[Descuento sobre subtotal %]]*(PROVEEDORES[[#This Row],[SUBTOTAL]]-PROVEEDORES[[#This Row],[descuento sobre subtotal]])</f>
        <v>0</v>
      </c>
      <c r="P1233" s="72">
        <f>+IF(PROVEEDORES[[#This Row],[SUBTOTAL]]&lt;PROVEEDORES[[#This Row],[base retencion]],0,PROVEEDORES[[#This Row],[retención aplicada]])</f>
        <v>0</v>
      </c>
      <c r="Q1233" s="22">
        <f>+PROVEEDORES[[#This Row],[Rete Fuente %]]*(PROVEEDORES[[#This Row],[SUBTOTAL]]-PROVEEDORES[[#This Row],[descuento sobre subtotal]])</f>
        <v>0</v>
      </c>
      <c r="R1233" s="21">
        <f>+PROVEEDORES[[#This Row],[SUBTOTAL]]+PROVEEDORES[[#This Row],[IVA 19%]]-PROVEEDORES[[#This Row],[descuento sobre subtotal]]-PROVEEDORES[[#This Row],[Descuento sobre subtotal $2]]-PROVEEDORES[[#This Row],[Rete Fuente $]]</f>
        <v>392700</v>
      </c>
      <c r="S1233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3" s="61">
        <f ca="1">IF(PROVEEDORES[[#This Row],[FECHA DE PAGO]]=0,TODAY()-PROVEEDORES[[#This Row],[FECHA DE FACTURACIÓN]]-PROVEEDORES[[#This Row],[PLAZO Días]],0)</f>
        <v>-17</v>
      </c>
      <c r="U1233" s="97" t="str">
        <f>+VLOOKUP(PROVEEDORES[[#This Row],[PROVEEDOR]],Terceros!$A:$D,4,FALSE)</f>
        <v>2,5% con base</v>
      </c>
      <c r="V1233" s="98">
        <f>+YEAR(PROVEEDORES[[#This Row],[FECHA DE FACTURACIÓN]])</f>
        <v>2024</v>
      </c>
      <c r="W1233" s="98">
        <f>+MATCH(PROVEEDORES[[#This Row],[año facturado]],Retenciones!$1:$1,0)</f>
        <v>7</v>
      </c>
      <c r="X1233" s="99">
        <f>+VLOOKUP(PROVEEDORES[[#This Row],[ID RETENCION]],Retenciones!$A$1:$O$25,PROVEEDORES[[#This Row],[indicador de columna]],FALSE)</f>
        <v>1271000</v>
      </c>
      <c r="Y1233" s="100">
        <f>+VLOOKUP(PROVEEDORES[[#This Row],[ID RETENCION]],Retenciones!$A$1:$O$25,2,FALSE)</f>
        <v>2.5000000000000001E-2</v>
      </c>
      <c r="Z1233" s="103" t="b">
        <f>OR(COUNTIF(PROVEEDORES[[#This Row],[PROVEEDOR]],"*"&amp;'Palabra no opera'!$A$2&amp;"*"))</f>
        <v>0</v>
      </c>
    </row>
    <row r="1234" spans="1:26" ht="22.35" customHeight="1" x14ac:dyDescent="0.25">
      <c r="A1234" s="314" t="str">
        <f>+IF(PROVEEDORES[[#This Row],[FECHA DE PAGO]]=PROVEEDORES[[#This Row],[FECHA DE FACTURACIÓN]],"DE CONTADO","CRÉDITO")</f>
        <v>CRÉDITO</v>
      </c>
      <c r="B1234" s="38" t="b">
        <f>+IF((PROVEEDORES[[#This Row],[FECHA DE PAGO]]-PROVEEDORES[[#This Row],[FECHA DE FACTURACIÓN]])&gt;PROVEEDORES[[#This Row],[PLAZO Días]],"PAGO VENCIDO")</f>
        <v>0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3065837.2199999997</v>
      </c>
      <c r="E1234" s="25"/>
      <c r="F1234" s="56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1234" s="26" t="s">
        <v>17</v>
      </c>
      <c r="I1234" s="289">
        <v>45317</v>
      </c>
      <c r="J1234" s="35" t="s">
        <v>1542</v>
      </c>
      <c r="K1234" s="21">
        <v>1730813.22</v>
      </c>
      <c r="L1234" s="21"/>
      <c r="M1234" s="22">
        <v>16974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72">
        <f>+IF(PROVEEDORES[[#This Row],[SUBTOTAL]]&lt;PROVEEDORES[[#This Row],[base retencion]],0,PROVEEDORES[[#This Row],[retención aplicada]])</f>
        <v>0</v>
      </c>
      <c r="Q1234" s="22">
        <f>+PROVEEDORES[[#This Row],[Rete Fuente %]]*(PROVEEDORES[[#This Row],[SUBTOTAL]]-PROVEEDORES[[#This Row],[descuento sobre subtotal]])</f>
        <v>0</v>
      </c>
      <c r="R1234" s="21">
        <f>+PROVEEDORES[[#This Row],[SUBTOTAL]]+PROVEEDORES[[#This Row],[IVA 19%]]-PROVEEDORES[[#This Row],[descuento sobre subtotal]]-PROVEEDORES[[#This Row],[Descuento sobre subtotal $2]]-PROVEEDORES[[#This Row],[Rete Fuente $]]</f>
        <v>1747787.22</v>
      </c>
      <c r="S1234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4" s="61">
        <f ca="1">IF(PROVEEDORES[[#This Row],[FECHA DE PAGO]]=0,TODAY()-PROVEEDORES[[#This Row],[FECHA DE FACTURACIÓN]]-PROVEEDORES[[#This Row],[PLAZO Días]],0)</f>
        <v>-19</v>
      </c>
      <c r="U1234" s="97">
        <f>+VLOOKUP(PROVEEDORES[[#This Row],[PROVEEDOR]],Terceros!$A:$D,4,FALSE)</f>
        <v>0</v>
      </c>
      <c r="V1234" s="98">
        <f>+YEAR(PROVEEDORES[[#This Row],[FECHA DE FACTURACIÓN]])</f>
        <v>2024</v>
      </c>
      <c r="W1234" s="98">
        <f>+MATCH(PROVEEDORES[[#This Row],[año facturado]],Retenciones!$1:$1,0)</f>
        <v>7</v>
      </c>
      <c r="X1234" s="99">
        <f>+VLOOKUP(PROVEEDORES[[#This Row],[ID RETENCION]],Retenciones!$A$1:$O$25,PROVEEDORES[[#This Row],[indicador de columna]],FALSE)</f>
        <v>0</v>
      </c>
      <c r="Y1234" s="100">
        <f>+VLOOKUP(PROVEEDORES[[#This Row],[ID RETENCION]],Retenciones!$A$1:$O$25,2,FALSE)</f>
        <v>0</v>
      </c>
      <c r="Z1234" s="103" t="b">
        <f>OR(COUNTIF(PROVEEDORES[[#This Row],[PROVEEDOR]],"*"&amp;'Palabra no opera'!$A$2&amp;"*"))</f>
        <v>0</v>
      </c>
    </row>
    <row r="1235" spans="1:26" ht="22.35" customHeight="1" x14ac:dyDescent="0.25">
      <c r="A1235" s="314" t="str">
        <f>+IF(PROVEEDORES[[#This Row],[FECHA DE PAGO]]=PROVEEDORES[[#This Row],[FECHA DE FACTURACIÓN]],"DE CONTADO","CRÉDITO")</f>
        <v>CRÉDITO</v>
      </c>
      <c r="B1235" s="38" t="b">
        <f>+IF((PROVEEDORES[[#This Row],[FECHA DE PAGO]]-PROVEEDORES[[#This Row],[FECHA DE FACTURACIÓN]])&gt;PROVEEDORES[[#This Row],[PLAZO Días]],"PAGO VENCIDO")</f>
        <v>0</v>
      </c>
      <c r="C1235" s="20">
        <f>+VLOOKUP(PROVEEDORES[[#This Row],[PROVEEDOR]],TERCEROS_INFO[#All],2,FALSE)</f>
        <v>60</v>
      </c>
      <c r="D1235" s="25">
        <f>+SUMIFS(PROVEEDORES[Total],PROVEEDORES[PROVEEDOR],PROVEEDORES[[#This Row],[PROVEEDOR]],PROVEEDORES[FECHA DE PAGO],"")</f>
        <v>5363111.8674999997</v>
      </c>
      <c r="E1235" s="25"/>
      <c r="F1235" s="56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1235" s="26" t="s">
        <v>249</v>
      </c>
      <c r="I1235" s="289">
        <v>45315</v>
      </c>
      <c r="J1235" s="35" t="s">
        <v>1544</v>
      </c>
      <c r="K1235" s="21">
        <v>1848739.5</v>
      </c>
      <c r="L1235" s="21"/>
      <c r="M1235" s="22">
        <f>(PROVEEDORES[[#This Row],[SUBTOTAL]]-PROVEEDORES[[#This Row],[descuento sobre subtotal]])*VLOOKUP(PROVEEDORES[[#This Row],[PROVEEDOR]],TERCEROS_INFO[#All],3,FALSE)</f>
        <v>351260.505</v>
      </c>
      <c r="N1235" s="23"/>
      <c r="O1235" s="22">
        <f>+PROVEEDORES[[#This Row],[Descuento sobre subtotal %]]*(PROVEEDORES[[#This Row],[SUBTOTAL]]-PROVEEDORES[[#This Row],[descuento sobre subtotal]])</f>
        <v>0</v>
      </c>
      <c r="P1235" s="72">
        <f>+IF(PROVEEDORES[[#This Row],[SUBTOTAL]]&lt;PROVEEDORES[[#This Row],[base retencion]],0,PROVEEDORES[[#This Row],[retención aplicada]])</f>
        <v>2.5000000000000001E-2</v>
      </c>
      <c r="Q1235" s="22">
        <f>+PROVEEDORES[[#This Row],[Rete Fuente %]]*(PROVEEDORES[[#This Row],[SUBTOTAL]]-PROVEEDORES[[#This Row],[descuento sobre subtotal]])</f>
        <v>46218.487500000003</v>
      </c>
      <c r="R1235" s="21">
        <f>+PROVEEDORES[[#This Row],[SUBTOTAL]]+PROVEEDORES[[#This Row],[IVA 19%]]-PROVEEDORES[[#This Row],[descuento sobre subtotal]]-PROVEEDORES[[#This Row],[Descuento sobre subtotal $2]]-PROVEEDORES[[#This Row],[Rete Fuente $]]</f>
        <v>2153781.5175000001</v>
      </c>
      <c r="S1235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5" s="61">
        <f ca="1">IF(PROVEEDORES[[#This Row],[FECHA DE PAGO]]=0,TODAY()-PROVEEDORES[[#This Row],[FECHA DE FACTURACIÓN]]-PROVEEDORES[[#This Row],[PLAZO Días]],0)</f>
        <v>-47</v>
      </c>
      <c r="U1235" s="97" t="str">
        <f>+VLOOKUP(PROVEEDORES[[#This Row],[PROVEEDOR]],Terceros!$A:$D,4,FALSE)</f>
        <v>2,5% con base</v>
      </c>
      <c r="V1235" s="98">
        <f>+YEAR(PROVEEDORES[[#This Row],[FECHA DE FACTURACIÓN]])</f>
        <v>2024</v>
      </c>
      <c r="W1235" s="98">
        <f>+MATCH(PROVEEDORES[[#This Row],[año facturado]],Retenciones!$1:$1,0)</f>
        <v>7</v>
      </c>
      <c r="X1235" s="99">
        <f>+VLOOKUP(PROVEEDORES[[#This Row],[ID RETENCION]],Retenciones!$A$1:$O$25,PROVEEDORES[[#This Row],[indicador de columna]],FALSE)</f>
        <v>1271000</v>
      </c>
      <c r="Y1235" s="100">
        <f>+VLOOKUP(PROVEEDORES[[#This Row],[ID RETENCION]],Retenciones!$A$1:$O$25,2,FALSE)</f>
        <v>2.5000000000000001E-2</v>
      </c>
      <c r="Z1235" s="103" t="b">
        <f>OR(COUNTIF(PROVEEDORES[[#This Row],[PROVEEDOR]],"*"&amp;'Palabra no opera'!$A$2&amp;"*"))</f>
        <v>0</v>
      </c>
    </row>
    <row r="1236" spans="1:26" ht="22.35" customHeight="1" x14ac:dyDescent="0.25">
      <c r="A1236" s="314" t="str">
        <f>+IF(PROVEEDORES[[#This Row],[FECHA DE PAGO]]=PROVEEDORES[[#This Row],[FECHA DE FACTURACIÓN]],"DE CONTADO","CRÉDITO")</f>
        <v>CRÉDITO</v>
      </c>
      <c r="B1236" s="38" t="b">
        <f>+IF((PROVEEDORES[[#This Row],[FECHA DE PAGO]]-PROVEEDORES[[#This Row],[FECHA DE FACTURACIÓN]])&gt;PROVEEDORES[[#This Row],[PLAZO Días]],"PAGO VENCIDO")</f>
        <v>0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5972000</v>
      </c>
      <c r="E1236" s="25"/>
      <c r="F1236" s="56">
        <f>+VLOOKUP(PROVEEDORES[[#This Row],[PROVEEDOR]],
                       Terceros!$A:$F,
                       5,
                       FALSE)</f>
        <v>0</v>
      </c>
      <c r="H1236" s="26" t="s">
        <v>512</v>
      </c>
      <c r="I1236" s="289">
        <v>45315</v>
      </c>
      <c r="J1236" s="35" t="s">
        <v>1545</v>
      </c>
      <c r="K1236" s="21">
        <v>1854500</v>
      </c>
      <c r="L1236" s="21"/>
      <c r="M1236" s="22">
        <f>(PROVEEDORES[[#This Row],[SUBTOTAL]]-PROVEEDORES[[#This Row],[descuento sobre subtotal]])*VLOOKUP(PROVEEDORES[[#This Row],[PROVEEDOR]],TERCEROS_INFO[#All],3,FALSE)</f>
        <v>0</v>
      </c>
      <c r="N1236" s="23"/>
      <c r="O1236" s="22">
        <f>+PROVEEDORES[[#This Row],[Descuento sobre subtotal %]]*(PROVEEDORES[[#This Row],[SUBTOTAL]]-PROVEEDORES[[#This Row],[descuento sobre subtotal]])</f>
        <v>0</v>
      </c>
      <c r="P1236" s="72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f>+PROVEEDORES[[#This Row],[SUBTOTAL]]+PROVEEDORES[[#This Row],[IVA 19%]]-PROVEEDORES[[#This Row],[descuento sobre subtotal]]-PROVEEDORES[[#This Row],[Descuento sobre subtotal $2]]-PROVEEDORES[[#This Row],[Rete Fuente $]]</f>
        <v>1854500</v>
      </c>
      <c r="S1236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6" s="61">
        <f ca="1">IF(PROVEEDORES[[#This Row],[FECHA DE PAGO]]=0,TODAY()-PROVEEDORES[[#This Row],[FECHA DE FACTURACIÓN]]-PROVEEDORES[[#This Row],[PLAZO Días]],0)</f>
        <v>-17</v>
      </c>
      <c r="U1236" s="97">
        <f>+VLOOKUP(PROVEEDORES[[#This Row],[PROVEEDOR]],Terceros!$A:$D,4,FALSE)</f>
        <v>0</v>
      </c>
      <c r="V1236" s="98">
        <f>+YEAR(PROVEEDORES[[#This Row],[FECHA DE FACTURACIÓN]])</f>
        <v>2024</v>
      </c>
      <c r="W1236" s="98">
        <f>+MATCH(PROVEEDORES[[#This Row],[año facturado]],Retenciones!$1:$1,0)</f>
        <v>7</v>
      </c>
      <c r="X1236" s="99">
        <f>+VLOOKUP(PROVEEDORES[[#This Row],[ID RETENCION]],Retenciones!$A$1:$O$25,PROVEEDORES[[#This Row],[indicador de columna]],FALSE)</f>
        <v>0</v>
      </c>
      <c r="Y1236" s="100">
        <f>+VLOOKUP(PROVEEDORES[[#This Row],[ID RETENCION]],Retenciones!$A$1:$O$25,2,FALSE)</f>
        <v>0</v>
      </c>
      <c r="Z1236" s="103" t="b">
        <f>OR(COUNTIF(PROVEEDORES[[#This Row],[PROVEEDOR]],"*"&amp;'Palabra no opera'!$A$2&amp;"*"))</f>
        <v>0</v>
      </c>
    </row>
    <row r="1237" spans="1:26" ht="22.35" customHeight="1" x14ac:dyDescent="0.25">
      <c r="A1237" s="314" t="str">
        <f>+IF(PROVEEDORES[[#This Row],[FECHA DE PAGO]]=PROVEEDORES[[#This Row],[FECHA DE FACTURACIÓN]],"DE CONTADO","CRÉDITO")</f>
        <v>DE CONTADO</v>
      </c>
      <c r="B1237" s="38" t="b">
        <f>+IF((PROVEEDORES[[#This Row],[FECHA DE PAGO]]-PROVEEDORES[[#This Row],[FECHA DE FACTURACIÓN]])&gt;PROVEEDORES[[#This Row],[PLAZO Días]],"PAGO VENCIDO")</f>
        <v>0</v>
      </c>
      <c r="C1237" s="20">
        <f>+VLOOKUP(PROVEEDORES[[#This Row],[PROVEEDOR]],TERCEROS_INFO[#All],2,FALSE)</f>
        <v>30</v>
      </c>
      <c r="D1237" s="25">
        <f>+SUMIFS(PROVEEDORES[Total],PROVEEDORES[PROVEEDOR],PROVEEDORES[[#This Row],[PROVEEDOR]],PROVEEDORES[FECHA DE PAGO],"")</f>
        <v>0</v>
      </c>
      <c r="E1237" s="25"/>
      <c r="F1237" s="56">
        <f>+VLOOKUP(PROVEEDORES[[#This Row],[PROVEEDOR]],
                       Terceros!$A:$F,
                       5,
                       FALSE)</f>
        <v>0</v>
      </c>
      <c r="G1237" s="289">
        <v>45314</v>
      </c>
      <c r="H1237" s="26" t="s">
        <v>1546</v>
      </c>
      <c r="I1237" s="289">
        <v>45314</v>
      </c>
      <c r="J1237" s="35" t="s">
        <v>1547</v>
      </c>
      <c r="K1237" s="21">
        <v>72000</v>
      </c>
      <c r="L1237" s="21"/>
      <c r="M1237" s="22">
        <f>(PROVEEDORES[[#This Row],[SUBTOTAL]]-PROVEEDORES[[#This Row],[descuento sobre subtotal]])*VLOOKUP(PROVEEDORES[[#This Row],[PROVEEDOR]],TERCEROS_INFO[#All],3,FALSE)</f>
        <v>13680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72">
        <f>+IF(PROVEEDORES[[#This Row],[SUBTOTAL]]&lt;PROVEEDORES[[#This Row],[base retencion]],0,PROVEEDORES[[#This Row],[retención aplicada]])</f>
        <v>0</v>
      </c>
      <c r="Q1237" s="22">
        <f>+PROVEEDORES[[#This Row],[Rete Fuente %]]*(PROVEEDORES[[#This Row],[SUBTOTAL]]-PROVEEDORES[[#This Row],[descuento sobre subtotal]])</f>
        <v>0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85680</v>
      </c>
      <c r="S1237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1">
        <f ca="1">IF(PROVEEDORES[[#This Row],[FECHA DE PAGO]]=0,TODAY()-PROVEEDORES[[#This Row],[FECHA DE FACTURACIÓN]]-PROVEEDORES[[#This Row],[PLAZO Días]],0)</f>
        <v>0</v>
      </c>
      <c r="U1237" s="97" t="str">
        <f>+VLOOKUP(PROVEEDORES[[#This Row],[PROVEEDOR]],Terceros!$A:$D,4,FALSE)</f>
        <v>2,5% con base</v>
      </c>
      <c r="V1237" s="98">
        <f>+YEAR(PROVEEDORES[[#This Row],[FECHA DE FACTURACIÓN]])</f>
        <v>2024</v>
      </c>
      <c r="W1237" s="98">
        <f>+MATCH(PROVEEDORES[[#This Row],[año facturado]],Retenciones!$1:$1,0)</f>
        <v>7</v>
      </c>
      <c r="X1237" s="99">
        <f>+VLOOKUP(PROVEEDORES[[#This Row],[ID RETENCION]],Retenciones!$A$1:$O$25,PROVEEDORES[[#This Row],[indicador de columna]],FALSE)</f>
        <v>1271000</v>
      </c>
      <c r="Y1237" s="100">
        <f>+VLOOKUP(PROVEEDORES[[#This Row],[ID RETENCION]],Retenciones!$A$1:$O$25,2,FALSE)</f>
        <v>2.5000000000000001E-2</v>
      </c>
      <c r="Z1237" s="103" t="b">
        <f>OR(COUNTIF(PROVEEDORES[[#This Row],[PROVEEDOR]],"*"&amp;'Palabra no opera'!$A$2&amp;"*"))</f>
        <v>0</v>
      </c>
    </row>
    <row r="1238" spans="1:26" ht="22.35" customHeight="1" x14ac:dyDescent="0.25">
      <c r="A1238" s="314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45</v>
      </c>
      <c r="D1238" s="25">
        <f>+SUMIFS(PROVEEDORES[Total],PROVEEDORES[PROVEEDOR],PROVEEDORES[[#This Row],[PROVEEDOR]],PROVEEDORES[FECHA DE PAGO],"")</f>
        <v>3535656.6</v>
      </c>
      <c r="E1238" s="25"/>
      <c r="F1238" s="56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238" s="26" t="s">
        <v>19</v>
      </c>
      <c r="I1238" s="289">
        <v>45316</v>
      </c>
      <c r="J1238" s="35" t="s">
        <v>1548</v>
      </c>
      <c r="K1238" s="21">
        <v>2971140</v>
      </c>
      <c r="L1238" s="21"/>
      <c r="M1238" s="22">
        <f>(PROVEEDORES[[#This Row],[SUBTOTAL]]-PROVEEDORES[[#This Row],[descuento sobre subtotal]])*VLOOKUP(PROVEEDORES[[#This Row],[PROVEEDOR]],TERCEROS_INFO[#All],3,FALSE)</f>
        <v>564516.6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72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f>+PROVEEDORES[[#This Row],[SUBTOTAL]]+PROVEEDORES[[#This Row],[IVA 19%]]-PROVEEDORES[[#This Row],[descuento sobre subtotal]]-PROVEEDORES[[#This Row],[Descuento sobre subtotal $2]]-PROVEEDORES[[#This Row],[Rete Fuente $]]</f>
        <v>3535656.6</v>
      </c>
      <c r="S1238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38" s="61">
        <f ca="1">IF(PROVEEDORES[[#This Row],[FECHA DE PAGO]]=0,TODAY()-PROVEEDORES[[#This Row],[FECHA DE FACTURACIÓN]]-PROVEEDORES[[#This Row],[PLAZO Días]],0)</f>
        <v>-33</v>
      </c>
      <c r="U1238" s="97">
        <f>+VLOOKUP(PROVEEDORES[[#This Row],[PROVEEDOR]],Terceros!$A:$D,4,FALSE)</f>
        <v>0</v>
      </c>
      <c r="V1238" s="98">
        <f>+YEAR(PROVEEDORES[[#This Row],[FECHA DE FACTURACIÓN]])</f>
        <v>2024</v>
      </c>
      <c r="W1238" s="98">
        <f>+MATCH(PROVEEDORES[[#This Row],[año facturado]],Retenciones!$1:$1,0)</f>
        <v>7</v>
      </c>
      <c r="X1238" s="99">
        <f>+VLOOKUP(PROVEEDORES[[#This Row],[ID RETENCION]],Retenciones!$A$1:$O$25,PROVEEDORES[[#This Row],[indicador de columna]],FALSE)</f>
        <v>0</v>
      </c>
      <c r="Y1238" s="100">
        <f>+VLOOKUP(PROVEEDORES[[#This Row],[ID RETENCION]],Retenciones!$A$1:$O$25,2,FALSE)</f>
        <v>0</v>
      </c>
      <c r="Z1238" s="103" t="b">
        <f>OR(COUNTIF(PROVEEDORES[[#This Row],[PROVEEDOR]],"*"&amp;'Palabra no opera'!$A$2&amp;"*"))</f>
        <v>0</v>
      </c>
    </row>
    <row r="1239" spans="1:26" ht="22.35" customHeight="1" x14ac:dyDescent="0.25">
      <c r="A1239" s="314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0</v>
      </c>
      <c r="E1239" s="25"/>
      <c r="F1239" s="56" t="str">
        <f>+VLOOKUP(PROVEEDORES[[#This Row],[PROVEEDOR]],
                       Terceros!$A:$F,
                       5,
                       FALSE)</f>
        <v/>
      </c>
      <c r="G1239" s="289">
        <v>45316</v>
      </c>
      <c r="H1239" s="26" t="s">
        <v>521</v>
      </c>
      <c r="I1239" s="289">
        <v>45315</v>
      </c>
      <c r="J1239" s="35" t="s">
        <v>1549</v>
      </c>
      <c r="K1239" s="21">
        <v>130000</v>
      </c>
      <c r="L1239" s="21"/>
      <c r="M1239" s="22">
        <f>(PROVEEDORES[[#This Row],[SUBTOTAL]]-PROVEEDORES[[#This Row],[descuento sobre subtotal]])*VLOOKUP(PROVEEDORES[[#This Row],[PROVEEDOR]],TERCEROS_INFO[#All],3,FALSE)</f>
        <v>0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72">
        <f>+IF(PROVEEDORES[[#This Row],[SUBTOTAL]]&lt;PROVEEDORES[[#This Row],[base retencion]],0,PROVEEDORES[[#This Row],[retención aplicada]])</f>
        <v>0</v>
      </c>
      <c r="Q1239" s="22">
        <f>+PROVEEDORES[[#This Row],[Rete Fuente %]]*(PROVEEDORES[[#This Row],[SUBTOTAL]]-PROVEEDORES[[#This Row],[descuento sobre subtotal]])</f>
        <v>0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1239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61">
        <f ca="1">IF(PROVEEDORES[[#This Row],[FECHA DE PAGO]]=0,TODAY()-PROVEEDORES[[#This Row],[FECHA DE FACTURACIÓN]]-PROVEEDORES[[#This Row],[PLAZO Días]],0)</f>
        <v>0</v>
      </c>
      <c r="U1239" s="97">
        <f>+VLOOKUP(PROVEEDORES[[#This Row],[PROVEEDOR]],Terceros!$A:$D,4,FALSE)</f>
        <v>0</v>
      </c>
      <c r="V1239" s="98">
        <f>+YEAR(PROVEEDORES[[#This Row],[FECHA DE FACTURACIÓN]])</f>
        <v>2024</v>
      </c>
      <c r="W1239" s="98">
        <f>+MATCH(PROVEEDORES[[#This Row],[año facturado]],Retenciones!$1:$1,0)</f>
        <v>7</v>
      </c>
      <c r="X1239" s="99">
        <f>+VLOOKUP(PROVEEDORES[[#This Row],[ID RETENCION]],Retenciones!$A$1:$O$25,PROVEEDORES[[#This Row],[indicador de columna]],FALSE)</f>
        <v>0</v>
      </c>
      <c r="Y1239" s="100">
        <f>+VLOOKUP(PROVEEDORES[[#This Row],[ID RETENCION]],Retenciones!$A$1:$O$25,2,FALSE)</f>
        <v>0</v>
      </c>
      <c r="Z1239" s="103" t="b">
        <f>OR(COUNTIF(PROVEEDORES[[#This Row],[PROVEEDOR]],"*"&amp;'Palabra no opera'!$A$2&amp;"*"))</f>
        <v>0</v>
      </c>
    </row>
    <row r="1240" spans="1:26" ht="22.35" customHeight="1" x14ac:dyDescent="0.25">
      <c r="A1240" s="314" t="str">
        <f>+IF(PROVEEDORES[[#This Row],[FECHA DE PAGO]]=PROVEEDORES[[#This Row],[FECHA DE FACTURACIÓN]],"DE CONTADO","CRÉDITO")</f>
        <v>CRÉDITO</v>
      </c>
      <c r="B1240" s="38" t="b">
        <f>+IF((PROVEEDORES[[#This Row],[FECHA DE PAGO]]-PROVEEDORES[[#This Row],[FECHA DE FACTURACIÓN]])&gt;PROVEEDORES[[#This Row],[PLAZO Días]],"PAGO VENCIDO")</f>
        <v>0</v>
      </c>
      <c r="C1240" s="20">
        <f>+VLOOKUP(PROVEEDORES[[#This Row],[PROVEEDOR]],TERCEROS_INFO[#All],2,FALSE)</f>
        <v>60</v>
      </c>
      <c r="D1240" s="25">
        <f>+SUMIFS(PROVEEDORES[Total],PROVEEDORES[PROVEEDOR],PROVEEDORES[[#This Row],[PROVEEDOR]],PROVEEDORES[FECHA DE PAGO],"")</f>
        <v>3708614</v>
      </c>
      <c r="E1240" s="25"/>
      <c r="F1240" s="56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H1240" s="26" t="s">
        <v>250</v>
      </c>
      <c r="I1240" s="289">
        <v>45321</v>
      </c>
      <c r="J1240" s="35" t="s">
        <v>1550</v>
      </c>
      <c r="K1240" s="21">
        <v>528000</v>
      </c>
      <c r="L1240" s="21"/>
      <c r="M1240" s="22">
        <f>(PROVEEDORES[[#This Row],[SUBTOTAL]]-PROVEEDORES[[#This Row],[descuento sobre subtotal]])*VLOOKUP(PROVEEDORES[[#This Row],[PROVEEDOR]],TERCEROS_INFO[#All],3,FALSE)</f>
        <v>0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72">
        <f>+IF(PROVEEDORES[[#This Row],[SUBTOTAL]]&lt;PROVEEDORES[[#This Row],[base retencion]],0,PROVEEDORES[[#This Row],[retención aplicada]])</f>
        <v>0</v>
      </c>
      <c r="Q1240" s="22">
        <f>+PROVEEDORES[[#This Row],[Rete Fuente %]]*(PROVEEDORES[[#This Row],[SUBTOTAL]]-PROVEEDORES[[#This Row],[descuento sobre subtotal]])</f>
        <v>0</v>
      </c>
      <c r="R1240" s="21">
        <f>+PROVEEDORES[[#This Row],[SUBTOTAL]]+PROVEEDORES[[#This Row],[IVA 19%]]-PROVEEDORES[[#This Row],[descuento sobre subtotal]]-PROVEEDORES[[#This Row],[Descuento sobre subtotal $2]]-PROVEEDORES[[#This Row],[Rete Fuente $]]</f>
        <v>528000</v>
      </c>
      <c r="S1240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0" s="61">
        <f ca="1">IF(PROVEEDORES[[#This Row],[FECHA DE PAGO]]=0,TODAY()-PROVEEDORES[[#This Row],[FECHA DE FACTURACIÓN]]-PROVEEDORES[[#This Row],[PLAZO Días]],0)</f>
        <v>-53</v>
      </c>
      <c r="U1240" s="97">
        <f>+VLOOKUP(PROVEEDORES[[#This Row],[PROVEEDOR]],Terceros!$A:$D,4,FALSE)</f>
        <v>0</v>
      </c>
      <c r="V1240" s="98">
        <f>+YEAR(PROVEEDORES[[#This Row],[FECHA DE FACTURACIÓN]])</f>
        <v>2024</v>
      </c>
      <c r="W1240" s="98">
        <f>+MATCH(PROVEEDORES[[#This Row],[año facturado]],Retenciones!$1:$1,0)</f>
        <v>7</v>
      </c>
      <c r="X1240" s="99">
        <f>+VLOOKUP(PROVEEDORES[[#This Row],[ID RETENCION]],Retenciones!$A$1:$O$25,PROVEEDORES[[#This Row],[indicador de columna]],FALSE)</f>
        <v>0</v>
      </c>
      <c r="Y1240" s="100">
        <f>+VLOOKUP(PROVEEDORES[[#This Row],[ID RETENCION]],Retenciones!$A$1:$O$25,2,FALSE)</f>
        <v>0</v>
      </c>
      <c r="Z1240" s="103" t="b">
        <f>OR(COUNTIF(PROVEEDORES[[#This Row],[PROVEEDOR]],"*"&amp;'Palabra no opera'!$A$2&amp;"*"))</f>
        <v>0</v>
      </c>
    </row>
    <row r="1241" spans="1:26" ht="22.35" customHeight="1" x14ac:dyDescent="0.25">
      <c r="A1241" s="314" t="str">
        <f>+IF(PROVEEDORES[[#This Row],[FECHA DE PAGO]]=PROVEEDORES[[#This Row],[FECHA DE FACTURACIÓN]],"DE CONTADO","CRÉDITO")</f>
        <v>CRÉDITO</v>
      </c>
      <c r="B1241" s="38" t="b">
        <f>+IF((PROVEEDORES[[#This Row],[FECHA DE PAGO]]-PROVEEDORES[[#This Row],[FECHA DE FACTURACIÓN]])&gt;PROVEEDORES[[#This Row],[PLAZO Días]],"PAGO VENCIDO")</f>
        <v>0</v>
      </c>
      <c r="C1241" s="20">
        <f>+VLOOKUP(PROVEEDORES[[#This Row],[PROVEEDOR]],TERCEROS_INFO[#All],2,FALSE)</f>
        <v>30</v>
      </c>
      <c r="D1241" s="25">
        <f>+SUMIFS(PROVEEDORES[Total],PROVEEDORES[PROVEEDOR],PROVEEDORES[[#This Row],[PROVEEDOR]],PROVEEDORES[FECHA DE PAGO],"")</f>
        <v>12328400</v>
      </c>
      <c r="E1241" s="25"/>
      <c r="F124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H1241" s="26" t="s">
        <v>485</v>
      </c>
      <c r="I1241" s="289">
        <v>45318</v>
      </c>
      <c r="J1241" s="35" t="s">
        <v>1551</v>
      </c>
      <c r="K1241" s="21">
        <v>4960000</v>
      </c>
      <c r="L1241" s="21"/>
      <c r="M1241" s="22">
        <f>(PROVEEDORES[[#This Row],[SUBTOTAL]]-PROVEEDORES[[#This Row],[descuento sobre subtotal]])*VLOOKUP(PROVEEDORES[[#This Row],[PROVEEDOR]],TERCEROS_INFO[#All],3,FALSE)</f>
        <v>942400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72">
        <f>+IF(PROVEEDORES[[#This Row],[SUBTOTAL]]&lt;PROVEEDORES[[#This Row],[base retencion]],0,PROVEEDORES[[#This Row],[retención aplicada]])</f>
        <v>0</v>
      </c>
      <c r="Q1241" s="22">
        <f>+PROVEEDORES[[#This Row],[Rete Fuente %]]*(PROVEEDORES[[#This Row],[SUBTOTAL]]-PROVEEDORES[[#This Row],[descuento sobre subtotal]])</f>
        <v>0</v>
      </c>
      <c r="R1241" s="21">
        <f>+PROVEEDORES[[#This Row],[SUBTOTAL]]+PROVEEDORES[[#This Row],[IVA 19%]]-PROVEEDORES[[#This Row],[descuento sobre subtotal]]-PROVEEDORES[[#This Row],[Descuento sobre subtotal $2]]-PROVEEDORES[[#This Row],[Rete Fuente $]]</f>
        <v>5902400</v>
      </c>
      <c r="S1241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1" s="61">
        <f ca="1">IF(PROVEEDORES[[#This Row],[FECHA DE PAGO]]=0,TODAY()-PROVEEDORES[[#This Row],[FECHA DE FACTURACIÓN]]-PROVEEDORES[[#This Row],[PLAZO Días]],0)</f>
        <v>-20</v>
      </c>
      <c r="U1241" s="97">
        <f>+VLOOKUP(PROVEEDORES[[#This Row],[PROVEEDOR]],Terceros!$A:$D,4,FALSE)</f>
        <v>0</v>
      </c>
      <c r="V1241" s="98">
        <f>+YEAR(PROVEEDORES[[#This Row],[FECHA DE FACTURACIÓN]])</f>
        <v>2024</v>
      </c>
      <c r="W1241" s="98">
        <f>+MATCH(PROVEEDORES[[#This Row],[año facturado]],Retenciones!$1:$1,0)</f>
        <v>7</v>
      </c>
      <c r="X1241" s="99">
        <f>+VLOOKUP(PROVEEDORES[[#This Row],[ID RETENCION]],Retenciones!$A$1:$O$25,PROVEEDORES[[#This Row],[indicador de columna]],FALSE)</f>
        <v>0</v>
      </c>
      <c r="Y1241" s="100">
        <f>+VLOOKUP(PROVEEDORES[[#This Row],[ID RETENCION]],Retenciones!$A$1:$O$25,2,FALSE)</f>
        <v>0</v>
      </c>
      <c r="Z1241" s="103" t="b">
        <f>OR(COUNTIF(PROVEEDORES[[#This Row],[PROVEEDOR]],"*"&amp;'Palabra no opera'!$A$2&amp;"*"))</f>
        <v>0</v>
      </c>
    </row>
    <row r="1242" spans="1:26" ht="22.35" customHeight="1" x14ac:dyDescent="0.25">
      <c r="A1242" s="314" t="str">
        <f>+IF(PROVEEDORES[[#This Row],[FECHA DE PAGO]]=PROVEEDORES[[#This Row],[FECHA DE FACTURACIÓN]],"DE CONTADO","CRÉDITO")</f>
        <v>CRÉDITO</v>
      </c>
      <c r="B1242" s="38" t="b">
        <f>+IF((PROVEEDORES[[#This Row],[FECHA DE PAGO]]-PROVEEDORES[[#This Row],[FECHA DE FACTURACIÓN]])&gt;PROVEEDORES[[#This Row],[PLAZO Días]],"PAGO VENCIDO")</f>
        <v>0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2923945.6174999997</v>
      </c>
      <c r="E1242" s="25"/>
      <c r="F1242" s="56" t="str">
        <f>+VLOOKUP(PROVEEDORES[[#This Row],[PROVEEDOR]],
                       Terceros!$A:$F,
                       5,
                       FALSE)</f>
        <v>tecnopartes@ctof.co;girlesa.ruiz@servipilas.com;joriescobar64@gmail.com</v>
      </c>
      <c r="H1242" s="26" t="s">
        <v>1526</v>
      </c>
      <c r="I1242" s="289">
        <v>45317</v>
      </c>
      <c r="J1242" s="35" t="s">
        <v>1552</v>
      </c>
      <c r="K1242" s="21">
        <v>259099</v>
      </c>
      <c r="L1242" s="21"/>
      <c r="M1242" s="22">
        <f>(PROVEEDORES[[#This Row],[SUBTOTAL]]-PROVEEDORES[[#This Row],[descuento sobre subtotal]])*VLOOKUP(PROVEEDORES[[#This Row],[PROVEEDOR]],TERCEROS_INFO[#All],3,FALSE)</f>
        <v>49228.81</v>
      </c>
      <c r="N1242" s="23"/>
      <c r="O1242" s="22">
        <f>+PROVEEDORES[[#This Row],[Descuento sobre subtotal %]]*(PROVEEDORES[[#This Row],[SUBTOTAL]]-PROVEEDORES[[#This Row],[descuento sobre subtotal]])</f>
        <v>0</v>
      </c>
      <c r="P1242" s="72">
        <f>+IF(PROVEEDORES[[#This Row],[SUBTOTAL]]&lt;PROVEEDORES[[#This Row],[base retencion]],0,PROVEEDORES[[#This Row],[retención aplicada]])</f>
        <v>0</v>
      </c>
      <c r="Q1242" s="22">
        <f>+PROVEEDORES[[#This Row],[Rete Fuente %]]*(PROVEEDORES[[#This Row],[SUBTOTAL]]-PROVEEDORES[[#This Row],[descuento sobre subtotal]])</f>
        <v>0</v>
      </c>
      <c r="R1242" s="21">
        <f>+PROVEEDORES[[#This Row],[SUBTOTAL]]+PROVEEDORES[[#This Row],[IVA 19%]]-PROVEEDORES[[#This Row],[descuento sobre subtotal]]-PROVEEDORES[[#This Row],[Descuento sobre subtotal $2]]-PROVEEDORES[[#This Row],[Rete Fuente $]]</f>
        <v>308327.81</v>
      </c>
      <c r="S1242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2" s="61">
        <f ca="1">IF(PROVEEDORES[[#This Row],[FECHA DE PAGO]]=0,TODAY()-PROVEEDORES[[#This Row],[FECHA DE FACTURACIÓN]]-PROVEEDORES[[#This Row],[PLAZO Días]],0)</f>
        <v>-19</v>
      </c>
      <c r="U1242" s="97" t="str">
        <f>+VLOOKUP(PROVEEDORES[[#This Row],[PROVEEDOR]],Terceros!$A:$D,4,FALSE)</f>
        <v>2,5% con base</v>
      </c>
      <c r="V1242" s="98">
        <f>+YEAR(PROVEEDORES[[#This Row],[FECHA DE FACTURACIÓN]])</f>
        <v>2024</v>
      </c>
      <c r="W1242" s="98">
        <f>+MATCH(PROVEEDORES[[#This Row],[año facturado]],Retenciones!$1:$1,0)</f>
        <v>7</v>
      </c>
      <c r="X1242" s="99">
        <f>+VLOOKUP(PROVEEDORES[[#This Row],[ID RETENCION]],Retenciones!$A$1:$O$25,PROVEEDORES[[#This Row],[indicador de columna]],FALSE)</f>
        <v>1271000</v>
      </c>
      <c r="Y1242" s="100">
        <f>+VLOOKUP(PROVEEDORES[[#This Row],[ID RETENCION]],Retenciones!$A$1:$O$25,2,FALSE)</f>
        <v>2.5000000000000001E-2</v>
      </c>
      <c r="Z1242" s="103" t="b">
        <f>OR(COUNTIF(PROVEEDORES[[#This Row],[PROVEEDOR]],"*"&amp;'Palabra no opera'!$A$2&amp;"*"))</f>
        <v>0</v>
      </c>
    </row>
    <row r="1243" spans="1:26" ht="22.35" customHeight="1" x14ac:dyDescent="0.25">
      <c r="A1243" s="314" t="str">
        <f>+IF(PROVEEDORES[[#This Row],[FECHA DE PAGO]]=PROVEEDORES[[#This Row],[FECHA DE FACTURACIÓN]],"DE CONTADO","CRÉDITO")</f>
        <v>CRÉDITO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45</v>
      </c>
      <c r="D1243" s="25">
        <f>+SUMIFS(PROVEEDORES[Total],PROVEEDORES[PROVEEDOR],PROVEEDORES[[#This Row],[PROVEEDOR]],PROVEEDORES[FECHA DE PAGO],"")</f>
        <v>13678360</v>
      </c>
      <c r="E1243" s="25"/>
      <c r="F1243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243" s="26" t="s">
        <v>10</v>
      </c>
      <c r="I1243" s="289">
        <v>45315</v>
      </c>
      <c r="J1243" s="35" t="s">
        <v>1553</v>
      </c>
      <c r="K1243" s="21">
        <v>330000</v>
      </c>
      <c r="L1243" s="21"/>
      <c r="M1243" s="22">
        <f>(PROVEEDORES[[#This Row],[SUBTOTAL]]-PROVEEDORES[[#This Row],[descuento sobre subtotal]])*VLOOKUP(PROVEEDORES[[#This Row],[PROVEEDOR]],TERCEROS_INFO[#All],3,FALSE)</f>
        <v>62700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72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f>+PROVEEDORES[[#This Row],[SUBTOTAL]]+PROVEEDORES[[#This Row],[IVA 19%]]-PROVEEDORES[[#This Row],[descuento sobre subtotal]]-PROVEEDORES[[#This Row],[Descuento sobre subtotal $2]]-PROVEEDORES[[#This Row],[Rete Fuente $]]</f>
        <v>392700</v>
      </c>
      <c r="S1243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3" s="61">
        <f ca="1">IF(PROVEEDORES[[#This Row],[FECHA DE PAGO]]=0,TODAY()-PROVEEDORES[[#This Row],[FECHA DE FACTURACIÓN]]-PROVEEDORES[[#This Row],[PLAZO Días]],0)</f>
        <v>-32</v>
      </c>
      <c r="U1243" s="97" t="str">
        <f>+VLOOKUP(PROVEEDORES[[#This Row],[PROVEEDOR]],Terceros!$A:$D,4,FALSE)</f>
        <v>2,5% con base</v>
      </c>
      <c r="V1243" s="98">
        <f>+YEAR(PROVEEDORES[[#This Row],[FECHA DE FACTURACIÓN]])</f>
        <v>2024</v>
      </c>
      <c r="W1243" s="98">
        <f>+MATCH(PROVEEDORES[[#This Row],[año facturado]],Retenciones!$1:$1,0)</f>
        <v>7</v>
      </c>
      <c r="X1243" s="99">
        <f>+VLOOKUP(PROVEEDORES[[#This Row],[ID RETENCION]],Retenciones!$A$1:$O$25,PROVEEDORES[[#This Row],[indicador de columna]],FALSE)</f>
        <v>1271000</v>
      </c>
      <c r="Y1243" s="100">
        <f>+VLOOKUP(PROVEEDORES[[#This Row],[ID RETENCION]],Retenciones!$A$1:$O$25,2,FALSE)</f>
        <v>2.5000000000000001E-2</v>
      </c>
      <c r="Z1243" s="103" t="b">
        <f>OR(COUNTIF(PROVEEDORES[[#This Row],[PROVEEDOR]],"*"&amp;'Palabra no opera'!$A$2&amp;"*"))</f>
        <v>0</v>
      </c>
    </row>
    <row r="1244" spans="1:26" ht="22.35" customHeight="1" x14ac:dyDescent="0.25">
      <c r="A1244" s="314" t="str">
        <f>+IF(PROVEEDORES[[#This Row],[FECHA DE PAGO]]=PROVEEDORES[[#This Row],[FECHA DE FACTURACIÓN]],"DE CONTADO","CRÉDITO")</f>
        <v>CRÉDITO</v>
      </c>
      <c r="B1244" s="38" t="b">
        <f>+IF((PROVEEDORES[[#This Row],[FECHA DE PAGO]]-PROVEEDORES[[#This Row],[FECHA DE FACTURACIÓN]])&gt;PROVEEDORES[[#This Row],[PLAZO Días]],"PAGO VENCIDO")</f>
        <v>0</v>
      </c>
      <c r="C1244" s="20">
        <f>+VLOOKUP(PROVEEDORES[[#This Row],[PROVEEDOR]],TERCEROS_INFO[#All],2,FALSE)</f>
        <v>45</v>
      </c>
      <c r="D1244" s="25">
        <f>+SUMIFS(PROVEEDORES[Total],PROVEEDORES[PROVEEDOR],PROVEEDORES[[#This Row],[PROVEEDOR]],PROVEEDORES[FECHA DE PAGO],"")</f>
        <v>13678360</v>
      </c>
      <c r="E1244" s="25"/>
      <c r="F1244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244" s="26" t="s">
        <v>10</v>
      </c>
      <c r="I1244" s="289">
        <v>45320</v>
      </c>
      <c r="J1244" s="35" t="s">
        <v>1554</v>
      </c>
      <c r="K1244" s="21">
        <v>4620000</v>
      </c>
      <c r="L1244" s="21"/>
      <c r="M1244" s="22">
        <f>(PROVEEDORES[[#This Row],[SUBTOTAL]]-PROVEEDORES[[#This Row],[descuento sobre subtotal]])*VLOOKUP(PROVEEDORES[[#This Row],[PROVEEDOR]],TERCEROS_INFO[#All],3,FALSE)</f>
        <v>877800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72">
        <f>+IF(PROVEEDORES[[#This Row],[SUBTOTAL]]&lt;PROVEEDORES[[#This Row],[base retencion]],0,PROVEEDORES[[#This Row],[retención aplicada]])</f>
        <v>2.5000000000000001E-2</v>
      </c>
      <c r="Q1244" s="22">
        <f>+PROVEEDORES[[#This Row],[Rete Fuente %]]*(PROVEEDORES[[#This Row],[SUBTOTAL]]-PROVEEDORES[[#This Row],[descuento sobre subtotal]])</f>
        <v>115500</v>
      </c>
      <c r="R1244" s="21">
        <f>+PROVEEDORES[[#This Row],[SUBTOTAL]]+PROVEEDORES[[#This Row],[IVA 19%]]-PROVEEDORES[[#This Row],[descuento sobre subtotal]]-PROVEEDORES[[#This Row],[Descuento sobre subtotal $2]]-PROVEEDORES[[#This Row],[Rete Fuente $]]</f>
        <v>5382300</v>
      </c>
      <c r="S1244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4" s="61">
        <f ca="1">IF(PROVEEDORES[[#This Row],[FECHA DE PAGO]]=0,TODAY()-PROVEEDORES[[#This Row],[FECHA DE FACTURACIÓN]]-PROVEEDORES[[#This Row],[PLAZO Días]],0)</f>
        <v>-37</v>
      </c>
      <c r="U1244" s="97" t="str">
        <f>+VLOOKUP(PROVEEDORES[[#This Row],[PROVEEDOR]],Terceros!$A:$D,4,FALSE)</f>
        <v>2,5% con base</v>
      </c>
      <c r="V1244" s="98">
        <f>+YEAR(PROVEEDORES[[#This Row],[FECHA DE FACTURACIÓN]])</f>
        <v>2024</v>
      </c>
      <c r="W1244" s="98">
        <f>+MATCH(PROVEEDORES[[#This Row],[año facturado]],Retenciones!$1:$1,0)</f>
        <v>7</v>
      </c>
      <c r="X1244" s="99">
        <f>+VLOOKUP(PROVEEDORES[[#This Row],[ID RETENCION]],Retenciones!$A$1:$O$25,PROVEEDORES[[#This Row],[indicador de columna]],FALSE)</f>
        <v>1271000</v>
      </c>
      <c r="Y1244" s="100">
        <f>+VLOOKUP(PROVEEDORES[[#This Row],[ID RETENCION]],Retenciones!$A$1:$O$25,2,FALSE)</f>
        <v>2.5000000000000001E-2</v>
      </c>
      <c r="Z1244" s="103" t="b">
        <f>OR(COUNTIF(PROVEEDORES[[#This Row],[PROVEEDOR]],"*"&amp;'Palabra no opera'!$A$2&amp;"*"))</f>
        <v>0</v>
      </c>
    </row>
    <row r="1245" spans="1:26" ht="22.35" customHeight="1" x14ac:dyDescent="0.25">
      <c r="A1245" s="314" t="str">
        <f>+IF(PROVEEDORES[[#This Row],[FECHA DE PAGO]]=PROVEEDORES[[#This Row],[FECHA DE FACTURACIÓN]],"DE CONTADO","CRÉDITO")</f>
        <v>CRÉDITO</v>
      </c>
      <c r="B1245" s="38" t="b">
        <f>+IF((PROVEEDORES[[#This Row],[FECHA DE PAGO]]-PROVEEDORES[[#This Row],[FECHA DE FACTURACIÓN]])&gt;PROVEEDORES[[#This Row],[PLAZO Días]],"PAGO VENCIDO")</f>
        <v>0</v>
      </c>
      <c r="C1245" s="20">
        <f>+VLOOKUP(PROVEEDORES[[#This Row],[PROVEEDOR]],TERCEROS_INFO[#All],2,FALSE)</f>
        <v>30</v>
      </c>
      <c r="D1245" s="25">
        <f>+SUMIFS(PROVEEDORES[Total],PROVEEDORES[PROVEEDOR],PROVEEDORES[[#This Row],[PROVEEDOR]],PROVEEDORES[FECHA DE PAGO],"")</f>
        <v>0</v>
      </c>
      <c r="E1245" s="25"/>
      <c r="F1245" s="56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245" s="289">
        <v>45319</v>
      </c>
      <c r="H1245" s="26" t="s">
        <v>1234</v>
      </c>
      <c r="I1245" s="289">
        <v>45318</v>
      </c>
      <c r="J1245" s="35" t="s">
        <v>1555</v>
      </c>
      <c r="K1245" s="21">
        <v>808403.5</v>
      </c>
      <c r="L1245" s="21"/>
      <c r="M1245" s="22">
        <f>(PROVEEDORES[[#This Row],[SUBTOTAL]]-PROVEEDORES[[#This Row],[descuento sobre subtotal]])*VLOOKUP(PROVEEDORES[[#This Row],[PROVEEDOR]],TERCEROS_INFO[#All],3,FALSE)</f>
        <v>153596.66500000001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72">
        <f>+IF(PROVEEDORES[[#This Row],[SUBTOTAL]]&lt;PROVEEDORES[[#This Row],[base retencion]],0,PROVEEDORES[[#This Row],[retención aplicada]])</f>
        <v>0</v>
      </c>
      <c r="Q1245" s="22">
        <f>+PROVEEDORES[[#This Row],[Rete Fuente %]]*(PROVEEDORES[[#This Row],[SUBTOTAL]]-PROVEEDORES[[#This Row],[descuento sobre subtotal]])</f>
        <v>0</v>
      </c>
      <c r="R1245" s="21">
        <f>+PROVEEDORES[[#This Row],[SUBTOTAL]]+PROVEEDORES[[#This Row],[IVA 19%]]-PROVEEDORES[[#This Row],[descuento sobre subtotal]]-PROVEEDORES[[#This Row],[Descuento sobre subtotal $2]]-PROVEEDORES[[#This Row],[Rete Fuente $]]</f>
        <v>962000.16500000004</v>
      </c>
      <c r="S1245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1">
        <f ca="1">IF(PROVEEDORES[[#This Row],[FECHA DE PAGO]]=0,TODAY()-PROVEEDORES[[#This Row],[FECHA DE FACTURACIÓN]]-PROVEEDORES[[#This Row],[PLAZO Días]],0)</f>
        <v>0</v>
      </c>
      <c r="U1245" s="97" t="str">
        <f>+VLOOKUP(PROVEEDORES[[#This Row],[PROVEEDOR]],Terceros!$A:$D,4,FALSE)</f>
        <v>2,5% con base</v>
      </c>
      <c r="V1245" s="98">
        <f>+YEAR(PROVEEDORES[[#This Row],[FECHA DE FACTURACIÓN]])</f>
        <v>2024</v>
      </c>
      <c r="W1245" s="98">
        <f>+MATCH(PROVEEDORES[[#This Row],[año facturado]],Retenciones!$1:$1,0)</f>
        <v>7</v>
      </c>
      <c r="X1245" s="99">
        <f>+VLOOKUP(PROVEEDORES[[#This Row],[ID RETENCION]],Retenciones!$A$1:$O$25,PROVEEDORES[[#This Row],[indicador de columna]],FALSE)</f>
        <v>1271000</v>
      </c>
      <c r="Y1245" s="100">
        <f>+VLOOKUP(PROVEEDORES[[#This Row],[ID RETENCION]],Retenciones!$A$1:$O$25,2,FALSE)</f>
        <v>2.5000000000000001E-2</v>
      </c>
      <c r="Z1245" s="103" t="b">
        <f>OR(COUNTIF(PROVEEDORES[[#This Row],[PROVEEDOR]],"*"&amp;'Palabra no opera'!$A$2&amp;"*"))</f>
        <v>0</v>
      </c>
    </row>
    <row r="1246" spans="1:26" ht="22.35" customHeight="1" x14ac:dyDescent="0.25">
      <c r="A1246" s="314" t="str">
        <f>+IF(PROVEEDORES[[#This Row],[FECHA DE PAGO]]=PROVEEDORES[[#This Row],[FECHA DE FACTURACIÓN]],"DE CONTADO","CRÉDITO")</f>
        <v>CRÉDITO</v>
      </c>
      <c r="B1246" s="38" t="b">
        <f>+IF((PROVEEDORES[[#This Row],[FECHA DE PAGO]]-PROVEEDORES[[#This Row],[FECHA DE FACTURACIÓN]])&gt;PROVEEDORES[[#This Row],[PLAZO Días]],"PAGO VENCIDO")</f>
        <v>0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2190013.0175000001</v>
      </c>
      <c r="E1246" s="25"/>
      <c r="F1246" s="56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H1246" s="26" t="s">
        <v>491</v>
      </c>
      <c r="I1246" s="289">
        <v>45315</v>
      </c>
      <c r="J1246" s="35" t="s">
        <v>1556</v>
      </c>
      <c r="K1246" s="21">
        <v>1879839.5</v>
      </c>
      <c r="L1246" s="21"/>
      <c r="M1246" s="22">
        <f>(PROVEEDORES[[#This Row],[SUBTOTAL]]-PROVEEDORES[[#This Row],[descuento sobre subtotal]])*VLOOKUP(PROVEEDORES[[#This Row],[PROVEEDOR]],TERCEROS_INFO[#All],3,FALSE)</f>
        <v>357169.505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72">
        <f>+IF(PROVEEDORES[[#This Row],[SUBTOTAL]]&lt;PROVEEDORES[[#This Row],[base retencion]],0,PROVEEDORES[[#This Row],[retención aplicada]])</f>
        <v>2.5000000000000001E-2</v>
      </c>
      <c r="Q1246" s="22">
        <f>+PROVEEDORES[[#This Row],[Rete Fuente %]]*(PROVEEDORES[[#This Row],[SUBTOTAL]]-PROVEEDORES[[#This Row],[descuento sobre subtotal]])</f>
        <v>46995.987500000003</v>
      </c>
      <c r="R1246" s="21">
        <f>+PROVEEDORES[[#This Row],[SUBTOTAL]]+PROVEEDORES[[#This Row],[IVA 19%]]-PROVEEDORES[[#This Row],[descuento sobre subtotal]]-PROVEEDORES[[#This Row],[Descuento sobre subtotal $2]]-PROVEEDORES[[#This Row],[Rete Fuente $]]</f>
        <v>2190013.0175000001</v>
      </c>
      <c r="S1246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46" s="61">
        <f ca="1">IF(PROVEEDORES[[#This Row],[FECHA DE PAGO]]=0,TODAY()-PROVEEDORES[[#This Row],[FECHA DE FACTURACIÓN]]-PROVEEDORES[[#This Row],[PLAZO Días]],0)</f>
        <v>-17</v>
      </c>
      <c r="U1246" s="97" t="str">
        <f>+VLOOKUP(PROVEEDORES[[#This Row],[PROVEEDOR]],Terceros!$A:$D,4,FALSE)</f>
        <v>2,5% con base</v>
      </c>
      <c r="V1246" s="98">
        <f>+YEAR(PROVEEDORES[[#This Row],[FECHA DE FACTURACIÓN]])</f>
        <v>2024</v>
      </c>
      <c r="W1246" s="98">
        <f>+MATCH(PROVEEDORES[[#This Row],[año facturado]],Retenciones!$1:$1,0)</f>
        <v>7</v>
      </c>
      <c r="X1246" s="99">
        <f>+VLOOKUP(PROVEEDORES[[#This Row],[ID RETENCION]],Retenciones!$A$1:$O$25,PROVEEDORES[[#This Row],[indicador de columna]],FALSE)</f>
        <v>1271000</v>
      </c>
      <c r="Y1246" s="100">
        <f>+VLOOKUP(PROVEEDORES[[#This Row],[ID RETENCION]],Retenciones!$A$1:$O$25,2,FALSE)</f>
        <v>2.5000000000000001E-2</v>
      </c>
      <c r="Z1246" s="103" t="b">
        <f>OR(COUNTIF(PROVEEDORES[[#This Row],[PROVEEDOR]],"*"&amp;'Palabra no opera'!$A$2&amp;"*"))</f>
        <v>0</v>
      </c>
    </row>
    <row r="1247" spans="1:26" ht="22.35" customHeight="1" x14ac:dyDescent="0.25">
      <c r="A1247" s="314" t="str">
        <f>+IF(PROVEEDORES[[#This Row],[FECHA DE PAGO]]=PROVEEDORES[[#This Row],[FECHA DE FACTURACIÓN]],"DE CONTADO","CRÉDITO")</f>
        <v>DE CONTADO</v>
      </c>
      <c r="B1247" s="38" t="b">
        <f>+IF((PROVEEDORES[[#This Row],[FECHA DE PAGO]]-PROVEEDORES[[#This Row],[FECHA DE FACTURACIÓN]])&gt;PROVEEDORES[[#This Row],[PLAZO Días]],"PAGO VENCIDO")</f>
        <v>0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0</v>
      </c>
      <c r="E1247" s="25"/>
      <c r="F1247" s="56" t="str">
        <f>+VLOOKUP(PROVEEDORES[[#This Row],[PROVEEDOR]],
                       Terceros!$A:$F,
                       5,
                       FALSE)</f>
        <v/>
      </c>
      <c r="G1247" s="289">
        <v>45321</v>
      </c>
      <c r="H1247" s="26" t="s">
        <v>291</v>
      </c>
      <c r="I1247" s="289">
        <v>45321</v>
      </c>
      <c r="J1247" s="35" t="s">
        <v>1557</v>
      </c>
      <c r="K1247" s="21">
        <v>480000</v>
      </c>
      <c r="L1247" s="21"/>
      <c r="M1247" s="22">
        <f>(PROVEEDORES[[#This Row],[SUBTOTAL]]-PROVEEDORES[[#This Row],[descuento sobre subtotal]])*VLOOKUP(PROVEEDORES[[#This Row],[PROVEEDOR]],TERCEROS_INFO[#All],3,FALSE)</f>
        <v>0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72">
        <f>+IF(PROVEEDORES[[#This Row],[SUBTOTAL]]&lt;PROVEEDORES[[#This Row],[base retencion]],0,PROVEEDORES[[#This Row],[retención aplicada]])</f>
        <v>0</v>
      </c>
      <c r="Q1247" s="22">
        <f>+PROVEEDORES[[#This Row],[Rete Fuente %]]*(PROVEEDORES[[#This Row],[SUBTOTAL]]-PROVEEDORES[[#This Row],[descuento sobre subtotal]])</f>
        <v>0</v>
      </c>
      <c r="R1247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1247" s="3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1">
        <f ca="1">IF(PROVEEDORES[[#This Row],[FECHA DE PAGO]]=0,TODAY()-PROVEEDORES[[#This Row],[FECHA DE FACTURACIÓN]]-PROVEEDORES[[#This Row],[PLAZO Días]],0)</f>
        <v>0</v>
      </c>
      <c r="U1247" s="97">
        <f>+VLOOKUP(PROVEEDORES[[#This Row],[PROVEEDOR]],Terceros!$A:$D,4,FALSE)</f>
        <v>0</v>
      </c>
      <c r="V1247" s="98">
        <f>+YEAR(PROVEEDORES[[#This Row],[FECHA DE FACTURACIÓN]])</f>
        <v>2024</v>
      </c>
      <c r="W1247" s="98">
        <f>+MATCH(PROVEEDORES[[#This Row],[año facturado]],Retenciones!$1:$1,0)</f>
        <v>7</v>
      </c>
      <c r="X1247" s="99">
        <f>+VLOOKUP(PROVEEDORES[[#This Row],[ID RETENCION]],Retenciones!$A$1:$O$25,PROVEEDORES[[#This Row],[indicador de columna]],FALSE)</f>
        <v>0</v>
      </c>
      <c r="Y1247" s="100">
        <f>+VLOOKUP(PROVEEDORES[[#This Row],[ID RETENCION]],Retenciones!$A$1:$O$25,2,FALSE)</f>
        <v>0</v>
      </c>
      <c r="Z1247" s="103" t="b">
        <f>OR(COUNTIF(PROVEEDORES[[#This Row],[PROVEEDOR]],"*"&amp;'Palabra no opera'!$A$2&amp;"*"))</f>
        <v>0</v>
      </c>
    </row>
    <row r="1248" spans="1:26" ht="22.35" customHeight="1" x14ac:dyDescent="0.25">
      <c r="A1248" s="65" t="str">
        <f>+IF(PROVEEDORES[[#This Row],[FECHA DE PAGO]]=PROVEEDORES[[#This Row],[FECHA DE FACTURACIÓN]],"DE CONTADO","CRÉDITO")</f>
        <v>CRÉDITO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8306450</v>
      </c>
      <c r="E1248" s="25"/>
      <c r="F1248" s="56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H1248" s="26" t="s">
        <v>754</v>
      </c>
      <c r="I1248" s="289">
        <v>45273</v>
      </c>
      <c r="J1248" s="35" t="s">
        <v>1405</v>
      </c>
      <c r="K1248" s="21">
        <v>7130000</v>
      </c>
      <c r="L1248" s="21"/>
      <c r="M1248" s="22">
        <f>(PROVEEDORES[[#This Row],[SUBTOTAL]]-PROVEEDORES[[#This Row],[descuento sobre subtotal]])*VLOOKUP(PROVEEDORES[[#This Row],[PROVEEDOR]],TERCEROS_INFO[#All],3,FALSE)</f>
        <v>1354700</v>
      </c>
      <c r="N1248" s="23"/>
      <c r="O1248" s="22">
        <f>+PROVEEDORES[[#This Row],[Descuento sobre subtotal %]]*(PROVEEDORES[[#This Row],[SUBTOTAL]]-PROVEEDORES[[#This Row],[descuento sobre subtotal]])</f>
        <v>0</v>
      </c>
      <c r="P1248" s="72">
        <f>+IF(PROVEEDORES[[#This Row],[SUBTOTAL]]&lt;PROVEEDORES[[#This Row],[base retencion]],0,PROVEEDORES[[#This Row],[retención aplicada]])</f>
        <v>2.5000000000000001E-2</v>
      </c>
      <c r="Q1248" s="22">
        <f>+PROVEEDORES[[#This Row],[Rete Fuente %]]*(PROVEEDORES[[#This Row],[SUBTOTAL]]-PROVEEDORES[[#This Row],[descuento sobre subtotal]])</f>
        <v>178250</v>
      </c>
      <c r="R1248" s="21">
        <f>+PROVEEDORES[[#This Row],[SUBTOTAL]]+PROVEEDORES[[#This Row],[IVA 19%]]-PROVEEDORES[[#This Row],[descuento sobre subtotal]]-PROVEEDORES[[#This Row],[Descuento sobre subtotal $2]]-PROVEEDORES[[#This Row],[Rete Fuente $]]</f>
        <v>8306450</v>
      </c>
      <c r="S1248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48" s="61">
        <f ca="1">IF(PROVEEDORES[[#This Row],[FECHA DE PAGO]]=0,TODAY()-PROVEEDORES[[#This Row],[FECHA DE FACTURACIÓN]]-PROVEEDORES[[#This Row],[PLAZO Días]],0)</f>
        <v>25</v>
      </c>
      <c r="U1248" s="97" t="str">
        <f>+VLOOKUP(PROVEEDORES[[#This Row],[PROVEEDOR]],Terceros!$A:$D,4,FALSE)</f>
        <v>2,5% con base</v>
      </c>
      <c r="V1248" s="98">
        <f>+YEAR(PROVEEDORES[[#This Row],[FECHA DE FACTURACIÓN]])</f>
        <v>2023</v>
      </c>
      <c r="W1248" s="98">
        <f>+MATCH(PROVEEDORES[[#This Row],[año facturado]],Retenciones!$1:$1,0)</f>
        <v>6</v>
      </c>
      <c r="X1248" s="99">
        <f>+VLOOKUP(PROVEEDORES[[#This Row],[ID RETENCION]],Retenciones!$A$1:$O$25,PROVEEDORES[[#This Row],[indicador de columna]],FALSE)</f>
        <v>1145000</v>
      </c>
      <c r="Y1248" s="100">
        <f>+VLOOKUP(PROVEEDORES[[#This Row],[ID RETENCION]],Retenciones!$A$1:$O$25,2,FALSE)</f>
        <v>2.5000000000000001E-2</v>
      </c>
      <c r="Z1248" s="103" t="b">
        <f>OR(COUNTIF(PROVEEDORES[[#This Row],[PROVEEDOR]],"*"&amp;'Palabra no opera'!$A$2&amp;"*"))</f>
        <v>0</v>
      </c>
    </row>
    <row r="1249" spans="1:26" ht="22.35" customHeight="1" x14ac:dyDescent="0.25">
      <c r="A1249" s="65" t="str">
        <f>+IF(PROVEEDORES[[#This Row],[FECHA DE PAGO]]=PROVEEDORES[[#This Row],[FECHA DE FACTURACIÓN]],"DE CONTADO","CRÉDITO")</f>
        <v>CRÉDITO</v>
      </c>
      <c r="B1249" s="38" t="b">
        <f>+IF((PROVEEDORES[[#This Row],[FECHA DE PAGO]]-PROVEEDORES[[#This Row],[FECHA DE FACTURACIÓN]])&gt;PROVEEDORES[[#This Row],[PLAZO Días]],"PAGO VENCIDO")</f>
        <v>0</v>
      </c>
      <c r="C1249" s="20">
        <f>+VLOOKUP(PROVEEDORES[[#This Row],[PROVEEDOR]],TERCEROS_INFO[#All],2,FALSE)</f>
        <v>45</v>
      </c>
      <c r="D1249" s="25">
        <f>+SUMIFS(PROVEEDORES[Total],PROVEEDORES[PROVEEDOR],PROVEEDORES[[#This Row],[PROVEEDOR]],PROVEEDORES[FECHA DE PAGO],"")</f>
        <v>13678360</v>
      </c>
      <c r="E1249" s="25"/>
      <c r="F1249" s="56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249" s="26" t="s">
        <v>10</v>
      </c>
      <c r="I1249" s="289">
        <v>45266</v>
      </c>
      <c r="J1249" s="35" t="s">
        <v>1387</v>
      </c>
      <c r="K1249" s="21">
        <v>4200000</v>
      </c>
      <c r="L1249" s="21"/>
      <c r="M1249" s="22">
        <f>(PROVEEDORES[[#This Row],[SUBTOTAL]]-PROVEEDORES[[#This Row],[descuento sobre subtotal]])*VLOOKUP(PROVEEDORES[[#This Row],[PROVEEDOR]],TERCEROS_INFO[#All],3,FALSE)</f>
        <v>798000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72">
        <f>+IF(PROVEEDORES[[#This Row],[SUBTOTAL]]&lt;PROVEEDORES[[#This Row],[base retencion]],0,PROVEEDORES[[#This Row],[retención aplicada]])</f>
        <v>2.5000000000000001E-2</v>
      </c>
      <c r="Q1249" s="22">
        <f>+PROVEEDORES[[#This Row],[Rete Fuente %]]*(PROVEEDORES[[#This Row],[SUBTOTAL]]-PROVEEDORES[[#This Row],[descuento sobre subtotal]])</f>
        <v>105000</v>
      </c>
      <c r="R1249" s="21">
        <f>+PROVEEDORES[[#This Row],[SUBTOTAL]]+PROVEEDORES[[#This Row],[IVA 19%]]-PROVEEDORES[[#This Row],[descuento sobre subtotal]]-PROVEEDORES[[#This Row],[Descuento sobre subtotal $2]]-PROVEEDORES[[#This Row],[Rete Fuente $]]</f>
        <v>4893000</v>
      </c>
      <c r="S1249" s="10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49" s="61">
        <f ca="1">IF(PROVEEDORES[[#This Row],[FECHA DE PAGO]]=0,TODAY()-PROVEEDORES[[#This Row],[FECHA DE FACTURACIÓN]]-PROVEEDORES[[#This Row],[PLAZO Días]],0)</f>
        <v>17</v>
      </c>
      <c r="U1249" s="97" t="str">
        <f>+VLOOKUP(PROVEEDORES[[#This Row],[PROVEEDOR]],Terceros!$A:$D,4,FALSE)</f>
        <v>2,5% con base</v>
      </c>
      <c r="V1249" s="98">
        <f>+YEAR(PROVEEDORES[[#This Row],[FECHA DE FACTURACIÓN]])</f>
        <v>2023</v>
      </c>
      <c r="W1249" s="98">
        <f>+MATCH(PROVEEDORES[[#This Row],[año facturado]],Retenciones!$1:$1,0)</f>
        <v>6</v>
      </c>
      <c r="X1249" s="99">
        <f>+VLOOKUP(PROVEEDORES[[#This Row],[ID RETENCION]],Retenciones!$A$1:$O$25,PROVEEDORES[[#This Row],[indicador de columna]],FALSE)</f>
        <v>1145000</v>
      </c>
      <c r="Y1249" s="100">
        <f>+VLOOKUP(PROVEEDORES[[#This Row],[ID RETENCION]],Retenciones!$A$1:$O$25,2,FALSE)</f>
        <v>2.5000000000000001E-2</v>
      </c>
      <c r="Z1249" s="103" t="b">
        <f>OR(COUNTIF(PROVEEDORES[[#This Row],[PROVEEDOR]],"*"&amp;'Palabra no opera'!$A$2&amp;"*"))</f>
        <v>0</v>
      </c>
    </row>
    <row r="1250" spans="1:26" ht="22.35" customHeight="1" x14ac:dyDescent="0.25">
      <c r="A1250" s="314" t="str">
        <f>+IF(PROVEEDORES[[#This Row],[FECHA DE PAGO]]=PROVEEDORES[[#This Row],[FECHA DE FACTURACIÓN]],"DE CONTADO","CRÉDITO")</f>
        <v>CRÉDITO</v>
      </c>
      <c r="B1250" s="38" t="b">
        <f>+IF((PROVEEDORES[[#This Row],[FECHA DE PAGO]]-PROVEEDORES[[#This Row],[FECHA DE FACTURACIÓN]])&gt;PROVEEDORES[[#This Row],[PLAZO Días]],"PAGO VENCIDO")</f>
        <v>0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2713769.64</v>
      </c>
      <c r="E1250" s="25"/>
      <c r="F1250" s="56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1250" s="26" t="s">
        <v>11</v>
      </c>
      <c r="I1250" s="289">
        <v>45320</v>
      </c>
      <c r="J1250" s="35" t="s">
        <v>1562</v>
      </c>
      <c r="K1250" s="21">
        <v>2329416</v>
      </c>
      <c r="L1250" s="21"/>
      <c r="M1250" s="22">
        <f>(PROVEEDORES[[#This Row],[SUBTOTAL]]-PROVEEDORES[[#This Row],[descuento sobre subtotal]])*VLOOKUP(PROVEEDORES[[#This Row],[PROVEEDOR]],TERCEROS_INFO[#All],3,FALSE)</f>
        <v>442589.04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72">
        <f>+IF(PROVEEDORES[[#This Row],[SUBTOTAL]]&lt;PROVEEDORES[[#This Row],[base retencion]],0,PROVEEDORES[[#This Row],[retención aplicada]])</f>
        <v>2.5000000000000001E-2</v>
      </c>
      <c r="Q1250" s="22">
        <f>+PROVEEDORES[[#This Row],[Rete Fuente %]]*(PROVEEDORES[[#This Row],[SUBTOTAL]]-PROVEEDORES[[#This Row],[descuento sobre subtotal]])</f>
        <v>58235.4</v>
      </c>
      <c r="R1250" s="21">
        <f>+PROVEEDORES[[#This Row],[SUBTOTAL]]+PROVEEDORES[[#This Row],[IVA 19%]]-PROVEEDORES[[#This Row],[descuento sobre subtotal]]-PROVEEDORES[[#This Row],[Descuento sobre subtotal $2]]-PROVEEDORES[[#This Row],[Rete Fuente $]]</f>
        <v>2713769.64</v>
      </c>
      <c r="S1250" s="31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0" s="61">
        <f ca="1">IF(PROVEEDORES[[#This Row],[FECHA DE PAGO]]=0,TODAY()-PROVEEDORES[[#This Row],[FECHA DE FACTURACIÓN]]-PROVEEDORES[[#This Row],[PLAZO Días]],0)</f>
        <v>-22</v>
      </c>
      <c r="U1250" s="97" t="str">
        <f>+VLOOKUP(PROVEEDORES[[#This Row],[PROVEEDOR]],Terceros!$A:$D,4,FALSE)</f>
        <v>2,5% con base</v>
      </c>
      <c r="V1250" s="98">
        <f>+YEAR(PROVEEDORES[[#This Row],[FECHA DE FACTURACIÓN]])</f>
        <v>2024</v>
      </c>
      <c r="W1250" s="98">
        <f>+MATCH(PROVEEDORES[[#This Row],[año facturado]],Retenciones!$1:$1,0)</f>
        <v>7</v>
      </c>
      <c r="X1250" s="99">
        <f>+VLOOKUP(PROVEEDORES[[#This Row],[ID RETENCION]],Retenciones!$A$1:$O$25,PROVEEDORES[[#This Row],[indicador de columna]],FALSE)</f>
        <v>1271000</v>
      </c>
      <c r="Y1250" s="100">
        <f>+VLOOKUP(PROVEEDORES[[#This Row],[ID RETENCION]],Retenciones!$A$1:$O$25,2,FALSE)</f>
        <v>2.5000000000000001E-2</v>
      </c>
      <c r="Z1250" s="103" t="b">
        <f>OR(COUNTIF(PROVEEDORES[[#This Row],[PROVEEDOR]],"*"&amp;'Palabra no opera'!$A$2&amp;"*"))</f>
        <v>0</v>
      </c>
    </row>
    <row r="1251" spans="1:26" ht="22.35" customHeight="1" x14ac:dyDescent="0.25">
      <c r="A1251" s="65" t="str">
        <f>+IF(PROVEEDORES[[#This Row],[FECHA DE PAGO]]=PROVEEDORES[[#This Row],[FECHA DE FACTURACIÓN]],"DE CONTADO","CRÉDITO")</f>
        <v>DE CONTADO</v>
      </c>
      <c r="B1251" s="38" t="b">
        <f>+IF((PROVEEDORES[[#This Row],[FECHA DE PAGO]]-PROVEEDORES[[#This Row],[FECHA DE FACTURACIÓN]])&gt;PROVEEDORES[[#This Row],[PLAZO Días]],"PAGO VENCIDO")</f>
        <v>0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0</v>
      </c>
      <c r="E1251" s="25"/>
      <c r="F1251" s="56" t="str">
        <f>+VLOOKUP(PROVEEDORES[[#This Row],[PROVEEDOR]],
                       Terceros!$A:$F,
                       5,
                       FALSE)</f>
        <v/>
      </c>
      <c r="G1251" s="289">
        <v>45323</v>
      </c>
      <c r="H1251" s="26" t="s">
        <v>299</v>
      </c>
      <c r="I1251" s="289">
        <v>45323</v>
      </c>
      <c r="J1251" s="35"/>
      <c r="K1251" s="21">
        <v>1126900</v>
      </c>
      <c r="L1251" s="21"/>
      <c r="M1251" s="22">
        <f>(PROVEEDORES[[#This Row],[SUBTOTAL]]-PROVEEDORES[[#This Row],[descuento sobre subtotal]])*VLOOKUP(PROVEEDORES[[#This Row],[PROVEEDOR]],TERCEROS_INFO[#All],3,FALSE)</f>
        <v>0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72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f>+PROVEEDORES[[#This Row],[SUBTOTAL]]+PROVEEDORES[[#This Row],[IVA 19%]]-PROVEEDORES[[#This Row],[descuento sobre subtotal]]-PROVEEDORES[[#This Row],[Descuento sobre subtotal $2]]-PROVEEDORES[[#This Row],[Rete Fuente $]]</f>
        <v>1126900</v>
      </c>
      <c r="S125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1">
        <f ca="1">IF(PROVEEDORES[[#This Row],[FECHA DE PAGO]]=0,TODAY()-PROVEEDORES[[#This Row],[FECHA DE FACTURACIÓN]]-PROVEEDORES[[#This Row],[PLAZO Días]],0)</f>
        <v>0</v>
      </c>
      <c r="U1251" s="97">
        <f>+VLOOKUP(PROVEEDORES[[#This Row],[PROVEEDOR]],Terceros!$A:$D,4,FALSE)</f>
        <v>0</v>
      </c>
      <c r="V1251" s="98">
        <f>+YEAR(PROVEEDORES[[#This Row],[FECHA DE FACTURACIÓN]])</f>
        <v>2024</v>
      </c>
      <c r="W1251" s="98">
        <f>+MATCH(PROVEEDORES[[#This Row],[año facturado]],Retenciones!$1:$1,0)</f>
        <v>7</v>
      </c>
      <c r="X1251" s="99">
        <f>+VLOOKUP(PROVEEDORES[[#This Row],[ID RETENCION]],Retenciones!$A$1:$O$25,PROVEEDORES[[#This Row],[indicador de columna]],FALSE)</f>
        <v>0</v>
      </c>
      <c r="Y1251" s="100">
        <f>+VLOOKUP(PROVEEDORES[[#This Row],[ID RETENCION]],Retenciones!$A$1:$O$25,2,FALSE)</f>
        <v>0</v>
      </c>
      <c r="Z1251" s="103" t="b">
        <f>OR(COUNTIF(PROVEEDORES[[#This Row],[PROVEEDOR]],"*"&amp;'Palabra no opera'!$A$2&amp;"*"))</f>
        <v>0</v>
      </c>
    </row>
    <row r="1252" spans="1:26" ht="22.35" customHeight="1" x14ac:dyDescent="0.25">
      <c r="A1252" s="317" t="str">
        <f>+IF(PROVEEDORES[[#This Row],[FECHA DE PAGO]]=PROVEEDORES[[#This Row],[FECHA DE FACTURACIÓN]],"DE CONTADO","CRÉDITO")</f>
        <v>DE CONTADO</v>
      </c>
      <c r="B1252" s="38" t="b">
        <f>+IF((PROVEEDORES[[#This Row],[FECHA DE PAGO]]-PROVEEDORES[[#This Row],[FECHA DE FACTURACIÓN]])&gt;PROVEEDORES[[#This Row],[PLAZO Días]],"PAGO VENCIDO")</f>
        <v>0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0</v>
      </c>
      <c r="E1252" s="25"/>
      <c r="F1252" s="56" t="str">
        <f>+VLOOKUP(PROVEEDORES[[#This Row],[PROVEEDOR]],
                       Terceros!$A:$F,
                       5,
                       FALSE)</f>
        <v>PSE</v>
      </c>
      <c r="G1252" s="289">
        <v>45323</v>
      </c>
      <c r="H1252" s="26" t="s">
        <v>423</v>
      </c>
      <c r="I1252" s="289">
        <v>45323</v>
      </c>
      <c r="J1252" s="35"/>
      <c r="K1252" s="21">
        <v>633500</v>
      </c>
      <c r="L1252" s="21"/>
      <c r="M1252" s="22">
        <f>(PROVEEDORES[[#This Row],[SUBTOTAL]]-PROVEEDORES[[#This Row],[descuento sobre subtotal]])*VLOOKUP(PROVEEDORES[[#This Row],[PROVEEDOR]],TERCEROS_INFO[#All],3,FALSE)</f>
        <v>0</v>
      </c>
      <c r="N1252" s="23"/>
      <c r="O1252" s="22">
        <f>+PROVEEDORES[[#This Row],[Descuento sobre subtotal %]]*(PROVEEDORES[[#This Row],[SUBTOTAL]]-PROVEEDORES[[#This Row],[descuento sobre subtotal]])</f>
        <v>0</v>
      </c>
      <c r="P1252" s="72">
        <f>+IF(PROVEEDORES[[#This Row],[SUBTOTAL]]&lt;PROVEEDORES[[#This Row],[base retencion]],0,PROVEEDORES[[#This Row],[retención aplicada]])</f>
        <v>0</v>
      </c>
      <c r="Q1252" s="22">
        <f>+PROVEEDORES[[#This Row],[Rete Fuente %]]*(PROVEEDORES[[#This Row],[SUBTOTAL]]-PROVEEDORES[[#This Row],[descuento sobre subtotal]])</f>
        <v>0</v>
      </c>
      <c r="R1252" s="21">
        <f>+PROVEEDORES[[#This Row],[SUBTOTAL]]+PROVEEDORES[[#This Row],[IVA 19%]]-PROVEEDORES[[#This Row],[descuento sobre subtotal]]-PROVEEDORES[[#This Row],[Descuento sobre subtotal $2]]-PROVEEDORES[[#This Row],[Rete Fuente $]]</f>
        <v>633500</v>
      </c>
      <c r="S1252" s="3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1">
        <f ca="1">IF(PROVEEDORES[[#This Row],[FECHA DE PAGO]]=0,TODAY()-PROVEEDORES[[#This Row],[FECHA DE FACTURACIÓN]]-PROVEEDORES[[#This Row],[PLAZO Días]],0)</f>
        <v>0</v>
      </c>
      <c r="U1252" s="97">
        <f>+VLOOKUP(PROVEEDORES[[#This Row],[PROVEEDOR]],Terceros!$A:$D,4,FALSE)</f>
        <v>0</v>
      </c>
      <c r="V1252" s="98">
        <f>+YEAR(PROVEEDORES[[#This Row],[FECHA DE FACTURACIÓN]])</f>
        <v>2024</v>
      </c>
      <c r="W1252" s="98">
        <f>+MATCH(PROVEEDORES[[#This Row],[año facturado]],Retenciones!$1:$1,0)</f>
        <v>7</v>
      </c>
      <c r="X1252" s="99">
        <f>+VLOOKUP(PROVEEDORES[[#This Row],[ID RETENCION]],Retenciones!$A$1:$O$25,PROVEEDORES[[#This Row],[indicador de columna]],FALSE)</f>
        <v>0</v>
      </c>
      <c r="Y1252" s="100">
        <f>+VLOOKUP(PROVEEDORES[[#This Row],[ID RETENCION]],Retenciones!$A$1:$O$25,2,FALSE)</f>
        <v>0</v>
      </c>
      <c r="Z1252" s="103" t="b">
        <f>OR(COUNTIF(PROVEEDORES[[#This Row],[PROVEEDOR]],"*"&amp;'Palabra no opera'!$A$2&amp;"*"))</f>
        <v>1</v>
      </c>
    </row>
    <row r="1253" spans="1:26" ht="22.35" customHeight="1" x14ac:dyDescent="0.25">
      <c r="A1253" s="317" t="str">
        <f>+IF(PROVEEDORES[[#This Row],[FECHA DE PAGO]]=PROVEEDORES[[#This Row],[FECHA DE FACTURACIÓN]],"DE CONTADO","CRÉDITO")</f>
        <v>CRÉDITO</v>
      </c>
      <c r="B1253" s="38" t="b">
        <f>+IF((PROVEEDORES[[#This Row],[FECHA DE PAGO]]-PROVEEDORES[[#This Row],[FECHA DE FACTURACIÓN]])&gt;PROVEEDORES[[#This Row],[PLAZO Días]],"PAGO VENCIDO")</f>
        <v>0</v>
      </c>
      <c r="C1253" s="20">
        <f>+VLOOKUP(PROVEEDORES[[#This Row],[PROVEEDOR]],TERCEROS_INFO[#All],2,FALSE)</f>
        <v>30</v>
      </c>
      <c r="D1253" s="25">
        <f>+SUMIFS(PROVEEDORES[Total],PROVEEDORES[PROVEEDOR],PROVEEDORES[[#This Row],[PROVEEDOR]],PROVEEDORES[FECHA DE PAGO],"")</f>
        <v>406756</v>
      </c>
      <c r="E1253" s="25"/>
      <c r="F1253" s="56" t="str">
        <f>+VLOOKUP(PROVEEDORES[[#This Row],[PROVEEDOR]],
                       Terceros!$A:$F,
                       5,
                       FALSE)</f>
        <v/>
      </c>
      <c r="H1253" s="26" t="s">
        <v>568</v>
      </c>
      <c r="I1253" s="289">
        <v>45278</v>
      </c>
      <c r="J1253" s="35" t="s">
        <v>1564</v>
      </c>
      <c r="K1253" s="21">
        <v>269500</v>
      </c>
      <c r="L1253" s="21"/>
      <c r="M1253" s="22">
        <f>(PROVEEDORES[[#This Row],[SUBTOTAL]]-PROVEEDORES[[#This Row],[descuento sobre subtotal]])*VLOOKUP(PROVEEDORES[[#This Row],[PROVEEDOR]],TERCEROS_INFO[#All],3,FALSE)</f>
        <v>0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72">
        <f>+IF(PROVEEDORES[[#This Row],[SUBTOTAL]]&lt;PROVEEDORES[[#This Row],[base retencion]],0,PROVEEDORES[[#This Row],[retención aplicada]])</f>
        <v>0</v>
      </c>
      <c r="Q1253" s="22">
        <f>+PROVEEDORES[[#This Row],[Rete Fuente %]]*(PROVEEDORES[[#This Row],[SUBTOTAL]]-PROVEEDORES[[#This Row],[descuento sobre subtotal]])</f>
        <v>0</v>
      </c>
      <c r="R1253" s="21">
        <f>+PROVEEDORES[[#This Row],[SUBTOTAL]]+PROVEEDORES[[#This Row],[IVA 19%]]-PROVEEDORES[[#This Row],[descuento sobre subtotal]]-PROVEEDORES[[#This Row],[Descuento sobre subtotal $2]]-PROVEEDORES[[#This Row],[Rete Fuente $]]</f>
        <v>269500</v>
      </c>
      <c r="S1253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53" s="61">
        <f ca="1">IF(PROVEEDORES[[#This Row],[FECHA DE PAGO]]=0,TODAY()-PROVEEDORES[[#This Row],[FECHA DE FACTURACIÓN]]-PROVEEDORES[[#This Row],[PLAZO Días]],0)</f>
        <v>20</v>
      </c>
      <c r="U1253" s="97">
        <f>+VLOOKUP(PROVEEDORES[[#This Row],[PROVEEDOR]],Terceros!$A:$D,4,FALSE)</f>
        <v>0</v>
      </c>
      <c r="V1253" s="98">
        <f>+YEAR(PROVEEDORES[[#This Row],[FECHA DE FACTURACIÓN]])</f>
        <v>2023</v>
      </c>
      <c r="W1253" s="98">
        <f>+MATCH(PROVEEDORES[[#This Row],[año facturado]],Retenciones!$1:$1,0)</f>
        <v>6</v>
      </c>
      <c r="X1253" s="99">
        <f>+VLOOKUP(PROVEEDORES[[#This Row],[ID RETENCION]],Retenciones!$A$1:$O$25,PROVEEDORES[[#This Row],[indicador de columna]],FALSE)</f>
        <v>0</v>
      </c>
      <c r="Y1253" s="100">
        <f>+VLOOKUP(PROVEEDORES[[#This Row],[ID RETENCION]],Retenciones!$A$1:$O$25,2,FALSE)</f>
        <v>0</v>
      </c>
      <c r="Z1253" s="103" t="b">
        <f>OR(COUNTIF(PROVEEDORES[[#This Row],[PROVEEDOR]],"*"&amp;'Palabra no opera'!$A$2&amp;"*"))</f>
        <v>0</v>
      </c>
    </row>
    <row r="1254" spans="1:26" ht="22.35" customHeight="1" x14ac:dyDescent="0.25">
      <c r="A1254" s="317" t="str">
        <f>+IF(PROVEEDORES[[#This Row],[FECHA DE PAGO]]=PROVEEDORES[[#This Row],[FECHA DE FACTURACIÓN]],"DE CONTADO","CRÉDITO")</f>
        <v>CRÉDITO</v>
      </c>
      <c r="B1254" s="38" t="b">
        <f>+IF((PROVEEDORES[[#This Row],[FECHA DE PAGO]]-PROVEEDORES[[#This Row],[FECHA DE FACTURACIÓN]])&gt;PROVEEDORES[[#This Row],[PLAZO Días]],"PAGO VENCIDO")</f>
        <v>0</v>
      </c>
      <c r="C1254" s="20">
        <f>+VLOOKUP(PROVEEDORES[[#This Row],[PROVEEDOR]],TERCEROS_INFO[#All],2,FALSE)</f>
        <v>30</v>
      </c>
      <c r="D1254" s="25">
        <f>+SUMIFS(PROVEEDORES[Total],PROVEEDORES[PROVEEDOR],PROVEEDORES[[#This Row],[PROVEEDOR]],PROVEEDORES[FECHA DE PAGO],"")</f>
        <v>496505</v>
      </c>
      <c r="E1254" s="25"/>
      <c r="F1254" s="56">
        <f>+VLOOKUP(PROVEEDORES[[#This Row],[PROVEEDOR]],
                       Terceros!$A:$F,
                       5,
                       FALSE)</f>
        <v>0</v>
      </c>
      <c r="H1254" s="26" t="s">
        <v>1170</v>
      </c>
      <c r="I1254" s="289">
        <v>45324</v>
      </c>
      <c r="J1254" s="35" t="s">
        <v>1567</v>
      </c>
      <c r="K1254" s="21">
        <v>830</v>
      </c>
      <c r="L1254" s="21"/>
      <c r="M1254" s="22">
        <f>(PROVEEDORES[[#This Row],[SUBTOTAL]]-PROVEEDORES[[#This Row],[descuento sobre subtotal]])*VLOOKUP(PROVEEDORES[[#This Row],[PROVEEDOR]],TERCEROS_INFO[#All],3,FALSE)</f>
        <v>0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72">
        <f>+IF(PROVEEDORES[[#This Row],[SUBTOTAL]]&lt;PROVEEDORES[[#This Row],[base retencion]],0,PROVEEDORES[[#This Row],[retención aplicada]])</f>
        <v>0</v>
      </c>
      <c r="Q1254" s="22">
        <f>+PROVEEDORES[[#This Row],[Rete Fuente %]]*(PROVEEDORES[[#This Row],[SUBTOTAL]]-PROVEEDORES[[#This Row],[descuento sobre subtotal]])</f>
        <v>0</v>
      </c>
      <c r="R1254" s="21">
        <f>+PROVEEDORES[[#This Row],[SUBTOTAL]]+PROVEEDORES[[#This Row],[IVA 19%]]-PROVEEDORES[[#This Row],[descuento sobre subtotal]]-PROVEEDORES[[#This Row],[Descuento sobre subtotal $2]]-PROVEEDORES[[#This Row],[Rete Fuente $]]</f>
        <v>830</v>
      </c>
      <c r="S1254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4" s="61">
        <f ca="1">IF(PROVEEDORES[[#This Row],[FECHA DE PAGO]]=0,TODAY()-PROVEEDORES[[#This Row],[FECHA DE FACTURACIÓN]]-PROVEEDORES[[#This Row],[PLAZO Días]],0)</f>
        <v>-26</v>
      </c>
      <c r="U1254" s="97">
        <f>+VLOOKUP(PROVEEDORES[[#This Row],[PROVEEDOR]],Terceros!$A:$D,4,FALSE)</f>
        <v>0</v>
      </c>
      <c r="V1254" s="98">
        <f>+YEAR(PROVEEDORES[[#This Row],[FECHA DE FACTURACIÓN]])</f>
        <v>2024</v>
      </c>
      <c r="W1254" s="98">
        <f>+MATCH(PROVEEDORES[[#This Row],[año facturado]],Retenciones!$1:$1,0)</f>
        <v>7</v>
      </c>
      <c r="X1254" s="99">
        <f>+VLOOKUP(PROVEEDORES[[#This Row],[ID RETENCION]],Retenciones!$A$1:$O$25,PROVEEDORES[[#This Row],[indicador de columna]],FALSE)</f>
        <v>0</v>
      </c>
      <c r="Y1254" s="100">
        <f>+VLOOKUP(PROVEEDORES[[#This Row],[ID RETENCION]],Retenciones!$A$1:$O$25,2,FALSE)</f>
        <v>0</v>
      </c>
      <c r="Z1254" s="103" t="b">
        <f>OR(COUNTIF(PROVEEDORES[[#This Row],[PROVEEDOR]],"*"&amp;'Palabra no opera'!$A$2&amp;"*"))</f>
        <v>0</v>
      </c>
    </row>
    <row r="1255" spans="1:26" ht="22.35" customHeight="1" x14ac:dyDescent="0.25">
      <c r="A1255" s="317" t="str">
        <f>+IF(PROVEEDORES[[#This Row],[FECHA DE PAGO]]=PROVEEDORES[[#This Row],[FECHA DE FACTURACIÓN]],"DE CONTADO","CRÉDITO")</f>
        <v>CRÉDITO</v>
      </c>
      <c r="B1255" s="38" t="b">
        <f>+IF((PROVEEDORES[[#This Row],[FECHA DE PAGO]]-PROVEEDORES[[#This Row],[FECHA DE FACTURACIÓN]])&gt;PROVEEDORES[[#This Row],[PLAZO Días]],"PAGO VENCIDO")</f>
        <v>0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496505</v>
      </c>
      <c r="E1255" s="25"/>
      <c r="F1255" s="56">
        <f>+VLOOKUP(PROVEEDORES[[#This Row],[PROVEEDOR]],
                       Terceros!$A:$F,
                       5,
                       FALSE)</f>
        <v>0</v>
      </c>
      <c r="H1255" s="26" t="s">
        <v>1170</v>
      </c>
      <c r="I1255" s="289">
        <v>45324</v>
      </c>
      <c r="J1255" s="35" t="s">
        <v>1567</v>
      </c>
      <c r="K1255" s="21">
        <v>81507</v>
      </c>
      <c r="L1255" s="21"/>
      <c r="M1255" s="22">
        <f>(PROVEEDORES[[#This Row],[SUBTOTAL]]-PROVEEDORES[[#This Row],[descuento sobre subtotal]])*VLOOKUP(PROVEEDORES[[#This Row],[PROVEEDOR]],TERCEROS_INFO[#All],3,FALSE)</f>
        <v>0</v>
      </c>
      <c r="N1255" s="23"/>
      <c r="O1255" s="22">
        <f>+PROVEEDORES[[#This Row],[Descuento sobre subtotal %]]*(PROVEEDORES[[#This Row],[SUBTOTAL]]-PROVEEDORES[[#This Row],[descuento sobre subtotal]])</f>
        <v>0</v>
      </c>
      <c r="P1255" s="72">
        <f>+IF(PROVEEDORES[[#This Row],[SUBTOTAL]]&lt;PROVEEDORES[[#This Row],[base retencion]],0,PROVEEDORES[[#This Row],[retención aplicada]])</f>
        <v>0</v>
      </c>
      <c r="Q1255" s="22">
        <f>+PROVEEDORES[[#This Row],[Rete Fuente %]]*(PROVEEDORES[[#This Row],[SUBTOTAL]]-PROVEEDORES[[#This Row],[descuento sobre subtotal]])</f>
        <v>0</v>
      </c>
      <c r="R1255" s="21">
        <f>+PROVEEDORES[[#This Row],[SUBTOTAL]]+PROVEEDORES[[#This Row],[IVA 19%]]-PROVEEDORES[[#This Row],[descuento sobre subtotal]]-PROVEEDORES[[#This Row],[Descuento sobre subtotal $2]]-PROVEEDORES[[#This Row],[Rete Fuente $]]</f>
        <v>81507</v>
      </c>
      <c r="S1255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5" s="61">
        <f ca="1">IF(PROVEEDORES[[#This Row],[FECHA DE PAGO]]=0,TODAY()-PROVEEDORES[[#This Row],[FECHA DE FACTURACIÓN]]-PROVEEDORES[[#This Row],[PLAZO Días]],0)</f>
        <v>-26</v>
      </c>
      <c r="U1255" s="97">
        <f>+VLOOKUP(PROVEEDORES[[#This Row],[PROVEEDOR]],Terceros!$A:$D,4,FALSE)</f>
        <v>0</v>
      </c>
      <c r="V1255" s="98">
        <f>+YEAR(PROVEEDORES[[#This Row],[FECHA DE FACTURACIÓN]])</f>
        <v>2024</v>
      </c>
      <c r="W1255" s="98">
        <f>+MATCH(PROVEEDORES[[#This Row],[año facturado]],Retenciones!$1:$1,0)</f>
        <v>7</v>
      </c>
      <c r="X1255" s="99">
        <f>+VLOOKUP(PROVEEDORES[[#This Row],[ID RETENCION]],Retenciones!$A$1:$O$25,PROVEEDORES[[#This Row],[indicador de columna]],FALSE)</f>
        <v>0</v>
      </c>
      <c r="Y1255" s="100">
        <f>+VLOOKUP(PROVEEDORES[[#This Row],[ID RETENCION]],Retenciones!$A$1:$O$25,2,FALSE)</f>
        <v>0</v>
      </c>
      <c r="Z1255" s="103" t="b">
        <f>OR(COUNTIF(PROVEEDORES[[#This Row],[PROVEEDOR]],"*"&amp;'Palabra no opera'!$A$2&amp;"*"))</f>
        <v>0</v>
      </c>
    </row>
    <row r="1256" spans="1:26" ht="22.35" customHeight="1" x14ac:dyDescent="0.25">
      <c r="A1256" s="317" t="str">
        <f>+IF(PROVEEDORES[[#This Row],[FECHA DE PAGO]]=PROVEEDORES[[#This Row],[FECHA DE FACTURACIÓN]],"DE CONTADO","CRÉDITO")</f>
        <v>CRÉDITO</v>
      </c>
      <c r="B1256" s="38" t="b">
        <f>+IF((PROVEEDORES[[#This Row],[FECHA DE PAGO]]-PROVEEDORES[[#This Row],[FECHA DE FACTURACIÓN]])&gt;PROVEEDORES[[#This Row],[PLAZO Días]],"PAGO VENCIDO")</f>
        <v>0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496505</v>
      </c>
      <c r="E1256" s="25"/>
      <c r="F1256" s="56">
        <f>+VLOOKUP(PROVEEDORES[[#This Row],[PROVEEDOR]],
                       Terceros!$A:$F,
                       5,
                       FALSE)</f>
        <v>0</v>
      </c>
      <c r="H1256" s="26" t="s">
        <v>1170</v>
      </c>
      <c r="I1256" s="289">
        <v>45324</v>
      </c>
      <c r="J1256" s="35" t="s">
        <v>1567</v>
      </c>
      <c r="K1256" s="21">
        <v>70252</v>
      </c>
      <c r="L1256" s="21"/>
      <c r="M1256" s="22">
        <f>(PROVEEDORES[[#This Row],[SUBTOTAL]]-PROVEEDORES[[#This Row],[descuento sobre subtotal]])*VLOOKUP(PROVEEDORES[[#This Row],[PROVEEDOR]],TERCEROS_INFO[#All],3,FALSE)</f>
        <v>0</v>
      </c>
      <c r="N1256" s="23"/>
      <c r="O1256" s="22">
        <f>+PROVEEDORES[[#This Row],[Descuento sobre subtotal %]]*(PROVEEDORES[[#This Row],[SUBTOTAL]]-PROVEEDORES[[#This Row],[descuento sobre subtotal]])</f>
        <v>0</v>
      </c>
      <c r="P1256" s="72">
        <f>+IF(PROVEEDORES[[#This Row],[SUBTOTAL]]&lt;PROVEEDORES[[#This Row],[base retencion]],0,PROVEEDORES[[#This Row],[retención aplicada]])</f>
        <v>0</v>
      </c>
      <c r="Q1256" s="22">
        <f>+PROVEEDORES[[#This Row],[Rete Fuente %]]*(PROVEEDORES[[#This Row],[SUBTOTAL]]-PROVEEDORES[[#This Row],[descuento sobre subtotal]])</f>
        <v>0</v>
      </c>
      <c r="R1256" s="21">
        <f>+PROVEEDORES[[#This Row],[SUBTOTAL]]+PROVEEDORES[[#This Row],[IVA 19%]]-PROVEEDORES[[#This Row],[descuento sobre subtotal]]-PROVEEDORES[[#This Row],[Descuento sobre subtotal $2]]-PROVEEDORES[[#This Row],[Rete Fuente $]]</f>
        <v>70252</v>
      </c>
      <c r="S1256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6" s="61">
        <f ca="1">IF(PROVEEDORES[[#This Row],[FECHA DE PAGO]]=0,TODAY()-PROVEEDORES[[#This Row],[FECHA DE FACTURACIÓN]]-PROVEEDORES[[#This Row],[PLAZO Días]],0)</f>
        <v>-26</v>
      </c>
      <c r="U1256" s="97">
        <f>+VLOOKUP(PROVEEDORES[[#This Row],[PROVEEDOR]],Terceros!$A:$D,4,FALSE)</f>
        <v>0</v>
      </c>
      <c r="V1256" s="98">
        <f>+YEAR(PROVEEDORES[[#This Row],[FECHA DE FACTURACIÓN]])</f>
        <v>2024</v>
      </c>
      <c r="W1256" s="98">
        <f>+MATCH(PROVEEDORES[[#This Row],[año facturado]],Retenciones!$1:$1,0)</f>
        <v>7</v>
      </c>
      <c r="X1256" s="99">
        <f>+VLOOKUP(PROVEEDORES[[#This Row],[ID RETENCION]],Retenciones!$A$1:$O$25,PROVEEDORES[[#This Row],[indicador de columna]],FALSE)</f>
        <v>0</v>
      </c>
      <c r="Y1256" s="100">
        <f>+VLOOKUP(PROVEEDORES[[#This Row],[ID RETENCION]],Retenciones!$A$1:$O$25,2,FALSE)</f>
        <v>0</v>
      </c>
      <c r="Z1256" s="103" t="b">
        <f>OR(COUNTIF(PROVEEDORES[[#This Row],[PROVEEDOR]],"*"&amp;'Palabra no opera'!$A$2&amp;"*"))</f>
        <v>0</v>
      </c>
    </row>
    <row r="1257" spans="1:26" ht="22.35" customHeight="1" x14ac:dyDescent="0.25">
      <c r="A1257" s="317" t="str">
        <f>+IF(PROVEEDORES[[#This Row],[FECHA DE PAGO]]=PROVEEDORES[[#This Row],[FECHA DE FACTURACIÓN]],"DE CONTADO","CRÉDITO")</f>
        <v>CRÉDITO</v>
      </c>
      <c r="B1257" s="38" t="b">
        <f>+IF((PROVEEDORES[[#This Row],[FECHA DE PAGO]]-PROVEEDORES[[#This Row],[FECHA DE FACTURACIÓN]])&gt;PROVEEDORES[[#This Row],[PLAZO Días]],"PAGO VENCIDO")</f>
        <v>0</v>
      </c>
      <c r="C1257" s="20">
        <f>+VLOOKUP(PROVEEDORES[[#This Row],[PROVEEDOR]],TERCEROS_INFO[#All],2,FALSE)</f>
        <v>30</v>
      </c>
      <c r="D1257" s="25">
        <f>+SUMIFS(PROVEEDORES[Total],PROVEEDORES[PROVEEDOR],PROVEEDORES[[#This Row],[PROVEEDOR]],PROVEEDORES[FECHA DE PAGO],"")</f>
        <v>496505</v>
      </c>
      <c r="E1257" s="25"/>
      <c r="F1257" s="56">
        <f>+VLOOKUP(PROVEEDORES[[#This Row],[PROVEEDOR]],
                       Terceros!$A:$F,
                       5,
                       FALSE)</f>
        <v>0</v>
      </c>
      <c r="H1257" s="26" t="s">
        <v>1170</v>
      </c>
      <c r="I1257" s="289">
        <v>45324</v>
      </c>
      <c r="J1257" s="35" t="s">
        <v>1567</v>
      </c>
      <c r="K1257" s="21">
        <v>343916</v>
      </c>
      <c r="L1257" s="21"/>
      <c r="M1257" s="22">
        <f>(PROVEEDORES[[#This Row],[SUBTOTAL]]-PROVEEDORES[[#This Row],[descuento sobre subtotal]])*VLOOKUP(PROVEEDORES[[#This Row],[PROVEEDOR]],TERCEROS_INFO[#All],3,FALSE)</f>
        <v>0</v>
      </c>
      <c r="N1257" s="23"/>
      <c r="O1257" s="22">
        <f>+PROVEEDORES[[#This Row],[Descuento sobre subtotal %]]*(PROVEEDORES[[#This Row],[SUBTOTAL]]-PROVEEDORES[[#This Row],[descuento sobre subtotal]])</f>
        <v>0</v>
      </c>
      <c r="P1257" s="72">
        <f>+IF(PROVEEDORES[[#This Row],[SUBTOTAL]]&lt;PROVEEDORES[[#This Row],[base retencion]],0,PROVEEDORES[[#This Row],[retención aplicada]])</f>
        <v>0</v>
      </c>
      <c r="Q1257" s="22">
        <f>+PROVEEDORES[[#This Row],[Rete Fuente %]]*(PROVEEDORES[[#This Row],[SUBTOTAL]]-PROVEEDORES[[#This Row],[descuento sobre subtotal]])</f>
        <v>0</v>
      </c>
      <c r="R1257" s="21">
        <f>+PROVEEDORES[[#This Row],[SUBTOTAL]]+PROVEEDORES[[#This Row],[IVA 19%]]-PROVEEDORES[[#This Row],[descuento sobre subtotal]]-PROVEEDORES[[#This Row],[Descuento sobre subtotal $2]]-PROVEEDORES[[#This Row],[Rete Fuente $]]</f>
        <v>343916</v>
      </c>
      <c r="S1257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7" s="61">
        <f ca="1">IF(PROVEEDORES[[#This Row],[FECHA DE PAGO]]=0,TODAY()-PROVEEDORES[[#This Row],[FECHA DE FACTURACIÓN]]-PROVEEDORES[[#This Row],[PLAZO Días]],0)</f>
        <v>-26</v>
      </c>
      <c r="U1257" s="97">
        <f>+VLOOKUP(PROVEEDORES[[#This Row],[PROVEEDOR]],Terceros!$A:$D,4,FALSE)</f>
        <v>0</v>
      </c>
      <c r="V1257" s="98">
        <f>+YEAR(PROVEEDORES[[#This Row],[FECHA DE FACTURACIÓN]])</f>
        <v>2024</v>
      </c>
      <c r="W1257" s="98">
        <f>+MATCH(PROVEEDORES[[#This Row],[año facturado]],Retenciones!$1:$1,0)</f>
        <v>7</v>
      </c>
      <c r="X1257" s="99">
        <f>+VLOOKUP(PROVEEDORES[[#This Row],[ID RETENCION]],Retenciones!$A$1:$O$25,PROVEEDORES[[#This Row],[indicador de columna]],FALSE)</f>
        <v>0</v>
      </c>
      <c r="Y1257" s="100">
        <f>+VLOOKUP(PROVEEDORES[[#This Row],[ID RETENCION]],Retenciones!$A$1:$O$25,2,FALSE)</f>
        <v>0</v>
      </c>
      <c r="Z1257" s="103" t="b">
        <f>OR(COUNTIF(PROVEEDORES[[#This Row],[PROVEEDOR]],"*"&amp;'Palabra no opera'!$A$2&amp;"*"))</f>
        <v>0</v>
      </c>
    </row>
    <row r="1258" spans="1:26" ht="22.35" customHeight="1" x14ac:dyDescent="0.25">
      <c r="A1258" s="317" t="str">
        <f>+IF(PROVEEDORES[[#This Row],[FECHA DE PAGO]]=PROVEEDORES[[#This Row],[FECHA DE FACTURACIÓN]],"DE CONTADO","CRÉDITO")</f>
        <v>CRÉDITO</v>
      </c>
      <c r="B1258" s="38" t="b">
        <f>+IF((PROVEEDORES[[#This Row],[FECHA DE PAGO]]-PROVEEDORES[[#This Row],[FECHA DE FACTURACIÓN]])&gt;PROVEEDORES[[#This Row],[PLAZO Días]],"PAGO VENCIDO")</f>
        <v>0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1345520</v>
      </c>
      <c r="E1258" s="25"/>
      <c r="F1258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H1258" s="26" t="s">
        <v>268</v>
      </c>
      <c r="I1258" s="289">
        <v>45317</v>
      </c>
      <c r="J1258" s="35" t="s">
        <v>1568</v>
      </c>
      <c r="K1258" s="21">
        <v>1154000</v>
      </c>
      <c r="L1258" s="21"/>
      <c r="M1258" s="22">
        <f>(PROVEEDORES[[#This Row],[SUBTOTAL]]-PROVEEDORES[[#This Row],[descuento sobre subtotal]])*VLOOKUP(PROVEEDORES[[#This Row],[PROVEEDOR]],TERCEROS_INFO[#All],3,FALSE)</f>
        <v>0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72">
        <f>+IF(PROVEEDORES[[#This Row],[SUBTOTAL]]&lt;PROVEEDORES[[#This Row],[base retencion]],0,PROVEEDORES[[#This Row],[retención aplicada]])</f>
        <v>0</v>
      </c>
      <c r="Q1258" s="22">
        <f>+PROVEEDORES[[#This Row],[Rete Fuente %]]*(PROVEEDORES[[#This Row],[SUBTOTAL]]-PROVEEDORES[[#This Row],[descuento sobre subtotal]])</f>
        <v>0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1154000</v>
      </c>
      <c r="S1258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8" s="61">
        <f ca="1">IF(PROVEEDORES[[#This Row],[FECHA DE PAGO]]=0,TODAY()-PROVEEDORES[[#This Row],[FECHA DE FACTURACIÓN]]-PROVEEDORES[[#This Row],[PLAZO Días]],0)</f>
        <v>-19</v>
      </c>
      <c r="U1258" s="97">
        <f>+VLOOKUP(PROVEEDORES[[#This Row],[PROVEEDOR]],Terceros!$A:$D,4,FALSE)</f>
        <v>0</v>
      </c>
      <c r="V1258" s="98">
        <f>+YEAR(PROVEEDORES[[#This Row],[FECHA DE FACTURACIÓN]])</f>
        <v>2024</v>
      </c>
      <c r="W1258" s="98">
        <f>+MATCH(PROVEEDORES[[#This Row],[año facturado]],Retenciones!$1:$1,0)</f>
        <v>7</v>
      </c>
      <c r="X1258" s="99">
        <f>+VLOOKUP(PROVEEDORES[[#This Row],[ID RETENCION]],Retenciones!$A$1:$O$25,PROVEEDORES[[#This Row],[indicador de columna]],FALSE)</f>
        <v>0</v>
      </c>
      <c r="Y1258" s="100">
        <f>+VLOOKUP(PROVEEDORES[[#This Row],[ID RETENCION]],Retenciones!$A$1:$O$25,2,FALSE)</f>
        <v>0</v>
      </c>
      <c r="Z1258" s="103" t="b">
        <f>OR(COUNTIF(PROVEEDORES[[#This Row],[PROVEEDOR]],"*"&amp;'Palabra no opera'!$A$2&amp;"*"))</f>
        <v>0</v>
      </c>
    </row>
    <row r="1259" spans="1:26" ht="22.35" customHeight="1" x14ac:dyDescent="0.25">
      <c r="A1259" s="317" t="str">
        <f>+IF(PROVEEDORES[[#This Row],[FECHA DE PAGO]]=PROVEEDORES[[#This Row],[FECHA DE FACTURACIÓN]],"DE CONTADO","CRÉDITO")</f>
        <v>CRÉDITO</v>
      </c>
      <c r="B1259" s="38" t="b">
        <f>+IF((PROVEEDORES[[#This Row],[FECHA DE PAGO]]-PROVEEDORES[[#This Row],[FECHA DE FACTURACIÓN]])&gt;PROVEEDORES[[#This Row],[PLAZO Días]],"PAGO VENCIDO")</f>
        <v>0</v>
      </c>
      <c r="C1259" s="20">
        <f>+VLOOKUP(PROVEEDORES[[#This Row],[PROVEEDOR]],TERCEROS_INFO[#All],2,FALSE)</f>
        <v>30</v>
      </c>
      <c r="D1259" s="25">
        <f>+SUMIFS(PROVEEDORES[Total],PROVEEDORES[PROVEEDOR],PROVEEDORES[[#This Row],[PROVEEDOR]],PROVEEDORES[FECHA DE PAGO],"")</f>
        <v>1395870</v>
      </c>
      <c r="E1259" s="25"/>
      <c r="F1259" s="56" t="str">
        <f>+VLOOKUP(PROVEEDORES[[#This Row],[PROVEEDOR]],
                       Terceros!$A:$F,
                       5,
                       FALSE)</f>
        <v>lygonzalez@gmail.com;girlesa.ruiz@servipilas.com;joriescobar64@gmail.com</v>
      </c>
      <c r="H1259" s="26" t="s">
        <v>457</v>
      </c>
      <c r="I1259" s="289">
        <v>45312</v>
      </c>
      <c r="J1259" s="35" t="s">
        <v>1569</v>
      </c>
      <c r="K1259" s="21">
        <v>1173000</v>
      </c>
      <c r="L1259" s="21"/>
      <c r="M1259" s="22">
        <f>(PROVEEDORES[[#This Row],[SUBTOTAL]]-PROVEEDORES[[#This Row],[descuento sobre subtotal]])*VLOOKUP(PROVEEDORES[[#This Row],[PROVEEDOR]],TERCEROS_INFO[#All],3,FALSE)</f>
        <v>222870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72">
        <f>+IF(PROVEEDORES[[#This Row],[SUBTOTAL]]&lt;PROVEEDORES[[#This Row],[base retencion]],0,PROVEEDORES[[#This Row],[retención aplicada]])</f>
        <v>0</v>
      </c>
      <c r="Q1259" s="22">
        <f>+PROVEEDORES[[#This Row],[Rete Fuente %]]*(PROVEEDORES[[#This Row],[SUBTOTAL]]-PROVEEDORES[[#This Row],[descuento sobre subtotal]])</f>
        <v>0</v>
      </c>
      <c r="R1259" s="21">
        <f>+PROVEEDORES[[#This Row],[SUBTOTAL]]+PROVEEDORES[[#This Row],[IVA 19%]]-PROVEEDORES[[#This Row],[descuento sobre subtotal]]-PROVEEDORES[[#This Row],[Descuento sobre subtotal $2]]-PROVEEDORES[[#This Row],[Rete Fuente $]]</f>
        <v>1395870</v>
      </c>
      <c r="S1259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59" s="61">
        <f ca="1">IF(PROVEEDORES[[#This Row],[FECHA DE PAGO]]=0,TODAY()-PROVEEDORES[[#This Row],[FECHA DE FACTURACIÓN]]-PROVEEDORES[[#This Row],[PLAZO Días]],0)</f>
        <v>-14</v>
      </c>
      <c r="U1259" s="97" t="str">
        <f>+VLOOKUP(PROVEEDORES[[#This Row],[PROVEEDOR]],Terceros!$A:$D,4,FALSE)</f>
        <v>2,5% con base</v>
      </c>
      <c r="V1259" s="98">
        <f>+YEAR(PROVEEDORES[[#This Row],[FECHA DE FACTURACIÓN]])</f>
        <v>2024</v>
      </c>
      <c r="W1259" s="98">
        <f>+MATCH(PROVEEDORES[[#This Row],[año facturado]],Retenciones!$1:$1,0)</f>
        <v>7</v>
      </c>
      <c r="X1259" s="99">
        <f>+VLOOKUP(PROVEEDORES[[#This Row],[ID RETENCION]],Retenciones!$A$1:$O$25,PROVEEDORES[[#This Row],[indicador de columna]],FALSE)</f>
        <v>1271000</v>
      </c>
      <c r="Y1259" s="100">
        <f>+VLOOKUP(PROVEEDORES[[#This Row],[ID RETENCION]],Retenciones!$A$1:$O$25,2,FALSE)</f>
        <v>2.5000000000000001E-2</v>
      </c>
      <c r="Z1259" s="103" t="b">
        <f>OR(COUNTIF(PROVEEDORES[[#This Row],[PROVEEDOR]],"*"&amp;'Palabra no opera'!$A$2&amp;"*"))</f>
        <v>0</v>
      </c>
    </row>
    <row r="1260" spans="1:26" ht="22.35" customHeight="1" x14ac:dyDescent="0.25">
      <c r="A1260" s="317" t="str">
        <f>+IF(PROVEEDORES[[#This Row],[FECHA DE PAGO]]=PROVEEDORES[[#This Row],[FECHA DE FACTURACIÓN]],"DE CONTADO","CRÉDITO")</f>
        <v>CRÉDITO</v>
      </c>
      <c r="B1260" s="38" t="b">
        <f>+IF((PROVEEDORES[[#This Row],[FECHA DE PAGO]]-PROVEEDORES[[#This Row],[FECHA DE FACTURACIÓN]])&gt;PROVEEDORES[[#This Row],[PLAZO Días]],"PAGO VENCIDO")</f>
        <v>0</v>
      </c>
      <c r="C1260" s="20">
        <f>+VLOOKUP(PROVEEDORES[[#This Row],[PROVEEDOR]],TERCEROS_INFO[#All],2,FALSE)</f>
        <v>30</v>
      </c>
      <c r="D1260" s="25">
        <f>+SUMIFS(PROVEEDORES[Total],PROVEEDORES[PROVEEDOR],PROVEEDORES[[#This Row],[PROVEEDOR]],PROVEEDORES[FECHA DE PAGO],"")</f>
        <v>2169355.9580000001</v>
      </c>
      <c r="E1260" s="25"/>
      <c r="F1260" s="56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1260" s="26" t="s">
        <v>18</v>
      </c>
      <c r="I1260" s="289">
        <v>45321</v>
      </c>
      <c r="J1260" s="35" t="s">
        <v>1570</v>
      </c>
      <c r="K1260" s="21">
        <v>1194685.2</v>
      </c>
      <c r="L1260" s="21"/>
      <c r="M1260" s="22">
        <f>(PROVEEDORES[[#This Row],[SUBTOTAL]]-PROVEEDORES[[#This Row],[descuento sobre subtotal]])*VLOOKUP(PROVEEDORES[[#This Row],[PROVEEDOR]],TERCEROS_INFO[#All],3,FALSE)</f>
        <v>226990.18799999999</v>
      </c>
      <c r="N1260" s="23"/>
      <c r="O1260" s="22">
        <f>+PROVEEDORES[[#This Row],[Descuento sobre subtotal %]]*(PROVEEDORES[[#This Row],[SUBTOTAL]]-PROVEEDORES[[#This Row],[descuento sobre subtotal]])</f>
        <v>0</v>
      </c>
      <c r="P1260" s="72">
        <f>+IF(PROVEEDORES[[#This Row],[SUBTOTAL]]&lt;PROVEEDORES[[#This Row],[base retencion]],0,PROVEEDORES[[#This Row],[retención aplicada]])</f>
        <v>0</v>
      </c>
      <c r="Q1260" s="22">
        <f>+PROVEEDORES[[#This Row],[Rete Fuente %]]*(PROVEEDORES[[#This Row],[SUBTOTAL]]-PROVEEDORES[[#This Row],[descuento sobre subtotal]])</f>
        <v>0</v>
      </c>
      <c r="R1260" s="21">
        <f>+PROVEEDORES[[#This Row],[SUBTOTAL]]+PROVEEDORES[[#This Row],[IVA 19%]]-PROVEEDORES[[#This Row],[descuento sobre subtotal]]-PROVEEDORES[[#This Row],[Descuento sobre subtotal $2]]-PROVEEDORES[[#This Row],[Rete Fuente $]]</f>
        <v>1421675.388</v>
      </c>
      <c r="S1260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0" s="61">
        <f ca="1">IF(PROVEEDORES[[#This Row],[FECHA DE PAGO]]=0,TODAY()-PROVEEDORES[[#This Row],[FECHA DE FACTURACIÓN]]-PROVEEDORES[[#This Row],[PLAZO Días]],0)</f>
        <v>-23</v>
      </c>
      <c r="U1260" s="97" t="str">
        <f>+VLOOKUP(PROVEEDORES[[#This Row],[PROVEEDOR]],Terceros!$A:$D,4,FALSE)</f>
        <v>2,5% con base</v>
      </c>
      <c r="V1260" s="98">
        <f>+YEAR(PROVEEDORES[[#This Row],[FECHA DE FACTURACIÓN]])</f>
        <v>2024</v>
      </c>
      <c r="W1260" s="98">
        <f>+MATCH(PROVEEDORES[[#This Row],[año facturado]],Retenciones!$1:$1,0)</f>
        <v>7</v>
      </c>
      <c r="X1260" s="99">
        <f>+VLOOKUP(PROVEEDORES[[#This Row],[ID RETENCION]],Retenciones!$A$1:$O$25,PROVEEDORES[[#This Row],[indicador de columna]],FALSE)</f>
        <v>1271000</v>
      </c>
      <c r="Y1260" s="100">
        <f>+VLOOKUP(PROVEEDORES[[#This Row],[ID RETENCION]],Retenciones!$A$1:$O$25,2,FALSE)</f>
        <v>2.5000000000000001E-2</v>
      </c>
      <c r="Z1260" s="103" t="b">
        <f>OR(COUNTIF(PROVEEDORES[[#This Row],[PROVEEDOR]],"*"&amp;'Palabra no opera'!$A$2&amp;"*"))</f>
        <v>0</v>
      </c>
    </row>
    <row r="1261" spans="1:26" ht="22.35" customHeight="1" x14ac:dyDescent="0.25">
      <c r="A1261" s="317" t="str">
        <f>+IF(PROVEEDORES[[#This Row],[FECHA DE PAGO]]=PROVEEDORES[[#This Row],[FECHA DE FACTURACIÓN]],"DE CONTADO","CRÉDITO")</f>
        <v>CRÉDITO</v>
      </c>
      <c r="B1261" s="38" t="b">
        <f>+IF((PROVEEDORES[[#This Row],[FECHA DE PAGO]]-PROVEEDORES[[#This Row],[FECHA DE FACTURACIÓN]])&gt;PROVEEDORES[[#This Row],[PLAZO Días]],"PAGO VENCIDO")</f>
        <v>0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12328400</v>
      </c>
      <c r="E1261" s="25"/>
      <c r="F1261" s="56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H1261" s="26" t="s">
        <v>485</v>
      </c>
      <c r="I1261" s="289">
        <v>45322</v>
      </c>
      <c r="J1261" s="35" t="s">
        <v>1571</v>
      </c>
      <c r="K1261" s="21">
        <v>5400000</v>
      </c>
      <c r="L1261" s="21"/>
      <c r="M1261" s="22">
        <f>(PROVEEDORES[[#This Row],[SUBTOTAL]]-PROVEEDORES[[#This Row],[descuento sobre subtotal]])*VLOOKUP(PROVEEDORES[[#This Row],[PROVEEDOR]],TERCEROS_INFO[#All],3,FALSE)</f>
        <v>1026000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72">
        <f>+IF(PROVEEDORES[[#This Row],[SUBTOTAL]]&lt;PROVEEDORES[[#This Row],[base retencion]],0,PROVEEDORES[[#This Row],[retención aplicada]])</f>
        <v>0</v>
      </c>
      <c r="Q1261" s="22">
        <f>+PROVEEDORES[[#This Row],[Rete Fuente %]]*(PROVEEDORES[[#This Row],[SUBTOTAL]]-PROVEEDORES[[#This Row],[descuento sobre subtotal]])</f>
        <v>0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1261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1" s="61">
        <f ca="1">IF(PROVEEDORES[[#This Row],[FECHA DE PAGO]]=0,TODAY()-PROVEEDORES[[#This Row],[FECHA DE FACTURACIÓN]]-PROVEEDORES[[#This Row],[PLAZO Días]],0)</f>
        <v>-24</v>
      </c>
      <c r="U1261" s="97">
        <f>+VLOOKUP(PROVEEDORES[[#This Row],[PROVEEDOR]],Terceros!$A:$D,4,FALSE)</f>
        <v>0</v>
      </c>
      <c r="V1261" s="98">
        <f>+YEAR(PROVEEDORES[[#This Row],[FECHA DE FACTURACIÓN]])</f>
        <v>2024</v>
      </c>
      <c r="W1261" s="98">
        <f>+MATCH(PROVEEDORES[[#This Row],[año facturado]],Retenciones!$1:$1,0)</f>
        <v>7</v>
      </c>
      <c r="X1261" s="99">
        <f>+VLOOKUP(PROVEEDORES[[#This Row],[ID RETENCION]],Retenciones!$A$1:$O$25,PROVEEDORES[[#This Row],[indicador de columna]],FALSE)</f>
        <v>0</v>
      </c>
      <c r="Y1261" s="100">
        <f>+VLOOKUP(PROVEEDORES[[#This Row],[ID RETENCION]],Retenciones!$A$1:$O$25,2,FALSE)</f>
        <v>0</v>
      </c>
      <c r="Z1261" s="103" t="b">
        <f>OR(COUNTIF(PROVEEDORES[[#This Row],[PROVEEDOR]],"*"&amp;'Palabra no opera'!$A$2&amp;"*"))</f>
        <v>0</v>
      </c>
    </row>
    <row r="1262" spans="1:26" ht="22.35" customHeight="1" x14ac:dyDescent="0.25">
      <c r="A1262" s="317" t="str">
        <f>+IF(PROVEEDORES[[#This Row],[FECHA DE PAGO]]=PROVEEDORES[[#This Row],[FECHA DE FACTURACIÓN]],"DE CONTADO","CRÉDITO")</f>
        <v>CRÉDITO</v>
      </c>
      <c r="B1262" s="38" t="b">
        <f>+IF((PROVEEDORES[[#This Row],[FECHA DE PAGO]]-PROVEEDORES[[#This Row],[FECHA DE FACTURACIÓN]])&gt;PROVEEDORES[[#This Row],[PLAZO Días]],"PAGO VENCIDO")</f>
        <v>0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1345520</v>
      </c>
      <c r="E1262" s="25"/>
      <c r="F1262" s="56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H1262" s="26" t="s">
        <v>268</v>
      </c>
      <c r="I1262" s="289">
        <v>45322</v>
      </c>
      <c r="J1262" s="35" t="s">
        <v>1572</v>
      </c>
      <c r="K1262" s="21">
        <v>191520</v>
      </c>
      <c r="L1262" s="21"/>
      <c r="M1262" s="22">
        <f>(PROVEEDORES[[#This Row],[SUBTOTAL]]-PROVEEDORES[[#This Row],[descuento sobre subtotal]])*VLOOKUP(PROVEEDORES[[#This Row],[PROVEEDOR]],TERCEROS_INFO[#All],3,FALSE)</f>
        <v>0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72">
        <f>+IF(PROVEEDORES[[#This Row],[SUBTOTAL]]&lt;PROVEEDORES[[#This Row],[base retencion]],0,PROVEEDORES[[#This Row],[retención aplicada]])</f>
        <v>0</v>
      </c>
      <c r="Q1262" s="22">
        <f>+PROVEEDORES[[#This Row],[Rete Fuente %]]*(PROVEEDORES[[#This Row],[SUBTOTAL]]-PROVEEDORES[[#This Row],[descuento sobre subtotal]])</f>
        <v>0</v>
      </c>
      <c r="R1262" s="21">
        <f>+PROVEEDORES[[#This Row],[SUBTOTAL]]+PROVEEDORES[[#This Row],[IVA 19%]]-PROVEEDORES[[#This Row],[descuento sobre subtotal]]-PROVEEDORES[[#This Row],[Descuento sobre subtotal $2]]-PROVEEDORES[[#This Row],[Rete Fuente $]]</f>
        <v>191520</v>
      </c>
      <c r="S1262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2" s="61">
        <f ca="1">IF(PROVEEDORES[[#This Row],[FECHA DE PAGO]]=0,TODAY()-PROVEEDORES[[#This Row],[FECHA DE FACTURACIÓN]]-PROVEEDORES[[#This Row],[PLAZO Días]],0)</f>
        <v>-24</v>
      </c>
      <c r="U1262" s="97">
        <f>+VLOOKUP(PROVEEDORES[[#This Row],[PROVEEDOR]],Terceros!$A:$D,4,FALSE)</f>
        <v>0</v>
      </c>
      <c r="V1262" s="98">
        <f>+YEAR(PROVEEDORES[[#This Row],[FECHA DE FACTURACIÓN]])</f>
        <v>2024</v>
      </c>
      <c r="W1262" s="98">
        <f>+MATCH(PROVEEDORES[[#This Row],[año facturado]],Retenciones!$1:$1,0)</f>
        <v>7</v>
      </c>
      <c r="X1262" s="99">
        <f>+VLOOKUP(PROVEEDORES[[#This Row],[ID RETENCION]],Retenciones!$A$1:$O$25,PROVEEDORES[[#This Row],[indicador de columna]],FALSE)</f>
        <v>0</v>
      </c>
      <c r="Y1262" s="100">
        <f>+VLOOKUP(PROVEEDORES[[#This Row],[ID RETENCION]],Retenciones!$A$1:$O$25,2,FALSE)</f>
        <v>0</v>
      </c>
      <c r="Z1262" s="103" t="b">
        <f>OR(COUNTIF(PROVEEDORES[[#This Row],[PROVEEDOR]],"*"&amp;'Palabra no opera'!$A$2&amp;"*"))</f>
        <v>0</v>
      </c>
    </row>
    <row r="1263" spans="1:26" ht="22.35" customHeight="1" x14ac:dyDescent="0.25">
      <c r="A1263" s="317" t="str">
        <f>+IF(PROVEEDORES[[#This Row],[FECHA DE PAGO]]=PROVEEDORES[[#This Row],[FECHA DE FACTURACIÓN]],"DE CONTADO","CRÉDITO")</f>
        <v>CRÉDITO</v>
      </c>
      <c r="B1263" s="38" t="b">
        <f>+IF((PROVEEDORES[[#This Row],[FECHA DE PAGO]]-PROVEEDORES[[#This Row],[FECHA DE FACTURACIÓN]])&gt;PROVEEDORES[[#This Row],[PLAZO Días]],"PAGO VENCIDO")</f>
        <v>0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406756</v>
      </c>
      <c r="E1263" s="25"/>
      <c r="F1263" s="56" t="str">
        <f>+VLOOKUP(PROVEEDORES[[#This Row],[PROVEEDOR]],
                       Terceros!$A:$F,
                       5,
                       FALSE)</f>
        <v/>
      </c>
      <c r="H1263" s="26" t="s">
        <v>568</v>
      </c>
      <c r="I1263" s="289">
        <v>45318</v>
      </c>
      <c r="J1263" s="35" t="s">
        <v>1573</v>
      </c>
      <c r="K1263" s="21">
        <v>137256</v>
      </c>
      <c r="L1263" s="21"/>
      <c r="M1263" s="22">
        <f>(PROVEEDORES[[#This Row],[SUBTOTAL]]-PROVEEDORES[[#This Row],[descuento sobre subtotal]])*VLOOKUP(PROVEEDORES[[#This Row],[PROVEEDOR]],TERCEROS_INFO[#All],3,FALSE)</f>
        <v>0</v>
      </c>
      <c r="N1263" s="23"/>
      <c r="O1263" s="22">
        <f>+PROVEEDORES[[#This Row],[Descuento sobre subtotal %]]*(PROVEEDORES[[#This Row],[SUBTOTAL]]-PROVEEDORES[[#This Row],[descuento sobre subtotal]])</f>
        <v>0</v>
      </c>
      <c r="P1263" s="72">
        <f>+IF(PROVEEDORES[[#This Row],[SUBTOTAL]]&lt;PROVEEDORES[[#This Row],[base retencion]],0,PROVEEDORES[[#This Row],[retención aplicada]])</f>
        <v>0</v>
      </c>
      <c r="Q1263" s="22">
        <f>+PROVEEDORES[[#This Row],[Rete Fuente %]]*(PROVEEDORES[[#This Row],[SUBTOTAL]]-PROVEEDORES[[#This Row],[descuento sobre subtotal]])</f>
        <v>0</v>
      </c>
      <c r="R1263" s="21">
        <f>+PROVEEDORES[[#This Row],[SUBTOTAL]]+PROVEEDORES[[#This Row],[IVA 19%]]-PROVEEDORES[[#This Row],[descuento sobre subtotal]]-PROVEEDORES[[#This Row],[Descuento sobre subtotal $2]]-PROVEEDORES[[#This Row],[Rete Fuente $]]</f>
        <v>137256</v>
      </c>
      <c r="S1263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3" s="61">
        <f ca="1">IF(PROVEEDORES[[#This Row],[FECHA DE PAGO]]=0,TODAY()-PROVEEDORES[[#This Row],[FECHA DE FACTURACIÓN]]-PROVEEDORES[[#This Row],[PLAZO Días]],0)</f>
        <v>-20</v>
      </c>
      <c r="U1263" s="97">
        <f>+VLOOKUP(PROVEEDORES[[#This Row],[PROVEEDOR]],Terceros!$A:$D,4,FALSE)</f>
        <v>0</v>
      </c>
      <c r="V1263" s="98">
        <f>+YEAR(PROVEEDORES[[#This Row],[FECHA DE FACTURACIÓN]])</f>
        <v>2024</v>
      </c>
      <c r="W1263" s="98">
        <f>+MATCH(PROVEEDORES[[#This Row],[año facturado]],Retenciones!$1:$1,0)</f>
        <v>7</v>
      </c>
      <c r="X1263" s="99">
        <f>+VLOOKUP(PROVEEDORES[[#This Row],[ID RETENCION]],Retenciones!$A$1:$O$25,PROVEEDORES[[#This Row],[indicador de columna]],FALSE)</f>
        <v>0</v>
      </c>
      <c r="Y1263" s="100">
        <f>+VLOOKUP(PROVEEDORES[[#This Row],[ID RETENCION]],Retenciones!$A$1:$O$25,2,FALSE)</f>
        <v>0</v>
      </c>
      <c r="Z1263" s="103" t="b">
        <f>OR(COUNTIF(PROVEEDORES[[#This Row],[PROVEEDOR]],"*"&amp;'Palabra no opera'!$A$2&amp;"*"))</f>
        <v>0</v>
      </c>
    </row>
    <row r="1264" spans="1:26" ht="22.35" customHeight="1" x14ac:dyDescent="0.25">
      <c r="A1264" s="317" t="str">
        <f>+IF(PROVEEDORES[[#This Row],[FECHA DE PAGO]]=PROVEEDORES[[#This Row],[FECHA DE FACTURACIÓN]],"DE CONTADO","CRÉDITO")</f>
        <v>CRÉDITO</v>
      </c>
      <c r="B1264" s="38" t="b">
        <f>+IF((PROVEEDORES[[#This Row],[FECHA DE PAGO]]-PROVEEDORES[[#This Row],[FECHA DE FACTURACIÓN]])&gt;PROVEEDORES[[#This Row],[PLAZO Días]],"PAGO VENCIDO")</f>
        <v>0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840000</v>
      </c>
      <c r="E1264" s="25"/>
      <c r="F1264" s="56">
        <f>+VLOOKUP(PROVEEDORES[[#This Row],[PROVEEDOR]],
                       Terceros!$A:$F,
                       5,
                       FALSE)</f>
        <v>0</v>
      </c>
      <c r="H1264" s="26" t="s">
        <v>318</v>
      </c>
      <c r="I1264" s="289">
        <v>45320</v>
      </c>
      <c r="J1264" s="35" t="s">
        <v>1574</v>
      </c>
      <c r="K1264" s="21">
        <v>840000</v>
      </c>
      <c r="L1264" s="21"/>
      <c r="M1264" s="22">
        <f>(PROVEEDORES[[#This Row],[SUBTOTAL]]-PROVEEDORES[[#This Row],[descuento sobre subtotal]])*VLOOKUP(PROVEEDORES[[#This Row],[PROVEEDOR]],TERCEROS_INFO[#All],3,FALSE)</f>
        <v>0</v>
      </c>
      <c r="N1264" s="23"/>
      <c r="O1264" s="22">
        <f>+PROVEEDORES[[#This Row],[Descuento sobre subtotal %]]*(PROVEEDORES[[#This Row],[SUBTOTAL]]-PROVEEDORES[[#This Row],[descuento sobre subtotal]])</f>
        <v>0</v>
      </c>
      <c r="P1264" s="72">
        <f>+IF(PROVEEDORES[[#This Row],[SUBTOTAL]]&lt;PROVEEDORES[[#This Row],[base retencion]],0,PROVEEDORES[[#This Row],[retención aplicada]])</f>
        <v>0</v>
      </c>
      <c r="Q1264" s="22">
        <f>+PROVEEDORES[[#This Row],[Rete Fuente %]]*(PROVEEDORES[[#This Row],[SUBTOTAL]]-PROVEEDORES[[#This Row],[descuento sobre subtotal]])</f>
        <v>0</v>
      </c>
      <c r="R1264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1264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4" s="61">
        <f ca="1">IF(PROVEEDORES[[#This Row],[FECHA DE PAGO]]=0,TODAY()-PROVEEDORES[[#This Row],[FECHA DE FACTURACIÓN]]-PROVEEDORES[[#This Row],[PLAZO Días]],0)</f>
        <v>-22</v>
      </c>
      <c r="U1264" s="97">
        <f>+VLOOKUP(PROVEEDORES[[#This Row],[PROVEEDOR]],Terceros!$A:$D,4,FALSE)</f>
        <v>0</v>
      </c>
      <c r="V1264" s="98">
        <f>+YEAR(PROVEEDORES[[#This Row],[FECHA DE FACTURACIÓN]])</f>
        <v>2024</v>
      </c>
      <c r="W1264" s="98">
        <f>+MATCH(PROVEEDORES[[#This Row],[año facturado]],Retenciones!$1:$1,0)</f>
        <v>7</v>
      </c>
      <c r="X1264" s="99">
        <f>+VLOOKUP(PROVEEDORES[[#This Row],[ID RETENCION]],Retenciones!$A$1:$O$25,PROVEEDORES[[#This Row],[indicador de columna]],FALSE)</f>
        <v>0</v>
      </c>
      <c r="Y1264" s="100">
        <f>+VLOOKUP(PROVEEDORES[[#This Row],[ID RETENCION]],Retenciones!$A$1:$O$25,2,FALSE)</f>
        <v>0</v>
      </c>
      <c r="Z1264" s="103" t="b">
        <f>OR(COUNTIF(PROVEEDORES[[#This Row],[PROVEEDOR]],"*"&amp;'Palabra no opera'!$A$2&amp;"*"))</f>
        <v>0</v>
      </c>
    </row>
    <row r="1265" spans="1:26" ht="22.35" customHeight="1" x14ac:dyDescent="0.25">
      <c r="A1265" s="317" t="str">
        <f>+IF(PROVEEDORES[[#This Row],[FECHA DE PAGO]]=PROVEEDORES[[#This Row],[FECHA DE FACTURACIÓN]],"DE CONTADO","CRÉDITO")</f>
        <v>CRÉDITO</v>
      </c>
      <c r="B1265" s="38" t="b">
        <f>+IF((PROVEEDORES[[#This Row],[FECHA DE PAGO]]-PROVEEDORES[[#This Row],[FECHA DE FACTURACIÓN]])&gt;PROVEEDORES[[#This Row],[PLAZO Días]],"PAGO VENCIDO")</f>
        <v>0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351000</v>
      </c>
      <c r="E1265" s="25"/>
      <c r="F1265" s="56">
        <f>+VLOOKUP(PROVEEDORES[[#This Row],[PROVEEDOR]],
                       Terceros!$A:$F,
                       5,
                       FALSE)</f>
        <v>0</v>
      </c>
      <c r="H1265" s="26" t="s">
        <v>533</v>
      </c>
      <c r="I1265" s="289">
        <v>45317</v>
      </c>
      <c r="J1265" s="35">
        <v>617</v>
      </c>
      <c r="K1265" s="21">
        <v>351000</v>
      </c>
      <c r="L1265" s="21"/>
      <c r="M1265" s="22">
        <f>(PROVEEDORES[[#This Row],[SUBTOTAL]]-PROVEEDORES[[#This Row],[descuento sobre subtotal]])*VLOOKUP(PROVEEDORES[[#This Row],[PROVEEDOR]],TERCEROS_INFO[#All],3,FALSE)</f>
        <v>0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72">
        <f>+IF(PROVEEDORES[[#This Row],[SUBTOTAL]]&lt;PROVEEDORES[[#This Row],[base retencion]],0,PROVEEDORES[[#This Row],[retención aplicada]])</f>
        <v>0</v>
      </c>
      <c r="Q1265" s="22">
        <f>+PROVEEDORES[[#This Row],[Rete Fuente %]]*(PROVEEDORES[[#This Row],[SUBTOTAL]]-PROVEEDORES[[#This Row],[descuento sobre subtotal]])</f>
        <v>0</v>
      </c>
      <c r="R1265" s="21">
        <f>+PROVEEDORES[[#This Row],[SUBTOTAL]]+PROVEEDORES[[#This Row],[IVA 19%]]-PROVEEDORES[[#This Row],[descuento sobre subtotal]]-PROVEEDORES[[#This Row],[Descuento sobre subtotal $2]]-PROVEEDORES[[#This Row],[Rete Fuente $]]</f>
        <v>351000</v>
      </c>
      <c r="S1265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5" s="61">
        <f ca="1">IF(PROVEEDORES[[#This Row],[FECHA DE PAGO]]=0,TODAY()-PROVEEDORES[[#This Row],[FECHA DE FACTURACIÓN]]-PROVEEDORES[[#This Row],[PLAZO Días]],0)</f>
        <v>-19</v>
      </c>
      <c r="U1265" s="97">
        <f>+VLOOKUP(PROVEEDORES[[#This Row],[PROVEEDOR]],Terceros!$A:$D,4,FALSE)</f>
        <v>0</v>
      </c>
      <c r="V1265" s="98">
        <f>+YEAR(PROVEEDORES[[#This Row],[FECHA DE FACTURACIÓN]])</f>
        <v>2024</v>
      </c>
      <c r="W1265" s="98">
        <f>+MATCH(PROVEEDORES[[#This Row],[año facturado]],Retenciones!$1:$1,0)</f>
        <v>7</v>
      </c>
      <c r="X1265" s="99">
        <f>+VLOOKUP(PROVEEDORES[[#This Row],[ID RETENCION]],Retenciones!$A$1:$O$25,PROVEEDORES[[#This Row],[indicador de columna]],FALSE)</f>
        <v>0</v>
      </c>
      <c r="Y1265" s="100">
        <f>+VLOOKUP(PROVEEDORES[[#This Row],[ID RETENCION]],Retenciones!$A$1:$O$25,2,FALSE)</f>
        <v>0</v>
      </c>
      <c r="Z1265" s="103" t="b">
        <f>OR(COUNTIF(PROVEEDORES[[#This Row],[PROVEEDOR]],"*"&amp;'Palabra no opera'!$A$2&amp;"*"))</f>
        <v>0</v>
      </c>
    </row>
    <row r="1266" spans="1:26" ht="22.35" customHeight="1" x14ac:dyDescent="0.25">
      <c r="A1266" s="317" t="str">
        <f>+IF(PROVEEDORES[[#This Row],[FECHA DE PAGO]]=PROVEEDORES[[#This Row],[FECHA DE FACTURACIÓN]],"DE CONTADO","CRÉDITO")</f>
        <v>DE CONTADO</v>
      </c>
      <c r="B1266" s="38" t="b">
        <f>+IF((PROVEEDORES[[#This Row],[FECHA DE PAGO]]-PROVEEDORES[[#This Row],[FECHA DE FACTURACIÓN]])&gt;PROVEEDORES[[#This Row],[PLAZO Días]],"PAGO VENCIDO")</f>
        <v>0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0</v>
      </c>
      <c r="E1266" s="25"/>
      <c r="F1266" s="56">
        <f>+VLOOKUP(PROVEEDORES[[#This Row],[PROVEEDOR]],
                       Terceros!$A:$F,
                       5,
                       FALSE)</f>
        <v>0</v>
      </c>
      <c r="G1266" s="289">
        <v>45324</v>
      </c>
      <c r="H1266" s="26" t="s">
        <v>234</v>
      </c>
      <c r="I1266" s="289">
        <v>45324</v>
      </c>
      <c r="J1266" s="35" t="s">
        <v>1575</v>
      </c>
      <c r="K1266" s="21">
        <v>1050000</v>
      </c>
      <c r="L1266" s="21"/>
      <c r="M1266" s="22">
        <f>(PROVEEDORES[[#This Row],[SUBTOTAL]]-PROVEEDORES[[#This Row],[descuento sobre subtotal]])*VLOOKUP(PROVEEDORES[[#This Row],[PROVEEDOR]],TERCEROS_INFO[#All],3,FALSE)</f>
        <v>199500</v>
      </c>
      <c r="N1266" s="23"/>
      <c r="O1266" s="22">
        <f>+PROVEEDORES[[#This Row],[Descuento sobre subtotal %]]*(PROVEEDORES[[#This Row],[SUBTOTAL]]-PROVEEDORES[[#This Row],[descuento sobre subtotal]])</f>
        <v>0</v>
      </c>
      <c r="P1266" s="72">
        <f>+IF(PROVEEDORES[[#This Row],[SUBTOTAL]]&lt;PROVEEDORES[[#This Row],[base retencion]],0,PROVEEDORES[[#This Row],[retención aplicada]])</f>
        <v>0</v>
      </c>
      <c r="Q1266" s="22">
        <f>+PROVEEDORES[[#This Row],[Rete Fuente %]]*(PROVEEDORES[[#This Row],[SUBTOTAL]]-PROVEEDORES[[#This Row],[descuento sobre subtotal]])</f>
        <v>0</v>
      </c>
      <c r="R1266" s="21">
        <f>+PROVEEDORES[[#This Row],[SUBTOTAL]]+PROVEEDORES[[#This Row],[IVA 19%]]-PROVEEDORES[[#This Row],[descuento sobre subtotal]]-PROVEEDORES[[#This Row],[Descuento sobre subtotal $2]]-PROVEEDORES[[#This Row],[Rete Fuente $]]</f>
        <v>1249500</v>
      </c>
      <c r="S1266" s="3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61">
        <f ca="1">IF(PROVEEDORES[[#This Row],[FECHA DE PAGO]]=0,TODAY()-PROVEEDORES[[#This Row],[FECHA DE FACTURACIÓN]]-PROVEEDORES[[#This Row],[PLAZO Días]],0)</f>
        <v>0</v>
      </c>
      <c r="U1266" s="97" t="str">
        <f>+VLOOKUP(PROVEEDORES[[#This Row],[PROVEEDOR]],Terceros!$A:$D,4,FALSE)</f>
        <v>2,5% con base</v>
      </c>
      <c r="V1266" s="98">
        <f>+YEAR(PROVEEDORES[[#This Row],[FECHA DE FACTURACIÓN]])</f>
        <v>2024</v>
      </c>
      <c r="W1266" s="98">
        <f>+MATCH(PROVEEDORES[[#This Row],[año facturado]],Retenciones!$1:$1,0)</f>
        <v>7</v>
      </c>
      <c r="X1266" s="99">
        <f>+VLOOKUP(PROVEEDORES[[#This Row],[ID RETENCION]],Retenciones!$A$1:$O$25,PROVEEDORES[[#This Row],[indicador de columna]],FALSE)</f>
        <v>1271000</v>
      </c>
      <c r="Y1266" s="100">
        <f>+VLOOKUP(PROVEEDORES[[#This Row],[ID RETENCION]],Retenciones!$A$1:$O$25,2,FALSE)</f>
        <v>2.5000000000000001E-2</v>
      </c>
      <c r="Z1266" s="103" t="b">
        <f>OR(COUNTIF(PROVEEDORES[[#This Row],[PROVEEDOR]],"*"&amp;'Palabra no opera'!$A$2&amp;"*"))</f>
        <v>0</v>
      </c>
    </row>
    <row r="1267" spans="1:26" ht="22.35" customHeight="1" x14ac:dyDescent="0.25">
      <c r="A1267" s="317" t="str">
        <f>+IF(PROVEEDORES[[#This Row],[FECHA DE PAGO]]=PROVEEDORES[[#This Row],[FECHA DE FACTURACIÓN]],"DE CONTADO","CRÉDITO")</f>
        <v>CRÉDITO</v>
      </c>
      <c r="B1267" s="38" t="b">
        <f>+IF((PROVEEDORES[[#This Row],[FECHA DE PAGO]]-PROVEEDORES[[#This Row],[FECHA DE FACTURACIÓN]])&gt;PROVEEDORES[[#This Row],[PLAZO Días]],"PAGO VENCIDO")</f>
        <v>0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-2000</v>
      </c>
      <c r="E1267" s="25"/>
      <c r="F1267" s="56">
        <f>+VLOOKUP(PROVEEDORES[[#This Row],[PROVEEDOR]],
                       Terceros!$A:$F,
                       5,
                       FALSE)</f>
        <v>0</v>
      </c>
      <c r="G1267" s="289">
        <v>45324</v>
      </c>
      <c r="H1267" s="26" t="s">
        <v>881</v>
      </c>
      <c r="I1267" s="289">
        <v>45322</v>
      </c>
      <c r="J1267" s="35" t="s">
        <v>1576</v>
      </c>
      <c r="K1267" s="21">
        <v>358000</v>
      </c>
      <c r="L1267" s="21"/>
      <c r="M1267" s="22">
        <f>(PROVEEDORES[[#This Row],[SUBTOTAL]]-PROVEEDORES[[#This Row],[descuento sobre subtotal]])*VLOOKUP(PROVEEDORES[[#This Row],[PROVEEDOR]],TERCEROS_INFO[#All],3,FALSE)</f>
        <v>0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72">
        <f>+IF(PROVEEDORES[[#This Row],[SUBTOTAL]]&lt;PROVEEDORES[[#This Row],[base retencion]],0,PROVEEDORES[[#This Row],[retención aplicada]])</f>
        <v>0</v>
      </c>
      <c r="Q1267" s="22">
        <f>+PROVEEDORES[[#This Row],[Rete Fuente %]]*(PROVEEDORES[[#This Row],[SUBTOTAL]]-PROVEEDORES[[#This Row],[descuento sobre subtotal]])</f>
        <v>0</v>
      </c>
      <c r="R1267" s="21">
        <f>+PROVEEDORES[[#This Row],[SUBTOTAL]]+PROVEEDORES[[#This Row],[IVA 19%]]-PROVEEDORES[[#This Row],[descuento sobre subtotal]]-PROVEEDORES[[#This Row],[Descuento sobre subtotal $2]]-PROVEEDORES[[#This Row],[Rete Fuente $]]</f>
        <v>358000</v>
      </c>
      <c r="S1267" s="31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1">
        <f ca="1">IF(PROVEEDORES[[#This Row],[FECHA DE PAGO]]=0,TODAY()-PROVEEDORES[[#This Row],[FECHA DE FACTURACIÓN]]-PROVEEDORES[[#This Row],[PLAZO Días]],0)</f>
        <v>0</v>
      </c>
      <c r="U1267" s="97">
        <f>+VLOOKUP(PROVEEDORES[[#This Row],[PROVEEDOR]],Terceros!$A:$D,4,FALSE)</f>
        <v>0</v>
      </c>
      <c r="V1267" s="98">
        <f>+YEAR(PROVEEDORES[[#This Row],[FECHA DE FACTURACIÓN]])</f>
        <v>2024</v>
      </c>
      <c r="W1267" s="98">
        <f>+MATCH(PROVEEDORES[[#This Row],[año facturado]],Retenciones!$1:$1,0)</f>
        <v>7</v>
      </c>
      <c r="X1267" s="99">
        <f>+VLOOKUP(PROVEEDORES[[#This Row],[ID RETENCION]],Retenciones!$A$1:$O$25,PROVEEDORES[[#This Row],[indicador de columna]],FALSE)</f>
        <v>0</v>
      </c>
      <c r="Y1267" s="100">
        <f>+VLOOKUP(PROVEEDORES[[#This Row],[ID RETENCION]],Retenciones!$A$1:$O$25,2,FALSE)</f>
        <v>0</v>
      </c>
      <c r="Z1267" s="103" t="b">
        <f>OR(COUNTIF(PROVEEDORES[[#This Row],[PROVEEDOR]],"*"&amp;'Palabra no opera'!$A$2&amp;"*"))</f>
        <v>0</v>
      </c>
    </row>
    <row r="1268" spans="1:26" ht="22.35" customHeight="1" x14ac:dyDescent="0.25">
      <c r="A1268" s="317" t="str">
        <f>+IF(PROVEEDORES[[#This Row],[FECHA DE PAGO]]=PROVEEDORES[[#This Row],[FECHA DE FACTURACIÓN]],"DE CONTADO","CRÉDITO")</f>
        <v>CRÉDITO</v>
      </c>
      <c r="B1268" s="38" t="b">
        <f>+IF((PROVEEDORES[[#This Row],[FECHA DE PAGO]]-PROVEEDORES[[#This Row],[FECHA DE FACTURACIÓN]])&gt;PROVEEDORES[[#This Row],[PLAZO Días]],"PAGO VENCIDO")</f>
        <v>0</v>
      </c>
      <c r="C1268" s="20">
        <f>+VLOOKUP(PROVEEDORES[[#This Row],[PROVEEDOR]],TERCEROS_INFO[#All],2,FALSE)</f>
        <v>30</v>
      </c>
      <c r="D1268" s="25">
        <f>+SUMIFS(PROVEEDORES[Total],PROVEEDORES[PROVEEDOR],PROVEEDORES[[#This Row],[PROVEEDOR]],PROVEEDORES[FECHA DE PAGO],"")</f>
        <v>-2000</v>
      </c>
      <c r="E1268" s="25"/>
      <c r="F1268" s="56">
        <f>+VLOOKUP(PROVEEDORES[[#This Row],[PROVEEDOR]],
                       Terceros!$A:$F,
                       5,
                       FALSE)</f>
        <v>0</v>
      </c>
      <c r="H1268" s="26" t="s">
        <v>881</v>
      </c>
      <c r="I1268" s="289">
        <v>45324</v>
      </c>
      <c r="J1268" s="35" t="s">
        <v>1577</v>
      </c>
      <c r="K1268" s="21">
        <v>-2000</v>
      </c>
      <c r="L1268" s="21"/>
      <c r="M1268" s="22">
        <f>(PROVEEDORES[[#This Row],[SUBTOTAL]]-PROVEEDORES[[#This Row],[descuento sobre subtotal]])*VLOOKUP(PROVEEDORES[[#This Row],[PROVEEDOR]],TERCEROS_INFO[#All],3,FALSE)</f>
        <v>0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72">
        <f>+IF(PROVEEDORES[[#This Row],[SUBTOTAL]]&lt;PROVEEDORES[[#This Row],[base retencion]],0,PROVEEDORES[[#This Row],[retención aplicada]])</f>
        <v>0</v>
      </c>
      <c r="Q1268" s="22">
        <f>+PROVEEDORES[[#This Row],[Rete Fuente %]]*(PROVEEDORES[[#This Row],[SUBTOTAL]]-PROVEEDORES[[#This Row],[descuento sobre subtotal]])</f>
        <v>0</v>
      </c>
      <c r="R1268" s="21">
        <f>+PROVEEDORES[[#This Row],[SUBTOTAL]]+PROVEEDORES[[#This Row],[IVA 19%]]-PROVEEDORES[[#This Row],[descuento sobre subtotal]]-PROVEEDORES[[#This Row],[Descuento sobre subtotal $2]]-PROVEEDORES[[#This Row],[Rete Fuente $]]</f>
        <v>-2000</v>
      </c>
      <c r="S1268" s="318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268" s="61">
        <f ca="1">IF(PROVEEDORES[[#This Row],[FECHA DE PAGO]]=0,TODAY()-PROVEEDORES[[#This Row],[FECHA DE FACTURACIÓN]]-PROVEEDORES[[#This Row],[PLAZO Días]],0)</f>
        <v>-26</v>
      </c>
      <c r="U1268" s="97">
        <f>+VLOOKUP(PROVEEDORES[[#This Row],[PROVEEDOR]],Terceros!$A:$D,4,FALSE)</f>
        <v>0</v>
      </c>
      <c r="V1268" s="98">
        <f>+YEAR(PROVEEDORES[[#This Row],[FECHA DE FACTURACIÓN]])</f>
        <v>2024</v>
      </c>
      <c r="W1268" s="98">
        <f>+MATCH(PROVEEDORES[[#This Row],[año facturado]],Retenciones!$1:$1,0)</f>
        <v>7</v>
      </c>
      <c r="X1268" s="99">
        <f>+VLOOKUP(PROVEEDORES[[#This Row],[ID RETENCION]],Retenciones!$A$1:$O$25,PROVEEDORES[[#This Row],[indicador de columna]],FALSE)</f>
        <v>0</v>
      </c>
      <c r="Y1268" s="100">
        <f>+VLOOKUP(PROVEEDORES[[#This Row],[ID RETENCION]],Retenciones!$A$1:$O$25,2,FALSE)</f>
        <v>0</v>
      </c>
      <c r="Z1268" s="103" t="b">
        <f>OR(COUNTIF(PROVEEDORES[[#This Row],[PROVEEDOR]],"*"&amp;'Palabra no opera'!$A$2&amp;"*"))</f>
        <v>0</v>
      </c>
    </row>
    <row r="1269" spans="1:26" ht="22.35" customHeight="1" x14ac:dyDescent="0.25">
      <c r="A1269" s="321" t="str">
        <f>+IF(PROVEEDORES[[#This Row],[FECHA DE PAGO]]=PROVEEDORES[[#This Row],[FECHA DE FACTURACIÓN]],"DE CONTADO","CRÉDITO")</f>
        <v>CRÉDITO</v>
      </c>
      <c r="B1269" s="38" t="b">
        <f>+IF((PROVEEDORES[[#This Row],[FECHA DE PAGO]]-PROVEEDORES[[#This Row],[FECHA DE FACTURACIÓN]])&gt;PROVEEDORES[[#This Row],[PLAZO Días]],"PAGO VENCIDO")</f>
        <v>0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0</v>
      </c>
      <c r="E1269" s="25"/>
      <c r="F1269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69" s="289">
        <v>45327</v>
      </c>
      <c r="H1269" s="26" t="s">
        <v>415</v>
      </c>
      <c r="I1269" s="289">
        <v>45323</v>
      </c>
      <c r="J1269" s="35" t="s">
        <v>1578</v>
      </c>
      <c r="K1269" s="21">
        <v>1047050</v>
      </c>
      <c r="L1269" s="21"/>
      <c r="M1269" s="22">
        <f>(PROVEEDORES[[#This Row],[SUBTOTAL]]-PROVEEDORES[[#This Row],[descuento sobre subtotal]])*VLOOKUP(PROVEEDORES[[#This Row],[PROVEEDOR]],TERCEROS_INFO[#All],3,FALSE)</f>
        <v>0</v>
      </c>
      <c r="N1269" s="23"/>
      <c r="O1269" s="22">
        <f>+PROVEEDORES[[#This Row],[Descuento sobre subtotal %]]*(PROVEEDORES[[#This Row],[SUBTOTAL]]-PROVEEDORES[[#This Row],[descuento sobre subtotal]])</f>
        <v>0</v>
      </c>
      <c r="P1269" s="72">
        <f>+IF(PROVEEDORES[[#This Row],[SUBTOTAL]]&lt;PROVEEDORES[[#This Row],[base retencion]],0,PROVEEDORES[[#This Row],[retención aplicada]])</f>
        <v>0</v>
      </c>
      <c r="Q1269" s="22">
        <f>+PROVEEDORES[[#This Row],[Rete Fuente %]]*(PROVEEDORES[[#This Row],[SUBTOTAL]]-PROVEEDORES[[#This Row],[descuento sobre subtotal]])</f>
        <v>0</v>
      </c>
      <c r="R1269" s="21">
        <f>+PROVEEDORES[[#This Row],[SUBTOTAL]]+PROVEEDORES[[#This Row],[IVA 19%]]-PROVEEDORES[[#This Row],[descuento sobre subtotal]]-PROVEEDORES[[#This Row],[Descuento sobre subtotal $2]]-PROVEEDORES[[#This Row],[Rete Fuente $]]</f>
        <v>1047050</v>
      </c>
      <c r="S1269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1">
        <f ca="1">IF(PROVEEDORES[[#This Row],[FECHA DE PAGO]]=0,TODAY()-PROVEEDORES[[#This Row],[FECHA DE FACTURACIÓN]]-PROVEEDORES[[#This Row],[PLAZO Días]],0)</f>
        <v>0</v>
      </c>
      <c r="U1269" s="97">
        <f>+VLOOKUP(PROVEEDORES[[#This Row],[PROVEEDOR]],Terceros!$A:$D,4,FALSE)</f>
        <v>0</v>
      </c>
      <c r="V1269" s="98">
        <f>+YEAR(PROVEEDORES[[#This Row],[FECHA DE FACTURACIÓN]])</f>
        <v>2024</v>
      </c>
      <c r="W1269" s="98">
        <f>+MATCH(PROVEEDORES[[#This Row],[año facturado]],Retenciones!$1:$1,0)</f>
        <v>7</v>
      </c>
      <c r="X1269" s="99">
        <f>+VLOOKUP(PROVEEDORES[[#This Row],[ID RETENCION]],Retenciones!$A$1:$O$25,PROVEEDORES[[#This Row],[indicador de columna]],FALSE)</f>
        <v>0</v>
      </c>
      <c r="Y1269" s="100">
        <f>+VLOOKUP(PROVEEDORES[[#This Row],[ID RETENCION]],Retenciones!$A$1:$O$25,2,FALSE)</f>
        <v>0</v>
      </c>
      <c r="Z1269" s="103" t="b">
        <f>OR(COUNTIF(PROVEEDORES[[#This Row],[PROVEEDOR]],"*"&amp;'Palabra no opera'!$A$2&amp;"*"))</f>
        <v>1</v>
      </c>
    </row>
    <row r="1270" spans="1:26" ht="22.35" customHeight="1" x14ac:dyDescent="0.25">
      <c r="A1270" s="321" t="str">
        <f>+IF(PROVEEDORES[[#This Row],[FECHA DE PAGO]]=PROVEEDORES[[#This Row],[FECHA DE FACTURACIÓN]],"DE CONTADO","CRÉDITO")</f>
        <v>CRÉDITO</v>
      </c>
      <c r="B1270" s="38" t="b">
        <f>+IF((PROVEEDORES[[#This Row],[FECHA DE PAGO]]-PROVEEDORES[[#This Row],[FECHA DE FACTURACIÓN]])&gt;PROVEEDORES[[#This Row],[PLAZO Días]],"PAGO VENCIDO")</f>
        <v>0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0</v>
      </c>
      <c r="E1270" s="25"/>
      <c r="F1270" s="56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70" s="289">
        <v>45327</v>
      </c>
      <c r="H1270" s="26" t="s">
        <v>415</v>
      </c>
      <c r="I1270" s="289">
        <v>45323</v>
      </c>
      <c r="J1270" s="35" t="s">
        <v>1579</v>
      </c>
      <c r="K1270" s="21">
        <v>1024255</v>
      </c>
      <c r="L1270" s="21"/>
      <c r="M1270" s="22">
        <f>(PROVEEDORES[[#This Row],[SUBTOTAL]]-PROVEEDORES[[#This Row],[descuento sobre subtotal]])*VLOOKUP(PROVEEDORES[[#This Row],[PROVEEDOR]],TERCEROS_INFO[#All],3,FALSE)</f>
        <v>0</v>
      </c>
      <c r="N1270" s="23"/>
      <c r="O1270" s="22">
        <f>+PROVEEDORES[[#This Row],[Descuento sobre subtotal %]]*(PROVEEDORES[[#This Row],[SUBTOTAL]]-PROVEEDORES[[#This Row],[descuento sobre subtotal]])</f>
        <v>0</v>
      </c>
      <c r="P1270" s="72">
        <f>+IF(PROVEEDORES[[#This Row],[SUBTOTAL]]&lt;PROVEEDORES[[#This Row],[base retencion]],0,PROVEEDORES[[#This Row],[retención aplicada]])</f>
        <v>0</v>
      </c>
      <c r="Q1270" s="22">
        <f>+PROVEEDORES[[#This Row],[Rete Fuente %]]*(PROVEEDORES[[#This Row],[SUBTOTAL]]-PROVEEDORES[[#This Row],[descuento sobre subtotal]])</f>
        <v>0</v>
      </c>
      <c r="R1270" s="21">
        <f>+PROVEEDORES[[#This Row],[SUBTOTAL]]+PROVEEDORES[[#This Row],[IVA 19%]]-PROVEEDORES[[#This Row],[descuento sobre subtotal]]-PROVEEDORES[[#This Row],[Descuento sobre subtotal $2]]-PROVEEDORES[[#This Row],[Rete Fuente $]]</f>
        <v>1024255</v>
      </c>
      <c r="S1270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1">
        <f ca="1">IF(PROVEEDORES[[#This Row],[FECHA DE PAGO]]=0,TODAY()-PROVEEDORES[[#This Row],[FECHA DE FACTURACIÓN]]-PROVEEDORES[[#This Row],[PLAZO Días]],0)</f>
        <v>0</v>
      </c>
      <c r="U1270" s="97">
        <f>+VLOOKUP(PROVEEDORES[[#This Row],[PROVEEDOR]],Terceros!$A:$D,4,FALSE)</f>
        <v>0</v>
      </c>
      <c r="V1270" s="98">
        <f>+YEAR(PROVEEDORES[[#This Row],[FECHA DE FACTURACIÓN]])</f>
        <v>2024</v>
      </c>
      <c r="W1270" s="98">
        <f>+MATCH(PROVEEDORES[[#This Row],[año facturado]],Retenciones!$1:$1,0)</f>
        <v>7</v>
      </c>
      <c r="X1270" s="99">
        <f>+VLOOKUP(PROVEEDORES[[#This Row],[ID RETENCION]],Retenciones!$A$1:$O$25,PROVEEDORES[[#This Row],[indicador de columna]],FALSE)</f>
        <v>0</v>
      </c>
      <c r="Y1270" s="100">
        <f>+VLOOKUP(PROVEEDORES[[#This Row],[ID RETENCION]],Retenciones!$A$1:$O$25,2,FALSE)</f>
        <v>0</v>
      </c>
      <c r="Z1270" s="103" t="b">
        <f>OR(COUNTIF(PROVEEDORES[[#This Row],[PROVEEDOR]],"*"&amp;'Palabra no opera'!$A$2&amp;"*"))</f>
        <v>1</v>
      </c>
    </row>
    <row r="1271" spans="1:26" ht="22.35" customHeight="1" x14ac:dyDescent="0.25">
      <c r="A1271" s="65" t="str">
        <f>+IF(PROVEEDORES[[#This Row],[FECHA DE PAGO]]=PROVEEDORES[[#This Row],[FECHA DE FACTURACIÓN]],"DE CONTADO","CRÉDITO")</f>
        <v>CRÉDITO</v>
      </c>
      <c r="B1271" s="38" t="b">
        <f>+IF((PROVEEDORES[[#This Row],[FECHA DE PAGO]]-PROVEEDORES[[#This Row],[FECHA DE FACTURACIÓN]])&gt;PROVEEDORES[[#This Row],[PLAZO Días]],"PAGO VENCIDO")</f>
        <v>0</v>
      </c>
      <c r="C1271" s="20">
        <f>+VLOOKUP(PROVEEDORES[[#This Row],[PROVEEDOR]],TERCEROS_INFO[#All],2,FALSE)</f>
        <v>30</v>
      </c>
      <c r="D1271" s="25">
        <f>+SUMIFS(PROVEEDORES[Total],PROVEEDORES[PROVEEDOR],PROVEEDORES[[#This Row],[PROVEEDOR]],PROVEEDORES[FECHA DE PAGO],"")</f>
        <v>0</v>
      </c>
      <c r="E1271" s="25"/>
      <c r="F1271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71" s="289">
        <v>45327</v>
      </c>
      <c r="H1271" s="26" t="s">
        <v>401</v>
      </c>
      <c r="I1271" s="289">
        <v>45323</v>
      </c>
      <c r="J1271" s="35" t="s">
        <v>1580</v>
      </c>
      <c r="K1271" s="21">
        <v>992451</v>
      </c>
      <c r="L1271" s="21"/>
      <c r="M1271" s="22">
        <f>(PROVEEDORES[[#This Row],[SUBTOTAL]]-PROVEEDORES[[#This Row],[descuento sobre subtotal]])*VLOOKUP(PROVEEDORES[[#This Row],[PROVEEDOR]],TERCEROS_INFO[#All],3,FALSE)</f>
        <v>188565.69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72">
        <f>+IF(PROVEEDORES[[#This Row],[SUBTOTAL]]&lt;PROVEEDORES[[#This Row],[base retencion]],0,PROVEEDORES[[#This Row],[retención aplicada]])</f>
        <v>0</v>
      </c>
      <c r="Q1271" s="22">
        <f>+PROVEEDORES[[#This Row],[Rete Fuente %]]*(PROVEEDORES[[#This Row],[SUBTOTAL]]-PROVEEDORES[[#This Row],[descuento sobre subtotal]])</f>
        <v>0</v>
      </c>
      <c r="R1271" s="21">
        <f>+PROVEEDORES[[#This Row],[SUBTOTAL]]+PROVEEDORES[[#This Row],[IVA 19%]]-PROVEEDORES[[#This Row],[descuento sobre subtotal]]-PROVEEDORES[[#This Row],[Descuento sobre subtotal $2]]-PROVEEDORES[[#This Row],[Rete Fuente $]]</f>
        <v>1181016.69</v>
      </c>
      <c r="S1271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1">
        <f ca="1">IF(PROVEEDORES[[#This Row],[FECHA DE PAGO]]=0,TODAY()-PROVEEDORES[[#This Row],[FECHA DE FACTURACIÓN]]-PROVEEDORES[[#This Row],[PLAZO Días]],0)</f>
        <v>0</v>
      </c>
      <c r="U1271" s="97">
        <f>+VLOOKUP(PROVEEDORES[[#This Row],[PROVEEDOR]],Terceros!$A:$D,4,FALSE)</f>
        <v>0</v>
      </c>
      <c r="V1271" s="98">
        <f>+YEAR(PROVEEDORES[[#This Row],[FECHA DE FACTURACIÓN]])</f>
        <v>2024</v>
      </c>
      <c r="W1271" s="98">
        <f>+MATCH(PROVEEDORES[[#This Row],[año facturado]],Retenciones!$1:$1,0)</f>
        <v>7</v>
      </c>
      <c r="X1271" s="99">
        <f>+VLOOKUP(PROVEEDORES[[#This Row],[ID RETENCION]],Retenciones!$A$1:$O$25,PROVEEDORES[[#This Row],[indicador de columna]],FALSE)</f>
        <v>0</v>
      </c>
      <c r="Y1271" s="100">
        <f>+VLOOKUP(PROVEEDORES[[#This Row],[ID RETENCION]],Retenciones!$A$1:$O$25,2,FALSE)</f>
        <v>0</v>
      </c>
      <c r="Z1271" s="103" t="b">
        <f>OR(COUNTIF(PROVEEDORES[[#This Row],[PROVEEDOR]],"*"&amp;'Palabra no opera'!$A$2&amp;"*"))</f>
        <v>1</v>
      </c>
    </row>
    <row r="1272" spans="1:26" ht="22.35" customHeight="1" x14ac:dyDescent="0.25">
      <c r="A1272" s="65" t="str">
        <f>+IF(PROVEEDORES[[#This Row],[FECHA DE PAGO]]=PROVEEDORES[[#This Row],[FECHA DE FACTURACIÓN]],"DE CONTADO","CRÉDITO")</f>
        <v>CRÉDITO</v>
      </c>
      <c r="B1272" s="38" t="b">
        <f>+IF((PROVEEDORES[[#This Row],[FECHA DE PAGO]]-PROVEEDORES[[#This Row],[FECHA DE FACTURACIÓN]])&gt;PROVEEDORES[[#This Row],[PLAZO Días]],"PAGO VENCIDO")</f>
        <v>0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0</v>
      </c>
      <c r="E1272" s="25"/>
      <c r="F1272" s="56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72" s="289">
        <v>45327</v>
      </c>
      <c r="H1272" s="26" t="s">
        <v>401</v>
      </c>
      <c r="I1272" s="289">
        <v>45323</v>
      </c>
      <c r="J1272" s="35" t="s">
        <v>1581</v>
      </c>
      <c r="K1272" s="21">
        <v>3792544</v>
      </c>
      <c r="L1272" s="21"/>
      <c r="M1272" s="22">
        <f>(PROVEEDORES[[#This Row],[SUBTOTAL]]-PROVEEDORES[[#This Row],[descuento sobre subtotal]])*VLOOKUP(PROVEEDORES[[#This Row],[PROVEEDOR]],TERCEROS_INFO[#All],3,FALSE)</f>
        <v>720583.36</v>
      </c>
      <c r="N1272" s="23"/>
      <c r="O1272" s="22">
        <f>+PROVEEDORES[[#This Row],[Descuento sobre subtotal %]]*(PROVEEDORES[[#This Row],[SUBTOTAL]]-PROVEEDORES[[#This Row],[descuento sobre subtotal]])</f>
        <v>0</v>
      </c>
      <c r="P1272" s="72">
        <f>+IF(PROVEEDORES[[#This Row],[SUBTOTAL]]&lt;PROVEEDORES[[#This Row],[base retencion]],0,PROVEEDORES[[#This Row],[retención aplicada]])</f>
        <v>0</v>
      </c>
      <c r="Q1272" s="22">
        <f>+PROVEEDORES[[#This Row],[Rete Fuente %]]*(PROVEEDORES[[#This Row],[SUBTOTAL]]-PROVEEDORES[[#This Row],[descuento sobre subtotal]])</f>
        <v>0</v>
      </c>
      <c r="R1272" s="21">
        <f>+PROVEEDORES[[#This Row],[SUBTOTAL]]+PROVEEDORES[[#This Row],[IVA 19%]]-PROVEEDORES[[#This Row],[descuento sobre subtotal]]-PROVEEDORES[[#This Row],[Descuento sobre subtotal $2]]-PROVEEDORES[[#This Row],[Rete Fuente $]]</f>
        <v>4513127.3600000003</v>
      </c>
      <c r="S1272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1">
        <f ca="1">IF(PROVEEDORES[[#This Row],[FECHA DE PAGO]]=0,TODAY()-PROVEEDORES[[#This Row],[FECHA DE FACTURACIÓN]]-PROVEEDORES[[#This Row],[PLAZO Días]],0)</f>
        <v>0</v>
      </c>
      <c r="U1272" s="97">
        <f>+VLOOKUP(PROVEEDORES[[#This Row],[PROVEEDOR]],Terceros!$A:$D,4,FALSE)</f>
        <v>0</v>
      </c>
      <c r="V1272" s="98">
        <f>+YEAR(PROVEEDORES[[#This Row],[FECHA DE FACTURACIÓN]])</f>
        <v>2024</v>
      </c>
      <c r="W1272" s="98">
        <f>+MATCH(PROVEEDORES[[#This Row],[año facturado]],Retenciones!$1:$1,0)</f>
        <v>7</v>
      </c>
      <c r="X1272" s="99">
        <f>+VLOOKUP(PROVEEDORES[[#This Row],[ID RETENCION]],Retenciones!$A$1:$O$25,PROVEEDORES[[#This Row],[indicador de columna]],FALSE)</f>
        <v>0</v>
      </c>
      <c r="Y1272" s="100">
        <f>+VLOOKUP(PROVEEDORES[[#This Row],[ID RETENCION]],Retenciones!$A$1:$O$25,2,FALSE)</f>
        <v>0</v>
      </c>
      <c r="Z1272" s="103" t="b">
        <f>OR(COUNTIF(PROVEEDORES[[#This Row],[PROVEEDOR]],"*"&amp;'Palabra no opera'!$A$2&amp;"*"))</f>
        <v>1</v>
      </c>
    </row>
    <row r="1273" spans="1:26" ht="22.35" customHeight="1" x14ac:dyDescent="0.25">
      <c r="A1273" s="65" t="str">
        <f>+IF(PROVEEDORES[[#This Row],[FECHA DE PAGO]]=PROVEEDORES[[#This Row],[FECHA DE FACTURACIÓN]],"DE CONTADO","CRÉDITO")</f>
        <v>CRÉDITO</v>
      </c>
      <c r="B1273" s="38" t="b">
        <f>+IF((PROVEEDORES[[#This Row],[FECHA DE PAGO]]-PROVEEDORES[[#This Row],[FECHA DE FACTURACIÓN]])&gt;PROVEEDORES[[#This Row],[PLAZO Días]],"PAGO VENCIDO")</f>
        <v>0</v>
      </c>
      <c r="C1273" s="20">
        <f>+VLOOKUP(PROVEEDORES[[#This Row],[PROVEEDOR]],TERCEROS_INFO[#All],2,FALSE)</f>
        <v>10</v>
      </c>
      <c r="D1273" s="25">
        <f>+SUMIFS(PROVEEDORES[Total],PROVEEDORES[PROVEEDOR],PROVEEDORES[[#This Row],[PROVEEDOR]],PROVEEDORES[FECHA DE PAGO],"")</f>
        <v>0</v>
      </c>
      <c r="E1273" s="25"/>
      <c r="F1273" s="56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73" s="289">
        <v>45327</v>
      </c>
      <c r="H1273" s="26" t="s">
        <v>522</v>
      </c>
      <c r="I1273" s="289">
        <v>45323</v>
      </c>
      <c r="J1273" s="35" t="s">
        <v>1582</v>
      </c>
      <c r="K1273" s="21">
        <v>5350576</v>
      </c>
      <c r="L1273" s="21"/>
      <c r="M1273" s="22">
        <f>(PROVEEDORES[[#This Row],[SUBTOTAL]]-PROVEEDORES[[#This Row],[descuento sobre subtotal]])*VLOOKUP(PROVEEDORES[[#This Row],[PROVEEDOR]],TERCEROS_INFO[#All],3,FALSE)</f>
        <v>1016609.4400000001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72">
        <f>+IF(PROVEEDORES[[#This Row],[SUBTOTAL]]&lt;PROVEEDORES[[#This Row],[base retencion]],0,PROVEEDORES[[#This Row],[retención aplicada]])</f>
        <v>0</v>
      </c>
      <c r="Q1273" s="22">
        <f>+PROVEEDORES[[#This Row],[Rete Fuente %]]*(PROVEEDORES[[#This Row],[SUBTOTAL]]-PROVEEDORES[[#This Row],[descuento sobre subtotal]])</f>
        <v>0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6367185.4400000004</v>
      </c>
      <c r="S1273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1">
        <f ca="1">IF(PROVEEDORES[[#This Row],[FECHA DE PAGO]]=0,TODAY()-PROVEEDORES[[#This Row],[FECHA DE FACTURACIÓN]]-PROVEEDORES[[#This Row],[PLAZO Días]],0)</f>
        <v>0</v>
      </c>
      <c r="U1273" s="97">
        <f>+VLOOKUP(PROVEEDORES[[#This Row],[PROVEEDOR]],Terceros!$A:$D,4,FALSE)</f>
        <v>0</v>
      </c>
      <c r="V1273" s="98">
        <f>+YEAR(PROVEEDORES[[#This Row],[FECHA DE FACTURACIÓN]])</f>
        <v>2024</v>
      </c>
      <c r="W1273" s="98">
        <f>+MATCH(PROVEEDORES[[#This Row],[año facturado]],Retenciones!$1:$1,0)</f>
        <v>7</v>
      </c>
      <c r="X1273" s="99">
        <f>+VLOOKUP(PROVEEDORES[[#This Row],[ID RETENCION]],Retenciones!$A$1:$O$25,PROVEEDORES[[#This Row],[indicador de columna]],FALSE)</f>
        <v>0</v>
      </c>
      <c r="Y1273" s="100">
        <f>+VLOOKUP(PROVEEDORES[[#This Row],[ID RETENCION]],Retenciones!$A$1:$O$25,2,FALSE)</f>
        <v>0</v>
      </c>
      <c r="Z1273" s="103" t="b">
        <f>OR(COUNTIF(PROVEEDORES[[#This Row],[PROVEEDOR]],"*"&amp;'Palabra no opera'!$A$2&amp;"*"))</f>
        <v>1</v>
      </c>
    </row>
    <row r="1274" spans="1:26" ht="22.35" customHeight="1" x14ac:dyDescent="0.25">
      <c r="A1274" s="65" t="str">
        <f>+IF(PROVEEDORES[[#This Row],[FECHA DE PAGO]]=PROVEEDORES[[#This Row],[FECHA DE FACTURACIÓN]],"DE CONTADO","CRÉDITO")</f>
        <v>CRÉDITO</v>
      </c>
      <c r="B1274" s="38" t="b">
        <f>+IF((PROVEEDORES[[#This Row],[FECHA DE PAGO]]-PROVEEDORES[[#This Row],[FECHA DE FACTURACIÓN]])&gt;PROVEEDORES[[#This Row],[PLAZO Días]],"PAGO VENCIDO")</f>
        <v>0</v>
      </c>
      <c r="C1274" s="20">
        <f>+VLOOKUP(PROVEEDORES[[#This Row],[PROVEEDOR]],TERCEROS_INFO[#All],2,FALSE)</f>
        <v>30</v>
      </c>
      <c r="D1274" s="25">
        <f>+SUMIFS(PROVEEDORES[Total],PROVEEDORES[PROVEEDOR],PROVEEDORES[[#This Row],[PROVEEDOR]],PROVEEDORES[FECHA DE PAGO],"")</f>
        <v>0</v>
      </c>
      <c r="E1274" s="25"/>
      <c r="F1274" s="56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74" s="289">
        <v>45327</v>
      </c>
      <c r="H1274" s="26" t="s">
        <v>427</v>
      </c>
      <c r="I1274" s="289">
        <v>45323</v>
      </c>
      <c r="J1274" s="26" t="s">
        <v>427</v>
      </c>
      <c r="K1274" s="21">
        <v>246233</v>
      </c>
      <c r="L1274" s="21"/>
      <c r="M1274" s="22">
        <f>(PROVEEDORES[[#This Row],[SUBTOTAL]]-PROVEEDORES[[#This Row],[descuento sobre subtotal]])*VLOOKUP(PROVEEDORES[[#This Row],[PROVEEDOR]],TERCEROS_INFO[#All],3,FALSE)</f>
        <v>46784.270000000004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72">
        <f>+IF(PROVEEDORES[[#This Row],[SUBTOTAL]]&lt;PROVEEDORES[[#This Row],[base retencion]],0,PROVEEDORES[[#This Row],[retención aplicada]])</f>
        <v>3.5000000000000003E-2</v>
      </c>
      <c r="Q1274" s="22">
        <f>+PROVEEDORES[[#This Row],[Rete Fuente %]]*(PROVEEDORES[[#This Row],[SUBTOTAL]]-PROVEEDORES[[#This Row],[descuento sobre subtotal]])</f>
        <v>8618.1550000000007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284399.11499999999</v>
      </c>
      <c r="S1274" s="10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1">
        <f ca="1">IF(PROVEEDORES[[#This Row],[FECHA DE PAGO]]=0,TODAY()-PROVEEDORES[[#This Row],[FECHA DE FACTURACIÓN]]-PROVEEDORES[[#This Row],[PLAZO Días]],0)</f>
        <v>0</v>
      </c>
      <c r="U1274" s="97" t="str">
        <f>+VLOOKUP(PROVEEDORES[[#This Row],[PROVEEDOR]],Terceros!$A:$D,4,FALSE)</f>
        <v>3,5% sin base</v>
      </c>
      <c r="V1274" s="98">
        <f>+YEAR(PROVEEDORES[[#This Row],[FECHA DE FACTURACIÓN]])</f>
        <v>2024</v>
      </c>
      <c r="W1274" s="98">
        <f>+MATCH(PROVEEDORES[[#This Row],[año facturado]],Retenciones!$1:$1,0)</f>
        <v>7</v>
      </c>
      <c r="X1274" s="99">
        <f>+VLOOKUP(PROVEEDORES[[#This Row],[ID RETENCION]],Retenciones!$A$1:$O$25,PROVEEDORES[[#This Row],[indicador de columna]],FALSE)</f>
        <v>0</v>
      </c>
      <c r="Y1274" s="100">
        <f>+VLOOKUP(PROVEEDORES[[#This Row],[ID RETENCION]],Retenciones!$A$1:$O$25,2,FALSE)</f>
        <v>3.5000000000000003E-2</v>
      </c>
      <c r="Z1274" s="103" t="b">
        <f>OR(COUNTIF(PROVEEDORES[[#This Row],[PROVEEDOR]],"*"&amp;'Palabra no opera'!$A$2&amp;"*"))</f>
        <v>1</v>
      </c>
    </row>
    <row r="1275" spans="1:26" ht="22.35" customHeight="1" x14ac:dyDescent="0.25">
      <c r="A1275" s="321" t="str">
        <f>+IF(PROVEEDORES[[#This Row],[FECHA DE PAGO]]=PROVEEDORES[[#This Row],[FECHA DE FACTURACIÓN]],"DE CONTADO","CRÉDITO")</f>
        <v>CRÉDITO</v>
      </c>
      <c r="B1275" s="38" t="b">
        <f>+IF((PROVEEDORES[[#This Row],[FECHA DE PAGO]]-PROVEEDORES[[#This Row],[FECHA DE FACTURACIÓN]])&gt;PROVEEDORES[[#This Row],[PLAZO Días]],"PAGO VENCIDO")</f>
        <v>0</v>
      </c>
      <c r="C1275" s="20">
        <f>+VLOOKUP(PROVEEDORES[[#This Row],[PROVEEDOR]],TERCEROS_INFO[#All],2,FALSE)</f>
        <v>10</v>
      </c>
      <c r="D1275" s="25">
        <f>+SUMIFS(PROVEEDORES[Total],PROVEEDORES[PROVEEDOR],PROVEEDORES[[#This Row],[PROVEEDOR]],PROVEEDORES[FECHA DE PAGO],"")</f>
        <v>0</v>
      </c>
      <c r="E1275" s="25"/>
      <c r="F1275" s="56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275" s="289">
        <v>45327</v>
      </c>
      <c r="H1275" s="26" t="s">
        <v>1513</v>
      </c>
      <c r="I1275" s="289">
        <v>45323</v>
      </c>
      <c r="J1275" s="35" t="s">
        <v>1584</v>
      </c>
      <c r="K1275" s="21">
        <v>4435417</v>
      </c>
      <c r="L1275" s="21"/>
      <c r="M1275" s="22">
        <v>752248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72">
        <f>+IF(PROVEEDORES[[#This Row],[SUBTOTAL]]&lt;PROVEEDORES[[#This Row],[base retencion]],0,PROVEEDORES[[#This Row],[retención aplicada]])</f>
        <v>3.5000000000000003E-2</v>
      </c>
      <c r="Q1275" s="22">
        <v>138572</v>
      </c>
      <c r="R1275" s="21">
        <f>+PROVEEDORES[[#This Row],[SUBTOTAL]]+PROVEEDORES[[#This Row],[IVA 19%]]-PROVEEDORES[[#This Row],[descuento sobre subtotal]]-PROVEEDORES[[#This Row],[Descuento sobre subtotal $2]]-PROVEEDORES[[#This Row],[Rete Fuente $]]</f>
        <v>5049093</v>
      </c>
      <c r="S1275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1">
        <f ca="1">IF(PROVEEDORES[[#This Row],[FECHA DE PAGO]]=0,TODAY()-PROVEEDORES[[#This Row],[FECHA DE FACTURACIÓN]]-PROVEEDORES[[#This Row],[PLAZO Días]],0)</f>
        <v>0</v>
      </c>
      <c r="U1275" s="97" t="str">
        <f>+VLOOKUP(PROVEEDORES[[#This Row],[PROVEEDOR]],Terceros!$A:$D,4,FALSE)</f>
        <v>3,5% sin base</v>
      </c>
      <c r="V1275" s="98">
        <f>+YEAR(PROVEEDORES[[#This Row],[FECHA DE FACTURACIÓN]])</f>
        <v>2024</v>
      </c>
      <c r="W1275" s="98">
        <f>+MATCH(PROVEEDORES[[#This Row],[año facturado]],Retenciones!$1:$1,0)</f>
        <v>7</v>
      </c>
      <c r="X1275" s="99">
        <f>+VLOOKUP(PROVEEDORES[[#This Row],[ID RETENCION]],Retenciones!$A$1:$O$25,PROVEEDORES[[#This Row],[indicador de columna]],FALSE)</f>
        <v>0</v>
      </c>
      <c r="Y1275" s="100">
        <f>+VLOOKUP(PROVEEDORES[[#This Row],[ID RETENCION]],Retenciones!$A$1:$O$25,2,FALSE)</f>
        <v>3.5000000000000003E-2</v>
      </c>
      <c r="Z1275" s="103" t="b">
        <f>OR(COUNTIF(PROVEEDORES[[#This Row],[PROVEEDOR]],"*"&amp;'Palabra no opera'!$A$2&amp;"*"))</f>
        <v>1</v>
      </c>
    </row>
    <row r="1276" spans="1:26" ht="22.35" customHeight="1" x14ac:dyDescent="0.25">
      <c r="A1276" s="321" t="str">
        <f>+IF(PROVEEDORES[[#This Row],[FECHA DE PAGO]]=PROVEEDORES[[#This Row],[FECHA DE FACTURACIÓN]],"DE CONTADO","CRÉDITO")</f>
        <v>DE CONTADO</v>
      </c>
      <c r="B1276" s="38" t="b">
        <f>+IF((PROVEEDORES[[#This Row],[FECHA DE PAGO]]-PROVEEDORES[[#This Row],[FECHA DE FACTURACIÓN]])&gt;PROVEEDORES[[#This Row],[PLAZO Días]],"PAGO VENCIDO")</f>
        <v>0</v>
      </c>
      <c r="C1276" s="20">
        <f>+VLOOKUP(PROVEEDORES[[#This Row],[PROVEEDOR]],TERCEROS_INFO[#All],2,FALSE)</f>
        <v>30</v>
      </c>
      <c r="D1276" s="25">
        <f>+SUMIFS(PROVEEDORES[Total],PROVEEDORES[PROVEEDOR],PROVEEDORES[[#This Row],[PROVEEDOR]],PROVEEDORES[FECHA DE PAGO],"")</f>
        <v>0</v>
      </c>
      <c r="E1276" s="25"/>
      <c r="F1276" s="56" t="str">
        <f>+VLOOKUP(PROVEEDORES[[#This Row],[PROVEEDOR]],
                       Terceros!$A:$F,
                       5,
                       FALSE)</f>
        <v/>
      </c>
      <c r="G1276" s="289">
        <v>45322</v>
      </c>
      <c r="H1276" s="26" t="s">
        <v>566</v>
      </c>
      <c r="I1276" s="289">
        <v>45322</v>
      </c>
      <c r="J1276" s="35" t="s">
        <v>519</v>
      </c>
      <c r="K1276" s="21">
        <v>15000</v>
      </c>
      <c r="L1276" s="21"/>
      <c r="M1276" s="22">
        <f>(PROVEEDORES[[#This Row],[SUBTOTAL]]-PROVEEDORES[[#This Row],[descuento sobre subtotal]])*VLOOKUP(PROVEEDORES[[#This Row],[PROVEEDOR]],TERCEROS_INFO[#All],3,FALSE)</f>
        <v>0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72">
        <f>+IF(PROVEEDORES[[#This Row],[SUBTOTAL]]&lt;PROVEEDORES[[#This Row],[base retencion]],0,PROVEEDORES[[#This Row],[retención aplicada]])</f>
        <v>0</v>
      </c>
      <c r="Q1276" s="22">
        <f>+PROVEEDORES[[#This Row],[Rete Fuente %]]*(PROVEEDORES[[#This Row],[SUBTOTAL]]-PROVEEDORES[[#This Row],[descuento sobre subtotal]])</f>
        <v>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15000</v>
      </c>
      <c r="S1276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1">
        <f ca="1">IF(PROVEEDORES[[#This Row],[FECHA DE PAGO]]=0,TODAY()-PROVEEDORES[[#This Row],[FECHA DE FACTURACIÓN]]-PROVEEDORES[[#This Row],[PLAZO Días]],0)</f>
        <v>0</v>
      </c>
      <c r="U1276" s="97">
        <f>+VLOOKUP(PROVEEDORES[[#This Row],[PROVEEDOR]],Terceros!$A:$D,4,FALSE)</f>
        <v>0</v>
      </c>
      <c r="V1276" s="98">
        <f>+YEAR(PROVEEDORES[[#This Row],[FECHA DE FACTURACIÓN]])</f>
        <v>2024</v>
      </c>
      <c r="W1276" s="98">
        <f>+MATCH(PROVEEDORES[[#This Row],[año facturado]],Retenciones!$1:$1,0)</f>
        <v>7</v>
      </c>
      <c r="X1276" s="99">
        <f>+VLOOKUP(PROVEEDORES[[#This Row],[ID RETENCION]],Retenciones!$A$1:$O$25,PROVEEDORES[[#This Row],[indicador de columna]],FALSE)</f>
        <v>0</v>
      </c>
      <c r="Y1276" s="100">
        <f>+VLOOKUP(PROVEEDORES[[#This Row],[ID RETENCION]],Retenciones!$A$1:$O$25,2,FALSE)</f>
        <v>0</v>
      </c>
      <c r="Z1276" s="103" t="b">
        <f>OR(COUNTIF(PROVEEDORES[[#This Row],[PROVEEDOR]],"*"&amp;'Palabra no opera'!$A$2&amp;"*"))</f>
        <v>0</v>
      </c>
    </row>
    <row r="1277" spans="1:26" ht="22.35" customHeight="1" x14ac:dyDescent="0.25">
      <c r="A1277" s="321" t="str">
        <f>+IF(PROVEEDORES[[#This Row],[FECHA DE PAGO]]=PROVEEDORES[[#This Row],[FECHA DE FACTURACIÓN]],"DE CONTADO","CRÉDITO")</f>
        <v>DE CONTADO</v>
      </c>
      <c r="B1277" s="38" t="b">
        <f>+IF((PROVEEDORES[[#This Row],[FECHA DE PAGO]]-PROVEEDORES[[#This Row],[FECHA DE FACTURACIÓN]])&gt;PROVEEDORES[[#This Row],[PLAZO Días]],"PAGO VENCIDO")</f>
        <v>0</v>
      </c>
      <c r="C1277" s="20">
        <f>+VLOOKUP(PROVEEDORES[[#This Row],[PROVEEDOR]],TERCEROS_INFO[#All],2,FALSE)</f>
        <v>30</v>
      </c>
      <c r="D1277" s="25">
        <f>+SUMIFS(PROVEEDORES[Total],PROVEEDORES[PROVEEDOR],PROVEEDORES[[#This Row],[PROVEEDOR]],PROVEEDORES[FECHA DE PAGO],"")</f>
        <v>0</v>
      </c>
      <c r="E1277" s="25"/>
      <c r="F1277" s="56" t="str">
        <f>+VLOOKUP(PROVEEDORES[[#This Row],[PROVEEDOR]],
                       Terceros!$A:$F,
                       5,
                       FALSE)</f>
        <v/>
      </c>
      <c r="G1277" s="289">
        <v>45322</v>
      </c>
      <c r="H1277" s="26" t="s">
        <v>566</v>
      </c>
      <c r="I1277" s="289">
        <v>45322</v>
      </c>
      <c r="J1277" s="35" t="s">
        <v>518</v>
      </c>
      <c r="K1277" s="21">
        <v>494350</v>
      </c>
      <c r="L1277" s="21"/>
      <c r="M1277" s="22">
        <f>(PROVEEDORES[[#This Row],[SUBTOTAL]]-PROVEEDORES[[#This Row],[descuento sobre subtotal]])*VLOOKUP(PROVEEDORES[[#This Row],[PROVEEDOR]],TERCEROS_INFO[#All],3,FALSE)</f>
        <v>0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72">
        <f>+IF(PROVEEDORES[[#This Row],[SUBTOTAL]]&lt;PROVEEDORES[[#This Row],[base retencion]],0,PROVEEDORES[[#This Row],[retención aplicada]])</f>
        <v>0</v>
      </c>
      <c r="Q1277" s="22">
        <f>+PROVEEDORES[[#This Row],[Rete Fuente %]]*(PROVEEDORES[[#This Row],[SUBTOTAL]]-PROVEEDORES[[#This Row],[descuento sobre subtotal]])</f>
        <v>0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494350</v>
      </c>
      <c r="S1277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1">
        <f ca="1">IF(PROVEEDORES[[#This Row],[FECHA DE PAGO]]=0,TODAY()-PROVEEDORES[[#This Row],[FECHA DE FACTURACIÓN]]-PROVEEDORES[[#This Row],[PLAZO Días]],0)</f>
        <v>0</v>
      </c>
      <c r="U1277" s="97">
        <f>+VLOOKUP(PROVEEDORES[[#This Row],[PROVEEDOR]],Terceros!$A:$D,4,FALSE)</f>
        <v>0</v>
      </c>
      <c r="V1277" s="98">
        <f>+YEAR(PROVEEDORES[[#This Row],[FECHA DE FACTURACIÓN]])</f>
        <v>2024</v>
      </c>
      <c r="W1277" s="98">
        <f>+MATCH(PROVEEDORES[[#This Row],[año facturado]],Retenciones!$1:$1,0)</f>
        <v>7</v>
      </c>
      <c r="X1277" s="99">
        <f>+VLOOKUP(PROVEEDORES[[#This Row],[ID RETENCION]],Retenciones!$A$1:$O$25,PROVEEDORES[[#This Row],[indicador de columna]],FALSE)</f>
        <v>0</v>
      </c>
      <c r="Y1277" s="100">
        <f>+VLOOKUP(PROVEEDORES[[#This Row],[ID RETENCION]],Retenciones!$A$1:$O$25,2,FALSE)</f>
        <v>0</v>
      </c>
      <c r="Z1277" s="103" t="b">
        <f>OR(COUNTIF(PROVEEDORES[[#This Row],[PROVEEDOR]],"*"&amp;'Palabra no opera'!$A$2&amp;"*"))</f>
        <v>0</v>
      </c>
    </row>
    <row r="1278" spans="1:26" ht="22.35" customHeight="1" x14ac:dyDescent="0.25">
      <c r="A1278" s="321" t="str">
        <f>+IF(PROVEEDORES[[#This Row],[FECHA DE PAGO]]=PROVEEDORES[[#This Row],[FECHA DE FACTURACIÓN]],"DE CONTADO","CRÉDITO")</f>
        <v>DE CONTADO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30</v>
      </c>
      <c r="D1278" s="25">
        <f>+SUMIFS(PROVEEDORES[Total],PROVEEDORES[PROVEEDOR],PROVEEDORES[[#This Row],[PROVEEDOR]],PROVEEDORES[FECHA DE PAGO],"")</f>
        <v>0</v>
      </c>
      <c r="E1278" s="25"/>
      <c r="F1278" s="56" t="str">
        <f>+VLOOKUP(PROVEEDORES[[#This Row],[PROVEEDOR]],
                       Terceros!$A:$F,
                       5,
                       FALSE)</f>
        <v/>
      </c>
      <c r="G1278" s="289">
        <v>45322</v>
      </c>
      <c r="H1278" s="26" t="s">
        <v>566</v>
      </c>
      <c r="I1278" s="289">
        <v>45322</v>
      </c>
      <c r="J1278" s="35" t="s">
        <v>516</v>
      </c>
      <c r="K1278" s="21">
        <v>1035500</v>
      </c>
      <c r="L1278" s="21"/>
      <c r="M1278" s="22">
        <f>(PROVEEDORES[[#This Row],[SUBTOTAL]]-PROVEEDORES[[#This Row],[descuento sobre subtotal]])*VLOOKUP(PROVEEDORES[[#This Row],[PROVEEDOR]],TERCEROS_INFO[#All],3,FALSE)</f>
        <v>0</v>
      </c>
      <c r="N1278" s="23"/>
      <c r="O1278" s="22">
        <f>+PROVEEDORES[[#This Row],[Descuento sobre subtotal %]]*(PROVEEDORES[[#This Row],[SUBTOTAL]]-PROVEEDORES[[#This Row],[descuento sobre subtotal]])</f>
        <v>0</v>
      </c>
      <c r="P1278" s="72">
        <f>+IF(PROVEEDORES[[#This Row],[SUBTOTAL]]&lt;PROVEEDORES[[#This Row],[base retencion]],0,PROVEEDORES[[#This Row],[retención aplicada]])</f>
        <v>0</v>
      </c>
      <c r="Q1278" s="22">
        <f>+PROVEEDORES[[#This Row],[Rete Fuente %]]*(PROVEEDORES[[#This Row],[SUBTOTAL]]-PROVEEDORES[[#This Row],[descuento sobre subtotal]])</f>
        <v>0</v>
      </c>
      <c r="R1278" s="21">
        <f>+PROVEEDORES[[#This Row],[SUBTOTAL]]+PROVEEDORES[[#This Row],[IVA 19%]]-PROVEEDORES[[#This Row],[descuento sobre subtotal]]-PROVEEDORES[[#This Row],[Descuento sobre subtotal $2]]-PROVEEDORES[[#This Row],[Rete Fuente $]]</f>
        <v>1035500</v>
      </c>
      <c r="S1278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1">
        <f ca="1">IF(PROVEEDORES[[#This Row],[FECHA DE PAGO]]=0,TODAY()-PROVEEDORES[[#This Row],[FECHA DE FACTURACIÓN]]-PROVEEDORES[[#This Row],[PLAZO Días]],0)</f>
        <v>0</v>
      </c>
      <c r="U1278" s="97">
        <f>+VLOOKUP(PROVEEDORES[[#This Row],[PROVEEDOR]],Terceros!$A:$D,4,FALSE)</f>
        <v>0</v>
      </c>
      <c r="V1278" s="98">
        <f>+YEAR(PROVEEDORES[[#This Row],[FECHA DE FACTURACIÓN]])</f>
        <v>2024</v>
      </c>
      <c r="W1278" s="98">
        <f>+MATCH(PROVEEDORES[[#This Row],[año facturado]],Retenciones!$1:$1,0)</f>
        <v>7</v>
      </c>
      <c r="X1278" s="99">
        <f>+VLOOKUP(PROVEEDORES[[#This Row],[ID RETENCION]],Retenciones!$A$1:$O$25,PROVEEDORES[[#This Row],[indicador de columna]],FALSE)</f>
        <v>0</v>
      </c>
      <c r="Y1278" s="100">
        <f>+VLOOKUP(PROVEEDORES[[#This Row],[ID RETENCION]],Retenciones!$A$1:$O$25,2,FALSE)</f>
        <v>0</v>
      </c>
      <c r="Z1278" s="103" t="b">
        <f>OR(COUNTIF(PROVEEDORES[[#This Row],[PROVEEDOR]],"*"&amp;'Palabra no opera'!$A$2&amp;"*"))</f>
        <v>0</v>
      </c>
    </row>
    <row r="1279" spans="1:26" ht="22.35" customHeight="1" x14ac:dyDescent="0.25">
      <c r="A1279" s="321" t="str">
        <f>+IF(PROVEEDORES[[#This Row],[FECHA DE PAGO]]=PROVEEDORES[[#This Row],[FECHA DE FACTURACIÓN]],"DE CONTADO","CRÉDITO")</f>
        <v>DE CONTADO</v>
      </c>
      <c r="B1279" s="38" t="b">
        <f>+IF((PROVEEDORES[[#This Row],[FECHA DE PAGO]]-PROVEEDORES[[#This Row],[FECHA DE FACTURACIÓN]])&gt;PROVEEDORES[[#This Row],[PLAZO Días]],"PAGO VENCIDO")</f>
        <v>0</v>
      </c>
      <c r="C1279" s="20">
        <f>+VLOOKUP(PROVEEDORES[[#This Row],[PROVEEDOR]],TERCEROS_INFO[#All],2,FALSE)</f>
        <v>30</v>
      </c>
      <c r="D1279" s="25">
        <f>+SUMIFS(PROVEEDORES[Total],PROVEEDORES[PROVEEDOR],PROVEEDORES[[#This Row],[PROVEEDOR]],PROVEEDORES[FECHA DE PAGO],"")</f>
        <v>0</v>
      </c>
      <c r="E1279" s="25"/>
      <c r="F1279" s="56" t="str">
        <f>+VLOOKUP(PROVEEDORES[[#This Row],[PROVEEDOR]],
                       Terceros!$A:$F,
                       5,
                       FALSE)</f>
        <v/>
      </c>
      <c r="G1279" s="289">
        <v>45322</v>
      </c>
      <c r="H1279" s="26" t="s">
        <v>566</v>
      </c>
      <c r="I1279" s="289">
        <v>45322</v>
      </c>
      <c r="J1279" s="35" t="s">
        <v>1585</v>
      </c>
      <c r="K1279" s="21">
        <v>2667200</v>
      </c>
      <c r="L1279" s="21"/>
      <c r="M1279" s="22">
        <f>(PROVEEDORES[[#This Row],[SUBTOTAL]]-PROVEEDORES[[#This Row],[descuento sobre subtotal]])*VLOOKUP(PROVEEDORES[[#This Row],[PROVEEDOR]],TERCEROS_INFO[#All],3,FALSE)</f>
        <v>0</v>
      </c>
      <c r="N1279" s="23"/>
      <c r="O1279" s="22">
        <f>+PROVEEDORES[[#This Row],[Descuento sobre subtotal %]]*(PROVEEDORES[[#This Row],[SUBTOTAL]]-PROVEEDORES[[#This Row],[descuento sobre subtotal]])</f>
        <v>0</v>
      </c>
      <c r="P1279" s="72">
        <f>+IF(PROVEEDORES[[#This Row],[SUBTOTAL]]&lt;PROVEEDORES[[#This Row],[base retencion]],0,PROVEEDORES[[#This Row],[retención aplicada]])</f>
        <v>0</v>
      </c>
      <c r="Q1279" s="22">
        <f>+PROVEEDORES[[#This Row],[Rete Fuente %]]*(PROVEEDORES[[#This Row],[SUBTOTAL]]-PROVEEDORES[[#This Row],[descuento sobre subtotal]])</f>
        <v>0</v>
      </c>
      <c r="R1279" s="21">
        <f>+PROVEEDORES[[#This Row],[SUBTOTAL]]+PROVEEDORES[[#This Row],[IVA 19%]]-PROVEEDORES[[#This Row],[descuento sobre subtotal]]-PROVEEDORES[[#This Row],[Descuento sobre subtotal $2]]-PROVEEDORES[[#This Row],[Rete Fuente $]]</f>
        <v>2667200</v>
      </c>
      <c r="S1279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1">
        <f ca="1">IF(PROVEEDORES[[#This Row],[FECHA DE PAGO]]=0,TODAY()-PROVEEDORES[[#This Row],[FECHA DE FACTURACIÓN]]-PROVEEDORES[[#This Row],[PLAZO Días]],0)</f>
        <v>0</v>
      </c>
      <c r="U1279" s="97">
        <f>+VLOOKUP(PROVEEDORES[[#This Row],[PROVEEDOR]],Terceros!$A:$D,4,FALSE)</f>
        <v>0</v>
      </c>
      <c r="V1279" s="98">
        <f>+YEAR(PROVEEDORES[[#This Row],[FECHA DE FACTURACIÓN]])</f>
        <v>2024</v>
      </c>
      <c r="W1279" s="98">
        <f>+MATCH(PROVEEDORES[[#This Row],[año facturado]],Retenciones!$1:$1,0)</f>
        <v>7</v>
      </c>
      <c r="X1279" s="99">
        <f>+VLOOKUP(PROVEEDORES[[#This Row],[ID RETENCION]],Retenciones!$A$1:$O$25,PROVEEDORES[[#This Row],[indicador de columna]],FALSE)</f>
        <v>0</v>
      </c>
      <c r="Y1279" s="100">
        <f>+VLOOKUP(PROVEEDORES[[#This Row],[ID RETENCION]],Retenciones!$A$1:$O$25,2,FALSE)</f>
        <v>0</v>
      </c>
      <c r="Z1279" s="103" t="b">
        <f>OR(COUNTIF(PROVEEDORES[[#This Row],[PROVEEDOR]],"*"&amp;'Palabra no opera'!$A$2&amp;"*"))</f>
        <v>0</v>
      </c>
    </row>
    <row r="1280" spans="1:26" ht="22.35" customHeight="1" x14ac:dyDescent="0.25">
      <c r="A1280" s="321" t="str">
        <f>+IF(PROVEEDORES[[#This Row],[FECHA DE PAGO]]=PROVEEDORES[[#This Row],[FECHA DE FACTURACIÓN]],"DE CONTADO","CRÉDITO")</f>
        <v>DE CONTADO</v>
      </c>
      <c r="B1280" s="38" t="b">
        <f>+IF((PROVEEDORES[[#This Row],[FECHA DE PAGO]]-PROVEEDORES[[#This Row],[FECHA DE FACTURACIÓN]])&gt;PROVEEDORES[[#This Row],[PLAZO Días]],"PAGO VENCIDO")</f>
        <v>0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0</v>
      </c>
      <c r="E1280" s="25"/>
      <c r="F1280" s="56" t="str">
        <f>+VLOOKUP(PROVEEDORES[[#This Row],[PROVEEDOR]],
                       Terceros!$A:$F,
                       5,
                       FALSE)</f>
        <v/>
      </c>
      <c r="G1280" s="289">
        <v>45322</v>
      </c>
      <c r="H1280" s="26" t="s">
        <v>566</v>
      </c>
      <c r="I1280" s="289">
        <v>45322</v>
      </c>
      <c r="J1280" s="35" t="s">
        <v>1586</v>
      </c>
      <c r="K1280" s="21">
        <v>474600</v>
      </c>
      <c r="L1280" s="21"/>
      <c r="M1280" s="22">
        <f>(PROVEEDORES[[#This Row],[SUBTOTAL]]-PROVEEDORES[[#This Row],[descuento sobre subtotal]])*VLOOKUP(PROVEEDORES[[#This Row],[PROVEEDOR]],TERCEROS_INFO[#All],3,FALSE)</f>
        <v>0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72">
        <f>+IF(PROVEEDORES[[#This Row],[SUBTOTAL]]&lt;PROVEEDORES[[#This Row],[base retencion]],0,PROVEEDORES[[#This Row],[retención aplicada]])</f>
        <v>0</v>
      </c>
      <c r="Q1280" s="22">
        <f>+PROVEEDORES[[#This Row],[Rete Fuente %]]*(PROVEEDORES[[#This Row],[SUBTOTAL]]-PROVEEDORES[[#This Row],[descuento sobre subtotal]])</f>
        <v>0</v>
      </c>
      <c r="R1280" s="21">
        <f>+PROVEEDORES[[#This Row],[SUBTOTAL]]+PROVEEDORES[[#This Row],[IVA 19%]]-PROVEEDORES[[#This Row],[descuento sobre subtotal]]-PROVEEDORES[[#This Row],[Descuento sobre subtotal $2]]-PROVEEDORES[[#This Row],[Rete Fuente $]]</f>
        <v>474600</v>
      </c>
      <c r="S1280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1">
        <f ca="1">IF(PROVEEDORES[[#This Row],[FECHA DE PAGO]]=0,TODAY()-PROVEEDORES[[#This Row],[FECHA DE FACTURACIÓN]]-PROVEEDORES[[#This Row],[PLAZO Días]],0)</f>
        <v>0</v>
      </c>
      <c r="U1280" s="97">
        <f>+VLOOKUP(PROVEEDORES[[#This Row],[PROVEEDOR]],Terceros!$A:$D,4,FALSE)</f>
        <v>0</v>
      </c>
      <c r="V1280" s="98">
        <f>+YEAR(PROVEEDORES[[#This Row],[FECHA DE FACTURACIÓN]])</f>
        <v>2024</v>
      </c>
      <c r="W1280" s="98">
        <f>+MATCH(PROVEEDORES[[#This Row],[año facturado]],Retenciones!$1:$1,0)</f>
        <v>7</v>
      </c>
      <c r="X1280" s="99">
        <f>+VLOOKUP(PROVEEDORES[[#This Row],[ID RETENCION]],Retenciones!$A$1:$O$25,PROVEEDORES[[#This Row],[indicador de columna]],FALSE)</f>
        <v>0</v>
      </c>
      <c r="Y1280" s="100">
        <f>+VLOOKUP(PROVEEDORES[[#This Row],[ID RETENCION]],Retenciones!$A$1:$O$25,2,FALSE)</f>
        <v>0</v>
      </c>
      <c r="Z1280" s="103" t="b">
        <f>OR(COUNTIF(PROVEEDORES[[#This Row],[PROVEEDOR]],"*"&amp;'Palabra no opera'!$A$2&amp;"*"))</f>
        <v>0</v>
      </c>
    </row>
    <row r="1281" spans="1:26" ht="22.35" customHeight="1" x14ac:dyDescent="0.25">
      <c r="A1281" s="321" t="str">
        <f>+IF(PROVEEDORES[[#This Row],[FECHA DE PAGO]]=PROVEEDORES[[#This Row],[FECHA DE FACTURACIÓN]],"DE CONTADO","CRÉDITO")</f>
        <v>DE CONTADO</v>
      </c>
      <c r="B1281" s="38" t="b">
        <f>+IF((PROVEEDORES[[#This Row],[FECHA DE PAGO]]-PROVEEDORES[[#This Row],[FECHA DE FACTURACIÓN]])&gt;PROVEEDORES[[#This Row],[PLAZO Días]],"PAGO VENCIDO")</f>
        <v>0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0</v>
      </c>
      <c r="E1281" s="25"/>
      <c r="F1281" s="56" t="str">
        <f>+VLOOKUP(PROVEEDORES[[#This Row],[PROVEEDOR]],
                       Terceros!$A:$F,
                       5,
                       FALSE)</f>
        <v/>
      </c>
      <c r="G1281" s="289">
        <v>45322</v>
      </c>
      <c r="H1281" s="26" t="s">
        <v>566</v>
      </c>
      <c r="I1281" s="289">
        <v>45322</v>
      </c>
      <c r="J1281" s="35" t="s">
        <v>520</v>
      </c>
      <c r="K1281" s="21">
        <v>485750</v>
      </c>
      <c r="L1281" s="21"/>
      <c r="M1281" s="22">
        <f>(PROVEEDORES[[#This Row],[SUBTOTAL]]-PROVEEDORES[[#This Row],[descuento sobre subtotal]])*VLOOKUP(PROVEEDORES[[#This Row],[PROVEEDOR]],TERCEROS_INFO[#All],3,FALSE)</f>
        <v>0</v>
      </c>
      <c r="N1281" s="23"/>
      <c r="O1281" s="22">
        <f>+PROVEEDORES[[#This Row],[Descuento sobre subtotal %]]*(PROVEEDORES[[#This Row],[SUBTOTAL]]-PROVEEDORES[[#This Row],[descuento sobre subtotal]])</f>
        <v>0</v>
      </c>
      <c r="P1281" s="72">
        <f>+IF(PROVEEDORES[[#This Row],[SUBTOTAL]]&lt;PROVEEDORES[[#This Row],[base retencion]],0,PROVEEDORES[[#This Row],[retención aplicada]])</f>
        <v>0</v>
      </c>
      <c r="Q1281" s="22">
        <f>+PROVEEDORES[[#This Row],[Rete Fuente %]]*(PROVEEDORES[[#This Row],[SUBTOTAL]]-PROVEEDORES[[#This Row],[descuento sobre subtotal]])</f>
        <v>0</v>
      </c>
      <c r="R1281" s="21">
        <f>+PROVEEDORES[[#This Row],[SUBTOTAL]]+PROVEEDORES[[#This Row],[IVA 19%]]-PROVEEDORES[[#This Row],[descuento sobre subtotal]]-PROVEEDORES[[#This Row],[Descuento sobre subtotal $2]]-PROVEEDORES[[#This Row],[Rete Fuente $]]</f>
        <v>485750</v>
      </c>
      <c r="S1281" s="3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1">
        <f ca="1">IF(PROVEEDORES[[#This Row],[FECHA DE PAGO]]=0,TODAY()-PROVEEDORES[[#This Row],[FECHA DE FACTURACIÓN]]-PROVEEDORES[[#This Row],[PLAZO Días]],0)</f>
        <v>0</v>
      </c>
      <c r="U1281" s="97">
        <f>+VLOOKUP(PROVEEDORES[[#This Row],[PROVEEDOR]],Terceros!$A:$D,4,FALSE)</f>
        <v>0</v>
      </c>
      <c r="V1281" s="98">
        <f>+YEAR(PROVEEDORES[[#This Row],[FECHA DE FACTURACIÓN]])</f>
        <v>2024</v>
      </c>
      <c r="W1281" s="98">
        <f>+MATCH(PROVEEDORES[[#This Row],[año facturado]],Retenciones!$1:$1,0)</f>
        <v>7</v>
      </c>
      <c r="X1281" s="99">
        <f>+VLOOKUP(PROVEEDORES[[#This Row],[ID RETENCION]],Retenciones!$A$1:$O$25,PROVEEDORES[[#This Row],[indicador de columna]],FALSE)</f>
        <v>0</v>
      </c>
      <c r="Y1281" s="100">
        <f>+VLOOKUP(PROVEEDORES[[#This Row],[ID RETENCION]],Retenciones!$A$1:$O$25,2,FALSE)</f>
        <v>0</v>
      </c>
      <c r="Z1281" s="103" t="b">
        <f>OR(COUNTIF(PROVEEDORES[[#This Row],[PROVEEDOR]],"*"&amp;'Palabra no opera'!$A$2&amp;"*"))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Z1281">
    <cfRule type="expression" dxfId="145" priority="1" stopIfTrue="1">
      <formula>$S2="Por pagar"</formula>
    </cfRule>
    <cfRule type="expression" dxfId="144" priority="2" stopIfTrue="1">
      <formula>$S2="Vencida"</formula>
    </cfRule>
    <cfRule type="expression" dxfId="143" priority="3" stopIfTrue="1">
      <formula>$S2="Pagada"</formula>
    </cfRule>
  </conditionalFormatting>
  <dataValidations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DB6B-48E3-49D4-B8D1-D20D3D433F75}">
          <x14:formula1>
            <xm:f>Terceros!$A:$A</xm:f>
          </x14:formula1>
          <xm:sqref>H392:H473 H475:H526 H528:H599 H601:H631 H633:H636 H638:H659 H661:H679 H871:H881 H883:H905 H907:H952 H955:H970 H972:H1072 H1074:H1104 H681:H869 H1106:H1164 H171:H390 H1166:H1211 H2:H103 H105:H131 H133:H169 H1213:H1221 H1223:H1241 J1274 H1243:H1048576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114"/>
  <sheetViews>
    <sheetView topLeftCell="C1" zoomScaleNormal="100" workbookViewId="0">
      <selection activeCell="H83" sqref="H83:H114"/>
    </sheetView>
  </sheetViews>
  <sheetFormatPr baseColWidth="10" defaultColWidth="0" defaultRowHeight="22.35" customHeight="1" x14ac:dyDescent="0.25"/>
  <cols>
    <col min="1" max="1" width="10" style="32" hidden="1" customWidth="1"/>
    <col min="2" max="2" width="15.5703125" style="38" hidden="1" customWidth="1"/>
    <col min="3" max="3" width="9.5703125" style="29" customWidth="1"/>
    <col min="4" max="4" width="13.5703125" style="289" customWidth="1"/>
    <col min="5" max="5" width="39.42578125" style="29" customWidth="1"/>
    <col min="6" max="6" width="13.5703125" style="30" customWidth="1"/>
    <col min="7" max="7" width="17.42578125" style="30" customWidth="1"/>
    <col min="8" max="8" width="17.5703125" style="30" customWidth="1"/>
    <col min="9" max="9" width="14.42578125" style="37" customWidth="1"/>
    <col min="10" max="10" width="15.5703125" style="69" hidden="1" customWidth="1"/>
    <col min="11" max="11" width="14.42578125" style="69" hidden="1" customWidth="1"/>
    <col min="12" max="12" width="11.42578125" hidden="1" customWidth="1"/>
    <col min="13" max="13" width="11.42578125" style="64" hidden="1" customWidth="1"/>
    <col min="14" max="14" width="11.42578125" hidden="1" customWidth="1"/>
    <col min="15" max="16" width="11.42578125" style="27" hidden="1" customWidth="1"/>
    <col min="17" max="17" width="13.5703125" style="69" hidden="1" customWidth="1"/>
    <col min="18" max="18" width="11.42578125" style="24" hidden="1" customWidth="1"/>
    <col min="19" max="19" width="14.5703125" style="24" hidden="1" customWidth="1"/>
    <col min="20" max="20" width="23.5703125" style="24" hidden="1" customWidth="1"/>
    <col min="21" max="21" width="11.5703125" style="24" hidden="1" customWidth="1"/>
    <col min="22" max="22" width="12.42578125" style="69" hidden="1" customWidth="1"/>
    <col min="23" max="23" width="17.42578125" style="70" hidden="1" customWidth="1"/>
    <col min="24" max="24" width="11.42578125" style="24" hidden="1" customWidth="1"/>
    <col min="25" max="26" width="17.42578125" style="24" hidden="1" customWidth="1"/>
    <col min="27" max="27" width="11.42578125" style="24" hidden="1" customWidth="1"/>
    <col min="28" max="30" width="17.42578125" style="24" hidden="1" customWidth="1"/>
    <col min="31" max="31" width="11.42578125" style="24" hidden="1" customWidth="1"/>
    <col min="32" max="33" width="17.42578125" style="24" hidden="1" customWidth="1"/>
    <col min="34" max="34" width="11.42578125" style="24" hidden="1" customWidth="1"/>
    <col min="35" max="36" width="17.42578125" style="24" hidden="1" customWidth="1"/>
    <col min="37" max="16383" width="11.42578125" style="24" hidden="1"/>
    <col min="16384" max="16384" width="1.42578125" style="24" hidden="1" customWidth="1"/>
  </cols>
  <sheetData>
    <row r="1" spans="1:11" s="19" customFormat="1" ht="62.25" customHeight="1" x14ac:dyDescent="0.25">
      <c r="A1" s="12" t="s">
        <v>8</v>
      </c>
      <c r="B1" s="12" t="s">
        <v>139</v>
      </c>
      <c r="C1" s="13" t="s">
        <v>100</v>
      </c>
      <c r="D1" s="295" t="s">
        <v>6</v>
      </c>
      <c r="E1" s="14" t="s">
        <v>3</v>
      </c>
      <c r="F1" s="63" t="s">
        <v>1</v>
      </c>
      <c r="G1" s="36" t="s">
        <v>2</v>
      </c>
      <c r="H1" s="14" t="s">
        <v>362</v>
      </c>
      <c r="I1" s="15" t="s">
        <v>375</v>
      </c>
      <c r="K1" s="64"/>
    </row>
    <row r="2" spans="1:11" ht="22.35" hidden="1" customHeight="1" x14ac:dyDescent="0.25">
      <c r="A2" s="141" t="str">
        <f>+IF(PROVEEDORES3[[#This Row],[FECHA DE PAGO]]=PROVEEDORES3[[#This Row],[FECHA DE FACTURACIÓN]],"DE CONTADO","CRÉDITO")</f>
        <v>DE CONTADO</v>
      </c>
      <c r="B2" s="38" t="e">
        <f>+IF((PROVEEDORES3[[#This Row],[FECHA DE PAGO]]-PROVEEDORES3[[#This Row],[FECHA DE FACTURACIÓN]])&gt;#REF!,"PAGO VENCIDO")</f>
        <v>#REF!</v>
      </c>
      <c r="C2" s="56" t="str">
        <f>+VLOOKUP(PROVEEDORES3[[#This Row],[PROVEEDOR]],TERCEROS_INFO[[PROVEEDOR]:[CORREO]],5,FALSE)</f>
        <v>jessica.barrios@carpainternacional.com;girlesa.ruiz@servipilas.com;joriescobar64@gmail.com</v>
      </c>
      <c r="D2" s="294">
        <v>44938</v>
      </c>
      <c r="E2" s="26" t="s">
        <v>250</v>
      </c>
      <c r="F2" s="67">
        <v>44938</v>
      </c>
      <c r="G2" s="135" t="s">
        <v>542</v>
      </c>
      <c r="H2" s="68">
        <v>0</v>
      </c>
      <c r="I2" s="21">
        <f>+PROVEEDORES3[[#This Row],[Total USD]]*5000</f>
        <v>0</v>
      </c>
    </row>
    <row r="3" spans="1:11" ht="22.35" hidden="1" customHeight="1" x14ac:dyDescent="0.25">
      <c r="A3" s="141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6" t="str">
        <f>+VLOOKUP(PROVEEDORES3[[#This Row],[PROVEEDOR]],TERCEROS_INFO[[PROVEEDOR]:[CORREO]],5,FALSE)</f>
        <v>jessica.barrios@carpainternacional.com;girlesa.ruiz@servipilas.com;joriescobar64@gmail.com</v>
      </c>
      <c r="D3" s="289">
        <v>44992</v>
      </c>
      <c r="E3" s="26" t="s">
        <v>250</v>
      </c>
      <c r="F3" s="67">
        <v>44914</v>
      </c>
      <c r="G3" s="35">
        <v>1566</v>
      </c>
      <c r="H3" s="68">
        <v>40</v>
      </c>
      <c r="I3" s="21">
        <f>+PROVEEDORES3[[#This Row],[Total USD]]*4800</f>
        <v>192000</v>
      </c>
    </row>
    <row r="4" spans="1:11" ht="22.35" hidden="1" customHeight="1" x14ac:dyDescent="0.25">
      <c r="A4" s="141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6" t="str">
        <f>+VLOOKUP(PROVEEDORES3[[#This Row],[PROVEEDOR]],TERCEROS_INFO[[PROVEEDOR]:[CORREO]],5,FALSE)</f>
        <v>jessica.barrios@carpainternacional.com;girlesa.ruiz@servipilas.com;joriescobar64@gmail.com</v>
      </c>
      <c r="D4" s="289">
        <v>44992</v>
      </c>
      <c r="E4" s="26" t="s">
        <v>250</v>
      </c>
      <c r="F4" s="67">
        <v>44922</v>
      </c>
      <c r="G4" s="35">
        <v>1567</v>
      </c>
      <c r="H4" s="68">
        <v>40</v>
      </c>
      <c r="I4" s="21">
        <f>+PROVEEDORES3[[#This Row],[Total USD]]*4800</f>
        <v>192000</v>
      </c>
    </row>
    <row r="5" spans="1:11" ht="22.35" hidden="1" customHeight="1" x14ac:dyDescent="0.25">
      <c r="A5" s="141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6" t="str">
        <f>+VLOOKUP(PROVEEDORES3[[#This Row],[PROVEEDOR]],TERCEROS_INFO[[PROVEEDOR]:[CORREO]],5,FALSE)</f>
        <v>jessica.barrios@carpainternacional.com;girlesa.ruiz@servipilas.com;joriescobar64@gmail.com</v>
      </c>
      <c r="D5" s="289">
        <v>44992</v>
      </c>
      <c r="E5" s="26" t="s">
        <v>250</v>
      </c>
      <c r="F5" s="67">
        <v>44922</v>
      </c>
      <c r="G5" s="35">
        <v>1568</v>
      </c>
      <c r="H5" s="68">
        <v>44</v>
      </c>
      <c r="I5" s="21">
        <f>+PROVEEDORES3[[#This Row],[Total USD]]*4800</f>
        <v>211200</v>
      </c>
    </row>
    <row r="6" spans="1:11" ht="22.35" hidden="1" customHeight="1" x14ac:dyDescent="0.25">
      <c r="A6" s="65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6" t="str">
        <f>+VLOOKUP(PROVEEDORES3[[#This Row],[PROVEEDOR]],TERCEROS_INFO[[PROVEEDOR]:[CORREO]],5,FALSE)</f>
        <v>jessica.barrios@carpainternacional.com;girlesa.ruiz@servipilas.com;joriescobar64@gmail.com</v>
      </c>
      <c r="D6" s="289">
        <v>44992</v>
      </c>
      <c r="E6" s="26" t="s">
        <v>250</v>
      </c>
      <c r="F6" s="67">
        <v>44922</v>
      </c>
      <c r="G6" s="35">
        <v>1570</v>
      </c>
      <c r="H6" s="68">
        <v>40</v>
      </c>
      <c r="I6" s="21">
        <f>+PROVEEDORES3[[#This Row],[Total USD]]*4800</f>
        <v>192000</v>
      </c>
    </row>
    <row r="7" spans="1:11" ht="22.35" hidden="1" customHeight="1" x14ac:dyDescent="0.25">
      <c r="A7" s="65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6" t="str">
        <f>+VLOOKUP(PROVEEDORES3[[#This Row],[PROVEEDOR]],TERCEROS_INFO[[PROVEEDOR]:[CORREO]],5,FALSE)</f>
        <v>jessica.barrios@carpainternacional.com;girlesa.ruiz@servipilas.com;joriescobar64@gmail.com</v>
      </c>
      <c r="D7" s="289">
        <v>44992</v>
      </c>
      <c r="E7" s="26" t="s">
        <v>250</v>
      </c>
      <c r="F7" s="67">
        <v>44924</v>
      </c>
      <c r="G7" s="35">
        <v>1575</v>
      </c>
      <c r="H7" s="68">
        <v>64</v>
      </c>
      <c r="I7" s="21">
        <f>+PROVEEDORES3[[#This Row],[Total USD]]*4800</f>
        <v>307200</v>
      </c>
    </row>
    <row r="8" spans="1:11" ht="22.35" hidden="1" customHeight="1" x14ac:dyDescent="0.25">
      <c r="A8" s="65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6" t="str">
        <f>+VLOOKUP(PROVEEDORES3[[#This Row],[PROVEEDOR]],TERCEROS_INFO[[PROVEEDOR]:[CORREO]],5,FALSE)</f>
        <v>jessica.barrios@carpainternacional.com;girlesa.ruiz@servipilas.com;joriescobar64@gmail.com</v>
      </c>
      <c r="D8" s="289">
        <v>44992</v>
      </c>
      <c r="E8" s="26" t="s">
        <v>250</v>
      </c>
      <c r="F8" s="67">
        <v>44924</v>
      </c>
      <c r="G8" s="35">
        <v>1576</v>
      </c>
      <c r="H8" s="68">
        <v>52</v>
      </c>
      <c r="I8" s="21">
        <f>+PROVEEDORES3[[#This Row],[Total USD]]*4800</f>
        <v>249600</v>
      </c>
    </row>
    <row r="9" spans="1:11" ht="22.35" hidden="1" customHeight="1" x14ac:dyDescent="0.25">
      <c r="A9" s="143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6" t="str">
        <f>+VLOOKUP(PROVEEDORES3[[#This Row],[PROVEEDOR]],TERCEROS_INFO[[PROVEEDOR]:[CORREO]],5,FALSE)</f>
        <v>jessica.barrios@carpainternacional.com;girlesa.ruiz@servipilas.com;joriescobar64@gmail.com</v>
      </c>
      <c r="D9" s="289">
        <v>44992</v>
      </c>
      <c r="E9" s="26" t="s">
        <v>250</v>
      </c>
      <c r="F9" s="67">
        <v>44927</v>
      </c>
      <c r="G9" s="35">
        <v>1585</v>
      </c>
      <c r="H9" s="68">
        <v>40</v>
      </c>
      <c r="I9" s="21">
        <f>+PROVEEDORES3[[#This Row],[Total USD]]*4800</f>
        <v>192000</v>
      </c>
    </row>
    <row r="10" spans="1:11" ht="22.35" hidden="1" customHeight="1" x14ac:dyDescent="0.25">
      <c r="A10" s="143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6" t="str">
        <f>+VLOOKUP(PROVEEDORES3[[#This Row],[PROVEEDOR]],TERCEROS_INFO[[PROVEEDOR]:[CORREO]],5,FALSE)</f>
        <v>jessica.barrios@carpainternacional.com;girlesa.ruiz@servipilas.com;joriescobar64@gmail.com</v>
      </c>
      <c r="D10" s="289">
        <v>44992</v>
      </c>
      <c r="E10" s="26" t="s">
        <v>250</v>
      </c>
      <c r="F10" s="67">
        <v>44927</v>
      </c>
      <c r="G10" s="35">
        <v>1586</v>
      </c>
      <c r="H10" s="68">
        <v>40</v>
      </c>
      <c r="I10" s="21">
        <f>+PROVEEDORES3[[#This Row],[Total USD]]*4800</f>
        <v>192000</v>
      </c>
    </row>
    <row r="11" spans="1:11" ht="22.35" hidden="1" customHeight="1" x14ac:dyDescent="0.25">
      <c r="A11" s="65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6" t="str">
        <f>+VLOOKUP(PROVEEDORES3[[#This Row],[PROVEEDOR]],TERCEROS_INFO[[PROVEEDOR]:[CORREO]],5,FALSE)</f>
        <v>jessica.barrios@carpainternacional.com;girlesa.ruiz@servipilas.com;joriescobar64@gmail.com</v>
      </c>
      <c r="D11" s="289">
        <v>44992</v>
      </c>
      <c r="E11" s="26" t="s">
        <v>250</v>
      </c>
      <c r="F11" s="67">
        <v>44949</v>
      </c>
      <c r="G11" s="35">
        <v>1591</v>
      </c>
      <c r="H11" s="68">
        <v>112.9</v>
      </c>
      <c r="I11" s="21">
        <f>+PROVEEDORES3[[#This Row],[Total USD]]*4600</f>
        <v>519340</v>
      </c>
    </row>
    <row r="12" spans="1:11" ht="22.35" hidden="1" customHeight="1" x14ac:dyDescent="0.25">
      <c r="A12" s="147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6" t="str">
        <f>+VLOOKUP(PROVEEDORES3[[#This Row],[PROVEEDOR]],TERCEROS_INFO[[PROVEEDOR]:[CORREO]],5,FALSE)</f>
        <v>jessica.barrios@carpainternacional.com;girlesa.ruiz@servipilas.com;joriescobar64@gmail.com</v>
      </c>
      <c r="D12" s="289">
        <v>44992</v>
      </c>
      <c r="E12" s="26" t="s">
        <v>250</v>
      </c>
      <c r="F12" s="67">
        <v>44949</v>
      </c>
      <c r="G12" s="35">
        <v>1598</v>
      </c>
      <c r="H12" s="68">
        <v>40</v>
      </c>
      <c r="I12" s="21">
        <f>+PROVEEDORES3[[#This Row],[Total USD]]*4600</f>
        <v>184000</v>
      </c>
    </row>
    <row r="13" spans="1:11" ht="22.35" hidden="1" customHeight="1" x14ac:dyDescent="0.25">
      <c r="A13" s="151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6" t="str">
        <f>+VLOOKUP(PROVEEDORES3[[#This Row],[PROVEEDOR]],TERCEROS_INFO[[PROVEEDOR]:[CORREO]],5,FALSE)</f>
        <v>jessica.barrios@carpainternacional.com;girlesa.ruiz@servipilas.com;joriescobar64@gmail.com</v>
      </c>
      <c r="D13" s="289">
        <v>44992</v>
      </c>
      <c r="E13" s="26" t="s">
        <v>250</v>
      </c>
      <c r="F13" s="67">
        <v>44963</v>
      </c>
      <c r="G13" s="35">
        <v>1607</v>
      </c>
      <c r="H13" s="68">
        <v>40</v>
      </c>
      <c r="I13" s="21">
        <f>+PROVEEDORES3[[#This Row],[Total USD]]*4780</f>
        <v>191200</v>
      </c>
    </row>
    <row r="14" spans="1:11" ht="22.35" hidden="1" customHeight="1" x14ac:dyDescent="0.25">
      <c r="A14" s="151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6" t="str">
        <f>+VLOOKUP(PROVEEDORES3[[#This Row],[PROVEEDOR]],TERCEROS_INFO[[PROVEEDOR]:[CORREO]],5,FALSE)</f>
        <v>jessica.barrios@carpainternacional.com;girlesa.ruiz@servipilas.com;joriescobar64@gmail.com</v>
      </c>
      <c r="D14" s="289">
        <v>44992</v>
      </c>
      <c r="E14" s="26" t="s">
        <v>250</v>
      </c>
      <c r="F14" s="67">
        <v>45079</v>
      </c>
      <c r="G14" s="35">
        <v>1608</v>
      </c>
      <c r="H14" s="68">
        <v>40</v>
      </c>
      <c r="I14" s="21">
        <f>+PROVEEDORES3[[#This Row],[Total USD]]*4780</f>
        <v>191200</v>
      </c>
    </row>
    <row r="15" spans="1:11" ht="22.35" hidden="1" customHeight="1" x14ac:dyDescent="0.25">
      <c r="A15" s="157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6" t="str">
        <f>+VLOOKUP(PROVEEDORES3[[#This Row],[PROVEEDOR]],TERCEROS_INFO[[PROVEEDOR]:[CORREO]],5,FALSE)</f>
        <v>jessica.barrios@carpainternacional.com;girlesa.ruiz@servipilas.com;joriescobar64@gmail.com</v>
      </c>
      <c r="D15" s="289">
        <v>44992</v>
      </c>
      <c r="E15" s="26" t="s">
        <v>250</v>
      </c>
      <c r="F15" s="67">
        <v>44963</v>
      </c>
      <c r="G15" s="35">
        <v>1623</v>
      </c>
      <c r="H15" s="68">
        <v>72</v>
      </c>
      <c r="I15" s="21">
        <f>+PROVEEDORES3[[#This Row],[Total USD]]*4860</f>
        <v>349920</v>
      </c>
    </row>
    <row r="16" spans="1:11" ht="22.35" hidden="1" customHeight="1" x14ac:dyDescent="0.25">
      <c r="A16" s="157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6" t="str">
        <f>+VLOOKUP(PROVEEDORES3[[#This Row],[PROVEEDOR]],TERCEROS_INFO[[PROVEEDOR]:[CORREO]],5,FALSE)</f>
        <v>jessica.barrios@carpainternacional.com;girlesa.ruiz@servipilas.com;joriescobar64@gmail.com</v>
      </c>
      <c r="D16" s="289">
        <v>44992</v>
      </c>
      <c r="E16" s="26" t="s">
        <v>250</v>
      </c>
      <c r="F16" s="67">
        <v>44963</v>
      </c>
      <c r="G16" s="35">
        <v>1624</v>
      </c>
      <c r="H16" s="68">
        <v>242.4</v>
      </c>
      <c r="I16" s="21">
        <f>+PROVEEDORES3[[#This Row],[Total USD]]*4860</f>
        <v>1178064</v>
      </c>
    </row>
    <row r="17" spans="1:9" ht="22.35" hidden="1" customHeight="1" x14ac:dyDescent="0.25">
      <c r="A17" s="65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6" t="str">
        <f>+VLOOKUP(PROVEEDORES3[[#This Row],[PROVEEDOR]],TERCEROS_INFO[[PROVEEDOR]:[CORREO]],5,FALSE)</f>
        <v>jessica.barrios@carpainternacional.com;girlesa.ruiz@servipilas.com;joriescobar64@gmail.com</v>
      </c>
      <c r="D17" s="289">
        <v>45026</v>
      </c>
      <c r="E17" s="26" t="s">
        <v>250</v>
      </c>
      <c r="F17" s="67">
        <v>44999</v>
      </c>
      <c r="G17" s="35">
        <v>1627</v>
      </c>
      <c r="H17" s="68">
        <v>64</v>
      </c>
      <c r="I17" s="21">
        <f>+PROVEEDORES3[[#This Row],[Total USD]]*4880</f>
        <v>312320</v>
      </c>
    </row>
    <row r="18" spans="1:9" ht="22.35" hidden="1" customHeight="1" x14ac:dyDescent="0.25">
      <c r="A18" s="65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6" t="str">
        <f>+VLOOKUP(PROVEEDORES3[[#This Row],[PROVEEDOR]],TERCEROS_INFO[[PROVEEDOR]:[CORREO]],5,FALSE)</f>
        <v>jessica.barrios@carpainternacional.com;girlesa.ruiz@servipilas.com;joriescobar64@gmail.com</v>
      </c>
      <c r="D18" s="289">
        <v>45026</v>
      </c>
      <c r="E18" s="26" t="s">
        <v>250</v>
      </c>
      <c r="F18" s="67">
        <v>44999</v>
      </c>
      <c r="G18" s="35">
        <v>1628</v>
      </c>
      <c r="H18" s="68">
        <v>44</v>
      </c>
      <c r="I18" s="21">
        <f>+PROVEEDORES3[[#This Row],[Total USD]]*4880</f>
        <v>214720</v>
      </c>
    </row>
    <row r="19" spans="1:9" ht="22.35" hidden="1" customHeight="1" x14ac:dyDescent="0.25">
      <c r="A19" s="164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6" t="str">
        <f>+VLOOKUP(PROVEEDORES3[[#This Row],[PROVEEDOR]],TERCEROS_INFO[[PROVEEDOR]:[CORREO]],5,FALSE)</f>
        <v>jessica.barrios@carpainternacional.com;girlesa.ruiz@servipilas.com;joriescobar64@gmail.com</v>
      </c>
      <c r="D19" s="289">
        <v>45026</v>
      </c>
      <c r="E19" s="26" t="s">
        <v>250</v>
      </c>
      <c r="F19" s="67">
        <v>45002</v>
      </c>
      <c r="G19" s="35">
        <v>1634</v>
      </c>
      <c r="H19" s="68">
        <v>40</v>
      </c>
      <c r="I19" s="21">
        <f>+PROVEEDORES3[[#This Row],[Total USD]]*4780</f>
        <v>191200</v>
      </c>
    </row>
    <row r="20" spans="1:9" ht="22.35" hidden="1" customHeight="1" x14ac:dyDescent="0.25">
      <c r="A20" s="164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6" t="str">
        <f>+VLOOKUP(PROVEEDORES3[[#This Row],[PROVEEDOR]],TERCEROS_INFO[[PROVEEDOR]:[CORREO]],5,FALSE)</f>
        <v>jessica.barrios@carpainternacional.com;girlesa.ruiz@servipilas.com;joriescobar64@gmail.com</v>
      </c>
      <c r="D20" s="289">
        <v>45026</v>
      </c>
      <c r="E20" s="26" t="s">
        <v>250</v>
      </c>
      <c r="F20" s="67">
        <v>44999</v>
      </c>
      <c r="G20" s="35">
        <v>1635</v>
      </c>
      <c r="H20" s="68">
        <v>40</v>
      </c>
      <c r="I20" s="21">
        <f>+PROVEEDORES3[[#This Row],[Total USD]]*4780</f>
        <v>191200</v>
      </c>
    </row>
    <row r="21" spans="1:9" ht="22.35" hidden="1" customHeight="1" x14ac:dyDescent="0.25">
      <c r="A21" s="164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6" t="str">
        <f>+VLOOKUP(PROVEEDORES3[[#This Row],[PROVEEDOR]],TERCEROS_INFO[[PROVEEDOR]:[CORREO]],5,FALSE)</f>
        <v>jessica.barrios@carpainternacional.com;girlesa.ruiz@servipilas.com;joriescobar64@gmail.com</v>
      </c>
      <c r="D21" s="289">
        <v>45026</v>
      </c>
      <c r="E21" s="26" t="s">
        <v>250</v>
      </c>
      <c r="F21" s="67">
        <v>45009</v>
      </c>
      <c r="G21" s="35">
        <v>1640</v>
      </c>
      <c r="H21" s="68">
        <v>44</v>
      </c>
      <c r="I21" s="21">
        <f>+PROVEEDORES3[[#This Row],[Total USD]]*4700</f>
        <v>206800</v>
      </c>
    </row>
    <row r="22" spans="1:9" ht="22.35" hidden="1" customHeight="1" x14ac:dyDescent="0.25">
      <c r="A22" s="65" t="str">
        <f>+IF(PROVEEDORES3[[#This Row],[FECHA DE PAGO]]=PROVEEDORES3[[#This Row],[FECHA DE FACTURACIÓN]],"DE CONTADO","CRÉDITO")</f>
        <v>DE CONTADO</v>
      </c>
      <c r="B22" s="38" t="e">
        <f>+IF((PROVEEDORES3[[#This Row],[FECHA DE PAGO]]-PROVEEDORES3[[#This Row],[FECHA DE FACTURACIÓN]])&gt;#REF!,"PAGO VENCIDO")</f>
        <v>#REF!</v>
      </c>
      <c r="C22" s="56" t="str">
        <f>+VLOOKUP(PROVEEDORES3[[#This Row],[PROVEEDOR]],TERCEROS_INFO[[PROVEEDOR]:[CORREO]],5,FALSE)</f>
        <v>jessica.barrios@carpainternacional.com;girlesa.ruiz@servipilas.com;joriescobar64@gmail.com</v>
      </c>
      <c r="D22" s="289">
        <v>45029</v>
      </c>
      <c r="E22" s="26" t="s">
        <v>250</v>
      </c>
      <c r="F22" s="67">
        <v>45029</v>
      </c>
      <c r="G22" s="135" t="s">
        <v>729</v>
      </c>
      <c r="H22" s="68"/>
      <c r="I22" s="21">
        <f>+PROVEEDORES3[[#This Row],[Total USD]]*3828.5</f>
        <v>0</v>
      </c>
    </row>
    <row r="23" spans="1:9" ht="22.35" hidden="1" customHeight="1" x14ac:dyDescent="0.25">
      <c r="A23" s="65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6" t="str">
        <f>+VLOOKUP(PROVEEDORES3[[#This Row],[PROVEEDOR]],TERCEROS_INFO[[PROVEEDOR]:[CORREO]],5,FALSE)</f>
        <v>jessica.barrios@carpainternacional.com;girlesa.ruiz@servipilas.com;joriescobar64@gmail.com</v>
      </c>
      <c r="D23" s="289">
        <v>45051</v>
      </c>
      <c r="E23" s="26" t="s">
        <v>250</v>
      </c>
      <c r="F23" s="67">
        <v>45022</v>
      </c>
      <c r="G23" s="35">
        <v>1649</v>
      </c>
      <c r="H23" s="68">
        <v>68</v>
      </c>
      <c r="I23" s="21">
        <f>+PROVEEDORES3[[#This Row],[Total USD]]*4700</f>
        <v>319600</v>
      </c>
    </row>
    <row r="24" spans="1:9" ht="22.35" hidden="1" customHeight="1" x14ac:dyDescent="0.25">
      <c r="A24" s="65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6" t="str">
        <f>+VLOOKUP(PROVEEDORES3[[#This Row],[PROVEEDOR]],TERCEROS_INFO[[PROVEEDOR]:[CORREO]],5,FALSE)</f>
        <v>jessica.barrios@carpainternacional.com;girlesa.ruiz@servipilas.com;joriescobar64@gmail.com</v>
      </c>
      <c r="D24" s="289">
        <v>45051</v>
      </c>
      <c r="E24" s="26" t="s">
        <v>250</v>
      </c>
      <c r="F24" s="67">
        <v>45022</v>
      </c>
      <c r="G24" s="35">
        <v>1650</v>
      </c>
      <c r="H24" s="68">
        <v>72</v>
      </c>
      <c r="I24" s="21">
        <f>+PROVEEDORES3[[#This Row],[Total USD]]*4700</f>
        <v>338400</v>
      </c>
    </row>
    <row r="25" spans="1:9" ht="22.35" hidden="1" customHeight="1" x14ac:dyDescent="0.25">
      <c r="A25" s="65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6" t="str">
        <f>+VLOOKUP(PROVEEDORES3[[#This Row],[PROVEEDOR]],TERCEROS_INFO[[PROVEEDOR]:[CORREO]],5,FALSE)</f>
        <v>jessica.barrios@carpainternacional.com;girlesa.ruiz@servipilas.com;joriescobar64@gmail.com</v>
      </c>
      <c r="D25" s="289">
        <v>45051</v>
      </c>
      <c r="E25" s="26" t="s">
        <v>250</v>
      </c>
      <c r="F25" s="67">
        <v>45022</v>
      </c>
      <c r="G25" s="35">
        <v>1651</v>
      </c>
      <c r="H25" s="68">
        <v>160.69999999999999</v>
      </c>
      <c r="I25" s="21">
        <f>+PROVEEDORES3[[#This Row],[Total USD]]*4700</f>
        <v>755290</v>
      </c>
    </row>
    <row r="26" spans="1:9" ht="22.35" hidden="1" customHeight="1" x14ac:dyDescent="0.25">
      <c r="A26" s="192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6" t="str">
        <f>+VLOOKUP(PROVEEDORES3[[#This Row],[PROVEEDOR]],TERCEROS_INFO[[PROVEEDOR]:[CORREO]],5,FALSE)</f>
        <v>jessica.barrios@carpainternacional.com;girlesa.ruiz@servipilas.com;joriescobar64@gmail.com</v>
      </c>
      <c r="D26" s="289">
        <v>45051</v>
      </c>
      <c r="E26" s="26" t="s">
        <v>250</v>
      </c>
      <c r="F26" s="67">
        <v>45037</v>
      </c>
      <c r="G26" s="35">
        <v>1662</v>
      </c>
      <c r="H26" s="68">
        <v>40</v>
      </c>
      <c r="I26" s="21">
        <f>+PROVEEDORES3[[#This Row],[Total USD]]*4705</f>
        <v>188200</v>
      </c>
    </row>
    <row r="27" spans="1:9" ht="22.35" hidden="1" customHeight="1" x14ac:dyDescent="0.25">
      <c r="A27" s="192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6" t="str">
        <f>+VLOOKUP(PROVEEDORES3[[#This Row],[PROVEEDOR]],TERCEROS_INFO[[PROVEEDOR]:[CORREO]],5,FALSE)</f>
        <v>jessica.barrios@carpainternacional.com;girlesa.ruiz@servipilas.com;joriescobar64@gmail.com</v>
      </c>
      <c r="D27" s="289">
        <v>45051</v>
      </c>
      <c r="E27" s="26" t="s">
        <v>250</v>
      </c>
      <c r="F27" s="67">
        <v>45037</v>
      </c>
      <c r="G27" s="35">
        <v>1663</v>
      </c>
      <c r="H27" s="68">
        <v>40</v>
      </c>
      <c r="I27" s="21">
        <f>+PROVEEDORES3[[#This Row],[Total USD]]*4705</f>
        <v>188200</v>
      </c>
    </row>
    <row r="28" spans="1:9" ht="22.35" hidden="1" customHeight="1" x14ac:dyDescent="0.25">
      <c r="A28" s="65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6" t="str">
        <f>+VLOOKUP(PROVEEDORES3[[#This Row],[PROVEEDOR]],TERCEROS_INFO[[PROVEEDOR]:[CORREO]],5,FALSE)</f>
        <v>jessica.barrios@carpainternacional.com;girlesa.ruiz@servipilas.com;joriescobar64@gmail.com</v>
      </c>
      <c r="D28" s="289">
        <v>45051</v>
      </c>
      <c r="E28" s="26" t="s">
        <v>250</v>
      </c>
      <c r="F28" s="67">
        <v>45017</v>
      </c>
      <c r="G28" s="135" t="s">
        <v>722</v>
      </c>
      <c r="H28" s="68">
        <v>36.1</v>
      </c>
      <c r="I28" s="21">
        <f>+PROVEEDORES3[[#This Row],[Total USD]]*4700</f>
        <v>169670</v>
      </c>
    </row>
    <row r="29" spans="1:9" ht="22.35" hidden="1" customHeight="1" x14ac:dyDescent="0.25">
      <c r="A29" s="202" t="str">
        <f>+IF(PROVEEDORES3[[#This Row],[FECHA DE PAGO]]=PROVEEDORES3[[#This Row],[FECHA DE FACTURACIÓN]],"DE CONTADO","CRÉDITO")</f>
        <v>DE CONTADO</v>
      </c>
      <c r="B29" s="38" t="e">
        <f>+IF((PROVEEDORES3[[#This Row],[FECHA DE PAGO]]-PROVEEDORES3[[#This Row],[FECHA DE FACTURACIÓN]])&gt;#REF!,"PAGO VENCIDO")</f>
        <v>#REF!</v>
      </c>
      <c r="C29" s="56" t="str">
        <f>+VLOOKUP(PROVEEDORES3[[#This Row],[PROVEEDOR]],TERCEROS_INFO[[PROVEEDOR]:[CORREO]],5,FALSE)</f>
        <v>jessica.barrios@carpainternacional.com;girlesa.ruiz@servipilas.com;joriescobar64@gmail.com</v>
      </c>
      <c r="D29" s="289">
        <v>45091</v>
      </c>
      <c r="E29" s="26" t="s">
        <v>250</v>
      </c>
      <c r="F29" s="67">
        <v>45091</v>
      </c>
      <c r="G29" s="135" t="s">
        <v>869</v>
      </c>
      <c r="H29" s="68"/>
      <c r="I29" s="21">
        <f>+PROVEEDORES3[[#This Row],[Total USD]]*3828.5</f>
        <v>0</v>
      </c>
    </row>
    <row r="30" spans="1:9" ht="22.35" hidden="1" customHeight="1" x14ac:dyDescent="0.25">
      <c r="A30" s="65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6" t="str">
        <f>+VLOOKUP(PROVEEDORES3[[#This Row],[PROVEEDOR]],TERCEROS_INFO[[PROVEEDOR]:[CORREO]],5,FALSE)</f>
        <v>jessica.barrios@carpainternacional.com;girlesa.ruiz@servipilas.com;joriescobar64@gmail.com</v>
      </c>
      <c r="D30" s="289">
        <v>45124</v>
      </c>
      <c r="E30" s="26" t="s">
        <v>250</v>
      </c>
      <c r="F30" s="67">
        <v>45051</v>
      </c>
      <c r="G30" s="35">
        <v>1672</v>
      </c>
      <c r="H30" s="68">
        <v>48</v>
      </c>
      <c r="I30" s="21">
        <f>+PROVEEDORES3[[#This Row],[Total USD]]*4680</f>
        <v>224640</v>
      </c>
    </row>
    <row r="31" spans="1:9" ht="22.35" hidden="1" customHeight="1" x14ac:dyDescent="0.25">
      <c r="A31" s="65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6" t="str">
        <f>+VLOOKUP(PROVEEDORES3[[#This Row],[PROVEEDOR]],TERCEROS_INFO[[PROVEEDOR]:[CORREO]],5,FALSE)</f>
        <v>jessica.barrios@carpainternacional.com;girlesa.ruiz@servipilas.com;joriescobar64@gmail.com</v>
      </c>
      <c r="D31" s="289">
        <v>45124</v>
      </c>
      <c r="E31" s="26" t="s">
        <v>250</v>
      </c>
      <c r="F31" s="67">
        <v>45051</v>
      </c>
      <c r="G31" s="35">
        <v>1673</v>
      </c>
      <c r="H31" s="68">
        <v>40</v>
      </c>
      <c r="I31" s="21">
        <f>+PROVEEDORES3[[#This Row],[Total USD]]*4680</f>
        <v>187200</v>
      </c>
    </row>
    <row r="32" spans="1:9" ht="22.35" hidden="1" customHeight="1" x14ac:dyDescent="0.25">
      <c r="A32" s="65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6" t="str">
        <f>+VLOOKUP(PROVEEDORES3[[#This Row],[PROVEEDOR]],TERCEROS_INFO[[PROVEEDOR]:[CORREO]],5,FALSE)</f>
        <v>jessica.barrios@carpainternacional.com;girlesa.ruiz@servipilas.com;joriescobar64@gmail.com</v>
      </c>
      <c r="D32" s="289">
        <v>45124</v>
      </c>
      <c r="E32" s="26" t="s">
        <v>250</v>
      </c>
      <c r="F32" s="67">
        <v>45051</v>
      </c>
      <c r="G32" s="35">
        <v>1681</v>
      </c>
      <c r="H32" s="68">
        <v>76</v>
      </c>
      <c r="I32" s="21">
        <f>+PROVEEDORES3[[#This Row],[Total USD]]*4680</f>
        <v>355680</v>
      </c>
    </row>
    <row r="33" spans="1:9" ht="22.35" hidden="1" customHeight="1" x14ac:dyDescent="0.25">
      <c r="A33" s="65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6" t="str">
        <f>+VLOOKUP(PROVEEDORES3[[#This Row],[PROVEEDOR]],TERCEROS_INFO[[PROVEEDOR]:[CORREO]],5,FALSE)</f>
        <v>jessica.barrios@carpainternacional.com;girlesa.ruiz@servipilas.com;joriescobar64@gmail.com</v>
      </c>
      <c r="D33" s="289">
        <v>45124</v>
      </c>
      <c r="E33" s="26" t="s">
        <v>250</v>
      </c>
      <c r="F33" s="67">
        <v>45051</v>
      </c>
      <c r="G33" s="35">
        <v>1682</v>
      </c>
      <c r="H33" s="68">
        <v>88</v>
      </c>
      <c r="I33" s="21">
        <f>+PROVEEDORES3[[#This Row],[Total USD]]*4680</f>
        <v>411840</v>
      </c>
    </row>
    <row r="34" spans="1:9" ht="22.35" hidden="1" customHeight="1" x14ac:dyDescent="0.25">
      <c r="A34" s="65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6" t="str">
        <f>+VLOOKUP(PROVEEDORES3[[#This Row],[PROVEEDOR]],TERCEROS_INFO[[PROVEEDOR]:[CORREO]],5,FALSE)</f>
        <v>jessica.barrios@carpainternacional.com;girlesa.ruiz@servipilas.com;joriescobar64@gmail.com</v>
      </c>
      <c r="D34" s="289">
        <v>45124</v>
      </c>
      <c r="E34" s="26" t="s">
        <v>250</v>
      </c>
      <c r="F34" s="67">
        <v>45051</v>
      </c>
      <c r="G34" s="35">
        <v>1683</v>
      </c>
      <c r="H34" s="68">
        <v>92</v>
      </c>
      <c r="I34" s="21">
        <f>+PROVEEDORES3[[#This Row],[Total USD]]*4680</f>
        <v>430560</v>
      </c>
    </row>
    <row r="35" spans="1:9" ht="22.35" hidden="1" customHeight="1" x14ac:dyDescent="0.25">
      <c r="A35" s="198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6" t="str">
        <f>+VLOOKUP(PROVEEDORES3[[#This Row],[PROVEEDOR]],TERCEROS_INFO[[PROVEEDOR]:[CORREO]],5,FALSE)</f>
        <v>jessica.barrios@carpainternacional.com;girlesa.ruiz@servipilas.com;joriescobar64@gmail.com</v>
      </c>
      <c r="D35" s="289">
        <v>45124</v>
      </c>
      <c r="E35" s="26" t="s">
        <v>250</v>
      </c>
      <c r="F35" s="67">
        <v>45076</v>
      </c>
      <c r="G35" s="35">
        <v>1687</v>
      </c>
      <c r="H35" s="68">
        <v>40</v>
      </c>
      <c r="I35" s="21">
        <f>+PROVEEDORES3[[#This Row],[Total USD]]*4500</f>
        <v>180000</v>
      </c>
    </row>
    <row r="36" spans="1:9" ht="22.35" hidden="1" customHeight="1" x14ac:dyDescent="0.25">
      <c r="A36" s="198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6" t="str">
        <f>+VLOOKUP(PROVEEDORES3[[#This Row],[PROVEEDOR]],TERCEROS_INFO[[PROVEEDOR]:[CORREO]],5,FALSE)</f>
        <v>jessica.barrios@carpainternacional.com;girlesa.ruiz@servipilas.com;joriescobar64@gmail.com</v>
      </c>
      <c r="D36" s="289">
        <v>45124</v>
      </c>
      <c r="E36" s="26" t="s">
        <v>250</v>
      </c>
      <c r="F36" s="67">
        <v>45076</v>
      </c>
      <c r="G36" s="35">
        <v>1688</v>
      </c>
      <c r="H36" s="68">
        <v>40</v>
      </c>
      <c r="I36" s="21">
        <f>+PROVEEDORES3[[#This Row],[Total USD]]*4500</f>
        <v>180000</v>
      </c>
    </row>
    <row r="37" spans="1:9" ht="22.35" hidden="1" customHeight="1" x14ac:dyDescent="0.25">
      <c r="A37" s="205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6" t="str">
        <f>+VLOOKUP(PROVEEDORES3[[#This Row],[PROVEEDOR]],TERCEROS_INFO[[PROVEEDOR]:[CORREO]],5,FALSE)</f>
        <v>jessica.barrios@carpainternacional.com;girlesa.ruiz@servipilas.com;joriescobar64@gmail.com</v>
      </c>
      <c r="D37" s="289">
        <v>45124</v>
      </c>
      <c r="E37" s="26" t="s">
        <v>250</v>
      </c>
      <c r="F37" s="67">
        <v>45096</v>
      </c>
      <c r="G37" s="35">
        <v>1698</v>
      </c>
      <c r="H37" s="68">
        <v>40</v>
      </c>
      <c r="I37" s="21">
        <f>+PROVEEDORES3[[#This Row],[Total USD]]*4350</f>
        <v>174000</v>
      </c>
    </row>
    <row r="38" spans="1:9" ht="22.35" hidden="1" customHeight="1" x14ac:dyDescent="0.25">
      <c r="A38" s="205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6" t="str">
        <f>+VLOOKUP(PROVEEDORES3[[#This Row],[PROVEEDOR]],TERCEROS_INFO[[PROVEEDOR]:[CORREO]],5,FALSE)</f>
        <v>jessica.barrios@carpainternacional.com;girlesa.ruiz@servipilas.com;joriescobar64@gmail.com</v>
      </c>
      <c r="D38" s="289">
        <v>45124</v>
      </c>
      <c r="E38" s="26" t="s">
        <v>250</v>
      </c>
      <c r="F38" s="67">
        <v>45096</v>
      </c>
      <c r="G38" s="35">
        <v>1699</v>
      </c>
      <c r="H38" s="68">
        <v>40</v>
      </c>
      <c r="I38" s="21">
        <f>+PROVEEDORES3[[#This Row],[Total USD]]*4350</f>
        <v>174000</v>
      </c>
    </row>
    <row r="39" spans="1:9" ht="22.35" hidden="1" customHeight="1" x14ac:dyDescent="0.25">
      <c r="A39" s="205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6" t="str">
        <f>+VLOOKUP(PROVEEDORES3[[#This Row],[PROVEEDOR]],TERCEROS_INFO[[PROVEEDOR]:[CORREO]],5,FALSE)</f>
        <v>jessica.barrios@carpainternacional.com;girlesa.ruiz@servipilas.com;joriescobar64@gmail.com</v>
      </c>
      <c r="D39" s="289">
        <v>45124</v>
      </c>
      <c r="E39" s="26" t="s">
        <v>250</v>
      </c>
      <c r="F39" s="67">
        <v>45096</v>
      </c>
      <c r="G39" s="35">
        <v>1700</v>
      </c>
      <c r="H39" s="68">
        <v>44</v>
      </c>
      <c r="I39" s="21">
        <f>+PROVEEDORES3[[#This Row],[Total USD]]*4350</f>
        <v>191400</v>
      </c>
    </row>
    <row r="40" spans="1:9" ht="22.35" hidden="1" customHeight="1" x14ac:dyDescent="0.25">
      <c r="A40" s="205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6" t="str">
        <f>+VLOOKUP(PROVEEDORES3[[#This Row],[PROVEEDOR]],TERCEROS_INFO[[PROVEEDOR]:[CORREO]],5,FALSE)</f>
        <v>jessica.barrios@carpainternacional.com;girlesa.ruiz@servipilas.com;joriescobar64@gmail.com</v>
      </c>
      <c r="D40" s="289">
        <v>45124</v>
      </c>
      <c r="E40" s="26" t="s">
        <v>250</v>
      </c>
      <c r="F40" s="67">
        <v>45096</v>
      </c>
      <c r="G40" s="35">
        <v>1701</v>
      </c>
      <c r="H40" s="68">
        <v>44</v>
      </c>
      <c r="I40" s="21">
        <f>+PROVEEDORES3[[#This Row],[Total USD]]*4350</f>
        <v>191400</v>
      </c>
    </row>
    <row r="41" spans="1:9" ht="22.35" hidden="1" customHeight="1" x14ac:dyDescent="0.25">
      <c r="A41" s="205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6" t="str">
        <f>+VLOOKUP(PROVEEDORES3[[#This Row],[PROVEEDOR]],TERCEROS_INFO[[PROVEEDOR]:[CORREO]],5,FALSE)</f>
        <v>jessica.barrios@carpainternacional.com;girlesa.ruiz@servipilas.com;joriescobar64@gmail.com</v>
      </c>
      <c r="D41" s="289">
        <v>45124</v>
      </c>
      <c r="E41" s="26" t="s">
        <v>250</v>
      </c>
      <c r="F41" s="67">
        <v>45107</v>
      </c>
      <c r="G41" s="35">
        <v>1715</v>
      </c>
      <c r="H41" s="68">
        <v>52</v>
      </c>
      <c r="I41" s="21">
        <f>+PROVEEDORES3[[#This Row],[Total USD]]*4350</f>
        <v>226200</v>
      </c>
    </row>
    <row r="42" spans="1:9" ht="22.35" hidden="1" customHeight="1" x14ac:dyDescent="0.25">
      <c r="A42" s="205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6" t="str">
        <f>+VLOOKUP(PROVEEDORES3[[#This Row],[PROVEEDOR]],TERCEROS_INFO[[PROVEEDOR]:[CORREO]],5,FALSE)</f>
        <v>jessica.barrios@carpainternacional.com;girlesa.ruiz@servipilas.com;joriescobar64@gmail.com</v>
      </c>
      <c r="D42" s="289">
        <v>45124</v>
      </c>
      <c r="E42" s="26" t="s">
        <v>250</v>
      </c>
      <c r="F42" s="67">
        <v>45107</v>
      </c>
      <c r="G42" s="35">
        <v>1716</v>
      </c>
      <c r="H42" s="68">
        <v>52</v>
      </c>
      <c r="I42" s="21">
        <f>+PROVEEDORES3[[#This Row],[Total USD]]*4350</f>
        <v>226200</v>
      </c>
    </row>
    <row r="43" spans="1:9" ht="22.35" hidden="1" customHeight="1" x14ac:dyDescent="0.25">
      <c r="A43" s="211" t="str">
        <f>+IF(PROVEEDORES3[[#This Row],[FECHA DE PAGO]]=PROVEEDORES3[[#This Row],[FECHA DE FACTURACIÓN]],"DE CONTADO","CRÉDITO")</f>
        <v>DE CONTADO</v>
      </c>
      <c r="B43" s="38" t="e">
        <f>+IF((PROVEEDORES3[[#This Row],[FECHA DE PAGO]]-PROVEEDORES3[[#This Row],[FECHA DE FACTURACIÓN]])&gt;#REF!,"PAGO VENCIDO")</f>
        <v>#REF!</v>
      </c>
      <c r="C43" s="56" t="str">
        <f>+VLOOKUP(PROVEEDORES3[[#This Row],[PROVEEDOR]],TERCEROS_INFO[[PROVEEDOR]:[CORREO]],5,FALSE)</f>
        <v>jessica.barrios@carpainternacional.com;girlesa.ruiz@servipilas.com;joriescobar64@gmail.com</v>
      </c>
      <c r="D43" s="289">
        <v>45132</v>
      </c>
      <c r="E43" s="26" t="s">
        <v>250</v>
      </c>
      <c r="F43" s="67">
        <v>45132</v>
      </c>
      <c r="G43" s="135" t="s">
        <v>948</v>
      </c>
      <c r="H43" s="68"/>
      <c r="I43" s="21">
        <f>+PROVEEDORES3[[#This Row],[Total USD]]*3828.5</f>
        <v>0</v>
      </c>
    </row>
    <row r="44" spans="1:9" ht="22.35" hidden="1" customHeight="1" x14ac:dyDescent="0.25">
      <c r="A44" s="65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6" t="str">
        <f>+VLOOKUP(PROVEEDORES3[[#This Row],[PROVEEDOR]],TERCEROS_INFO[[PROVEEDOR]:[CORREO]],5,FALSE)</f>
        <v>jessica.barrios@carpainternacional.com;girlesa.ruiz@servipilas.com;joriescobar64@gmail.com</v>
      </c>
      <c r="D44" s="289">
        <v>45152</v>
      </c>
      <c r="E44" s="26" t="s">
        <v>250</v>
      </c>
      <c r="F44" s="67">
        <v>45124</v>
      </c>
      <c r="G44" s="35">
        <v>1729</v>
      </c>
      <c r="H44" s="68">
        <v>92</v>
      </c>
      <c r="I44" s="21">
        <f>+PROVEEDORES3[[#This Row],[Total USD]]*4150</f>
        <v>381800</v>
      </c>
    </row>
    <row r="45" spans="1:9" ht="22.35" hidden="1" customHeight="1" x14ac:dyDescent="0.25">
      <c r="A45" s="65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6" t="str">
        <f>+VLOOKUP(PROVEEDORES3[[#This Row],[PROVEEDOR]],TERCEROS_INFO[[PROVEEDOR]:[CORREO]],5,FALSE)</f>
        <v>jessica.barrios@carpainternacional.com;girlesa.ruiz@servipilas.com;joriescobar64@gmail.com</v>
      </c>
      <c r="D45" s="289">
        <v>45152</v>
      </c>
      <c r="E45" s="26" t="s">
        <v>250</v>
      </c>
      <c r="F45" s="67">
        <v>45124</v>
      </c>
      <c r="G45" s="35">
        <v>1730</v>
      </c>
      <c r="H45" s="68">
        <v>52</v>
      </c>
      <c r="I45" s="21">
        <f>+PROVEEDORES3[[#This Row],[Total USD]]*4150</f>
        <v>215800</v>
      </c>
    </row>
    <row r="46" spans="1:9" ht="22.35" hidden="1" customHeight="1" x14ac:dyDescent="0.25">
      <c r="A46" s="65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6" t="str">
        <f>+VLOOKUP(PROVEEDORES3[[#This Row],[PROVEEDOR]],TERCEROS_INFO[[PROVEEDOR]:[CORREO]],5,FALSE)</f>
        <v>jessica.barrios@carpainternacional.com;girlesa.ruiz@servipilas.com;joriescobar64@gmail.com</v>
      </c>
      <c r="D46" s="289">
        <v>45152</v>
      </c>
      <c r="E46" s="26" t="s">
        <v>250</v>
      </c>
      <c r="F46" s="67">
        <v>45124</v>
      </c>
      <c r="G46" s="35">
        <v>1731</v>
      </c>
      <c r="H46" s="68">
        <v>76</v>
      </c>
      <c r="I46" s="21">
        <f>+PROVEEDORES3[[#This Row],[Total USD]]*4150</f>
        <v>315400</v>
      </c>
    </row>
    <row r="47" spans="1:9" ht="22.35" hidden="1" customHeight="1" x14ac:dyDescent="0.25">
      <c r="A47" s="65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6" t="str">
        <f>+VLOOKUP(PROVEEDORES3[[#This Row],[PROVEEDOR]],TERCEROS_INFO[[PROVEEDOR]:[CORREO]],5,FALSE)</f>
        <v>jessica.barrios@carpainternacional.com;girlesa.ruiz@servipilas.com;joriescobar64@gmail.com</v>
      </c>
      <c r="D47" s="289">
        <v>45152</v>
      </c>
      <c r="E47" s="26" t="s">
        <v>250</v>
      </c>
      <c r="F47" s="67">
        <v>45124</v>
      </c>
      <c r="G47" s="35">
        <v>1732</v>
      </c>
      <c r="H47" s="68">
        <v>56</v>
      </c>
      <c r="I47" s="21">
        <f>+PROVEEDORES3[[#This Row],[Total USD]]*4150</f>
        <v>232400</v>
      </c>
    </row>
    <row r="48" spans="1:9" ht="22.35" hidden="1" customHeight="1" x14ac:dyDescent="0.25">
      <c r="A48" s="65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6" t="str">
        <f>+VLOOKUP(PROVEEDORES3[[#This Row],[PROVEEDOR]],TERCEROS_INFO[[PROVEEDOR]:[CORREO]],5,FALSE)</f>
        <v>jessica.barrios@carpainternacional.com;girlesa.ruiz@servipilas.com;joriescobar64@gmail.com</v>
      </c>
      <c r="D48" s="289">
        <v>45152</v>
      </c>
      <c r="E48" s="26" t="s">
        <v>250</v>
      </c>
      <c r="F48" s="67">
        <v>45126</v>
      </c>
      <c r="G48" s="35">
        <v>1735</v>
      </c>
      <c r="H48" s="68">
        <v>60</v>
      </c>
      <c r="I48" s="21">
        <f>+PROVEEDORES3[[#This Row],[Total USD]]*4150</f>
        <v>249000</v>
      </c>
    </row>
    <row r="49" spans="1:9" ht="22.35" hidden="1" customHeight="1" x14ac:dyDescent="0.25">
      <c r="A49" s="65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6" t="str">
        <f>+VLOOKUP(PROVEEDORES3[[#This Row],[PROVEEDOR]],TERCEROS_INFO[[PROVEEDOR]:[CORREO]],5,FALSE)</f>
        <v>jessica.barrios@carpainternacional.com;girlesa.ruiz@servipilas.com;joriescobar64@gmail.com</v>
      </c>
      <c r="D49" s="289">
        <v>45152</v>
      </c>
      <c r="E49" s="26" t="s">
        <v>250</v>
      </c>
      <c r="F49" s="67">
        <v>45126</v>
      </c>
      <c r="G49" s="35">
        <v>1736</v>
      </c>
      <c r="H49" s="68">
        <v>56</v>
      </c>
      <c r="I49" s="21">
        <f>+PROVEEDORES3[[#This Row],[Total USD]]*4150</f>
        <v>232400</v>
      </c>
    </row>
    <row r="50" spans="1:9" ht="22.35" hidden="1" customHeight="1" x14ac:dyDescent="0.25">
      <c r="A50" s="65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6" t="str">
        <f>+VLOOKUP(PROVEEDORES3[[#This Row],[PROVEEDOR]],TERCEROS_INFO[[PROVEEDOR]:[CORREO]],5,FALSE)</f>
        <v>jessica.barrios@carpainternacional.com;girlesa.ruiz@servipilas.com;joriescobar64@gmail.com</v>
      </c>
      <c r="D50" s="289">
        <v>45152</v>
      </c>
      <c r="E50" s="26" t="s">
        <v>250</v>
      </c>
      <c r="F50" s="67">
        <v>45126</v>
      </c>
      <c r="G50" s="35">
        <v>1737</v>
      </c>
      <c r="H50" s="68">
        <v>56</v>
      </c>
      <c r="I50" s="21">
        <f>+PROVEEDORES3[[#This Row],[Total USD]]*4150</f>
        <v>232400</v>
      </c>
    </row>
    <row r="51" spans="1:9" ht="22.35" hidden="1" customHeight="1" x14ac:dyDescent="0.25">
      <c r="A51" s="65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6" t="str">
        <f>+VLOOKUP(PROVEEDORES3[[#This Row],[PROVEEDOR]],TERCEROS_INFO[[PROVEEDOR]:[CORREO]],5,FALSE)</f>
        <v>jessica.barrios@carpainternacional.com;girlesa.ruiz@servipilas.com;joriescobar64@gmail.com</v>
      </c>
      <c r="D51" s="289">
        <v>45152</v>
      </c>
      <c r="E51" s="26" t="s">
        <v>250</v>
      </c>
      <c r="F51" s="67">
        <v>45126</v>
      </c>
      <c r="G51" s="35">
        <v>1738</v>
      </c>
      <c r="H51" s="68">
        <v>56</v>
      </c>
      <c r="I51" s="21">
        <f>+PROVEEDORES3[[#This Row],[Total USD]]*4150</f>
        <v>232400</v>
      </c>
    </row>
    <row r="52" spans="1:9" ht="22.35" hidden="1" customHeight="1" x14ac:dyDescent="0.25">
      <c r="A52" s="65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6" t="str">
        <f>+VLOOKUP(PROVEEDORES3[[#This Row],[PROVEEDOR]],TERCEROS_INFO[[PROVEEDOR]:[CORREO]],5,FALSE)</f>
        <v>jessica.barrios@carpainternacional.com;girlesa.ruiz@servipilas.com;joriescobar64@gmail.com</v>
      </c>
      <c r="D52" s="289">
        <v>45152</v>
      </c>
      <c r="E52" s="26" t="s">
        <v>250</v>
      </c>
      <c r="F52" s="67">
        <v>45134</v>
      </c>
      <c r="G52" s="35">
        <v>1741</v>
      </c>
      <c r="H52" s="68">
        <v>92</v>
      </c>
      <c r="I52" s="21">
        <f>+PROVEEDORES3[[#This Row],[Total USD]]*4150</f>
        <v>381800</v>
      </c>
    </row>
    <row r="53" spans="1:9" ht="22.35" hidden="1" customHeight="1" x14ac:dyDescent="0.25">
      <c r="A53" s="65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6" t="str">
        <f>+VLOOKUP(PROVEEDORES3[[#This Row],[PROVEEDOR]],TERCEROS_INFO[[PROVEEDOR]:[CORREO]],5,FALSE)</f>
        <v>jessica.barrios@carpainternacional.com;girlesa.ruiz@servipilas.com;joriescobar64@gmail.com</v>
      </c>
      <c r="D53" s="289">
        <v>45152</v>
      </c>
      <c r="E53" s="26" t="s">
        <v>250</v>
      </c>
      <c r="F53" s="67">
        <v>45134</v>
      </c>
      <c r="G53" s="35">
        <v>1742</v>
      </c>
      <c r="H53" s="68">
        <v>92</v>
      </c>
      <c r="I53" s="21">
        <f>+PROVEEDORES3[[#This Row],[Total USD]]*4150</f>
        <v>381800</v>
      </c>
    </row>
    <row r="54" spans="1:9" ht="22.35" hidden="1" customHeight="1" x14ac:dyDescent="0.25">
      <c r="A54" s="65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6" t="str">
        <f>+VLOOKUP(PROVEEDORES3[[#This Row],[PROVEEDOR]],TERCEROS_INFO[[PROVEEDOR]:[CORREO]],5,FALSE)</f>
        <v>jessica.barrios@carpainternacional.com;girlesa.ruiz@servipilas.com;joriescobar64@gmail.com</v>
      </c>
      <c r="D54" s="289">
        <v>45152</v>
      </c>
      <c r="E54" s="26" t="s">
        <v>250</v>
      </c>
      <c r="F54" s="67">
        <v>45134</v>
      </c>
      <c r="G54" s="35">
        <v>1743</v>
      </c>
      <c r="H54" s="68">
        <v>40</v>
      </c>
      <c r="I54" s="21">
        <f>+PROVEEDORES3[[#This Row],[Total USD]]*4150</f>
        <v>166000</v>
      </c>
    </row>
    <row r="55" spans="1:9" ht="22.35" hidden="1" customHeight="1" x14ac:dyDescent="0.25">
      <c r="A55" s="65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6" t="str">
        <f>+VLOOKUP(PROVEEDORES3[[#This Row],[PROVEEDOR]],TERCEROS_INFO[[PROVEEDOR]:[CORREO]],5,FALSE)</f>
        <v>jessica.barrios@carpainternacional.com;girlesa.ruiz@servipilas.com;joriescobar64@gmail.com</v>
      </c>
      <c r="D55" s="289">
        <v>45152</v>
      </c>
      <c r="E55" s="26" t="s">
        <v>250</v>
      </c>
      <c r="F55" s="67">
        <v>45134</v>
      </c>
      <c r="G55" s="35">
        <v>1744</v>
      </c>
      <c r="H55" s="68">
        <v>40</v>
      </c>
      <c r="I55" s="21">
        <f>+PROVEEDORES3[[#This Row],[Total USD]]*4150</f>
        <v>166000</v>
      </c>
    </row>
    <row r="56" spans="1:9" ht="22.35" hidden="1" customHeight="1" x14ac:dyDescent="0.25">
      <c r="A56" s="65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6" t="str">
        <f>+VLOOKUP(PROVEEDORES3[[#This Row],[PROVEEDOR]],TERCEROS_INFO[[PROVEEDOR]:[CORREO]],5,FALSE)</f>
        <v>jessica.barrios@carpainternacional.com;girlesa.ruiz@servipilas.com;joriescobar64@gmail.com</v>
      </c>
      <c r="D56" s="289">
        <v>45152</v>
      </c>
      <c r="E56" s="26" t="s">
        <v>250</v>
      </c>
      <c r="F56" s="67">
        <v>45207</v>
      </c>
      <c r="G56" s="35">
        <v>1755</v>
      </c>
      <c r="H56" s="68">
        <v>48</v>
      </c>
      <c r="I56" s="21">
        <f>+PROVEEDORES3[[#This Row],[Total USD]]*4150</f>
        <v>199200</v>
      </c>
    </row>
    <row r="57" spans="1:9" ht="22.35" hidden="1" customHeight="1" x14ac:dyDescent="0.25">
      <c r="A57" s="65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6" t="str">
        <f>+VLOOKUP(PROVEEDORES3[[#This Row],[PROVEEDOR]],TERCEROS_INFO[[PROVEEDOR]:[CORREO]],5,FALSE)</f>
        <v>jessica.barrios@carpainternacional.com;girlesa.ruiz@servipilas.com;joriescobar64@gmail.com</v>
      </c>
      <c r="D57" s="289">
        <v>45152</v>
      </c>
      <c r="E57" s="26" t="s">
        <v>250</v>
      </c>
      <c r="F57" s="67">
        <v>45207</v>
      </c>
      <c r="G57" s="35">
        <v>1756</v>
      </c>
      <c r="H57" s="68">
        <v>40</v>
      </c>
      <c r="I57" s="21">
        <f>+PROVEEDORES3[[#This Row],[Total USD]]*4150</f>
        <v>166000</v>
      </c>
    </row>
    <row r="58" spans="1:9" ht="22.35" hidden="1" customHeight="1" x14ac:dyDescent="0.25">
      <c r="A58" s="65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6" t="str">
        <f>+VLOOKUP(PROVEEDORES3[[#This Row],[PROVEEDOR]],TERCEROS_INFO[[PROVEEDOR]:[CORREO]],5,FALSE)</f>
        <v>jessica.barrios@carpainternacional.com;girlesa.ruiz@servipilas.com;joriescobar64@gmail.com</v>
      </c>
      <c r="D58" s="289">
        <v>45152</v>
      </c>
      <c r="E58" s="26" t="s">
        <v>250</v>
      </c>
      <c r="F58" s="67">
        <v>45207</v>
      </c>
      <c r="G58" s="35">
        <v>1757</v>
      </c>
      <c r="H58" s="68">
        <v>40</v>
      </c>
      <c r="I58" s="21">
        <f>+PROVEEDORES3[[#This Row],[Total USD]]*4150</f>
        <v>166000</v>
      </c>
    </row>
    <row r="59" spans="1:9" ht="22.35" hidden="1" customHeight="1" x14ac:dyDescent="0.25">
      <c r="A59" s="65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6" t="str">
        <f>+VLOOKUP(PROVEEDORES3[[#This Row],[PROVEEDOR]],TERCEROS_INFO[[PROVEEDOR]:[CORREO]],5,FALSE)</f>
        <v>jessica.barrios@carpainternacional.com;girlesa.ruiz@servipilas.com;joriescobar64@gmail.com</v>
      </c>
      <c r="D59" s="289">
        <v>45152</v>
      </c>
      <c r="E59" s="26" t="s">
        <v>250</v>
      </c>
      <c r="F59" s="67">
        <v>45207</v>
      </c>
      <c r="G59" s="35">
        <v>1758</v>
      </c>
      <c r="H59" s="68">
        <v>40</v>
      </c>
      <c r="I59" s="21">
        <f>+PROVEEDORES3[[#This Row],[Total USD]]*4150</f>
        <v>166000</v>
      </c>
    </row>
    <row r="60" spans="1:9" ht="22.35" hidden="1" customHeight="1" x14ac:dyDescent="0.25">
      <c r="A60" s="65" t="str">
        <f>+IF(PROVEEDORES3[[#This Row],[FECHA DE PAGO]]=PROVEEDORES3[[#This Row],[FECHA DE FACTURACIÓN]],"DE CONTADO","CRÉDITO")</f>
        <v>CRÉDITO</v>
      </c>
      <c r="B60" s="38" t="e">
        <f>+IF((PROVEEDORES3[[#This Row],[FECHA DE PAGO]]-PROVEEDORES3[[#This Row],[FECHA DE FACTURACIÓN]])&gt;#REF!,"PAGO VENCIDO")</f>
        <v>#REF!</v>
      </c>
      <c r="C60" s="56" t="str">
        <f>+VLOOKUP(PROVEEDORES3[[#This Row],[PROVEEDOR]],TERCEROS_INFO[[PROVEEDOR]:[CORREO]],5,FALSE)</f>
        <v>jessica.barrios@carpainternacional.com;girlesa.ruiz@servipilas.com;joriescobar64@gmail.com</v>
      </c>
      <c r="D60" s="289">
        <v>45152</v>
      </c>
      <c r="E60" s="26" t="s">
        <v>250</v>
      </c>
      <c r="F60" s="67">
        <v>45207</v>
      </c>
      <c r="G60" s="35">
        <v>1759</v>
      </c>
      <c r="H60" s="68">
        <v>40</v>
      </c>
      <c r="I60" s="21">
        <f>+PROVEEDORES3[[#This Row],[Total USD]]*4150</f>
        <v>166000</v>
      </c>
    </row>
    <row r="61" spans="1:9" ht="22.35" hidden="1" customHeight="1" x14ac:dyDescent="0.25">
      <c r="A61" s="65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6" t="str">
        <f>+VLOOKUP(PROVEEDORES3[[#This Row],[PROVEEDOR]],TERCEROS_INFO[[PROVEEDOR]:[CORREO]],5,FALSE)</f>
        <v>jessica.barrios@carpainternacional.com;girlesa.ruiz@servipilas.com;joriescobar64@gmail.com</v>
      </c>
      <c r="D61" s="289">
        <v>45152</v>
      </c>
      <c r="E61" s="26" t="s">
        <v>250</v>
      </c>
      <c r="F61" s="67">
        <v>45207</v>
      </c>
      <c r="G61" s="35">
        <v>1760</v>
      </c>
      <c r="H61" s="68">
        <v>40</v>
      </c>
      <c r="I61" s="21">
        <f>+PROVEEDORES3[[#This Row],[Total USD]]*4150</f>
        <v>166000</v>
      </c>
    </row>
    <row r="62" spans="1:9" ht="22.35" hidden="1" customHeight="1" x14ac:dyDescent="0.25">
      <c r="A62" s="223" t="str">
        <f>+IF(PROVEEDORES3[[#This Row],[FECHA DE PAGO]]=PROVEEDORES3[[#This Row],[FECHA DE FACTURACIÓN]],"DE CONTADO","CRÉDITO")</f>
        <v>DE CONTADO</v>
      </c>
      <c r="B62" s="38" t="e">
        <f>+IF((PROVEEDORES3[[#This Row],[FECHA DE PAGO]]-PROVEEDORES3[[#This Row],[FECHA DE FACTURACIÓN]])&gt;#REF!,"PAGO VENCIDO")</f>
        <v>#REF!</v>
      </c>
      <c r="C62" s="56" t="str">
        <f>+VLOOKUP(PROVEEDORES3[[#This Row],[PROVEEDOR]],TERCEROS_INFO[[PROVEEDOR]:[CORREO]],5,FALSE)</f>
        <v>jessica.barrios@carpainternacional.com;girlesa.ruiz@servipilas.com;joriescobar64@gmail.com</v>
      </c>
      <c r="D62" s="289">
        <v>45154</v>
      </c>
      <c r="E62" s="26" t="s">
        <v>250</v>
      </c>
      <c r="F62" s="67">
        <v>45154</v>
      </c>
      <c r="G62" s="135" t="s">
        <v>1024</v>
      </c>
      <c r="H62" s="68"/>
      <c r="I62" s="21">
        <f>+PROVEEDORES3[[#This Row],[Total USD]]*3828.5</f>
        <v>0</v>
      </c>
    </row>
    <row r="63" spans="1:9" ht="22.35" hidden="1" customHeight="1" x14ac:dyDescent="0.25">
      <c r="A63" s="221" t="str">
        <f>+IF(PROVEEDORES3[[#This Row],[FECHA DE PAGO]]=PROVEEDORES3[[#This Row],[FECHA DE FACTURACIÓN]],"DE CONTADO","CRÉDITO")</f>
        <v>CRÉDITO</v>
      </c>
      <c r="B63" s="38" t="e">
        <f>+IF((PROVEEDORES3[[#This Row],[FECHA DE PAGO]]-PROVEEDORES3[[#This Row],[FECHA DE FACTURACIÓN]])&gt;#REF!,"PAGO VENCIDO")</f>
        <v>#REF!</v>
      </c>
      <c r="C63" s="56" t="str">
        <f>+VLOOKUP(PROVEEDORES3[[#This Row],[PROVEEDOR]],TERCEROS_INFO[[PROVEEDOR]:[CORREO]],5,FALSE)</f>
        <v>jessica.barrios@carpainternacional.com;girlesa.ruiz@servipilas.com;joriescobar64@gmail.com</v>
      </c>
      <c r="D63" s="289">
        <v>45205</v>
      </c>
      <c r="E63" s="26" t="s">
        <v>250</v>
      </c>
      <c r="F63" s="67">
        <v>45126</v>
      </c>
      <c r="G63" s="35">
        <v>1738</v>
      </c>
      <c r="H63" s="125">
        <v>8</v>
      </c>
      <c r="I63" s="21">
        <f>+PROVEEDORES3[[#This Row],[Total USD]]*4150</f>
        <v>33200</v>
      </c>
    </row>
    <row r="64" spans="1:9" ht="22.35" hidden="1" customHeight="1" x14ac:dyDescent="0.25">
      <c r="A64" s="227" t="str">
        <f>+IF(PROVEEDORES3[[#This Row],[FECHA DE PAGO]]=PROVEEDORES3[[#This Row],[FECHA DE FACTURACIÓN]],"DE CONTADO","CRÉDITO")</f>
        <v>CRÉDITO</v>
      </c>
      <c r="B64" s="38" t="e">
        <f>+IF((PROVEEDORES3[[#This Row],[FECHA DE PAGO]]-PROVEEDORES3[[#This Row],[FECHA DE FACTURACIÓN]])&gt;#REF!,"PAGO VENCIDO")</f>
        <v>#REF!</v>
      </c>
      <c r="C64" s="56" t="str">
        <f>+VLOOKUP(PROVEEDORES3[[#This Row],[PROVEEDOR]],TERCEROS_INFO[[PROVEEDOR]:[CORREO]],5,FALSE)</f>
        <v>jessica.barrios@carpainternacional.com;girlesa.ruiz@servipilas.com;joriescobar64@gmail.com</v>
      </c>
      <c r="D64" s="289">
        <v>45205</v>
      </c>
      <c r="E64" s="26" t="s">
        <v>250</v>
      </c>
      <c r="F64" s="67">
        <v>45169</v>
      </c>
      <c r="G64" s="35">
        <v>1770</v>
      </c>
      <c r="H64" s="125">
        <v>244</v>
      </c>
      <c r="I64" s="21">
        <f>+PROVEEDORES3[[#This Row],[Total USD]]*4200</f>
        <v>1024800</v>
      </c>
    </row>
    <row r="65" spans="1:9" ht="22.35" hidden="1" customHeight="1" x14ac:dyDescent="0.25">
      <c r="A65" s="65" t="str">
        <f>+IF(PROVEEDORES3[[#This Row],[FECHA DE PAGO]]=PROVEEDORES3[[#This Row],[FECHA DE FACTURACIÓN]],"DE CONTADO","CRÉDITO")</f>
        <v>CRÉDITO</v>
      </c>
      <c r="B65" s="38" t="e">
        <f>+IF((PROVEEDORES3[[#This Row],[FECHA DE PAGO]]-PROVEEDORES3[[#This Row],[FECHA DE FACTURACIÓN]])&gt;#REF!,"PAGO VENCIDO")</f>
        <v>#REF!</v>
      </c>
      <c r="C65" s="56" t="str">
        <f>+VLOOKUP(PROVEEDORES3[[#This Row],[PROVEEDOR]],TERCEROS_INFO[[PROVEEDOR]:[CORREO]],5,FALSE)</f>
        <v>jessica.barrios@carpainternacional.com;girlesa.ruiz@servipilas.com;joriescobar64@gmail.com</v>
      </c>
      <c r="D65" s="289">
        <v>45205</v>
      </c>
      <c r="E65" s="26" t="s">
        <v>250</v>
      </c>
      <c r="F65" s="67">
        <v>45190</v>
      </c>
      <c r="G65" s="35">
        <v>1794</v>
      </c>
      <c r="H65" s="125">
        <v>60</v>
      </c>
      <c r="I65" s="21">
        <f>+PROVEEDORES3[[#This Row],[Total USD]]*4200</f>
        <v>252000</v>
      </c>
    </row>
    <row r="66" spans="1:9" ht="22.35" hidden="1" customHeight="1" x14ac:dyDescent="0.25">
      <c r="A66" s="242" t="str">
        <f>+IF(PROVEEDORES3[[#This Row],[FECHA DE PAGO]]=PROVEEDORES3[[#This Row],[FECHA DE FACTURACIÓN]],"DE CONTADO","CRÉDITO")</f>
        <v>DE CONTADO</v>
      </c>
      <c r="B66" s="38" t="e">
        <f>+IF((PROVEEDORES3[[#This Row],[FECHA DE PAGO]]-PROVEEDORES3[[#This Row],[FECHA DE FACTURACIÓN]])&gt;#REF!,"PAGO VENCIDO")</f>
        <v>#REF!</v>
      </c>
      <c r="C66" s="56" t="str">
        <f>+VLOOKUP(PROVEEDORES3[[#This Row],[PROVEEDOR]],TERCEROS_INFO[[PROVEEDOR]:[CORREO]],5,FALSE)</f>
        <v>jessica.barrios@carpainternacional.com;girlesa.ruiz@servipilas.com;joriescobar64@gmail.com</v>
      </c>
      <c r="D66" s="289">
        <v>45205</v>
      </c>
      <c r="E66" s="26" t="s">
        <v>250</v>
      </c>
      <c r="F66" s="67">
        <v>45205</v>
      </c>
      <c r="G66" s="135" t="s">
        <v>1118</v>
      </c>
      <c r="H66" s="68"/>
      <c r="I66" s="21"/>
    </row>
    <row r="67" spans="1:9" ht="22.35" hidden="1" customHeight="1" x14ac:dyDescent="0.25">
      <c r="A67" s="65" t="str">
        <f>+IF(PROVEEDORES3[[#This Row],[FECHA DE PAGO]]=PROVEEDORES3[[#This Row],[FECHA DE FACTURACIÓN]],"DE CONTADO","CRÉDITO")</f>
        <v>CRÉDITO</v>
      </c>
      <c r="B67" s="38" t="e">
        <f>+IF((PROVEEDORES3[[#This Row],[FECHA DE PAGO]]-PROVEEDORES3[[#This Row],[FECHA DE FACTURACIÓN]])&gt;#REF!,"PAGO VENCIDO")</f>
        <v>#REF!</v>
      </c>
      <c r="C67" s="56" t="str">
        <f>+VLOOKUP(PROVEEDORES3[[#This Row],[PROVEEDOR]],TERCEROS_INFO[[PROVEEDOR]:[CORREO]],5,FALSE)</f>
        <v>jessica.barrios@carpainternacional.com;girlesa.ruiz@servipilas.com;joriescobar64@gmail.com</v>
      </c>
      <c r="D67" s="289">
        <v>45251</v>
      </c>
      <c r="E67" s="26" t="s">
        <v>250</v>
      </c>
      <c r="F67" s="67">
        <v>45215</v>
      </c>
      <c r="G67" s="35">
        <v>1805</v>
      </c>
      <c r="H67" s="68">
        <v>144</v>
      </c>
      <c r="I67" s="21">
        <f>+PROVEEDORES3[[#This Row],[Total USD]]*4300</f>
        <v>619200</v>
      </c>
    </row>
    <row r="68" spans="1:9" ht="22.35" hidden="1" customHeight="1" x14ac:dyDescent="0.25">
      <c r="A68" s="65" t="str">
        <f>+IF(PROVEEDORES3[[#This Row],[FECHA DE PAGO]]=PROVEEDORES3[[#This Row],[FECHA DE FACTURACIÓN]],"DE CONTADO","CRÉDITO")</f>
        <v>CRÉDITO</v>
      </c>
      <c r="B68" s="38" t="e">
        <f>+IF((PROVEEDORES3[[#This Row],[FECHA DE PAGO]]-PROVEEDORES3[[#This Row],[FECHA DE FACTURACIÓN]])&gt;#REF!,"PAGO VENCIDO")</f>
        <v>#REF!</v>
      </c>
      <c r="C68" s="56" t="str">
        <f>+VLOOKUP(PROVEEDORES3[[#This Row],[PROVEEDOR]],TERCEROS_INFO[[PROVEEDOR]:[CORREO]],5,FALSE)</f>
        <v>jessica.barrios@carpainternacional.com;girlesa.ruiz@servipilas.com;joriescobar64@gmail.com</v>
      </c>
      <c r="D68" s="289">
        <v>45251</v>
      </c>
      <c r="E68" s="26" t="s">
        <v>250</v>
      </c>
      <c r="F68" s="67">
        <v>45217</v>
      </c>
      <c r="G68" s="35">
        <v>1812</v>
      </c>
      <c r="H68" s="68">
        <v>124</v>
      </c>
      <c r="I68" s="21">
        <f>+PROVEEDORES3[[#This Row],[Total USD]]*4300</f>
        <v>533200</v>
      </c>
    </row>
    <row r="69" spans="1:9" ht="22.35" hidden="1" customHeight="1" x14ac:dyDescent="0.25">
      <c r="A69" s="65" t="str">
        <f>+IF(PROVEEDORES3[[#This Row],[FECHA DE PAGO]]=PROVEEDORES3[[#This Row],[FECHA DE FACTURACIÓN]],"DE CONTADO","CRÉDITO")</f>
        <v>CRÉDITO</v>
      </c>
      <c r="B69" s="38" t="e">
        <f>+IF((PROVEEDORES3[[#This Row],[FECHA DE PAGO]]-PROVEEDORES3[[#This Row],[FECHA DE FACTURACIÓN]])&gt;#REF!,"PAGO VENCIDO")</f>
        <v>#REF!</v>
      </c>
      <c r="C69" s="56" t="str">
        <f>+VLOOKUP(PROVEEDORES3[[#This Row],[PROVEEDOR]],TERCEROS_INFO[[PROVEEDOR]:[CORREO]],5,FALSE)</f>
        <v>jessica.barrios@carpainternacional.com;girlesa.ruiz@servipilas.com;joriescobar64@gmail.com</v>
      </c>
      <c r="D69" s="289">
        <v>45251</v>
      </c>
      <c r="E69" s="26" t="s">
        <v>250</v>
      </c>
      <c r="F69" s="67">
        <v>45226</v>
      </c>
      <c r="G69" s="35">
        <v>1814</v>
      </c>
      <c r="H69" s="68">
        <v>100</v>
      </c>
      <c r="I69" s="21">
        <f>+PROVEEDORES3[[#This Row],[Total USD]]*4300</f>
        <v>430000</v>
      </c>
    </row>
    <row r="70" spans="1:9" ht="22.35" hidden="1" customHeight="1" x14ac:dyDescent="0.25">
      <c r="A70" s="65" t="str">
        <f>+IF(PROVEEDORES3[[#This Row],[FECHA DE PAGO]]=PROVEEDORES3[[#This Row],[FECHA DE FACTURACIÓN]],"DE CONTADO","CRÉDITO")</f>
        <v>CRÉDITO</v>
      </c>
      <c r="B70" s="38" t="e">
        <f>+IF((PROVEEDORES3[[#This Row],[FECHA DE PAGO]]-PROVEEDORES3[[#This Row],[FECHA DE FACTURACIÓN]])&gt;#REF!,"PAGO VENCIDO")</f>
        <v>#REF!</v>
      </c>
      <c r="C70" s="56" t="str">
        <f>+VLOOKUP(PROVEEDORES3[[#This Row],[PROVEEDOR]],TERCEROS_INFO[[PROVEEDOR]:[CORREO]],5,FALSE)</f>
        <v>jessica.barrios@carpainternacional.com;girlesa.ruiz@servipilas.com;joriescobar64@gmail.com</v>
      </c>
      <c r="D70" s="289">
        <v>45251</v>
      </c>
      <c r="E70" s="26" t="s">
        <v>250</v>
      </c>
      <c r="F70" s="67">
        <v>45233</v>
      </c>
      <c r="G70" s="35">
        <v>1822</v>
      </c>
      <c r="H70" s="68">
        <v>80</v>
      </c>
      <c r="I70" s="21">
        <f>+PROVEEDORES3[[#This Row],[Total USD]]*4300</f>
        <v>344000</v>
      </c>
    </row>
    <row r="71" spans="1:9" ht="22.35" hidden="1" customHeight="1" x14ac:dyDescent="0.25">
      <c r="A71" s="256" t="str">
        <f>+IF(PROVEEDORES3[[#This Row],[FECHA DE PAGO]]=PROVEEDORES3[[#This Row],[FECHA DE FACTURACIÓN]],"DE CONTADO","CRÉDITO")</f>
        <v>CRÉDITO</v>
      </c>
      <c r="B71" s="38" t="e">
        <f>+IF((PROVEEDORES3[[#This Row],[FECHA DE PAGO]]-PROVEEDORES3[[#This Row],[FECHA DE FACTURACIÓN]])&gt;#REF!,"PAGO VENCIDO")</f>
        <v>#REF!</v>
      </c>
      <c r="C71" s="56" t="str">
        <f>+VLOOKUP(PROVEEDORES3[[#This Row],[PROVEEDOR]],TERCEROS_INFO[[PROVEEDOR]:[CORREO]],5,FALSE)</f>
        <v>jessica.barrios@carpainternacional.com;girlesa.ruiz@servipilas.com;joriescobar64@gmail.com</v>
      </c>
      <c r="D71" s="289">
        <v>45251</v>
      </c>
      <c r="E71" s="26" t="s">
        <v>250</v>
      </c>
      <c r="F71" s="67">
        <v>45233</v>
      </c>
      <c r="G71" s="35">
        <v>1826</v>
      </c>
      <c r="H71" s="68">
        <v>92</v>
      </c>
      <c r="I71" s="21">
        <f>+PROVEEDORES3[[#This Row],[Total USD]]*4300</f>
        <v>395600</v>
      </c>
    </row>
    <row r="72" spans="1:9" ht="22.35" hidden="1" customHeight="1" x14ac:dyDescent="0.25">
      <c r="A72" s="65" t="str">
        <f>+IF(PROVEEDORES3[[#This Row],[FECHA DE PAGO]]=PROVEEDORES3[[#This Row],[FECHA DE FACTURACIÓN]],"DE CONTADO","CRÉDITO")</f>
        <v>CRÉDITO</v>
      </c>
      <c r="B72" s="38" t="e">
        <f>+IF((PROVEEDORES3[[#This Row],[FECHA DE PAGO]]-PROVEEDORES3[[#This Row],[FECHA DE FACTURACIÓN]])&gt;#REF!,"PAGO VENCIDO")</f>
        <v>#REF!</v>
      </c>
      <c r="C72" s="56" t="str">
        <f>+VLOOKUP(PROVEEDORES3[[#This Row],[PROVEEDOR]],TERCEROS_INFO[[PROVEEDOR]:[CORREO]],5,FALSE)</f>
        <v>jessica.barrios@carpainternacional.com;girlesa.ruiz@servipilas.com;joriescobar64@gmail.com</v>
      </c>
      <c r="D72" s="289">
        <v>45278</v>
      </c>
      <c r="E72" s="26" t="s">
        <v>250</v>
      </c>
      <c r="F72" s="67">
        <v>45251</v>
      </c>
      <c r="G72" s="35" t="s">
        <v>1288</v>
      </c>
      <c r="H72" s="68">
        <v>140</v>
      </c>
      <c r="I72" s="21">
        <f>+PROVEEDORES3[[#This Row],[Total USD]]*4300</f>
        <v>602000</v>
      </c>
    </row>
    <row r="73" spans="1:9" ht="22.35" hidden="1" customHeight="1" x14ac:dyDescent="0.25">
      <c r="A73" s="65" t="str">
        <f>+IF(PROVEEDORES3[[#This Row],[FECHA DE PAGO]]=PROVEEDORES3[[#This Row],[FECHA DE FACTURACIÓN]],"DE CONTADO","CRÉDITO")</f>
        <v>CRÉDITO</v>
      </c>
      <c r="B73" s="38" t="e">
        <f>+IF((PROVEEDORES3[[#This Row],[FECHA DE PAGO]]-PROVEEDORES3[[#This Row],[FECHA DE FACTURACIÓN]])&gt;#REF!,"PAGO VENCIDO")</f>
        <v>#REF!</v>
      </c>
      <c r="C73" s="56" t="str">
        <f>+VLOOKUP(PROVEEDORES3[[#This Row],[PROVEEDOR]],TERCEROS_INFO[[PROVEEDOR]:[CORREO]],5,FALSE)</f>
        <v>jessica.barrios@carpainternacional.com;girlesa.ruiz@servipilas.com;joriescobar64@gmail.com</v>
      </c>
      <c r="D73" s="289">
        <v>45278</v>
      </c>
      <c r="E73" s="26" t="s">
        <v>250</v>
      </c>
      <c r="F73" s="67">
        <v>45252</v>
      </c>
      <c r="G73" s="35" t="s">
        <v>1289</v>
      </c>
      <c r="H73" s="68">
        <v>136</v>
      </c>
      <c r="I73" s="21">
        <f>+PROVEEDORES3[[#This Row],[Total USD]]*4300</f>
        <v>584800</v>
      </c>
    </row>
    <row r="74" spans="1:9" ht="22.35" hidden="1" customHeight="1" x14ac:dyDescent="0.25">
      <c r="A74" s="65" t="str">
        <f>+IF(PROVEEDORES3[[#This Row],[FECHA DE PAGO]]=PROVEEDORES3[[#This Row],[FECHA DE FACTURACIÓN]],"DE CONTADO","CRÉDITO")</f>
        <v>CRÉDITO</v>
      </c>
      <c r="B74" s="38" t="e">
        <f>+IF((PROVEEDORES3[[#This Row],[FECHA DE PAGO]]-PROVEEDORES3[[#This Row],[FECHA DE FACTURACIÓN]])&gt;#REF!,"PAGO VENCIDO")</f>
        <v>#REF!</v>
      </c>
      <c r="C74" s="56" t="str">
        <f>+VLOOKUP(PROVEEDORES3[[#This Row],[PROVEEDOR]],TERCEROS_INFO[[PROVEEDOR]:[CORREO]],5,FALSE)</f>
        <v>jessica.barrios@carpainternacional.com;girlesa.ruiz@servipilas.com;joriescobar64@gmail.com</v>
      </c>
      <c r="D74" s="289">
        <v>45278</v>
      </c>
      <c r="E74" s="26" t="s">
        <v>250</v>
      </c>
      <c r="F74" s="67">
        <v>45260</v>
      </c>
      <c r="G74" s="35" t="s">
        <v>1348</v>
      </c>
      <c r="H74" s="68">
        <v>40</v>
      </c>
      <c r="I74" s="21">
        <f>+PROVEEDORES3[[#This Row],[Total USD]]*4300</f>
        <v>172000</v>
      </c>
    </row>
    <row r="75" spans="1:9" ht="22.35" hidden="1" customHeight="1" x14ac:dyDescent="0.25">
      <c r="A75" s="65" t="str">
        <f>+IF(PROVEEDORES3[[#This Row],[FECHA DE PAGO]]=PROVEEDORES3[[#This Row],[FECHA DE FACTURACIÓN]],"DE CONTADO","CRÉDITO")</f>
        <v>CRÉDITO</v>
      </c>
      <c r="B75" s="38" t="e">
        <f>+IF((PROVEEDORES3[[#This Row],[FECHA DE PAGO]]-PROVEEDORES3[[#This Row],[FECHA DE FACTURACIÓN]])&gt;#REF!,"PAGO VENCIDO")</f>
        <v>#REF!</v>
      </c>
      <c r="C75" s="56" t="str">
        <f>+VLOOKUP(PROVEEDORES3[[#This Row],[PROVEEDOR]],TERCEROS_INFO[[PROVEEDOR]:[CORREO]],5,FALSE)</f>
        <v>jessica.barrios@carpainternacional.com;girlesa.ruiz@servipilas.com;joriescobar64@gmail.com</v>
      </c>
      <c r="D75" s="289">
        <v>45278</v>
      </c>
      <c r="E75" s="26" t="s">
        <v>250</v>
      </c>
      <c r="F75" s="67">
        <v>45260</v>
      </c>
      <c r="G75" s="35" t="s">
        <v>1349</v>
      </c>
      <c r="H75" s="68">
        <v>104</v>
      </c>
      <c r="I75" s="21">
        <f>+PROVEEDORES3[[#This Row],[Total USD]]*4300</f>
        <v>447200</v>
      </c>
    </row>
    <row r="76" spans="1:9" ht="22.35" hidden="1" customHeight="1" x14ac:dyDescent="0.25">
      <c r="A76" s="65" t="str">
        <f>+IF(PROVEEDORES3[[#This Row],[FECHA DE PAGO]]=PROVEEDORES3[[#This Row],[FECHA DE FACTURACIÓN]],"DE CONTADO","CRÉDITO")</f>
        <v>CRÉDITO</v>
      </c>
      <c r="B76" s="38" t="e">
        <f>+IF((PROVEEDORES3[[#This Row],[FECHA DE PAGO]]-PROVEEDORES3[[#This Row],[FECHA DE FACTURACIÓN]])&gt;#REF!,"PAGO VENCIDO")</f>
        <v>#REF!</v>
      </c>
      <c r="C76" s="56" t="str">
        <f>+VLOOKUP(PROVEEDORES3[[#This Row],[PROVEEDOR]],TERCEROS_INFO[[PROVEEDOR]:[CORREO]],5,FALSE)</f>
        <v>jessica.barrios@carpainternacional.com;girlesa.ruiz@servipilas.com;joriescobar64@gmail.com</v>
      </c>
      <c r="D76" s="289">
        <v>45278</v>
      </c>
      <c r="E76" s="26" t="s">
        <v>250</v>
      </c>
      <c r="F76" s="67">
        <v>45260</v>
      </c>
      <c r="G76" s="35" t="s">
        <v>1350</v>
      </c>
      <c r="H76" s="68">
        <v>120</v>
      </c>
      <c r="I76" s="21">
        <f>+PROVEEDORES3[[#This Row],[Total USD]]*4300</f>
        <v>516000</v>
      </c>
    </row>
    <row r="77" spans="1:9" ht="22.35" hidden="1" customHeight="1" x14ac:dyDescent="0.25">
      <c r="A77" s="65" t="str">
        <f>+IF(PROVEEDORES3[[#This Row],[FECHA DE PAGO]]=PROVEEDORES3[[#This Row],[FECHA DE FACTURACIÓN]],"DE CONTADO","CRÉDITO")</f>
        <v>CRÉDITO</v>
      </c>
      <c r="B77" s="38" t="e">
        <f>+IF((PROVEEDORES3[[#This Row],[FECHA DE PAGO]]-PROVEEDORES3[[#This Row],[FECHA DE FACTURACIÓN]])&gt;#REF!,"PAGO VENCIDO")</f>
        <v>#REF!</v>
      </c>
      <c r="C77" s="56" t="str">
        <f>+VLOOKUP(PROVEEDORES3[[#This Row],[PROVEEDOR]],TERCEROS_INFO[[PROVEEDOR]:[CORREO]],5,FALSE)</f>
        <v>jessica.barrios@carpainternacional.com;girlesa.ruiz@servipilas.com;joriescobar64@gmail.com</v>
      </c>
      <c r="D77" s="289">
        <v>45278</v>
      </c>
      <c r="E77" s="26" t="s">
        <v>250</v>
      </c>
      <c r="F77" s="67">
        <v>45260</v>
      </c>
      <c r="G77" s="35" t="s">
        <v>1351</v>
      </c>
      <c r="H77" s="68">
        <v>255.3</v>
      </c>
      <c r="I77" s="21">
        <f>+PROVEEDORES3[[#This Row],[Total USD]]*4300</f>
        <v>1097790</v>
      </c>
    </row>
    <row r="78" spans="1:9" ht="22.35" hidden="1" customHeight="1" x14ac:dyDescent="0.25">
      <c r="A78" s="267" t="str">
        <f>+IF(PROVEEDORES3[[#This Row],[FECHA DE PAGO]]=PROVEEDORES3[[#This Row],[FECHA DE FACTURACIÓN]],"DE CONTADO","CRÉDITO")</f>
        <v>CRÉDITO</v>
      </c>
      <c r="B78" s="38" t="e">
        <f>+IF((PROVEEDORES3[[#This Row],[FECHA DE PAGO]]-PROVEEDORES3[[#This Row],[FECHA DE FACTURACIÓN]])&gt;#REF!,"PAGO VENCIDO")</f>
        <v>#REF!</v>
      </c>
      <c r="C78" s="56" t="str">
        <f>+VLOOKUP(PROVEEDORES3[[#This Row],[PROVEEDOR]],TERCEROS_INFO[[PROVEEDOR]:[CORREO]],5,FALSE)</f>
        <v>jessica.barrios@carpainternacional.com;girlesa.ruiz@servipilas.com;joriescobar64@gmail.com</v>
      </c>
      <c r="D78" s="289">
        <v>45278</v>
      </c>
      <c r="E78" s="26" t="s">
        <v>250</v>
      </c>
      <c r="F78" s="67">
        <v>45260</v>
      </c>
      <c r="G78" s="35" t="s">
        <v>1355</v>
      </c>
      <c r="H78" s="68">
        <v>273.89999999999998</v>
      </c>
      <c r="I78" s="21">
        <f>+PROVEEDORES3[[#This Row],[Total USD]]*4300</f>
        <v>1177770</v>
      </c>
    </row>
    <row r="79" spans="1:9" ht="22.35" hidden="1" customHeight="1" x14ac:dyDescent="0.25">
      <c r="A79" s="267" t="str">
        <f>+IF(PROVEEDORES3[[#This Row],[FECHA DE PAGO]]=PROVEEDORES3[[#This Row],[FECHA DE FACTURACIÓN]],"DE CONTADO","CRÉDITO")</f>
        <v>CRÉDITO</v>
      </c>
      <c r="B79" s="38" t="e">
        <f>+IF((PROVEEDORES3[[#This Row],[FECHA DE PAGO]]-PROVEEDORES3[[#This Row],[FECHA DE FACTURACIÓN]])&gt;#REF!,"PAGO VENCIDO")</f>
        <v>#REF!</v>
      </c>
      <c r="C79" s="56" t="str">
        <f>+VLOOKUP(PROVEEDORES3[[#This Row],[PROVEEDOR]],TERCEROS_INFO[[PROVEEDOR]:[CORREO]],5,FALSE)</f>
        <v>jessica.barrios@carpainternacional.com;girlesa.ruiz@servipilas.com;joriescobar64@gmail.com</v>
      </c>
      <c r="D79" s="289">
        <v>45278</v>
      </c>
      <c r="E79" s="26" t="s">
        <v>250</v>
      </c>
      <c r="F79" s="67">
        <v>45260</v>
      </c>
      <c r="G79" s="35" t="s">
        <v>1354</v>
      </c>
      <c r="H79" s="68">
        <v>176</v>
      </c>
      <c r="I79" s="21">
        <f>+PROVEEDORES3[[#This Row],[Total USD]]*4300</f>
        <v>756800</v>
      </c>
    </row>
    <row r="80" spans="1:9" ht="22.35" hidden="1" customHeight="1" x14ac:dyDescent="0.25">
      <c r="A80" s="267" t="str">
        <f>+IF(PROVEEDORES3[[#This Row],[FECHA DE PAGO]]=PROVEEDORES3[[#This Row],[FECHA DE FACTURACIÓN]],"DE CONTADO","CRÉDITO")</f>
        <v>CRÉDITO</v>
      </c>
      <c r="B80" s="38" t="e">
        <f>+IF((PROVEEDORES3[[#This Row],[FECHA DE PAGO]]-PROVEEDORES3[[#This Row],[FECHA DE FACTURACIÓN]])&gt;#REF!,"PAGO VENCIDO")</f>
        <v>#REF!</v>
      </c>
      <c r="C80" s="56" t="str">
        <f>+VLOOKUP(PROVEEDORES3[[#This Row],[PROVEEDOR]],TERCEROS_INFO[[PROVEEDOR]:[CORREO]],5,FALSE)</f>
        <v>jessica.barrios@carpainternacional.com;girlesa.ruiz@servipilas.com;joriescobar64@gmail.com</v>
      </c>
      <c r="D80" s="289">
        <v>45278</v>
      </c>
      <c r="E80" s="26" t="s">
        <v>250</v>
      </c>
      <c r="F80" s="67">
        <v>45264</v>
      </c>
      <c r="G80" s="35" t="s">
        <v>1356</v>
      </c>
      <c r="H80" s="68">
        <v>144</v>
      </c>
      <c r="I80" s="21">
        <f>+PROVEEDORES3[[#This Row],[Total USD]]*4300</f>
        <v>619200</v>
      </c>
    </row>
    <row r="81" spans="1:9" ht="22.35" hidden="1" customHeight="1" x14ac:dyDescent="0.25">
      <c r="A81" s="267" t="str">
        <f>+IF(PROVEEDORES3[[#This Row],[FECHA DE PAGO]]=PROVEEDORES3[[#This Row],[FECHA DE FACTURACIÓN]],"DE CONTADO","CRÉDITO")</f>
        <v>CRÉDITO</v>
      </c>
      <c r="B81" s="38" t="e">
        <f>+IF((PROVEEDORES3[[#This Row],[FECHA DE PAGO]]-PROVEEDORES3[[#This Row],[FECHA DE FACTURACIÓN]])&gt;#REF!,"PAGO VENCIDO")</f>
        <v>#REF!</v>
      </c>
      <c r="C81" s="56" t="str">
        <f>+VLOOKUP(PROVEEDORES3[[#This Row],[PROVEEDOR]],TERCEROS_INFO[[PROVEEDOR]:[CORREO]],5,FALSE)</f>
        <v>jessica.barrios@carpainternacional.com;girlesa.ruiz@servipilas.com;joriescobar64@gmail.com</v>
      </c>
      <c r="D81" s="289">
        <v>45278</v>
      </c>
      <c r="E81" s="26" t="s">
        <v>250</v>
      </c>
      <c r="F81" s="67">
        <v>45267</v>
      </c>
      <c r="G81" s="35" t="s">
        <v>1357</v>
      </c>
      <c r="H81" s="68">
        <v>80</v>
      </c>
      <c r="I81" s="21">
        <f>+PROVEEDORES3[[#This Row],[Total USD]]*4300</f>
        <v>344000</v>
      </c>
    </row>
    <row r="82" spans="1:9" ht="22.35" hidden="1" customHeight="1" x14ac:dyDescent="0.25">
      <c r="A82" s="65" t="str">
        <f>+IF(PROVEEDORES3[[#This Row],[FECHA DE PAGO]]=PROVEEDORES3[[#This Row],[FECHA DE FACTURACIÓN]],"DE CONTADO","CRÉDITO")</f>
        <v>CRÉDITO</v>
      </c>
      <c r="B82" s="38" t="e">
        <f>+IF((PROVEEDORES3[[#This Row],[FECHA DE PAGO]]-PROVEEDORES3[[#This Row],[FECHA DE FACTURACIÓN]])&gt;#REF!,"PAGO VENCIDO")</f>
        <v>#REF!</v>
      </c>
      <c r="C82" s="56" t="str">
        <f>+VLOOKUP(PROVEEDORES3[[#This Row],[PROVEEDOR]],TERCEROS_INFO[[PROVEEDOR]:[CORREO]],5,FALSE)</f>
        <v>jessica.barrios@carpainternacional.com;girlesa.ruiz@servipilas.com;joriescobar64@gmail.com</v>
      </c>
      <c r="D82" s="289">
        <v>45278</v>
      </c>
      <c r="E82" s="26" t="s">
        <v>250</v>
      </c>
      <c r="F82" s="67">
        <v>45267</v>
      </c>
      <c r="G82" s="35" t="s">
        <v>1389</v>
      </c>
      <c r="H82" s="68">
        <v>100</v>
      </c>
      <c r="I82" s="21">
        <f>+PROVEEDORES3[[#This Row],[Total USD]]*4300</f>
        <v>430000</v>
      </c>
    </row>
    <row r="83" spans="1:9" ht="22.35" customHeight="1" x14ac:dyDescent="0.25">
      <c r="A83" s="65" t="str">
        <f>+IF(PROVEEDORES3[[#This Row],[FECHA DE PAGO]]=PROVEEDORES3[[#This Row],[FECHA DE FACTURACIÓN]],"DE CONTADO","CRÉDITO")</f>
        <v>CRÉDITO</v>
      </c>
      <c r="B83" s="38" t="e">
        <f>+IF((PROVEEDORES3[[#This Row],[FECHA DE PAGO]]-PROVEEDORES3[[#This Row],[FECHA DE FACTURACIÓN]])&gt;#REF!,"PAGO VENCIDO")</f>
        <v>#REF!</v>
      </c>
      <c r="C83" s="56" t="str">
        <f>+VLOOKUP(PROVEEDORES3[[#This Row],[PROVEEDOR]],TERCEROS_INFO[[PROVEEDOR]:[CORREO]],5,FALSE)</f>
        <v>jessica.barrios@carpainternacional.com;girlesa.ruiz@servipilas.com;joriescobar64@gmail.com</v>
      </c>
      <c r="E83" s="26" t="s">
        <v>250</v>
      </c>
      <c r="F83" s="67">
        <v>45282</v>
      </c>
      <c r="G83" s="35">
        <v>1873</v>
      </c>
      <c r="H83" s="68">
        <v>92</v>
      </c>
      <c r="I83" s="21">
        <f>+PROVEEDORES3[[#This Row],[Total USD]]*4300</f>
        <v>395600</v>
      </c>
    </row>
    <row r="84" spans="1:9" ht="22.35" customHeight="1" x14ac:dyDescent="0.25">
      <c r="A84" s="304" t="str">
        <f>+IF(PROVEEDORES3[[#This Row],[FECHA DE PAGO]]=PROVEEDORES3[[#This Row],[FECHA DE FACTURACIÓN]],"DE CONTADO","CRÉDITO")</f>
        <v>CRÉDITO</v>
      </c>
      <c r="B84" s="38" t="e">
        <f>+IF((PROVEEDORES3[[#This Row],[FECHA DE PAGO]]-PROVEEDORES3[[#This Row],[FECHA DE FACTURACIÓN]])&gt;#REF!,"PAGO VENCIDO")</f>
        <v>#REF!</v>
      </c>
      <c r="C84" s="56" t="str">
        <f>+VLOOKUP(PROVEEDORES3[[#This Row],[PROVEEDOR]],TERCEROS_INFO[[PROVEEDOR]:[CORREO]],5,FALSE)</f>
        <v>jessica.barrios@carpainternacional.com;girlesa.ruiz@servipilas.com;joriescobar64@gmail.com</v>
      </c>
      <c r="E84" s="26" t="s">
        <v>250</v>
      </c>
      <c r="F84" s="67">
        <v>45292</v>
      </c>
      <c r="G84" s="35">
        <v>1883</v>
      </c>
      <c r="H84" s="68">
        <v>155</v>
      </c>
      <c r="I84" s="21">
        <f>+PROVEEDORES3[[#This Row],[Total USD]]*4000</f>
        <v>620000</v>
      </c>
    </row>
    <row r="85" spans="1:9" ht="22.35" customHeight="1" x14ac:dyDescent="0.25">
      <c r="A85" s="304" t="str">
        <f>+IF(PROVEEDORES3[[#This Row],[FECHA DE PAGO]]=PROVEEDORES3[[#This Row],[FECHA DE FACTURACIÓN]],"DE CONTADO","CRÉDITO")</f>
        <v>CRÉDITO</v>
      </c>
      <c r="B85" s="38" t="e">
        <f>+IF((PROVEEDORES3[[#This Row],[FECHA DE PAGO]]-PROVEEDORES3[[#This Row],[FECHA DE FACTURACIÓN]])&gt;#REF!,"PAGO VENCIDO")</f>
        <v>#REF!</v>
      </c>
      <c r="C85" s="56" t="str">
        <f>+VLOOKUP(PROVEEDORES3[[#This Row],[PROVEEDOR]],TERCEROS_INFO[[PROVEEDOR]:[CORREO]],5,FALSE)</f>
        <v>jessica.barrios@carpainternacional.com;girlesa.ruiz@servipilas.com;joriescobar64@gmail.com</v>
      </c>
      <c r="E85" s="26" t="s">
        <v>250</v>
      </c>
      <c r="F85" s="67">
        <v>45292</v>
      </c>
      <c r="G85" s="35">
        <v>1884</v>
      </c>
      <c r="H85" s="68">
        <v>56</v>
      </c>
      <c r="I85" s="21">
        <f>+PROVEEDORES3[[#This Row],[Total USD]]*4000</f>
        <v>224000</v>
      </c>
    </row>
    <row r="86" spans="1:9" ht="22.35" customHeight="1" x14ac:dyDescent="0.25">
      <c r="A86" s="314" t="str">
        <f>+IF(PROVEEDORES3[[#This Row],[FECHA DE PAGO]]=PROVEEDORES3[[#This Row],[FECHA DE FACTURACIÓN]],"DE CONTADO","CRÉDITO")</f>
        <v>CRÉDITO</v>
      </c>
      <c r="B86" s="38" t="e">
        <f>+IF((PROVEEDORES3[[#This Row],[FECHA DE PAGO]]-PROVEEDORES3[[#This Row],[FECHA DE FACTURACIÓN]])&gt;#REF!,"PAGO VENCIDO")</f>
        <v>#REF!</v>
      </c>
      <c r="C86" s="56" t="str">
        <f>+VLOOKUP(PROVEEDORES3[[#This Row],[PROVEEDOR]],TERCEROS_INFO[[PROVEEDOR]:[CORREO]],5,FALSE)</f>
        <v>jessica.barrios@carpainternacional.com;girlesa.ruiz@servipilas.com;joriescobar64@gmail.com</v>
      </c>
      <c r="E86" s="26" t="s">
        <v>250</v>
      </c>
      <c r="F86" s="67">
        <v>45311</v>
      </c>
      <c r="G86" s="35" t="s">
        <v>1523</v>
      </c>
      <c r="H86" s="68">
        <v>128</v>
      </c>
      <c r="I86" s="21">
        <f>+PROVEEDORES3[[#This Row],[Total USD]]*3900.5</f>
        <v>499264</v>
      </c>
    </row>
    <row r="87" spans="1:9" ht="22.35" hidden="1" customHeight="1" x14ac:dyDescent="0.25">
      <c r="A87" s="227" t="str">
        <f>+IF(PROVEEDORES3[[#This Row],[FECHA DE PAGO]]=PROVEEDORES3[[#This Row],[FECHA DE FACTURACIÓN]],"DE CONTADO","CRÉDITO")</f>
        <v>CRÉDITO</v>
      </c>
      <c r="B87" s="38" t="e">
        <f>+IF((PROVEEDORES3[[#This Row],[FECHA DE PAGO]]-PROVEEDORES3[[#This Row],[FECHA DE FACTURACIÓN]])&gt;#REF!,"PAGO VENCIDO")</f>
        <v>#REF!</v>
      </c>
      <c r="C87" s="56" t="str">
        <f>+VLOOKUP(PROVEEDORES3[[#This Row],[PROVEEDOR]],TERCEROS_INFO[[PROVEEDOR]:[CORREO]],5,FALSE)</f>
        <v>jessica.barrios@carpainternacional.com;girlesa.ruiz@servipilas.com;joriescobar64@gmail.com</v>
      </c>
      <c r="D87" s="289">
        <v>45205</v>
      </c>
      <c r="E87" s="26" t="s">
        <v>257</v>
      </c>
      <c r="F87" s="67">
        <v>45169</v>
      </c>
      <c r="G87" s="35">
        <v>1772</v>
      </c>
      <c r="H87" s="125">
        <v>1216.05</v>
      </c>
      <c r="I87" s="21">
        <f>+PROVEEDORES3[[#This Row],[Total USD]]*4200</f>
        <v>5107410</v>
      </c>
    </row>
    <row r="88" spans="1:9" ht="22.35" hidden="1" customHeight="1" x14ac:dyDescent="0.25">
      <c r="A88" s="65" t="str">
        <f>+IF(PROVEEDORES3[[#This Row],[FECHA DE PAGO]]=PROVEEDORES3[[#This Row],[FECHA DE FACTURACIÓN]],"DE CONTADO","CRÉDITO")</f>
        <v>CRÉDITO</v>
      </c>
      <c r="B88" s="38" t="e">
        <f>+IF((PROVEEDORES3[[#This Row],[FECHA DE PAGO]]-PROVEEDORES3[[#This Row],[FECHA DE FACTURACIÓN]])&gt;#REF!,"PAGO VENCIDO")</f>
        <v>#REF!</v>
      </c>
      <c r="C88" s="56" t="str">
        <f>+VLOOKUP(PROVEEDORES3[[#This Row],[PROVEEDOR]],TERCEROS_INFO[[PROVEEDOR]:[CORREO]],5,FALSE)</f>
        <v>jessica.barrios@carpainternacional.com;girlesa.ruiz@servipilas.com;joriescobar64@gmail.com</v>
      </c>
      <c r="D88" s="289">
        <v>44992</v>
      </c>
      <c r="E88" s="26" t="s">
        <v>252</v>
      </c>
      <c r="F88" s="67">
        <v>44949</v>
      </c>
      <c r="G88" s="35">
        <v>1589</v>
      </c>
      <c r="H88" s="68">
        <v>499.8</v>
      </c>
      <c r="I88" s="21">
        <f>+PROVEEDORES3[[#This Row],[Total USD]]*4600</f>
        <v>2299080</v>
      </c>
    </row>
    <row r="89" spans="1:9" ht="22.35" hidden="1" customHeight="1" x14ac:dyDescent="0.25">
      <c r="A89" s="65" t="str">
        <f>+IF(PROVEEDORES3[[#This Row],[FECHA DE PAGO]]=PROVEEDORES3[[#This Row],[FECHA DE FACTURACIÓN]],"DE CONTADO","CRÉDITO")</f>
        <v>CRÉDITO</v>
      </c>
      <c r="B89" s="38" t="e">
        <f>+IF((PROVEEDORES3[[#This Row],[FECHA DE PAGO]]-PROVEEDORES3[[#This Row],[FECHA DE FACTURACIÓN]])&gt;#REF!,"PAGO VENCIDO")</f>
        <v>#REF!</v>
      </c>
      <c r="C89" s="56" t="str">
        <f>+VLOOKUP(PROVEEDORES3[[#This Row],[PROVEEDOR]],TERCEROS_INFO[[PROVEEDOR]:[CORREO]],5,FALSE)</f>
        <v>jessica.barrios@carpainternacional.com;girlesa.ruiz@servipilas.com;joriescobar64@gmail.com</v>
      </c>
      <c r="D89" s="289">
        <v>45026</v>
      </c>
      <c r="E89" s="26" t="s">
        <v>252</v>
      </c>
      <c r="F89" s="67">
        <v>44999</v>
      </c>
      <c r="G89" s="35">
        <v>1629</v>
      </c>
      <c r="H89" s="68">
        <v>745</v>
      </c>
      <c r="I89" s="21">
        <f>+PROVEEDORES3[[#This Row],[Total USD]]*4880</f>
        <v>3635600</v>
      </c>
    </row>
    <row r="90" spans="1:9" ht="22.35" hidden="1" customHeight="1" x14ac:dyDescent="0.25">
      <c r="A90" s="65" t="str">
        <f>+IF(PROVEEDORES3[[#This Row],[FECHA DE PAGO]]=PROVEEDORES3[[#This Row],[FECHA DE FACTURACIÓN]],"DE CONTADO","CRÉDITO")</f>
        <v>CRÉDITO</v>
      </c>
      <c r="B90" s="38" t="e">
        <f>+IF((PROVEEDORES3[[#This Row],[FECHA DE PAGO]]-PROVEEDORES3[[#This Row],[FECHA DE FACTURACIÓN]])&gt;#REF!,"PAGO VENCIDO")</f>
        <v>#REF!</v>
      </c>
      <c r="C90" s="56" t="str">
        <f>+VLOOKUP(PROVEEDORES3[[#This Row],[PROVEEDOR]],TERCEROS_INFO[[PROVEEDOR]:[CORREO]],5,FALSE)</f>
        <v>jessica.barrios@carpainternacional.com;girlesa.ruiz@servipilas.com;joriescobar64@gmail.com</v>
      </c>
      <c r="D90" s="289">
        <v>45051</v>
      </c>
      <c r="E90" s="26" t="s">
        <v>252</v>
      </c>
      <c r="F90" s="67">
        <v>45017</v>
      </c>
      <c r="G90" s="35">
        <v>1647</v>
      </c>
      <c r="H90" s="68">
        <v>394.4</v>
      </c>
      <c r="I90" s="21">
        <f>+PROVEEDORES3[[#This Row],[Total USD]]*4700</f>
        <v>1853680</v>
      </c>
    </row>
    <row r="91" spans="1:9" ht="22.35" hidden="1" customHeight="1" x14ac:dyDescent="0.25">
      <c r="A91" s="192" t="str">
        <f>+IF(PROVEEDORES3[[#This Row],[FECHA DE PAGO]]=PROVEEDORES3[[#This Row],[FECHA DE FACTURACIÓN]],"DE CONTADO","CRÉDITO")</f>
        <v>CRÉDITO</v>
      </c>
      <c r="B91" s="38" t="e">
        <f>+IF((PROVEEDORES3[[#This Row],[FECHA DE PAGO]]-PROVEEDORES3[[#This Row],[FECHA DE FACTURACIÓN]])&gt;#REF!,"PAGO VENCIDO")</f>
        <v>#REF!</v>
      </c>
      <c r="C91" s="56" t="str">
        <f>+VLOOKUP(PROVEEDORES3[[#This Row],[PROVEEDOR]],TERCEROS_INFO[[PROVEEDOR]:[CORREO]],5,FALSE)</f>
        <v>jessica.barrios@carpainternacional.com;girlesa.ruiz@servipilas.com;joriescobar64@gmail.com</v>
      </c>
      <c r="D91" s="289">
        <v>45051</v>
      </c>
      <c r="E91" s="26" t="s">
        <v>252</v>
      </c>
      <c r="F91" s="67">
        <v>45044</v>
      </c>
      <c r="G91" s="35">
        <v>1666</v>
      </c>
      <c r="H91" s="68">
        <v>665</v>
      </c>
      <c r="I91" s="21">
        <f>+PROVEEDORES3[[#This Row],[Total USD]]*4700</f>
        <v>3125500</v>
      </c>
    </row>
    <row r="92" spans="1:9" ht="22.35" hidden="1" customHeight="1" x14ac:dyDescent="0.25">
      <c r="A92" s="192" t="str">
        <f>+IF(PROVEEDORES3[[#This Row],[FECHA DE PAGO]]=PROVEEDORES3[[#This Row],[FECHA DE FACTURACIÓN]],"DE CONTADO","CRÉDITO")</f>
        <v>CRÉDITO</v>
      </c>
      <c r="B92" s="38" t="e">
        <f>+IF((PROVEEDORES3[[#This Row],[FECHA DE PAGO]]-PROVEEDORES3[[#This Row],[FECHA DE FACTURACIÓN]])&gt;#REF!,"PAGO VENCIDO")</f>
        <v>#REF!</v>
      </c>
      <c r="C92" s="56" t="str">
        <f>+VLOOKUP(PROVEEDORES3[[#This Row],[PROVEEDOR]],TERCEROS_INFO[[PROVEEDOR]:[CORREO]],5,FALSE)</f>
        <v>jessica.barrios@carpainternacional.com;girlesa.ruiz@servipilas.com;joriescobar64@gmail.com</v>
      </c>
      <c r="D92" s="289">
        <v>45051</v>
      </c>
      <c r="E92" s="26" t="s">
        <v>252</v>
      </c>
      <c r="F92" s="67">
        <v>45046</v>
      </c>
      <c r="G92" s="35">
        <v>1668</v>
      </c>
      <c r="H92" s="68">
        <v>400</v>
      </c>
      <c r="I92" s="21">
        <f>+PROVEEDORES3[[#This Row],[Total USD]]*4700</f>
        <v>1880000</v>
      </c>
    </row>
    <row r="93" spans="1:9" ht="22.35" hidden="1" customHeight="1" x14ac:dyDescent="0.25">
      <c r="A93" s="205" t="str">
        <f>+IF(PROVEEDORES3[[#This Row],[FECHA DE PAGO]]=PROVEEDORES3[[#This Row],[FECHA DE FACTURACIÓN]],"DE CONTADO","CRÉDITO")</f>
        <v>CRÉDITO</v>
      </c>
      <c r="B93" s="38" t="e">
        <f>+IF((PROVEEDORES3[[#This Row],[FECHA DE PAGO]]-PROVEEDORES3[[#This Row],[FECHA DE FACTURACIÓN]])&gt;#REF!,"PAGO VENCIDO")</f>
        <v>#REF!</v>
      </c>
      <c r="C93" s="56" t="str">
        <f>+VLOOKUP(PROVEEDORES3[[#This Row],[PROVEEDOR]],TERCEROS_INFO[[PROVEEDOR]:[CORREO]],5,FALSE)</f>
        <v>jessica.barrios@carpainternacional.com;girlesa.ruiz@servipilas.com;joriescobar64@gmail.com</v>
      </c>
      <c r="D93" s="289">
        <v>45124</v>
      </c>
      <c r="E93" s="26" t="s">
        <v>252</v>
      </c>
      <c r="F93" s="67">
        <v>45100</v>
      </c>
      <c r="G93" s="35">
        <v>1706</v>
      </c>
      <c r="H93" s="68">
        <v>639.4</v>
      </c>
      <c r="I93" s="21">
        <f>+PROVEEDORES3[[#This Row],[Total USD]]*4350</f>
        <v>2781390</v>
      </c>
    </row>
    <row r="94" spans="1:9" ht="22.35" hidden="1" customHeight="1" x14ac:dyDescent="0.25">
      <c r="A94" s="65" t="str">
        <f>+IF(PROVEEDORES3[[#This Row],[FECHA DE PAGO]]=PROVEEDORES3[[#This Row],[FECHA DE FACTURACIÓN]],"DE CONTADO","CRÉDITO")</f>
        <v>CRÉDITO</v>
      </c>
      <c r="B94" s="38" t="e">
        <f>+IF((PROVEEDORES3[[#This Row],[FECHA DE PAGO]]-PROVEEDORES3[[#This Row],[FECHA DE FACTURACIÓN]])&gt;#REF!,"PAGO VENCIDO")</f>
        <v>#REF!</v>
      </c>
      <c r="C94" s="56" t="str">
        <f>+VLOOKUP(PROVEEDORES3[[#This Row],[PROVEEDOR]],TERCEROS_INFO[[PROVEEDOR]:[CORREO]],5,FALSE)</f>
        <v>jessica.barrios@carpainternacional.com;girlesa.ruiz@servipilas.com;joriescobar64@gmail.com</v>
      </c>
      <c r="D94" s="289">
        <v>45152</v>
      </c>
      <c r="E94" s="26" t="s">
        <v>252</v>
      </c>
      <c r="F94" s="67">
        <v>45120</v>
      </c>
      <c r="G94" s="35">
        <v>1718</v>
      </c>
      <c r="H94" s="68">
        <v>665</v>
      </c>
      <c r="I94" s="21">
        <f>+PROVEEDORES3[[#This Row],[Total USD]]*4150</f>
        <v>2759750</v>
      </c>
    </row>
    <row r="95" spans="1:9" ht="22.35" hidden="1" customHeight="1" x14ac:dyDescent="0.25">
      <c r="A95" s="227" t="str">
        <f>+IF(PROVEEDORES3[[#This Row],[FECHA DE PAGO]]=PROVEEDORES3[[#This Row],[FECHA DE FACTURACIÓN]],"DE CONTADO","CRÉDITO")</f>
        <v>CRÉDITO</v>
      </c>
      <c r="B95" s="38" t="e">
        <f>+IF((PROVEEDORES3[[#This Row],[FECHA DE PAGO]]-PROVEEDORES3[[#This Row],[FECHA DE FACTURACIÓN]])&gt;#REF!,"PAGO VENCIDO")</f>
        <v>#REF!</v>
      </c>
      <c r="C95" s="56" t="str">
        <f>+VLOOKUP(PROVEEDORES3[[#This Row],[PROVEEDOR]],TERCEROS_INFO[[PROVEEDOR]:[CORREO]],5,FALSE)</f>
        <v>jessica.barrios@carpainternacional.com;girlesa.ruiz@servipilas.com;joriescobar64@gmail.com</v>
      </c>
      <c r="D95" s="289">
        <v>45205</v>
      </c>
      <c r="E95" s="26" t="s">
        <v>252</v>
      </c>
      <c r="F95" s="67">
        <v>45169</v>
      </c>
      <c r="G95" s="35">
        <v>1771</v>
      </c>
      <c r="H95" s="125">
        <v>665</v>
      </c>
      <c r="I95" s="21">
        <f>+PROVEEDORES3[[#This Row],[Total USD]]*4200</f>
        <v>2793000</v>
      </c>
    </row>
    <row r="96" spans="1:9" ht="22.35" hidden="1" customHeight="1" x14ac:dyDescent="0.25">
      <c r="A96" s="227" t="str">
        <f>+IF(PROVEEDORES3[[#This Row],[FECHA DE PAGO]]=PROVEEDORES3[[#This Row],[FECHA DE FACTURACIÓN]],"DE CONTADO","CRÉDITO")</f>
        <v>CRÉDITO</v>
      </c>
      <c r="B96" s="38" t="e">
        <f>+IF((PROVEEDORES3[[#This Row],[FECHA DE PAGO]]-PROVEEDORES3[[#This Row],[FECHA DE FACTURACIÓN]])&gt;#REF!,"PAGO VENCIDO")</f>
        <v>#REF!</v>
      </c>
      <c r="C96" s="56" t="str">
        <f>+VLOOKUP(PROVEEDORES3[[#This Row],[PROVEEDOR]],TERCEROS_INFO[[PROVEEDOR]:[CORREO]],5,FALSE)</f>
        <v>jessica.barrios@carpainternacional.com;girlesa.ruiz@servipilas.com;joriescobar64@gmail.com</v>
      </c>
      <c r="D96" s="289">
        <v>45205</v>
      </c>
      <c r="E96" s="26" t="s">
        <v>252</v>
      </c>
      <c r="F96" s="67">
        <v>45169</v>
      </c>
      <c r="G96" s="35">
        <v>1773</v>
      </c>
      <c r="H96" s="125">
        <v>360.1</v>
      </c>
      <c r="I96" s="21">
        <f>+PROVEEDORES3[[#This Row],[Total USD]]*4200</f>
        <v>1512420</v>
      </c>
    </row>
    <row r="97" spans="1:9" ht="22.35" hidden="1" customHeight="1" x14ac:dyDescent="0.25">
      <c r="A97" s="233" t="str">
        <f>+IF(PROVEEDORES3[[#This Row],[FECHA DE PAGO]]=PROVEEDORES3[[#This Row],[FECHA DE FACTURACIÓN]],"DE CONTADO","CRÉDITO")</f>
        <v>CRÉDITO</v>
      </c>
      <c r="B97" s="38" t="e">
        <f>+IF((PROVEEDORES3[[#This Row],[FECHA DE PAGO]]-PROVEEDORES3[[#This Row],[FECHA DE FACTURACIÓN]])&gt;#REF!,"PAGO VENCIDO")</f>
        <v>#REF!</v>
      </c>
      <c r="C97" s="56" t="str">
        <f>+VLOOKUP(PROVEEDORES3[[#This Row],[PROVEEDOR]],TERCEROS_INFO[[PROVEEDOR]:[CORREO]],5,FALSE)</f>
        <v>jessica.barrios@carpainternacional.com;girlesa.ruiz@servipilas.com;joriescobar64@gmail.com</v>
      </c>
      <c r="D97" s="289">
        <v>45205</v>
      </c>
      <c r="E97" s="26" t="s">
        <v>252</v>
      </c>
      <c r="F97" s="67">
        <v>45116</v>
      </c>
      <c r="G97" s="35">
        <v>1776</v>
      </c>
      <c r="H97" s="125">
        <v>357.4</v>
      </c>
      <c r="I97" s="21">
        <f>+PROVEEDORES3[[#This Row],[Total USD]]*4200</f>
        <v>1501080</v>
      </c>
    </row>
    <row r="98" spans="1:9" ht="22.35" hidden="1" customHeight="1" x14ac:dyDescent="0.25">
      <c r="A98" s="233" t="str">
        <f>+IF(PROVEEDORES3[[#This Row],[FECHA DE PAGO]]=PROVEEDORES3[[#This Row],[FECHA DE FACTURACIÓN]],"DE CONTADO","CRÉDITO")</f>
        <v>CRÉDITO</v>
      </c>
      <c r="B98" s="38" t="e">
        <f>+IF((PROVEEDORES3[[#This Row],[FECHA DE PAGO]]-PROVEEDORES3[[#This Row],[FECHA DE FACTURACIÓN]])&gt;#REF!,"PAGO VENCIDO")</f>
        <v>#REF!</v>
      </c>
      <c r="C98" s="56" t="str">
        <f>+VLOOKUP(PROVEEDORES3[[#This Row],[PROVEEDOR]],TERCEROS_INFO[[PROVEEDOR]:[CORREO]],5,FALSE)</f>
        <v>jessica.barrios@carpainternacional.com;girlesa.ruiz@servipilas.com;joriescobar64@gmail.com</v>
      </c>
      <c r="D98" s="289">
        <v>45205</v>
      </c>
      <c r="E98" s="26" t="s">
        <v>252</v>
      </c>
      <c r="F98" s="67">
        <v>45189</v>
      </c>
      <c r="G98" s="35">
        <v>1793</v>
      </c>
      <c r="H98" s="125">
        <v>665</v>
      </c>
      <c r="I98" s="21">
        <f>+PROVEEDORES3[[#This Row],[Total USD]]*4200</f>
        <v>2793000</v>
      </c>
    </row>
    <row r="99" spans="1:9" ht="22.35" hidden="1" customHeight="1" x14ac:dyDescent="0.25">
      <c r="A99" s="65" t="str">
        <f>+IF(PROVEEDORES3[[#This Row],[FECHA DE PAGO]]=PROVEEDORES3[[#This Row],[FECHA DE FACTURACIÓN]],"DE CONTADO","CRÉDITO")</f>
        <v>CRÉDITO</v>
      </c>
      <c r="B99" s="38" t="e">
        <f>+IF((PROVEEDORES3[[#This Row],[FECHA DE PAGO]]-PROVEEDORES3[[#This Row],[FECHA DE FACTURACIÓN]])&gt;#REF!,"PAGO VENCIDO")</f>
        <v>#REF!</v>
      </c>
      <c r="C99" s="56" t="str">
        <f>+VLOOKUP(PROVEEDORES3[[#This Row],[PROVEEDOR]],TERCEROS_INFO[[PROVEEDOR]:[CORREO]],5,FALSE)</f>
        <v>jessica.barrios@carpainternacional.com;girlesa.ruiz@servipilas.com;joriescobar64@gmail.com</v>
      </c>
      <c r="D99" s="289">
        <v>45251</v>
      </c>
      <c r="E99" s="26" t="s">
        <v>252</v>
      </c>
      <c r="F99" s="67">
        <v>45230</v>
      </c>
      <c r="G99" s="35">
        <v>1819</v>
      </c>
      <c r="H99" s="68">
        <v>715</v>
      </c>
      <c r="I99" s="21">
        <f>+PROVEEDORES3[[#This Row],[Total USD]]*4300</f>
        <v>3074500</v>
      </c>
    </row>
    <row r="100" spans="1:9" ht="22.35" hidden="1" customHeight="1" x14ac:dyDescent="0.25">
      <c r="A100" s="65" t="str">
        <f>+IF(PROVEEDORES3[[#This Row],[FECHA DE PAGO]]=PROVEEDORES3[[#This Row],[FECHA DE FACTURACIÓN]],"DE CONTADO","CRÉDITO")</f>
        <v>CRÉDITO</v>
      </c>
      <c r="B100" s="38" t="e">
        <f>+IF((PROVEEDORES3[[#This Row],[FECHA DE PAGO]]-PROVEEDORES3[[#This Row],[FECHA DE FACTURACIÓN]])&gt;#REF!,"PAGO VENCIDO")</f>
        <v>#REF!</v>
      </c>
      <c r="C100" s="56" t="str">
        <f>+VLOOKUP(PROVEEDORES3[[#This Row],[PROVEEDOR]],TERCEROS_INFO[[PROVEEDOR]:[CORREO]],5,FALSE)</f>
        <v>jessica.barrios@carpainternacional.com;girlesa.ruiz@servipilas.com;joriescobar64@gmail.com</v>
      </c>
      <c r="D100" s="289">
        <v>45251</v>
      </c>
      <c r="E100" s="26" t="s">
        <v>252</v>
      </c>
      <c r="F100" s="67">
        <v>45237</v>
      </c>
      <c r="G100" s="35">
        <v>1827</v>
      </c>
      <c r="H100" s="68">
        <v>438.5</v>
      </c>
      <c r="I100" s="21">
        <f>+PROVEEDORES3[[#This Row],[Total USD]]*4300</f>
        <v>1885550</v>
      </c>
    </row>
    <row r="101" spans="1:9" ht="22.35" customHeight="1" x14ac:dyDescent="0.25">
      <c r="A101" s="65" t="str">
        <f>+IF(PROVEEDORES3[[#This Row],[FECHA DE PAGO]]=PROVEEDORES3[[#This Row],[FECHA DE FACTURACIÓN]],"DE CONTADO","CRÉDITO")</f>
        <v>CRÉDITO</v>
      </c>
      <c r="B101" s="38" t="e">
        <f>+IF((PROVEEDORES3[[#This Row],[FECHA DE PAGO]]-PROVEEDORES3[[#This Row],[FECHA DE FACTURACIÓN]])&gt;#REF!,"PAGO VENCIDO")</f>
        <v>#REF!</v>
      </c>
      <c r="C101" s="56" t="str">
        <f>+VLOOKUP(PROVEEDORES3[[#This Row],[PROVEEDOR]],TERCEROS_INFO[[PROVEEDOR]:[CORREO]],5,FALSE)</f>
        <v>jessica.barrios@carpainternacional.com;girlesa.ruiz@servipilas.com;joriescobar64@gmail.com</v>
      </c>
      <c r="E101" s="26" t="s">
        <v>252</v>
      </c>
      <c r="F101" s="67">
        <v>45288</v>
      </c>
      <c r="G101" s="35" t="s">
        <v>1539</v>
      </c>
      <c r="H101" s="68">
        <v>715</v>
      </c>
      <c r="I101" s="21">
        <f>+PROVEEDORES3[[#This Row],[Total USD]]*4300</f>
        <v>3074500</v>
      </c>
    </row>
    <row r="102" spans="1:9" ht="22.35" hidden="1" customHeight="1" x14ac:dyDescent="0.25">
      <c r="A102" s="139" t="str">
        <f>+IF(PROVEEDORES3[[#This Row],[FECHA DE PAGO]]=PROVEEDORES3[[#This Row],[FECHA DE FACTURACIÓN]],"DE CONTADO","CRÉDITO")</f>
        <v>CRÉDITO</v>
      </c>
      <c r="B102" s="38" t="e">
        <f>+IF((PROVEEDORES3[[#This Row],[FECHA DE PAGO]]-PROVEEDORES3[[#This Row],[FECHA DE FACTURACIÓN]])&gt;#REF!,"PAGO VENCIDO")</f>
        <v>#REF!</v>
      </c>
      <c r="C102" s="56" t="str">
        <f>+VLOOKUP(PROVEEDORES3[[#This Row],[PROVEEDOR]],TERCEROS_INFO[[PROVEEDOR]:[CORREO]],5,FALSE)</f>
        <v>mcastillo@kenextrading.com;agarcia@kenextrading.com;girlesa.ruiz@servipilas.com;joriescobar64@gmail.com</v>
      </c>
      <c r="D102" s="289">
        <v>44938</v>
      </c>
      <c r="E102" s="26" t="s">
        <v>31</v>
      </c>
      <c r="F102" s="67">
        <v>44865</v>
      </c>
      <c r="G102" s="35">
        <v>57910</v>
      </c>
      <c r="H102" s="68">
        <v>22863.35</v>
      </c>
      <c r="I102" s="21">
        <f>+PROVEEDORES3[[#This Row],[Total USD]]*4900</f>
        <v>112030415</v>
      </c>
    </row>
    <row r="103" spans="1:9" ht="22.35" hidden="1" customHeight="1" x14ac:dyDescent="0.25">
      <c r="A103" s="139" t="str">
        <f>+IF(PROVEEDORES3[[#This Row],[FECHA DE PAGO]]=PROVEEDORES3[[#This Row],[FECHA DE FACTURACIÓN]],"DE CONTADO","CRÉDITO")</f>
        <v>CRÉDITO</v>
      </c>
      <c r="B103" s="38" t="e">
        <f>+IF((PROVEEDORES3[[#This Row],[FECHA DE PAGO]]-PROVEEDORES3[[#This Row],[FECHA DE FACTURACIÓN]])&gt;#REF!,"PAGO VENCIDO")</f>
        <v>#REF!</v>
      </c>
      <c r="C103" s="56" t="str">
        <f>+VLOOKUP(PROVEEDORES3[[#This Row],[PROVEEDOR]],TERCEROS_INFO[[PROVEEDOR]:[CORREO]],5,FALSE)</f>
        <v>mcastillo@kenextrading.com;agarcia@kenextrading.com;girlesa.ruiz@servipilas.com;joriescobar64@gmail.com</v>
      </c>
      <c r="D103" s="289">
        <v>44971</v>
      </c>
      <c r="E103" s="26" t="s">
        <v>31</v>
      </c>
      <c r="F103" s="67">
        <v>44896</v>
      </c>
      <c r="G103" s="35">
        <v>58088</v>
      </c>
      <c r="H103" s="68">
        <v>13343</v>
      </c>
      <c r="I103" s="21">
        <f>+PROVEEDORES3[[#This Row],[Total USD]]*4900</f>
        <v>65380700</v>
      </c>
    </row>
    <row r="104" spans="1:9" ht="22.35" hidden="1" customHeight="1" x14ac:dyDescent="0.25">
      <c r="A104" s="65" t="str">
        <f>+IF(PROVEEDORES3[[#This Row],[FECHA DE PAGO]]=PROVEEDORES3[[#This Row],[FECHA DE FACTURACIÓN]],"DE CONTADO","CRÉDITO")</f>
        <v>CRÉDITO</v>
      </c>
      <c r="B104" s="38" t="e">
        <f>+IF((PROVEEDORES3[[#This Row],[FECHA DE PAGO]]-PROVEEDORES3[[#This Row],[FECHA DE FACTURACIÓN]])&gt;#REF!,"PAGO VENCIDO")</f>
        <v>#REF!</v>
      </c>
      <c r="C104" s="56" t="str">
        <f>+VLOOKUP(PROVEEDORES3[[#This Row],[PROVEEDOR]],TERCEROS_INFO[[PROVEEDOR]:[CORREO]],5,FALSE)</f>
        <v>mcastillo@kenextrading.com;agarcia@kenextrading.com;girlesa.ruiz@servipilas.com;joriescobar64@gmail.com</v>
      </c>
      <c r="D104" s="289">
        <v>45071</v>
      </c>
      <c r="E104" s="26" t="s">
        <v>31</v>
      </c>
      <c r="F104" s="67">
        <v>45002</v>
      </c>
      <c r="G104" s="35">
        <v>58569</v>
      </c>
      <c r="H104" s="68">
        <v>11166.41</v>
      </c>
      <c r="I104" s="21">
        <f>+PROVEEDORES3[[#This Row],[Total USD]]*4880</f>
        <v>54492080.799999997</v>
      </c>
    </row>
    <row r="105" spans="1:9" ht="22.35" hidden="1" customHeight="1" x14ac:dyDescent="0.25">
      <c r="A105" s="65" t="str">
        <f>+IF(PROVEEDORES3[[#This Row],[FECHA DE PAGO]]=PROVEEDORES3[[#This Row],[FECHA DE FACTURACIÓN]],"DE CONTADO","CRÉDITO")</f>
        <v>CRÉDITO</v>
      </c>
      <c r="B105" s="38" t="e">
        <f>+IF((PROVEEDORES3[[#This Row],[FECHA DE PAGO]]-PROVEEDORES3[[#This Row],[FECHA DE FACTURACIÓN]])&gt;#REF!,"PAGO VENCIDO")</f>
        <v>#REF!</v>
      </c>
      <c r="C105" s="56" t="str">
        <f>+VLOOKUP(PROVEEDORES3[[#This Row],[PROVEEDOR]],TERCEROS_INFO[[PROVEEDOR]:[CORREO]],5,FALSE)</f>
        <v>mcastillo@kenextrading.com;agarcia@kenextrading.com;girlesa.ruiz@servipilas.com;joriescobar64@gmail.com</v>
      </c>
      <c r="D105" s="289">
        <v>45175</v>
      </c>
      <c r="E105" s="26" t="s">
        <v>31</v>
      </c>
      <c r="F105" s="67">
        <v>45082</v>
      </c>
      <c r="G105" s="35">
        <v>59276</v>
      </c>
      <c r="H105" s="68">
        <v>6223.59</v>
      </c>
      <c r="I105" s="21">
        <f>+PROVEEDORES3[[#This Row],[Total USD]]*4350</f>
        <v>27072616.5</v>
      </c>
    </row>
    <row r="106" spans="1:9" ht="22.35" hidden="1" customHeight="1" x14ac:dyDescent="0.25">
      <c r="A106" s="262" t="str">
        <f>+IF(PROVEEDORES3[[#This Row],[FECHA DE PAGO]]=PROVEEDORES3[[#This Row],[FECHA DE FACTURACIÓN]],"DE CONTADO","CRÉDITO")</f>
        <v>CRÉDITO</v>
      </c>
      <c r="B106" s="38" t="e">
        <f>+IF((PROVEEDORES3[[#This Row],[FECHA DE PAGO]]-PROVEEDORES3[[#This Row],[FECHA DE FACTURACIÓN]])&gt;#REF!,"PAGO VENCIDO")</f>
        <v>#REF!</v>
      </c>
      <c r="C106" s="56" t="str">
        <f>+VLOOKUP(PROVEEDORES3[[#This Row],[PROVEEDOR]],TERCEROS_INFO[[PROVEEDOR]:[CORREO]],5,FALSE)</f>
        <v>mcastillo@kenextrading.com;agarcia@kenextrading.com;girlesa.ruiz@servipilas.com;joriescobar64@gmail.com</v>
      </c>
      <c r="D106" s="289">
        <v>45314</v>
      </c>
      <c r="E106" s="26" t="s">
        <v>31</v>
      </c>
      <c r="F106" s="67">
        <v>45247</v>
      </c>
      <c r="G106" s="35">
        <v>60425</v>
      </c>
      <c r="H106" s="68">
        <v>3664.24</v>
      </c>
      <c r="I106" s="21">
        <f>+PROVEEDORES3[[#This Row],[Total USD]]*4000</f>
        <v>14656960</v>
      </c>
    </row>
    <row r="107" spans="1:9" ht="22.35" hidden="1" customHeight="1" x14ac:dyDescent="0.25">
      <c r="A107" s="262" t="str">
        <f>+IF(PROVEEDORES3[[#This Row],[FECHA DE PAGO]]=PROVEEDORES3[[#This Row],[FECHA DE FACTURACIÓN]],"DE CONTADO","CRÉDITO")</f>
        <v>CRÉDITO</v>
      </c>
      <c r="B107" s="38" t="e">
        <f>+IF((PROVEEDORES3[[#This Row],[FECHA DE PAGO]]-PROVEEDORES3[[#This Row],[FECHA DE FACTURACIÓN]])&gt;#REF!,"PAGO VENCIDO")</f>
        <v>#REF!</v>
      </c>
      <c r="C107" s="56" t="str">
        <f>+VLOOKUP(PROVEEDORES3[[#This Row],[PROVEEDOR]],TERCEROS_INFO[[PROVEEDOR]:[CORREO]],5,FALSE)</f>
        <v>mcastillo@kenextrading.com;agarcia@kenextrading.com;girlesa.ruiz@servipilas.com;joriescobar64@gmail.com</v>
      </c>
      <c r="D107" s="289">
        <v>45310</v>
      </c>
      <c r="E107" s="26" t="s">
        <v>31</v>
      </c>
      <c r="F107" s="67">
        <v>45250</v>
      </c>
      <c r="G107" s="35">
        <v>60426</v>
      </c>
      <c r="H107" s="68">
        <v>24518.81</v>
      </c>
      <c r="I107" s="21">
        <f>+PROVEEDORES3[[#This Row],[Total USD]]*4000</f>
        <v>98075240</v>
      </c>
    </row>
    <row r="108" spans="1:9" ht="22.35" hidden="1" customHeight="1" x14ac:dyDescent="0.25">
      <c r="A108" s="304" t="str">
        <f>+IF(PROVEEDORES3[[#This Row],[FECHA DE PAGO]]=PROVEEDORES3[[#This Row],[FECHA DE FACTURACIÓN]],"DE CONTADO","CRÉDITO")</f>
        <v>CRÉDITO</v>
      </c>
      <c r="B108" s="38" t="e">
        <f>+IF((PROVEEDORES3[[#This Row],[FECHA DE PAGO]]-PROVEEDORES3[[#This Row],[FECHA DE FACTURACIÓN]])&gt;#REF!,"PAGO VENCIDO")</f>
        <v>#REF!</v>
      </c>
      <c r="C108" s="56" t="str">
        <f>+VLOOKUP(PROVEEDORES3[[#This Row],[PROVEEDOR]],TERCEROS_INFO[[PROVEEDOR]:[CORREO]],5,FALSE)</f>
        <v>mcastillo@kenextrading.com;agarcia@kenextrading.com;girlesa.ruiz@servipilas.com;joriescobar64@gmail.com</v>
      </c>
      <c r="D108" s="289">
        <v>45314</v>
      </c>
      <c r="E108" s="26" t="s">
        <v>31</v>
      </c>
      <c r="F108" s="67">
        <v>45307</v>
      </c>
      <c r="G108" s="35" t="s">
        <v>1486</v>
      </c>
      <c r="H108" s="68">
        <v>-101.46</v>
      </c>
      <c r="I108" s="21">
        <f>+PROVEEDORES3[[#This Row],[Total USD]]*4000</f>
        <v>-405840</v>
      </c>
    </row>
    <row r="109" spans="1:9" ht="22.35" hidden="1" customHeight="1" x14ac:dyDescent="0.25">
      <c r="A109" s="227" t="str">
        <f>+IF(PROVEEDORES3[[#This Row],[FECHA DE PAGO]]=PROVEEDORES3[[#This Row],[FECHA DE FACTURACIÓN]],"DE CONTADO","CRÉDITO")</f>
        <v>CRÉDITO</v>
      </c>
      <c r="B109" s="38" t="e">
        <f>+IF((PROVEEDORES3[[#This Row],[FECHA DE PAGO]]-PROVEEDORES3[[#This Row],[FECHA DE FACTURACIÓN]])&gt;#REF!,"PAGO VENCIDO")</f>
        <v>#REF!</v>
      </c>
      <c r="C109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9" s="289">
        <v>45203</v>
      </c>
      <c r="E109" s="26" t="s">
        <v>38</v>
      </c>
      <c r="F109" s="67">
        <v>45147</v>
      </c>
      <c r="G109" s="35">
        <v>90276</v>
      </c>
      <c r="H109" s="125">
        <v>537.78</v>
      </c>
      <c r="I109" s="21">
        <f>+PROVEEDORES3[[#This Row],[Total USD]]*4106</f>
        <v>2208124.6799999997</v>
      </c>
    </row>
    <row r="110" spans="1:9" ht="22.35" hidden="1" customHeight="1" x14ac:dyDescent="0.25">
      <c r="A110" s="227" t="str">
        <f>+IF(PROVEEDORES3[[#This Row],[FECHA DE PAGO]]=PROVEEDORES3[[#This Row],[FECHA DE FACTURACIÓN]],"DE CONTADO","CRÉDITO")</f>
        <v>CRÉDITO</v>
      </c>
      <c r="B110" s="38" t="e">
        <f>+IF((PROVEEDORES3[[#This Row],[FECHA DE PAGO]]-PROVEEDORES3[[#This Row],[FECHA DE FACTURACIÓN]])&gt;#REF!,"PAGO VENCIDO")</f>
        <v>#REF!</v>
      </c>
      <c r="C110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10" s="289">
        <v>45203</v>
      </c>
      <c r="E110" s="26" t="s">
        <v>38</v>
      </c>
      <c r="F110" s="67">
        <v>45147</v>
      </c>
      <c r="G110" s="35">
        <v>90700</v>
      </c>
      <c r="H110" s="125">
        <v>905</v>
      </c>
      <c r="I110" s="21">
        <f>+PROVEEDORES3[[#This Row],[Total USD]]*4106</f>
        <v>3715930</v>
      </c>
    </row>
    <row r="111" spans="1:9" ht="22.35" hidden="1" customHeight="1" x14ac:dyDescent="0.25">
      <c r="A111" s="227" t="str">
        <f>+IF(PROVEEDORES3[[#This Row],[FECHA DE PAGO]]=PROVEEDORES3[[#This Row],[FECHA DE FACTURACIÓN]],"DE CONTADO","CRÉDITO")</f>
        <v>CRÉDITO</v>
      </c>
      <c r="B111" s="38" t="e">
        <f>+IF((PROVEEDORES3[[#This Row],[FECHA DE PAGO]]-PROVEEDORES3[[#This Row],[FECHA DE FACTURACIÓN]])&gt;#REF!,"PAGO VENCIDO")</f>
        <v>#REF!</v>
      </c>
      <c r="C111" s="56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11" s="289">
        <v>45203</v>
      </c>
      <c r="E111" s="26" t="s">
        <v>38</v>
      </c>
      <c r="F111" s="67">
        <v>45147</v>
      </c>
      <c r="G111" s="35">
        <v>90105</v>
      </c>
      <c r="H111" s="125">
        <v>836.14</v>
      </c>
      <c r="I111" s="21">
        <f>+PROVEEDORES3[[#This Row],[Total USD]]*4106</f>
        <v>3433190.84</v>
      </c>
    </row>
    <row r="112" spans="1:9" ht="22.35" hidden="1" customHeight="1" x14ac:dyDescent="0.25">
      <c r="A112" s="227" t="str">
        <f>+IF(PROVEEDORES3[[#This Row],[FECHA DE PAGO]]=PROVEEDORES3[[#This Row],[FECHA DE FACTURACIÓN]],"DE CONTADO","CRÉDITO")</f>
        <v>CRÉDITO</v>
      </c>
      <c r="B112" s="38" t="e">
        <f>+IF((PROVEEDORES3[[#This Row],[FECHA DE PAGO]]-PROVEEDORES3[[#This Row],[FECHA DE FACTURACIÓN]])&gt;#REF!,"PAGO VENCIDO")</f>
        <v>#REF!</v>
      </c>
      <c r="C112" s="56" t="str">
        <f>+VLOOKUP(PROVEEDORES3[[#This Row],[PROVEEDOR]],TERCEROS_INFO[[PROVEEDOR]:[CORREO]],5,FALSE)</f>
        <v/>
      </c>
      <c r="D112" s="289">
        <v>45155</v>
      </c>
      <c r="E112" s="26" t="s">
        <v>23</v>
      </c>
      <c r="F112" s="67">
        <v>45145</v>
      </c>
      <c r="G112" s="35">
        <v>310046</v>
      </c>
      <c r="H112" s="68">
        <v>12248.65</v>
      </c>
      <c r="I112" s="21">
        <f>+PROVEEDORES3[[#This Row],[Total USD]]*4106</f>
        <v>50292956.899999999</v>
      </c>
    </row>
    <row r="113" spans="1:9" ht="22.35" customHeight="1" x14ac:dyDescent="0.25">
      <c r="A113" s="314" t="str">
        <f>+IF(PROVEEDORES3[[#This Row],[FECHA DE PAGO]]=PROVEEDORES3[[#This Row],[FECHA DE FACTURACIÓN]],"DE CONTADO","CRÉDITO")</f>
        <v>CRÉDITO</v>
      </c>
      <c r="B113" s="38" t="e">
        <f>+IF((PROVEEDORES3[[#This Row],[FECHA DE PAGO]]-PROVEEDORES3[[#This Row],[FECHA DE FACTURACIÓN]])&gt;#REF!,"PAGO VENCIDO")</f>
        <v>#REF!</v>
      </c>
      <c r="C113" s="56" t="str">
        <f>+VLOOKUP(PROVEEDORES3[[#This Row],[PROVEEDOR]],TERCEROS_INFO[[PROVEEDOR]:[CORREO]],5,FALSE)</f>
        <v>jessica.barrios@carpainternacional.com;girlesa.ruiz@servipilas.com;joriescobar64@gmail.com</v>
      </c>
      <c r="E113" s="26" t="s">
        <v>250</v>
      </c>
      <c r="F113" s="67">
        <v>45311</v>
      </c>
      <c r="G113" s="35">
        <v>1892</v>
      </c>
      <c r="H113" s="68">
        <v>365</v>
      </c>
      <c r="I113" s="21">
        <f>+PROVEEDORES3[[#This Row],[Total USD]]*3950</f>
        <v>1441750</v>
      </c>
    </row>
    <row r="114" spans="1:9" ht="22.35" customHeight="1" x14ac:dyDescent="0.25">
      <c r="A114" s="314" t="str">
        <f>+IF(PROVEEDORES3[[#This Row],[FECHA DE PAGO]]=PROVEEDORES3[[#This Row],[FECHA DE FACTURACIÓN]],"DE CONTADO","CRÉDITO")</f>
        <v>CRÉDITO</v>
      </c>
      <c r="B114" s="38" t="e">
        <f>+IF((PROVEEDORES3[[#This Row],[FECHA DE PAGO]]-PROVEEDORES3[[#This Row],[FECHA DE FACTURACIÓN]])&gt;#REF!,"PAGO VENCIDO")</f>
        <v>#REF!</v>
      </c>
      <c r="C114" s="56" t="str">
        <f>+VLOOKUP(PROVEEDORES3[[#This Row],[PROVEEDOR]],TERCEROS_INFO[[PROVEEDOR]:[CORREO]],5,FALSE)</f>
        <v>jessica.barrios@carpainternacional.com;girlesa.ruiz@servipilas.com;joriescobar64@gmail.com</v>
      </c>
      <c r="E114" s="26" t="s">
        <v>250</v>
      </c>
      <c r="F114" s="67">
        <v>45321</v>
      </c>
      <c r="G114" s="35" t="s">
        <v>1550</v>
      </c>
      <c r="H114" s="68">
        <v>132</v>
      </c>
      <c r="I114" s="21">
        <f>+PROVEEDORES3[[#This Row],[Total USD]]*4000</f>
        <v>528000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C1:I1">
    <cfRule type="expression" dxfId="87" priority="46">
      <formula>#REF!="Por pagar"</formula>
    </cfRule>
    <cfRule type="expression" dxfId="86" priority="47">
      <formula>#REF!="Vencida"</formula>
    </cfRule>
    <cfRule type="expression" dxfId="85" priority="48">
      <formula>#REF!="Pagada"</formula>
    </cfRule>
  </conditionalFormatting>
  <conditionalFormatting sqref="E114:G114">
    <cfRule type="expression" dxfId="84" priority="4" stopIfTrue="1">
      <formula>$S114="Por pagar"</formula>
    </cfRule>
    <cfRule type="expression" dxfId="83" priority="5" stopIfTrue="1">
      <formula>$S114="Vencida"</formula>
    </cfRule>
    <cfRule type="expression" dxfId="82" priority="6" stopIfTrue="1">
      <formula>$S114="Pagada"</formula>
    </cfRule>
  </conditionalFormatting>
  <conditionalFormatting sqref="E114">
    <cfRule type="expression" dxfId="81" priority="1" stopIfTrue="1">
      <formula>$S114="Por pagar"</formula>
    </cfRule>
    <cfRule type="expression" dxfId="80" priority="2" stopIfTrue="1">
      <formula>$S114="Vencida"</formula>
    </cfRule>
    <cfRule type="expression" dxfId="79" priority="3" stopIfTrue="1">
      <formula>$S114="Pagada"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3C873-C784-4801-B92B-758B19CF164C}">
          <x14:formula1>
            <xm:f>Terceros!$A:$A</xm:f>
          </x14:formula1>
          <xm:sqref>E114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C29"/>
  <sheetViews>
    <sheetView zoomScale="115" zoomScaleNormal="115" workbookViewId="0">
      <pane xSplit="1" topLeftCell="B1" activePane="topRight" state="frozen"/>
      <selection pane="topRight" activeCell="C2" sqref="C2:C19"/>
    </sheetView>
  </sheetViews>
  <sheetFormatPr baseColWidth="10" defaultColWidth="14.42578125" defaultRowHeight="15" x14ac:dyDescent="0.25"/>
  <cols>
    <col min="1" max="1" width="31.5703125" style="41" customWidth="1"/>
    <col min="2" max="2" width="16" style="41" customWidth="1"/>
    <col min="3" max="3" width="15.5703125" style="41" bestFit="1" customWidth="1"/>
    <col min="4" max="16384" width="14.42578125" style="41"/>
  </cols>
  <sheetData>
    <row r="1" spans="1:3" s="297" customFormat="1" x14ac:dyDescent="0.25">
      <c r="A1" s="296" t="s">
        <v>119</v>
      </c>
      <c r="B1" s="297">
        <v>45261</v>
      </c>
      <c r="C1" s="297">
        <v>45292</v>
      </c>
    </row>
    <row r="2" spans="1:3" x14ac:dyDescent="0.25">
      <c r="A2" s="44" t="s">
        <v>145</v>
      </c>
      <c r="B2" s="46"/>
      <c r="C2" s="46"/>
    </row>
    <row r="3" spans="1:3" x14ac:dyDescent="0.25">
      <c r="A3" s="45" t="s">
        <v>146</v>
      </c>
      <c r="B3" s="47"/>
      <c r="C3" s="47"/>
    </row>
    <row r="4" spans="1:3" x14ac:dyDescent="0.25">
      <c r="A4" s="44" t="s">
        <v>147</v>
      </c>
      <c r="B4" s="46"/>
      <c r="C4" s="46"/>
    </row>
    <row r="5" spans="1:3" ht="27" x14ac:dyDescent="0.25">
      <c r="A5" s="39" t="s">
        <v>126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395142965.53499997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377910612.22164989</v>
      </c>
    </row>
    <row r="6" spans="1:3" x14ac:dyDescent="0.25">
      <c r="A6" s="40" t="s">
        <v>107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21589897.879999999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23019880</v>
      </c>
    </row>
    <row r="7" spans="1:3" x14ac:dyDescent="0.25">
      <c r="A7" s="39" t="s">
        <v>109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241826573.31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114085209.50704999</v>
      </c>
    </row>
    <row r="8" spans="1:3" x14ac:dyDescent="0.25">
      <c r="A8" s="40" t="s">
        <v>110</v>
      </c>
      <c r="B8" s="49">
        <f t="shared" ref="B8:C8" si="0">B6+B7</f>
        <v>263416471.19</v>
      </c>
      <c r="C8" s="49">
        <f t="shared" si="0"/>
        <v>137105089.50704998</v>
      </c>
    </row>
    <row r="9" spans="1:3" ht="27" x14ac:dyDescent="0.25">
      <c r="A9" s="39" t="s">
        <v>133</v>
      </c>
      <c r="B9" s="48">
        <f>B10+B11</f>
        <v>1383452820.4263737</v>
      </c>
      <c r="C9" s="48">
        <f>C10+C11</f>
        <v>1335034598.7685642</v>
      </c>
    </row>
    <row r="10" spans="1:3" x14ac:dyDescent="0.25">
      <c r="A10" s="40" t="s">
        <v>111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320472792.43729991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207318724.21409994</v>
      </c>
    </row>
    <row r="11" spans="1:3" x14ac:dyDescent="0.25">
      <c r="A11" s="39" t="s">
        <v>112</v>
      </c>
      <c r="B11" s="48">
        <f>ABS(SUMIFS(FINANCIACION[$ CAPITAL],
FINANCIACION[Fecha],"&lt;="&amp;EOMONTH(B$1,0)))</f>
        <v>1062980027.9890738</v>
      </c>
      <c r="C11" s="48">
        <f>ABS(SUMIFS(FINANCIACION[$ CAPITAL],
FINANCIACION[Fecha],"&lt;="&amp;EOMONTH(C$1,0)))</f>
        <v>1127715874.5544643</v>
      </c>
    </row>
    <row r="12" spans="1:3" x14ac:dyDescent="0.25">
      <c r="A12" s="40" t="s">
        <v>113</v>
      </c>
      <c r="B12" s="49">
        <f t="shared" ref="B12:C12" si="1">SUM(B20:B25)</f>
        <v>25430800</v>
      </c>
      <c r="C12" s="49">
        <f t="shared" si="1"/>
        <v>43118398.169999994</v>
      </c>
    </row>
    <row r="13" spans="1:3" x14ac:dyDescent="0.25">
      <c r="A13" s="39" t="s">
        <v>114</v>
      </c>
      <c r="B13" s="48">
        <f t="shared" ref="B13:C13" si="2">SUM(B20:B28)</f>
        <v>57840858</v>
      </c>
      <c r="C13" s="48">
        <f t="shared" si="2"/>
        <v>56752965.789999992</v>
      </c>
    </row>
    <row r="14" spans="1:3" x14ac:dyDescent="0.25">
      <c r="A14" s="40" t="s">
        <v>115</v>
      </c>
      <c r="B14" s="49"/>
      <c r="C14" s="49"/>
    </row>
    <row r="15" spans="1:3" x14ac:dyDescent="0.25">
      <c r="A15" s="39" t="s">
        <v>116</v>
      </c>
      <c r="B15" s="48">
        <f xml:space="preserve">
SUMIFS(PROVEEDORES[[#All],[Descuento sobre subtotal $2]],
PROVEEDORES[[#All],[FECHA DE PAGO]],"&gt;="&amp;B$1,
PROVEEDORES[[#All],[FECHA DE PAGO]],"&lt;="&amp;EOMONTH(B$1,0))</f>
        <v>4187935.46</v>
      </c>
      <c r="C15" s="48">
        <f xml:space="preserve">
SUMIFS(PROVEEDORES[[#All],[Descuento sobre subtotal $2]],
PROVEEDORES[[#All],[FECHA DE PAGO]],"&gt;="&amp;C$1,
PROVEEDORES[[#All],[FECHA DE PAGO]],"&lt;="&amp;EOMONTH(C$1,0))</f>
        <v>15100000</v>
      </c>
    </row>
    <row r="16" spans="1:3" x14ac:dyDescent="0.25">
      <c r="A16" s="128" t="s">
        <v>117</v>
      </c>
      <c r="B16" s="129">
        <v>36383327.946199998</v>
      </c>
      <c r="C16" s="129">
        <v>62678888.981199995</v>
      </c>
    </row>
    <row r="17" spans="1:3" x14ac:dyDescent="0.25">
      <c r="A17" s="39" t="s">
        <v>118</v>
      </c>
      <c r="B17" s="48">
        <f>B10-B16</f>
        <v>284089464.49109989</v>
      </c>
      <c r="C17" s="48">
        <f>C10-C16</f>
        <v>144639835.23289996</v>
      </c>
    </row>
    <row r="18" spans="1:3" x14ac:dyDescent="0.25">
      <c r="A18" s="43" t="s">
        <v>144</v>
      </c>
      <c r="B18" s="49"/>
      <c r="C18" s="49"/>
    </row>
    <row r="19" spans="1:3" x14ac:dyDescent="0.25">
      <c r="A19" s="39" t="s">
        <v>148</v>
      </c>
      <c r="B19" s="48">
        <f>SUMIFS(FINANCIACION[[#All],[$ INTERESES]],
FINANCIACION[[#All],[Fecha]],"&gt;="&amp;B$1,
FINANCIACION[[#All],[Fecha]],"&lt;="&amp;EOMONTH(B$1,0))</f>
        <v>15997880</v>
      </c>
      <c r="C19" s="48">
        <f>SUMIFS(FINANCIACION[[#All],[$ INTERESES]],
FINANCIACION[[#All],[Fecha]],"&gt;="&amp;C$1,
FINANCIACION[[#All],[Fecha]],"&lt;="&amp;EOMONTH(C$1,0))</f>
        <v>12697898.695390742</v>
      </c>
    </row>
    <row r="20" spans="1:3" ht="30" x14ac:dyDescent="0.25">
      <c r="A20" s="55" t="s">
        <v>235</v>
      </c>
      <c r="B20" s="42">
        <f>14792000+10633000</f>
        <v>25425000</v>
      </c>
      <c r="C20" s="320">
        <f>4074949.99+1697797.32</f>
        <v>5772747.3100000005</v>
      </c>
    </row>
    <row r="21" spans="1:3" x14ac:dyDescent="0.25">
      <c r="A21" s="55" t="s">
        <v>123</v>
      </c>
      <c r="B21" s="42">
        <v>577665</v>
      </c>
      <c r="C21" s="320">
        <v>582653.24</v>
      </c>
    </row>
    <row r="22" spans="1:3" x14ac:dyDescent="0.25">
      <c r="A22" s="55" t="s">
        <v>149</v>
      </c>
      <c r="B22" s="42">
        <f>1599000-6198000</f>
        <v>-4599000</v>
      </c>
      <c r="C22" s="320">
        <v>31338051</v>
      </c>
    </row>
    <row r="23" spans="1:3" x14ac:dyDescent="0.25">
      <c r="A23" s="55" t="s">
        <v>124</v>
      </c>
      <c r="B23" s="42">
        <v>376846</v>
      </c>
      <c r="C23" s="320">
        <v>388390.57</v>
      </c>
    </row>
    <row r="24" spans="1:3" x14ac:dyDescent="0.25">
      <c r="A24" s="55" t="s">
        <v>127</v>
      </c>
      <c r="B24" s="42">
        <v>3650289</v>
      </c>
      <c r="C24" s="320">
        <v>5036556.05</v>
      </c>
    </row>
    <row r="25" spans="1:3" x14ac:dyDescent="0.25">
      <c r="A25" s="55" t="s">
        <v>128</v>
      </c>
      <c r="B25" s="42">
        <v>0</v>
      </c>
      <c r="C25" s="320">
        <v>0</v>
      </c>
    </row>
    <row r="26" spans="1:3" x14ac:dyDescent="0.25">
      <c r="A26" s="55" t="s">
        <v>125</v>
      </c>
      <c r="B26" s="42">
        <v>2673694</v>
      </c>
      <c r="C26" s="320">
        <v>1040982.62</v>
      </c>
    </row>
    <row r="27" spans="1:3" x14ac:dyDescent="0.25">
      <c r="A27" s="55" t="s">
        <v>434</v>
      </c>
      <c r="B27" s="42">
        <v>746464</v>
      </c>
      <c r="C27" s="320">
        <v>303807</v>
      </c>
    </row>
    <row r="28" spans="1:3" x14ac:dyDescent="0.25">
      <c r="A28" s="55" t="s">
        <v>1566</v>
      </c>
      <c r="B28" s="42">
        <f>1772000+1173400+6500+7023000+4888000+7893000+6234000</f>
        <v>28989900</v>
      </c>
      <c r="C28" s="320">
        <f>180421+11481824+20352+80555+153328+149602+223696</f>
        <v>12289778</v>
      </c>
    </row>
    <row r="29" spans="1:3" x14ac:dyDescent="0.25">
      <c r="C29" s="320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K739"/>
  <sheetViews>
    <sheetView zoomScaleNormal="100" workbookViewId="0">
      <selection activeCell="C739" sqref="C739"/>
    </sheetView>
  </sheetViews>
  <sheetFormatPr baseColWidth="10" defaultColWidth="0" defaultRowHeight="24" customHeight="1" x14ac:dyDescent="0.25"/>
  <cols>
    <col min="1" max="1" width="14.5703125" style="110" customWidth="1"/>
    <col min="2" max="2" width="35.5703125" style="51" customWidth="1"/>
    <col min="3" max="3" width="18.5703125" style="6" customWidth="1"/>
    <col min="4" max="4" width="16.42578125" style="6" customWidth="1"/>
    <col min="5" max="5" width="18.42578125" style="6" customWidth="1"/>
    <col min="6" max="6" width="15.5703125" style="6" customWidth="1"/>
    <col min="7" max="7" width="13.5703125" style="9" customWidth="1"/>
    <col min="8" max="8" width="15.42578125" style="6" customWidth="1"/>
    <col min="9" max="9" width="18.42578125" style="6" hidden="1" customWidth="1"/>
    <col min="10" max="10" width="26.42578125" style="10" hidden="1" customWidth="1"/>
    <col min="11" max="11" width="43" style="6" hidden="1" customWidth="1"/>
    <col min="12" max="12" width="16.42578125" style="6" hidden="1" customWidth="1"/>
    <col min="13" max="13" width="13.5703125" style="6" hidden="1" customWidth="1"/>
    <col min="14" max="14" width="14.5703125" style="9" hidden="1" customWidth="1"/>
    <col min="15" max="15" width="28.5703125" style="8" hidden="1" customWidth="1"/>
    <col min="16" max="16" width="15.5703125" style="6" hidden="1" customWidth="1"/>
    <col min="17" max="17" width="14.42578125" style="6" hidden="1" customWidth="1"/>
    <col min="18" max="18" width="28" style="6" hidden="1" customWidth="1"/>
    <col min="19" max="19" width="12.42578125" style="6" hidden="1" customWidth="1"/>
    <col min="20" max="20" width="8.42578125" style="6" hidden="1" customWidth="1"/>
    <col min="21" max="21" width="28" style="6" hidden="1" customWidth="1"/>
    <col min="22" max="22" width="13.42578125" style="6" hidden="1" customWidth="1"/>
    <col min="23" max="23" width="18.42578125" style="6" hidden="1" customWidth="1"/>
    <col min="24" max="24" width="19.5703125" style="6" hidden="1" customWidth="1"/>
    <col min="25" max="25" width="5.42578125" style="6" hidden="1" customWidth="1"/>
    <col min="26" max="26" width="9.42578125" style="6" hidden="1" customWidth="1"/>
    <col min="27" max="27" width="14.42578125" style="6" hidden="1" customWidth="1"/>
    <col min="28" max="28" width="16.5703125" style="6" hidden="1" customWidth="1"/>
    <col min="29" max="29" width="9.5703125" style="6" hidden="1" customWidth="1"/>
    <col min="30" max="34" width="12.5703125" style="6" hidden="1" customWidth="1"/>
    <col min="35" max="35" width="11.42578125" style="6" hidden="1" customWidth="1"/>
    <col min="36" max="36" width="16.42578125" style="6" hidden="1" customWidth="1"/>
    <col min="37" max="37" width="14.42578125" style="6" hidden="1" customWidth="1"/>
    <col min="38" max="16384" width="11.42578125" style="6" hidden="1"/>
  </cols>
  <sheetData>
    <row r="1" spans="1:15" ht="30.75" customHeight="1" x14ac:dyDescent="0.25">
      <c r="A1" s="109" t="s">
        <v>223</v>
      </c>
      <c r="B1" s="4" t="s">
        <v>150</v>
      </c>
      <c r="C1" s="4" t="s">
        <v>77</v>
      </c>
      <c r="D1" s="4" t="s">
        <v>36</v>
      </c>
      <c r="E1" s="4" t="s">
        <v>80</v>
      </c>
      <c r="F1" s="5" t="s">
        <v>78</v>
      </c>
      <c r="G1" s="4" t="s">
        <v>79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30.75" hidden="1" customHeight="1" x14ac:dyDescent="0.25">
      <c r="A2" s="109">
        <v>44197</v>
      </c>
      <c r="B2" s="50" t="s">
        <v>369</v>
      </c>
      <c r="C2" s="5">
        <v>-13000000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-13000000</v>
      </c>
      <c r="G2" s="7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  <c r="N2" s="6"/>
      <c r="O2" s="6"/>
    </row>
    <row r="3" spans="1:15" ht="24" hidden="1" customHeight="1" x14ac:dyDescent="0.25">
      <c r="A3" s="109">
        <v>44247</v>
      </c>
      <c r="B3" s="50" t="s">
        <v>369</v>
      </c>
      <c r="C3" s="5"/>
      <c r="D3" s="5">
        <v>130000</v>
      </c>
      <c r="E3" s="5">
        <f>+IF(FINANCIACION[[#This Row],[$ CAPITAL]]&gt;=0,FINANCIACION[[#This Row],[$ CAPITAL]]+FINANCIACION[[#This Row],[$ INTERESES]],"")</f>
        <v>130000</v>
      </c>
      <c r="F3" s="5">
        <f>+SUMIFS(FINANCIACION[$ CAPITAL],FINANCIACION[Fecha],"&lt;="&amp;FINANCIACION[[#This Row],[Fecha]],FINANCIACION[PRESTAMO],FINANCIACION[[#This Row],[PRESTAMO]])</f>
        <v>-13000000</v>
      </c>
      <c r="G3" s="7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130000</v>
      </c>
    </row>
    <row r="4" spans="1:15" ht="24" hidden="1" customHeight="1" x14ac:dyDescent="0.25">
      <c r="A4" s="109">
        <v>44265</v>
      </c>
      <c r="B4" s="50" t="s">
        <v>369</v>
      </c>
      <c r="C4" s="5"/>
      <c r="D4" s="5">
        <v>130000</v>
      </c>
      <c r="E4" s="5">
        <f>+IF(FINANCIACION[[#This Row],[$ CAPITAL]]&gt;=0,FINANCIACION[[#This Row],[$ CAPITAL]]+FINANCIACION[[#This Row],[$ INTERESES]],"")</f>
        <v>130000</v>
      </c>
      <c r="F4" s="5">
        <f>+SUMIFS(FINANCIACION[$ CAPITAL],FINANCIACION[Fecha],"&lt;="&amp;FINANCIACION[[#This Row],[Fecha]],FINANCIACION[PRESTAMO],FINANCIACION[[#This Row],[PRESTAMO]])</f>
        <v>-13000000</v>
      </c>
      <c r="G4" s="7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130000</v>
      </c>
    </row>
    <row r="5" spans="1:15" ht="24" hidden="1" customHeight="1" x14ac:dyDescent="0.25">
      <c r="A5" s="109">
        <v>44363</v>
      </c>
      <c r="B5" s="50" t="s">
        <v>369</v>
      </c>
      <c r="C5" s="5"/>
      <c r="D5" s="5">
        <v>390000</v>
      </c>
      <c r="E5" s="5">
        <f>+IF(FINANCIACION[[#This Row],[$ CAPITAL]]&gt;=0,FINANCIACION[[#This Row],[$ CAPITAL]]+FINANCIACION[[#This Row],[$ INTERESES]],"")</f>
        <v>390000</v>
      </c>
      <c r="F5" s="5">
        <f>+SUMIFS(FINANCIACION[$ CAPITAL],FINANCIACION[Fecha],"&lt;="&amp;FINANCIACION[[#This Row],[Fecha]],FINANCIACION[PRESTAMO],FINANCIACION[[#This Row],[PRESTAMO]])</f>
        <v>-13000000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390000</v>
      </c>
    </row>
    <row r="6" spans="1:15" ht="24" hidden="1" customHeight="1" x14ac:dyDescent="0.25">
      <c r="A6" s="109">
        <v>44390</v>
      </c>
      <c r="B6" s="50" t="s">
        <v>369</v>
      </c>
      <c r="C6" s="5"/>
      <c r="D6" s="5">
        <v>130000</v>
      </c>
      <c r="E6" s="5">
        <f>+IF(FINANCIACION[[#This Row],[$ CAPITAL]]&gt;=0,FINANCIACION[[#This Row],[$ CAPITAL]]+FINANCIACION[[#This Row],[$ INTERESES]],"")</f>
        <v>130000</v>
      </c>
      <c r="F6" s="5">
        <f>+SUMIFS(FINANCIACION[$ CAPITAL],FINANCIACION[Fecha],"&lt;="&amp;FINANCIACION[[#This Row],[Fecha]],FINANCIACION[PRESTAMO],FINANCIACION[[#This Row],[PRESTAMO]])</f>
        <v>-13000000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130000</v>
      </c>
    </row>
    <row r="7" spans="1:15" ht="24" hidden="1" customHeight="1" x14ac:dyDescent="0.25">
      <c r="A7" s="109">
        <v>44425</v>
      </c>
      <c r="B7" s="50" t="s">
        <v>369</v>
      </c>
      <c r="C7" s="5"/>
      <c r="D7" s="5">
        <v>130000</v>
      </c>
      <c r="E7" s="5">
        <f>+IF(FINANCIACION[[#This Row],[$ CAPITAL]]&gt;=0,FINANCIACION[[#This Row],[$ CAPITAL]]+FINANCIACION[[#This Row],[$ INTERESES]],"")</f>
        <v>130000</v>
      </c>
      <c r="F7" s="5">
        <f>+SUMIFS(FINANCIACION[$ CAPITAL],FINANCIACION[Fecha],"&lt;="&amp;FINANCIACION[[#This Row],[Fecha]],FINANCIACION[PRESTAMO],FINANCIACION[[#This Row],[PRESTAMO]])</f>
        <v>-13000000</v>
      </c>
      <c r="G7" s="53"/>
      <c r="H7" s="53"/>
      <c r="I7" s="5" t="b">
        <f>IF(FINANCIACION[[#This Row],[$ CAPITAL]]&gt;0,FINANCIACION[[#This Row],[$ CAPITAL]])</f>
        <v>0</v>
      </c>
      <c r="J7" s="33">
        <f>IF(FINANCIACION[[#This Row],[$ CAPITAL]]&gt;=0,FINANCIACION[[#This Row],[$ CAPITAL]]+FINANCIACION[[#This Row],[$ INTERESES]],0)</f>
        <v>130000</v>
      </c>
    </row>
    <row r="8" spans="1:15" ht="24" hidden="1" customHeight="1" x14ac:dyDescent="0.25">
      <c r="A8" s="109">
        <v>44450</v>
      </c>
      <c r="B8" s="50" t="s">
        <v>369</v>
      </c>
      <c r="C8" s="5"/>
      <c r="D8" s="5">
        <v>130000</v>
      </c>
      <c r="E8" s="5">
        <f>+IF(FINANCIACION[[#This Row],[$ CAPITAL]]&gt;=0,FINANCIACION[[#This Row],[$ CAPITAL]]+FINANCIACION[[#This Row],[$ INTERESES]],"")</f>
        <v>130000</v>
      </c>
      <c r="F8" s="5">
        <f>+SUMIFS(FINANCIACION[$ CAPITAL],FINANCIACION[Fecha],"&lt;="&amp;FINANCIACION[[#This Row],[Fecha]],FINANCIACION[PRESTAMO],FINANCIACION[[#This Row],[PRESTAMO]])</f>
        <v>-13000000</v>
      </c>
      <c r="G8" s="53"/>
      <c r="H8" s="53"/>
      <c r="I8" s="5" t="b">
        <f>IF(FINANCIACION[[#This Row],[$ CAPITAL]]&gt;0,FINANCIACION[[#This Row],[$ CAPITAL]])</f>
        <v>0</v>
      </c>
      <c r="J8" s="33">
        <f>IF(FINANCIACION[[#This Row],[$ CAPITAL]]&gt;=0,FINANCIACION[[#This Row],[$ CAPITAL]]+FINANCIACION[[#This Row],[$ INTERESES]],0)</f>
        <v>130000</v>
      </c>
    </row>
    <row r="9" spans="1:15" ht="24" hidden="1" customHeight="1" x14ac:dyDescent="0.25">
      <c r="A9" s="109">
        <v>44510</v>
      </c>
      <c r="B9" s="50" t="s">
        <v>369</v>
      </c>
      <c r="C9" s="5"/>
      <c r="D9" s="5">
        <v>130000</v>
      </c>
      <c r="E9" s="5">
        <f>+IF(FINANCIACION[[#This Row],[$ CAPITAL]]&gt;=0,FINANCIACION[[#This Row],[$ CAPITAL]]+FINANCIACION[[#This Row],[$ INTERESES]],"")</f>
        <v>130000</v>
      </c>
      <c r="F9" s="5">
        <f>+SUMIFS(FINANCIACION[$ CAPITAL],FINANCIACION[Fecha],"&lt;="&amp;FINANCIACION[[#This Row],[Fecha]],FINANCIACION[PRESTAMO],FINANCIACION[[#This Row],[PRESTAMO]])</f>
        <v>-13000000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130000</v>
      </c>
    </row>
    <row r="10" spans="1:15" ht="24" hidden="1" customHeight="1" x14ac:dyDescent="0.25">
      <c r="A10" s="109">
        <v>44539</v>
      </c>
      <c r="B10" s="50" t="s">
        <v>369</v>
      </c>
      <c r="C10" s="5"/>
      <c r="D10" s="5">
        <v>130000</v>
      </c>
      <c r="E10" s="5">
        <f>+IF(FINANCIACION[[#This Row],[$ CAPITAL]]&gt;=0,FINANCIACION[[#This Row],[$ CAPITAL]]+FINANCIACION[[#This Row],[$ INTERESES]],"")</f>
        <v>130000</v>
      </c>
      <c r="F10" s="5">
        <f>+SUMIFS(FINANCIACION[$ CAPITAL],FINANCIACION[Fecha],"&lt;="&amp;FINANCIACION[[#This Row],[Fecha]],FINANCIACION[PRESTAMO],FINANCIACION[[#This Row],[PRESTAMO]])</f>
        <v>-13000000</v>
      </c>
      <c r="G10" s="53"/>
      <c r="H10" s="53"/>
      <c r="I10" s="5" t="b">
        <f>IF(FINANCIACION[[#This Row],[$ CAPITAL]]&gt;0,FINANCIACION[[#This Row],[$ CAPITAL]])</f>
        <v>0</v>
      </c>
      <c r="J10" s="33">
        <f>IF(FINANCIACION[[#This Row],[$ CAPITAL]]&gt;=0,FINANCIACION[[#This Row],[$ CAPITAL]]+FINANCIACION[[#This Row],[$ INTERESES]],0)</f>
        <v>130000</v>
      </c>
    </row>
    <row r="11" spans="1:15" ht="24" hidden="1" customHeight="1" x14ac:dyDescent="0.25">
      <c r="A11" s="109">
        <v>44572</v>
      </c>
      <c r="B11" s="50" t="s">
        <v>369</v>
      </c>
      <c r="C11" s="5"/>
      <c r="D11" s="5">
        <v>130000</v>
      </c>
      <c r="E11" s="5">
        <f>+IF(FINANCIACION[[#This Row],[$ CAPITAL]]&gt;=0,FINANCIACION[[#This Row],[$ CAPITAL]]+FINANCIACION[[#This Row],[$ INTERESES]],"")</f>
        <v>130000</v>
      </c>
      <c r="F11" s="5">
        <f>+SUMIFS(FINANCIACION[$ CAPITAL],FINANCIACION[Fecha],"&lt;="&amp;FINANCIACION[[#This Row],[Fecha]],FINANCIACION[PRESTAMO],FINANCIACION[[#This Row],[PRESTAMO]])</f>
        <v>-13000000</v>
      </c>
      <c r="G11" s="53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130000</v>
      </c>
    </row>
    <row r="12" spans="1:15" ht="24" hidden="1" customHeight="1" x14ac:dyDescent="0.25">
      <c r="A12" s="109">
        <v>44602</v>
      </c>
      <c r="B12" s="50" t="s">
        <v>369</v>
      </c>
      <c r="C12" s="5"/>
      <c r="D12" s="5">
        <v>130000</v>
      </c>
      <c r="E12" s="5">
        <f>+IF(FINANCIACION[[#This Row],[$ CAPITAL]]&gt;=0,FINANCIACION[[#This Row],[$ CAPITAL]]+FINANCIACION[[#This Row],[$ INTERESES]],"")</f>
        <v>130000</v>
      </c>
      <c r="F12" s="5">
        <f>+SUMIFS(FINANCIACION[$ CAPITAL],FINANCIACION[Fecha],"&lt;="&amp;FINANCIACION[[#This Row],[Fecha]],FINANCIACION[PRESTAMO],FINANCIACION[[#This Row],[PRESTAMO]])</f>
        <v>-13000000</v>
      </c>
      <c r="G12" s="53"/>
      <c r="H12" s="53"/>
      <c r="I12" s="5" t="b">
        <f>+IF(FINANCIACION[[#This Row],[$ CAPITAL]]&gt;0,FINANCIACION[[#This Row],[$ CAPITAL]])</f>
        <v>0</v>
      </c>
      <c r="J12" s="33">
        <f>+IF(FINANCIACION[[#This Row],[$ CAPITAL]]&gt;=0,FINANCIACION[[#This Row],[$ CAPITAL]]+FINANCIACION[[#This Row],[$ INTERESES]],0)</f>
        <v>130000</v>
      </c>
    </row>
    <row r="13" spans="1:15" ht="24" hidden="1" customHeight="1" x14ac:dyDescent="0.25">
      <c r="A13" s="109">
        <v>44629</v>
      </c>
      <c r="B13" s="50" t="s">
        <v>369</v>
      </c>
      <c r="C13" s="5"/>
      <c r="D13" s="5">
        <v>130000</v>
      </c>
      <c r="E13" s="5">
        <f>+IF(FINANCIACION[[#This Row],[$ CAPITAL]]&gt;=0,FINANCIACION[[#This Row],[$ CAPITAL]]+FINANCIACION[[#This Row],[$ INTERESES]],"")</f>
        <v>130000</v>
      </c>
      <c r="F13" s="5">
        <f>+SUMIFS(FINANCIACION[$ CAPITAL],FINANCIACION[Fecha],"&lt;="&amp;FINANCIACION[[#This Row],[Fecha]],FINANCIACION[PRESTAMO],FINANCIACION[[#This Row],[PRESTAMO]])</f>
        <v>-13000000</v>
      </c>
      <c r="G13" s="53"/>
      <c r="H13" s="53"/>
      <c r="I13" s="5" t="b">
        <f>+IF(FINANCIACION[[#This Row],[$ CAPITAL]]&gt;0,FINANCIACION[[#This Row],[$ CAPITAL]])</f>
        <v>0</v>
      </c>
      <c r="J13" s="33">
        <f>+IF(FINANCIACION[[#This Row],[$ CAPITAL]]&gt;=0,FINANCIACION[[#This Row],[$ CAPITAL]]+FINANCIACION[[#This Row],[$ INTERESES]],0)</f>
        <v>130000</v>
      </c>
    </row>
    <row r="14" spans="1:15" ht="24" hidden="1" customHeight="1" x14ac:dyDescent="0.25">
      <c r="A14" s="109">
        <v>44662</v>
      </c>
      <c r="B14" s="50" t="s">
        <v>369</v>
      </c>
      <c r="C14" s="5"/>
      <c r="D14" s="5">
        <v>130000</v>
      </c>
      <c r="E14" s="5">
        <f>+IF(FINANCIACION[[#This Row],[$ CAPITAL]]&gt;=0,FINANCIACION[[#This Row],[$ CAPITAL]]+FINANCIACION[[#This Row],[$ INTERESES]],"")</f>
        <v>130000</v>
      </c>
      <c r="F14" s="5">
        <f>+SUMIFS(FINANCIACION[$ CAPITAL],FINANCIACION[Fecha],"&lt;="&amp;FINANCIACION[[#This Row],[Fecha]],FINANCIACION[PRESTAMO],FINANCIACION[[#This Row],[PRESTAMO]])</f>
        <v>-13000000</v>
      </c>
      <c r="G14" s="53"/>
      <c r="H14" s="53"/>
      <c r="I14" s="5" t="b">
        <f>+IF(FINANCIACION[[#This Row],[$ CAPITAL]]&gt;0,FINANCIACION[[#This Row],[$ CAPITAL]])</f>
        <v>0</v>
      </c>
      <c r="J14" s="33">
        <f>+IF(FINANCIACION[[#This Row],[$ CAPITAL]]&gt;=0,FINANCIACION[[#This Row],[$ CAPITAL]]+FINANCIACION[[#This Row],[$ INTERESES]],0)</f>
        <v>130000</v>
      </c>
    </row>
    <row r="15" spans="1:15" ht="24" hidden="1" customHeight="1" x14ac:dyDescent="0.25">
      <c r="A15" s="109">
        <v>44691</v>
      </c>
      <c r="B15" s="50" t="s">
        <v>369</v>
      </c>
      <c r="C15" s="5"/>
      <c r="D15" s="5">
        <v>130000</v>
      </c>
      <c r="E15" s="5">
        <f>+IF(FINANCIACION[[#This Row],[$ CAPITAL]]&gt;=0,FINANCIACION[[#This Row],[$ CAPITAL]]+FINANCIACION[[#This Row],[$ INTERESES]],"")</f>
        <v>130000</v>
      </c>
      <c r="F15" s="5">
        <f>+SUMIFS(FINANCIACION[$ CAPITAL],FINANCIACION[Fecha],"&lt;="&amp;FINANCIACION[[#This Row],[Fecha]],FINANCIACION[PRESTAMO],FINANCIACION[[#This Row],[PRESTAMO]])</f>
        <v>-13000000</v>
      </c>
      <c r="G15" s="53"/>
      <c r="H15" s="53"/>
      <c r="I15" s="5" t="b">
        <f>+IF(FINANCIACION[[#This Row],[$ CAPITAL]]&gt;0,FINANCIACION[[#This Row],[$ CAPITAL]])</f>
        <v>0</v>
      </c>
      <c r="J15" s="33">
        <f>+IF(FINANCIACION[[#This Row],[$ CAPITAL]]&gt;=0,FINANCIACION[[#This Row],[$ CAPITAL]]+FINANCIACION[[#This Row],[$ INTERESES]],0)</f>
        <v>130000</v>
      </c>
    </row>
    <row r="16" spans="1:15" ht="24" hidden="1" customHeight="1" x14ac:dyDescent="0.25">
      <c r="A16" s="109">
        <v>44753</v>
      </c>
      <c r="B16" s="50" t="s">
        <v>369</v>
      </c>
      <c r="C16" s="5"/>
      <c r="D16" s="5">
        <v>130000</v>
      </c>
      <c r="E16" s="5">
        <f>+IF(FINANCIACION[[#This Row],[$ CAPITAL]]&gt;=0,FINANCIACION[[#This Row],[$ CAPITAL]]+FINANCIACION[[#This Row],[$ INTERESES]],"")</f>
        <v>130000</v>
      </c>
      <c r="F16" s="5">
        <f>+SUMIFS(FINANCIACION[$ CAPITAL],FINANCIACION[Fecha],"&lt;="&amp;FINANCIACION[[#This Row],[Fecha]],FINANCIACION[PRESTAMO],FINANCIACION[[#This Row],[PRESTAMO]])</f>
        <v>-13000000</v>
      </c>
      <c r="G16" s="53"/>
      <c r="H16" s="53"/>
      <c r="I16" s="5" t="b">
        <f>+IF(FINANCIACION[[#This Row],[$ CAPITAL]]&gt;0,FINANCIACION[[#This Row],[$ CAPITAL]])</f>
        <v>0</v>
      </c>
      <c r="J16" s="33">
        <f>+IF(FINANCIACION[[#This Row],[$ CAPITAL]]&gt;=0,FINANCIACION[[#This Row],[$ CAPITAL]]+FINANCIACION[[#This Row],[$ INTERESES]],0)</f>
        <v>130000</v>
      </c>
    </row>
    <row r="17" spans="1:10" ht="24" hidden="1" customHeight="1" x14ac:dyDescent="0.25">
      <c r="A17" s="109">
        <v>44777</v>
      </c>
      <c r="B17" s="50" t="s">
        <v>369</v>
      </c>
      <c r="C17" s="5">
        <v>-8000000</v>
      </c>
      <c r="D17" s="5"/>
      <c r="E17" s="5" t="str">
        <f>+IF(FINANCIACION[[#This Row],[$ CAPITAL]]&gt;=0,FINANCIACION[[#This Row],[$ CAPITAL]]+FINANCIACION[[#This Row],[$ INTERESES]],"")</f>
        <v/>
      </c>
      <c r="F17" s="5">
        <f>+SUMIFS(FINANCIACION[$ CAPITAL],FINANCIACION[Fecha],"&lt;="&amp;FINANCIACION[[#This Row],[Fecha]],FINANCIACION[PRESTAMO],FINANCIACION[[#This Row],[PRESTAMO]])</f>
        <v>-15347000</v>
      </c>
      <c r="G17" s="53" t="s">
        <v>475</v>
      </c>
      <c r="H17" s="53"/>
      <c r="I17" s="5" t="b">
        <f>+IF(FINANCIACION[[#This Row],[$ CAPITAL]]&gt;0,FINANCIACION[[#This Row],[$ CAPITAL]])</f>
        <v>0</v>
      </c>
      <c r="J17" s="33">
        <f>+IF(FINANCIACION[[#This Row],[$ CAPITAL]]&gt;=0,FINANCIACION[[#This Row],[$ CAPITAL]]+FINANCIACION[[#This Row],[$ INTERESES]],0)</f>
        <v>0</v>
      </c>
    </row>
    <row r="18" spans="1:10" ht="24" hidden="1" customHeight="1" x14ac:dyDescent="0.25">
      <c r="A18" s="109">
        <v>44777</v>
      </c>
      <c r="B18" s="50" t="s">
        <v>369</v>
      </c>
      <c r="C18" s="5">
        <v>1530000</v>
      </c>
      <c r="D18" s="5"/>
      <c r="E18" s="5">
        <f>+IF(FINANCIACION[[#This Row],[$ CAPITAL]]&gt;=0,FINANCIACION[[#This Row],[$ CAPITAL]]+FINANCIACION[[#This Row],[$ INTERESES]],"")</f>
        <v>1530000</v>
      </c>
      <c r="F18" s="5">
        <f>+SUMIFS(FINANCIACION[$ CAPITAL],FINANCIACION[Fecha],"&lt;="&amp;FINANCIACION[[#This Row],[Fecha]],FINANCIACION[PRESTAMO],FINANCIACION[[#This Row],[PRESTAMO]])</f>
        <v>-15347000</v>
      </c>
      <c r="G18" s="53" t="s">
        <v>475</v>
      </c>
      <c r="H18" s="53"/>
      <c r="I18" s="5">
        <f>+IF(FINANCIACION[[#This Row],[$ CAPITAL]]&gt;0,FINANCIACION[[#This Row],[$ CAPITAL]])</f>
        <v>1530000</v>
      </c>
      <c r="J18" s="33">
        <f>+IF(FINANCIACION[[#This Row],[$ CAPITAL]]&gt;=0,FINANCIACION[[#This Row],[$ CAPITAL]]+FINANCIACION[[#This Row],[$ INTERESES]],0)</f>
        <v>1530000</v>
      </c>
    </row>
    <row r="19" spans="1:10" ht="24" hidden="1" customHeight="1" x14ac:dyDescent="0.25">
      <c r="A19" s="109">
        <v>44777</v>
      </c>
      <c r="B19" s="50" t="s">
        <v>369</v>
      </c>
      <c r="C19" s="5">
        <v>3300000</v>
      </c>
      <c r="D19" s="5"/>
      <c r="E19" s="5">
        <f>+IF(FINANCIACION[[#This Row],[$ CAPITAL]]&gt;=0,FINANCIACION[[#This Row],[$ CAPITAL]]+FINANCIACION[[#This Row],[$ INTERESES]],"")</f>
        <v>3300000</v>
      </c>
      <c r="F19" s="5">
        <f>+SUMIFS(FINANCIACION[$ CAPITAL],FINANCIACION[Fecha],"&lt;="&amp;FINANCIACION[[#This Row],[Fecha]],FINANCIACION[PRESTAMO],FINANCIACION[[#This Row],[PRESTAMO]])</f>
        <v>-15347000</v>
      </c>
      <c r="G19" s="53" t="s">
        <v>475</v>
      </c>
      <c r="H19" s="53"/>
      <c r="I19" s="5">
        <f>+IF(FINANCIACION[[#This Row],[$ CAPITAL]]&gt;0,FINANCIACION[[#This Row],[$ CAPITAL]])</f>
        <v>3300000</v>
      </c>
      <c r="J19" s="33">
        <f>+IF(FINANCIACION[[#This Row],[$ CAPITAL]]&gt;=0,FINANCIACION[[#This Row],[$ CAPITAL]]+FINANCIACION[[#This Row],[$ INTERESES]],0)</f>
        <v>3300000</v>
      </c>
    </row>
    <row r="20" spans="1:10" ht="24" hidden="1" customHeight="1" x14ac:dyDescent="0.25">
      <c r="A20" s="109">
        <v>44777</v>
      </c>
      <c r="B20" s="50" t="s">
        <v>369</v>
      </c>
      <c r="C20" s="5">
        <v>823000</v>
      </c>
      <c r="D20" s="5"/>
      <c r="E20" s="5">
        <f>+IF(FINANCIACION[[#This Row],[$ CAPITAL]]&gt;=0,FINANCIACION[[#This Row],[$ CAPITAL]]+FINANCIACION[[#This Row],[$ INTERESES]],"")</f>
        <v>823000</v>
      </c>
      <c r="F20" s="5">
        <f>+SUMIFS(FINANCIACION[$ CAPITAL],FINANCIACION[Fecha],"&lt;="&amp;FINANCIACION[[#This Row],[Fecha]],FINANCIACION[PRESTAMO],FINANCIACION[[#This Row],[PRESTAMO]])</f>
        <v>-15347000</v>
      </c>
      <c r="G20" s="53" t="s">
        <v>475</v>
      </c>
      <c r="H20" s="53"/>
      <c r="I20" s="5">
        <f>+IF(FINANCIACION[[#This Row],[$ CAPITAL]]&gt;0,FINANCIACION[[#This Row],[$ CAPITAL]])</f>
        <v>823000</v>
      </c>
      <c r="J20" s="33">
        <f>+IF(FINANCIACION[[#This Row],[$ CAPITAL]]&gt;=0,FINANCIACION[[#This Row],[$ CAPITAL]]+FINANCIACION[[#This Row],[$ INTERESES]],0)</f>
        <v>823000</v>
      </c>
    </row>
    <row r="21" spans="1:10" ht="24" hidden="1" customHeight="1" x14ac:dyDescent="0.25">
      <c r="A21" s="109">
        <v>44781</v>
      </c>
      <c r="B21" s="50" t="s">
        <v>369</v>
      </c>
      <c r="C21" s="5">
        <v>2347000</v>
      </c>
      <c r="D21" s="5"/>
      <c r="E21" s="5">
        <f>+IF(FINANCIACION[[#This Row],[$ CAPITAL]]&gt;=0,FINANCIACION[[#This Row],[$ CAPITAL]]+FINANCIACION[[#This Row],[$ INTERESES]],"")</f>
        <v>2347000</v>
      </c>
      <c r="F21" s="5">
        <f>+SUMIFS(FINANCIACION[$ CAPITAL],FINANCIACION[Fecha],"&lt;="&amp;FINANCIACION[[#This Row],[Fecha]],FINANCIACION[PRESTAMO],FINANCIACION[[#This Row],[PRESTAMO]])</f>
        <v>-13000000</v>
      </c>
      <c r="G21" s="53" t="s">
        <v>475</v>
      </c>
      <c r="H21" s="53"/>
      <c r="I21" s="5">
        <f>+IF(FINANCIACION[[#This Row],[$ CAPITAL]]&gt;0,FINANCIACION[[#This Row],[$ CAPITAL]])</f>
        <v>2347000</v>
      </c>
      <c r="J21" s="33">
        <f>+IF(FINANCIACION[[#This Row],[$ CAPITAL]]&gt;=0,FINANCIACION[[#This Row],[$ CAPITAL]]+FINANCIACION[[#This Row],[$ INTERESES]],0)</f>
        <v>2347000</v>
      </c>
    </row>
    <row r="22" spans="1:10" ht="24" hidden="1" customHeight="1" x14ac:dyDescent="0.25">
      <c r="A22" s="109">
        <v>44786</v>
      </c>
      <c r="B22" s="50" t="s">
        <v>369</v>
      </c>
      <c r="C22" s="5"/>
      <c r="D22" s="5">
        <v>130000</v>
      </c>
      <c r="E22" s="5">
        <f>+IF(FINANCIACION[[#This Row],[$ CAPITAL]]&gt;=0,FINANCIACION[[#This Row],[$ CAPITAL]]+FINANCIACION[[#This Row],[$ INTERESES]],"")</f>
        <v>130000</v>
      </c>
      <c r="F22" s="5">
        <f>+SUMIFS(FINANCIACION[$ CAPITAL],FINANCIACION[Fecha],"&lt;="&amp;FINANCIACION[[#This Row],[Fecha]],FINANCIACION[PRESTAMO],FINANCIACION[[#This Row],[PRESTAMO]])</f>
        <v>-13000000</v>
      </c>
      <c r="G22" s="53"/>
      <c r="H22" s="53"/>
      <c r="I22" s="5" t="b">
        <f>+IF(FINANCIACION[[#This Row],[$ CAPITAL]]&gt;0,FINANCIACION[[#This Row],[$ CAPITAL]])</f>
        <v>0</v>
      </c>
      <c r="J22" s="33">
        <f>+IF(FINANCIACION[[#This Row],[$ CAPITAL]]&gt;=0,FINANCIACION[[#This Row],[$ CAPITAL]]+FINANCIACION[[#This Row],[$ INTERESES]],0)</f>
        <v>130000</v>
      </c>
    </row>
    <row r="23" spans="1:10" ht="24" hidden="1" customHeight="1" x14ac:dyDescent="0.25">
      <c r="A23" s="109">
        <v>44817</v>
      </c>
      <c r="B23" s="50" t="s">
        <v>369</v>
      </c>
      <c r="C23" s="5"/>
      <c r="D23" s="5">
        <v>130000</v>
      </c>
      <c r="E23" s="5">
        <f>+IF(FINANCIACION[[#This Row],[$ CAPITAL]]&gt;=0,FINANCIACION[[#This Row],[$ CAPITAL]]+FINANCIACION[[#This Row],[$ INTERESES]],"")</f>
        <v>130000</v>
      </c>
      <c r="F23" s="5">
        <f>+SUMIFS(FINANCIACION[$ CAPITAL],FINANCIACION[Fecha],"&lt;="&amp;FINANCIACION[[#This Row],[Fecha]],FINANCIACION[PRESTAMO],FINANCIACION[[#This Row],[PRESTAMO]])</f>
        <v>-13000000</v>
      </c>
      <c r="G23" s="53"/>
      <c r="H23" s="53"/>
      <c r="I23" s="5" t="b">
        <f>+IF(FINANCIACION[[#This Row],[$ CAPITAL]]&gt;0,FINANCIACION[[#This Row],[$ CAPITAL]])</f>
        <v>0</v>
      </c>
      <c r="J23" s="33">
        <f>+IF(FINANCIACION[[#This Row],[$ CAPITAL]]&gt;=0,FINANCIACION[[#This Row],[$ CAPITAL]]+FINANCIACION[[#This Row],[$ INTERESES]],0)</f>
        <v>130000</v>
      </c>
    </row>
    <row r="24" spans="1:10" ht="24" hidden="1" customHeight="1" x14ac:dyDescent="0.25">
      <c r="A24" s="109">
        <v>44846</v>
      </c>
      <c r="B24" s="50" t="s">
        <v>369</v>
      </c>
      <c r="C24" s="5"/>
      <c r="D24" s="5">
        <v>130000</v>
      </c>
      <c r="E24" s="5">
        <f>+IF(FINANCIACION[[#This Row],[$ CAPITAL]]&gt;=0,FINANCIACION[[#This Row],[$ CAPITAL]]+FINANCIACION[[#This Row],[$ INTERESES]],"")</f>
        <v>130000</v>
      </c>
      <c r="F24" s="5">
        <f>+SUMIFS(FINANCIACION[$ CAPITAL],FINANCIACION[Fecha],"&lt;="&amp;FINANCIACION[[#This Row],[Fecha]],FINANCIACION[PRESTAMO],FINANCIACION[[#This Row],[PRESTAMO]])</f>
        <v>-13000000</v>
      </c>
      <c r="G24" s="53"/>
      <c r="H24" s="53"/>
      <c r="I24" s="5" t="b">
        <f>+IF(FINANCIACION[[#This Row],[$ CAPITAL]]&gt;0,FINANCIACION[[#This Row],[$ CAPITAL]])</f>
        <v>0</v>
      </c>
      <c r="J24" s="33">
        <f>+IF(FINANCIACION[[#This Row],[$ CAPITAL]]&gt;=0,FINANCIACION[[#This Row],[$ CAPITAL]]+FINANCIACION[[#This Row],[$ INTERESES]],0)</f>
        <v>130000</v>
      </c>
    </row>
    <row r="25" spans="1:10" ht="24" hidden="1" customHeight="1" x14ac:dyDescent="0.25">
      <c r="A25" s="109">
        <v>44876</v>
      </c>
      <c r="B25" s="50" t="s">
        <v>369</v>
      </c>
      <c r="C25" s="5"/>
      <c r="D25" s="5">
        <v>130000</v>
      </c>
      <c r="E25" s="5">
        <f>+IF(FINANCIACION[[#This Row],[$ CAPITAL]]&gt;=0,FINANCIACION[[#This Row],[$ CAPITAL]]+FINANCIACION[[#This Row],[$ INTERESES]],"")</f>
        <v>130000</v>
      </c>
      <c r="F25" s="5">
        <f>+SUMIFS(FINANCIACION[$ CAPITAL],FINANCIACION[Fecha],"&lt;="&amp;FINANCIACION[[#This Row],[Fecha]],FINANCIACION[PRESTAMO],FINANCIACION[[#This Row],[PRESTAMO]])</f>
        <v>-13000000</v>
      </c>
      <c r="G25" s="53"/>
      <c r="H25" s="53"/>
      <c r="I25" s="5" t="b">
        <f>+IF(FINANCIACION[[#This Row],[$ CAPITAL]]&gt;0,FINANCIACION[[#This Row],[$ CAPITAL]])</f>
        <v>0</v>
      </c>
      <c r="J25" s="33">
        <f>+IF(FINANCIACION[[#This Row],[$ CAPITAL]]&gt;=0,FINANCIACION[[#This Row],[$ CAPITAL]]+FINANCIACION[[#This Row],[$ INTERESES]],0)</f>
        <v>130000</v>
      </c>
    </row>
    <row r="26" spans="1:10" ht="24" hidden="1" customHeight="1" x14ac:dyDescent="0.25">
      <c r="A26" s="109">
        <v>44909</v>
      </c>
      <c r="B26" s="50" t="s">
        <v>369</v>
      </c>
      <c r="C26" s="5"/>
      <c r="D26" s="5">
        <v>130000</v>
      </c>
      <c r="E26" s="5">
        <f>+IF(FINANCIACION[[#This Row],[$ CAPITAL]]&gt;=0,FINANCIACION[[#This Row],[$ CAPITAL]]+FINANCIACION[[#This Row],[$ INTERESES]],"")</f>
        <v>130000</v>
      </c>
      <c r="F26" s="5">
        <f>+SUMIFS(FINANCIACION[$ CAPITAL],FINANCIACION[Fecha],"&lt;="&amp;FINANCIACION[[#This Row],[Fecha]],FINANCIACION[PRESTAMO],FINANCIACION[[#This Row],[PRESTAMO]])</f>
        <v>-13000000</v>
      </c>
      <c r="G26" s="53"/>
      <c r="H26" s="53"/>
      <c r="I26" s="5" t="b">
        <f>+IF(FINANCIACION[[#This Row],[$ CAPITAL]]&gt;0,FINANCIACION[[#This Row],[$ CAPITAL]])</f>
        <v>0</v>
      </c>
      <c r="J26" s="33">
        <f>+IF(FINANCIACION[[#This Row],[$ CAPITAL]]&gt;=0,FINANCIACION[[#This Row],[$ CAPITAL]]+FINANCIACION[[#This Row],[$ INTERESES]],0)</f>
        <v>130000</v>
      </c>
    </row>
    <row r="27" spans="1:10" ht="24" hidden="1" customHeight="1" x14ac:dyDescent="0.25">
      <c r="A27" s="109">
        <v>44938</v>
      </c>
      <c r="B27" s="50" t="s">
        <v>369</v>
      </c>
      <c r="C27" s="5"/>
      <c r="D27" s="5">
        <v>130000</v>
      </c>
      <c r="E27" s="5">
        <f>+IF(FINANCIACION[[#This Row],[$ CAPITAL]]&gt;=0,FINANCIACION[[#This Row],[$ CAPITAL]]+FINANCIACION[[#This Row],[$ INTERESES]],"")</f>
        <v>130000</v>
      </c>
      <c r="F27" s="5">
        <f>+SUMIFS(FINANCIACION[$ CAPITAL],FINANCIACION[Fecha],"&lt;="&amp;FINANCIACION[[#This Row],[Fecha]],FINANCIACION[PRESTAMO],FINANCIACION[[#This Row],[PRESTAMO]])</f>
        <v>-13000000</v>
      </c>
      <c r="G27" s="53"/>
      <c r="H27" s="53"/>
      <c r="I27" s="5" t="b">
        <f>+IF(FINANCIACION[[#This Row],[$ CAPITAL]]&gt;0,FINANCIACION[[#This Row],[$ CAPITAL]])</f>
        <v>0</v>
      </c>
      <c r="J27" s="33">
        <f>+IF(FINANCIACION[[#This Row],[$ CAPITAL]]&gt;=0,FINANCIACION[[#This Row],[$ CAPITAL]]+FINANCIACION[[#This Row],[$ INTERESES]],0)</f>
        <v>130000</v>
      </c>
    </row>
    <row r="28" spans="1:10" ht="24" hidden="1" customHeight="1" x14ac:dyDescent="0.25">
      <c r="A28" s="109">
        <v>44970</v>
      </c>
      <c r="B28" s="50" t="s">
        <v>369</v>
      </c>
      <c r="C28" s="5"/>
      <c r="D28" s="5">
        <v>130000</v>
      </c>
      <c r="E28" s="5">
        <f>+IF(FINANCIACION[[#This Row],[$ CAPITAL]]&gt;=0,FINANCIACION[[#This Row],[$ CAPITAL]]+FINANCIACION[[#This Row],[$ INTERESES]],"")</f>
        <v>130000</v>
      </c>
      <c r="F28" s="5">
        <f>+SUMIFS(FINANCIACION[$ CAPITAL],FINANCIACION[Fecha],"&lt;="&amp;FINANCIACION[[#This Row],[Fecha]],FINANCIACION[PRESTAMO],FINANCIACION[[#This Row],[PRESTAMO]])</f>
        <v>-13000000</v>
      </c>
      <c r="G28" s="53"/>
      <c r="H28" s="53"/>
      <c r="I28" s="5" t="b">
        <f>+IF(FINANCIACION[[#This Row],[$ CAPITAL]]&gt;0,FINANCIACION[[#This Row],[$ CAPITAL]])</f>
        <v>0</v>
      </c>
      <c r="J28" s="33">
        <f>+IF(FINANCIACION[[#This Row],[$ CAPITAL]]&gt;=0,FINANCIACION[[#This Row],[$ CAPITAL]]+FINANCIACION[[#This Row],[$ INTERESES]],0)</f>
        <v>130000</v>
      </c>
    </row>
    <row r="29" spans="1:10" ht="24" hidden="1" customHeight="1" x14ac:dyDescent="0.25">
      <c r="A29" s="109">
        <v>44999</v>
      </c>
      <c r="B29" s="50" t="s">
        <v>369</v>
      </c>
      <c r="C29" s="5"/>
      <c r="D29" s="5">
        <v>130000</v>
      </c>
      <c r="E29" s="5">
        <f>+IF(FINANCIACION[[#This Row],[$ CAPITAL]]&gt;=0,FINANCIACION[[#This Row],[$ CAPITAL]]+FINANCIACION[[#This Row],[$ INTERESES]],"")</f>
        <v>130000</v>
      </c>
      <c r="F29" s="5">
        <f>+SUMIFS(FINANCIACION[$ CAPITAL],FINANCIACION[Fecha],"&lt;="&amp;FINANCIACION[[#This Row],[Fecha]],FINANCIACION[PRESTAMO],FINANCIACION[[#This Row],[PRESTAMO]])</f>
        <v>-13000000</v>
      </c>
      <c r="G29" s="53"/>
      <c r="H29" s="53"/>
      <c r="I29" s="5" t="b">
        <f>+IF(FINANCIACION[[#This Row],[$ CAPITAL]]&gt;0,FINANCIACION[[#This Row],[$ CAPITAL]])</f>
        <v>0</v>
      </c>
      <c r="J29" s="33">
        <f>+IF(FINANCIACION[[#This Row],[$ CAPITAL]]&gt;=0,FINANCIACION[[#This Row],[$ CAPITAL]]+FINANCIACION[[#This Row],[$ INTERESES]],0)</f>
        <v>130000</v>
      </c>
    </row>
    <row r="30" spans="1:10" ht="24" hidden="1" customHeight="1" x14ac:dyDescent="0.25">
      <c r="A30" s="109">
        <v>45026</v>
      </c>
      <c r="B30" s="50" t="s">
        <v>369</v>
      </c>
      <c r="C30" s="5"/>
      <c r="D30" s="5">
        <v>130000</v>
      </c>
      <c r="E30" s="5">
        <f>+IF(FINANCIACION[[#This Row],[$ CAPITAL]]&gt;=0,FINANCIACION[[#This Row],[$ CAPITAL]]+FINANCIACION[[#This Row],[$ INTERESES]],"")</f>
        <v>130000</v>
      </c>
      <c r="F30" s="5">
        <f>+SUMIFS(FINANCIACION[$ CAPITAL],FINANCIACION[Fecha],"&lt;="&amp;FINANCIACION[[#This Row],[Fecha]],FINANCIACION[PRESTAMO],FINANCIACION[[#This Row],[PRESTAMO]])</f>
        <v>-13000000</v>
      </c>
      <c r="G30" s="53"/>
      <c r="H30" s="53"/>
      <c r="I30" s="5" t="b">
        <f>+IF(FINANCIACION[[#This Row],[$ CAPITAL]]&gt;0,FINANCIACION[[#This Row],[$ CAPITAL]])</f>
        <v>0</v>
      </c>
      <c r="J30" s="33">
        <f>+IF(FINANCIACION[[#This Row],[$ CAPITAL]]&gt;=0,FINANCIACION[[#This Row],[$ CAPITAL]]+FINANCIACION[[#This Row],[$ INTERESES]],0)</f>
        <v>130000</v>
      </c>
    </row>
    <row r="31" spans="1:10" ht="24" hidden="1" customHeight="1" x14ac:dyDescent="0.25">
      <c r="A31" s="109">
        <v>45054</v>
      </c>
      <c r="B31" s="50" t="s">
        <v>369</v>
      </c>
      <c r="C31" s="5"/>
      <c r="D31" s="5">
        <v>130000</v>
      </c>
      <c r="E31" s="5">
        <f>+IF(FINANCIACION[[#This Row],[$ CAPITAL]]&gt;=0,FINANCIACION[[#This Row],[$ CAPITAL]]+FINANCIACION[[#This Row],[$ INTERESES]],"")</f>
        <v>130000</v>
      </c>
      <c r="F31" s="5">
        <f>+SUMIFS(FINANCIACION[$ CAPITAL],FINANCIACION[Fecha],"&lt;="&amp;FINANCIACION[[#This Row],[Fecha]],FINANCIACION[PRESTAMO],FINANCIACION[[#This Row],[PRESTAMO]])</f>
        <v>-13000000</v>
      </c>
      <c r="G31" s="53"/>
      <c r="H31" s="53"/>
      <c r="I31" s="5" t="b">
        <f>+IF(FINANCIACION[[#This Row],[$ CAPITAL]]&gt;0,FINANCIACION[[#This Row],[$ CAPITAL]])</f>
        <v>0</v>
      </c>
      <c r="J31" s="33">
        <f>+IF(FINANCIACION[[#This Row],[$ CAPITAL]]&gt;=0,FINANCIACION[[#This Row],[$ CAPITAL]]+FINANCIACION[[#This Row],[$ INTERESES]],0)</f>
        <v>130000</v>
      </c>
    </row>
    <row r="32" spans="1:10" ht="24" hidden="1" customHeight="1" x14ac:dyDescent="0.25">
      <c r="A32" s="109">
        <v>45091</v>
      </c>
      <c r="B32" s="50" t="s">
        <v>369</v>
      </c>
      <c r="C32" s="5"/>
      <c r="D32" s="5">
        <v>130000</v>
      </c>
      <c r="E32" s="5">
        <f>+IF(FINANCIACION[[#This Row],[$ CAPITAL]]&gt;=0,FINANCIACION[[#This Row],[$ CAPITAL]]+FINANCIACION[[#This Row],[$ INTERESES]],"")</f>
        <v>130000</v>
      </c>
      <c r="F32" s="5">
        <f>+SUMIFS(FINANCIACION[$ CAPITAL],FINANCIACION[Fecha],"&lt;="&amp;FINANCIACION[[#This Row],[Fecha]],FINANCIACION[PRESTAMO],FINANCIACION[[#This Row],[PRESTAMO]])</f>
        <v>-13000000</v>
      </c>
      <c r="G32" s="53"/>
      <c r="H32" s="53"/>
      <c r="I32" s="5" t="b">
        <f>+IF(FINANCIACION[[#This Row],[$ CAPITAL]]&gt;0,FINANCIACION[[#This Row],[$ CAPITAL]])</f>
        <v>0</v>
      </c>
      <c r="J32" s="33">
        <f>+IF(FINANCIACION[[#This Row],[$ CAPITAL]]&gt;=0,FINANCIACION[[#This Row],[$ CAPITAL]]+FINANCIACION[[#This Row],[$ INTERESES]],0)</f>
        <v>130000</v>
      </c>
    </row>
    <row r="33" spans="1:10" ht="24" hidden="1" customHeight="1" x14ac:dyDescent="0.25">
      <c r="A33" s="109">
        <v>45118</v>
      </c>
      <c r="B33" s="50" t="s">
        <v>369</v>
      </c>
      <c r="C33" s="5"/>
      <c r="D33" s="5">
        <v>130000</v>
      </c>
      <c r="E33" s="5">
        <f>+IF(FINANCIACION[[#This Row],[$ CAPITAL]]&gt;=0,FINANCIACION[[#This Row],[$ CAPITAL]]+FINANCIACION[[#This Row],[$ INTERESES]],"")</f>
        <v>130000</v>
      </c>
      <c r="F33" s="5">
        <f>+SUMIFS(FINANCIACION[$ CAPITAL],FINANCIACION[Fecha],"&lt;="&amp;FINANCIACION[[#This Row],[Fecha]],FINANCIACION[PRESTAMO],FINANCIACION[[#This Row],[PRESTAMO]])</f>
        <v>-13000000</v>
      </c>
      <c r="G33" s="53"/>
      <c r="H33" s="53"/>
      <c r="I33" s="5" t="b">
        <f>+IF(FINANCIACION[[#This Row],[$ CAPITAL]]&gt;0,FINANCIACION[[#This Row],[$ CAPITAL]])</f>
        <v>0</v>
      </c>
      <c r="J33" s="33">
        <f>+IF(FINANCIACION[[#This Row],[$ CAPITAL]]&gt;=0,FINANCIACION[[#This Row],[$ CAPITAL]]+FINANCIACION[[#This Row],[$ INTERESES]],0)</f>
        <v>130000</v>
      </c>
    </row>
    <row r="34" spans="1:10" ht="24" hidden="1" customHeight="1" x14ac:dyDescent="0.25">
      <c r="A34" s="109">
        <v>45149</v>
      </c>
      <c r="B34" s="50" t="s">
        <v>369</v>
      </c>
      <c r="C34" s="5"/>
      <c r="D34" s="5">
        <v>130000</v>
      </c>
      <c r="E34" s="5">
        <f>+IF(FINANCIACION[[#This Row],[$ CAPITAL]]&gt;=0,FINANCIACION[[#This Row],[$ CAPITAL]]+FINANCIACION[[#This Row],[$ INTERESES]],"")</f>
        <v>130000</v>
      </c>
      <c r="F34" s="5">
        <f>+SUMIFS(FINANCIACION[$ CAPITAL],FINANCIACION[Fecha],"&lt;="&amp;FINANCIACION[[#This Row],[Fecha]],FINANCIACION[PRESTAMO],FINANCIACION[[#This Row],[PRESTAMO]])</f>
        <v>-13000000</v>
      </c>
      <c r="G34" s="53"/>
      <c r="H34" s="53"/>
      <c r="I34" s="5" t="b">
        <f>+IF(FINANCIACION[[#This Row],[$ CAPITAL]]&gt;0,FINANCIACION[[#This Row],[$ CAPITAL]])</f>
        <v>0</v>
      </c>
      <c r="J34" s="33">
        <f>+IF(FINANCIACION[[#This Row],[$ CAPITAL]]&gt;=0,FINANCIACION[[#This Row],[$ CAPITAL]]+FINANCIACION[[#This Row],[$ INTERESES]],0)</f>
        <v>130000</v>
      </c>
    </row>
    <row r="35" spans="1:10" ht="24" hidden="1" customHeight="1" x14ac:dyDescent="0.25">
      <c r="A35" s="109">
        <v>45187</v>
      </c>
      <c r="B35" s="50" t="s">
        <v>369</v>
      </c>
      <c r="C35" s="5"/>
      <c r="D35" s="5">
        <v>130000</v>
      </c>
      <c r="E35" s="5">
        <f>+IF(FINANCIACION[[#This Row],[$ CAPITAL]]&gt;=0,FINANCIACION[[#This Row],[$ CAPITAL]]+FINANCIACION[[#This Row],[$ INTERESES]],"")</f>
        <v>130000</v>
      </c>
      <c r="F35" s="5">
        <f>+SUMIFS(FINANCIACION[$ CAPITAL],FINANCIACION[Fecha],"&lt;="&amp;FINANCIACION[[#This Row],[Fecha]],FINANCIACION[PRESTAMO],FINANCIACION[[#This Row],[PRESTAMO]])</f>
        <v>-13000000</v>
      </c>
      <c r="G35" s="53"/>
      <c r="H35" s="53"/>
      <c r="I35" s="5" t="b">
        <f>+IF(FINANCIACION[[#This Row],[$ CAPITAL]]&gt;0,FINANCIACION[[#This Row],[$ CAPITAL]])</f>
        <v>0</v>
      </c>
      <c r="J35" s="33">
        <f>+IF(FINANCIACION[[#This Row],[$ CAPITAL]]&gt;=0,FINANCIACION[[#This Row],[$ CAPITAL]]+FINANCIACION[[#This Row],[$ INTERESES]],0)</f>
        <v>130000</v>
      </c>
    </row>
    <row r="36" spans="1:10" ht="24" hidden="1" customHeight="1" x14ac:dyDescent="0.25">
      <c r="A36" s="109">
        <v>45210</v>
      </c>
      <c r="B36" s="50" t="s">
        <v>369</v>
      </c>
      <c r="C36" s="5"/>
      <c r="D36" s="5">
        <v>130000</v>
      </c>
      <c r="E36" s="5">
        <f>+IF(FINANCIACION[[#This Row],[$ CAPITAL]]&gt;=0,FINANCIACION[[#This Row],[$ CAPITAL]]+FINANCIACION[[#This Row],[$ INTERESES]],"")</f>
        <v>130000</v>
      </c>
      <c r="F36" s="5">
        <f>+SUMIFS(FINANCIACION[$ CAPITAL],FINANCIACION[Fecha],"&lt;="&amp;FINANCIACION[[#This Row],[Fecha]],FINANCIACION[PRESTAMO],FINANCIACION[[#This Row],[PRESTAMO]])</f>
        <v>-13000000</v>
      </c>
      <c r="G36" s="53"/>
      <c r="H36" s="53"/>
      <c r="I36" s="5" t="b">
        <f>+IF(FINANCIACION[[#This Row],[$ CAPITAL]]&gt;0,FINANCIACION[[#This Row],[$ CAPITAL]])</f>
        <v>0</v>
      </c>
      <c r="J36" s="33">
        <f>+IF(FINANCIACION[[#This Row],[$ CAPITAL]]&gt;=0,FINANCIACION[[#This Row],[$ CAPITAL]]+FINANCIACION[[#This Row],[$ INTERESES]],0)</f>
        <v>130000</v>
      </c>
    </row>
    <row r="37" spans="1:10" ht="24" hidden="1" customHeight="1" x14ac:dyDescent="0.25">
      <c r="A37" s="109">
        <v>45244</v>
      </c>
      <c r="B37" s="50" t="s">
        <v>369</v>
      </c>
      <c r="C37" s="5"/>
      <c r="D37" s="5">
        <v>130000</v>
      </c>
      <c r="E37" s="5">
        <f>+IF(FINANCIACION[[#This Row],[$ CAPITAL]]&gt;=0,FINANCIACION[[#This Row],[$ CAPITAL]]+FINANCIACION[[#This Row],[$ INTERESES]],"")</f>
        <v>130000</v>
      </c>
      <c r="F37" s="5">
        <f>+SUMIFS(FINANCIACION[$ CAPITAL],FINANCIACION[Fecha],"&lt;="&amp;FINANCIACION[[#This Row],[Fecha]],FINANCIACION[PRESTAMO],FINANCIACION[[#This Row],[PRESTAMO]])</f>
        <v>-13000000</v>
      </c>
      <c r="G37" s="53"/>
      <c r="H37" s="53"/>
      <c r="I37" s="5" t="b">
        <f>+IF(FINANCIACION[[#This Row],[$ CAPITAL]]&gt;0,FINANCIACION[[#This Row],[$ CAPITAL]])</f>
        <v>0</v>
      </c>
      <c r="J37" s="33">
        <f>+IF(FINANCIACION[[#This Row],[$ CAPITAL]]&gt;=0,FINANCIACION[[#This Row],[$ CAPITAL]]+FINANCIACION[[#This Row],[$ INTERESES]],0)</f>
        <v>130000</v>
      </c>
    </row>
    <row r="38" spans="1:10" ht="24" hidden="1" customHeight="1" x14ac:dyDescent="0.25">
      <c r="A38" s="109">
        <v>45271</v>
      </c>
      <c r="B38" s="303" t="s">
        <v>369</v>
      </c>
      <c r="C38" s="5"/>
      <c r="D38" s="5">
        <v>130000</v>
      </c>
      <c r="E38" s="5">
        <f>+IF(FINANCIACION[[#This Row],[$ CAPITAL]]&gt;=0,FINANCIACION[[#This Row],[$ CAPITAL]]+FINANCIACION[[#This Row],[$ INTERESES]],"")</f>
        <v>130000</v>
      </c>
      <c r="F38" s="5">
        <f>+SUMIFS(FINANCIACION[$ CAPITAL],FINANCIACION[Fecha],"&lt;="&amp;FINANCIACION[[#This Row],[Fecha]],FINANCIACION[PRESTAMO],FINANCIACION[[#This Row],[PRESTAMO]])</f>
        <v>-13000000</v>
      </c>
      <c r="G38" s="53"/>
      <c r="H38" s="53"/>
      <c r="I38" s="5" t="b">
        <f>+IF(FINANCIACION[[#This Row],[$ CAPITAL]]&gt;0,FINANCIACION[[#This Row],[$ CAPITAL]])</f>
        <v>0</v>
      </c>
      <c r="J38" s="33">
        <f>+IF(FINANCIACION[[#This Row],[$ CAPITAL]]&gt;=0,FINANCIACION[[#This Row],[$ CAPITAL]]+FINANCIACION[[#This Row],[$ INTERESES]],0)</f>
        <v>130000</v>
      </c>
    </row>
    <row r="39" spans="1:10" ht="24" hidden="1" customHeight="1" x14ac:dyDescent="0.25">
      <c r="A39" s="109">
        <v>45302</v>
      </c>
      <c r="B39" s="50" t="s">
        <v>369</v>
      </c>
      <c r="C39" s="5">
        <v>0</v>
      </c>
      <c r="D39" s="5">
        <v>130000</v>
      </c>
      <c r="E39" s="5">
        <f>+IF(FINANCIACION[[#This Row],[$ CAPITAL]]&gt;=0,FINANCIACION[[#This Row],[$ CAPITAL]]+FINANCIACION[[#This Row],[$ INTERESES]],"")</f>
        <v>130000</v>
      </c>
      <c r="F39" s="5">
        <f>+SUMIFS(FINANCIACION[$ CAPITAL],FINANCIACION[Fecha],"&lt;="&amp;FINANCIACION[[#This Row],[Fecha]],FINANCIACION[PRESTAMO],FINANCIACION[[#This Row],[PRESTAMO]])</f>
        <v>-13000000</v>
      </c>
      <c r="G39" s="53"/>
      <c r="H39" s="53"/>
      <c r="I39" s="5" t="b">
        <f>+IF(FINANCIACION[[#This Row],[$ CAPITAL]]&gt;0,FINANCIACION[[#This Row],[$ CAPITAL]])</f>
        <v>0</v>
      </c>
      <c r="J39" s="33">
        <f>+IF(FINANCIACION[[#This Row],[$ CAPITAL]]&gt;=0,FINANCIACION[[#This Row],[$ CAPITAL]]+FINANCIACION[[#This Row],[$ INTERESES]],0)</f>
        <v>130000</v>
      </c>
    </row>
    <row r="40" spans="1:10" ht="24" hidden="1" customHeight="1" x14ac:dyDescent="0.25">
      <c r="A40" s="109">
        <v>45010</v>
      </c>
      <c r="B40" s="50" t="s">
        <v>711</v>
      </c>
      <c r="C40" s="5">
        <v>-20000000</v>
      </c>
      <c r="D40" s="5"/>
      <c r="E40" s="5" t="str">
        <f>+IF(FINANCIACION[[#This Row],[$ CAPITAL]]&gt;=0,FINANCIACION[[#This Row],[$ CAPITAL]]+FINANCIACION[[#This Row],[$ INTERESES]],"")</f>
        <v/>
      </c>
      <c r="F40" s="5">
        <f>+SUMIFS(FINANCIACION[$ CAPITAL],FINANCIACION[Fecha],"&lt;="&amp;FINANCIACION[[#This Row],[Fecha]],FINANCIACION[PRESTAMO],FINANCIACION[[#This Row],[PRESTAMO]])</f>
        <v>-20000000</v>
      </c>
      <c r="G40" s="53"/>
      <c r="H40" s="53"/>
      <c r="I40" s="5" t="b">
        <f>+IF(FINANCIACION[[#This Row],[$ CAPITAL]]&gt;0,FINANCIACION[[#This Row],[$ CAPITAL]])</f>
        <v>0</v>
      </c>
      <c r="J40" s="33">
        <f>+IF(FINANCIACION[[#This Row],[$ CAPITAL]]&gt;=0,FINANCIACION[[#This Row],[$ CAPITAL]]+FINANCIACION[[#This Row],[$ INTERESES]],0)</f>
        <v>0</v>
      </c>
    </row>
    <row r="41" spans="1:10" ht="24" hidden="1" customHeight="1" x14ac:dyDescent="0.25">
      <c r="A41" s="109">
        <v>45036</v>
      </c>
      <c r="B41" s="50" t="s">
        <v>711</v>
      </c>
      <c r="C41" s="5"/>
      <c r="D41" s="5">
        <v>200000</v>
      </c>
      <c r="E41" s="5">
        <f>+IF(FINANCIACION[[#This Row],[$ CAPITAL]]&gt;=0,FINANCIACION[[#This Row],[$ CAPITAL]]+FINANCIACION[[#This Row],[$ INTERESES]],"")</f>
        <v>200000</v>
      </c>
      <c r="F41" s="5">
        <f>+SUMIFS(FINANCIACION[$ CAPITAL],FINANCIACION[Fecha],"&lt;="&amp;FINANCIACION[[#This Row],[Fecha]],FINANCIACION[PRESTAMO],FINANCIACION[[#This Row],[PRESTAMO]])</f>
        <v>-20000000</v>
      </c>
      <c r="G41" s="53"/>
      <c r="H41" s="53"/>
      <c r="I41" s="5" t="b">
        <f>+IF(FINANCIACION[[#This Row],[$ CAPITAL]]&gt;0,FINANCIACION[[#This Row],[$ CAPITAL]])</f>
        <v>0</v>
      </c>
      <c r="J41" s="33">
        <f>+IF(FINANCIACION[[#This Row],[$ CAPITAL]]&gt;=0,FINANCIACION[[#This Row],[$ CAPITAL]]+FINANCIACION[[#This Row],[$ INTERESES]],0)</f>
        <v>200000</v>
      </c>
    </row>
    <row r="42" spans="1:10" ht="24" hidden="1" customHeight="1" x14ac:dyDescent="0.25">
      <c r="A42" s="109">
        <v>45054</v>
      </c>
      <c r="B42" s="50" t="s">
        <v>711</v>
      </c>
      <c r="C42" s="5"/>
      <c r="D42" s="5">
        <v>200000</v>
      </c>
      <c r="E42" s="5">
        <f>+IF(FINANCIACION[[#This Row],[$ CAPITAL]]&gt;=0,FINANCIACION[[#This Row],[$ CAPITAL]]+FINANCIACION[[#This Row],[$ INTERESES]],"")</f>
        <v>200000</v>
      </c>
      <c r="F42" s="5">
        <f>+SUMIFS(FINANCIACION[$ CAPITAL],FINANCIACION[Fecha],"&lt;="&amp;FINANCIACION[[#This Row],[Fecha]],FINANCIACION[PRESTAMO],FINANCIACION[[#This Row],[PRESTAMO]])</f>
        <v>-20000000</v>
      </c>
      <c r="G42" s="53"/>
      <c r="H42" s="53"/>
      <c r="I42" s="5" t="b">
        <f>+IF(FINANCIACION[[#This Row],[$ CAPITAL]]&gt;0,FINANCIACION[[#This Row],[$ CAPITAL]])</f>
        <v>0</v>
      </c>
      <c r="J42" s="33">
        <f>+IF(FINANCIACION[[#This Row],[$ CAPITAL]]&gt;=0,FINANCIACION[[#This Row],[$ CAPITAL]]+FINANCIACION[[#This Row],[$ INTERESES]],0)</f>
        <v>200000</v>
      </c>
    </row>
    <row r="43" spans="1:10" ht="24" hidden="1" customHeight="1" x14ac:dyDescent="0.25">
      <c r="A43" s="109">
        <v>45091</v>
      </c>
      <c r="B43" s="50" t="s">
        <v>711</v>
      </c>
      <c r="C43" s="5"/>
      <c r="D43" s="5">
        <v>200000</v>
      </c>
      <c r="E43" s="5">
        <f>+IF(FINANCIACION[[#This Row],[$ CAPITAL]]&gt;=0,FINANCIACION[[#This Row],[$ CAPITAL]]+FINANCIACION[[#This Row],[$ INTERESES]],"")</f>
        <v>200000</v>
      </c>
      <c r="F43" s="5">
        <f>+SUMIFS(FINANCIACION[$ CAPITAL],FINANCIACION[Fecha],"&lt;="&amp;FINANCIACION[[#This Row],[Fecha]],FINANCIACION[PRESTAMO],FINANCIACION[[#This Row],[PRESTAMO]])</f>
        <v>-20000000</v>
      </c>
      <c r="G43" s="53"/>
      <c r="H43" s="53"/>
      <c r="I43" s="5" t="b">
        <f>+IF(FINANCIACION[[#This Row],[$ CAPITAL]]&gt;0,FINANCIACION[[#This Row],[$ CAPITAL]])</f>
        <v>0</v>
      </c>
      <c r="J43" s="33">
        <f>+IF(FINANCIACION[[#This Row],[$ CAPITAL]]&gt;=0,FINANCIACION[[#This Row],[$ CAPITAL]]+FINANCIACION[[#This Row],[$ INTERESES]],0)</f>
        <v>200000</v>
      </c>
    </row>
    <row r="44" spans="1:10" ht="24" hidden="1" customHeight="1" x14ac:dyDescent="0.25">
      <c r="A44" s="109">
        <v>45118</v>
      </c>
      <c r="B44" s="50" t="s">
        <v>711</v>
      </c>
      <c r="C44" s="5"/>
      <c r="D44" s="5">
        <v>200000</v>
      </c>
      <c r="E44" s="5">
        <f>+IF(FINANCIACION[[#This Row],[$ CAPITAL]]&gt;=0,FINANCIACION[[#This Row],[$ CAPITAL]]+FINANCIACION[[#This Row],[$ INTERESES]],"")</f>
        <v>200000</v>
      </c>
      <c r="F44" s="5">
        <f>+SUMIFS(FINANCIACION[$ CAPITAL],FINANCIACION[Fecha],"&lt;="&amp;FINANCIACION[[#This Row],[Fecha]],FINANCIACION[PRESTAMO],FINANCIACION[[#This Row],[PRESTAMO]])</f>
        <v>-20000000</v>
      </c>
      <c r="G44" s="53"/>
      <c r="H44" s="53"/>
      <c r="I44" s="5" t="b">
        <f>+IF(FINANCIACION[[#This Row],[$ CAPITAL]]&gt;0,FINANCIACION[[#This Row],[$ CAPITAL]])</f>
        <v>0</v>
      </c>
      <c r="J44" s="33">
        <f>+IF(FINANCIACION[[#This Row],[$ CAPITAL]]&gt;=0,FINANCIACION[[#This Row],[$ CAPITAL]]+FINANCIACION[[#This Row],[$ INTERESES]],0)</f>
        <v>200000</v>
      </c>
    </row>
    <row r="45" spans="1:10" ht="24" hidden="1" customHeight="1" x14ac:dyDescent="0.25">
      <c r="A45" s="109">
        <v>45120</v>
      </c>
      <c r="B45" s="50" t="s">
        <v>711</v>
      </c>
      <c r="C45" s="5">
        <v>-50000000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-70000000</v>
      </c>
      <c r="G45" s="53"/>
      <c r="H45" s="53"/>
      <c r="I45" s="5" t="b">
        <f>+IF(FINANCIACION[[#This Row],[$ CAPITAL]]&gt;0,FINANCIACION[[#This Row],[$ CAPITAL]])</f>
        <v>0</v>
      </c>
      <c r="J45" s="33">
        <f>+IF(FINANCIACION[[#This Row],[$ CAPITAL]]&gt;=0,FINANCIACION[[#This Row],[$ CAPITAL]]+FINANCIACION[[#This Row],[$ INTERESES]],0)</f>
        <v>0</v>
      </c>
    </row>
    <row r="46" spans="1:10" ht="24" hidden="1" customHeight="1" x14ac:dyDescent="0.25">
      <c r="A46" s="109">
        <v>45149</v>
      </c>
      <c r="B46" s="50" t="s">
        <v>711</v>
      </c>
      <c r="C46" s="5"/>
      <c r="D46" s="5">
        <v>700000</v>
      </c>
      <c r="E46" s="5">
        <f>+IF(FINANCIACION[[#This Row],[$ CAPITAL]]&gt;=0,FINANCIACION[[#This Row],[$ CAPITAL]]+FINANCIACION[[#This Row],[$ INTERESES]],"")</f>
        <v>700000</v>
      </c>
      <c r="F46" s="5">
        <f>+SUMIFS(FINANCIACION[$ CAPITAL],FINANCIACION[Fecha],"&lt;="&amp;FINANCIACION[[#This Row],[Fecha]],FINANCIACION[PRESTAMO],FINANCIACION[[#This Row],[PRESTAMO]])</f>
        <v>-70000000</v>
      </c>
      <c r="G46" s="53"/>
      <c r="H46" s="53"/>
      <c r="I46" s="5" t="b">
        <f>+IF(FINANCIACION[[#This Row],[$ CAPITAL]]&gt;0,FINANCIACION[[#This Row],[$ CAPITAL]])</f>
        <v>0</v>
      </c>
      <c r="J46" s="33">
        <f>+IF(FINANCIACION[[#This Row],[$ CAPITAL]]&gt;=0,FINANCIACION[[#This Row],[$ CAPITAL]]+FINANCIACION[[#This Row],[$ INTERESES]],0)</f>
        <v>700000</v>
      </c>
    </row>
    <row r="47" spans="1:10" ht="24" hidden="1" customHeight="1" x14ac:dyDescent="0.25">
      <c r="A47" s="109">
        <v>45187</v>
      </c>
      <c r="B47" s="50" t="s">
        <v>711</v>
      </c>
      <c r="C47" s="5"/>
      <c r="D47" s="5">
        <v>700000</v>
      </c>
      <c r="E47" s="5">
        <f>+IF(FINANCIACION[[#This Row],[$ CAPITAL]]&gt;=0,FINANCIACION[[#This Row],[$ CAPITAL]]+FINANCIACION[[#This Row],[$ INTERESES]],"")</f>
        <v>700000</v>
      </c>
      <c r="F47" s="5">
        <f>+SUMIFS(FINANCIACION[$ CAPITAL],FINANCIACION[Fecha],"&lt;="&amp;FINANCIACION[[#This Row],[Fecha]],FINANCIACION[PRESTAMO],FINANCIACION[[#This Row],[PRESTAMO]])</f>
        <v>-70000000</v>
      </c>
      <c r="G47" s="53"/>
      <c r="H47" s="53"/>
      <c r="I47" s="5" t="b">
        <f>+IF(FINANCIACION[[#This Row],[$ CAPITAL]]&gt;0,FINANCIACION[[#This Row],[$ CAPITAL]])</f>
        <v>0</v>
      </c>
      <c r="J47" s="33">
        <f>+IF(FINANCIACION[[#This Row],[$ CAPITAL]]&gt;=0,FINANCIACION[[#This Row],[$ CAPITAL]]+FINANCIACION[[#This Row],[$ INTERESES]],0)</f>
        <v>700000</v>
      </c>
    </row>
    <row r="48" spans="1:10" ht="24" hidden="1" customHeight="1" x14ac:dyDescent="0.25">
      <c r="A48" s="109">
        <v>45211</v>
      </c>
      <c r="B48" s="50" t="s">
        <v>711</v>
      </c>
      <c r="C48" s="5"/>
      <c r="D48" s="5">
        <v>700000</v>
      </c>
      <c r="E48" s="5">
        <f>+IF(FINANCIACION[[#This Row],[$ CAPITAL]]&gt;=0,FINANCIACION[[#This Row],[$ CAPITAL]]+FINANCIACION[[#This Row],[$ INTERESES]],"")</f>
        <v>700000</v>
      </c>
      <c r="F48" s="5">
        <f>+SUMIFS(FINANCIACION[$ CAPITAL],FINANCIACION[Fecha],"&lt;="&amp;FINANCIACION[[#This Row],[Fecha]],FINANCIACION[PRESTAMO],FINANCIACION[[#This Row],[PRESTAMO]])</f>
        <v>-70000000</v>
      </c>
      <c r="G48" s="53"/>
      <c r="H48" s="53"/>
      <c r="I48" s="5" t="b">
        <f>+IF(FINANCIACION[[#This Row],[$ CAPITAL]]&gt;0,FINANCIACION[[#This Row],[$ CAPITAL]])</f>
        <v>0</v>
      </c>
      <c r="J48" s="33">
        <f>+IF(FINANCIACION[[#This Row],[$ CAPITAL]]&gt;=0,FINANCIACION[[#This Row],[$ CAPITAL]]+FINANCIACION[[#This Row],[$ INTERESES]],0)</f>
        <v>700000</v>
      </c>
    </row>
    <row r="49" spans="1:10" ht="24" hidden="1" customHeight="1" x14ac:dyDescent="0.25">
      <c r="A49" s="109">
        <v>45244</v>
      </c>
      <c r="B49" s="50" t="s">
        <v>711</v>
      </c>
      <c r="C49" s="5"/>
      <c r="D49" s="5">
        <v>700000</v>
      </c>
      <c r="E49" s="5">
        <f>+IF(FINANCIACION[[#This Row],[$ CAPITAL]]&gt;=0,FINANCIACION[[#This Row],[$ CAPITAL]]+FINANCIACION[[#This Row],[$ INTERESES]],"")</f>
        <v>700000</v>
      </c>
      <c r="F49" s="5">
        <f>+SUMIFS(FINANCIACION[$ CAPITAL],FINANCIACION[Fecha],"&lt;="&amp;FINANCIACION[[#This Row],[Fecha]],FINANCIACION[PRESTAMO],FINANCIACION[[#This Row],[PRESTAMO]])</f>
        <v>-70000000</v>
      </c>
      <c r="G49" s="53"/>
      <c r="H49" s="53"/>
      <c r="I49" s="5" t="b">
        <f>+IF(FINANCIACION[[#This Row],[$ CAPITAL]]&gt;0,FINANCIACION[[#This Row],[$ CAPITAL]])</f>
        <v>0</v>
      </c>
      <c r="J49" s="33">
        <f>+IF(FINANCIACION[[#This Row],[$ CAPITAL]]&gt;=0,FINANCIACION[[#This Row],[$ CAPITAL]]+FINANCIACION[[#This Row],[$ INTERESES]],0)</f>
        <v>700000</v>
      </c>
    </row>
    <row r="50" spans="1:10" ht="24" hidden="1" customHeight="1" x14ac:dyDescent="0.25">
      <c r="A50" s="109">
        <v>45271</v>
      </c>
      <c r="B50" s="303" t="s">
        <v>711</v>
      </c>
      <c r="C50" s="5"/>
      <c r="D50" s="5">
        <v>700000</v>
      </c>
      <c r="E50" s="5">
        <f>+IF(FINANCIACION[[#This Row],[$ CAPITAL]]&gt;=0,FINANCIACION[[#This Row],[$ CAPITAL]]+FINANCIACION[[#This Row],[$ INTERESES]],"")</f>
        <v>700000</v>
      </c>
      <c r="F50" s="5">
        <f>+SUMIFS(FINANCIACION[$ CAPITAL],FINANCIACION[Fecha],"&lt;="&amp;FINANCIACION[[#This Row],[Fecha]],FINANCIACION[PRESTAMO],FINANCIACION[[#This Row],[PRESTAMO]])</f>
        <v>-70000000</v>
      </c>
      <c r="G50" s="53"/>
      <c r="H50" s="53"/>
      <c r="I50" s="5" t="b">
        <f>+IF(FINANCIACION[[#This Row],[$ CAPITAL]]&gt;0,FINANCIACION[[#This Row],[$ CAPITAL]])</f>
        <v>0</v>
      </c>
      <c r="J50" s="33">
        <f>+IF(FINANCIACION[[#This Row],[$ CAPITAL]]&gt;=0,FINANCIACION[[#This Row],[$ CAPITAL]]+FINANCIACION[[#This Row],[$ INTERESES]],0)</f>
        <v>700000</v>
      </c>
    </row>
    <row r="51" spans="1:10" ht="24" hidden="1" customHeight="1" x14ac:dyDescent="0.25">
      <c r="A51" s="109">
        <v>45302</v>
      </c>
      <c r="B51" s="50" t="s">
        <v>711</v>
      </c>
      <c r="C51" s="5">
        <v>0</v>
      </c>
      <c r="D51" s="5">
        <v>700000</v>
      </c>
      <c r="E51" s="5">
        <f>+IF(FINANCIACION[[#This Row],[$ CAPITAL]]&gt;=0,FINANCIACION[[#This Row],[$ CAPITAL]]+FINANCIACION[[#This Row],[$ INTERESES]],"")</f>
        <v>700000</v>
      </c>
      <c r="F51" s="5">
        <f>+SUMIFS(FINANCIACION[$ CAPITAL],FINANCIACION[Fecha],"&lt;="&amp;FINANCIACION[[#This Row],[Fecha]],FINANCIACION[PRESTAMO],FINANCIACION[[#This Row],[PRESTAMO]])</f>
        <v>-70000000</v>
      </c>
      <c r="G51" s="53"/>
      <c r="H51" s="53"/>
      <c r="I51" s="5" t="b">
        <f>+IF(FINANCIACION[[#This Row],[$ CAPITAL]]&gt;0,FINANCIACION[[#This Row],[$ CAPITAL]])</f>
        <v>0</v>
      </c>
      <c r="J51" s="33">
        <f>+IF(FINANCIACION[[#This Row],[$ CAPITAL]]&gt;=0,FINANCIACION[[#This Row],[$ CAPITAL]]+FINANCIACION[[#This Row],[$ INTERESES]],0)</f>
        <v>700000</v>
      </c>
    </row>
    <row r="52" spans="1:10" ht="24" hidden="1" customHeight="1" x14ac:dyDescent="0.25">
      <c r="A52" s="298">
        <v>43900</v>
      </c>
      <c r="B52" s="50" t="s">
        <v>367</v>
      </c>
      <c r="C52" s="5">
        <v>-75000000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-75000000</v>
      </c>
      <c r="G52" s="7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hidden="1" customHeight="1" x14ac:dyDescent="0.25">
      <c r="A53" s="298">
        <v>44191</v>
      </c>
      <c r="B53" s="50" t="s">
        <v>367</v>
      </c>
      <c r="C53" s="5"/>
      <c r="D53" s="5">
        <v>6750000</v>
      </c>
      <c r="E53" s="5">
        <f>+IF(FINANCIACION[[#This Row],[$ CAPITAL]]&gt;=0,FINANCIACION[[#This Row],[$ CAPITAL]]+FINANCIACION[[#This Row],[$ INTERESES]],"")</f>
        <v>6750000</v>
      </c>
      <c r="F53" s="5">
        <f>+SUMIFS(FINANCIACION[$ CAPITAL],FINANCIACION[Fecha],"&lt;="&amp;FINANCIACION[[#This Row],[Fecha]],FINANCIACION[PRESTAMO],FINANCIACION[[#This Row],[PRESTAMO]])</f>
        <v>-75000000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6750000</v>
      </c>
    </row>
    <row r="54" spans="1:10" ht="24" hidden="1" customHeight="1" x14ac:dyDescent="0.25">
      <c r="A54" s="109">
        <v>44554</v>
      </c>
      <c r="B54" s="50" t="s">
        <v>367</v>
      </c>
      <c r="C54" s="5"/>
      <c r="D54" s="5">
        <v>9000000</v>
      </c>
      <c r="E54" s="5">
        <f>+IF(FINANCIACION[[#This Row],[$ CAPITAL]]&gt;=0,FINANCIACION[[#This Row],[$ CAPITAL]]+FINANCIACION[[#This Row],[$ INTERESES]],"")</f>
        <v>9000000</v>
      </c>
      <c r="F54" s="5">
        <f>+SUMIFS(FINANCIACION[$ CAPITAL],FINANCIACION[Fecha],"&lt;="&amp;FINANCIACION[[#This Row],[Fecha]],FINANCIACION[PRESTAMO],FINANCIACION[[#This Row],[PRESTAMO]])</f>
        <v>-75000000</v>
      </c>
      <c r="G54" s="53"/>
      <c r="H54" s="53"/>
      <c r="I54" s="5" t="b">
        <f>IF(FINANCIACION[[#This Row],[$ CAPITAL]]&gt;0,FINANCIACION[[#This Row],[$ CAPITAL]])</f>
        <v>0</v>
      </c>
      <c r="J54" s="33">
        <f>IF(FINANCIACION[[#This Row],[$ CAPITAL]]&gt;=0,FINANCIACION[[#This Row],[$ CAPITAL]]+FINANCIACION[[#This Row],[$ INTERESES]],0)</f>
        <v>9000000</v>
      </c>
    </row>
    <row r="55" spans="1:10" ht="24" hidden="1" customHeight="1" x14ac:dyDescent="0.25">
      <c r="A55" s="109">
        <v>44915</v>
      </c>
      <c r="B55" s="50" t="s">
        <v>367</v>
      </c>
      <c r="C55" s="5"/>
      <c r="D55" s="5">
        <v>9000000</v>
      </c>
      <c r="E55" s="5">
        <f>+IF(FINANCIACION[[#This Row],[$ CAPITAL]]&gt;=0,FINANCIACION[[#This Row],[$ CAPITAL]]+FINANCIACION[[#This Row],[$ INTERESES]],"")</f>
        <v>9000000</v>
      </c>
      <c r="F55" s="5">
        <f>+SUMIFS(FINANCIACION[$ CAPITAL],FINANCIACION[Fecha],"&lt;="&amp;FINANCIACION[[#This Row],[Fecha]],FINANCIACION[PRESTAMO],FINANCIACION[[#This Row],[PRESTAMO]])</f>
        <v>-75000000</v>
      </c>
      <c r="G55" s="53"/>
      <c r="H55" s="53"/>
      <c r="I55" s="5" t="b">
        <f>+IF(FINANCIACION[[#This Row],[$ CAPITAL]]&gt;0,FINANCIACION[[#This Row],[$ CAPITAL]])</f>
        <v>0</v>
      </c>
      <c r="J55" s="33">
        <f>+IF(FINANCIACION[[#This Row],[$ CAPITAL]]&gt;=0,FINANCIACION[[#This Row],[$ CAPITAL]]+FINANCIACION[[#This Row],[$ INTERESES]],0)</f>
        <v>9000000</v>
      </c>
    </row>
    <row r="56" spans="1:10" ht="24" hidden="1" customHeight="1" x14ac:dyDescent="0.25">
      <c r="A56" s="109">
        <v>44928</v>
      </c>
      <c r="B56" s="50" t="s">
        <v>367</v>
      </c>
      <c r="C56" s="5"/>
      <c r="D56" s="5">
        <v>197070</v>
      </c>
      <c r="E56" s="5">
        <f>+IF(FINANCIACION[[#This Row],[$ CAPITAL]]&gt;=0,FINANCIACION[[#This Row],[$ CAPITAL]]+FINANCIACION[[#This Row],[$ INTERESES]],"")</f>
        <v>197070</v>
      </c>
      <c r="F56" s="5">
        <f>+SUMIFS(FINANCIACION[$ CAPITAL],FINANCIACION[Fecha],"&lt;="&amp;FINANCIACION[[#This Row],[Fecha]],FINANCIACION[PRESTAMO],FINANCIACION[[#This Row],[PRESTAMO]])</f>
        <v>-75000000</v>
      </c>
      <c r="G56" s="53" t="s">
        <v>1455</v>
      </c>
      <c r="H56" s="53"/>
      <c r="I56" s="5" t="b">
        <f>+IF(FINANCIACION[[#This Row],[$ CAPITAL]]&gt;0,FINANCIACION[[#This Row],[$ CAPITAL]])</f>
        <v>0</v>
      </c>
      <c r="J56" s="33">
        <f>+IF(FINANCIACION[[#This Row],[$ CAPITAL]]&gt;=0,FINANCIACION[[#This Row],[$ CAPITAL]]+FINANCIACION[[#This Row],[$ INTERESES]],0)</f>
        <v>197070</v>
      </c>
    </row>
    <row r="57" spans="1:10" ht="24" hidden="1" customHeight="1" x14ac:dyDescent="0.25">
      <c r="A57" s="109">
        <v>45232</v>
      </c>
      <c r="B57" s="50" t="s">
        <v>367</v>
      </c>
      <c r="C57" s="5"/>
      <c r="D57" s="5">
        <f>28373+32860+32860+53200</f>
        <v>147293</v>
      </c>
      <c r="E57" s="5">
        <f>+IF(FINANCIACION[[#This Row],[$ CAPITAL]]&gt;=0,FINANCIACION[[#This Row],[$ CAPITAL]]+FINANCIACION[[#This Row],[$ INTERESES]],"")</f>
        <v>147293</v>
      </c>
      <c r="F57" s="5">
        <f>+SUMIFS(FINANCIACION[$ CAPITAL],FINANCIACION[Fecha],"&lt;="&amp;FINANCIACION[[#This Row],[Fecha]],FINANCIACION[PRESTAMO],FINANCIACION[[#This Row],[PRESTAMO]])</f>
        <v>-75000000</v>
      </c>
      <c r="G57" s="53" t="s">
        <v>1346</v>
      </c>
      <c r="H57" s="53"/>
      <c r="I57" s="5" t="b">
        <f>+IF(FINANCIACION[[#This Row],[$ CAPITAL]]&gt;0,FINANCIACION[[#This Row],[$ CAPITAL]])</f>
        <v>0</v>
      </c>
      <c r="J57" s="33">
        <f>+IF(FINANCIACION[[#This Row],[$ CAPITAL]]&gt;=0,FINANCIACION[[#This Row],[$ CAPITAL]]+FINANCIACION[[#This Row],[$ INTERESES]],0)</f>
        <v>147293</v>
      </c>
    </row>
    <row r="58" spans="1:10" ht="24" hidden="1" customHeight="1" x14ac:dyDescent="0.25">
      <c r="A58" s="109">
        <v>45263</v>
      </c>
      <c r="B58" s="50" t="s">
        <v>367</v>
      </c>
      <c r="C58" s="5"/>
      <c r="D58" s="5">
        <v>289402</v>
      </c>
      <c r="E58" s="5">
        <f>+IF(FINANCIACION[[#This Row],[$ CAPITAL]]&gt;=0,FINANCIACION[[#This Row],[$ CAPITAL]]+FINANCIACION[[#This Row],[$ INTERESES]],"")</f>
        <v>289402</v>
      </c>
      <c r="F58" s="5">
        <f>+SUMIFS(FINANCIACION[$ CAPITAL],FINANCIACION[Fecha],"&lt;="&amp;FINANCIACION[[#This Row],[Fecha]],FINANCIACION[PRESTAMO],FINANCIACION[[#This Row],[PRESTAMO]])</f>
        <v>-75000000</v>
      </c>
      <c r="G58" s="53" t="s">
        <v>1347</v>
      </c>
      <c r="H58" s="53"/>
      <c r="I58" s="5" t="b">
        <f>+IF(FINANCIACION[[#This Row],[$ CAPITAL]]&gt;0,FINANCIACION[[#This Row],[$ CAPITAL]])</f>
        <v>0</v>
      </c>
      <c r="J58" s="33">
        <f>+IF(FINANCIACION[[#This Row],[$ CAPITAL]]&gt;=0,FINANCIACION[[#This Row],[$ CAPITAL]]+FINANCIACION[[#This Row],[$ INTERESES]],0)</f>
        <v>289402</v>
      </c>
    </row>
    <row r="59" spans="1:10" ht="24" hidden="1" customHeight="1" x14ac:dyDescent="0.25">
      <c r="A59" s="109">
        <v>45271</v>
      </c>
      <c r="B59" s="50" t="s">
        <v>367</v>
      </c>
      <c r="C59" s="5">
        <v>-5000000</v>
      </c>
      <c r="D59" s="5"/>
      <c r="E59" s="5" t="str">
        <f>+IF(FINANCIACION[[#This Row],[$ CAPITAL]]&gt;=0,FINANCIACION[[#This Row],[$ CAPITAL]]+FINANCIACION[[#This Row],[$ INTERESES]],"")</f>
        <v/>
      </c>
      <c r="F59" s="5">
        <f>+SUMIFS(FINANCIACION[$ CAPITAL],FINANCIACION[Fecha],"&lt;="&amp;FINANCIACION[[#This Row],[Fecha]],FINANCIACION[PRESTAMO],FINANCIACION[[#This Row],[PRESTAMO]])</f>
        <v>-80000000</v>
      </c>
      <c r="G59" s="53"/>
      <c r="H59" s="53"/>
      <c r="I59" s="5" t="b">
        <f>+IF(FINANCIACION[[#This Row],[$ CAPITAL]]&gt;0,FINANCIACION[[#This Row],[$ CAPITAL]])</f>
        <v>0</v>
      </c>
      <c r="J59" s="33">
        <f>+IF(FINANCIACION[[#This Row],[$ CAPITAL]]&gt;=0,FINANCIACION[[#This Row],[$ CAPITAL]]+FINANCIACION[[#This Row],[$ INTERESES]],0)</f>
        <v>0</v>
      </c>
    </row>
    <row r="60" spans="1:10" ht="24" hidden="1" customHeight="1" x14ac:dyDescent="0.25">
      <c r="A60" s="109">
        <v>45272</v>
      </c>
      <c r="B60" s="50" t="s">
        <v>367</v>
      </c>
      <c r="C60" s="5"/>
      <c r="D60" s="5">
        <f>9000000-147293-289402-5000000</f>
        <v>3563305</v>
      </c>
      <c r="E60" s="5">
        <f>+IF(FINANCIACION[[#This Row],[$ CAPITAL]]&gt;=0,FINANCIACION[[#This Row],[$ CAPITAL]]+FINANCIACION[[#This Row],[$ INTERESES]],"")</f>
        <v>3563305</v>
      </c>
      <c r="F60" s="5">
        <f>+SUMIFS(FINANCIACION[$ CAPITAL],FINANCIACION[Fecha],"&lt;="&amp;FINANCIACION[[#This Row],[Fecha]],FINANCIACION[PRESTAMO],FINANCIACION[[#This Row],[PRESTAMO]])</f>
        <v>-80000000</v>
      </c>
      <c r="G60" s="53"/>
      <c r="H60" s="53"/>
      <c r="I60" s="5" t="b">
        <f>+IF(FINANCIACION[[#This Row],[$ CAPITAL]]&gt;0,FINANCIACION[[#This Row],[$ CAPITAL]])</f>
        <v>0</v>
      </c>
      <c r="J60" s="33">
        <f>+IF(FINANCIACION[[#This Row],[$ CAPITAL]]&gt;=0,FINANCIACION[[#This Row],[$ CAPITAL]]+FINANCIACION[[#This Row],[$ INTERESES]],0)</f>
        <v>3563305</v>
      </c>
    </row>
    <row r="61" spans="1:10" ht="24" hidden="1" customHeight="1" x14ac:dyDescent="0.25">
      <c r="A61" s="109">
        <v>44420</v>
      </c>
      <c r="B61" s="50" t="s">
        <v>371</v>
      </c>
      <c r="C61" s="5">
        <v>-40000000</v>
      </c>
      <c r="D61" s="5"/>
      <c r="E61" s="5" t="str">
        <f>+IF(FINANCIACION[[#This Row],[$ CAPITAL]]&gt;=0,FINANCIACION[[#This Row],[$ CAPITAL]]+FINANCIACION[[#This Row],[$ INTERESES]],"")</f>
        <v/>
      </c>
      <c r="F61" s="5">
        <f>+SUMIFS(FINANCIACION[$ CAPITAL],FINANCIACION[Fecha],"&lt;="&amp;FINANCIACION[[#This Row],[Fecha]],FINANCIACION[PRESTAMO],FINANCIACION[[#This Row],[PRESTAMO]])</f>
        <v>-40000000</v>
      </c>
      <c r="G61" s="7" t="s">
        <v>222</v>
      </c>
      <c r="H61" s="53"/>
      <c r="I61" s="5" t="b">
        <f>IF(FINANCIACION[[#This Row],[$ CAPITAL]]&gt;0,FINANCIACION[[#This Row],[$ CAPITAL]])</f>
        <v>0</v>
      </c>
      <c r="J61" s="33">
        <f>IF(FINANCIACION[[#This Row],[$ CAPITAL]]&gt;=0,FINANCIACION[[#This Row],[$ CAPITAL]]+FINANCIACION[[#This Row],[$ INTERESES]],0)</f>
        <v>0</v>
      </c>
    </row>
    <row r="62" spans="1:10" ht="24" hidden="1" customHeight="1" x14ac:dyDescent="0.25">
      <c r="A62" s="109">
        <v>44450</v>
      </c>
      <c r="B62" s="50" t="s">
        <v>371</v>
      </c>
      <c r="C62" s="5"/>
      <c r="D62" s="5">
        <v>400000</v>
      </c>
      <c r="E62" s="5">
        <f>+IF(FINANCIACION[[#This Row],[$ CAPITAL]]&gt;=0,FINANCIACION[[#This Row],[$ CAPITAL]]+FINANCIACION[[#This Row],[$ INTERESES]],"")</f>
        <v>400000</v>
      </c>
      <c r="F62" s="5">
        <f>+SUMIFS(FINANCIACION[$ CAPITAL],FINANCIACION[Fecha],"&lt;="&amp;FINANCIACION[[#This Row],[Fecha]],FINANCIACION[PRESTAMO],FINANCIACION[[#This Row],[PRESTAMO]])</f>
        <v>-40000000</v>
      </c>
      <c r="G62" s="53" t="s">
        <v>239</v>
      </c>
      <c r="H62" s="53"/>
      <c r="I62" s="5" t="b">
        <f>IF(FINANCIACION[[#This Row],[$ CAPITAL]]&gt;0,FINANCIACION[[#This Row],[$ CAPITAL]])</f>
        <v>0</v>
      </c>
      <c r="J62" s="33">
        <f>IF(FINANCIACION[[#This Row],[$ CAPITAL]]&gt;=0,FINANCIACION[[#This Row],[$ CAPITAL]]+FINANCIACION[[#This Row],[$ INTERESES]],0)</f>
        <v>400000</v>
      </c>
    </row>
    <row r="63" spans="1:10" ht="24" hidden="1" customHeight="1" x14ac:dyDescent="0.25">
      <c r="A63" s="109">
        <v>44480</v>
      </c>
      <c r="B63" s="50" t="s">
        <v>371</v>
      </c>
      <c r="C63" s="5"/>
      <c r="D63" s="5">
        <v>400000</v>
      </c>
      <c r="E63" s="5">
        <f>+IF(FINANCIACION[[#This Row],[$ CAPITAL]]&gt;=0,FINANCIACION[[#This Row],[$ CAPITAL]]+FINANCIACION[[#This Row],[$ INTERESES]],"")</f>
        <v>400000</v>
      </c>
      <c r="F63" s="5">
        <f>+SUMIFS(FINANCIACION[$ CAPITAL],FINANCIACION[Fecha],"&lt;="&amp;FINANCIACION[[#This Row],[Fecha]],FINANCIACION[PRESTAMO],FINANCIACION[[#This Row],[PRESTAMO]])</f>
        <v>-40000000</v>
      </c>
      <c r="G63" s="7" t="s">
        <v>239</v>
      </c>
      <c r="H63" s="53"/>
      <c r="I63" s="5" t="b">
        <f>IF(FINANCIACION[[#This Row],[$ CAPITAL]]&gt;0,FINANCIACION[[#This Row],[$ CAPITAL]])</f>
        <v>0</v>
      </c>
      <c r="J63" s="33">
        <f>IF(FINANCIACION[[#This Row],[$ CAPITAL]]&gt;=0,FINANCIACION[[#This Row],[$ CAPITAL]]+FINANCIACION[[#This Row],[$ INTERESES]],0)</f>
        <v>400000</v>
      </c>
    </row>
    <row r="64" spans="1:10" ht="24" hidden="1" customHeight="1" x14ac:dyDescent="0.25">
      <c r="A64" s="109">
        <v>44510</v>
      </c>
      <c r="B64" s="50" t="s">
        <v>371</v>
      </c>
      <c r="C64" s="5"/>
      <c r="D64" s="5">
        <v>400000</v>
      </c>
      <c r="E64" s="5">
        <f>+IF(FINANCIACION[[#This Row],[$ CAPITAL]]&gt;=0,FINANCIACION[[#This Row],[$ CAPITAL]]+FINANCIACION[[#This Row],[$ INTERESES]],"")</f>
        <v>400000</v>
      </c>
      <c r="F64" s="5">
        <f>+SUMIFS(FINANCIACION[$ CAPITAL],FINANCIACION[Fecha],"&lt;="&amp;FINANCIACION[[#This Row],[Fecha]],FINANCIACION[PRESTAMO],FINANCIACION[[#This Row],[PRESTAMO]])</f>
        <v>-40000000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400000</v>
      </c>
    </row>
    <row r="65" spans="1:10" ht="24" hidden="1" customHeight="1" x14ac:dyDescent="0.25">
      <c r="A65" s="109">
        <v>44539</v>
      </c>
      <c r="B65" s="50" t="s">
        <v>371</v>
      </c>
      <c r="C65" s="5"/>
      <c r="D65" s="5">
        <v>400000</v>
      </c>
      <c r="E65" s="5">
        <f>+IF(FINANCIACION[[#This Row],[$ CAPITAL]]&gt;=0,FINANCIACION[[#This Row],[$ CAPITAL]]+FINANCIACION[[#This Row],[$ INTERESES]],"")</f>
        <v>400000</v>
      </c>
      <c r="F65" s="5">
        <f>+SUMIFS(FINANCIACION[$ CAPITAL],FINANCIACION[Fecha],"&lt;="&amp;FINANCIACION[[#This Row],[Fecha]],FINANCIACION[PRESTAMO],FINANCIACION[[#This Row],[PRESTAMO]])</f>
        <v>-40000000</v>
      </c>
      <c r="G65" s="53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400000</v>
      </c>
    </row>
    <row r="66" spans="1:10" ht="24" hidden="1" customHeight="1" x14ac:dyDescent="0.25">
      <c r="A66" s="109">
        <v>44572</v>
      </c>
      <c r="B66" s="50" t="s">
        <v>371</v>
      </c>
      <c r="C66" s="5"/>
      <c r="D66" s="5">
        <v>400000</v>
      </c>
      <c r="E66" s="5">
        <f>+IF(FINANCIACION[[#This Row],[$ CAPITAL]]&gt;=0,FINANCIACION[[#This Row],[$ CAPITAL]]+FINANCIACION[[#This Row],[$ INTERESES]],"")</f>
        <v>400000</v>
      </c>
      <c r="F66" s="5">
        <f>+SUMIFS(FINANCIACION[$ CAPITAL],FINANCIACION[Fecha],"&lt;="&amp;FINANCIACION[[#This Row],[Fecha]],FINANCIACION[PRESTAMO],FINANCIACION[[#This Row],[PRESTAMO]])</f>
        <v>-40000000</v>
      </c>
      <c r="G66" s="53"/>
      <c r="H66" s="53"/>
      <c r="I66" s="5" t="b">
        <f>IF(FINANCIACION[[#This Row],[$ CAPITAL]]&gt;0,FINANCIACION[[#This Row],[$ CAPITAL]])</f>
        <v>0</v>
      </c>
      <c r="J66" s="33">
        <f>IF(FINANCIACION[[#This Row],[$ CAPITAL]]&gt;=0,FINANCIACION[[#This Row],[$ CAPITAL]]+FINANCIACION[[#This Row],[$ INTERESES]],0)</f>
        <v>400000</v>
      </c>
    </row>
    <row r="67" spans="1:10" ht="24" hidden="1" customHeight="1" x14ac:dyDescent="0.25">
      <c r="A67" s="109">
        <v>44602</v>
      </c>
      <c r="B67" s="50" t="s">
        <v>371</v>
      </c>
      <c r="C67" s="5"/>
      <c r="D67" s="5">
        <v>400000</v>
      </c>
      <c r="E67" s="5">
        <f>+IF(FINANCIACION[[#This Row],[$ CAPITAL]]&gt;=0,FINANCIACION[[#This Row],[$ CAPITAL]]+FINANCIACION[[#This Row],[$ INTERESES]],"")</f>
        <v>400000</v>
      </c>
      <c r="F67" s="5">
        <f>+SUMIFS(FINANCIACION[$ CAPITAL],FINANCIACION[Fecha],"&lt;="&amp;FINANCIACION[[#This Row],[Fecha]],FINANCIACION[PRESTAMO],FINANCIACION[[#This Row],[PRESTAMO]])</f>
        <v>-40000000</v>
      </c>
      <c r="G67" s="53"/>
      <c r="H67" s="53"/>
      <c r="I67" s="5" t="b">
        <f>+IF(FINANCIACION[[#This Row],[$ CAPITAL]]&gt;0,FINANCIACION[[#This Row],[$ CAPITAL]])</f>
        <v>0</v>
      </c>
      <c r="J67" s="33">
        <f>+IF(FINANCIACION[[#This Row],[$ CAPITAL]]&gt;=0,FINANCIACION[[#This Row],[$ CAPITAL]]+FINANCIACION[[#This Row],[$ INTERESES]],0)</f>
        <v>400000</v>
      </c>
    </row>
    <row r="68" spans="1:10" ht="24" hidden="1" customHeight="1" x14ac:dyDescent="0.25">
      <c r="A68" s="109">
        <v>44629</v>
      </c>
      <c r="B68" s="50" t="s">
        <v>371</v>
      </c>
      <c r="C68" s="5"/>
      <c r="D68" s="5">
        <v>400000</v>
      </c>
      <c r="E68" s="5">
        <f>+IF(FINANCIACION[[#This Row],[$ CAPITAL]]&gt;=0,FINANCIACION[[#This Row],[$ CAPITAL]]+FINANCIACION[[#This Row],[$ INTERESES]],"")</f>
        <v>400000</v>
      </c>
      <c r="F68" s="5">
        <f>+SUMIFS(FINANCIACION[$ CAPITAL],FINANCIACION[Fecha],"&lt;="&amp;FINANCIACION[[#This Row],[Fecha]],FINANCIACION[PRESTAMO],FINANCIACION[[#This Row],[PRESTAMO]])</f>
        <v>-40000000</v>
      </c>
      <c r="G68" s="53"/>
      <c r="H68" s="53"/>
      <c r="I68" s="5" t="b">
        <f>+IF(FINANCIACION[[#This Row],[$ CAPITAL]]&gt;0,FINANCIACION[[#This Row],[$ CAPITAL]])</f>
        <v>0</v>
      </c>
      <c r="J68" s="33">
        <f>+IF(FINANCIACION[[#This Row],[$ CAPITAL]]&gt;=0,FINANCIACION[[#This Row],[$ CAPITAL]]+FINANCIACION[[#This Row],[$ INTERESES]],0)</f>
        <v>400000</v>
      </c>
    </row>
    <row r="69" spans="1:10" ht="24" hidden="1" customHeight="1" x14ac:dyDescent="0.25">
      <c r="A69" s="109">
        <v>44663</v>
      </c>
      <c r="B69" s="50" t="s">
        <v>371</v>
      </c>
      <c r="C69" s="5"/>
      <c r="D69" s="5">
        <v>400000</v>
      </c>
      <c r="E69" s="5">
        <f>+IF(FINANCIACION[[#This Row],[$ CAPITAL]]&gt;=0,FINANCIACION[[#This Row],[$ CAPITAL]]+FINANCIACION[[#This Row],[$ INTERESES]],"")</f>
        <v>400000</v>
      </c>
      <c r="F69" s="5">
        <f>+SUMIFS(FINANCIACION[$ CAPITAL],FINANCIACION[Fecha],"&lt;="&amp;FINANCIACION[[#This Row],[Fecha]],FINANCIACION[PRESTAMO],FINANCIACION[[#This Row],[PRESTAMO]])</f>
        <v>-40000000</v>
      </c>
      <c r="G69" s="53"/>
      <c r="H69" s="53"/>
      <c r="I69" s="5" t="b">
        <f>+IF(FINANCIACION[[#This Row],[$ CAPITAL]]&gt;0,FINANCIACION[[#This Row],[$ CAPITAL]])</f>
        <v>0</v>
      </c>
      <c r="J69" s="33">
        <f>+IF(FINANCIACION[[#This Row],[$ CAPITAL]]&gt;=0,FINANCIACION[[#This Row],[$ CAPITAL]]+FINANCIACION[[#This Row],[$ INTERESES]],0)</f>
        <v>400000</v>
      </c>
    </row>
    <row r="70" spans="1:10" ht="24" hidden="1" customHeight="1" x14ac:dyDescent="0.25">
      <c r="A70" s="109">
        <v>44691</v>
      </c>
      <c r="B70" s="50" t="s">
        <v>371</v>
      </c>
      <c r="C70" s="5"/>
      <c r="D70" s="5">
        <v>400000</v>
      </c>
      <c r="E70" s="5">
        <f>+IF(FINANCIACION[[#This Row],[$ CAPITAL]]&gt;=0,FINANCIACION[[#This Row],[$ CAPITAL]]+FINANCIACION[[#This Row],[$ INTERESES]],"")</f>
        <v>400000</v>
      </c>
      <c r="F70" s="5">
        <f>+SUMIFS(FINANCIACION[$ CAPITAL],FINANCIACION[Fecha],"&lt;="&amp;FINANCIACION[[#This Row],[Fecha]],FINANCIACION[PRESTAMO],FINANCIACION[[#This Row],[PRESTAMO]])</f>
        <v>-40000000</v>
      </c>
      <c r="G70" s="53"/>
      <c r="H70" s="53"/>
      <c r="I70" s="5" t="b">
        <f>+IF(FINANCIACION[[#This Row],[$ CAPITAL]]&gt;0,FINANCIACION[[#This Row],[$ CAPITAL]])</f>
        <v>0</v>
      </c>
      <c r="J70" s="33">
        <f>+IF(FINANCIACION[[#This Row],[$ CAPITAL]]&gt;=0,FINANCIACION[[#This Row],[$ CAPITAL]]+FINANCIACION[[#This Row],[$ INTERESES]],0)</f>
        <v>400000</v>
      </c>
    </row>
    <row r="71" spans="1:10" ht="24" hidden="1" customHeight="1" x14ac:dyDescent="0.25">
      <c r="A71" s="109">
        <v>44722</v>
      </c>
      <c r="B71" s="50" t="s">
        <v>371</v>
      </c>
      <c r="C71" s="5"/>
      <c r="D71" s="5">
        <v>400000</v>
      </c>
      <c r="E71" s="5">
        <f>+IF(FINANCIACION[[#This Row],[$ CAPITAL]]&gt;=0,FINANCIACION[[#This Row],[$ CAPITAL]]+FINANCIACION[[#This Row],[$ INTERESES]],"")</f>
        <v>400000</v>
      </c>
      <c r="F71" s="5">
        <f>+SUMIFS(FINANCIACION[$ CAPITAL],FINANCIACION[Fecha],"&lt;="&amp;FINANCIACION[[#This Row],[Fecha]],FINANCIACION[PRESTAMO],FINANCIACION[[#This Row],[PRESTAMO]])</f>
        <v>-40000000</v>
      </c>
      <c r="G71" s="53"/>
      <c r="H71" s="53"/>
      <c r="I71" s="5" t="b">
        <f>+IF(FINANCIACION[[#This Row],[$ CAPITAL]]&gt;0,FINANCIACION[[#This Row],[$ CAPITAL]])</f>
        <v>0</v>
      </c>
      <c r="J71" s="33">
        <f>+IF(FINANCIACION[[#This Row],[$ CAPITAL]]&gt;=0,FINANCIACION[[#This Row],[$ CAPITAL]]+FINANCIACION[[#This Row],[$ INTERESES]],0)</f>
        <v>400000</v>
      </c>
    </row>
    <row r="72" spans="1:10" ht="24" hidden="1" customHeight="1" x14ac:dyDescent="0.25">
      <c r="A72" s="109">
        <v>44753</v>
      </c>
      <c r="B72" s="50" t="s">
        <v>371</v>
      </c>
      <c r="C72" s="5"/>
      <c r="D72" s="5">
        <v>400000</v>
      </c>
      <c r="E72" s="5">
        <f>+IF(FINANCIACION[[#This Row],[$ CAPITAL]]&gt;=0,FINANCIACION[[#This Row],[$ CAPITAL]]+FINANCIACION[[#This Row],[$ INTERESES]],"")</f>
        <v>400000</v>
      </c>
      <c r="F72" s="5">
        <f>+SUMIFS(FINANCIACION[$ CAPITAL],FINANCIACION[Fecha],"&lt;="&amp;FINANCIACION[[#This Row],[Fecha]],FINANCIACION[PRESTAMO],FINANCIACION[[#This Row],[PRESTAMO]])</f>
        <v>-40000000</v>
      </c>
      <c r="G72" s="53"/>
      <c r="H72" s="53"/>
      <c r="I72" s="5" t="b">
        <f>+IF(FINANCIACION[[#This Row],[$ CAPITAL]]&gt;0,FINANCIACION[[#This Row],[$ CAPITAL]])</f>
        <v>0</v>
      </c>
      <c r="J72" s="33">
        <f>+IF(FINANCIACION[[#This Row],[$ CAPITAL]]&gt;=0,FINANCIACION[[#This Row],[$ CAPITAL]]+FINANCIACION[[#This Row],[$ INTERESES]],0)</f>
        <v>400000</v>
      </c>
    </row>
    <row r="73" spans="1:10" ht="24" hidden="1" customHeight="1" x14ac:dyDescent="0.25">
      <c r="A73" s="109">
        <v>44786</v>
      </c>
      <c r="B73" s="50" t="s">
        <v>371</v>
      </c>
      <c r="C73" s="5"/>
      <c r="D73" s="5">
        <v>400000</v>
      </c>
      <c r="E73" s="5">
        <f>+IF(FINANCIACION[[#This Row],[$ CAPITAL]]&gt;=0,FINANCIACION[[#This Row],[$ CAPITAL]]+FINANCIACION[[#This Row],[$ INTERESES]],"")</f>
        <v>400000</v>
      </c>
      <c r="F73" s="5">
        <f>+SUMIFS(FINANCIACION[$ CAPITAL],FINANCIACION[Fecha],"&lt;="&amp;FINANCIACION[[#This Row],[Fecha]],FINANCIACION[PRESTAMO],FINANCIACION[[#This Row],[PRESTAMO]])</f>
        <v>-40000000</v>
      </c>
      <c r="G73" s="53"/>
      <c r="H73" s="53"/>
      <c r="I73" s="5" t="b">
        <f>+IF(FINANCIACION[[#This Row],[$ CAPITAL]]&gt;0,FINANCIACION[[#This Row],[$ CAPITAL]])</f>
        <v>0</v>
      </c>
      <c r="J73" s="33">
        <f>+IF(FINANCIACION[[#This Row],[$ CAPITAL]]&gt;=0,FINANCIACION[[#This Row],[$ CAPITAL]]+FINANCIACION[[#This Row],[$ INTERESES]],0)</f>
        <v>400000</v>
      </c>
    </row>
    <row r="74" spans="1:10" ht="24" hidden="1" customHeight="1" x14ac:dyDescent="0.25">
      <c r="A74" s="109">
        <v>44817</v>
      </c>
      <c r="B74" s="50" t="s">
        <v>371</v>
      </c>
      <c r="C74" s="5"/>
      <c r="D74" s="5">
        <v>400000</v>
      </c>
      <c r="E74" s="5">
        <f>+IF(FINANCIACION[[#This Row],[$ CAPITAL]]&gt;=0,FINANCIACION[[#This Row],[$ CAPITAL]]+FINANCIACION[[#This Row],[$ INTERESES]],"")</f>
        <v>400000</v>
      </c>
      <c r="F74" s="5">
        <f>+SUMIFS(FINANCIACION[$ CAPITAL],FINANCIACION[Fecha],"&lt;="&amp;FINANCIACION[[#This Row],[Fecha]],FINANCIACION[PRESTAMO],FINANCIACION[[#This Row],[PRESTAMO]])</f>
        <v>-40000000</v>
      </c>
      <c r="G74" s="53"/>
      <c r="H74" s="53"/>
      <c r="I74" s="5" t="b">
        <f>+IF(FINANCIACION[[#This Row],[$ CAPITAL]]&gt;0,FINANCIACION[[#This Row],[$ CAPITAL]])</f>
        <v>0</v>
      </c>
      <c r="J74" s="33">
        <f>+IF(FINANCIACION[[#This Row],[$ CAPITAL]]&gt;=0,FINANCIACION[[#This Row],[$ CAPITAL]]+FINANCIACION[[#This Row],[$ INTERESES]],0)</f>
        <v>400000</v>
      </c>
    </row>
    <row r="75" spans="1:10" ht="24" hidden="1" customHeight="1" x14ac:dyDescent="0.25">
      <c r="A75" s="109">
        <v>44846</v>
      </c>
      <c r="B75" s="50" t="s">
        <v>371</v>
      </c>
      <c r="C75" s="5"/>
      <c r="D75" s="5">
        <v>400000</v>
      </c>
      <c r="E75" s="5">
        <f>+IF(FINANCIACION[[#This Row],[$ CAPITAL]]&gt;=0,FINANCIACION[[#This Row],[$ CAPITAL]]+FINANCIACION[[#This Row],[$ INTERESES]],"")</f>
        <v>400000</v>
      </c>
      <c r="F75" s="5">
        <f>+SUMIFS(FINANCIACION[$ CAPITAL],FINANCIACION[Fecha],"&lt;="&amp;FINANCIACION[[#This Row],[Fecha]],FINANCIACION[PRESTAMO],FINANCIACION[[#This Row],[PRESTAMO]])</f>
        <v>-40000000</v>
      </c>
      <c r="G75" s="53"/>
      <c r="H75" s="53"/>
      <c r="I75" s="5" t="b">
        <f>+IF(FINANCIACION[[#This Row],[$ CAPITAL]]&gt;0,FINANCIACION[[#This Row],[$ CAPITAL]])</f>
        <v>0</v>
      </c>
      <c r="J75" s="33">
        <f>+IF(FINANCIACION[[#This Row],[$ CAPITAL]]&gt;=0,FINANCIACION[[#This Row],[$ CAPITAL]]+FINANCIACION[[#This Row],[$ INTERESES]],0)</f>
        <v>400000</v>
      </c>
    </row>
    <row r="76" spans="1:10" ht="24" hidden="1" customHeight="1" x14ac:dyDescent="0.25">
      <c r="A76" s="109">
        <v>44876</v>
      </c>
      <c r="B76" s="50" t="s">
        <v>371</v>
      </c>
      <c r="C76" s="5"/>
      <c r="D76" s="5">
        <v>400000</v>
      </c>
      <c r="E76" s="5">
        <f>+IF(FINANCIACION[[#This Row],[$ CAPITAL]]&gt;=0,FINANCIACION[[#This Row],[$ CAPITAL]]+FINANCIACION[[#This Row],[$ INTERESES]],"")</f>
        <v>400000</v>
      </c>
      <c r="F76" s="5">
        <f>+SUMIFS(FINANCIACION[$ CAPITAL],FINANCIACION[Fecha],"&lt;="&amp;FINANCIACION[[#This Row],[Fecha]],FINANCIACION[PRESTAMO],FINANCIACION[[#This Row],[PRESTAMO]])</f>
        <v>-40000000</v>
      </c>
      <c r="G76" s="53"/>
      <c r="H76" s="53"/>
      <c r="I76" s="5" t="b">
        <f>+IF(FINANCIACION[[#This Row],[$ CAPITAL]]&gt;0,FINANCIACION[[#This Row],[$ CAPITAL]])</f>
        <v>0</v>
      </c>
      <c r="J76" s="33">
        <f>+IF(FINANCIACION[[#This Row],[$ CAPITAL]]&gt;=0,FINANCIACION[[#This Row],[$ CAPITAL]]+FINANCIACION[[#This Row],[$ INTERESES]],0)</f>
        <v>400000</v>
      </c>
    </row>
    <row r="77" spans="1:10" ht="24" hidden="1" customHeight="1" x14ac:dyDescent="0.25">
      <c r="A77" s="109">
        <v>44909</v>
      </c>
      <c r="B77" s="50" t="s">
        <v>371</v>
      </c>
      <c r="C77" s="5"/>
      <c r="D77" s="5">
        <v>400000</v>
      </c>
      <c r="E77" s="5">
        <f>+IF(FINANCIACION[[#This Row],[$ CAPITAL]]&gt;=0,FINANCIACION[[#This Row],[$ CAPITAL]]+FINANCIACION[[#This Row],[$ INTERESES]],"")</f>
        <v>400000</v>
      </c>
      <c r="F77" s="5">
        <f>+SUMIFS(FINANCIACION[$ CAPITAL],FINANCIACION[Fecha],"&lt;="&amp;FINANCIACION[[#This Row],[Fecha]],FINANCIACION[PRESTAMO],FINANCIACION[[#This Row],[PRESTAMO]])</f>
        <v>-40000000</v>
      </c>
      <c r="G77" s="53"/>
      <c r="H77" s="53"/>
      <c r="I77" s="5" t="b">
        <f>+IF(FINANCIACION[[#This Row],[$ CAPITAL]]&gt;0,FINANCIACION[[#This Row],[$ CAPITAL]])</f>
        <v>0</v>
      </c>
      <c r="J77" s="33">
        <f>+IF(FINANCIACION[[#This Row],[$ CAPITAL]]&gt;=0,FINANCIACION[[#This Row],[$ CAPITAL]]+FINANCIACION[[#This Row],[$ INTERESES]],0)</f>
        <v>400000</v>
      </c>
    </row>
    <row r="78" spans="1:10" ht="24" hidden="1" customHeight="1" x14ac:dyDescent="0.25">
      <c r="A78" s="109">
        <v>44938</v>
      </c>
      <c r="B78" s="50" t="s">
        <v>371</v>
      </c>
      <c r="C78" s="5"/>
      <c r="D78" s="5">
        <v>400000</v>
      </c>
      <c r="E78" s="5">
        <f>+IF(FINANCIACION[[#This Row],[$ CAPITAL]]&gt;=0,FINANCIACION[[#This Row],[$ CAPITAL]]+FINANCIACION[[#This Row],[$ INTERESES]],"")</f>
        <v>400000</v>
      </c>
      <c r="F78" s="5">
        <f>+SUMIFS(FINANCIACION[$ CAPITAL],FINANCIACION[Fecha],"&lt;="&amp;FINANCIACION[[#This Row],[Fecha]],FINANCIACION[PRESTAMO],FINANCIACION[[#This Row],[PRESTAMO]])</f>
        <v>-40000000</v>
      </c>
      <c r="G78" s="53"/>
      <c r="H78" s="53"/>
      <c r="I78" s="5" t="b">
        <f>+IF(FINANCIACION[[#This Row],[$ CAPITAL]]&gt;0,FINANCIACION[[#This Row],[$ CAPITAL]])</f>
        <v>0</v>
      </c>
      <c r="J78" s="33">
        <f>+IF(FINANCIACION[[#This Row],[$ CAPITAL]]&gt;=0,FINANCIACION[[#This Row],[$ CAPITAL]]+FINANCIACION[[#This Row],[$ INTERESES]],0)</f>
        <v>400000</v>
      </c>
    </row>
    <row r="79" spans="1:10" ht="24" hidden="1" customHeight="1" x14ac:dyDescent="0.25">
      <c r="A79" s="109">
        <v>44946</v>
      </c>
      <c r="B79" s="50" t="s">
        <v>371</v>
      </c>
      <c r="C79" s="5">
        <v>5000000</v>
      </c>
      <c r="D79" s="5"/>
      <c r="E79" s="5">
        <f>+IF(FINANCIACION[[#This Row],[$ CAPITAL]]&gt;=0,FINANCIACION[[#This Row],[$ CAPITAL]]+FINANCIACION[[#This Row],[$ INTERESES]],"")</f>
        <v>5000000</v>
      </c>
      <c r="F79" s="5">
        <f>+SUMIFS(FINANCIACION[$ CAPITAL],FINANCIACION[Fecha],"&lt;="&amp;FINANCIACION[[#This Row],[Fecha]],FINANCIACION[PRESTAMO],FINANCIACION[[#This Row],[PRESTAMO]])</f>
        <v>-35000000</v>
      </c>
      <c r="G79" s="53"/>
      <c r="H79" s="53"/>
      <c r="I79" s="5">
        <f>+IF(FINANCIACION[[#This Row],[$ CAPITAL]]&gt;0,FINANCIACION[[#This Row],[$ CAPITAL]])</f>
        <v>5000000</v>
      </c>
      <c r="J79" s="33">
        <f>+IF(FINANCIACION[[#This Row],[$ CAPITAL]]&gt;=0,FINANCIACION[[#This Row],[$ CAPITAL]]+FINANCIACION[[#This Row],[$ INTERESES]],0)</f>
        <v>5000000</v>
      </c>
    </row>
    <row r="80" spans="1:10" ht="24" hidden="1" customHeight="1" x14ac:dyDescent="0.25">
      <c r="A80" s="109">
        <v>44970</v>
      </c>
      <c r="B80" s="50" t="s">
        <v>371</v>
      </c>
      <c r="C80" s="5"/>
      <c r="D80" s="5">
        <v>400000</v>
      </c>
      <c r="E80" s="5">
        <f>+IF(FINANCIACION[[#This Row],[$ CAPITAL]]&gt;=0,FINANCIACION[[#This Row],[$ CAPITAL]]+FINANCIACION[[#This Row],[$ INTERESES]],"")</f>
        <v>400000</v>
      </c>
      <c r="F80" s="5">
        <f>+SUMIFS(FINANCIACION[$ CAPITAL],FINANCIACION[Fecha],"&lt;="&amp;FINANCIACION[[#This Row],[Fecha]],FINANCIACION[PRESTAMO],FINANCIACION[[#This Row],[PRESTAMO]])</f>
        <v>-35000000</v>
      </c>
      <c r="G80" s="53"/>
      <c r="H80" s="53"/>
      <c r="I80" s="5" t="b">
        <f>+IF(FINANCIACION[[#This Row],[$ CAPITAL]]&gt;0,FINANCIACION[[#This Row],[$ CAPITAL]])</f>
        <v>0</v>
      </c>
      <c r="J80" s="33">
        <f>+IF(FINANCIACION[[#This Row],[$ CAPITAL]]&gt;=0,FINANCIACION[[#This Row],[$ CAPITAL]]+FINANCIACION[[#This Row],[$ INTERESES]],0)</f>
        <v>400000</v>
      </c>
    </row>
    <row r="81" spans="1:34" ht="24" hidden="1" customHeight="1" x14ac:dyDescent="0.25">
      <c r="A81" s="109">
        <v>44998</v>
      </c>
      <c r="B81" s="50" t="s">
        <v>371</v>
      </c>
      <c r="C81" s="5"/>
      <c r="D81" s="5">
        <v>350000</v>
      </c>
      <c r="E81" s="5">
        <f>+IF(FINANCIACION[[#This Row],[$ CAPITAL]]&gt;=0,FINANCIACION[[#This Row],[$ CAPITAL]]+FINANCIACION[[#This Row],[$ INTERESES]],"")</f>
        <v>350000</v>
      </c>
      <c r="F81" s="5">
        <f>+SUMIFS(FINANCIACION[$ CAPITAL],FINANCIACION[Fecha],"&lt;="&amp;FINANCIACION[[#This Row],[Fecha]],FINANCIACION[PRESTAMO],FINANCIACION[[#This Row],[PRESTAMO]])</f>
        <v>-35000000</v>
      </c>
      <c r="G81" s="53"/>
      <c r="H81" s="53"/>
      <c r="I81" s="5" t="b">
        <f>+IF(FINANCIACION[[#This Row],[$ CAPITAL]]&gt;0,FINANCIACION[[#This Row],[$ CAPITAL]])</f>
        <v>0</v>
      </c>
      <c r="J81" s="33">
        <f>+IF(FINANCIACION[[#This Row],[$ CAPITAL]]&gt;=0,FINANCIACION[[#This Row],[$ CAPITAL]]+FINANCIACION[[#This Row],[$ INTERESES]],0)</f>
        <v>350000</v>
      </c>
    </row>
    <row r="82" spans="1:34" ht="24" hidden="1" customHeight="1" x14ac:dyDescent="0.25">
      <c r="A82" s="109">
        <v>45026</v>
      </c>
      <c r="B82" s="50" t="s">
        <v>371</v>
      </c>
      <c r="C82" s="5"/>
      <c r="D82" s="5">
        <v>350000</v>
      </c>
      <c r="E82" s="5">
        <f>+IF(FINANCIACION[[#This Row],[$ CAPITAL]]&gt;=0,FINANCIACION[[#This Row],[$ CAPITAL]]+FINANCIACION[[#This Row],[$ INTERESES]],"")</f>
        <v>350000</v>
      </c>
      <c r="F82" s="5">
        <f>+SUMIFS(FINANCIACION[$ CAPITAL],FINANCIACION[Fecha],"&lt;="&amp;FINANCIACION[[#This Row],[Fecha]],FINANCIACION[PRESTAMO],FINANCIACION[[#This Row],[PRESTAMO]])</f>
        <v>-35000000</v>
      </c>
      <c r="G82" s="53"/>
      <c r="H82" s="53"/>
      <c r="I82" s="5" t="b">
        <f>+IF(FINANCIACION[[#This Row],[$ CAPITAL]]&gt;0,FINANCIACION[[#This Row],[$ CAPITAL]])</f>
        <v>0</v>
      </c>
      <c r="J82" s="33">
        <f>+IF(FINANCIACION[[#This Row],[$ CAPITAL]]&gt;=0,FINANCIACION[[#This Row],[$ CAPITAL]]+FINANCIACION[[#This Row],[$ INTERESES]],0)</f>
        <v>350000</v>
      </c>
    </row>
    <row r="83" spans="1:34" ht="24" hidden="1" customHeight="1" x14ac:dyDescent="0.25">
      <c r="A83" s="109">
        <v>45054</v>
      </c>
      <c r="B83" s="50" t="s">
        <v>371</v>
      </c>
      <c r="C83" s="5"/>
      <c r="D83" s="5">
        <v>350000</v>
      </c>
      <c r="E83" s="5">
        <f>+IF(FINANCIACION[[#This Row],[$ CAPITAL]]&gt;=0,FINANCIACION[[#This Row],[$ CAPITAL]]+FINANCIACION[[#This Row],[$ INTERESES]],"")</f>
        <v>350000</v>
      </c>
      <c r="F83" s="5">
        <f>+SUMIFS(FINANCIACION[$ CAPITAL],FINANCIACION[Fecha],"&lt;="&amp;FINANCIACION[[#This Row],[Fecha]],FINANCIACION[PRESTAMO],FINANCIACION[[#This Row],[PRESTAMO]])</f>
        <v>-35000000</v>
      </c>
      <c r="G83" s="53"/>
      <c r="H83" s="53"/>
      <c r="I83" s="5" t="b">
        <f>+IF(FINANCIACION[[#This Row],[$ CAPITAL]]&gt;0,FINANCIACION[[#This Row],[$ CAPITAL]])</f>
        <v>0</v>
      </c>
      <c r="J83" s="33">
        <f>+IF(FINANCIACION[[#This Row],[$ CAPITAL]]&gt;=0,FINANCIACION[[#This Row],[$ CAPITAL]]+FINANCIACION[[#This Row],[$ INTERESES]],0)</f>
        <v>350000</v>
      </c>
    </row>
    <row r="84" spans="1:34" ht="24" hidden="1" customHeight="1" x14ac:dyDescent="0.25">
      <c r="A84" s="109">
        <v>45090</v>
      </c>
      <c r="B84" s="50" t="s">
        <v>371</v>
      </c>
      <c r="C84" s="5"/>
      <c r="D84" s="5">
        <v>350000</v>
      </c>
      <c r="E84" s="5">
        <f>+IF(FINANCIACION[[#This Row],[$ CAPITAL]]&gt;=0,FINANCIACION[[#This Row],[$ CAPITAL]]+FINANCIACION[[#This Row],[$ INTERESES]],"")</f>
        <v>350000</v>
      </c>
      <c r="F84" s="5">
        <f>+SUMIFS(FINANCIACION[$ CAPITAL],FINANCIACION[Fecha],"&lt;="&amp;FINANCIACION[[#This Row],[Fecha]],FINANCIACION[PRESTAMO],FINANCIACION[[#This Row],[PRESTAMO]])</f>
        <v>-35000000</v>
      </c>
      <c r="G84" s="53"/>
      <c r="H84" s="53"/>
      <c r="I84" s="5" t="b">
        <f>+IF(FINANCIACION[[#This Row],[$ CAPITAL]]&gt;0,FINANCIACION[[#This Row],[$ CAPITAL]])</f>
        <v>0</v>
      </c>
      <c r="J84" s="33">
        <f>+IF(FINANCIACION[[#This Row],[$ CAPITAL]]&gt;=0,FINANCIACION[[#This Row],[$ CAPITAL]]+FINANCIACION[[#This Row],[$ INTERESES]],0)</f>
        <v>350000</v>
      </c>
    </row>
    <row r="85" spans="1:34" ht="24" hidden="1" customHeight="1" x14ac:dyDescent="0.25">
      <c r="A85" s="109">
        <v>45118</v>
      </c>
      <c r="B85" s="50" t="s">
        <v>371</v>
      </c>
      <c r="C85" s="5"/>
      <c r="D85" s="5">
        <v>350000</v>
      </c>
      <c r="E85" s="5">
        <f>+IF(FINANCIACION[[#This Row],[$ CAPITAL]]&gt;=0,FINANCIACION[[#This Row],[$ CAPITAL]]+FINANCIACION[[#This Row],[$ INTERESES]],"")</f>
        <v>350000</v>
      </c>
      <c r="F85" s="5">
        <f>+SUMIFS(FINANCIACION[$ CAPITAL],FINANCIACION[Fecha],"&lt;="&amp;FINANCIACION[[#This Row],[Fecha]],FINANCIACION[PRESTAMO],FINANCIACION[[#This Row],[PRESTAMO]])</f>
        <v>-35000000</v>
      </c>
      <c r="G85" s="53"/>
      <c r="H85" s="53"/>
      <c r="I85" s="5" t="b">
        <f>+IF(FINANCIACION[[#This Row],[$ CAPITAL]]&gt;0,FINANCIACION[[#This Row],[$ CAPITAL]])</f>
        <v>0</v>
      </c>
      <c r="J85" s="33">
        <f>+IF(FINANCIACION[[#This Row],[$ CAPITAL]]&gt;=0,FINANCIACION[[#This Row],[$ CAPITAL]]+FINANCIACION[[#This Row],[$ INTERESES]],0)</f>
        <v>350000</v>
      </c>
    </row>
    <row r="86" spans="1:34" ht="24" hidden="1" customHeight="1" x14ac:dyDescent="0.25">
      <c r="A86" s="109">
        <v>45149</v>
      </c>
      <c r="B86" s="50" t="s">
        <v>371</v>
      </c>
      <c r="C86" s="5"/>
      <c r="D86" s="5">
        <v>350000</v>
      </c>
      <c r="E86" s="5">
        <f>+IF(FINANCIACION[[#This Row],[$ CAPITAL]]&gt;=0,FINANCIACION[[#This Row],[$ CAPITAL]]+FINANCIACION[[#This Row],[$ INTERESES]],"")</f>
        <v>350000</v>
      </c>
      <c r="F86" s="5">
        <f>+SUMIFS(FINANCIACION[$ CAPITAL],FINANCIACION[Fecha],"&lt;="&amp;FINANCIACION[[#This Row],[Fecha]],FINANCIACION[PRESTAMO],FINANCIACION[[#This Row],[PRESTAMO]])</f>
        <v>-35000000</v>
      </c>
      <c r="G86" s="53"/>
      <c r="H86" s="53"/>
      <c r="I86" s="5" t="b">
        <f>+IF(FINANCIACION[[#This Row],[$ CAPITAL]]&gt;0,FINANCIACION[[#This Row],[$ CAPITAL]])</f>
        <v>0</v>
      </c>
      <c r="J86" s="33">
        <f>+IF(FINANCIACION[[#This Row],[$ CAPITAL]]&gt;=0,FINANCIACION[[#This Row],[$ CAPITAL]]+FINANCIACION[[#This Row],[$ INTERESES]],0)</f>
        <v>350000</v>
      </c>
    </row>
    <row r="87" spans="1:34" s="7" customFormat="1" ht="24" hidden="1" customHeight="1" x14ac:dyDescent="0.25">
      <c r="A87" s="109">
        <v>45184</v>
      </c>
      <c r="B87" s="50" t="s">
        <v>371</v>
      </c>
      <c r="C87" s="5"/>
      <c r="D87" s="5">
        <v>350000</v>
      </c>
      <c r="E87" s="5">
        <f>+IF(FINANCIACION[[#This Row],[$ CAPITAL]]&gt;=0,FINANCIACION[[#This Row],[$ CAPITAL]]+FINANCIACION[[#This Row],[$ INTERESES]],"")</f>
        <v>350000</v>
      </c>
      <c r="F87" s="5">
        <f>+SUMIFS(FINANCIACION[$ CAPITAL],FINANCIACION[Fecha],"&lt;="&amp;FINANCIACION[[#This Row],[Fecha]],FINANCIACION[PRESTAMO],FINANCIACION[[#This Row],[PRESTAMO]])</f>
        <v>-35000000</v>
      </c>
      <c r="G87" s="53"/>
      <c r="H87" s="53"/>
      <c r="I87" s="5" t="b">
        <f>+IF(FINANCIACION[[#This Row],[$ CAPITAL]]&gt;0,FINANCIACION[[#This Row],[$ CAPITAL]])</f>
        <v>0</v>
      </c>
      <c r="J87" s="33">
        <f>+IF(FINANCIACION[[#This Row],[$ CAPITAL]]&gt;=0,FINANCIACION[[#This Row],[$ CAPITAL]]+FINANCIACION[[#This Row],[$ INTERESES]],0)</f>
        <v>350000</v>
      </c>
      <c r="K87" s="6"/>
      <c r="L87" s="6"/>
      <c r="M87" s="6"/>
      <c r="N87" s="9"/>
      <c r="O87" s="8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1:34" ht="24" hidden="1" customHeight="1" x14ac:dyDescent="0.25">
      <c r="A88" s="109">
        <v>45210</v>
      </c>
      <c r="B88" s="50" t="s">
        <v>371</v>
      </c>
      <c r="C88" s="5"/>
      <c r="D88" s="5">
        <v>350000</v>
      </c>
      <c r="E88" s="5">
        <f>+IF(FINANCIACION[[#This Row],[$ CAPITAL]]&gt;=0,FINANCIACION[[#This Row],[$ CAPITAL]]+FINANCIACION[[#This Row],[$ INTERESES]],"")</f>
        <v>350000</v>
      </c>
      <c r="F88" s="5">
        <f>+SUMIFS(FINANCIACION[$ CAPITAL],FINANCIACION[Fecha],"&lt;="&amp;FINANCIACION[[#This Row],[Fecha]],FINANCIACION[PRESTAMO],FINANCIACION[[#This Row],[PRESTAMO]])</f>
        <v>-35000000</v>
      </c>
      <c r="G88" s="53"/>
      <c r="H88" s="53"/>
      <c r="I88" s="5" t="b">
        <f>+IF(FINANCIACION[[#This Row],[$ CAPITAL]]&gt;0,FINANCIACION[[#This Row],[$ CAPITAL]])</f>
        <v>0</v>
      </c>
      <c r="J88" s="33">
        <f>+IF(FINANCIACION[[#This Row],[$ CAPITAL]]&gt;=0,FINANCIACION[[#This Row],[$ CAPITAL]]+FINANCIACION[[#This Row],[$ INTERESES]],0)</f>
        <v>350000</v>
      </c>
    </row>
    <row r="89" spans="1:34" ht="24" hidden="1" customHeight="1" x14ac:dyDescent="0.25">
      <c r="A89" s="109">
        <v>45244</v>
      </c>
      <c r="B89" s="50" t="s">
        <v>371</v>
      </c>
      <c r="C89" s="5"/>
      <c r="D89" s="5">
        <v>350000</v>
      </c>
      <c r="E89" s="5">
        <f>+IF(FINANCIACION[[#This Row],[$ CAPITAL]]&gt;=0,FINANCIACION[[#This Row],[$ CAPITAL]]+FINANCIACION[[#This Row],[$ INTERESES]],"")</f>
        <v>350000</v>
      </c>
      <c r="F89" s="5">
        <f>+SUMIFS(FINANCIACION[$ CAPITAL],FINANCIACION[Fecha],"&lt;="&amp;FINANCIACION[[#This Row],[Fecha]],FINANCIACION[PRESTAMO],FINANCIACION[[#This Row],[PRESTAMO]])</f>
        <v>-35000000</v>
      </c>
      <c r="G89" s="53"/>
      <c r="H89" s="53"/>
      <c r="I89" s="5" t="b">
        <f>+IF(FINANCIACION[[#This Row],[$ CAPITAL]]&gt;0,FINANCIACION[[#This Row],[$ CAPITAL]])</f>
        <v>0</v>
      </c>
      <c r="J89" s="33">
        <f>+IF(FINANCIACION[[#This Row],[$ CAPITAL]]&gt;=0,FINANCIACION[[#This Row],[$ CAPITAL]]+FINANCIACION[[#This Row],[$ INTERESES]],0)</f>
        <v>350000</v>
      </c>
    </row>
    <row r="90" spans="1:34" ht="24" hidden="1" customHeight="1" x14ac:dyDescent="0.25">
      <c r="A90" s="109">
        <v>45271</v>
      </c>
      <c r="B90" s="303" t="s">
        <v>371</v>
      </c>
      <c r="C90" s="5"/>
      <c r="D90" s="5">
        <v>350000</v>
      </c>
      <c r="E90" s="5">
        <f>+IF(FINANCIACION[[#This Row],[$ CAPITAL]]&gt;=0,FINANCIACION[[#This Row],[$ CAPITAL]]+FINANCIACION[[#This Row],[$ INTERESES]],"")</f>
        <v>350000</v>
      </c>
      <c r="F90" s="5">
        <f>+SUMIFS(FINANCIACION[$ CAPITAL],FINANCIACION[Fecha],"&lt;="&amp;FINANCIACION[[#This Row],[Fecha]],FINANCIACION[PRESTAMO],FINANCIACION[[#This Row],[PRESTAMO]])</f>
        <v>-35000000</v>
      </c>
      <c r="G90" s="53"/>
      <c r="H90" s="53"/>
      <c r="I90" s="5" t="b">
        <f>+IF(FINANCIACION[[#This Row],[$ CAPITAL]]&gt;0,FINANCIACION[[#This Row],[$ CAPITAL]])</f>
        <v>0</v>
      </c>
      <c r="J90" s="33">
        <f>+IF(FINANCIACION[[#This Row],[$ CAPITAL]]&gt;=0,FINANCIACION[[#This Row],[$ CAPITAL]]+FINANCIACION[[#This Row],[$ INTERESES]],0)</f>
        <v>350000</v>
      </c>
    </row>
    <row r="91" spans="1:34" ht="24" hidden="1" customHeight="1" x14ac:dyDescent="0.25">
      <c r="A91" s="109">
        <v>45302</v>
      </c>
      <c r="B91" s="50" t="s">
        <v>371</v>
      </c>
      <c r="C91" s="5">
        <v>0</v>
      </c>
      <c r="D91" s="5">
        <v>350000</v>
      </c>
      <c r="E91" s="5">
        <f>+IF(FINANCIACION[[#This Row],[$ CAPITAL]]&gt;=0,FINANCIACION[[#This Row],[$ CAPITAL]]+FINANCIACION[[#This Row],[$ INTERESES]],"")</f>
        <v>350000</v>
      </c>
      <c r="F91" s="5">
        <f>+SUMIFS(FINANCIACION[$ CAPITAL],FINANCIACION[Fecha],"&lt;="&amp;FINANCIACION[[#This Row],[Fecha]],FINANCIACION[PRESTAMO],FINANCIACION[[#This Row],[PRESTAMO]])</f>
        <v>-35000000</v>
      </c>
      <c r="G91" s="53"/>
      <c r="H91" s="53"/>
      <c r="I91" s="5" t="b">
        <f>+IF(FINANCIACION[[#This Row],[$ CAPITAL]]&gt;0,FINANCIACION[[#This Row],[$ CAPITAL]])</f>
        <v>0</v>
      </c>
      <c r="J91" s="33">
        <f>+IF(FINANCIACION[[#This Row],[$ CAPITAL]]&gt;=0,FINANCIACION[[#This Row],[$ CAPITAL]]+FINANCIACION[[#This Row],[$ INTERESES]],0)</f>
        <v>350000</v>
      </c>
    </row>
    <row r="92" spans="1:34" s="7" customFormat="1" ht="24" hidden="1" customHeight="1" x14ac:dyDescent="0.25">
      <c r="A92" s="109">
        <v>43074</v>
      </c>
      <c r="B92" s="50" t="s">
        <v>363</v>
      </c>
      <c r="C92" s="5">
        <v>-94935167</v>
      </c>
      <c r="D92" s="5"/>
      <c r="E92" s="5" t="str">
        <f>+IF(FINANCIACION[[#This Row],[$ CAPITAL]]&gt;=0,FINANCIACION[[#This Row],[$ CAPITAL]]+FINANCIACION[[#This Row],[$ INTERESES]],"")</f>
        <v/>
      </c>
      <c r="F92" s="5">
        <f>+SUMIFS(FINANCIACION[$ CAPITAL],FINANCIACION[Fecha],"&lt;="&amp;FINANCIACION[[#This Row],[Fecha]],FINANCIACION[PRESTAMO],FINANCIACION[[#This Row],[PRESTAMO]])</f>
        <v>-94935167</v>
      </c>
      <c r="G92" s="53"/>
      <c r="H92" s="53"/>
      <c r="I92" s="5" t="b">
        <f>IF(FINANCIACION[[#This Row],[$ CAPITAL]]&gt;0,FINANCIACION[[#This Row],[$ CAPITAL]])</f>
        <v>0</v>
      </c>
      <c r="J92" s="33">
        <f>IF(FINANCIACION[[#This Row],[$ CAPITAL]]&gt;=0,FINANCIACION[[#This Row],[$ CAPITAL]]+FINANCIACION[[#This Row],[$ INTERESES]],0)</f>
        <v>0</v>
      </c>
      <c r="K92" s="6"/>
      <c r="L92" s="6"/>
      <c r="M92" s="6"/>
      <c r="N92" s="9"/>
      <c r="O92" s="8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</row>
    <row r="93" spans="1:34" s="7" customFormat="1" ht="24" hidden="1" customHeight="1" x14ac:dyDescent="0.25">
      <c r="A93" s="109">
        <v>43475</v>
      </c>
      <c r="B93" s="50" t="s">
        <v>363</v>
      </c>
      <c r="C93" s="5"/>
      <c r="D93" s="5">
        <v>950000</v>
      </c>
      <c r="E93" s="5">
        <f>+IF(FINANCIACION[[#This Row],[$ CAPITAL]]&gt;=0,FINANCIACION[[#This Row],[$ CAPITAL]]+FINANCIACION[[#This Row],[$ INTERESES]],"")</f>
        <v>950000</v>
      </c>
      <c r="F93" s="5">
        <f>+SUMIFS(FINANCIACION[$ CAPITAL],FINANCIACION[Fecha],"&lt;="&amp;FINANCIACION[[#This Row],[Fecha]],FINANCIACION[PRESTAMO],FINANCIACION[[#This Row],[PRESTAMO]])</f>
        <v>-94935167</v>
      </c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950000</v>
      </c>
      <c r="K93" s="6"/>
      <c r="L93" s="6"/>
      <c r="M93" s="6"/>
      <c r="N93" s="9"/>
      <c r="O93" s="8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</row>
    <row r="94" spans="1:34" ht="24" hidden="1" customHeight="1" x14ac:dyDescent="0.25">
      <c r="A94" s="109">
        <v>43506</v>
      </c>
      <c r="B94" s="50" t="s">
        <v>363</v>
      </c>
      <c r="C94" s="5"/>
      <c r="D94" s="5">
        <v>950000</v>
      </c>
      <c r="E94" s="5">
        <f>+IF(FINANCIACION[[#This Row],[$ CAPITAL]]&gt;=0,FINANCIACION[[#This Row],[$ CAPITAL]]+FINANCIACION[[#This Row],[$ INTERESES]],"")</f>
        <v>950000</v>
      </c>
      <c r="F94" s="5">
        <f>+SUMIFS(FINANCIACION[$ CAPITAL],FINANCIACION[Fecha],"&lt;="&amp;FINANCIACION[[#This Row],[Fecha]],FINANCIACION[PRESTAMO],FINANCIACION[[#This Row],[PRESTAMO]])</f>
        <v>-94935167</v>
      </c>
      <c r="G94" s="53"/>
      <c r="H94" s="53"/>
      <c r="I94" s="5" t="b">
        <f>IF(FINANCIACION[[#This Row],[$ CAPITAL]]&gt;0,FINANCIACION[[#This Row],[$ CAPITAL]])</f>
        <v>0</v>
      </c>
      <c r="J94" s="33">
        <f>IF(FINANCIACION[[#This Row],[$ CAPITAL]]&gt;=0,FINANCIACION[[#This Row],[$ CAPITAL]]+FINANCIACION[[#This Row],[$ INTERESES]],0)</f>
        <v>950000</v>
      </c>
    </row>
    <row r="95" spans="1:34" ht="24" hidden="1" customHeight="1" x14ac:dyDescent="0.25">
      <c r="A95" s="109">
        <v>43534</v>
      </c>
      <c r="B95" s="50" t="s">
        <v>363</v>
      </c>
      <c r="C95" s="5"/>
      <c r="D95" s="5">
        <v>950000</v>
      </c>
      <c r="E95" s="5">
        <f>+IF(FINANCIACION[[#This Row],[$ CAPITAL]]&gt;=0,FINANCIACION[[#This Row],[$ CAPITAL]]+FINANCIACION[[#This Row],[$ INTERESES]],"")</f>
        <v>950000</v>
      </c>
      <c r="F95" s="5">
        <f>+SUMIFS(FINANCIACION[$ CAPITAL],FINANCIACION[Fecha],"&lt;="&amp;FINANCIACION[[#This Row],[Fecha]],FINANCIACION[PRESTAMO],FINANCIACION[[#This Row],[PRESTAMO]])</f>
        <v>-94935167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950000</v>
      </c>
    </row>
    <row r="96" spans="1:34" ht="24" hidden="1" customHeight="1" x14ac:dyDescent="0.25">
      <c r="A96" s="109">
        <v>43565</v>
      </c>
      <c r="B96" s="50" t="s">
        <v>363</v>
      </c>
      <c r="C96" s="5"/>
      <c r="D96" s="5">
        <v>950000</v>
      </c>
      <c r="E96" s="5">
        <f>+IF(FINANCIACION[[#This Row],[$ CAPITAL]]&gt;=0,FINANCIACION[[#This Row],[$ CAPITAL]]+FINANCIACION[[#This Row],[$ INTERESES]],"")</f>
        <v>950000</v>
      </c>
      <c r="F96" s="5">
        <f>+SUMIFS(FINANCIACION[$ CAPITAL],FINANCIACION[Fecha],"&lt;="&amp;FINANCIACION[[#This Row],[Fecha]],FINANCIACION[PRESTAMO],FINANCIACION[[#This Row],[PRESTAMO]])</f>
        <v>-94935167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950000</v>
      </c>
    </row>
    <row r="97" spans="1:10" ht="24" hidden="1" customHeight="1" x14ac:dyDescent="0.25">
      <c r="A97" s="109">
        <v>43595</v>
      </c>
      <c r="B97" s="50" t="s">
        <v>363</v>
      </c>
      <c r="C97" s="5"/>
      <c r="D97" s="5">
        <v>950000</v>
      </c>
      <c r="E97" s="5">
        <f>+IF(FINANCIACION[[#This Row],[$ CAPITAL]]&gt;=0,FINANCIACION[[#This Row],[$ CAPITAL]]+FINANCIACION[[#This Row],[$ INTERESES]],"")</f>
        <v>950000</v>
      </c>
      <c r="F97" s="5">
        <f>+SUMIFS(FINANCIACION[$ CAPITAL],FINANCIACION[Fecha],"&lt;="&amp;FINANCIACION[[#This Row],[Fecha]],FINANCIACION[PRESTAMO],FINANCIACION[[#This Row],[PRESTAMO]])</f>
        <v>-94935167</v>
      </c>
      <c r="G97" s="7"/>
      <c r="H97" s="53"/>
      <c r="I97" s="5" t="b">
        <f>IF(FINANCIACION[[#This Row],[$ CAPITAL]]&gt;0,FINANCIACION[[#This Row],[$ CAPITAL]])</f>
        <v>0</v>
      </c>
      <c r="J97" s="33">
        <f>IF(FINANCIACION[[#This Row],[$ CAPITAL]]&gt;=0,FINANCIACION[[#This Row],[$ CAPITAL]]+FINANCIACION[[#This Row],[$ INTERESES]],0)</f>
        <v>950000</v>
      </c>
    </row>
    <row r="98" spans="1:10" ht="24" hidden="1" customHeight="1" x14ac:dyDescent="0.25">
      <c r="A98" s="109">
        <v>43626</v>
      </c>
      <c r="B98" s="50" t="s">
        <v>363</v>
      </c>
      <c r="C98" s="5"/>
      <c r="D98" s="5">
        <v>950000</v>
      </c>
      <c r="E98" s="5">
        <f>+IF(FINANCIACION[[#This Row],[$ CAPITAL]]&gt;=0,FINANCIACION[[#This Row],[$ CAPITAL]]+FINANCIACION[[#This Row],[$ INTERESES]],"")</f>
        <v>950000</v>
      </c>
      <c r="F98" s="5">
        <f>+SUMIFS(FINANCIACION[$ CAPITAL],FINANCIACION[Fecha],"&lt;="&amp;FINANCIACION[[#This Row],[Fecha]],FINANCIACION[PRESTAMO],FINANCIACION[[#This Row],[PRESTAMO]])</f>
        <v>-94935167</v>
      </c>
      <c r="G98" s="53"/>
      <c r="H98" s="53"/>
      <c r="I98" s="5" t="b">
        <f>IF(FINANCIACION[[#This Row],[$ CAPITAL]]&gt;0,FINANCIACION[[#This Row],[$ CAPITAL]])</f>
        <v>0</v>
      </c>
      <c r="J98" s="33">
        <f>IF(FINANCIACION[[#This Row],[$ CAPITAL]]&gt;=0,FINANCIACION[[#This Row],[$ CAPITAL]]+FINANCIACION[[#This Row],[$ INTERESES]],0)</f>
        <v>950000</v>
      </c>
    </row>
    <row r="99" spans="1:10" ht="24" hidden="1" customHeight="1" x14ac:dyDescent="0.25">
      <c r="A99" s="109">
        <v>43656</v>
      </c>
      <c r="B99" s="50" t="s">
        <v>363</v>
      </c>
      <c r="C99" s="5"/>
      <c r="D99" s="5">
        <v>950000</v>
      </c>
      <c r="E99" s="5">
        <f>+IF(FINANCIACION[[#This Row],[$ CAPITAL]]&gt;=0,FINANCIACION[[#This Row],[$ CAPITAL]]+FINANCIACION[[#This Row],[$ INTERESES]],"")</f>
        <v>950000</v>
      </c>
      <c r="F99" s="5">
        <f>+SUMIFS(FINANCIACION[$ CAPITAL],FINANCIACION[Fecha],"&lt;="&amp;FINANCIACION[[#This Row],[Fecha]],FINANCIACION[PRESTAMO],FINANCIACION[[#This Row],[PRESTAMO]])</f>
        <v>-94935167</v>
      </c>
      <c r="G99" s="7"/>
      <c r="H99" s="53"/>
      <c r="I99" s="5" t="b">
        <f>IF(FINANCIACION[[#This Row],[$ CAPITAL]]&gt;0,FINANCIACION[[#This Row],[$ CAPITAL]])</f>
        <v>0</v>
      </c>
      <c r="J99" s="33">
        <f>IF(FINANCIACION[[#This Row],[$ CAPITAL]]&gt;=0,FINANCIACION[[#This Row],[$ CAPITAL]]+FINANCIACION[[#This Row],[$ INTERESES]],0)</f>
        <v>950000</v>
      </c>
    </row>
    <row r="100" spans="1:10" ht="24" hidden="1" customHeight="1" x14ac:dyDescent="0.25">
      <c r="A100" s="109">
        <v>43687</v>
      </c>
      <c r="B100" s="50" t="s">
        <v>363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hidden="1" customHeight="1" x14ac:dyDescent="0.25">
      <c r="A101" s="109">
        <v>43718</v>
      </c>
      <c r="B101" s="50" t="s">
        <v>363</v>
      </c>
      <c r="C101" s="5"/>
      <c r="D101" s="5">
        <v>950000</v>
      </c>
      <c r="E101" s="5">
        <f>+IF(FINANCIACION[[#This Row],[$ CAPITAL]]&gt;=0,FINANCIACION[[#This Row],[$ CAPITAL]]+FINANCIACION[[#This Row],[$ INTERESES]],"")</f>
        <v>950000</v>
      </c>
      <c r="F101" s="5">
        <f>+SUMIFS(FINANCIACION[$ CAPITAL],FINANCIACION[Fecha],"&lt;="&amp;FINANCIACION[[#This Row],[Fecha]],FINANCIACION[PRESTAMO],FINANCIACION[[#This Row],[PRESTAMO]])</f>
        <v>-94935167</v>
      </c>
      <c r="G101" s="7"/>
      <c r="H101" s="53"/>
      <c r="I101" s="5" t="b">
        <f>IF(FINANCIACION[[#This Row],[$ CAPITAL]]&gt;0,FINANCIACION[[#This Row],[$ CAPITAL]])</f>
        <v>0</v>
      </c>
      <c r="J101" s="8">
        <f>IF(FINANCIACION[[#This Row],[$ CAPITAL]]&gt;=0,FINANCIACION[[#This Row],[$ CAPITAL]]+FINANCIACION[[#This Row],[$ INTERESES]],0)</f>
        <v>950000</v>
      </c>
    </row>
    <row r="102" spans="1:10" ht="24" hidden="1" customHeight="1" x14ac:dyDescent="0.25">
      <c r="A102" s="109">
        <v>43748</v>
      </c>
      <c r="B102" s="50" t="s">
        <v>363</v>
      </c>
      <c r="C102" s="5"/>
      <c r="D102" s="5">
        <v>950000</v>
      </c>
      <c r="E102" s="5">
        <f>+IF(FINANCIACION[[#This Row],[$ CAPITAL]]&gt;=0,FINANCIACION[[#This Row],[$ CAPITAL]]+FINANCIACION[[#This Row],[$ INTERESES]],"")</f>
        <v>950000</v>
      </c>
      <c r="F102" s="5">
        <f>+SUMIFS(FINANCIACION[$ CAPITAL],FINANCIACION[Fecha],"&lt;="&amp;FINANCIACION[[#This Row],[Fecha]],FINANCIACION[PRESTAMO],FINANCIACION[[#This Row],[PRESTAMO]])</f>
        <v>-94935167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950000</v>
      </c>
    </row>
    <row r="103" spans="1:10" ht="24" hidden="1" customHeight="1" x14ac:dyDescent="0.25">
      <c r="A103" s="109">
        <v>43779</v>
      </c>
      <c r="B103" s="50" t="s">
        <v>363</v>
      </c>
      <c r="C103" s="5"/>
      <c r="D103" s="5">
        <v>950000</v>
      </c>
      <c r="E103" s="5">
        <f>+IF(FINANCIACION[[#This Row],[$ CAPITAL]]&gt;=0,FINANCIACION[[#This Row],[$ CAPITAL]]+FINANCIACION[[#This Row],[$ INTERESES]],"")</f>
        <v>950000</v>
      </c>
      <c r="F103" s="5">
        <f>+SUMIFS(FINANCIACION[$ CAPITAL],FINANCIACION[Fecha],"&lt;="&amp;FINANCIACION[[#This Row],[Fecha]],FINANCIACION[PRESTAMO],FINANCIACION[[#This Row],[PRESTAMO]])</f>
        <v>-94935167</v>
      </c>
      <c r="G103" s="7"/>
      <c r="H103" s="53"/>
      <c r="I103" s="5" t="b">
        <f>IF(FINANCIACION[[#This Row],[$ CAPITAL]]&gt;0,FINANCIACION[[#This Row],[$ CAPITAL]])</f>
        <v>0</v>
      </c>
      <c r="J103" s="8">
        <f>IF(FINANCIACION[[#This Row],[$ CAPITAL]]&gt;=0,FINANCIACION[[#This Row],[$ CAPITAL]]+FINANCIACION[[#This Row],[$ INTERESES]],0)</f>
        <v>950000</v>
      </c>
    </row>
    <row r="104" spans="1:10" ht="24" hidden="1" customHeight="1" x14ac:dyDescent="0.25">
      <c r="A104" s="109">
        <v>43809</v>
      </c>
      <c r="B104" s="50" t="s">
        <v>363</v>
      </c>
      <c r="C104" s="5"/>
      <c r="D104" s="5">
        <v>950000</v>
      </c>
      <c r="E104" s="5">
        <f>+IF(FINANCIACION[[#This Row],[$ CAPITAL]]&gt;=0,FINANCIACION[[#This Row],[$ CAPITAL]]+FINANCIACION[[#This Row],[$ INTERESES]],"")</f>
        <v>950000</v>
      </c>
      <c r="F104" s="5">
        <f>+SUMIFS(FINANCIACION[$ CAPITAL],FINANCIACION[Fecha],"&lt;="&amp;FINANCIACION[[#This Row],[Fecha]],FINANCIACION[PRESTAMO],FINANCIACION[[#This Row],[PRESTAMO]])</f>
        <v>-94935167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950000</v>
      </c>
    </row>
    <row r="105" spans="1:10" ht="24" hidden="1" customHeight="1" x14ac:dyDescent="0.25">
      <c r="A105" s="298">
        <v>43840</v>
      </c>
      <c r="B105" s="50" t="s">
        <v>363</v>
      </c>
      <c r="C105" s="5"/>
      <c r="D105" s="5">
        <v>950000</v>
      </c>
      <c r="E105" s="5">
        <f>+IF(FINANCIACION[[#This Row],[$ CAPITAL]]&gt;=0,FINANCIACION[[#This Row],[$ CAPITAL]]+FINANCIACION[[#This Row],[$ INTERESES]],"")</f>
        <v>950000</v>
      </c>
      <c r="F105" s="5">
        <f>+SUMIFS(FINANCIACION[$ CAPITAL],FINANCIACION[Fecha],"&lt;="&amp;FINANCIACION[[#This Row],[Fecha]],FINANCIACION[PRESTAMO],FINANCIACION[[#This Row],[PRESTAMO]])</f>
        <v>-94935167</v>
      </c>
      <c r="G105" s="53"/>
      <c r="H105" s="53"/>
      <c r="I105" s="5" t="b">
        <f>IF(FINANCIACION[[#This Row],[$ CAPITAL]]&gt;0,FINANCIACION[[#This Row],[$ CAPITAL]])</f>
        <v>0</v>
      </c>
      <c r="J105" s="33">
        <f>IF(FINANCIACION[[#This Row],[$ CAPITAL]]&gt;=0,FINANCIACION[[#This Row],[$ CAPITAL]]+FINANCIACION[[#This Row],[$ INTERESES]],0)</f>
        <v>950000</v>
      </c>
    </row>
    <row r="106" spans="1:10" ht="24" hidden="1" customHeight="1" x14ac:dyDescent="0.25">
      <c r="A106" s="298">
        <v>43871</v>
      </c>
      <c r="B106" s="50" t="s">
        <v>363</v>
      </c>
      <c r="C106" s="5"/>
      <c r="D106" s="5">
        <v>950000</v>
      </c>
      <c r="E106" s="5">
        <f>+IF(FINANCIACION[[#This Row],[$ CAPITAL]]&gt;=0,FINANCIACION[[#This Row],[$ CAPITAL]]+FINANCIACION[[#This Row],[$ INTERESES]],"")</f>
        <v>950000</v>
      </c>
      <c r="F106" s="5">
        <f>+SUMIFS(FINANCIACION[$ CAPITAL],FINANCIACION[Fecha],"&lt;="&amp;FINANCIACION[[#This Row],[Fecha]],FINANCIACION[PRESTAMO],FINANCIACION[[#This Row],[PRESTAMO]])</f>
        <v>-94935167</v>
      </c>
      <c r="G106" s="53"/>
      <c r="H106" s="53"/>
      <c r="I106" s="5" t="b">
        <f>IF(FINANCIACION[[#This Row],[$ CAPITAL]]&gt;0,FINANCIACION[[#This Row],[$ CAPITAL]])</f>
        <v>0</v>
      </c>
      <c r="J106" s="33">
        <f>IF(FINANCIACION[[#This Row],[$ CAPITAL]]&gt;=0,FINANCIACION[[#This Row],[$ CAPITAL]]+FINANCIACION[[#This Row],[$ INTERESES]],0)</f>
        <v>950000</v>
      </c>
    </row>
    <row r="107" spans="1:10" ht="24" hidden="1" customHeight="1" x14ac:dyDescent="0.25">
      <c r="A107" s="298">
        <v>44083</v>
      </c>
      <c r="B107" s="50" t="s">
        <v>363</v>
      </c>
      <c r="C107" s="5"/>
      <c r="D107" s="5">
        <v>950000</v>
      </c>
      <c r="E107" s="5">
        <f>+IF(FINANCIACION[[#This Row],[$ CAPITAL]]&gt;=0,FINANCIACION[[#This Row],[$ CAPITAL]]+FINANCIACION[[#This Row],[$ INTERESES]],"")</f>
        <v>950000</v>
      </c>
      <c r="F107" s="5">
        <f>+SUMIFS(FINANCIACION[$ CAPITAL],FINANCIACION[Fecha],"&lt;="&amp;FINANCIACION[[#This Row],[Fecha]],FINANCIACION[PRESTAMO],FINANCIACION[[#This Row],[PRESTAMO]])</f>
        <v>-94935167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950000</v>
      </c>
    </row>
    <row r="108" spans="1:10" ht="24" hidden="1" customHeight="1" x14ac:dyDescent="0.25">
      <c r="A108" s="298">
        <v>44109</v>
      </c>
      <c r="B108" s="50" t="s">
        <v>363</v>
      </c>
      <c r="C108" s="5"/>
      <c r="D108" s="5">
        <v>950000</v>
      </c>
      <c r="E108" s="5">
        <f>+IF(FINANCIACION[[#This Row],[$ CAPITAL]]&gt;=0,FINANCIACION[[#This Row],[$ CAPITAL]]+FINANCIACION[[#This Row],[$ INTERESES]],"")</f>
        <v>950000</v>
      </c>
      <c r="F108" s="5">
        <f>+SUMIFS(FINANCIACION[$ CAPITAL],FINANCIACION[Fecha],"&lt;="&amp;FINANCIACION[[#This Row],[Fecha]],FINANCIACION[PRESTAMO],FINANCIACION[[#This Row],[PRESTAMO]])</f>
        <v>-94935167</v>
      </c>
      <c r="G108" s="7"/>
      <c r="H108" s="53"/>
      <c r="I108" s="5" t="b">
        <f>IF(FINANCIACION[[#This Row],[$ CAPITAL]]&gt;0,FINANCIACION[[#This Row],[$ CAPITAL]])</f>
        <v>0</v>
      </c>
      <c r="J108" s="33">
        <f>IF(FINANCIACION[[#This Row],[$ CAPITAL]]&gt;=0,FINANCIACION[[#This Row],[$ CAPITAL]]+FINANCIACION[[#This Row],[$ INTERESES]],0)</f>
        <v>950000</v>
      </c>
    </row>
    <row r="109" spans="1:10" ht="24" hidden="1" customHeight="1" x14ac:dyDescent="0.25">
      <c r="A109" s="298">
        <v>44142</v>
      </c>
      <c r="B109" s="50" t="s">
        <v>363</v>
      </c>
      <c r="C109" s="5"/>
      <c r="D109" s="5">
        <v>950000</v>
      </c>
      <c r="E109" s="5">
        <f>+IF(FINANCIACION[[#This Row],[$ CAPITAL]]&gt;=0,FINANCIACION[[#This Row],[$ CAPITAL]]+FINANCIACION[[#This Row],[$ INTERESES]],"")</f>
        <v>950000</v>
      </c>
      <c r="F109" s="5">
        <f>+SUMIFS(FINANCIACION[$ CAPITAL],FINANCIACION[Fecha],"&lt;="&amp;FINANCIACION[[#This Row],[Fecha]],FINANCIACION[PRESTAMO],FINANCIACION[[#This Row],[PRESTAMO]])</f>
        <v>-94935167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950000</v>
      </c>
    </row>
    <row r="110" spans="1:10" ht="24" hidden="1" customHeight="1" x14ac:dyDescent="0.25">
      <c r="A110" s="298">
        <v>44144</v>
      </c>
      <c r="B110" s="50" t="s">
        <v>363</v>
      </c>
      <c r="C110" s="5">
        <v>3917000</v>
      </c>
      <c r="D110" s="5"/>
      <c r="E110" s="5">
        <f>+IF(FINANCIACION[[#This Row],[$ CAPITAL]]&gt;=0,FINANCIACION[[#This Row],[$ CAPITAL]]+FINANCIACION[[#This Row],[$ INTERESES]],"")</f>
        <v>3917000</v>
      </c>
      <c r="F110" s="5">
        <f>+SUMIFS(FINANCIACION[$ CAPITAL],FINANCIACION[Fecha],"&lt;="&amp;FINANCIACION[[#This Row],[Fecha]],FINANCIACION[PRESTAMO],FINANCIACION[[#This Row],[PRESTAMO]])</f>
        <v>-91018167</v>
      </c>
      <c r="G110" s="7"/>
      <c r="H110" s="53"/>
      <c r="I110" s="5">
        <f>IF(FINANCIACION[[#This Row],[$ CAPITAL]]&gt;0,FINANCIACION[[#This Row],[$ CAPITAL]])</f>
        <v>3917000</v>
      </c>
      <c r="J110" s="33">
        <f>IF(FINANCIACION[[#This Row],[$ CAPITAL]]&gt;=0,FINANCIACION[[#This Row],[$ CAPITAL]]+FINANCIACION[[#This Row],[$ INTERESES]],0)</f>
        <v>3917000</v>
      </c>
    </row>
    <row r="111" spans="1:10" ht="24" hidden="1" customHeight="1" x14ac:dyDescent="0.25">
      <c r="A111" s="298">
        <v>44175</v>
      </c>
      <c r="B111" s="50" t="s">
        <v>363</v>
      </c>
      <c r="C111" s="5">
        <v>1655718.33</v>
      </c>
      <c r="D111" s="5">
        <v>910181.67</v>
      </c>
      <c r="E111" s="5">
        <f>+IF(FINANCIACION[[#This Row],[$ CAPITAL]]&gt;=0,FINANCIACION[[#This Row],[$ CAPITAL]]+FINANCIACION[[#This Row],[$ INTERESES]],"")</f>
        <v>2565900</v>
      </c>
      <c r="F111" s="5">
        <f>+SUMIFS(FINANCIACION[$ CAPITAL],FINANCIACION[Fecha],"&lt;="&amp;FINANCIACION[[#This Row],[Fecha]],FINANCIACION[PRESTAMO],FINANCIACION[[#This Row],[PRESTAMO]])</f>
        <v>-89362448.670000002</v>
      </c>
      <c r="G111" s="7"/>
      <c r="H111" s="53"/>
      <c r="I111" s="5">
        <f>IF(FINANCIACION[[#This Row],[$ CAPITAL]]&gt;0,FINANCIACION[[#This Row],[$ CAPITAL]])</f>
        <v>1655718.33</v>
      </c>
      <c r="J111" s="33">
        <f>IF(FINANCIACION[[#This Row],[$ CAPITAL]]&gt;=0,FINANCIACION[[#This Row],[$ CAPITAL]]+FINANCIACION[[#This Row],[$ INTERESES]],0)</f>
        <v>2565900</v>
      </c>
    </row>
    <row r="112" spans="1:10" ht="24" hidden="1" customHeight="1" x14ac:dyDescent="0.25">
      <c r="A112" s="109">
        <v>44204</v>
      </c>
      <c r="B112" s="50" t="s">
        <v>363</v>
      </c>
      <c r="C112" s="5">
        <v>1672275.5133</v>
      </c>
      <c r="D112" s="5">
        <v>893624.48670000001</v>
      </c>
      <c r="E112" s="5">
        <f>+IF(FINANCIACION[[#This Row],[$ CAPITAL]]&gt;=0,FINANCIACION[[#This Row],[$ CAPITAL]]+FINANCIACION[[#This Row],[$ INTERESES]],"")</f>
        <v>2565900</v>
      </c>
      <c r="F112" s="5">
        <f>+SUMIFS(FINANCIACION[$ CAPITAL],FINANCIACION[Fecha],"&lt;="&amp;FINANCIACION[[#This Row],[Fecha]],FINANCIACION[PRESTAMO],FINANCIACION[[#This Row],[PRESTAMO]])</f>
        <v>-87690173.1567</v>
      </c>
      <c r="G112" s="7"/>
      <c r="H112" s="53"/>
      <c r="I112" s="5">
        <f>IF(FINANCIACION[[#This Row],[$ CAPITAL]]&gt;0,FINANCIACION[[#This Row],[$ CAPITAL]])</f>
        <v>1672275.5133</v>
      </c>
      <c r="J112" s="33">
        <f>IF(FINANCIACION[[#This Row],[$ CAPITAL]]&gt;=0,FINANCIACION[[#This Row],[$ CAPITAL]]+FINANCIACION[[#This Row],[$ INTERESES]],0)</f>
        <v>2565900</v>
      </c>
    </row>
    <row r="113" spans="1:10" ht="24" hidden="1" customHeight="1" x14ac:dyDescent="0.25">
      <c r="A113" s="109">
        <v>44237</v>
      </c>
      <c r="B113" s="50" t="s">
        <v>363</v>
      </c>
      <c r="C113" s="5">
        <v>1672275.5133</v>
      </c>
      <c r="D113" s="5">
        <v>893624.48670000001</v>
      </c>
      <c r="E113" s="5">
        <f>+IF(FINANCIACION[[#This Row],[$ CAPITAL]]&gt;=0,FINANCIACION[[#This Row],[$ CAPITAL]]+FINANCIACION[[#This Row],[$ INTERESES]],"")</f>
        <v>2565900</v>
      </c>
      <c r="F113" s="5">
        <f>+SUMIFS(FINANCIACION[$ CAPITAL],FINANCIACION[Fecha],"&lt;="&amp;FINANCIACION[[#This Row],[Fecha]],FINANCIACION[PRESTAMO],FINANCIACION[[#This Row],[PRESTAMO]])</f>
        <v>-86017897.643399999</v>
      </c>
      <c r="G113" s="7"/>
      <c r="H113" s="53"/>
      <c r="I113" s="5">
        <f>IF(FINANCIACION[[#This Row],[$ CAPITAL]]&gt;0,FINANCIACION[[#This Row],[$ CAPITAL]])</f>
        <v>1672275.5133</v>
      </c>
      <c r="J113" s="33">
        <f>IF(FINANCIACION[[#This Row],[$ CAPITAL]]&gt;=0,FINANCIACION[[#This Row],[$ CAPITAL]]+FINANCIACION[[#This Row],[$ INTERESES]],0)</f>
        <v>2565900</v>
      </c>
    </row>
    <row r="114" spans="1:10" ht="24" hidden="1" customHeight="1" x14ac:dyDescent="0.25">
      <c r="A114" s="109">
        <v>44264</v>
      </c>
      <c r="B114" s="50" t="s">
        <v>363</v>
      </c>
      <c r="C114" s="5">
        <v>1705721.0235660002</v>
      </c>
      <c r="D114" s="5">
        <v>860178.97643399995</v>
      </c>
      <c r="E114" s="5">
        <f>+IF(FINANCIACION[[#This Row],[$ CAPITAL]]&gt;=0,FINANCIACION[[#This Row],[$ CAPITAL]]+FINANCIACION[[#This Row],[$ INTERESES]],"")</f>
        <v>2565900</v>
      </c>
      <c r="F114" s="5">
        <f>+SUMIFS(FINANCIACION[$ CAPITAL],FINANCIACION[Fecha],"&lt;="&amp;FINANCIACION[[#This Row],[Fecha]],FINANCIACION[PRESTAMO],FINANCIACION[[#This Row],[PRESTAMO]])</f>
        <v>-84312176.619834006</v>
      </c>
      <c r="G114" s="7"/>
      <c r="H114" s="53"/>
      <c r="I114" s="5">
        <f>IF(FINANCIACION[[#This Row],[$ CAPITAL]]&gt;0,FINANCIACION[[#This Row],[$ CAPITAL]])</f>
        <v>1705721.0235660002</v>
      </c>
      <c r="J114" s="33">
        <f>IF(FINANCIACION[[#This Row],[$ CAPITAL]]&gt;=0,FINANCIACION[[#This Row],[$ CAPITAL]]+FINANCIACION[[#This Row],[$ INTERESES]],0)</f>
        <v>2565900</v>
      </c>
    </row>
    <row r="115" spans="1:10" ht="24" hidden="1" customHeight="1" x14ac:dyDescent="0.25">
      <c r="A115" s="109">
        <v>44299</v>
      </c>
      <c r="B115" s="50" t="s">
        <v>363</v>
      </c>
      <c r="C115" s="5">
        <v>1722778.2338016599</v>
      </c>
      <c r="D115" s="5">
        <v>843121.7661983401</v>
      </c>
      <c r="E115" s="5">
        <f>+IF(FINANCIACION[[#This Row],[$ CAPITAL]]&gt;=0,FINANCIACION[[#This Row],[$ CAPITAL]]+FINANCIACION[[#This Row],[$ INTERESES]],"")</f>
        <v>2565900</v>
      </c>
      <c r="F115" s="5">
        <f>+SUMIFS(FINANCIACION[$ CAPITAL],FINANCIACION[Fecha],"&lt;="&amp;FINANCIACION[[#This Row],[Fecha]],FINANCIACION[PRESTAMO],FINANCIACION[[#This Row],[PRESTAMO]])</f>
        <v>-82589398.386032343</v>
      </c>
      <c r="G115" s="7"/>
      <c r="H115" s="53"/>
      <c r="I115" s="5">
        <f>IF(FINANCIACION[[#This Row],[$ CAPITAL]]&gt;0,FINANCIACION[[#This Row],[$ CAPITAL]])</f>
        <v>1722778.2338016599</v>
      </c>
      <c r="J115" s="33">
        <f>IF(FINANCIACION[[#This Row],[$ CAPITAL]]&gt;=0,FINANCIACION[[#This Row],[$ CAPITAL]]+FINANCIACION[[#This Row],[$ INTERESES]],0)</f>
        <v>2565900</v>
      </c>
    </row>
    <row r="116" spans="1:10" ht="24" hidden="1" customHeight="1" x14ac:dyDescent="0.25">
      <c r="A116" s="109">
        <v>44357</v>
      </c>
      <c r="B116" s="50" t="s">
        <v>363</v>
      </c>
      <c r="C116" s="5">
        <v>1851506.0161396766</v>
      </c>
      <c r="D116" s="5">
        <v>825893.98386032344</v>
      </c>
      <c r="E116" s="5">
        <f>+IF(FINANCIACION[[#This Row],[$ CAPITAL]]&gt;=0,FINANCIACION[[#This Row],[$ CAPITAL]]+FINANCIACION[[#This Row],[$ INTERESES]],"")</f>
        <v>2677400</v>
      </c>
      <c r="F116" s="5">
        <f>+SUMIFS(FINANCIACION[$ CAPITAL],FINANCIACION[Fecha],"&lt;="&amp;FINANCIACION[[#This Row],[Fecha]],FINANCIACION[PRESTAMO],FINANCIACION[[#This Row],[PRESTAMO]])</f>
        <v>-80737892.369892672</v>
      </c>
      <c r="G116" s="7"/>
      <c r="H116" s="53"/>
      <c r="I116" s="5">
        <f>IF(FINANCIACION[[#This Row],[$ CAPITAL]]&gt;0,FINANCIACION[[#This Row],[$ CAPITAL]])</f>
        <v>1851506.0161396766</v>
      </c>
      <c r="J116" s="8">
        <f>IF(FINANCIACION[[#This Row],[$ CAPITAL]]&gt;=0,FINANCIACION[[#This Row],[$ CAPITAL]]+FINANCIACION[[#This Row],[$ INTERESES]],0)</f>
        <v>2677400</v>
      </c>
    </row>
    <row r="117" spans="1:10" ht="24" hidden="1" customHeight="1" x14ac:dyDescent="0.25">
      <c r="A117" s="109">
        <v>44390</v>
      </c>
      <c r="B117" s="50" t="s">
        <v>363</v>
      </c>
      <c r="C117" s="5">
        <v>1859999.0763010732</v>
      </c>
      <c r="D117" s="5">
        <v>807378.92369892669</v>
      </c>
      <c r="E117" s="5">
        <f>+IF(FINANCIACION[[#This Row],[$ CAPITAL]]&gt;=0,FINANCIACION[[#This Row],[$ CAPITAL]]+FINANCIACION[[#This Row],[$ INTERESES]],"")</f>
        <v>2667378</v>
      </c>
      <c r="F117" s="5">
        <f>+SUMIFS(FINANCIACION[$ CAPITAL],FINANCIACION[Fecha],"&lt;="&amp;FINANCIACION[[#This Row],[Fecha]],FINANCIACION[PRESTAMO],FINANCIACION[[#This Row],[PRESTAMO]])</f>
        <v>-78877893.293591604</v>
      </c>
      <c r="G117" s="7"/>
      <c r="H117" s="53"/>
      <c r="I117" s="5">
        <f>IF(FINANCIACION[[#This Row],[$ CAPITAL]]&gt;0,FINANCIACION[[#This Row],[$ CAPITAL]])</f>
        <v>1859999.0763010732</v>
      </c>
      <c r="J117" s="33">
        <f>IF(FINANCIACION[[#This Row],[$ CAPITAL]]&gt;=0,FINANCIACION[[#This Row],[$ CAPITAL]]+FINANCIACION[[#This Row],[$ INTERESES]],0)</f>
        <v>2667378</v>
      </c>
    </row>
    <row r="118" spans="1:10" ht="24" hidden="1" customHeight="1" x14ac:dyDescent="0.25">
      <c r="A118" s="109">
        <v>44422</v>
      </c>
      <c r="B118" s="50" t="s">
        <v>363</v>
      </c>
      <c r="C118" s="5">
        <v>1878599.0670640841</v>
      </c>
      <c r="D118" s="5">
        <v>788778.932935916</v>
      </c>
      <c r="E118" s="5">
        <f>+IF(FINANCIACION[[#This Row],[$ CAPITAL]]&gt;=0,FINANCIACION[[#This Row],[$ CAPITAL]]+FINANCIACION[[#This Row],[$ INTERESES]],"")</f>
        <v>2667378</v>
      </c>
      <c r="F118" s="5">
        <f>+SUMIFS(FINANCIACION[$ CAPITAL],FINANCIACION[Fecha],"&lt;="&amp;FINANCIACION[[#This Row],[Fecha]],FINANCIACION[PRESTAMO],FINANCIACION[[#This Row],[PRESTAMO]])</f>
        <v>-76999294.226527512</v>
      </c>
      <c r="G118" s="53"/>
      <c r="H118" s="53"/>
      <c r="I118" s="5">
        <f>IF(FINANCIACION[[#This Row],[$ CAPITAL]]&gt;0,FINANCIACION[[#This Row],[$ CAPITAL]])</f>
        <v>1878599.0670640841</v>
      </c>
      <c r="J118" s="33">
        <f>IF(FINANCIACION[[#This Row],[$ CAPITAL]]&gt;=0,FINANCIACION[[#This Row],[$ CAPITAL]]+FINANCIACION[[#This Row],[$ INTERESES]],0)</f>
        <v>2667378</v>
      </c>
    </row>
    <row r="119" spans="1:10" ht="24" hidden="1" customHeight="1" x14ac:dyDescent="0.25">
      <c r="A119" s="109">
        <v>44450</v>
      </c>
      <c r="B119" s="50" t="s">
        <v>363</v>
      </c>
      <c r="C119" s="5">
        <v>1907385.0577347248</v>
      </c>
      <c r="D119" s="5">
        <v>769992.94226527517</v>
      </c>
      <c r="E119" s="5">
        <f>+IF(FINANCIACION[[#This Row],[$ CAPITAL]]&gt;=0,FINANCIACION[[#This Row],[$ CAPITAL]]+FINANCIACION[[#This Row],[$ INTERESES]],"")</f>
        <v>2677378</v>
      </c>
      <c r="F119" s="5">
        <f>+SUMIFS(FINANCIACION[$ CAPITAL],FINANCIACION[Fecha],"&lt;="&amp;FINANCIACION[[#This Row],[Fecha]],FINANCIACION[PRESTAMO],FINANCIACION[[#This Row],[PRESTAMO]])</f>
        <v>-75091909.168792784</v>
      </c>
      <c r="G119" s="53"/>
      <c r="H119" s="53"/>
      <c r="I119" s="5">
        <f>IF(FINANCIACION[[#This Row],[$ CAPITAL]]&gt;0,FINANCIACION[[#This Row],[$ CAPITAL]])</f>
        <v>1907385.0577347248</v>
      </c>
      <c r="J119" s="33">
        <f>IF(FINANCIACION[[#This Row],[$ CAPITAL]]&gt;=0,FINANCIACION[[#This Row],[$ CAPITAL]]+FINANCIACION[[#This Row],[$ INTERESES]],0)</f>
        <v>2677378</v>
      </c>
    </row>
    <row r="120" spans="1:10" ht="24" hidden="1" customHeight="1" x14ac:dyDescent="0.25">
      <c r="A120" s="109">
        <v>44477</v>
      </c>
      <c r="B120" s="50" t="s">
        <v>363</v>
      </c>
      <c r="C120" s="5">
        <v>1926458.90831207</v>
      </c>
      <c r="D120" s="5">
        <v>750919.09168792795</v>
      </c>
      <c r="E120" s="5">
        <f>+IF(FINANCIACION[[#This Row],[$ CAPITAL]]&gt;=0,FINANCIACION[[#This Row],[$ CAPITAL]]+FINANCIACION[[#This Row],[$ INTERESES]],"")</f>
        <v>2677377.9999999981</v>
      </c>
      <c r="F120" s="5">
        <f>+SUMIFS(FINANCIACION[$ CAPITAL],FINANCIACION[Fecha],"&lt;="&amp;FINANCIACION[[#This Row],[Fecha]],FINANCIACION[PRESTAMO],FINANCIACION[[#This Row],[PRESTAMO]])</f>
        <v>-73165450.260480717</v>
      </c>
      <c r="G120" s="7"/>
      <c r="H120" s="53"/>
      <c r="I120" s="5">
        <f>IF(FINANCIACION[[#This Row],[$ CAPITAL]]&gt;0,FINANCIACION[[#This Row],[$ CAPITAL]])</f>
        <v>1926458.90831207</v>
      </c>
      <c r="J120" s="33">
        <f>IF(FINANCIACION[[#This Row],[$ CAPITAL]]&gt;=0,FINANCIACION[[#This Row],[$ CAPITAL]]+FINANCIACION[[#This Row],[$ INTERESES]],0)</f>
        <v>2677377.9999999981</v>
      </c>
    </row>
    <row r="121" spans="1:10" ht="24" hidden="1" customHeight="1" x14ac:dyDescent="0.25">
      <c r="A121" s="109">
        <v>44510</v>
      </c>
      <c r="B121" s="50" t="s">
        <v>363</v>
      </c>
      <c r="C121" s="5">
        <v>1945723.4973951909</v>
      </c>
      <c r="D121" s="5">
        <v>731654.50260480714</v>
      </c>
      <c r="E121" s="5">
        <f>+IF(FINANCIACION[[#This Row],[$ CAPITAL]]&gt;=0,FINANCIACION[[#This Row],[$ CAPITAL]]+FINANCIACION[[#This Row],[$ INTERESES]],"")</f>
        <v>2677377.9999999981</v>
      </c>
      <c r="F121" s="5">
        <f>+SUMIFS(FINANCIACION[$ CAPITAL],FINANCIACION[Fecha],"&lt;="&amp;FINANCIACION[[#This Row],[Fecha]],FINANCIACION[PRESTAMO],FINANCIACION[[#This Row],[PRESTAMO]])</f>
        <v>-71219726.763085529</v>
      </c>
      <c r="G121" s="53"/>
      <c r="H121" s="53"/>
      <c r="I121" s="5">
        <f>IF(FINANCIACION[[#This Row],[$ CAPITAL]]&gt;0,FINANCIACION[[#This Row],[$ CAPITAL]])</f>
        <v>1945723.4973951909</v>
      </c>
      <c r="J121" s="33">
        <f>IF(FINANCIACION[[#This Row],[$ CAPITAL]]&gt;=0,FINANCIACION[[#This Row],[$ CAPITAL]]+FINANCIACION[[#This Row],[$ INTERESES]],0)</f>
        <v>2677377.9999999981</v>
      </c>
    </row>
    <row r="122" spans="1:10" ht="24" hidden="1" customHeight="1" x14ac:dyDescent="0.25">
      <c r="A122" s="109">
        <v>44539</v>
      </c>
      <c r="B122" s="50" t="s">
        <v>363</v>
      </c>
      <c r="C122" s="5">
        <v>1965180.7323691447</v>
      </c>
      <c r="D122" s="5">
        <v>712197.26763085532</v>
      </c>
      <c r="E122" s="5">
        <f>+IF(FINANCIACION[[#This Row],[$ CAPITAL]]&gt;=0,FINANCIACION[[#This Row],[$ CAPITAL]]+FINANCIACION[[#This Row],[$ INTERESES]],"")</f>
        <v>2677378</v>
      </c>
      <c r="F122" s="5">
        <f>+SUMIFS(FINANCIACION[$ CAPITAL],FINANCIACION[Fecha],"&lt;="&amp;FINANCIACION[[#This Row],[Fecha]],FINANCIACION[PRESTAMO],FINANCIACION[[#This Row],[PRESTAMO]])</f>
        <v>-69254546.030716389</v>
      </c>
      <c r="G122" s="53"/>
      <c r="H122" s="53"/>
      <c r="I122" s="5">
        <f>IF(FINANCIACION[[#This Row],[$ CAPITAL]]&gt;0,FINANCIACION[[#This Row],[$ CAPITAL]])</f>
        <v>1965180.7323691447</v>
      </c>
      <c r="J122" s="33">
        <f>IF(FINANCIACION[[#This Row],[$ CAPITAL]]&gt;=0,FINANCIACION[[#This Row],[$ CAPITAL]]+FINANCIACION[[#This Row],[$ INTERESES]],0)</f>
        <v>2677378</v>
      </c>
    </row>
    <row r="123" spans="1:10" ht="24" hidden="1" customHeight="1" x14ac:dyDescent="0.25">
      <c r="A123" s="109">
        <v>44572</v>
      </c>
      <c r="B123" s="50" t="s">
        <v>363</v>
      </c>
      <c r="C123" s="5">
        <v>1984832.5396928361</v>
      </c>
      <c r="D123" s="5">
        <v>692545.46030716388</v>
      </c>
      <c r="E123" s="5">
        <f>+IF(FINANCIACION[[#This Row],[$ CAPITAL]]&gt;=0,FINANCIACION[[#This Row],[$ CAPITAL]]+FINANCIACION[[#This Row],[$ INTERESES]],"")</f>
        <v>2677378</v>
      </c>
      <c r="F123" s="5">
        <f>+SUMIFS(FINANCIACION[$ CAPITAL],FINANCIACION[Fecha],"&lt;="&amp;FINANCIACION[[#This Row],[Fecha]],FINANCIACION[PRESTAMO],FINANCIACION[[#This Row],[PRESTAMO]])</f>
        <v>-67269713.491023555</v>
      </c>
      <c r="G123" s="53"/>
      <c r="H123" s="53"/>
      <c r="I123" s="5">
        <f>IF(FINANCIACION[[#This Row],[$ CAPITAL]]&gt;0,FINANCIACION[[#This Row],[$ CAPITAL]])</f>
        <v>1984832.5396928361</v>
      </c>
      <c r="J123" s="33">
        <f>IF(FINANCIACION[[#This Row],[$ CAPITAL]]&gt;=0,FINANCIACION[[#This Row],[$ CAPITAL]]+FINANCIACION[[#This Row],[$ INTERESES]],0)</f>
        <v>2677378</v>
      </c>
    </row>
    <row r="124" spans="1:10" ht="24" hidden="1" customHeight="1" x14ac:dyDescent="0.25">
      <c r="A124" s="109">
        <v>44602</v>
      </c>
      <c r="B124" s="50" t="s">
        <v>363</v>
      </c>
      <c r="C124" s="5">
        <v>2004680.8650897644</v>
      </c>
      <c r="D124" s="5">
        <v>672697.13491023553</v>
      </c>
      <c r="E124" s="5">
        <f>+IF(FINANCIACION[[#This Row],[$ CAPITAL]]&gt;=0,FINANCIACION[[#This Row],[$ CAPITAL]]+FINANCIACION[[#This Row],[$ INTERESES]],"")</f>
        <v>2677378</v>
      </c>
      <c r="F124" s="5">
        <f>+SUMIFS(FINANCIACION[$ CAPITAL],FINANCIACION[Fecha],"&lt;="&amp;FINANCIACION[[#This Row],[Fecha]],FINANCIACION[PRESTAMO],FINANCIACION[[#This Row],[PRESTAMO]])</f>
        <v>-65265032.625933789</v>
      </c>
      <c r="G124" s="53"/>
      <c r="H124" s="53"/>
      <c r="I124" s="5">
        <f>+IF(FINANCIACION[[#This Row],[$ CAPITAL]]&gt;0,FINANCIACION[[#This Row],[$ CAPITAL]])</f>
        <v>2004680.8650897644</v>
      </c>
      <c r="J124" s="33">
        <f>+IF(FINANCIACION[[#This Row],[$ CAPITAL]]&gt;=0,FINANCIACION[[#This Row],[$ CAPITAL]]+FINANCIACION[[#This Row],[$ INTERESES]],0)</f>
        <v>2677378</v>
      </c>
    </row>
    <row r="125" spans="1:10" ht="24" hidden="1" customHeight="1" x14ac:dyDescent="0.25">
      <c r="A125" s="109">
        <v>44630</v>
      </c>
      <c r="B125" s="50" t="s">
        <v>363</v>
      </c>
      <c r="C125" s="5">
        <v>2024727.6737406622</v>
      </c>
      <c r="D125" s="5">
        <v>652650.32625933795</v>
      </c>
      <c r="E125" s="5">
        <f>+IF(FINANCIACION[[#This Row],[$ CAPITAL]]&gt;=0,FINANCIACION[[#This Row],[$ CAPITAL]]+FINANCIACION[[#This Row],[$ INTERESES]],"")</f>
        <v>2677378</v>
      </c>
      <c r="F125" s="5">
        <f>+SUMIFS(FINANCIACION[$ CAPITAL],FINANCIACION[Fecha],"&lt;="&amp;FINANCIACION[[#This Row],[Fecha]],FINANCIACION[PRESTAMO],FINANCIACION[[#This Row],[PRESTAMO]])</f>
        <v>-63240304.952193126</v>
      </c>
      <c r="G125" s="53"/>
      <c r="H125" s="53"/>
      <c r="I125" s="5">
        <f>+IF(FINANCIACION[[#This Row],[$ CAPITAL]]&gt;0,FINANCIACION[[#This Row],[$ CAPITAL]])</f>
        <v>2024727.6737406622</v>
      </c>
      <c r="J125" s="33">
        <f>+IF(FINANCIACION[[#This Row],[$ CAPITAL]]&gt;=0,FINANCIACION[[#This Row],[$ CAPITAL]]+FINANCIACION[[#This Row],[$ INTERESES]],0)</f>
        <v>2677378</v>
      </c>
    </row>
    <row r="126" spans="1:10" ht="24" hidden="1" customHeight="1" x14ac:dyDescent="0.25">
      <c r="A126" s="109">
        <v>44664</v>
      </c>
      <c r="B126" s="50" t="s">
        <v>363</v>
      </c>
      <c r="C126" s="5">
        <v>2044974.9504780686</v>
      </c>
      <c r="D126" s="5">
        <v>632403.04952193133</v>
      </c>
      <c r="E126" s="5">
        <f>+IF(FINANCIACION[[#This Row],[$ CAPITAL]]&gt;=0,FINANCIACION[[#This Row],[$ CAPITAL]]+FINANCIACION[[#This Row],[$ INTERESES]],"")</f>
        <v>2677378</v>
      </c>
      <c r="F126" s="5">
        <f>+SUMIFS(FINANCIACION[$ CAPITAL],FINANCIACION[Fecha],"&lt;="&amp;FINANCIACION[[#This Row],[Fecha]],FINANCIACION[PRESTAMO],FINANCIACION[[#This Row],[PRESTAMO]])</f>
        <v>-61195330.001715057</v>
      </c>
      <c r="G126" s="53"/>
      <c r="H126" s="53"/>
      <c r="I126" s="5">
        <f>+IF(FINANCIACION[[#This Row],[$ CAPITAL]]&gt;0,FINANCIACION[[#This Row],[$ CAPITAL]])</f>
        <v>2044974.9504780686</v>
      </c>
      <c r="J126" s="33">
        <f>+IF(FINANCIACION[[#This Row],[$ CAPITAL]]&gt;=0,FINANCIACION[[#This Row],[$ CAPITAL]]+FINANCIACION[[#This Row],[$ INTERESES]],0)</f>
        <v>2677378</v>
      </c>
    </row>
    <row r="127" spans="1:10" ht="24" hidden="1" customHeight="1" x14ac:dyDescent="0.25">
      <c r="A127" s="109">
        <v>44691</v>
      </c>
      <c r="B127" s="50" t="s">
        <v>363</v>
      </c>
      <c r="C127" s="5">
        <v>2065424.6999828494</v>
      </c>
      <c r="D127" s="5">
        <v>611953.30001715058</v>
      </c>
      <c r="E127" s="5">
        <f>+IF(FINANCIACION[[#This Row],[$ CAPITAL]]&gt;=0,FINANCIACION[[#This Row],[$ CAPITAL]]+FINANCIACION[[#This Row],[$ INTERESES]],"")</f>
        <v>2677378</v>
      </c>
      <c r="F127" s="5">
        <f>+SUMIFS(FINANCIACION[$ CAPITAL],FINANCIACION[Fecha],"&lt;="&amp;FINANCIACION[[#This Row],[Fecha]],FINANCIACION[PRESTAMO],FINANCIACION[[#This Row],[PRESTAMO]])</f>
        <v>-59129905.301732205</v>
      </c>
      <c r="G127" s="53"/>
      <c r="H127" s="53"/>
      <c r="I127" s="5">
        <f>+IF(FINANCIACION[[#This Row],[$ CAPITAL]]&gt;0,FINANCIACION[[#This Row],[$ CAPITAL]])</f>
        <v>2065424.6999828494</v>
      </c>
      <c r="J127" s="33">
        <f>+IF(FINANCIACION[[#This Row],[$ CAPITAL]]&gt;=0,FINANCIACION[[#This Row],[$ CAPITAL]]+FINANCIACION[[#This Row],[$ INTERESES]],0)</f>
        <v>2677378</v>
      </c>
    </row>
    <row r="128" spans="1:10" ht="24" hidden="1" customHeight="1" x14ac:dyDescent="0.25">
      <c r="A128" s="109">
        <v>44723</v>
      </c>
      <c r="B128" s="50" t="s">
        <v>363</v>
      </c>
      <c r="C128" s="5">
        <v>2086078.946982678</v>
      </c>
      <c r="D128" s="5">
        <v>591299.05301732209</v>
      </c>
      <c r="E128" s="5">
        <f>+IF(FINANCIACION[[#This Row],[$ CAPITAL]]&gt;=0,FINANCIACION[[#This Row],[$ CAPITAL]]+FINANCIACION[[#This Row],[$ INTERESES]],"")</f>
        <v>2677378</v>
      </c>
      <c r="F128" s="5">
        <f>+SUMIFS(FINANCIACION[$ CAPITAL],FINANCIACION[Fecha],"&lt;="&amp;FINANCIACION[[#This Row],[Fecha]],FINANCIACION[PRESTAMO],FINANCIACION[[#This Row],[PRESTAMO]])</f>
        <v>-57043826.354749531</v>
      </c>
      <c r="G128" s="53"/>
      <c r="H128" s="53"/>
      <c r="I128" s="5">
        <f>+IF(FINANCIACION[[#This Row],[$ CAPITAL]]&gt;0,FINANCIACION[[#This Row],[$ CAPITAL]])</f>
        <v>2086078.946982678</v>
      </c>
      <c r="J128" s="33">
        <f>+IF(FINANCIACION[[#This Row],[$ CAPITAL]]&gt;=0,FINANCIACION[[#This Row],[$ CAPITAL]]+FINANCIACION[[#This Row],[$ INTERESES]],0)</f>
        <v>2677378</v>
      </c>
    </row>
    <row r="129" spans="1:10" ht="24" hidden="1" customHeight="1" x14ac:dyDescent="0.25">
      <c r="A129" s="109">
        <v>44753</v>
      </c>
      <c r="B129" s="50" t="s">
        <v>363</v>
      </c>
      <c r="C129" s="5">
        <f>2667378-FINANCIACION[[#This Row],[$ INTERESES]]</f>
        <v>2096939.736452505</v>
      </c>
      <c r="D129" s="5">
        <f>0.01*57043826.3547495</f>
        <v>570438.26354749501</v>
      </c>
      <c r="E129" s="5">
        <f>+IF(FINANCIACION[[#This Row],[$ CAPITAL]]&gt;=0,FINANCIACION[[#This Row],[$ CAPITAL]]+FINANCIACION[[#This Row],[$ INTERESES]],"")</f>
        <v>2667378</v>
      </c>
      <c r="F129" s="5">
        <f>+SUMIFS(FINANCIACION[$ CAPITAL],FINANCIACION[Fecha],"&lt;="&amp;FINANCIACION[[#This Row],[Fecha]],FINANCIACION[PRESTAMO],FINANCIACION[[#This Row],[PRESTAMO]])</f>
        <v>-54946886.618297026</v>
      </c>
      <c r="G129" s="53"/>
      <c r="H129" s="53"/>
      <c r="I129" s="5">
        <f>+IF(FINANCIACION[[#This Row],[$ CAPITAL]]&gt;0,FINANCIACION[[#This Row],[$ CAPITAL]])</f>
        <v>2096939.736452505</v>
      </c>
      <c r="J129" s="33">
        <f>+IF(FINANCIACION[[#This Row],[$ CAPITAL]]&gt;=0,FINANCIACION[[#This Row],[$ CAPITAL]]+FINANCIACION[[#This Row],[$ INTERESES]],0)</f>
        <v>2667378</v>
      </c>
    </row>
    <row r="130" spans="1:10" ht="24" hidden="1" customHeight="1" x14ac:dyDescent="0.25">
      <c r="A130" s="109">
        <v>44786</v>
      </c>
      <c r="B130" s="50" t="s">
        <v>363</v>
      </c>
      <c r="C130" s="5">
        <f>2677378-FINANCIACION[[#This Row],[$ INTERESES]]</f>
        <v>2127909.1338170301</v>
      </c>
      <c r="D130" s="5">
        <v>549468.86618297</v>
      </c>
      <c r="E130" s="5">
        <f>+IF(FINANCIACION[[#This Row],[$ CAPITAL]]&gt;=0,FINANCIACION[[#This Row],[$ CAPITAL]]+FINANCIACION[[#This Row],[$ INTERESES]],"")</f>
        <v>2677378</v>
      </c>
      <c r="F130" s="5">
        <f>+SUMIFS(FINANCIACION[$ CAPITAL],FINANCIACION[Fecha],"&lt;="&amp;FINANCIACION[[#This Row],[Fecha]],FINANCIACION[PRESTAMO],FINANCIACION[[#This Row],[PRESTAMO]])</f>
        <v>-52818977.484479994</v>
      </c>
      <c r="G130" s="53"/>
      <c r="H130" s="53"/>
      <c r="I130" s="5">
        <f>+IF(FINANCIACION[[#This Row],[$ CAPITAL]]&gt;0,FINANCIACION[[#This Row],[$ CAPITAL]])</f>
        <v>2127909.1338170301</v>
      </c>
      <c r="J130" s="33">
        <f>+IF(FINANCIACION[[#This Row],[$ CAPITAL]]&gt;=0,FINANCIACION[[#This Row],[$ CAPITAL]]+FINANCIACION[[#This Row],[$ INTERESES]],0)</f>
        <v>2677378</v>
      </c>
    </row>
    <row r="131" spans="1:10" ht="24" hidden="1" customHeight="1" x14ac:dyDescent="0.25">
      <c r="A131" s="109">
        <v>44823</v>
      </c>
      <c r="B131" s="50" t="s">
        <v>363</v>
      </c>
      <c r="C131" s="5">
        <v>2149210</v>
      </c>
      <c r="D131" s="5">
        <v>528190</v>
      </c>
      <c r="E131" s="5">
        <f>+IF(FINANCIACION[[#This Row],[$ CAPITAL]]&gt;=0,FINANCIACION[[#This Row],[$ CAPITAL]]+FINANCIACION[[#This Row],[$ INTERESES]],"")</f>
        <v>2677400</v>
      </c>
      <c r="F131" s="5">
        <f>+SUMIFS(FINANCIACION[$ CAPITAL],FINANCIACION[Fecha],"&lt;="&amp;FINANCIACION[[#This Row],[Fecha]],FINANCIACION[PRESTAMO],FINANCIACION[[#This Row],[PRESTAMO]])</f>
        <v>-50669767.484479994</v>
      </c>
      <c r="G131" s="53"/>
      <c r="H131" s="53"/>
      <c r="I131" s="5">
        <f>+IF(FINANCIACION[[#This Row],[$ CAPITAL]]&gt;0,FINANCIACION[[#This Row],[$ CAPITAL]])</f>
        <v>2149210</v>
      </c>
      <c r="J131" s="33">
        <f>+IF(FINANCIACION[[#This Row],[$ CAPITAL]]&gt;=0,FINANCIACION[[#This Row],[$ CAPITAL]]+FINANCIACION[[#This Row],[$ INTERESES]],0)</f>
        <v>2677400</v>
      </c>
    </row>
    <row r="132" spans="1:10" ht="24" hidden="1" customHeight="1" x14ac:dyDescent="0.25">
      <c r="A132" s="109">
        <v>44846</v>
      </c>
      <c r="B132" s="50" t="s">
        <v>363</v>
      </c>
      <c r="C132" s="5">
        <v>2170702</v>
      </c>
      <c r="D132" s="5">
        <v>506698</v>
      </c>
      <c r="E132" s="5">
        <f>+IF(FINANCIACION[[#This Row],[$ CAPITAL]]&gt;=0,FINANCIACION[[#This Row],[$ CAPITAL]]+FINANCIACION[[#This Row],[$ INTERESES]],"")</f>
        <v>2677400</v>
      </c>
      <c r="F132" s="5">
        <f>+SUMIFS(FINANCIACION[$ CAPITAL],FINANCIACION[Fecha],"&lt;="&amp;FINANCIACION[[#This Row],[Fecha]],FINANCIACION[PRESTAMO],FINANCIACION[[#This Row],[PRESTAMO]])</f>
        <v>-48499065.484479994</v>
      </c>
      <c r="G132" s="53"/>
      <c r="H132" s="53"/>
      <c r="I132" s="5">
        <f>+IF(FINANCIACION[[#This Row],[$ CAPITAL]]&gt;0,FINANCIACION[[#This Row],[$ CAPITAL]])</f>
        <v>2170702</v>
      </c>
      <c r="J132" s="33">
        <f>+IF(FINANCIACION[[#This Row],[$ CAPITAL]]&gt;=0,FINANCIACION[[#This Row],[$ CAPITAL]]+FINANCIACION[[#This Row],[$ INTERESES]],0)</f>
        <v>2677400</v>
      </c>
    </row>
    <row r="133" spans="1:10" ht="24" hidden="1" customHeight="1" x14ac:dyDescent="0.25">
      <c r="A133" s="109">
        <v>44876</v>
      </c>
      <c r="B133" s="50" t="s">
        <v>363</v>
      </c>
      <c r="C133" s="5">
        <v>2192387</v>
      </c>
      <c r="D133" s="5">
        <v>484991</v>
      </c>
      <c r="E133" s="5">
        <f>+IF(FINANCIACION[[#This Row],[$ CAPITAL]]&gt;=0,FINANCIACION[[#This Row],[$ CAPITAL]]+FINANCIACION[[#This Row],[$ INTERESES]],"")</f>
        <v>2677378</v>
      </c>
      <c r="F133" s="5">
        <f>+SUMIFS(FINANCIACION[$ CAPITAL],FINANCIACION[Fecha],"&lt;="&amp;FINANCIACION[[#This Row],[Fecha]],FINANCIACION[PRESTAMO],FINANCIACION[[#This Row],[PRESTAMO]])</f>
        <v>-46306678.484479994</v>
      </c>
      <c r="G133" s="53"/>
      <c r="H133" s="53"/>
      <c r="I133" s="5">
        <f>+IF(FINANCIACION[[#This Row],[$ CAPITAL]]&gt;0,FINANCIACION[[#This Row],[$ CAPITAL]])</f>
        <v>2192387</v>
      </c>
      <c r="J133" s="33">
        <f>+IF(FINANCIACION[[#This Row],[$ CAPITAL]]&gt;=0,FINANCIACION[[#This Row],[$ CAPITAL]]+FINANCIACION[[#This Row],[$ INTERESES]],0)</f>
        <v>2677378</v>
      </c>
    </row>
    <row r="134" spans="1:10" ht="24" hidden="1" customHeight="1" x14ac:dyDescent="0.25">
      <c r="A134" s="109">
        <v>44909</v>
      </c>
      <c r="B134" s="50" t="s">
        <v>363</v>
      </c>
      <c r="C134" s="5">
        <v>2214311</v>
      </c>
      <c r="D134" s="5">
        <v>463067</v>
      </c>
      <c r="E134" s="5">
        <f>+IF(FINANCIACION[[#This Row],[$ CAPITAL]]&gt;=0,FINANCIACION[[#This Row],[$ CAPITAL]]+FINANCIACION[[#This Row],[$ INTERESES]],"")</f>
        <v>2677378</v>
      </c>
      <c r="F134" s="5">
        <f>+SUMIFS(FINANCIACION[$ CAPITAL],FINANCIACION[Fecha],"&lt;="&amp;FINANCIACION[[#This Row],[Fecha]],FINANCIACION[PRESTAMO],FINANCIACION[[#This Row],[PRESTAMO]])</f>
        <v>-44092367.484479994</v>
      </c>
      <c r="G134" s="53"/>
      <c r="H134" s="53"/>
      <c r="I134" s="5">
        <f>+IF(FINANCIACION[[#This Row],[$ CAPITAL]]&gt;0,FINANCIACION[[#This Row],[$ CAPITAL]])</f>
        <v>2214311</v>
      </c>
      <c r="J134" s="33">
        <f>+IF(FINANCIACION[[#This Row],[$ CAPITAL]]&gt;=0,FINANCIACION[[#This Row],[$ CAPITAL]]+FINANCIACION[[#This Row],[$ INTERESES]],0)</f>
        <v>2677378</v>
      </c>
    </row>
    <row r="135" spans="1:10" ht="24" hidden="1" customHeight="1" x14ac:dyDescent="0.25">
      <c r="A135" s="109">
        <v>44938</v>
      </c>
      <c r="B135" s="50" t="s">
        <v>363</v>
      </c>
      <c r="C135" s="5">
        <v>2236454</v>
      </c>
      <c r="D135" s="5">
        <v>440924</v>
      </c>
      <c r="E135" s="5">
        <f>+IF(FINANCIACION[[#This Row],[$ CAPITAL]]&gt;=0,FINANCIACION[[#This Row],[$ CAPITAL]]+FINANCIACION[[#This Row],[$ INTERESES]],"")</f>
        <v>2677378</v>
      </c>
      <c r="F135" s="5">
        <f>+SUMIFS(FINANCIACION[$ CAPITAL],FINANCIACION[Fecha],"&lt;="&amp;FINANCIACION[[#This Row],[Fecha]],FINANCIACION[PRESTAMO],FINANCIACION[[#This Row],[PRESTAMO]])</f>
        <v>-41855913.484479994</v>
      </c>
      <c r="G135" s="53"/>
      <c r="H135" s="53"/>
      <c r="I135" s="5">
        <f>+IF(FINANCIACION[[#This Row],[$ CAPITAL]]&gt;0,FINANCIACION[[#This Row],[$ CAPITAL]])</f>
        <v>2236454</v>
      </c>
      <c r="J135" s="33">
        <f>+IF(FINANCIACION[[#This Row],[$ CAPITAL]]&gt;=0,FINANCIACION[[#This Row],[$ CAPITAL]]+FINANCIACION[[#This Row],[$ INTERESES]],0)</f>
        <v>2677378</v>
      </c>
    </row>
    <row r="136" spans="1:10" ht="24" hidden="1" customHeight="1" x14ac:dyDescent="0.25">
      <c r="A136" s="109">
        <v>44970</v>
      </c>
      <c r="B136" s="50" t="s">
        <v>363</v>
      </c>
      <c r="C136" s="5">
        <v>2258819</v>
      </c>
      <c r="D136" s="5">
        <v>418559</v>
      </c>
      <c r="E136" s="5">
        <f>+IF(FINANCIACION[[#This Row],[$ CAPITAL]]&gt;=0,FINANCIACION[[#This Row],[$ CAPITAL]]+FINANCIACION[[#This Row],[$ INTERESES]],"")</f>
        <v>2677378</v>
      </c>
      <c r="F136" s="5">
        <f>+SUMIFS(FINANCIACION[$ CAPITAL],FINANCIACION[Fecha],"&lt;="&amp;FINANCIACION[[#This Row],[Fecha]],FINANCIACION[PRESTAMO],FINANCIACION[[#This Row],[PRESTAMO]])</f>
        <v>-39597094.484479994</v>
      </c>
      <c r="G136" s="53"/>
      <c r="H136" s="53"/>
      <c r="I136" s="5">
        <f>+IF(FINANCIACION[[#This Row],[$ CAPITAL]]&gt;0,FINANCIACION[[#This Row],[$ CAPITAL]])</f>
        <v>2258819</v>
      </c>
      <c r="J136" s="33">
        <f>+IF(FINANCIACION[[#This Row],[$ CAPITAL]]&gt;=0,FINANCIACION[[#This Row],[$ CAPITAL]]+FINANCIACION[[#This Row],[$ INTERESES]],0)</f>
        <v>2677378</v>
      </c>
    </row>
    <row r="137" spans="1:10" ht="24" hidden="1" customHeight="1" x14ac:dyDescent="0.25">
      <c r="A137" s="109">
        <v>45014</v>
      </c>
      <c r="B137" s="50" t="s">
        <v>363</v>
      </c>
      <c r="C137" s="5">
        <v>2281429</v>
      </c>
      <c r="D137" s="5">
        <v>395971</v>
      </c>
      <c r="E137" s="5">
        <f>+IF(FINANCIACION[[#This Row],[$ CAPITAL]]&gt;=0,FINANCIACION[[#This Row],[$ CAPITAL]]+FINANCIACION[[#This Row],[$ INTERESES]],"")</f>
        <v>2677400</v>
      </c>
      <c r="F137" s="5">
        <f>+SUMIFS(FINANCIACION[$ CAPITAL],FINANCIACION[Fecha],"&lt;="&amp;FINANCIACION[[#This Row],[Fecha]],FINANCIACION[PRESTAMO],FINANCIACION[[#This Row],[PRESTAMO]])</f>
        <v>-37315665.484479994</v>
      </c>
      <c r="G137" s="53"/>
      <c r="H137" s="53"/>
      <c r="I137" s="5">
        <f>+IF(FINANCIACION[[#This Row],[$ CAPITAL]]&gt;0,FINANCIACION[[#This Row],[$ CAPITAL]])</f>
        <v>2281429</v>
      </c>
      <c r="J137" s="33">
        <f>+IF(FINANCIACION[[#This Row],[$ CAPITAL]]&gt;=0,FINANCIACION[[#This Row],[$ CAPITAL]]+FINANCIACION[[#This Row],[$ INTERESES]],0)</f>
        <v>2677400</v>
      </c>
    </row>
    <row r="138" spans="1:10" ht="24" hidden="1" customHeight="1" x14ac:dyDescent="0.25">
      <c r="A138" s="109">
        <v>45026</v>
      </c>
      <c r="B138" s="50" t="s">
        <v>363</v>
      </c>
      <c r="C138" s="5">
        <v>2304243</v>
      </c>
      <c r="D138" s="5">
        <v>373157</v>
      </c>
      <c r="E138" s="5">
        <f>+IF(FINANCIACION[[#This Row],[$ CAPITAL]]&gt;=0,FINANCIACION[[#This Row],[$ CAPITAL]]+FINANCIACION[[#This Row],[$ INTERESES]],"")</f>
        <v>2677400</v>
      </c>
      <c r="F138" s="5">
        <f>+SUMIFS(FINANCIACION[$ CAPITAL],FINANCIACION[Fecha],"&lt;="&amp;FINANCIACION[[#This Row],[Fecha]],FINANCIACION[PRESTAMO],FINANCIACION[[#This Row],[PRESTAMO]])</f>
        <v>-35011422.484479994</v>
      </c>
      <c r="G138" s="53"/>
      <c r="H138" s="53"/>
      <c r="I138" s="5">
        <f>+IF(FINANCIACION[[#This Row],[$ CAPITAL]]&gt;0,FINANCIACION[[#This Row],[$ CAPITAL]])</f>
        <v>2304243</v>
      </c>
      <c r="J138" s="33">
        <f>+IF(FINANCIACION[[#This Row],[$ CAPITAL]]&gt;=0,FINANCIACION[[#This Row],[$ CAPITAL]]+FINANCIACION[[#This Row],[$ INTERESES]],0)</f>
        <v>2677400</v>
      </c>
    </row>
    <row r="139" spans="1:10" ht="24" hidden="1" customHeight="1" x14ac:dyDescent="0.25">
      <c r="A139" s="109">
        <v>45054</v>
      </c>
      <c r="B139" s="50" t="s">
        <v>363</v>
      </c>
      <c r="C139" s="5">
        <v>649886</v>
      </c>
      <c r="D139" s="5">
        <v>350114</v>
      </c>
      <c r="E139" s="5">
        <f>+IF(FINANCIACION[[#This Row],[$ CAPITAL]]&gt;=0,FINANCIACION[[#This Row],[$ CAPITAL]]+FINANCIACION[[#This Row],[$ INTERESES]],"")</f>
        <v>1000000</v>
      </c>
      <c r="F139" s="5">
        <f>+SUMIFS(FINANCIACION[$ CAPITAL],FINANCIACION[Fecha],"&lt;="&amp;FINANCIACION[[#This Row],[Fecha]],FINANCIACION[PRESTAMO],FINANCIACION[[#This Row],[PRESTAMO]])</f>
        <v>-34361536.484479994</v>
      </c>
      <c r="G139" s="53"/>
      <c r="H139" s="53"/>
      <c r="I139" s="5">
        <f>+IF(FINANCIACION[[#This Row],[$ CAPITAL]]&gt;0,FINANCIACION[[#This Row],[$ CAPITAL]])</f>
        <v>649886</v>
      </c>
      <c r="J139" s="33">
        <f>+IF(FINANCIACION[[#This Row],[$ CAPITAL]]&gt;=0,FINANCIACION[[#This Row],[$ CAPITAL]]+FINANCIACION[[#This Row],[$ INTERESES]],0)</f>
        <v>1000000</v>
      </c>
    </row>
    <row r="140" spans="1:10" ht="24" hidden="1" customHeight="1" x14ac:dyDescent="0.25">
      <c r="A140" s="109">
        <v>45098</v>
      </c>
      <c r="B140" s="50" t="s">
        <v>363</v>
      </c>
      <c r="C140" s="5">
        <v>656384</v>
      </c>
      <c r="D140" s="5">
        <v>343616</v>
      </c>
      <c r="E140" s="5">
        <f>+IF(FINANCIACION[[#This Row],[$ CAPITAL]]&gt;=0,FINANCIACION[[#This Row],[$ CAPITAL]]+FINANCIACION[[#This Row],[$ INTERESES]],"")</f>
        <v>1000000</v>
      </c>
      <c r="F140" s="5">
        <f>+SUMIFS(FINANCIACION[$ CAPITAL],FINANCIACION[Fecha],"&lt;="&amp;FINANCIACION[[#This Row],[Fecha]],FINANCIACION[PRESTAMO],FINANCIACION[[#This Row],[PRESTAMO]])</f>
        <v>-33705152.484479994</v>
      </c>
      <c r="G140" s="53"/>
      <c r="H140" s="53"/>
      <c r="I140" s="5">
        <f>+IF(FINANCIACION[[#This Row],[$ CAPITAL]]&gt;0,FINANCIACION[[#This Row],[$ CAPITAL]])</f>
        <v>656384</v>
      </c>
      <c r="J140" s="33">
        <f>+IF(FINANCIACION[[#This Row],[$ CAPITAL]]&gt;=0,FINANCIACION[[#This Row],[$ CAPITAL]]+FINANCIACION[[#This Row],[$ INTERESES]],0)</f>
        <v>1000000</v>
      </c>
    </row>
    <row r="141" spans="1:10" ht="24" hidden="1" customHeight="1" x14ac:dyDescent="0.25">
      <c r="A141" s="109">
        <v>45128</v>
      </c>
      <c r="B141" s="50" t="s">
        <v>363</v>
      </c>
      <c r="C141" s="5">
        <v>662949</v>
      </c>
      <c r="D141" s="5">
        <v>337051</v>
      </c>
      <c r="E141" s="5">
        <f>+IF(FINANCIACION[[#This Row],[$ CAPITAL]]&gt;=0,FINANCIACION[[#This Row],[$ CAPITAL]]+FINANCIACION[[#This Row],[$ INTERESES]],"")</f>
        <v>1000000</v>
      </c>
      <c r="F141" s="5">
        <f>+SUMIFS(FINANCIACION[$ CAPITAL],FINANCIACION[Fecha],"&lt;="&amp;FINANCIACION[[#This Row],[Fecha]],FINANCIACION[PRESTAMO],FINANCIACION[[#This Row],[PRESTAMO]])</f>
        <v>-33042203.484479994</v>
      </c>
      <c r="G141" s="53"/>
      <c r="H141" s="53"/>
      <c r="I141" s="5">
        <f>+IF(FINANCIACION[[#This Row],[$ CAPITAL]]&gt;0,FINANCIACION[[#This Row],[$ CAPITAL]])</f>
        <v>662949</v>
      </c>
      <c r="J141" s="33">
        <f>+IF(FINANCIACION[[#This Row],[$ CAPITAL]]&gt;=0,FINANCIACION[[#This Row],[$ CAPITAL]]+FINANCIACION[[#This Row],[$ INTERESES]],0)</f>
        <v>1000000</v>
      </c>
    </row>
    <row r="142" spans="1:10" ht="24" hidden="1" customHeight="1" x14ac:dyDescent="0.25">
      <c r="A142" s="109">
        <v>45155</v>
      </c>
      <c r="B142" s="50" t="s">
        <v>363</v>
      </c>
      <c r="C142" s="5">
        <v>669577.97</v>
      </c>
      <c r="D142" s="5">
        <v>330422.03000000003</v>
      </c>
      <c r="E142" s="5">
        <f>+IF(FINANCIACION[[#This Row],[$ CAPITAL]]&gt;=0,FINANCIACION[[#This Row],[$ CAPITAL]]+FINANCIACION[[#This Row],[$ INTERESES]],"")</f>
        <v>1000000</v>
      </c>
      <c r="F142" s="5">
        <f>+SUMIFS(FINANCIACION[$ CAPITAL],FINANCIACION[Fecha],"&lt;="&amp;FINANCIACION[[#This Row],[Fecha]],FINANCIACION[PRESTAMO],FINANCIACION[[#This Row],[PRESTAMO]])</f>
        <v>-32372625.514479995</v>
      </c>
      <c r="G142" s="53"/>
      <c r="H142" s="53"/>
      <c r="I142" s="5">
        <f>+IF(FINANCIACION[[#This Row],[$ CAPITAL]]&gt;0,FINANCIACION[[#This Row],[$ CAPITAL]])</f>
        <v>669577.97</v>
      </c>
      <c r="J142" s="33">
        <f>+IF(FINANCIACION[[#This Row],[$ CAPITAL]]&gt;=0,FINANCIACION[[#This Row],[$ CAPITAL]]+FINANCIACION[[#This Row],[$ INTERESES]],0)</f>
        <v>1000000</v>
      </c>
    </row>
    <row r="143" spans="1:10" ht="24" hidden="1" customHeight="1" x14ac:dyDescent="0.25">
      <c r="A143" s="109">
        <v>45194</v>
      </c>
      <c r="B143" s="50" t="s">
        <v>363</v>
      </c>
      <c r="C143" s="5">
        <v>676274</v>
      </c>
      <c r="D143" s="5">
        <v>323726</v>
      </c>
      <c r="E143" s="5">
        <f>+IF(FINANCIACION[[#This Row],[$ CAPITAL]]&gt;=0,FINANCIACION[[#This Row],[$ CAPITAL]]+FINANCIACION[[#This Row],[$ INTERESES]],"")</f>
        <v>1000000</v>
      </c>
      <c r="F143" s="5">
        <f>+SUMIFS(FINANCIACION[$ CAPITAL],FINANCIACION[Fecha],"&lt;="&amp;FINANCIACION[[#This Row],[Fecha]],FINANCIACION[PRESTAMO],FINANCIACION[[#This Row],[PRESTAMO]])</f>
        <v>-31696351.514479995</v>
      </c>
      <c r="G143" s="53"/>
      <c r="H143" s="53"/>
      <c r="I143" s="5">
        <f>+IF(FINANCIACION[[#This Row],[$ CAPITAL]]&gt;0,FINANCIACION[[#This Row],[$ CAPITAL]])</f>
        <v>676274</v>
      </c>
      <c r="J143" s="33">
        <f>+IF(FINANCIACION[[#This Row],[$ CAPITAL]]&gt;=0,FINANCIACION[[#This Row],[$ CAPITAL]]+FINANCIACION[[#This Row],[$ INTERESES]],0)</f>
        <v>1000000</v>
      </c>
    </row>
    <row r="144" spans="1:10" ht="24" hidden="1" customHeight="1" x14ac:dyDescent="0.25">
      <c r="A144" s="109">
        <v>45220</v>
      </c>
      <c r="B144" s="50" t="s">
        <v>363</v>
      </c>
      <c r="C144" s="5">
        <v>683036</v>
      </c>
      <c r="D144" s="5">
        <v>316963</v>
      </c>
      <c r="E144" s="5">
        <f>+IF(FINANCIACION[[#This Row],[$ CAPITAL]]&gt;=0,FINANCIACION[[#This Row],[$ CAPITAL]]+FINANCIACION[[#This Row],[$ INTERESES]],"")</f>
        <v>999999</v>
      </c>
      <c r="F144" s="5">
        <f>+SUMIFS(FINANCIACION[$ CAPITAL],FINANCIACION[Fecha],"&lt;="&amp;FINANCIACION[[#This Row],[Fecha]],FINANCIACION[PRESTAMO],FINANCIACION[[#This Row],[PRESTAMO]])</f>
        <v>-31013315.514479995</v>
      </c>
      <c r="G144" s="53"/>
      <c r="H144" s="53"/>
      <c r="I144" s="5">
        <f>+IF(FINANCIACION[[#This Row],[$ CAPITAL]]&gt;0,FINANCIACION[[#This Row],[$ CAPITAL]])</f>
        <v>683036</v>
      </c>
      <c r="J144" s="33">
        <f>+IF(FINANCIACION[[#This Row],[$ CAPITAL]]&gt;=0,FINANCIACION[[#This Row],[$ CAPITAL]]+FINANCIACION[[#This Row],[$ INTERESES]],0)</f>
        <v>999999</v>
      </c>
    </row>
    <row r="145" spans="1:10" ht="24" hidden="1" customHeight="1" x14ac:dyDescent="0.25">
      <c r="A145" s="109">
        <v>45244</v>
      </c>
      <c r="B145" s="50" t="s">
        <v>363</v>
      </c>
      <c r="C145" s="5">
        <v>689864</v>
      </c>
      <c r="D145" s="5">
        <v>310136</v>
      </c>
      <c r="E145" s="5">
        <f>+IF(FINANCIACION[[#This Row],[$ CAPITAL]]&gt;=0,FINANCIACION[[#This Row],[$ CAPITAL]]+FINANCIACION[[#This Row],[$ INTERESES]],"")</f>
        <v>1000000</v>
      </c>
      <c r="F145" s="5">
        <f>+SUMIFS(FINANCIACION[$ CAPITAL],FINANCIACION[Fecha],"&lt;="&amp;FINANCIACION[[#This Row],[Fecha]],FINANCIACION[PRESTAMO],FINANCIACION[[#This Row],[PRESTAMO]])</f>
        <v>-30323451.514479995</v>
      </c>
      <c r="G145" s="53"/>
      <c r="H145" s="53"/>
      <c r="I145" s="5">
        <f>+IF(FINANCIACION[[#This Row],[$ CAPITAL]]&gt;0,FINANCIACION[[#This Row],[$ CAPITAL]])</f>
        <v>689864</v>
      </c>
      <c r="J145" s="33">
        <f>+IF(FINANCIACION[[#This Row],[$ CAPITAL]]&gt;=0,FINANCIACION[[#This Row],[$ CAPITAL]]+FINANCIACION[[#This Row],[$ INTERESES]],0)</f>
        <v>1000000</v>
      </c>
    </row>
    <row r="146" spans="1:10" ht="24" hidden="1" customHeight="1" x14ac:dyDescent="0.25">
      <c r="A146" s="109">
        <v>45271</v>
      </c>
      <c r="B146" s="303" t="s">
        <v>363</v>
      </c>
      <c r="C146" s="5">
        <v>696765</v>
      </c>
      <c r="D146" s="5">
        <v>303235</v>
      </c>
      <c r="E146" s="5">
        <f>+IF(FINANCIACION[[#This Row],[$ CAPITAL]]&gt;=0,FINANCIACION[[#This Row],[$ CAPITAL]]+FINANCIACION[[#This Row],[$ INTERESES]],"")</f>
        <v>1000000</v>
      </c>
      <c r="F146" s="5">
        <f>+SUMIFS(FINANCIACION[$ CAPITAL],FINANCIACION[Fecha],"&lt;="&amp;FINANCIACION[[#This Row],[Fecha]],FINANCIACION[PRESTAMO],FINANCIACION[[#This Row],[PRESTAMO]])</f>
        <v>-29626686.514479995</v>
      </c>
      <c r="G146" s="53"/>
      <c r="H146" s="53"/>
      <c r="I146" s="5">
        <f>+IF(FINANCIACION[[#This Row],[$ CAPITAL]]&gt;0,FINANCIACION[[#This Row],[$ CAPITAL]])</f>
        <v>696765</v>
      </c>
      <c r="J146" s="33">
        <f>+IF(FINANCIACION[[#This Row],[$ CAPITAL]]&gt;=0,FINANCIACION[[#This Row],[$ CAPITAL]]+FINANCIACION[[#This Row],[$ INTERESES]],0)</f>
        <v>1000000</v>
      </c>
    </row>
    <row r="147" spans="1:10" ht="24" hidden="1" customHeight="1" x14ac:dyDescent="0.25">
      <c r="A147" s="109">
        <v>45302</v>
      </c>
      <c r="B147" s="50" t="s">
        <v>363</v>
      </c>
      <c r="C147" s="5">
        <v>703733.1348552003</v>
      </c>
      <c r="D147" s="5">
        <v>296266.86514479975</v>
      </c>
      <c r="E147" s="5">
        <f>+IF(FINANCIACION[[#This Row],[$ CAPITAL]]&gt;=0,FINANCIACION[[#This Row],[$ CAPITAL]]+FINANCIACION[[#This Row],[$ INTERESES]],"")</f>
        <v>1000000</v>
      </c>
      <c r="F147" s="5">
        <f>+SUMIFS(FINANCIACION[$ CAPITAL],FINANCIACION[Fecha],"&lt;="&amp;FINANCIACION[[#This Row],[Fecha]],FINANCIACION[PRESTAMO],FINANCIACION[[#This Row],[PRESTAMO]])</f>
        <v>-28922953.379624795</v>
      </c>
      <c r="G147" s="53"/>
      <c r="H147" s="53"/>
      <c r="I147" s="5">
        <f>+IF(FINANCIACION[[#This Row],[$ CAPITAL]]&gt;0,FINANCIACION[[#This Row],[$ CAPITAL]])</f>
        <v>703733.1348552003</v>
      </c>
      <c r="J147" s="33">
        <f>+IF(FINANCIACION[[#This Row],[$ CAPITAL]]&gt;=0,FINANCIACION[[#This Row],[$ CAPITAL]]+FINANCIACION[[#This Row],[$ INTERESES]],0)</f>
        <v>1000000</v>
      </c>
    </row>
    <row r="148" spans="1:10" ht="24" customHeight="1" x14ac:dyDescent="0.25">
      <c r="A148" s="109">
        <v>45232</v>
      </c>
      <c r="B148" s="50" t="s">
        <v>372</v>
      </c>
      <c r="C148" s="5">
        <v>-30000000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-30000000</v>
      </c>
      <c r="G148" s="53"/>
      <c r="H148" s="53"/>
      <c r="I148" s="5" t="b">
        <f>+IF(FINANCIACION[[#This Row],[$ CAPITAL]]&gt;0,FINANCIACION[[#This Row],[$ CAPITAL]])</f>
        <v>0</v>
      </c>
      <c r="J148" s="33">
        <f>+IF(FINANCIACION[[#This Row],[$ CAPITAL]]&gt;=0,FINANCIACION[[#This Row],[$ CAPITAL]]+FINANCIACION[[#This Row],[$ INTERESES]],0)</f>
        <v>0</v>
      </c>
    </row>
    <row r="149" spans="1:10" ht="24" customHeight="1" x14ac:dyDescent="0.25">
      <c r="A149" s="109">
        <v>45264</v>
      </c>
      <c r="B149" s="50" t="s">
        <v>372</v>
      </c>
      <c r="C149" s="5"/>
      <c r="D149" s="5">
        <v>300000</v>
      </c>
      <c r="E149" s="5">
        <f>+IF(FINANCIACION[[#This Row],[$ CAPITAL]]&gt;=0,FINANCIACION[[#This Row],[$ CAPITAL]]+FINANCIACION[[#This Row],[$ INTERESES]],"")</f>
        <v>300000</v>
      </c>
      <c r="F149" s="5">
        <f>+SUMIFS(FINANCIACION[$ CAPITAL],FINANCIACION[Fecha],"&lt;="&amp;FINANCIACION[[#This Row],[Fecha]],FINANCIACION[PRESTAMO],FINANCIACION[[#This Row],[PRESTAMO]])</f>
        <v>-30000000</v>
      </c>
      <c r="G149" s="53"/>
      <c r="H149" s="53"/>
      <c r="I149" s="5" t="b">
        <f>+IF(FINANCIACION[[#This Row],[$ CAPITAL]]&gt;0,FINANCIACION[[#This Row],[$ CAPITAL]])</f>
        <v>0</v>
      </c>
      <c r="J149" s="33">
        <f>+IF(FINANCIACION[[#This Row],[$ CAPITAL]]&gt;=0,FINANCIACION[[#This Row],[$ CAPITAL]]+FINANCIACION[[#This Row],[$ INTERESES]],0)</f>
        <v>300000</v>
      </c>
    </row>
    <row r="150" spans="1:10" ht="24" customHeight="1" x14ac:dyDescent="0.25">
      <c r="A150" s="109">
        <v>45293</v>
      </c>
      <c r="B150" s="50" t="s">
        <v>372</v>
      </c>
      <c r="C150" s="5"/>
      <c r="D150" s="5">
        <v>300000</v>
      </c>
      <c r="E150" s="5">
        <f>+IF(FINANCIACION[[#This Row],[$ CAPITAL]]&gt;=0,FINANCIACION[[#This Row],[$ CAPITAL]]+FINANCIACION[[#This Row],[$ INTERESES]],"")</f>
        <v>300000</v>
      </c>
      <c r="F150" s="5">
        <f>+SUMIFS(FINANCIACION[$ CAPITAL],FINANCIACION[Fecha],"&lt;="&amp;FINANCIACION[[#This Row],[Fecha]],FINANCIACION[PRESTAMO],FINANCIACION[[#This Row],[PRESTAMO]])</f>
        <v>-30000000</v>
      </c>
      <c r="G150" s="53"/>
      <c r="H150" s="53"/>
      <c r="I150" s="5" t="b">
        <f>+IF(FINANCIACION[[#This Row],[$ CAPITAL]]&gt;0,FINANCIACION[[#This Row],[$ CAPITAL]])</f>
        <v>0</v>
      </c>
      <c r="J150" s="33">
        <f>+IF(FINANCIACION[[#This Row],[$ CAPITAL]]&gt;=0,FINANCIACION[[#This Row],[$ CAPITAL]]+FINANCIACION[[#This Row],[$ INTERESES]],0)</f>
        <v>300000</v>
      </c>
    </row>
    <row r="151" spans="1:10" ht="24" hidden="1" customHeight="1" x14ac:dyDescent="0.25">
      <c r="A151" s="109">
        <v>43642</v>
      </c>
      <c r="B151" s="50" t="s">
        <v>366</v>
      </c>
      <c r="C151" s="5">
        <v>-28000000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-28000000</v>
      </c>
      <c r="G151" s="53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hidden="1" customHeight="1" x14ac:dyDescent="0.25">
      <c r="A152" s="109">
        <v>43643</v>
      </c>
      <c r="B152" s="50" t="s">
        <v>366</v>
      </c>
      <c r="C152" s="5">
        <v>-10000000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-48000000</v>
      </c>
      <c r="G152" s="53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hidden="1" customHeight="1" x14ac:dyDescent="0.25">
      <c r="A153" s="109">
        <v>43643</v>
      </c>
      <c r="B153" s="50" t="s">
        <v>366</v>
      </c>
      <c r="C153" s="5">
        <v>-5000000</v>
      </c>
      <c r="D153" s="5"/>
      <c r="E153" s="5" t="str">
        <f>+IF(FINANCIACION[[#This Row],[$ CAPITAL]]&gt;=0,FINANCIACION[[#This Row],[$ CAPITAL]]+FINANCIACION[[#This Row],[$ INTERESES]],"")</f>
        <v/>
      </c>
      <c r="F153" s="5">
        <f>+SUMIFS(FINANCIACION[$ CAPITAL],FINANCIACION[Fecha],"&lt;="&amp;FINANCIACION[[#This Row],[Fecha]],FINANCIACION[PRESTAMO],FINANCIACION[[#This Row],[PRESTAMO]])</f>
        <v>-48000000</v>
      </c>
      <c r="G153" s="53"/>
      <c r="H153" s="53"/>
      <c r="I153" s="5" t="b">
        <f>IF(FINANCIACION[[#This Row],[$ CAPITAL]]&gt;0,FINANCIACION[[#This Row],[$ CAPITAL]])</f>
        <v>0</v>
      </c>
      <c r="J153" s="33">
        <f>IF(FINANCIACION[[#This Row],[$ CAPITAL]]&gt;=0,FINANCIACION[[#This Row],[$ CAPITAL]]+FINANCIACION[[#This Row],[$ INTERESES]],0)</f>
        <v>0</v>
      </c>
    </row>
    <row r="154" spans="1:10" ht="24" hidden="1" customHeight="1" x14ac:dyDescent="0.25">
      <c r="A154" s="109">
        <v>43643</v>
      </c>
      <c r="B154" s="50" t="s">
        <v>366</v>
      </c>
      <c r="C154" s="5">
        <v>-5000000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-48000000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hidden="1" customHeight="1" x14ac:dyDescent="0.25">
      <c r="A155" s="109">
        <v>43650</v>
      </c>
      <c r="B155" s="50" t="s">
        <v>366</v>
      </c>
      <c r="C155" s="5">
        <v>-3000000</v>
      </c>
      <c r="D155" s="5"/>
      <c r="E155" s="5" t="str">
        <f>+IF(FINANCIACION[[#This Row],[$ CAPITAL]]&gt;=0,FINANCIACION[[#This Row],[$ CAPITAL]]+FINANCIACION[[#This Row],[$ INTERESES]],"")</f>
        <v/>
      </c>
      <c r="F155" s="5">
        <f>+SUMIFS(FINANCIACION[$ CAPITAL],FINANCIACION[Fecha],"&lt;="&amp;FINANCIACION[[#This Row],[Fecha]],FINANCIACION[PRESTAMO],FINANCIACION[[#This Row],[PRESTAMO]])</f>
        <v>-51000000</v>
      </c>
      <c r="G155" s="7"/>
      <c r="H155" s="53"/>
      <c r="I155" s="5" t="b">
        <f>IF(FINANCIACION[[#This Row],[$ CAPITAL]]&gt;0,FINANCIACION[[#This Row],[$ CAPITAL]])</f>
        <v>0</v>
      </c>
      <c r="J155" s="33">
        <f>IF(FINANCIACION[[#This Row],[$ CAPITAL]]&gt;=0,FINANCIACION[[#This Row],[$ CAPITAL]]+FINANCIACION[[#This Row],[$ INTERESES]],0)</f>
        <v>0</v>
      </c>
    </row>
    <row r="156" spans="1:10" ht="24" hidden="1" customHeight="1" x14ac:dyDescent="0.25">
      <c r="A156" s="109">
        <v>43651</v>
      </c>
      <c r="B156" s="50" t="s">
        <v>366</v>
      </c>
      <c r="C156" s="5">
        <v>-5000000</v>
      </c>
      <c r="D156" s="5"/>
      <c r="E156" s="5" t="str">
        <f>+IF(FINANCIACION[[#This Row],[$ CAPITAL]]&gt;=0,FINANCIACION[[#This Row],[$ CAPITAL]]+FINANCIACION[[#This Row],[$ INTERESES]],"")</f>
        <v/>
      </c>
      <c r="F156" s="5">
        <f>+SUMIFS(FINANCIACION[$ CAPITAL],FINANCIACION[Fecha],"&lt;="&amp;FINANCIACION[[#This Row],[Fecha]],FINANCIACION[PRESTAMO],FINANCIACION[[#This Row],[PRESTAMO]])</f>
        <v>-61000000</v>
      </c>
      <c r="G156" s="7"/>
      <c r="H156" s="53"/>
      <c r="I156" s="5" t="b">
        <f>IF(FINANCIACION[[#This Row],[$ CAPITAL]]&gt;0,FINANCIACION[[#This Row],[$ CAPITAL]])</f>
        <v>0</v>
      </c>
      <c r="J156" s="33">
        <f>IF(FINANCIACION[[#This Row],[$ CAPITAL]]&gt;=0,FINANCIACION[[#This Row],[$ CAPITAL]]+FINANCIACION[[#This Row],[$ INTERESES]],0)</f>
        <v>0</v>
      </c>
    </row>
    <row r="157" spans="1:10" ht="24" hidden="1" customHeight="1" x14ac:dyDescent="0.25">
      <c r="A157" s="109">
        <v>43651</v>
      </c>
      <c r="B157" s="50" t="s">
        <v>366</v>
      </c>
      <c r="C157" s="5">
        <v>-5000000</v>
      </c>
      <c r="D157" s="5"/>
      <c r="E157" s="5" t="str">
        <f>+IF(FINANCIACION[[#This Row],[$ CAPITAL]]&gt;=0,FINANCIACION[[#This Row],[$ CAPITAL]]+FINANCIACION[[#This Row],[$ INTERESES]],"")</f>
        <v/>
      </c>
      <c r="F157" s="5">
        <f>+SUMIFS(FINANCIACION[$ CAPITAL],FINANCIACION[Fecha],"&lt;="&amp;FINANCIACION[[#This Row],[Fecha]],FINANCIACION[PRESTAMO],FINANCIACION[[#This Row],[PRESTAMO]])</f>
        <v>-61000000</v>
      </c>
      <c r="G157" s="7"/>
      <c r="H157" s="53"/>
      <c r="I157" s="5" t="b">
        <f>IF(FINANCIACION[[#This Row],[$ CAPITAL]]&gt;0,FINANCIACION[[#This Row],[$ CAPITAL]])</f>
        <v>0</v>
      </c>
      <c r="J157" s="33">
        <f>IF(FINANCIACION[[#This Row],[$ CAPITAL]]&gt;=0,FINANCIACION[[#This Row],[$ CAPITAL]]+FINANCIACION[[#This Row],[$ INTERESES]],0)</f>
        <v>0</v>
      </c>
    </row>
    <row r="158" spans="1:10" ht="24" hidden="1" customHeight="1" x14ac:dyDescent="0.25">
      <c r="A158" s="109">
        <v>43654</v>
      </c>
      <c r="B158" s="50" t="s">
        <v>366</v>
      </c>
      <c r="C158" s="5">
        <v>-5000000</v>
      </c>
      <c r="D158" s="5"/>
      <c r="E158" s="5" t="str">
        <f>+IF(FINANCIACION[[#This Row],[$ CAPITAL]]&gt;=0,FINANCIACION[[#This Row],[$ CAPITAL]]+FINANCIACION[[#This Row],[$ INTERESES]],"")</f>
        <v/>
      </c>
      <c r="F158" s="5">
        <f>+SUMIFS(FINANCIACION[$ CAPITAL],FINANCIACION[Fecha],"&lt;="&amp;FINANCIACION[[#This Row],[Fecha]],FINANCIACION[PRESTAMO],FINANCIACION[[#This Row],[PRESTAMO]])</f>
        <v>-66000000</v>
      </c>
      <c r="G158" s="7"/>
      <c r="H158" s="53"/>
      <c r="I158" s="5" t="b">
        <f>IF(FINANCIACION[[#This Row],[$ CAPITAL]]&gt;0,FINANCIACION[[#This Row],[$ CAPITAL]])</f>
        <v>0</v>
      </c>
      <c r="J158" s="33">
        <f>IF(FINANCIACION[[#This Row],[$ CAPITAL]]&gt;=0,FINANCIACION[[#This Row],[$ CAPITAL]]+FINANCIACION[[#This Row],[$ INTERESES]],0)</f>
        <v>0</v>
      </c>
    </row>
    <row r="159" spans="1:10" ht="24" hidden="1" customHeight="1" x14ac:dyDescent="0.25">
      <c r="A159" s="109">
        <v>43677</v>
      </c>
      <c r="B159" s="50" t="s">
        <v>366</v>
      </c>
      <c r="C159" s="5">
        <v>-8000000</v>
      </c>
      <c r="D159" s="5"/>
      <c r="E159" s="5" t="str">
        <f>+IF(FINANCIACION[[#This Row],[$ CAPITAL]]&gt;=0,FINANCIACION[[#This Row],[$ CAPITAL]]+FINANCIACION[[#This Row],[$ INTERESES]],"")</f>
        <v/>
      </c>
      <c r="F159" s="5">
        <f>+SUMIFS(FINANCIACION[$ CAPITAL],FINANCIACION[Fecha],"&lt;="&amp;FINANCIACION[[#This Row],[Fecha]],FINANCIACION[PRESTAMO],FINANCIACION[[#This Row],[PRESTAMO]])</f>
        <v>-74000000</v>
      </c>
      <c r="G159" s="7"/>
      <c r="H159" s="53"/>
      <c r="I159" s="5" t="b">
        <f>IF(FINANCIACION[[#This Row],[$ CAPITAL]]&gt;0,FINANCIACION[[#This Row],[$ CAPITAL]])</f>
        <v>0</v>
      </c>
      <c r="J159" s="33">
        <f>IF(FINANCIACION[[#This Row],[$ CAPITAL]]&gt;=0,FINANCIACION[[#This Row],[$ CAPITAL]]+FINANCIACION[[#This Row],[$ INTERESES]],0)</f>
        <v>0</v>
      </c>
    </row>
    <row r="160" spans="1:10" ht="24" hidden="1" customHeight="1" x14ac:dyDescent="0.25">
      <c r="A160" s="109">
        <v>43705</v>
      </c>
      <c r="B160" s="50" t="s">
        <v>366</v>
      </c>
      <c r="C160" s="5"/>
      <c r="D160" s="5">
        <v>740000</v>
      </c>
      <c r="E160" s="5">
        <f>+IF(FINANCIACION[[#This Row],[$ CAPITAL]]&gt;=0,FINANCIACION[[#This Row],[$ CAPITAL]]+FINANCIACION[[#This Row],[$ INTERESES]],"")</f>
        <v>740000</v>
      </c>
      <c r="F160" s="5">
        <f>+SUMIFS(FINANCIACION[$ CAPITAL],FINANCIACION[Fecha],"&lt;="&amp;FINANCIACION[[#This Row],[Fecha]],FINANCIACION[PRESTAMO],FINANCIACION[[#This Row],[PRESTAMO]])</f>
        <v>-74000000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740000</v>
      </c>
    </row>
    <row r="161" spans="1:10" ht="24" hidden="1" customHeight="1" x14ac:dyDescent="0.25">
      <c r="A161" s="109">
        <v>43717</v>
      </c>
      <c r="B161" s="50" t="s">
        <v>366</v>
      </c>
      <c r="C161" s="5">
        <v>-10000000</v>
      </c>
      <c r="D161" s="5"/>
      <c r="E161" s="5" t="str">
        <f>+IF(FINANCIACION[[#This Row],[$ CAPITAL]]&gt;=0,FINANCIACION[[#This Row],[$ CAPITAL]]+FINANCIACION[[#This Row],[$ INTERESES]],"")</f>
        <v/>
      </c>
      <c r="F161" s="5">
        <f>+SUMIFS(FINANCIACION[$ CAPITAL],FINANCIACION[Fecha],"&lt;="&amp;FINANCIACION[[#This Row],[Fecha]],FINANCIACION[PRESTAMO],FINANCIACION[[#This Row],[PRESTAMO]])</f>
        <v>-84000000</v>
      </c>
      <c r="G161" s="7"/>
      <c r="H161" s="53"/>
      <c r="I161" s="5" t="b">
        <f>IF(FINANCIACION[[#This Row],[$ CAPITAL]]&gt;0,FINANCIACION[[#This Row],[$ CAPITAL]])</f>
        <v>0</v>
      </c>
      <c r="J161" s="8">
        <f>IF(FINANCIACION[[#This Row],[$ CAPITAL]]&gt;=0,FINANCIACION[[#This Row],[$ CAPITAL]]+FINANCIACION[[#This Row],[$ INTERESES]],0)</f>
        <v>0</v>
      </c>
    </row>
    <row r="162" spans="1:10" ht="24" hidden="1" customHeight="1" x14ac:dyDescent="0.25">
      <c r="A162" s="109">
        <v>43769</v>
      </c>
      <c r="B162" s="50" t="s">
        <v>366</v>
      </c>
      <c r="C162" s="5"/>
      <c r="D162" s="5">
        <v>840000</v>
      </c>
      <c r="E162" s="5">
        <f>+IF(FINANCIACION[[#This Row],[$ CAPITAL]]&gt;=0,FINANCIACION[[#This Row],[$ CAPITAL]]+FINANCIACION[[#This Row],[$ INTERESES]],"")</f>
        <v>840000</v>
      </c>
      <c r="F162" s="5">
        <f>+SUMIFS(FINANCIACION[$ CAPITAL],FINANCIACION[Fecha],"&lt;="&amp;FINANCIACION[[#This Row],[Fecha]],FINANCIACION[PRESTAMO],FINANCIACION[[#This Row],[PRESTAMO]])</f>
        <v>-84000000</v>
      </c>
      <c r="G162" s="7"/>
      <c r="H162" s="53"/>
      <c r="I162" s="5" t="b">
        <f>IF(FINANCIACION[[#This Row],[$ CAPITAL]]&gt;0,FINANCIACION[[#This Row],[$ CAPITAL]])</f>
        <v>0</v>
      </c>
      <c r="J162" s="8">
        <f>IF(FINANCIACION[[#This Row],[$ CAPITAL]]&gt;=0,FINANCIACION[[#This Row],[$ CAPITAL]]+FINANCIACION[[#This Row],[$ INTERESES]],0)</f>
        <v>840000</v>
      </c>
    </row>
    <row r="163" spans="1:10" ht="24" hidden="1" customHeight="1" x14ac:dyDescent="0.25">
      <c r="A163" s="109">
        <v>43799</v>
      </c>
      <c r="B163" s="50" t="s">
        <v>366</v>
      </c>
      <c r="C163" s="5"/>
      <c r="D163" s="5">
        <v>840000</v>
      </c>
      <c r="E163" s="5">
        <f>+IF(FINANCIACION[[#This Row],[$ CAPITAL]]&gt;=0,FINANCIACION[[#This Row],[$ CAPITAL]]+FINANCIACION[[#This Row],[$ INTERESES]],"")</f>
        <v>840000</v>
      </c>
      <c r="F163" s="5">
        <f>+SUMIFS(FINANCIACION[$ CAPITAL],FINANCIACION[Fecha],"&lt;="&amp;FINANCIACION[[#This Row],[Fecha]],FINANCIACION[PRESTAMO],FINANCIACION[[#This Row],[PRESTAMO]])</f>
        <v>-84000000</v>
      </c>
      <c r="G163" s="53"/>
      <c r="H163" s="53"/>
      <c r="I163" s="5" t="b">
        <f>IF(FINANCIACION[[#This Row],[$ CAPITAL]]&gt;0,FINANCIACION[[#This Row],[$ CAPITAL]])</f>
        <v>0</v>
      </c>
      <c r="J163" s="33">
        <f>IF(FINANCIACION[[#This Row],[$ CAPITAL]]&gt;=0,FINANCIACION[[#This Row],[$ CAPITAL]]+FINANCIACION[[#This Row],[$ INTERESES]],0)</f>
        <v>840000</v>
      </c>
    </row>
    <row r="164" spans="1:10" ht="24" hidden="1" customHeight="1" x14ac:dyDescent="0.25">
      <c r="A164" s="109">
        <v>43829</v>
      </c>
      <c r="B164" s="50" t="s">
        <v>366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G164" s="7"/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</row>
    <row r="165" spans="1:10" ht="24" hidden="1" customHeight="1" x14ac:dyDescent="0.25">
      <c r="A165" s="298">
        <v>43840</v>
      </c>
      <c r="B165" s="50" t="s">
        <v>366</v>
      </c>
      <c r="C165" s="5"/>
      <c r="D165" s="5">
        <v>200000</v>
      </c>
      <c r="E165" s="5">
        <f>+IF(FINANCIACION[[#This Row],[$ CAPITAL]]&gt;=0,FINANCIACION[[#This Row],[$ CAPITAL]]+FINANCIACION[[#This Row],[$ INTERESES]],"")</f>
        <v>200000</v>
      </c>
      <c r="F165" s="5">
        <f>+SUMIFS(FINANCIACION[$ CAPITAL],FINANCIACION[Fecha],"&lt;="&amp;FINANCIACION[[#This Row],[Fecha]],FINANCIACION[PRESTAMO],FINANCIACION[[#This Row],[PRESTAMO]])</f>
        <v>-84000000</v>
      </c>
      <c r="G165" s="53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200000</v>
      </c>
    </row>
    <row r="166" spans="1:10" ht="24" hidden="1" customHeight="1" x14ac:dyDescent="0.25">
      <c r="A166" s="298">
        <v>43858</v>
      </c>
      <c r="B166" s="50" t="s">
        <v>366</v>
      </c>
      <c r="C166" s="5"/>
      <c r="D166" s="5">
        <v>640000</v>
      </c>
      <c r="E166" s="5">
        <f>+IF(FINANCIACION[[#This Row],[$ CAPITAL]]&gt;=0,FINANCIACION[[#This Row],[$ CAPITAL]]+FINANCIACION[[#This Row],[$ INTERESES]],"")</f>
        <v>640000</v>
      </c>
      <c r="F166" s="5">
        <f>+SUMIFS(FINANCIACION[$ CAPITAL],FINANCIACION[Fecha],"&lt;="&amp;FINANCIACION[[#This Row],[Fecha]],FINANCIACION[PRESTAMO],FINANCIACION[[#This Row],[PRESTAMO]])</f>
        <v>-84000000</v>
      </c>
      <c r="G166" s="7"/>
      <c r="H166" s="53"/>
      <c r="I166" s="5" t="b">
        <f>IF(FINANCIACION[[#This Row],[$ CAPITAL]]&gt;0,FINANCIACION[[#This Row],[$ CAPITAL]])</f>
        <v>0</v>
      </c>
      <c r="J166" s="33">
        <f>IF(FINANCIACION[[#This Row],[$ CAPITAL]]&gt;=0,FINANCIACION[[#This Row],[$ CAPITAL]]+FINANCIACION[[#This Row],[$ INTERESES]],0)</f>
        <v>640000</v>
      </c>
    </row>
    <row r="167" spans="1:10" ht="24" hidden="1" customHeight="1" x14ac:dyDescent="0.25">
      <c r="A167" s="298">
        <v>43890</v>
      </c>
      <c r="B167" s="50" t="s">
        <v>366</v>
      </c>
      <c r="C167" s="5"/>
      <c r="D167" s="5">
        <v>840000</v>
      </c>
      <c r="E167" s="5">
        <f>+IF(FINANCIACION[[#This Row],[$ CAPITAL]]&gt;=0,FINANCIACION[[#This Row],[$ CAPITAL]]+FINANCIACION[[#This Row],[$ INTERESES]],"")</f>
        <v>840000</v>
      </c>
      <c r="F167" s="5">
        <f>+SUMIFS(FINANCIACION[$ CAPITAL],FINANCIACION[Fecha],"&lt;="&amp;FINANCIACION[[#This Row],[Fecha]],FINANCIACION[PRESTAMO],FINANCIACION[[#This Row],[PRESTAMO]])</f>
        <v>-84000000</v>
      </c>
      <c r="G167" s="53"/>
      <c r="H167" s="53"/>
      <c r="I167" s="5" t="b">
        <f>IF(FINANCIACION[[#This Row],[$ CAPITAL]]&gt;0,FINANCIACION[[#This Row],[$ CAPITAL]])</f>
        <v>0</v>
      </c>
      <c r="J167" s="33">
        <f>IF(FINANCIACION[[#This Row],[$ CAPITAL]]&gt;=0,FINANCIACION[[#This Row],[$ CAPITAL]]+FINANCIACION[[#This Row],[$ INTERESES]],0)</f>
        <v>840000</v>
      </c>
    </row>
    <row r="168" spans="1:10" ht="24" hidden="1" customHeight="1" x14ac:dyDescent="0.25">
      <c r="A168" s="298">
        <v>43971</v>
      </c>
      <c r="B168" s="50" t="s">
        <v>366</v>
      </c>
      <c r="C168" s="5"/>
      <c r="D168" s="5">
        <v>840000</v>
      </c>
      <c r="E168" s="5">
        <f>+IF(FINANCIACION[[#This Row],[$ CAPITAL]]&gt;=0,FINANCIACION[[#This Row],[$ CAPITAL]]+FINANCIACION[[#This Row],[$ INTERESES]],"")</f>
        <v>840000</v>
      </c>
      <c r="F168" s="5">
        <f>+SUMIFS(FINANCIACION[$ CAPITAL],FINANCIACION[Fecha],"&lt;="&amp;FINANCIACION[[#This Row],[Fecha]],FINANCIACION[PRESTAMO],FINANCIACION[[#This Row],[PRESTAMO]])</f>
        <v>-84000000</v>
      </c>
      <c r="G168" s="7"/>
      <c r="H168" s="53"/>
      <c r="I168" s="5" t="b">
        <f>IF(FINANCIACION[[#This Row],[$ CAPITAL]]&gt;0,FINANCIACION[[#This Row],[$ CAPITAL]])</f>
        <v>0</v>
      </c>
      <c r="J168" s="33">
        <f>IF(FINANCIACION[[#This Row],[$ CAPITAL]]&gt;=0,FINANCIACION[[#This Row],[$ CAPITAL]]+FINANCIACION[[#This Row],[$ INTERESES]],0)</f>
        <v>840000</v>
      </c>
    </row>
    <row r="169" spans="1:10" ht="24" hidden="1" customHeight="1" x14ac:dyDescent="0.25">
      <c r="A169" s="298">
        <v>44000</v>
      </c>
      <c r="B169" s="50" t="s">
        <v>366</v>
      </c>
      <c r="C169" s="5"/>
      <c r="D169" s="5">
        <v>840000</v>
      </c>
      <c r="E169" s="5">
        <f>+IF(FINANCIACION[[#This Row],[$ CAPITAL]]&gt;=0,FINANCIACION[[#This Row],[$ CAPITAL]]+FINANCIACION[[#This Row],[$ INTERESES]],"")</f>
        <v>840000</v>
      </c>
      <c r="F169" s="5">
        <f>+SUMIFS(FINANCIACION[$ CAPITAL],FINANCIACION[Fecha],"&lt;="&amp;FINANCIACION[[#This Row],[Fecha]],FINANCIACION[PRESTAMO],FINANCIACION[[#This Row],[PRESTAMO]])</f>
        <v>-84000000</v>
      </c>
      <c r="G169" s="7"/>
      <c r="H169" s="53"/>
      <c r="I169" s="5" t="b">
        <f>IF(FINANCIACION[[#This Row],[$ CAPITAL]]&gt;0,FINANCIACION[[#This Row],[$ CAPITAL]])</f>
        <v>0</v>
      </c>
      <c r="J169" s="33">
        <f>IF(FINANCIACION[[#This Row],[$ CAPITAL]]&gt;=0,FINANCIACION[[#This Row],[$ CAPITAL]]+FINANCIACION[[#This Row],[$ INTERESES]],0)</f>
        <v>840000</v>
      </c>
    </row>
    <row r="170" spans="1:10" ht="24" hidden="1" customHeight="1" x14ac:dyDescent="0.25">
      <c r="A170" s="298">
        <v>44013</v>
      </c>
      <c r="B170" s="50" t="s">
        <v>366</v>
      </c>
      <c r="C170" s="5">
        <v>69000000</v>
      </c>
      <c r="D170" s="5">
        <v>840000</v>
      </c>
      <c r="E170" s="5">
        <f>+IF(FINANCIACION[[#This Row],[$ CAPITAL]]&gt;=0,FINANCIACION[[#This Row],[$ CAPITAL]]+FINANCIACION[[#This Row],[$ INTERESES]],"")</f>
        <v>69840000</v>
      </c>
      <c r="F170" s="5">
        <f>+SUMIFS(FINANCIACION[$ CAPITAL],FINANCIACION[Fecha],"&lt;="&amp;FINANCIACION[[#This Row],[Fecha]],FINANCIACION[PRESTAMO],FINANCIACION[[#This Row],[PRESTAMO]])</f>
        <v>-15000000</v>
      </c>
      <c r="G170" s="53"/>
      <c r="H170" s="53"/>
      <c r="I170" s="5">
        <f>IF(FINANCIACION[[#This Row],[$ CAPITAL]]&gt;0,FINANCIACION[[#This Row],[$ CAPITAL]])</f>
        <v>69000000</v>
      </c>
      <c r="J170" s="33">
        <f>IF(FINANCIACION[[#This Row],[$ CAPITAL]]&gt;=0,FINANCIACION[[#This Row],[$ CAPITAL]]+FINANCIACION[[#This Row],[$ INTERESES]],0)</f>
        <v>69840000</v>
      </c>
    </row>
    <row r="171" spans="1:10" ht="24" hidden="1" customHeight="1" x14ac:dyDescent="0.25">
      <c r="A171" s="298">
        <v>44043</v>
      </c>
      <c r="B171" s="50" t="s">
        <v>366</v>
      </c>
      <c r="C171" s="5"/>
      <c r="D171" s="5">
        <v>150000</v>
      </c>
      <c r="E171" s="5">
        <f>+IF(FINANCIACION[[#This Row],[$ CAPITAL]]&gt;=0,FINANCIACION[[#This Row],[$ CAPITAL]]+FINANCIACION[[#This Row],[$ INTERESES]],"")</f>
        <v>150000</v>
      </c>
      <c r="F171" s="5">
        <f>+SUMIFS(FINANCIACION[$ CAPITAL],FINANCIACION[Fecha],"&lt;="&amp;FINANCIACION[[#This Row],[Fecha]],FINANCIACION[PRESTAMO],FINANCIACION[[#This Row],[PRESTAMO]])</f>
        <v>-15000000</v>
      </c>
      <c r="G171" s="7"/>
      <c r="H171" s="53"/>
      <c r="I171" s="5" t="b">
        <f>IF(FINANCIACION[[#This Row],[$ CAPITAL]]&gt;0,FINANCIACION[[#This Row],[$ CAPITAL]])</f>
        <v>0</v>
      </c>
      <c r="J171" s="33">
        <f>IF(FINANCIACION[[#This Row],[$ CAPITAL]]&gt;=0,FINANCIACION[[#This Row],[$ CAPITAL]]+FINANCIACION[[#This Row],[$ INTERESES]],0)</f>
        <v>150000</v>
      </c>
    </row>
    <row r="172" spans="1:10" ht="24" hidden="1" customHeight="1" x14ac:dyDescent="0.25">
      <c r="A172" s="298">
        <v>44078</v>
      </c>
      <c r="B172" s="50" t="s">
        <v>366</v>
      </c>
      <c r="C172" s="5"/>
      <c r="D172" s="5">
        <v>150000</v>
      </c>
      <c r="E172" s="5">
        <f>+IF(FINANCIACION[[#This Row],[$ CAPITAL]]&gt;=0,FINANCIACION[[#This Row],[$ CAPITAL]]+FINANCIACION[[#This Row],[$ INTERESES]],"")</f>
        <v>150000</v>
      </c>
      <c r="F172" s="5">
        <f>+SUMIFS(FINANCIACION[$ CAPITAL],FINANCIACION[Fecha],"&lt;="&amp;FINANCIACION[[#This Row],[Fecha]],FINANCIACION[PRESTAMO],FINANCIACION[[#This Row],[PRESTAMO]])</f>
        <v>-15000000</v>
      </c>
      <c r="G172" s="7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150000</v>
      </c>
    </row>
    <row r="173" spans="1:10" ht="24" hidden="1" customHeight="1" x14ac:dyDescent="0.25">
      <c r="A173" s="298">
        <v>44106</v>
      </c>
      <c r="B173" s="50" t="s">
        <v>366</v>
      </c>
      <c r="C173" s="5">
        <v>850000</v>
      </c>
      <c r="D173" s="5">
        <v>150000</v>
      </c>
      <c r="E173" s="5">
        <f>+IF(FINANCIACION[[#This Row],[$ CAPITAL]]&gt;=0,FINANCIACION[[#This Row],[$ CAPITAL]]+FINANCIACION[[#This Row],[$ INTERESES]],"")</f>
        <v>1000000</v>
      </c>
      <c r="F173" s="5">
        <f>+SUMIFS(FINANCIACION[$ CAPITAL],FINANCIACION[Fecha],"&lt;="&amp;FINANCIACION[[#This Row],[Fecha]],FINANCIACION[PRESTAMO],FINANCIACION[[#This Row],[PRESTAMO]])</f>
        <v>-14150000</v>
      </c>
      <c r="G173" s="7"/>
      <c r="H173" s="53"/>
      <c r="I173" s="5">
        <f>IF(FINANCIACION[[#This Row],[$ CAPITAL]]&gt;0,FINANCIACION[[#This Row],[$ CAPITAL]])</f>
        <v>850000</v>
      </c>
      <c r="J173" s="33">
        <f>IF(FINANCIACION[[#This Row],[$ CAPITAL]]&gt;=0,FINANCIACION[[#This Row],[$ CAPITAL]]+FINANCIACION[[#This Row],[$ INTERESES]],0)</f>
        <v>1000000</v>
      </c>
    </row>
    <row r="174" spans="1:10" ht="24" hidden="1" customHeight="1" x14ac:dyDescent="0.25">
      <c r="A174" s="298">
        <v>44142</v>
      </c>
      <c r="B174" s="50" t="s">
        <v>366</v>
      </c>
      <c r="C174" s="5">
        <v>858500</v>
      </c>
      <c r="D174" s="5">
        <v>141500</v>
      </c>
      <c r="E174" s="5">
        <f>+IF(FINANCIACION[[#This Row],[$ CAPITAL]]&gt;=0,FINANCIACION[[#This Row],[$ CAPITAL]]+FINANCIACION[[#This Row],[$ INTERESES]],"")</f>
        <v>1000000</v>
      </c>
      <c r="F174" s="5">
        <f>+SUMIFS(FINANCIACION[$ CAPITAL],FINANCIACION[Fecha],"&lt;="&amp;FINANCIACION[[#This Row],[Fecha]],FINANCIACION[PRESTAMO],FINANCIACION[[#This Row],[PRESTAMO]])</f>
        <v>-13291500</v>
      </c>
      <c r="G174" s="7"/>
      <c r="H174" s="53"/>
      <c r="I174" s="5">
        <f>IF(FINANCIACION[[#This Row],[$ CAPITAL]]&gt;0,FINANCIACION[[#This Row],[$ CAPITAL]])</f>
        <v>858500</v>
      </c>
      <c r="J174" s="33">
        <f>IF(FINANCIACION[[#This Row],[$ CAPITAL]]&gt;=0,FINANCIACION[[#This Row],[$ CAPITAL]]+FINANCIACION[[#This Row],[$ INTERESES]],0)</f>
        <v>1000000</v>
      </c>
    </row>
    <row r="175" spans="1:10" ht="24" hidden="1" customHeight="1" x14ac:dyDescent="0.25">
      <c r="A175" s="298">
        <v>44175</v>
      </c>
      <c r="B175" s="50" t="s">
        <v>366</v>
      </c>
      <c r="C175" s="5">
        <v>867085</v>
      </c>
      <c r="D175" s="5">
        <v>132915</v>
      </c>
      <c r="E175" s="5">
        <f>+IF(FINANCIACION[[#This Row],[$ CAPITAL]]&gt;=0,FINANCIACION[[#This Row],[$ CAPITAL]]+FINANCIACION[[#This Row],[$ INTERESES]],"")</f>
        <v>1000000</v>
      </c>
      <c r="F175" s="5">
        <f>+SUMIFS(FINANCIACION[$ CAPITAL],FINANCIACION[Fecha],"&lt;="&amp;FINANCIACION[[#This Row],[Fecha]],FINANCIACION[PRESTAMO],FINANCIACION[[#This Row],[PRESTAMO]])</f>
        <v>-12424415</v>
      </c>
      <c r="G175" s="7"/>
      <c r="H175" s="53"/>
      <c r="I175" s="5">
        <f>IF(FINANCIACION[[#This Row],[$ CAPITAL]]&gt;0,FINANCIACION[[#This Row],[$ CAPITAL]])</f>
        <v>867085</v>
      </c>
      <c r="J175" s="33">
        <f>IF(FINANCIACION[[#This Row],[$ CAPITAL]]&gt;=0,FINANCIACION[[#This Row],[$ CAPITAL]]+FINANCIACION[[#This Row],[$ INTERESES]],0)</f>
        <v>1000000</v>
      </c>
    </row>
    <row r="176" spans="1:10" ht="24" hidden="1" customHeight="1" x14ac:dyDescent="0.25">
      <c r="A176" s="109">
        <v>44208</v>
      </c>
      <c r="B176" s="50" t="s">
        <v>366</v>
      </c>
      <c r="C176" s="5">
        <v>875755.85</v>
      </c>
      <c r="D176" s="5">
        <v>124244.15000000001</v>
      </c>
      <c r="E176" s="5">
        <f>+IF(FINANCIACION[[#This Row],[$ CAPITAL]]&gt;=0,FINANCIACION[[#This Row],[$ CAPITAL]]+FINANCIACION[[#This Row],[$ INTERESES]],"")</f>
        <v>1000000</v>
      </c>
      <c r="F176" s="5">
        <f>+SUMIFS(FINANCIACION[$ CAPITAL],FINANCIACION[Fecha],"&lt;="&amp;FINANCIACION[[#This Row],[Fecha]],FINANCIACION[PRESTAMO],FINANCIACION[[#This Row],[PRESTAMO]])</f>
        <v>-11548659.15</v>
      </c>
      <c r="G176" s="7"/>
      <c r="H176" s="53"/>
      <c r="I176" s="5">
        <f>IF(FINANCIACION[[#This Row],[$ CAPITAL]]&gt;0,FINANCIACION[[#This Row],[$ CAPITAL]])</f>
        <v>875755.85</v>
      </c>
      <c r="J176" s="33">
        <f>IF(FINANCIACION[[#This Row],[$ CAPITAL]]&gt;=0,FINANCIACION[[#This Row],[$ CAPITAL]]+FINANCIACION[[#This Row],[$ INTERESES]],0)</f>
        <v>1000000</v>
      </c>
    </row>
    <row r="177" spans="1:10" ht="24" hidden="1" customHeight="1" x14ac:dyDescent="0.25">
      <c r="A177" s="109">
        <v>44237</v>
      </c>
      <c r="B177" s="50" t="s">
        <v>366</v>
      </c>
      <c r="C177" s="5">
        <v>875755.85</v>
      </c>
      <c r="D177" s="5">
        <v>124244.15000000001</v>
      </c>
      <c r="E177" s="5">
        <f>+IF(FINANCIACION[[#This Row],[$ CAPITAL]]&gt;=0,FINANCIACION[[#This Row],[$ CAPITAL]]+FINANCIACION[[#This Row],[$ INTERESES]],"")</f>
        <v>1000000</v>
      </c>
      <c r="F177" s="5">
        <f>+SUMIFS(FINANCIACION[$ CAPITAL],FINANCIACION[Fecha],"&lt;="&amp;FINANCIACION[[#This Row],[Fecha]],FINANCIACION[PRESTAMO],FINANCIACION[[#This Row],[PRESTAMO]])</f>
        <v>-10672903.300000001</v>
      </c>
      <c r="G177" s="7"/>
      <c r="H177" s="53"/>
      <c r="I177" s="5">
        <f>IF(FINANCIACION[[#This Row],[$ CAPITAL]]&gt;0,FINANCIACION[[#This Row],[$ CAPITAL]])</f>
        <v>875755.85</v>
      </c>
      <c r="J177" s="33">
        <f>IF(FINANCIACION[[#This Row],[$ CAPITAL]]&gt;=0,FINANCIACION[[#This Row],[$ CAPITAL]]+FINANCIACION[[#This Row],[$ INTERESES]],0)</f>
        <v>1000000</v>
      </c>
    </row>
    <row r="178" spans="1:10" ht="24" hidden="1" customHeight="1" x14ac:dyDescent="0.25">
      <c r="A178" s="109">
        <v>44245</v>
      </c>
      <c r="B178" s="50" t="s">
        <v>366</v>
      </c>
      <c r="C178" s="5">
        <v>-50000000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-60672903.299999997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hidden="1" customHeight="1" x14ac:dyDescent="0.25">
      <c r="A179" s="109">
        <v>44265</v>
      </c>
      <c r="B179" s="50" t="s">
        <v>366</v>
      </c>
      <c r="C179" s="5">
        <v>277743.10809999995</v>
      </c>
      <c r="D179" s="5">
        <v>922256.89190000005</v>
      </c>
      <c r="E179" s="5">
        <f>+IF(FINANCIACION[[#This Row],[$ CAPITAL]]&gt;=0,FINANCIACION[[#This Row],[$ CAPITAL]]+FINANCIACION[[#This Row],[$ INTERESES]],"")</f>
        <v>1200000</v>
      </c>
      <c r="F179" s="5">
        <f>+SUMIFS(FINANCIACION[$ CAPITAL],FINANCIACION[Fecha],"&lt;="&amp;FINANCIACION[[#This Row],[Fecha]],FINANCIACION[PRESTAMO],FINANCIACION[[#This Row],[PRESTAMO]])</f>
        <v>-60395160.1919</v>
      </c>
      <c r="G179" s="7"/>
      <c r="H179" s="53"/>
      <c r="I179" s="5">
        <f>IF(FINANCIACION[[#This Row],[$ CAPITAL]]&gt;0,FINANCIACION[[#This Row],[$ CAPITAL]])</f>
        <v>277743.10809999995</v>
      </c>
      <c r="J179" s="33">
        <f>IF(FINANCIACION[[#This Row],[$ CAPITAL]]&gt;=0,FINANCIACION[[#This Row],[$ CAPITAL]]+FINANCIACION[[#This Row],[$ INTERESES]],0)</f>
        <v>1200000</v>
      </c>
    </row>
    <row r="180" spans="1:10" ht="24" hidden="1" customHeight="1" x14ac:dyDescent="0.25">
      <c r="A180" s="109">
        <v>44266</v>
      </c>
      <c r="B180" s="50" t="s">
        <v>366</v>
      </c>
      <c r="C180" s="5">
        <v>315160.19189999998</v>
      </c>
      <c r="D180" s="5"/>
      <c r="E180" s="5">
        <f>+IF(FINANCIACION[[#This Row],[$ CAPITAL]]&gt;=0,FINANCIACION[[#This Row],[$ CAPITAL]]+FINANCIACION[[#This Row],[$ INTERESES]],"")</f>
        <v>315160.19189999998</v>
      </c>
      <c r="F180" s="5">
        <f>+SUMIFS(FINANCIACION[$ CAPITAL],FINANCIACION[Fecha],"&lt;="&amp;FINANCIACION[[#This Row],[Fecha]],FINANCIACION[PRESTAMO],FINANCIACION[[#This Row],[PRESTAMO]])</f>
        <v>-60080000</v>
      </c>
      <c r="G180" s="7" t="s">
        <v>155</v>
      </c>
      <c r="H180" s="53"/>
      <c r="I180" s="5">
        <f>IF(FINANCIACION[[#This Row],[$ CAPITAL]]&gt;0,FINANCIACION[[#This Row],[$ CAPITAL]])</f>
        <v>315160.19189999998</v>
      </c>
      <c r="J180" s="33">
        <f>IF(FINANCIACION[[#This Row],[$ CAPITAL]]&gt;=0,FINANCIACION[[#This Row],[$ CAPITAL]]+FINANCIACION[[#This Row],[$ INTERESES]],0)</f>
        <v>315160.19189999998</v>
      </c>
    </row>
    <row r="181" spans="1:10" ht="24" hidden="1" customHeight="1" x14ac:dyDescent="0.25">
      <c r="A181" s="109">
        <v>44299</v>
      </c>
      <c r="B181" s="50" t="s">
        <v>366</v>
      </c>
      <c r="C181" s="5">
        <v>699200</v>
      </c>
      <c r="D181" s="5">
        <v>600800</v>
      </c>
      <c r="E181" s="5">
        <f>+IF(FINANCIACION[[#This Row],[$ CAPITAL]]&gt;=0,FINANCIACION[[#This Row],[$ CAPITAL]]+FINANCIACION[[#This Row],[$ INTERESES]],"")</f>
        <v>1300000</v>
      </c>
      <c r="F181" s="5">
        <f>+SUMIFS(FINANCIACION[$ CAPITAL],FINANCIACION[Fecha],"&lt;="&amp;FINANCIACION[[#This Row],[Fecha]],FINANCIACION[PRESTAMO],FINANCIACION[[#This Row],[PRESTAMO]])</f>
        <v>-59380800</v>
      </c>
      <c r="G181" s="7"/>
      <c r="H181" s="53"/>
      <c r="I181" s="5">
        <f>IF(FINANCIACION[[#This Row],[$ CAPITAL]]&gt;0,FINANCIACION[[#This Row],[$ CAPITAL]])</f>
        <v>699200</v>
      </c>
      <c r="J181" s="33">
        <f>IF(FINANCIACION[[#This Row],[$ CAPITAL]]&gt;=0,FINANCIACION[[#This Row],[$ CAPITAL]]+FINANCIACION[[#This Row],[$ INTERESES]],0)</f>
        <v>1300000</v>
      </c>
    </row>
    <row r="182" spans="1:10" ht="24" hidden="1" customHeight="1" x14ac:dyDescent="0.25">
      <c r="A182" s="109">
        <v>44344</v>
      </c>
      <c r="B182" s="50" t="s">
        <v>366</v>
      </c>
      <c r="C182" s="5">
        <v>706192</v>
      </c>
      <c r="D182" s="5">
        <v>593808</v>
      </c>
      <c r="E182" s="5">
        <f>+IF(FINANCIACION[[#This Row],[$ CAPITAL]]&gt;=0,FINANCIACION[[#This Row],[$ CAPITAL]]+FINANCIACION[[#This Row],[$ INTERESES]],"")</f>
        <v>1300000</v>
      </c>
      <c r="F182" s="5">
        <f>+SUMIFS(FINANCIACION[$ CAPITAL],FINANCIACION[Fecha],"&lt;="&amp;FINANCIACION[[#This Row],[Fecha]],FINANCIACION[PRESTAMO],FINANCIACION[[#This Row],[PRESTAMO]])</f>
        <v>-58674608</v>
      </c>
      <c r="G182" s="7"/>
      <c r="H182" s="53"/>
      <c r="I182" s="5">
        <f>IF(FINANCIACION[[#This Row],[$ CAPITAL]]&gt;0,FINANCIACION[[#This Row],[$ CAPITAL]])</f>
        <v>706192</v>
      </c>
      <c r="J182" s="8">
        <f>IF(FINANCIACION[[#This Row],[$ CAPITAL]]&gt;=0,FINANCIACION[[#This Row],[$ CAPITAL]]+FINANCIACION[[#This Row],[$ INTERESES]],0)</f>
        <v>1300000</v>
      </c>
    </row>
    <row r="183" spans="1:10" ht="24" hidden="1" customHeight="1" x14ac:dyDescent="0.25">
      <c r="A183" s="109">
        <v>44358</v>
      </c>
      <c r="B183" s="50" t="s">
        <v>366</v>
      </c>
      <c r="C183" s="5">
        <v>713253.92</v>
      </c>
      <c r="D183" s="5">
        <v>586746.07999999996</v>
      </c>
      <c r="E183" s="5">
        <f>+IF(FINANCIACION[[#This Row],[$ CAPITAL]]&gt;=0,FINANCIACION[[#This Row],[$ CAPITAL]]+FINANCIACION[[#This Row],[$ INTERESES]],"")</f>
        <v>1300000</v>
      </c>
      <c r="F183" s="5">
        <f>+SUMIFS(FINANCIACION[$ CAPITAL],FINANCIACION[Fecha],"&lt;="&amp;FINANCIACION[[#This Row],[Fecha]],FINANCIACION[PRESTAMO],FINANCIACION[[#This Row],[PRESTAMO]])</f>
        <v>-57961354.079999998</v>
      </c>
      <c r="G183" s="7"/>
      <c r="H183" s="53"/>
      <c r="I183" s="5">
        <f>IF(FINANCIACION[[#This Row],[$ CAPITAL]]&gt;0,FINANCIACION[[#This Row],[$ CAPITAL]])</f>
        <v>713253.92</v>
      </c>
      <c r="J183" s="8">
        <f>IF(FINANCIACION[[#This Row],[$ CAPITAL]]&gt;=0,FINANCIACION[[#This Row],[$ CAPITAL]]+FINANCIACION[[#This Row],[$ INTERESES]],0)</f>
        <v>1300000</v>
      </c>
    </row>
    <row r="184" spans="1:10" ht="24" hidden="1" customHeight="1" x14ac:dyDescent="0.25">
      <c r="A184" s="109">
        <v>44390</v>
      </c>
      <c r="B184" s="50" t="s">
        <v>366</v>
      </c>
      <c r="C184" s="5">
        <v>720386.45920000004</v>
      </c>
      <c r="D184" s="5">
        <v>579613.54079999996</v>
      </c>
      <c r="E184" s="5">
        <f>+IF(FINANCIACION[[#This Row],[$ CAPITAL]]&gt;=0,FINANCIACION[[#This Row],[$ CAPITAL]]+FINANCIACION[[#This Row],[$ INTERESES]],"")</f>
        <v>1300000</v>
      </c>
      <c r="F184" s="5">
        <f>+SUMIFS(FINANCIACION[$ CAPITAL],FINANCIACION[Fecha],"&lt;="&amp;FINANCIACION[[#This Row],[Fecha]],FINANCIACION[PRESTAMO],FINANCIACION[[#This Row],[PRESTAMO]])</f>
        <v>-57240967.620799996</v>
      </c>
      <c r="G184" s="53"/>
      <c r="H184" s="53"/>
      <c r="I184" s="5">
        <f>IF(FINANCIACION[[#This Row],[$ CAPITAL]]&gt;0,FINANCIACION[[#This Row],[$ CAPITAL]])</f>
        <v>720386.45920000004</v>
      </c>
      <c r="J184" s="33">
        <f>IF(FINANCIACION[[#This Row],[$ CAPITAL]]&gt;=0,FINANCIACION[[#This Row],[$ CAPITAL]]+FINANCIACION[[#This Row],[$ INTERESES]],0)</f>
        <v>1300000</v>
      </c>
    </row>
    <row r="185" spans="1:10" ht="24" hidden="1" customHeight="1" x14ac:dyDescent="0.25">
      <c r="A185" s="109">
        <v>44425</v>
      </c>
      <c r="B185" s="50" t="s">
        <v>366</v>
      </c>
      <c r="C185" s="5">
        <v>727590.32379200007</v>
      </c>
      <c r="D185" s="5">
        <v>572409.67620799993</v>
      </c>
      <c r="E185" s="5">
        <f>+IF(FINANCIACION[[#This Row],[$ CAPITAL]]&gt;=0,FINANCIACION[[#This Row],[$ CAPITAL]]+FINANCIACION[[#This Row],[$ INTERESES]],"")</f>
        <v>1300000</v>
      </c>
      <c r="F185" s="5">
        <f>+SUMIFS(FINANCIACION[$ CAPITAL],FINANCIACION[Fecha],"&lt;="&amp;FINANCIACION[[#This Row],[Fecha]],FINANCIACION[PRESTAMO],FINANCIACION[[#This Row],[PRESTAMO]])</f>
        <v>-56513377.297007993</v>
      </c>
      <c r="G185" s="53"/>
      <c r="H185" s="53"/>
      <c r="I185" s="5">
        <f>IF(FINANCIACION[[#This Row],[$ CAPITAL]]&gt;0,FINANCIACION[[#This Row],[$ CAPITAL]])</f>
        <v>727590.32379200007</v>
      </c>
      <c r="J185" s="33">
        <f>IF(FINANCIACION[[#This Row],[$ CAPITAL]]&gt;=0,FINANCIACION[[#This Row],[$ CAPITAL]]+FINANCIACION[[#This Row],[$ INTERESES]],0)</f>
        <v>1300000</v>
      </c>
    </row>
    <row r="186" spans="1:10" ht="24" hidden="1" customHeight="1" x14ac:dyDescent="0.25">
      <c r="A186" s="109">
        <v>44450</v>
      </c>
      <c r="B186" s="50" t="s">
        <v>366</v>
      </c>
      <c r="C186" s="5">
        <v>734866.22702992009</v>
      </c>
      <c r="D186" s="5">
        <v>565133.77297007991</v>
      </c>
      <c r="E186" s="5">
        <f>+IF(FINANCIACION[[#This Row],[$ CAPITAL]]&gt;=0,FINANCIACION[[#This Row],[$ CAPITAL]]+FINANCIACION[[#This Row],[$ INTERESES]],"")</f>
        <v>1300000</v>
      </c>
      <c r="F186" s="5">
        <f>+SUMIFS(FINANCIACION[$ CAPITAL],FINANCIACION[Fecha],"&lt;="&amp;FINANCIACION[[#This Row],[Fecha]],FINANCIACION[PRESTAMO],FINANCIACION[[#This Row],[PRESTAMO]])</f>
        <v>-55778511.069978073</v>
      </c>
      <c r="G186" s="7"/>
      <c r="H186" s="53"/>
      <c r="I186" s="5">
        <f>IF(FINANCIACION[[#This Row],[$ CAPITAL]]&gt;0,FINANCIACION[[#This Row],[$ CAPITAL]])</f>
        <v>734866.22702992009</v>
      </c>
      <c r="J186" s="33">
        <f>IF(FINANCIACION[[#This Row],[$ CAPITAL]]&gt;=0,FINANCIACION[[#This Row],[$ CAPITAL]]+FINANCIACION[[#This Row],[$ INTERESES]],0)</f>
        <v>1300000</v>
      </c>
    </row>
    <row r="187" spans="1:10" ht="24" hidden="1" customHeight="1" x14ac:dyDescent="0.25">
      <c r="A187" s="109">
        <v>44480</v>
      </c>
      <c r="B187" s="50" t="s">
        <v>366</v>
      </c>
      <c r="C187" s="5">
        <v>742214.88930021925</v>
      </c>
      <c r="D187" s="5">
        <v>557785.11069978075</v>
      </c>
      <c r="E187" s="5">
        <f>+IF(FINANCIACION[[#This Row],[$ CAPITAL]]&gt;=0,FINANCIACION[[#This Row],[$ CAPITAL]]+FINANCIACION[[#This Row],[$ INTERESES]],"")</f>
        <v>1300000</v>
      </c>
      <c r="F187" s="5">
        <f>+SUMIFS(FINANCIACION[$ CAPITAL],FINANCIACION[Fecha],"&lt;="&amp;FINANCIACION[[#This Row],[Fecha]],FINANCIACION[PRESTAMO],FINANCIACION[[#This Row],[PRESTAMO]])</f>
        <v>-55036296.180677854</v>
      </c>
      <c r="G187" s="7"/>
      <c r="H187" s="53"/>
      <c r="I187" s="5">
        <f>IF(FINANCIACION[[#This Row],[$ CAPITAL]]&gt;0,FINANCIACION[[#This Row],[$ CAPITAL]])</f>
        <v>742214.88930021925</v>
      </c>
      <c r="J187" s="33">
        <f>IF(FINANCIACION[[#This Row],[$ CAPITAL]]&gt;=0,FINANCIACION[[#This Row],[$ CAPITAL]]+FINANCIACION[[#This Row],[$ INTERESES]],0)</f>
        <v>1300000</v>
      </c>
    </row>
    <row r="188" spans="1:10" ht="24" hidden="1" customHeight="1" x14ac:dyDescent="0.25">
      <c r="A188" s="109">
        <v>44510</v>
      </c>
      <c r="B188" s="50" t="s">
        <v>366</v>
      </c>
      <c r="C188" s="5">
        <v>749637</v>
      </c>
      <c r="D188" s="5">
        <v>550363</v>
      </c>
      <c r="E188" s="5">
        <f>+IF(FINANCIACION[[#This Row],[$ CAPITAL]]&gt;=0,FINANCIACION[[#This Row],[$ CAPITAL]]+FINANCIACION[[#This Row],[$ INTERESES]],"")</f>
        <v>1300000</v>
      </c>
      <c r="F188" s="5">
        <f>+SUMIFS(FINANCIACION[$ CAPITAL],FINANCIACION[Fecha],"&lt;="&amp;FINANCIACION[[#This Row],[Fecha]],FINANCIACION[PRESTAMO],FINANCIACION[[#This Row],[PRESTAMO]])</f>
        <v>-54286659.180677854</v>
      </c>
      <c r="G188" s="53"/>
      <c r="H188" s="53"/>
      <c r="I188" s="5">
        <f>IF(FINANCIACION[[#This Row],[$ CAPITAL]]&gt;0,FINANCIACION[[#This Row],[$ CAPITAL]])</f>
        <v>749637</v>
      </c>
      <c r="J188" s="33">
        <f>IF(FINANCIACION[[#This Row],[$ CAPITAL]]&gt;=0,FINANCIACION[[#This Row],[$ CAPITAL]]+FINANCIACION[[#This Row],[$ INTERESES]],0)</f>
        <v>1300000</v>
      </c>
    </row>
    <row r="189" spans="1:10" ht="24" hidden="1" customHeight="1" x14ac:dyDescent="0.25">
      <c r="A189" s="109">
        <v>44539</v>
      </c>
      <c r="B189" s="50" t="s">
        <v>366</v>
      </c>
      <c r="C189" s="5">
        <v>757133.40857515368</v>
      </c>
      <c r="D189" s="5">
        <v>542866.59142484632</v>
      </c>
      <c r="E189" s="5">
        <f>+IF(FINANCIACION[[#This Row],[$ CAPITAL]]&gt;=0,FINANCIACION[[#This Row],[$ CAPITAL]]+FINANCIACION[[#This Row],[$ INTERESES]],"")</f>
        <v>1300000</v>
      </c>
      <c r="F189" s="5">
        <f>+SUMIFS(FINANCIACION[$ CAPITAL],FINANCIACION[Fecha],"&lt;="&amp;FINANCIACION[[#This Row],[Fecha]],FINANCIACION[PRESTAMO],FINANCIACION[[#This Row],[PRESTAMO]])</f>
        <v>-53529525.772102699</v>
      </c>
      <c r="G189" s="53"/>
      <c r="H189" s="53"/>
      <c r="I189" s="5">
        <f>IF(FINANCIACION[[#This Row],[$ CAPITAL]]&gt;0,FINANCIACION[[#This Row],[$ CAPITAL]])</f>
        <v>757133.40857515368</v>
      </c>
      <c r="J189" s="33">
        <f>IF(FINANCIACION[[#This Row],[$ CAPITAL]]&gt;=0,FINANCIACION[[#This Row],[$ CAPITAL]]+FINANCIACION[[#This Row],[$ INTERESES]],0)</f>
        <v>1300000</v>
      </c>
    </row>
    <row r="190" spans="1:10" ht="24" hidden="1" customHeight="1" x14ac:dyDescent="0.25">
      <c r="A190" s="109">
        <v>44572</v>
      </c>
      <c r="B190" s="50" t="s">
        <v>366</v>
      </c>
      <c r="C190" s="5">
        <v>764704.74227897299</v>
      </c>
      <c r="D190" s="5">
        <v>535295.25772102701</v>
      </c>
      <c r="E190" s="5">
        <f>+IF(FINANCIACION[[#This Row],[$ CAPITAL]]&gt;=0,FINANCIACION[[#This Row],[$ CAPITAL]]+FINANCIACION[[#This Row],[$ INTERESES]],"")</f>
        <v>1300000</v>
      </c>
      <c r="F190" s="5">
        <f>+SUMIFS(FINANCIACION[$ CAPITAL],FINANCIACION[Fecha],"&lt;="&amp;FINANCIACION[[#This Row],[Fecha]],FINANCIACION[PRESTAMO],FINANCIACION[[#This Row],[PRESTAMO]])</f>
        <v>-52764821.029823728</v>
      </c>
      <c r="G190" s="53"/>
      <c r="H190" s="53"/>
      <c r="I190" s="5">
        <f>IF(FINANCIACION[[#This Row],[$ CAPITAL]]&gt;0,FINANCIACION[[#This Row],[$ CAPITAL]])</f>
        <v>764704.74227897299</v>
      </c>
      <c r="J190" s="33">
        <f>IF(FINANCIACION[[#This Row],[$ CAPITAL]]&gt;=0,FINANCIACION[[#This Row],[$ CAPITAL]]+FINANCIACION[[#This Row],[$ INTERESES]],0)</f>
        <v>1300000</v>
      </c>
    </row>
    <row r="191" spans="1:10" ht="24" hidden="1" customHeight="1" x14ac:dyDescent="0.25">
      <c r="A191" s="109">
        <v>44602</v>
      </c>
      <c r="B191" s="50" t="s">
        <v>366</v>
      </c>
      <c r="C191" s="5">
        <v>772351.78970176273</v>
      </c>
      <c r="D191" s="5">
        <v>527648.21029823727</v>
      </c>
      <c r="E191" s="5">
        <f>+IF(FINANCIACION[[#This Row],[$ CAPITAL]]&gt;=0,FINANCIACION[[#This Row],[$ CAPITAL]]+FINANCIACION[[#This Row],[$ INTERESES]],"")</f>
        <v>1300000</v>
      </c>
      <c r="F191" s="5">
        <f>+SUMIFS(FINANCIACION[$ CAPITAL],FINANCIACION[Fecha],"&lt;="&amp;FINANCIACION[[#This Row],[Fecha]],FINANCIACION[PRESTAMO],FINANCIACION[[#This Row],[PRESTAMO]])</f>
        <v>-51992469.240121968</v>
      </c>
      <c r="G191" s="53"/>
      <c r="H191" s="53"/>
      <c r="I191" s="5">
        <f>+IF(FINANCIACION[[#This Row],[$ CAPITAL]]&gt;0,FINANCIACION[[#This Row],[$ CAPITAL]])</f>
        <v>772351.78970176273</v>
      </c>
      <c r="J191" s="33">
        <f>+IF(FINANCIACION[[#This Row],[$ CAPITAL]]&gt;=0,FINANCIACION[[#This Row],[$ CAPITAL]]+FINANCIACION[[#This Row],[$ INTERESES]],0)</f>
        <v>1300000</v>
      </c>
    </row>
    <row r="192" spans="1:10" ht="24" hidden="1" customHeight="1" x14ac:dyDescent="0.25">
      <c r="A192" s="109">
        <v>44629</v>
      </c>
      <c r="B192" s="50" t="s">
        <v>366</v>
      </c>
      <c r="C192" s="5">
        <v>780075.30759878037</v>
      </c>
      <c r="D192" s="5">
        <v>519924.69240121968</v>
      </c>
      <c r="E192" s="5">
        <f>+IF(FINANCIACION[[#This Row],[$ CAPITAL]]&gt;=0,FINANCIACION[[#This Row],[$ CAPITAL]]+FINANCIACION[[#This Row],[$ INTERESES]],"")</f>
        <v>1300000</v>
      </c>
      <c r="F192" s="5">
        <f>+SUMIFS(FINANCIACION[$ CAPITAL],FINANCIACION[Fecha],"&lt;="&amp;FINANCIACION[[#This Row],[Fecha]],FINANCIACION[PRESTAMO],FINANCIACION[[#This Row],[PRESTAMO]])</f>
        <v>-51212393.932523191</v>
      </c>
      <c r="G192" s="53"/>
      <c r="H192" s="53"/>
      <c r="I192" s="5">
        <f>+IF(FINANCIACION[[#This Row],[$ CAPITAL]]&gt;0,FINANCIACION[[#This Row],[$ CAPITAL]])</f>
        <v>780075.30759878037</v>
      </c>
      <c r="J192" s="33">
        <f>+IF(FINANCIACION[[#This Row],[$ CAPITAL]]&gt;=0,FINANCIACION[[#This Row],[$ CAPITAL]]+FINANCIACION[[#This Row],[$ INTERESES]],0)</f>
        <v>1300000</v>
      </c>
    </row>
    <row r="193" spans="1:10" ht="24" hidden="1" customHeight="1" x14ac:dyDescent="0.25">
      <c r="A193" s="109">
        <v>44665</v>
      </c>
      <c r="B193" s="50" t="s">
        <v>366</v>
      </c>
      <c r="C193" s="5">
        <v>787876.06067476806</v>
      </c>
      <c r="D193" s="5">
        <v>512123.93932523194</v>
      </c>
      <c r="E193" s="5">
        <f>+IF(FINANCIACION[[#This Row],[$ CAPITAL]]&gt;=0,FINANCIACION[[#This Row],[$ CAPITAL]]+FINANCIACION[[#This Row],[$ INTERESES]],"")</f>
        <v>1300000</v>
      </c>
      <c r="F193" s="5">
        <f>+SUMIFS(FINANCIACION[$ CAPITAL],FINANCIACION[Fecha],"&lt;="&amp;FINANCIACION[[#This Row],[Fecha]],FINANCIACION[PRESTAMO],FINANCIACION[[#This Row],[PRESTAMO]])</f>
        <v>-50424517.871848419</v>
      </c>
      <c r="G193" s="53"/>
      <c r="H193" s="53"/>
      <c r="I193" s="5">
        <f>+IF(FINANCIACION[[#This Row],[$ CAPITAL]]&gt;0,FINANCIACION[[#This Row],[$ CAPITAL]])</f>
        <v>787876.06067476806</v>
      </c>
      <c r="J193" s="33">
        <f>+IF(FINANCIACION[[#This Row],[$ CAPITAL]]&gt;=0,FINANCIACION[[#This Row],[$ CAPITAL]]+FINANCIACION[[#This Row],[$ INTERESES]],0)</f>
        <v>1300000</v>
      </c>
    </row>
    <row r="194" spans="1:10" ht="24" hidden="1" customHeight="1" x14ac:dyDescent="0.25">
      <c r="A194" s="109">
        <v>44691</v>
      </c>
      <c r="B194" s="50" t="s">
        <v>366</v>
      </c>
      <c r="C194" s="5">
        <v>795754.82128151576</v>
      </c>
      <c r="D194" s="5">
        <v>504245.17871848418</v>
      </c>
      <c r="E194" s="5">
        <f>+IF(FINANCIACION[[#This Row],[$ CAPITAL]]&gt;=0,FINANCIACION[[#This Row],[$ CAPITAL]]+FINANCIACION[[#This Row],[$ INTERESES]],"")</f>
        <v>1300000</v>
      </c>
      <c r="F194" s="5">
        <f>+SUMIFS(FINANCIACION[$ CAPITAL],FINANCIACION[Fecha],"&lt;="&amp;FINANCIACION[[#This Row],[Fecha]],FINANCIACION[PRESTAMO],FINANCIACION[[#This Row],[PRESTAMO]])</f>
        <v>-49628763.050566904</v>
      </c>
      <c r="G194" s="53"/>
      <c r="H194" s="53"/>
      <c r="I194" s="5">
        <f>+IF(FINANCIACION[[#This Row],[$ CAPITAL]]&gt;0,FINANCIACION[[#This Row],[$ CAPITAL]])</f>
        <v>795754.82128151576</v>
      </c>
      <c r="J194" s="33">
        <f>+IF(FINANCIACION[[#This Row],[$ CAPITAL]]&gt;=0,FINANCIACION[[#This Row],[$ CAPITAL]]+FINANCIACION[[#This Row],[$ INTERESES]],0)</f>
        <v>1300000</v>
      </c>
    </row>
    <row r="195" spans="1:10" ht="24" hidden="1" customHeight="1" x14ac:dyDescent="0.25">
      <c r="A195" s="109">
        <v>44722</v>
      </c>
      <c r="B195" s="50" t="s">
        <v>366</v>
      </c>
      <c r="C195" s="5">
        <v>803712.36949433095</v>
      </c>
      <c r="D195" s="5">
        <v>496287.63050566905</v>
      </c>
      <c r="E195" s="5">
        <f>+IF(FINANCIACION[[#This Row],[$ CAPITAL]]&gt;=0,FINANCIACION[[#This Row],[$ CAPITAL]]+FINANCIACION[[#This Row],[$ INTERESES]],"")</f>
        <v>1300000</v>
      </c>
      <c r="F195" s="5">
        <f>+SUMIFS(FINANCIACION[$ CAPITAL],FINANCIACION[Fecha],"&lt;="&amp;FINANCIACION[[#This Row],[Fecha]],FINANCIACION[PRESTAMO],FINANCIACION[[#This Row],[PRESTAMO]])</f>
        <v>-48825050.68107257</v>
      </c>
      <c r="G195" s="53"/>
      <c r="H195" s="53"/>
      <c r="I195" s="5">
        <f>+IF(FINANCIACION[[#This Row],[$ CAPITAL]]&gt;0,FINANCIACION[[#This Row],[$ CAPITAL]])</f>
        <v>803712.36949433095</v>
      </c>
      <c r="J195" s="33">
        <f>+IF(FINANCIACION[[#This Row],[$ CAPITAL]]&gt;=0,FINANCIACION[[#This Row],[$ CAPITAL]]+FINANCIACION[[#This Row],[$ INTERESES]],0)</f>
        <v>1300000</v>
      </c>
    </row>
    <row r="196" spans="1:10" ht="24" hidden="1" customHeight="1" x14ac:dyDescent="0.25">
      <c r="A196" s="109">
        <v>44753</v>
      </c>
      <c r="B196" s="50" t="s">
        <v>366</v>
      </c>
      <c r="C196" s="5">
        <f>1300000-FINANCIACION[[#This Row],[$ INTERESES]]</f>
        <v>811749.49318927398</v>
      </c>
      <c r="D196" s="5">
        <f>-48825050.6810726*-0.01</f>
        <v>488250.50681072602</v>
      </c>
      <c r="E196" s="5">
        <f>+IF(FINANCIACION[[#This Row],[$ CAPITAL]]&gt;=0,FINANCIACION[[#This Row],[$ CAPITAL]]+FINANCIACION[[#This Row],[$ INTERESES]],"")</f>
        <v>1300000</v>
      </c>
      <c r="F196" s="5">
        <f>+SUMIFS(FINANCIACION[$ CAPITAL],FINANCIACION[Fecha],"&lt;="&amp;FINANCIACION[[#This Row],[Fecha]],FINANCIACION[PRESTAMO],FINANCIACION[[#This Row],[PRESTAMO]])</f>
        <v>-48013301.187883295</v>
      </c>
      <c r="G196" s="53"/>
      <c r="H196" s="53"/>
      <c r="I196" s="5">
        <f>+IF(FINANCIACION[[#This Row],[$ CAPITAL]]&gt;0,FINANCIACION[[#This Row],[$ CAPITAL]])</f>
        <v>811749.49318927398</v>
      </c>
      <c r="J196" s="33">
        <f>+IF(FINANCIACION[[#This Row],[$ CAPITAL]]&gt;=0,FINANCIACION[[#This Row],[$ CAPITAL]]+FINANCIACION[[#This Row],[$ INTERESES]],0)</f>
        <v>1300000</v>
      </c>
    </row>
    <row r="197" spans="1:10" ht="24" hidden="1" customHeight="1" x14ac:dyDescent="0.25">
      <c r="A197" s="109">
        <v>44786</v>
      </c>
      <c r="B197" s="50" t="s">
        <v>366</v>
      </c>
      <c r="C197" s="5">
        <f>1300000-FINANCIACION[[#This Row],[$ INTERESES]]</f>
        <v>819866.98812116706</v>
      </c>
      <c r="D197" s="5">
        <v>480133.01187883294</v>
      </c>
      <c r="E197" s="5">
        <f>+IF(FINANCIACION[[#This Row],[$ CAPITAL]]&gt;=0,FINANCIACION[[#This Row],[$ CAPITAL]]+FINANCIACION[[#This Row],[$ INTERESES]],"")</f>
        <v>1300000</v>
      </c>
      <c r="F197" s="5">
        <f>+SUMIFS(FINANCIACION[$ CAPITAL],FINANCIACION[Fecha],"&lt;="&amp;FINANCIACION[[#This Row],[Fecha]],FINANCIACION[PRESTAMO],FINANCIACION[[#This Row],[PRESTAMO]])</f>
        <v>-47193434.199762128</v>
      </c>
      <c r="G197" s="53"/>
      <c r="H197" s="53"/>
      <c r="I197" s="5">
        <f>+IF(FINANCIACION[[#This Row],[$ CAPITAL]]&gt;0,FINANCIACION[[#This Row],[$ CAPITAL]])</f>
        <v>819866.98812116706</v>
      </c>
      <c r="J197" s="33">
        <f>+IF(FINANCIACION[[#This Row],[$ CAPITAL]]&gt;=0,FINANCIACION[[#This Row],[$ CAPITAL]]+FINANCIACION[[#This Row],[$ INTERESES]],0)</f>
        <v>1300000</v>
      </c>
    </row>
    <row r="198" spans="1:10" ht="24" hidden="1" customHeight="1" x14ac:dyDescent="0.25">
      <c r="A198" s="109">
        <v>44817</v>
      </c>
      <c r="B198" s="50" t="s">
        <v>366</v>
      </c>
      <c r="C198" s="5">
        <f>1300000-FINANCIACION[[#This Row],[$ INTERESES]]</f>
        <v>828066</v>
      </c>
      <c r="D198" s="5">
        <v>471934</v>
      </c>
      <c r="E198" s="5">
        <f>+IF(FINANCIACION[[#This Row],[$ CAPITAL]]&gt;=0,FINANCIACION[[#This Row],[$ CAPITAL]]+FINANCIACION[[#This Row],[$ INTERESES]],"")</f>
        <v>1300000</v>
      </c>
      <c r="F198" s="5">
        <f>+SUMIFS(FINANCIACION[$ CAPITAL],FINANCIACION[Fecha],"&lt;="&amp;FINANCIACION[[#This Row],[Fecha]],FINANCIACION[PRESTAMO],FINANCIACION[[#This Row],[PRESTAMO]])</f>
        <v>-46365368.199762128</v>
      </c>
      <c r="G198" s="53"/>
      <c r="H198" s="53"/>
      <c r="I198" s="5">
        <f>+IF(FINANCIACION[[#This Row],[$ CAPITAL]]&gt;0,FINANCIACION[[#This Row],[$ CAPITAL]])</f>
        <v>828066</v>
      </c>
      <c r="J198" s="33">
        <f>+IF(FINANCIACION[[#This Row],[$ CAPITAL]]&gt;=0,FINANCIACION[[#This Row],[$ CAPITAL]]+FINANCIACION[[#This Row],[$ INTERESES]],0)</f>
        <v>1300000</v>
      </c>
    </row>
    <row r="199" spans="1:10" ht="24" hidden="1" customHeight="1" x14ac:dyDescent="0.25">
      <c r="A199" s="109">
        <v>44846</v>
      </c>
      <c r="B199" s="50" t="s">
        <v>366</v>
      </c>
      <c r="C199" s="5">
        <v>836346</v>
      </c>
      <c r="D199" s="5">
        <v>463654</v>
      </c>
      <c r="E199" s="5">
        <f>+IF(FINANCIACION[[#This Row],[$ CAPITAL]]&gt;=0,FINANCIACION[[#This Row],[$ CAPITAL]]+FINANCIACION[[#This Row],[$ INTERESES]],"")</f>
        <v>1300000</v>
      </c>
      <c r="F199" s="5">
        <f>+SUMIFS(FINANCIACION[$ CAPITAL],FINANCIACION[Fecha],"&lt;="&amp;FINANCIACION[[#This Row],[Fecha]],FINANCIACION[PRESTAMO],FINANCIACION[[#This Row],[PRESTAMO]])</f>
        <v>-45529022.199762128</v>
      </c>
      <c r="G199" s="53"/>
      <c r="H199" s="53"/>
      <c r="I199" s="5">
        <f>+IF(FINANCIACION[[#This Row],[$ CAPITAL]]&gt;0,FINANCIACION[[#This Row],[$ CAPITAL]])</f>
        <v>836346</v>
      </c>
      <c r="J199" s="33">
        <f>+IF(FINANCIACION[[#This Row],[$ CAPITAL]]&gt;=0,FINANCIACION[[#This Row],[$ CAPITAL]]+FINANCIACION[[#This Row],[$ INTERESES]],0)</f>
        <v>1300000</v>
      </c>
    </row>
    <row r="200" spans="1:10" ht="24" hidden="1" customHeight="1" x14ac:dyDescent="0.25">
      <c r="A200" s="109">
        <v>44876</v>
      </c>
      <c r="B200" s="50" t="s">
        <v>366</v>
      </c>
      <c r="C200" s="5">
        <v>845000</v>
      </c>
      <c r="D200" s="5">
        <v>455000</v>
      </c>
      <c r="E200" s="5">
        <f>+IF(FINANCIACION[[#This Row],[$ CAPITAL]]&gt;=0,FINANCIACION[[#This Row],[$ CAPITAL]]+FINANCIACION[[#This Row],[$ INTERESES]],"")</f>
        <v>1300000</v>
      </c>
      <c r="F200" s="5">
        <f>+SUMIFS(FINANCIACION[$ CAPITAL],FINANCIACION[Fecha],"&lt;="&amp;FINANCIACION[[#This Row],[Fecha]],FINANCIACION[PRESTAMO],FINANCIACION[[#This Row],[PRESTAMO]])</f>
        <v>-44684022.199762128</v>
      </c>
      <c r="G200" s="53"/>
      <c r="H200" s="53"/>
      <c r="I200" s="5">
        <f>+IF(FINANCIACION[[#This Row],[$ CAPITAL]]&gt;0,FINANCIACION[[#This Row],[$ CAPITAL]])</f>
        <v>845000</v>
      </c>
      <c r="J200" s="33">
        <f>+IF(FINANCIACION[[#This Row],[$ CAPITAL]]&gt;=0,FINANCIACION[[#This Row],[$ CAPITAL]]+FINANCIACION[[#This Row],[$ INTERESES]],0)</f>
        <v>1300000</v>
      </c>
    </row>
    <row r="201" spans="1:10" ht="24" hidden="1" customHeight="1" x14ac:dyDescent="0.25">
      <c r="A201" s="109">
        <v>44909</v>
      </c>
      <c r="B201" s="50" t="s">
        <v>366</v>
      </c>
      <c r="C201" s="5">
        <v>853160</v>
      </c>
      <c r="D201" s="5">
        <v>446840</v>
      </c>
      <c r="E201" s="5">
        <f>+IF(FINANCIACION[[#This Row],[$ CAPITAL]]&gt;=0,FINANCIACION[[#This Row],[$ CAPITAL]]+FINANCIACION[[#This Row],[$ INTERESES]],"")</f>
        <v>1300000</v>
      </c>
      <c r="F201" s="5">
        <f>+SUMIFS(FINANCIACION[$ CAPITAL],FINANCIACION[Fecha],"&lt;="&amp;FINANCIACION[[#This Row],[Fecha]],FINANCIACION[PRESTAMO],FINANCIACION[[#This Row],[PRESTAMO]])</f>
        <v>-43830862.199762128</v>
      </c>
      <c r="G201" s="53"/>
      <c r="H201" s="53"/>
      <c r="I201" s="5">
        <f>+IF(FINANCIACION[[#This Row],[$ CAPITAL]]&gt;0,FINANCIACION[[#This Row],[$ CAPITAL]])</f>
        <v>853160</v>
      </c>
      <c r="J201" s="33">
        <f>+IF(FINANCIACION[[#This Row],[$ CAPITAL]]&gt;=0,FINANCIACION[[#This Row],[$ CAPITAL]]+FINANCIACION[[#This Row],[$ INTERESES]],0)</f>
        <v>1300000</v>
      </c>
    </row>
    <row r="202" spans="1:10" ht="24" hidden="1" customHeight="1" x14ac:dyDescent="0.25">
      <c r="A202" s="109">
        <v>44938</v>
      </c>
      <c r="B202" s="50" t="s">
        <v>366</v>
      </c>
      <c r="C202" s="5">
        <v>861691</v>
      </c>
      <c r="D202" s="5">
        <v>438309</v>
      </c>
      <c r="E202" s="5">
        <f>+IF(FINANCIACION[[#This Row],[$ CAPITAL]]&gt;=0,FINANCIACION[[#This Row],[$ CAPITAL]]+FINANCIACION[[#This Row],[$ INTERESES]],"")</f>
        <v>1300000</v>
      </c>
      <c r="F202" s="5">
        <f>+SUMIFS(FINANCIACION[$ CAPITAL],FINANCIACION[Fecha],"&lt;="&amp;FINANCIACION[[#This Row],[Fecha]],FINANCIACION[PRESTAMO],FINANCIACION[[#This Row],[PRESTAMO]])</f>
        <v>-42969171.199762128</v>
      </c>
      <c r="G202" s="53"/>
      <c r="H202" s="53"/>
      <c r="I202" s="5">
        <f>+IF(FINANCIACION[[#This Row],[$ CAPITAL]]&gt;0,FINANCIACION[[#This Row],[$ CAPITAL]])</f>
        <v>861691</v>
      </c>
      <c r="J202" s="33">
        <f>+IF(FINANCIACION[[#This Row],[$ CAPITAL]]&gt;=0,FINANCIACION[[#This Row],[$ CAPITAL]]+FINANCIACION[[#This Row],[$ INTERESES]],0)</f>
        <v>1300000</v>
      </c>
    </row>
    <row r="203" spans="1:10" ht="24" hidden="1" customHeight="1" x14ac:dyDescent="0.25">
      <c r="A203" s="109">
        <v>44951</v>
      </c>
      <c r="B203" s="50" t="s">
        <v>366</v>
      </c>
      <c r="C203" s="5">
        <v>20000000</v>
      </c>
      <c r="D203" s="5"/>
      <c r="E203" s="5">
        <f>+IF(FINANCIACION[[#This Row],[$ CAPITAL]]&gt;=0,FINANCIACION[[#This Row],[$ CAPITAL]]+FINANCIACION[[#This Row],[$ INTERESES]],"")</f>
        <v>20000000</v>
      </c>
      <c r="F203" s="5">
        <f>+SUMIFS(FINANCIACION[$ CAPITAL],FINANCIACION[Fecha],"&lt;="&amp;FINANCIACION[[#This Row],[Fecha]],FINANCIACION[PRESTAMO],FINANCIACION[[#This Row],[PRESTAMO]])</f>
        <v>-22969171.199762128</v>
      </c>
      <c r="G203" s="53"/>
      <c r="H203" s="53"/>
      <c r="I203" s="5">
        <f>+IF(FINANCIACION[[#This Row],[$ CAPITAL]]&gt;0,FINANCIACION[[#This Row],[$ CAPITAL]])</f>
        <v>20000000</v>
      </c>
      <c r="J203" s="33">
        <f>+IF(FINANCIACION[[#This Row],[$ CAPITAL]]&gt;=0,FINANCIACION[[#This Row],[$ CAPITAL]]+FINANCIACION[[#This Row],[$ INTERESES]],0)</f>
        <v>20000000</v>
      </c>
    </row>
    <row r="204" spans="1:10" ht="24" hidden="1" customHeight="1" x14ac:dyDescent="0.25">
      <c r="A204" s="109">
        <v>44970</v>
      </c>
      <c r="B204" s="50" t="s">
        <v>366</v>
      </c>
      <c r="C204" s="5">
        <v>1070308.2880023788</v>
      </c>
      <c r="D204" s="5">
        <v>229691.71199762129</v>
      </c>
      <c r="E204" s="5">
        <f>+IF(FINANCIACION[[#This Row],[$ CAPITAL]]&gt;=0,FINANCIACION[[#This Row],[$ CAPITAL]]+FINANCIACION[[#This Row],[$ INTERESES]],"")</f>
        <v>1300000</v>
      </c>
      <c r="F204" s="5">
        <f>+SUMIFS(FINANCIACION[$ CAPITAL],FINANCIACION[Fecha],"&lt;="&amp;FINANCIACION[[#This Row],[Fecha]],FINANCIACION[PRESTAMO],FINANCIACION[[#This Row],[PRESTAMO]])</f>
        <v>-21898862.911759749</v>
      </c>
      <c r="G204" s="53"/>
      <c r="H204" s="53"/>
      <c r="I204" s="5">
        <f>+IF(FINANCIACION[[#This Row],[$ CAPITAL]]&gt;0,FINANCIACION[[#This Row],[$ CAPITAL]])</f>
        <v>1070308.2880023788</v>
      </c>
      <c r="J204" s="33">
        <f>+IF(FINANCIACION[[#This Row],[$ CAPITAL]]&gt;=0,FINANCIACION[[#This Row],[$ CAPITAL]]+FINANCIACION[[#This Row],[$ INTERESES]],0)</f>
        <v>1300000</v>
      </c>
    </row>
    <row r="205" spans="1:10" ht="24" hidden="1" customHeight="1" x14ac:dyDescent="0.25">
      <c r="A205" s="109">
        <v>45000</v>
      </c>
      <c r="B205" s="50" t="s">
        <v>366</v>
      </c>
      <c r="C205" s="5">
        <v>1081011</v>
      </c>
      <c r="D205" s="5">
        <v>218989</v>
      </c>
      <c r="E205" s="5">
        <f>+IF(FINANCIACION[[#This Row],[$ CAPITAL]]&gt;=0,FINANCIACION[[#This Row],[$ CAPITAL]]+FINANCIACION[[#This Row],[$ INTERESES]],"")</f>
        <v>1300000</v>
      </c>
      <c r="F205" s="5">
        <f>+SUMIFS(FINANCIACION[$ CAPITAL],FINANCIACION[Fecha],"&lt;="&amp;FINANCIACION[[#This Row],[Fecha]],FINANCIACION[PRESTAMO],FINANCIACION[[#This Row],[PRESTAMO]])</f>
        <v>-21148999.911759749</v>
      </c>
      <c r="G205" s="53"/>
      <c r="H205" s="53"/>
      <c r="I205" s="5">
        <f>+IF(FINANCIACION[[#This Row],[$ CAPITAL]]&gt;0,FINANCIACION[[#This Row],[$ CAPITAL]])</f>
        <v>1081011</v>
      </c>
      <c r="J205" s="33">
        <f>+IF(FINANCIACION[[#This Row],[$ CAPITAL]]&gt;=0,FINANCIACION[[#This Row],[$ CAPITAL]]+FINANCIACION[[#This Row],[$ INTERESES]],0)</f>
        <v>1300000</v>
      </c>
    </row>
    <row r="206" spans="1:10" ht="24" hidden="1" customHeight="1" x14ac:dyDescent="0.25">
      <c r="A206" s="109">
        <v>45000</v>
      </c>
      <c r="B206" s="50" t="s">
        <v>366</v>
      </c>
      <c r="C206" s="5">
        <v>-331148</v>
      </c>
      <c r="D206" s="5"/>
      <c r="E206" s="5" t="str">
        <f>+IF(FINANCIACION[[#This Row],[$ CAPITAL]]&gt;=0,FINANCIACION[[#This Row],[$ CAPITAL]]+FINANCIACION[[#This Row],[$ INTERESES]],"")</f>
        <v/>
      </c>
      <c r="F206" s="5">
        <f>+SUMIFS(FINANCIACION[$ CAPITAL],FINANCIACION[Fecha],"&lt;="&amp;FINANCIACION[[#This Row],[Fecha]],FINANCIACION[PRESTAMO],FINANCIACION[[#This Row],[PRESTAMO]])</f>
        <v>-21148999.911759749</v>
      </c>
      <c r="G206" s="53" t="s">
        <v>712</v>
      </c>
      <c r="H206" s="53"/>
      <c r="I206" s="5" t="b">
        <f>+IF(FINANCIACION[[#This Row],[$ CAPITAL]]&gt;0,FINANCIACION[[#This Row],[$ CAPITAL]])</f>
        <v>0</v>
      </c>
      <c r="J206" s="33">
        <f>+IF(FINANCIACION[[#This Row],[$ CAPITAL]]&gt;=0,FINANCIACION[[#This Row],[$ CAPITAL]]+FINANCIACION[[#This Row],[$ INTERESES]],0)</f>
        <v>0</v>
      </c>
    </row>
    <row r="207" spans="1:10" ht="24" hidden="1" customHeight="1" x14ac:dyDescent="0.25">
      <c r="A207" s="109">
        <v>45026</v>
      </c>
      <c r="B207" s="50" t="s">
        <v>366</v>
      </c>
      <c r="C207" s="5">
        <v>1088510</v>
      </c>
      <c r="D207" s="5">
        <v>211490</v>
      </c>
      <c r="E207" s="5">
        <f>+IF(FINANCIACION[[#This Row],[$ CAPITAL]]&gt;=0,FINANCIACION[[#This Row],[$ CAPITAL]]+FINANCIACION[[#This Row],[$ INTERESES]],"")</f>
        <v>1300000</v>
      </c>
      <c r="F207" s="5">
        <f>+SUMIFS(FINANCIACION[$ CAPITAL],FINANCIACION[Fecha],"&lt;="&amp;FINANCIACION[[#This Row],[Fecha]],FINANCIACION[PRESTAMO],FINANCIACION[[#This Row],[PRESTAMO]])</f>
        <v>-20060489.911759749</v>
      </c>
      <c r="G207" s="53"/>
      <c r="H207" s="53"/>
      <c r="I207" s="5">
        <f>+IF(FINANCIACION[[#This Row],[$ CAPITAL]]&gt;0,FINANCIACION[[#This Row],[$ CAPITAL]])</f>
        <v>1088510</v>
      </c>
      <c r="J207" s="33">
        <f>+IF(FINANCIACION[[#This Row],[$ CAPITAL]]&gt;=0,FINANCIACION[[#This Row],[$ CAPITAL]]+FINANCIACION[[#This Row],[$ INTERESES]],0)</f>
        <v>1300000</v>
      </c>
    </row>
    <row r="208" spans="1:10" ht="24" hidden="1" customHeight="1" x14ac:dyDescent="0.25">
      <c r="A208" s="109">
        <v>45054</v>
      </c>
      <c r="B208" s="50" t="s">
        <v>366</v>
      </c>
      <c r="C208" s="5">
        <v>1099395</v>
      </c>
      <c r="D208" s="5">
        <v>200605</v>
      </c>
      <c r="E208" s="5">
        <f>+IF(FINANCIACION[[#This Row],[$ CAPITAL]]&gt;=0,FINANCIACION[[#This Row],[$ CAPITAL]]+FINANCIACION[[#This Row],[$ INTERESES]],"")</f>
        <v>1300000</v>
      </c>
      <c r="F208" s="5">
        <f>+SUMIFS(FINANCIACION[$ CAPITAL],FINANCIACION[Fecha],"&lt;="&amp;FINANCIACION[[#This Row],[Fecha]],FINANCIACION[PRESTAMO],FINANCIACION[[#This Row],[PRESTAMO]])</f>
        <v>-18961094.911759749</v>
      </c>
      <c r="G208" s="53"/>
      <c r="H208" s="53"/>
      <c r="I208" s="5">
        <f>+IF(FINANCIACION[[#This Row],[$ CAPITAL]]&gt;0,FINANCIACION[[#This Row],[$ CAPITAL]])</f>
        <v>1099395</v>
      </c>
      <c r="J208" s="33">
        <f>+IF(FINANCIACION[[#This Row],[$ CAPITAL]]&gt;=0,FINANCIACION[[#This Row],[$ CAPITAL]]+FINANCIACION[[#This Row],[$ INTERESES]],0)</f>
        <v>1300000</v>
      </c>
    </row>
    <row r="209" spans="1:10" ht="24" hidden="1" customHeight="1" x14ac:dyDescent="0.25">
      <c r="A209" s="109">
        <v>45090</v>
      </c>
      <c r="B209" s="50" t="s">
        <v>366</v>
      </c>
      <c r="C209" s="5">
        <v>1110389</v>
      </c>
      <c r="D209" s="5">
        <v>189611</v>
      </c>
      <c r="E209" s="5">
        <f>+IF(FINANCIACION[[#This Row],[$ CAPITAL]]&gt;=0,FINANCIACION[[#This Row],[$ CAPITAL]]+FINANCIACION[[#This Row],[$ INTERESES]],"")</f>
        <v>1300000</v>
      </c>
      <c r="F209" s="5">
        <f>+SUMIFS(FINANCIACION[$ CAPITAL],FINANCIACION[Fecha],"&lt;="&amp;FINANCIACION[[#This Row],[Fecha]],FINANCIACION[PRESTAMO],FINANCIACION[[#This Row],[PRESTAMO]])</f>
        <v>-17850705.911759749</v>
      </c>
      <c r="G209" s="53"/>
      <c r="H209" s="53"/>
      <c r="I209" s="5">
        <f>+IF(FINANCIACION[[#This Row],[$ CAPITAL]]&gt;0,FINANCIACION[[#This Row],[$ CAPITAL]])</f>
        <v>1110389</v>
      </c>
      <c r="J209" s="33">
        <f>+IF(FINANCIACION[[#This Row],[$ CAPITAL]]&gt;=0,FINANCIACION[[#This Row],[$ CAPITAL]]+FINANCIACION[[#This Row],[$ INTERESES]],0)</f>
        <v>1300000</v>
      </c>
    </row>
    <row r="210" spans="1:10" ht="24" hidden="1" customHeight="1" x14ac:dyDescent="0.25">
      <c r="A210" s="109">
        <v>45118</v>
      </c>
      <c r="B210" s="50" t="s">
        <v>366</v>
      </c>
      <c r="C210" s="5">
        <v>1121492</v>
      </c>
      <c r="D210" s="5">
        <v>178508</v>
      </c>
      <c r="E210" s="5">
        <f>+IF(FINANCIACION[[#This Row],[$ CAPITAL]]&gt;=0,FINANCIACION[[#This Row],[$ CAPITAL]]+FINANCIACION[[#This Row],[$ INTERESES]],"")</f>
        <v>1300000</v>
      </c>
      <c r="F210" s="5">
        <f>+SUMIFS(FINANCIACION[$ CAPITAL],FINANCIACION[Fecha],"&lt;="&amp;FINANCIACION[[#This Row],[Fecha]],FINANCIACION[PRESTAMO],FINANCIACION[[#This Row],[PRESTAMO]])</f>
        <v>-16729213.911759749</v>
      </c>
      <c r="G210" s="53"/>
      <c r="H210" s="53"/>
      <c r="I210" s="5">
        <f>+IF(FINANCIACION[[#This Row],[$ CAPITAL]]&gt;0,FINANCIACION[[#This Row],[$ CAPITAL]])</f>
        <v>1121492</v>
      </c>
      <c r="J210" s="33">
        <f>+IF(FINANCIACION[[#This Row],[$ CAPITAL]]&gt;=0,FINANCIACION[[#This Row],[$ CAPITAL]]+FINANCIACION[[#This Row],[$ INTERESES]],0)</f>
        <v>1300000</v>
      </c>
    </row>
    <row r="211" spans="1:10" ht="24" hidden="1" customHeight="1" x14ac:dyDescent="0.25">
      <c r="A211" s="109">
        <v>45149</v>
      </c>
      <c r="B211" s="50" t="s">
        <v>366</v>
      </c>
      <c r="C211" s="5">
        <v>1132107.8600000001</v>
      </c>
      <c r="D211" s="5">
        <v>167892.14</v>
      </c>
      <c r="E211" s="5">
        <f>+IF(FINANCIACION[[#This Row],[$ CAPITAL]]&gt;=0,FINANCIACION[[#This Row],[$ CAPITAL]]+FINANCIACION[[#This Row],[$ INTERESES]],"")</f>
        <v>1300000</v>
      </c>
      <c r="F211" s="5">
        <f>+SUMIFS(FINANCIACION[$ CAPITAL],FINANCIACION[Fecha],"&lt;="&amp;FINANCIACION[[#This Row],[Fecha]],FINANCIACION[PRESTAMO],FINANCIACION[[#This Row],[PRESTAMO]])</f>
        <v>-15597106.05175975</v>
      </c>
      <c r="G211" s="53"/>
      <c r="H211" s="53"/>
      <c r="I211" s="5">
        <f>+IF(FINANCIACION[[#This Row],[$ CAPITAL]]&gt;0,FINANCIACION[[#This Row],[$ CAPITAL]])</f>
        <v>1132107.8600000001</v>
      </c>
      <c r="J211" s="33">
        <f>+IF(FINANCIACION[[#This Row],[$ CAPITAL]]&gt;=0,FINANCIACION[[#This Row],[$ CAPITAL]]+FINANCIACION[[#This Row],[$ INTERESES]],0)</f>
        <v>1300000</v>
      </c>
    </row>
    <row r="212" spans="1:10" ht="24" hidden="1" customHeight="1" x14ac:dyDescent="0.25">
      <c r="A212" s="109">
        <v>45182</v>
      </c>
      <c r="B212" s="50" t="s">
        <v>366</v>
      </c>
      <c r="C212" s="5">
        <v>1144029</v>
      </c>
      <c r="D212" s="5">
        <v>155971</v>
      </c>
      <c r="E212" s="5">
        <f>+IF(FINANCIACION[[#This Row],[$ CAPITAL]]&gt;=0,FINANCIACION[[#This Row],[$ CAPITAL]]+FINANCIACION[[#This Row],[$ INTERESES]],"")</f>
        <v>1300000</v>
      </c>
      <c r="F212" s="5">
        <f>+SUMIFS(FINANCIACION[$ CAPITAL],FINANCIACION[Fecha],"&lt;="&amp;FINANCIACION[[#This Row],[Fecha]],FINANCIACION[PRESTAMO],FINANCIACION[[#This Row],[PRESTAMO]])</f>
        <v>-14453077.05175975</v>
      </c>
      <c r="G212" s="53"/>
      <c r="H212" s="53"/>
      <c r="I212" s="5">
        <f>+IF(FINANCIACION[[#This Row],[$ CAPITAL]]&gt;0,FINANCIACION[[#This Row],[$ CAPITAL]])</f>
        <v>1144029</v>
      </c>
      <c r="J212" s="33">
        <f>+IF(FINANCIACION[[#This Row],[$ CAPITAL]]&gt;=0,FINANCIACION[[#This Row],[$ CAPITAL]]+FINANCIACION[[#This Row],[$ INTERESES]],0)</f>
        <v>1300000</v>
      </c>
    </row>
    <row r="213" spans="1:10" ht="24" hidden="1" customHeight="1" x14ac:dyDescent="0.25">
      <c r="A213" s="109">
        <v>45210</v>
      </c>
      <c r="B213" s="50" t="s">
        <v>366</v>
      </c>
      <c r="C213" s="5">
        <v>1155469</v>
      </c>
      <c r="D213" s="5">
        <v>144531</v>
      </c>
      <c r="E213" s="5">
        <f>+IF(FINANCIACION[[#This Row],[$ CAPITAL]]&gt;=0,FINANCIACION[[#This Row],[$ CAPITAL]]+FINANCIACION[[#This Row],[$ INTERESES]],"")</f>
        <v>1300000</v>
      </c>
      <c r="F213" s="5">
        <f>+SUMIFS(FINANCIACION[$ CAPITAL],FINANCIACION[Fecha],"&lt;="&amp;FINANCIACION[[#This Row],[Fecha]],FINANCIACION[PRESTAMO],FINANCIACION[[#This Row],[PRESTAMO]])</f>
        <v>-13297608.05175975</v>
      </c>
      <c r="G213" s="53"/>
      <c r="H213" s="53"/>
      <c r="I213" s="5">
        <f>+IF(FINANCIACION[[#This Row],[$ CAPITAL]]&gt;0,FINANCIACION[[#This Row],[$ CAPITAL]])</f>
        <v>1155469</v>
      </c>
      <c r="J213" s="33">
        <f>+IF(FINANCIACION[[#This Row],[$ CAPITAL]]&gt;=0,FINANCIACION[[#This Row],[$ CAPITAL]]+FINANCIACION[[#This Row],[$ INTERESES]],0)</f>
        <v>1300000</v>
      </c>
    </row>
    <row r="214" spans="1:10" ht="24" hidden="1" customHeight="1" x14ac:dyDescent="0.25">
      <c r="A214" s="109">
        <v>45244</v>
      </c>
      <c r="B214" s="50" t="s">
        <v>366</v>
      </c>
      <c r="C214" s="5">
        <v>1167024</v>
      </c>
      <c r="D214" s="5">
        <v>132976</v>
      </c>
      <c r="E214" s="5">
        <f>+IF(FINANCIACION[[#This Row],[$ CAPITAL]]&gt;=0,FINANCIACION[[#This Row],[$ CAPITAL]]+FINANCIACION[[#This Row],[$ INTERESES]],"")</f>
        <v>1300000</v>
      </c>
      <c r="F214" s="5">
        <f>+SUMIFS(FINANCIACION[$ CAPITAL],FINANCIACION[Fecha],"&lt;="&amp;FINANCIACION[[#This Row],[Fecha]],FINANCIACION[PRESTAMO],FINANCIACION[[#This Row],[PRESTAMO]])</f>
        <v>-12130584.05175975</v>
      </c>
      <c r="G214" s="53"/>
      <c r="H214" s="53"/>
      <c r="I214" s="5">
        <f>+IF(FINANCIACION[[#This Row],[$ CAPITAL]]&gt;0,FINANCIACION[[#This Row],[$ CAPITAL]])</f>
        <v>1167024</v>
      </c>
      <c r="J214" s="33">
        <f>+IF(FINANCIACION[[#This Row],[$ CAPITAL]]&gt;=0,FINANCIACION[[#This Row],[$ CAPITAL]]+FINANCIACION[[#This Row],[$ INTERESES]],0)</f>
        <v>1300000</v>
      </c>
    </row>
    <row r="215" spans="1:10" ht="24" hidden="1" customHeight="1" x14ac:dyDescent="0.25">
      <c r="A215" s="109">
        <v>45271</v>
      </c>
      <c r="B215" s="303" t="s">
        <v>366</v>
      </c>
      <c r="C215" s="5">
        <v>1178694</v>
      </c>
      <c r="D215" s="5">
        <v>121306</v>
      </c>
      <c r="E215" s="5">
        <f>+IF(FINANCIACION[[#This Row],[$ CAPITAL]]&gt;=0,FINANCIACION[[#This Row],[$ CAPITAL]]+FINANCIACION[[#This Row],[$ INTERESES]],"")</f>
        <v>1300000</v>
      </c>
      <c r="F215" s="5">
        <f>+SUMIFS(FINANCIACION[$ CAPITAL],FINANCIACION[Fecha],"&lt;="&amp;FINANCIACION[[#This Row],[Fecha]],FINANCIACION[PRESTAMO],FINANCIACION[[#This Row],[PRESTAMO]])</f>
        <v>-10951890.05175975</v>
      </c>
      <c r="G215" s="53"/>
      <c r="H215" s="53"/>
      <c r="I215" s="5">
        <f>+IF(FINANCIACION[[#This Row],[$ CAPITAL]]&gt;0,FINANCIACION[[#This Row],[$ CAPITAL]])</f>
        <v>1178694</v>
      </c>
      <c r="J215" s="33">
        <f>+IF(FINANCIACION[[#This Row],[$ CAPITAL]]&gt;=0,FINANCIACION[[#This Row],[$ CAPITAL]]+FINANCIACION[[#This Row],[$ INTERESES]],0)</f>
        <v>1300000</v>
      </c>
    </row>
    <row r="216" spans="1:10" ht="24" hidden="1" customHeight="1" x14ac:dyDescent="0.25">
      <c r="A216" s="109">
        <v>45302</v>
      </c>
      <c r="B216" s="50" t="s">
        <v>366</v>
      </c>
      <c r="C216" s="5">
        <v>1190481.0994824022</v>
      </c>
      <c r="D216" s="5">
        <v>109518.90051759779</v>
      </c>
      <c r="E216" s="5">
        <f>+IF(FINANCIACION[[#This Row],[$ CAPITAL]]&gt;=0,FINANCIACION[[#This Row],[$ CAPITAL]]+FINANCIACION[[#This Row],[$ INTERESES]],"")</f>
        <v>1300000</v>
      </c>
      <c r="F216" s="5">
        <f>+SUMIFS(FINANCIACION[$ CAPITAL],FINANCIACION[Fecha],"&lt;="&amp;FINANCIACION[[#This Row],[Fecha]],FINANCIACION[PRESTAMO],FINANCIACION[[#This Row],[PRESTAMO]])</f>
        <v>-9761408.9522773474</v>
      </c>
      <c r="G216" s="53"/>
      <c r="H216" s="53"/>
      <c r="I216" s="5">
        <f>+IF(FINANCIACION[[#This Row],[$ CAPITAL]]&gt;0,FINANCIACION[[#This Row],[$ CAPITAL]])</f>
        <v>1190481.0994824022</v>
      </c>
      <c r="J216" s="33">
        <f>+IF(FINANCIACION[[#This Row],[$ CAPITAL]]&gt;=0,FINANCIACION[[#This Row],[$ CAPITAL]]+FINANCIACION[[#This Row],[$ INTERESES]],0)</f>
        <v>1300000</v>
      </c>
    </row>
    <row r="217" spans="1:10" ht="24" hidden="1" customHeight="1" x14ac:dyDescent="0.25">
      <c r="A217" s="109">
        <v>43084</v>
      </c>
      <c r="B217" s="50" t="s">
        <v>364</v>
      </c>
      <c r="C217" s="5">
        <v>-61629154</v>
      </c>
      <c r="D217" s="5"/>
      <c r="E217" s="5" t="str">
        <f>+IF(FINANCIACION[[#This Row],[$ CAPITAL]]&gt;=0,FINANCIACION[[#This Row],[$ CAPITAL]]+FINANCIACION[[#This Row],[$ INTERESES]],"")</f>
        <v/>
      </c>
      <c r="F217" s="5">
        <f>+SUMIFS(FINANCIACION[$ CAPITAL],FINANCIACION[Fecha],"&lt;="&amp;FINANCIACION[[#This Row],[Fecha]],FINANCIACION[PRESTAMO],FINANCIACION[[#This Row],[PRESTAMO]])</f>
        <v>-61629154</v>
      </c>
      <c r="G217" s="53"/>
      <c r="H217" s="53"/>
      <c r="I217" s="5" t="b">
        <f>IF(FINANCIACION[[#This Row],[$ CAPITAL]]&gt;0,FINANCIACION[[#This Row],[$ CAPITAL]])</f>
        <v>0</v>
      </c>
      <c r="J217" s="33">
        <f>IF(FINANCIACION[[#This Row],[$ CAPITAL]]&gt;=0,FINANCIACION[[#This Row],[$ CAPITAL]]+FINANCIACION[[#This Row],[$ INTERESES]],0)</f>
        <v>0</v>
      </c>
    </row>
    <row r="218" spans="1:10" ht="24" hidden="1" customHeight="1" x14ac:dyDescent="0.25">
      <c r="A218" s="109">
        <v>43485</v>
      </c>
      <c r="B218" s="50" t="s">
        <v>364</v>
      </c>
      <c r="C218" s="5">
        <v>260000</v>
      </c>
      <c r="D218" s="5">
        <v>740000</v>
      </c>
      <c r="E218" s="5">
        <f>+IF(FINANCIACION[[#This Row],[$ CAPITAL]]&gt;=0,FINANCIACION[[#This Row],[$ CAPITAL]]+FINANCIACION[[#This Row],[$ INTERESES]],"")</f>
        <v>1000000</v>
      </c>
      <c r="F218" s="5">
        <f>+SUMIFS(FINANCIACION[$ CAPITAL],FINANCIACION[Fecha],"&lt;="&amp;FINANCIACION[[#This Row],[Fecha]],FINANCIACION[PRESTAMO],FINANCIACION[[#This Row],[PRESTAMO]])</f>
        <v>-61369154</v>
      </c>
      <c r="G218" s="53"/>
      <c r="H218" s="53"/>
      <c r="I218" s="5">
        <f>IF(FINANCIACION[[#This Row],[$ CAPITAL]]&gt;0,FINANCIACION[[#This Row],[$ CAPITAL]])</f>
        <v>260000</v>
      </c>
      <c r="J218" s="33">
        <f>IF(FINANCIACION[[#This Row],[$ CAPITAL]]&gt;=0,FINANCIACION[[#This Row],[$ CAPITAL]]+FINANCIACION[[#This Row],[$ INTERESES]],0)</f>
        <v>1000000</v>
      </c>
    </row>
    <row r="219" spans="1:10" ht="24" hidden="1" customHeight="1" x14ac:dyDescent="0.25">
      <c r="A219" s="109">
        <v>43516</v>
      </c>
      <c r="B219" s="50" t="s">
        <v>364</v>
      </c>
      <c r="C219" s="5">
        <v>260000</v>
      </c>
      <c r="D219" s="5">
        <v>740000</v>
      </c>
      <c r="E219" s="5">
        <f>+IF(FINANCIACION[[#This Row],[$ CAPITAL]]&gt;=0,FINANCIACION[[#This Row],[$ CAPITAL]]+FINANCIACION[[#This Row],[$ INTERESES]],"")</f>
        <v>1000000</v>
      </c>
      <c r="F219" s="5">
        <f>+SUMIFS(FINANCIACION[$ CAPITAL],FINANCIACION[Fecha],"&lt;="&amp;FINANCIACION[[#This Row],[Fecha]],FINANCIACION[PRESTAMO],FINANCIACION[[#This Row],[PRESTAMO]])</f>
        <v>-61109154</v>
      </c>
      <c r="G219" s="7"/>
      <c r="H219" s="53"/>
      <c r="I219" s="5">
        <f>IF(FINANCIACION[[#This Row],[$ CAPITAL]]&gt;0,FINANCIACION[[#This Row],[$ CAPITAL]])</f>
        <v>260000</v>
      </c>
      <c r="J219" s="33">
        <f>IF(FINANCIACION[[#This Row],[$ CAPITAL]]&gt;=0,FINANCIACION[[#This Row],[$ CAPITAL]]+FINANCIACION[[#This Row],[$ INTERESES]],0)</f>
        <v>1000000</v>
      </c>
    </row>
    <row r="220" spans="1:10" ht="24" hidden="1" customHeight="1" x14ac:dyDescent="0.25">
      <c r="A220" s="109">
        <v>43544</v>
      </c>
      <c r="B220" s="50" t="s">
        <v>364</v>
      </c>
      <c r="C220" s="5">
        <v>260000</v>
      </c>
      <c r="D220" s="5">
        <v>740000</v>
      </c>
      <c r="E220" s="5">
        <f>+IF(FINANCIACION[[#This Row],[$ CAPITAL]]&gt;=0,FINANCIACION[[#This Row],[$ CAPITAL]]+FINANCIACION[[#This Row],[$ INTERESES]],"")</f>
        <v>1000000</v>
      </c>
      <c r="F220" s="5">
        <f>+SUMIFS(FINANCIACION[$ CAPITAL],FINANCIACION[Fecha],"&lt;="&amp;FINANCIACION[[#This Row],[Fecha]],FINANCIACION[PRESTAMO],FINANCIACION[[#This Row],[PRESTAMO]])</f>
        <v>-60849154</v>
      </c>
      <c r="G220" s="7"/>
      <c r="H220" s="53"/>
      <c r="I220" s="5">
        <f>IF(FINANCIACION[[#This Row],[$ CAPITAL]]&gt;0,FINANCIACION[[#This Row],[$ CAPITAL]])</f>
        <v>260000</v>
      </c>
      <c r="J220" s="33">
        <f>IF(FINANCIACION[[#This Row],[$ CAPITAL]]&gt;=0,FINANCIACION[[#This Row],[$ CAPITAL]]+FINANCIACION[[#This Row],[$ INTERESES]],0)</f>
        <v>1000000</v>
      </c>
    </row>
    <row r="221" spans="1:10" ht="24" hidden="1" customHeight="1" x14ac:dyDescent="0.25">
      <c r="A221" s="109">
        <v>43575</v>
      </c>
      <c r="B221" s="50" t="s">
        <v>364</v>
      </c>
      <c r="C221" s="5">
        <v>260000</v>
      </c>
      <c r="D221" s="5">
        <v>740000</v>
      </c>
      <c r="E221" s="5">
        <f>+IF(FINANCIACION[[#This Row],[$ CAPITAL]]&gt;=0,FINANCIACION[[#This Row],[$ CAPITAL]]+FINANCIACION[[#This Row],[$ INTERESES]],"")</f>
        <v>1000000</v>
      </c>
      <c r="F221" s="5">
        <f>+SUMIFS(FINANCIACION[$ CAPITAL],FINANCIACION[Fecha],"&lt;="&amp;FINANCIACION[[#This Row],[Fecha]],FINANCIACION[PRESTAMO],FINANCIACION[[#This Row],[PRESTAMO]])</f>
        <v>-60589154</v>
      </c>
      <c r="G221" s="7"/>
      <c r="H221" s="53"/>
      <c r="I221" s="5">
        <f>IF(FINANCIACION[[#This Row],[$ CAPITAL]]&gt;0,FINANCIACION[[#This Row],[$ CAPITAL]])</f>
        <v>260000</v>
      </c>
      <c r="J221" s="33">
        <f>IF(FINANCIACION[[#This Row],[$ CAPITAL]]&gt;=0,FINANCIACION[[#This Row],[$ CAPITAL]]+FINANCIACION[[#This Row],[$ INTERESES]],0)</f>
        <v>1000000</v>
      </c>
    </row>
    <row r="222" spans="1:10" ht="24" hidden="1" customHeight="1" x14ac:dyDescent="0.25">
      <c r="A222" s="109">
        <v>43605</v>
      </c>
      <c r="B222" s="50" t="s">
        <v>364</v>
      </c>
      <c r="C222" s="5">
        <v>260000</v>
      </c>
      <c r="D222" s="5">
        <v>740000</v>
      </c>
      <c r="E222" s="5">
        <f>+IF(FINANCIACION[[#This Row],[$ CAPITAL]]&gt;=0,FINANCIACION[[#This Row],[$ CAPITAL]]+FINANCIACION[[#This Row],[$ INTERESES]],"")</f>
        <v>1000000</v>
      </c>
      <c r="F222" s="5">
        <f>+SUMIFS(FINANCIACION[$ CAPITAL],FINANCIACION[Fecha],"&lt;="&amp;FINANCIACION[[#This Row],[Fecha]],FINANCIACION[PRESTAMO],FINANCIACION[[#This Row],[PRESTAMO]])</f>
        <v>-60329154</v>
      </c>
      <c r="G222" s="7"/>
      <c r="H222" s="53"/>
      <c r="I222" s="5">
        <f>IF(FINANCIACION[[#This Row],[$ CAPITAL]]&gt;0,FINANCIACION[[#This Row],[$ CAPITAL]])</f>
        <v>260000</v>
      </c>
      <c r="J222" s="33">
        <f>IF(FINANCIACION[[#This Row],[$ CAPITAL]]&gt;=0,FINANCIACION[[#This Row],[$ CAPITAL]]+FINANCIACION[[#This Row],[$ INTERESES]],0)</f>
        <v>1000000</v>
      </c>
    </row>
    <row r="223" spans="1:10" ht="24" hidden="1" customHeight="1" x14ac:dyDescent="0.25">
      <c r="A223" s="109">
        <v>43636</v>
      </c>
      <c r="B223" s="50" t="s">
        <v>364</v>
      </c>
      <c r="C223" s="5">
        <v>260000</v>
      </c>
      <c r="D223" s="5">
        <v>740000</v>
      </c>
      <c r="E223" s="5">
        <f>+IF(FINANCIACION[[#This Row],[$ CAPITAL]]&gt;=0,FINANCIACION[[#This Row],[$ CAPITAL]]+FINANCIACION[[#This Row],[$ INTERESES]],"")</f>
        <v>1000000</v>
      </c>
      <c r="F223" s="5">
        <f>+SUMIFS(FINANCIACION[$ CAPITAL],FINANCIACION[Fecha],"&lt;="&amp;FINANCIACION[[#This Row],[Fecha]],FINANCIACION[PRESTAMO],FINANCIACION[[#This Row],[PRESTAMO]])</f>
        <v>-60069154</v>
      </c>
      <c r="G223" s="53"/>
      <c r="H223" s="53"/>
      <c r="I223" s="5">
        <f>IF(FINANCIACION[[#This Row],[$ CAPITAL]]&gt;0,FINANCIACION[[#This Row],[$ CAPITAL]])</f>
        <v>260000</v>
      </c>
      <c r="J223" s="33">
        <f>IF(FINANCIACION[[#This Row],[$ CAPITAL]]&gt;=0,FINANCIACION[[#This Row],[$ CAPITAL]]+FINANCIACION[[#This Row],[$ INTERESES]],0)</f>
        <v>1000000</v>
      </c>
    </row>
    <row r="224" spans="1:10" ht="24" hidden="1" customHeight="1" x14ac:dyDescent="0.25">
      <c r="A224" s="109">
        <v>43666</v>
      </c>
      <c r="B224" s="50" t="s">
        <v>364</v>
      </c>
      <c r="C224" s="5">
        <v>260000</v>
      </c>
      <c r="D224" s="5">
        <v>740000</v>
      </c>
      <c r="E224" s="5">
        <f>+IF(FINANCIACION[[#This Row],[$ CAPITAL]]&gt;=0,FINANCIACION[[#This Row],[$ CAPITAL]]+FINANCIACION[[#This Row],[$ INTERESES]],"")</f>
        <v>1000000</v>
      </c>
      <c r="F224" s="5">
        <f>+SUMIFS(FINANCIACION[$ CAPITAL],FINANCIACION[Fecha],"&lt;="&amp;FINANCIACION[[#This Row],[Fecha]],FINANCIACION[PRESTAMO],FINANCIACION[[#This Row],[PRESTAMO]])</f>
        <v>-59809154</v>
      </c>
      <c r="G224" s="7"/>
      <c r="H224" s="53"/>
      <c r="I224" s="5">
        <f>IF(FINANCIACION[[#This Row],[$ CAPITAL]]&gt;0,FINANCIACION[[#This Row],[$ CAPITAL]])</f>
        <v>260000</v>
      </c>
      <c r="J224" s="33">
        <f>IF(FINANCIACION[[#This Row],[$ CAPITAL]]&gt;=0,FINANCIACION[[#This Row],[$ CAPITAL]]+FINANCIACION[[#This Row],[$ INTERESES]],0)</f>
        <v>1000000</v>
      </c>
    </row>
    <row r="225" spans="1:10" ht="24" hidden="1" customHeight="1" x14ac:dyDescent="0.25">
      <c r="A225" s="109">
        <v>43697</v>
      </c>
      <c r="B225" s="50" t="s">
        <v>364</v>
      </c>
      <c r="C225" s="5">
        <v>260000</v>
      </c>
      <c r="D225" s="5">
        <v>740000</v>
      </c>
      <c r="E225" s="5">
        <f>+IF(FINANCIACION[[#This Row],[$ CAPITAL]]&gt;=0,FINANCIACION[[#This Row],[$ CAPITAL]]+FINANCIACION[[#This Row],[$ INTERESES]],"")</f>
        <v>1000000</v>
      </c>
      <c r="F225" s="5">
        <f>+SUMIFS(FINANCIACION[$ CAPITAL],FINANCIACION[Fecha],"&lt;="&amp;FINANCIACION[[#This Row],[Fecha]],FINANCIACION[PRESTAMO],FINANCIACION[[#This Row],[PRESTAMO]])</f>
        <v>-59549154</v>
      </c>
      <c r="G225" s="7"/>
      <c r="H225" s="53"/>
      <c r="I225" s="5">
        <f>IF(FINANCIACION[[#This Row],[$ CAPITAL]]&gt;0,FINANCIACION[[#This Row],[$ CAPITAL]])</f>
        <v>260000</v>
      </c>
      <c r="J225" s="33">
        <f>IF(FINANCIACION[[#This Row],[$ CAPITAL]]&gt;=0,FINANCIACION[[#This Row],[$ CAPITAL]]+FINANCIACION[[#This Row],[$ INTERESES]],0)</f>
        <v>1000000</v>
      </c>
    </row>
    <row r="226" spans="1:10" ht="24" hidden="1" customHeight="1" x14ac:dyDescent="0.25">
      <c r="A226" s="109">
        <v>43728</v>
      </c>
      <c r="B226" s="50" t="s">
        <v>364</v>
      </c>
      <c r="C226" s="5">
        <v>260000</v>
      </c>
      <c r="D226" s="5">
        <v>740000</v>
      </c>
      <c r="E226" s="5">
        <f>+IF(FINANCIACION[[#This Row],[$ CAPITAL]]&gt;=0,FINANCIACION[[#This Row],[$ CAPITAL]]+FINANCIACION[[#This Row],[$ INTERESES]],"")</f>
        <v>1000000</v>
      </c>
      <c r="F226" s="5">
        <f>+SUMIFS(FINANCIACION[$ CAPITAL],FINANCIACION[Fecha],"&lt;="&amp;FINANCIACION[[#This Row],[Fecha]],FINANCIACION[PRESTAMO],FINANCIACION[[#This Row],[PRESTAMO]])</f>
        <v>-59289154</v>
      </c>
      <c r="G226" s="7"/>
      <c r="H226" s="53"/>
      <c r="I226" s="5">
        <f>IF(FINANCIACION[[#This Row],[$ CAPITAL]]&gt;0,FINANCIACION[[#This Row],[$ CAPITAL]])</f>
        <v>260000</v>
      </c>
      <c r="J226" s="33">
        <f>IF(FINANCIACION[[#This Row],[$ CAPITAL]]&gt;=0,FINANCIACION[[#This Row],[$ CAPITAL]]+FINANCIACION[[#This Row],[$ INTERESES]],0)</f>
        <v>1000000</v>
      </c>
    </row>
    <row r="227" spans="1:10" ht="24" hidden="1" customHeight="1" x14ac:dyDescent="0.25">
      <c r="A227" s="109">
        <v>43759</v>
      </c>
      <c r="B227" s="50" t="s">
        <v>364</v>
      </c>
      <c r="C227" s="5">
        <v>260000</v>
      </c>
      <c r="D227" s="5">
        <v>740000</v>
      </c>
      <c r="E227" s="5">
        <f>+IF(FINANCIACION[[#This Row],[$ CAPITAL]]&gt;=0,FINANCIACION[[#This Row],[$ CAPITAL]]+FINANCIACION[[#This Row],[$ INTERESES]],"")</f>
        <v>1000000</v>
      </c>
      <c r="F227" s="5">
        <f>+SUMIFS(FINANCIACION[$ CAPITAL],FINANCIACION[Fecha],"&lt;="&amp;FINANCIACION[[#This Row],[Fecha]],FINANCIACION[PRESTAMO],FINANCIACION[[#This Row],[PRESTAMO]])</f>
        <v>-59029154</v>
      </c>
      <c r="G227" s="7"/>
      <c r="H227" s="53"/>
      <c r="I227" s="5">
        <f>IF(FINANCIACION[[#This Row],[$ CAPITAL]]&gt;0,FINANCIACION[[#This Row],[$ CAPITAL]])</f>
        <v>260000</v>
      </c>
      <c r="J227" s="33">
        <f>IF(FINANCIACION[[#This Row],[$ CAPITAL]]&gt;=0,FINANCIACION[[#This Row],[$ CAPITAL]]+FINANCIACION[[#This Row],[$ INTERESES]],0)</f>
        <v>1000000</v>
      </c>
    </row>
    <row r="228" spans="1:10" ht="24" hidden="1" customHeight="1" x14ac:dyDescent="0.25">
      <c r="A228" s="109">
        <v>43789</v>
      </c>
      <c r="B228" s="50" t="s">
        <v>364</v>
      </c>
      <c r="C228" s="5">
        <v>260000</v>
      </c>
      <c r="D228" s="5">
        <v>740000</v>
      </c>
      <c r="E228" s="5">
        <f>+IF(FINANCIACION[[#This Row],[$ CAPITAL]]&gt;=0,FINANCIACION[[#This Row],[$ CAPITAL]]+FINANCIACION[[#This Row],[$ INTERESES]],"")</f>
        <v>1000000</v>
      </c>
      <c r="F228" s="5">
        <f>+SUMIFS(FINANCIACION[$ CAPITAL],FINANCIACION[Fecha],"&lt;="&amp;FINANCIACION[[#This Row],[Fecha]],FINANCIACION[PRESTAMO],FINANCIACION[[#This Row],[PRESTAMO]])</f>
        <v>-58769154</v>
      </c>
      <c r="G228" s="53"/>
      <c r="H228" s="53"/>
      <c r="I228" s="5">
        <f>IF(FINANCIACION[[#This Row],[$ CAPITAL]]&gt;0,FINANCIACION[[#This Row],[$ CAPITAL]])</f>
        <v>260000</v>
      </c>
      <c r="J228" s="33">
        <f>IF(FINANCIACION[[#This Row],[$ CAPITAL]]&gt;=0,FINANCIACION[[#This Row],[$ CAPITAL]]+FINANCIACION[[#This Row],[$ INTERESES]],0)</f>
        <v>1000000</v>
      </c>
    </row>
    <row r="229" spans="1:10" ht="24" hidden="1" customHeight="1" x14ac:dyDescent="0.25">
      <c r="A229" s="109">
        <v>43805</v>
      </c>
      <c r="B229" s="50" t="s">
        <v>364</v>
      </c>
      <c r="C229" s="5">
        <v>-9000000</v>
      </c>
      <c r="D229" s="5"/>
      <c r="E229" s="5" t="str">
        <f>+IF(FINANCIACION[[#This Row],[$ CAPITAL]]&gt;=0,FINANCIACION[[#This Row],[$ CAPITAL]]+FINANCIACION[[#This Row],[$ INTERESES]],"")</f>
        <v/>
      </c>
      <c r="F229" s="5">
        <f>+SUMIFS(FINANCIACION[$ CAPITAL],FINANCIACION[Fecha],"&lt;="&amp;FINANCIACION[[#This Row],[Fecha]],FINANCIACION[PRESTAMO],FINANCIACION[[#This Row],[PRESTAMO]])</f>
        <v>-67769154</v>
      </c>
      <c r="G229" s="53"/>
      <c r="H229" s="53"/>
      <c r="I229" s="5" t="b">
        <f>IF(FINANCIACION[[#This Row],[$ CAPITAL]]&gt;0,FINANCIACION[[#This Row],[$ CAPITAL]])</f>
        <v>0</v>
      </c>
      <c r="J229" s="33">
        <f>IF(FINANCIACION[[#This Row],[$ CAPITAL]]&gt;=0,FINANCIACION[[#This Row],[$ CAPITAL]]+FINANCIACION[[#This Row],[$ INTERESES]],0)</f>
        <v>0</v>
      </c>
    </row>
    <row r="230" spans="1:10" ht="24" hidden="1" customHeight="1" x14ac:dyDescent="0.25">
      <c r="A230" s="109">
        <v>43819</v>
      </c>
      <c r="B230" s="50" t="s">
        <v>364</v>
      </c>
      <c r="C230" s="5">
        <v>260000</v>
      </c>
      <c r="D230" s="5">
        <v>740000</v>
      </c>
      <c r="E230" s="5">
        <f>+IF(FINANCIACION[[#This Row],[$ CAPITAL]]&gt;=0,FINANCIACION[[#This Row],[$ CAPITAL]]+FINANCIACION[[#This Row],[$ INTERESES]],"")</f>
        <v>1000000</v>
      </c>
      <c r="F230" s="5">
        <f>+SUMIFS(FINANCIACION[$ CAPITAL],FINANCIACION[Fecha],"&lt;="&amp;FINANCIACION[[#This Row],[Fecha]],FINANCIACION[PRESTAMO],FINANCIACION[[#This Row],[PRESTAMO]])</f>
        <v>-67509154</v>
      </c>
      <c r="G230" s="7"/>
      <c r="H230" s="53"/>
      <c r="I230" s="5">
        <f>IF(FINANCIACION[[#This Row],[$ CAPITAL]]&gt;0,FINANCIACION[[#This Row],[$ CAPITAL]])</f>
        <v>260000</v>
      </c>
      <c r="J230" s="33">
        <f>IF(FINANCIACION[[#This Row],[$ CAPITAL]]&gt;=0,FINANCIACION[[#This Row],[$ CAPITAL]]+FINANCIACION[[#This Row],[$ INTERESES]],0)</f>
        <v>1000000</v>
      </c>
    </row>
    <row r="231" spans="1:10" ht="24" hidden="1" customHeight="1" x14ac:dyDescent="0.25">
      <c r="A231" s="298">
        <v>43844</v>
      </c>
      <c r="B231" s="50" t="s">
        <v>364</v>
      </c>
      <c r="C231" s="5">
        <v>310000</v>
      </c>
      <c r="D231" s="5">
        <v>90000</v>
      </c>
      <c r="E231" s="5">
        <f>+IF(FINANCIACION[[#This Row],[$ CAPITAL]]&gt;=0,FINANCIACION[[#This Row],[$ CAPITAL]]+FINANCIACION[[#This Row],[$ INTERESES]],"")</f>
        <v>400000</v>
      </c>
      <c r="F231" s="5">
        <f>+SUMIFS(FINANCIACION[$ CAPITAL],FINANCIACION[Fecha],"&lt;="&amp;FINANCIACION[[#This Row],[Fecha]],FINANCIACION[PRESTAMO],FINANCIACION[[#This Row],[PRESTAMO]])</f>
        <v>-67199154</v>
      </c>
      <c r="G231" s="53"/>
      <c r="H231" s="53"/>
      <c r="I231" s="5">
        <f>IF(FINANCIACION[[#This Row],[$ CAPITAL]]&gt;0,FINANCIACION[[#This Row],[$ CAPITAL]])</f>
        <v>310000</v>
      </c>
      <c r="J231" s="33">
        <f>IF(FINANCIACION[[#This Row],[$ CAPITAL]]&gt;=0,FINANCIACION[[#This Row],[$ CAPITAL]]+FINANCIACION[[#This Row],[$ INTERESES]],0)</f>
        <v>400000</v>
      </c>
    </row>
    <row r="232" spans="1:10" ht="24" hidden="1" customHeight="1" x14ac:dyDescent="0.25">
      <c r="A232" s="298">
        <v>43850</v>
      </c>
      <c r="B232" s="50" t="s">
        <v>364</v>
      </c>
      <c r="C232" s="5">
        <v>260000</v>
      </c>
      <c r="D232" s="5">
        <v>740000</v>
      </c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-66939154</v>
      </c>
      <c r="G232" s="7"/>
      <c r="H232" s="53"/>
      <c r="I232" s="5">
        <f>IF(FINANCIACION[[#This Row],[$ CAPITAL]]&gt;0,FINANCIACION[[#This Row],[$ CAPITAL]])</f>
        <v>260000</v>
      </c>
      <c r="J232" s="33">
        <f>IF(FINANCIACION[[#This Row],[$ CAPITAL]]&gt;=0,FINANCIACION[[#This Row],[$ CAPITAL]]+FINANCIACION[[#This Row],[$ INTERESES]],0)</f>
        <v>1000000</v>
      </c>
    </row>
    <row r="233" spans="1:10" ht="24" hidden="1" customHeight="1" x14ac:dyDescent="0.25">
      <c r="A233" s="298">
        <v>43881</v>
      </c>
      <c r="B233" s="50" t="s">
        <v>364</v>
      </c>
      <c r="C233" s="5">
        <v>260000</v>
      </c>
      <c r="D233" s="5">
        <v>740000</v>
      </c>
      <c r="E233" s="5">
        <f>+IF(FINANCIACION[[#This Row],[$ CAPITAL]]&gt;=0,FINANCIACION[[#This Row],[$ CAPITAL]]+FINANCIACION[[#This Row],[$ INTERESES]],"")</f>
        <v>1000000</v>
      </c>
      <c r="F233" s="5">
        <f>+SUMIFS(FINANCIACION[$ CAPITAL],FINANCIACION[Fecha],"&lt;="&amp;FINANCIACION[[#This Row],[Fecha]],FINANCIACION[PRESTAMO],FINANCIACION[[#This Row],[PRESTAMO]])</f>
        <v>-66369154</v>
      </c>
      <c r="G233" s="7"/>
      <c r="H233" s="53"/>
      <c r="I233" s="5">
        <f>IF(FINANCIACION[[#This Row],[$ CAPITAL]]&gt;0,FINANCIACION[[#This Row],[$ CAPITAL]])</f>
        <v>260000</v>
      </c>
      <c r="J233" s="33">
        <f>IF(FINANCIACION[[#This Row],[$ CAPITAL]]&gt;=0,FINANCIACION[[#This Row],[$ CAPITAL]]+FINANCIACION[[#This Row],[$ INTERESES]],0)</f>
        <v>1000000</v>
      </c>
    </row>
    <row r="234" spans="1:10" ht="24" hidden="1" customHeight="1" x14ac:dyDescent="0.25">
      <c r="A234" s="298">
        <v>43881</v>
      </c>
      <c r="B234" s="50" t="s">
        <v>364</v>
      </c>
      <c r="C234" s="5">
        <v>310000</v>
      </c>
      <c r="D234" s="5">
        <v>86900</v>
      </c>
      <c r="E234" s="5">
        <f>+IF(FINANCIACION[[#This Row],[$ CAPITAL]]&gt;=0,FINANCIACION[[#This Row],[$ CAPITAL]]+FINANCIACION[[#This Row],[$ INTERESES]],"")</f>
        <v>396900</v>
      </c>
      <c r="F234" s="5">
        <f>+SUMIFS(FINANCIACION[$ CAPITAL],FINANCIACION[Fecha],"&lt;="&amp;FINANCIACION[[#This Row],[Fecha]],FINANCIACION[PRESTAMO],FINANCIACION[[#This Row],[PRESTAMO]])</f>
        <v>-66369154</v>
      </c>
      <c r="G234" s="7"/>
      <c r="H234" s="53"/>
      <c r="I234" s="5">
        <f>IF(FINANCIACION[[#This Row],[$ CAPITAL]]&gt;0,FINANCIACION[[#This Row],[$ CAPITAL]])</f>
        <v>310000</v>
      </c>
      <c r="J234" s="8">
        <f>IF(FINANCIACION[[#This Row],[$ CAPITAL]]&gt;=0,FINANCIACION[[#This Row],[$ CAPITAL]]+FINANCIACION[[#This Row],[$ INTERESES]],0)</f>
        <v>396900</v>
      </c>
    </row>
    <row r="235" spans="1:10" ht="24" hidden="1" customHeight="1" x14ac:dyDescent="0.25">
      <c r="A235" s="298">
        <v>43890</v>
      </c>
      <c r="B235" s="50" t="s">
        <v>364</v>
      </c>
      <c r="C235" s="5">
        <v>-829906</v>
      </c>
      <c r="D235" s="5"/>
      <c r="E235" s="5" t="str">
        <f>+IF(FINANCIACION[[#This Row],[$ CAPITAL]]&gt;=0,FINANCIACION[[#This Row],[$ CAPITAL]]+FINANCIACION[[#This Row],[$ INTERESES]],"")</f>
        <v/>
      </c>
      <c r="F235" s="5">
        <f>+SUMIFS(FINANCIACION[$ CAPITAL],FINANCIACION[Fecha],"&lt;="&amp;FINANCIACION[[#This Row],[Fecha]],FINANCIACION[PRESTAMO],FINANCIACION[[#This Row],[PRESTAMO]])</f>
        <v>-67199060</v>
      </c>
      <c r="G235" s="53"/>
      <c r="H235" s="53"/>
      <c r="I235" s="5" t="b">
        <f>IF(FINANCIACION[[#This Row],[$ CAPITAL]]&gt;0,FINANCIACION[[#This Row],[$ CAPITAL]])</f>
        <v>0</v>
      </c>
      <c r="J235" s="33">
        <f>IF(FINANCIACION[[#This Row],[$ CAPITAL]]&gt;=0,FINANCIACION[[#This Row],[$ CAPITAL]]+FINANCIACION[[#This Row],[$ INTERESES]],0)</f>
        <v>0</v>
      </c>
    </row>
    <row r="236" spans="1:10" ht="24" hidden="1" customHeight="1" x14ac:dyDescent="0.25">
      <c r="A236" s="298">
        <v>44000</v>
      </c>
      <c r="B236" s="50" t="s">
        <v>364</v>
      </c>
      <c r="C236" s="5">
        <v>260000</v>
      </c>
      <c r="D236" s="5">
        <v>740000</v>
      </c>
      <c r="E236" s="5">
        <f>+IF(FINANCIACION[[#This Row],[$ CAPITAL]]&gt;=0,FINANCIACION[[#This Row],[$ CAPITAL]]+FINANCIACION[[#This Row],[$ INTERESES]],"")</f>
        <v>1000000</v>
      </c>
      <c r="F236" s="5">
        <f>+SUMIFS(FINANCIACION[$ CAPITAL],FINANCIACION[Fecha],"&lt;="&amp;FINANCIACION[[#This Row],[Fecha]],FINANCIACION[PRESTAMO],FINANCIACION[[#This Row],[PRESTAMO]])</f>
        <v>-66939060</v>
      </c>
      <c r="G236" s="7"/>
      <c r="H236" s="53"/>
      <c r="I236" s="5">
        <f>IF(FINANCIACION[[#This Row],[$ CAPITAL]]&gt;0,FINANCIACION[[#This Row],[$ CAPITAL]])</f>
        <v>260000</v>
      </c>
      <c r="J236" s="33">
        <f>IF(FINANCIACION[[#This Row],[$ CAPITAL]]&gt;=0,FINANCIACION[[#This Row],[$ CAPITAL]]+FINANCIACION[[#This Row],[$ INTERESES]],0)</f>
        <v>1000000</v>
      </c>
    </row>
    <row r="237" spans="1:10" ht="24" hidden="1" customHeight="1" x14ac:dyDescent="0.25">
      <c r="A237" s="298">
        <v>44041</v>
      </c>
      <c r="B237" s="50" t="s">
        <v>364</v>
      </c>
      <c r="C237" s="5">
        <v>360000</v>
      </c>
      <c r="D237" s="5">
        <v>740000</v>
      </c>
      <c r="E237" s="5">
        <f>+IF(FINANCIACION[[#This Row],[$ CAPITAL]]&gt;=0,FINANCIACION[[#This Row],[$ CAPITAL]]+FINANCIACION[[#This Row],[$ INTERESES]],"")</f>
        <v>1100000</v>
      </c>
      <c r="F237" s="5">
        <f>+SUMIFS(FINANCIACION[$ CAPITAL],FINANCIACION[Fecha],"&lt;="&amp;FINANCIACION[[#This Row],[Fecha]],FINANCIACION[PRESTAMO],FINANCIACION[[#This Row],[PRESTAMO]])</f>
        <v>-66579060</v>
      </c>
      <c r="G237" s="7"/>
      <c r="H237" s="53"/>
      <c r="I237" s="5">
        <f>IF(FINANCIACION[[#This Row],[$ CAPITAL]]&gt;0,FINANCIACION[[#This Row],[$ CAPITAL]])</f>
        <v>360000</v>
      </c>
      <c r="J237" s="33">
        <f>IF(FINANCIACION[[#This Row],[$ CAPITAL]]&gt;=0,FINANCIACION[[#This Row],[$ CAPITAL]]+FINANCIACION[[#This Row],[$ INTERESES]],0)</f>
        <v>1100000</v>
      </c>
    </row>
    <row r="238" spans="1:10" ht="24" hidden="1" customHeight="1" x14ac:dyDescent="0.25">
      <c r="A238" s="298">
        <v>44078</v>
      </c>
      <c r="B238" s="50" t="s">
        <v>364</v>
      </c>
      <c r="C238" s="5">
        <v>334200</v>
      </c>
      <c r="D238" s="5">
        <v>665800</v>
      </c>
      <c r="E238" s="5">
        <f>+IF(FINANCIACION[[#This Row],[$ CAPITAL]]&gt;=0,FINANCIACION[[#This Row],[$ CAPITAL]]+FINANCIACION[[#This Row],[$ INTERESES]],"")</f>
        <v>1000000</v>
      </c>
      <c r="F238" s="5">
        <f>+SUMIFS(FINANCIACION[$ CAPITAL],FINANCIACION[Fecha],"&lt;="&amp;FINANCIACION[[#This Row],[Fecha]],FINANCIACION[PRESTAMO],FINANCIACION[[#This Row],[PRESTAMO]])</f>
        <v>-66244860</v>
      </c>
      <c r="G238" s="7"/>
      <c r="H238" s="53"/>
      <c r="I238" s="5">
        <f>IF(FINANCIACION[[#This Row],[$ CAPITAL]]&gt;0,FINANCIACION[[#This Row],[$ CAPITAL]])</f>
        <v>334200</v>
      </c>
      <c r="J238" s="33">
        <f>IF(FINANCIACION[[#This Row],[$ CAPITAL]]&gt;=0,FINANCIACION[[#This Row],[$ CAPITAL]]+FINANCIACION[[#This Row],[$ INTERESES]],0)</f>
        <v>1000000</v>
      </c>
    </row>
    <row r="239" spans="1:10" ht="24" hidden="1" customHeight="1" x14ac:dyDescent="0.25">
      <c r="A239" s="298">
        <v>44106</v>
      </c>
      <c r="B239" s="50" t="s">
        <v>364</v>
      </c>
      <c r="C239" s="5">
        <v>537550</v>
      </c>
      <c r="D239" s="5">
        <v>662450</v>
      </c>
      <c r="E239" s="5">
        <f>+IF(FINANCIACION[[#This Row],[$ CAPITAL]]&gt;=0,FINANCIACION[[#This Row],[$ CAPITAL]]+FINANCIACION[[#This Row],[$ INTERESES]],"")</f>
        <v>1200000</v>
      </c>
      <c r="F239" s="5">
        <f>+SUMIFS(FINANCIACION[$ CAPITAL],FINANCIACION[Fecha],"&lt;="&amp;FINANCIACION[[#This Row],[Fecha]],FINANCIACION[PRESTAMO],FINANCIACION[[#This Row],[PRESTAMO]])</f>
        <v>-65707310</v>
      </c>
      <c r="G239" s="7"/>
      <c r="H239" s="53"/>
      <c r="I239" s="5">
        <f>IF(FINANCIACION[[#This Row],[$ CAPITAL]]&gt;0,FINANCIACION[[#This Row],[$ CAPITAL]])</f>
        <v>537550</v>
      </c>
      <c r="J239" s="33">
        <f>IF(FINANCIACION[[#This Row],[$ CAPITAL]]&gt;=0,FINANCIACION[[#This Row],[$ CAPITAL]]+FINANCIACION[[#This Row],[$ INTERESES]],0)</f>
        <v>1200000</v>
      </c>
    </row>
    <row r="240" spans="1:10" ht="24" hidden="1" customHeight="1" x14ac:dyDescent="0.25">
      <c r="A240" s="298">
        <v>44142</v>
      </c>
      <c r="B240" s="50" t="s">
        <v>364</v>
      </c>
      <c r="C240" s="5">
        <v>542926.9</v>
      </c>
      <c r="D240" s="5">
        <v>657073.1</v>
      </c>
      <c r="E240" s="5">
        <f>+IF(FINANCIACION[[#This Row],[$ CAPITAL]]&gt;=0,FINANCIACION[[#This Row],[$ CAPITAL]]+FINANCIACION[[#This Row],[$ INTERESES]],"")</f>
        <v>1200000</v>
      </c>
      <c r="F240" s="5">
        <f>+SUMIFS(FINANCIACION[$ CAPITAL],FINANCIACION[Fecha],"&lt;="&amp;FINANCIACION[[#This Row],[Fecha]],FINANCIACION[PRESTAMO],FINANCIACION[[#This Row],[PRESTAMO]])</f>
        <v>-65164383.100000001</v>
      </c>
      <c r="G240" s="7"/>
      <c r="H240" s="53"/>
      <c r="I240" s="5">
        <f>IF(FINANCIACION[[#This Row],[$ CAPITAL]]&gt;0,FINANCIACION[[#This Row],[$ CAPITAL]])</f>
        <v>542926.9</v>
      </c>
      <c r="J240" s="33">
        <f>IF(FINANCIACION[[#This Row],[$ CAPITAL]]&gt;=0,FINANCIACION[[#This Row],[$ CAPITAL]]+FINANCIACION[[#This Row],[$ INTERESES]],0)</f>
        <v>1200000</v>
      </c>
    </row>
    <row r="241" spans="1:10" ht="24" hidden="1" customHeight="1" x14ac:dyDescent="0.25">
      <c r="A241" s="298">
        <v>44175</v>
      </c>
      <c r="B241" s="50" t="s">
        <v>364</v>
      </c>
      <c r="C241" s="5">
        <v>548356.17000000004</v>
      </c>
      <c r="D241" s="5">
        <v>651643.82999999996</v>
      </c>
      <c r="E241" s="5">
        <f>+IF(FINANCIACION[[#This Row],[$ CAPITAL]]&gt;=0,FINANCIACION[[#This Row],[$ CAPITAL]]+FINANCIACION[[#This Row],[$ INTERESES]],"")</f>
        <v>1200000</v>
      </c>
      <c r="F241" s="5">
        <f>+SUMIFS(FINANCIACION[$ CAPITAL],FINANCIACION[Fecha],"&lt;="&amp;FINANCIACION[[#This Row],[Fecha]],FINANCIACION[PRESTAMO],FINANCIACION[[#This Row],[PRESTAMO]])</f>
        <v>-64616026.93</v>
      </c>
      <c r="G241" s="7"/>
      <c r="H241" s="53"/>
      <c r="I241" s="5">
        <f>IF(FINANCIACION[[#This Row],[$ CAPITAL]]&gt;0,FINANCIACION[[#This Row],[$ CAPITAL]])</f>
        <v>548356.17000000004</v>
      </c>
      <c r="J241" s="33">
        <f>IF(FINANCIACION[[#This Row],[$ CAPITAL]]&gt;=0,FINANCIACION[[#This Row],[$ CAPITAL]]+FINANCIACION[[#This Row],[$ INTERESES]],0)</f>
        <v>1200000</v>
      </c>
    </row>
    <row r="242" spans="1:10" ht="24" hidden="1" customHeight="1" x14ac:dyDescent="0.25">
      <c r="A242" s="298">
        <v>44196</v>
      </c>
      <c r="B242" s="50" t="s">
        <v>364</v>
      </c>
      <c r="C242" s="5">
        <v>-2349404.9287070036</v>
      </c>
      <c r="D242" s="5"/>
      <c r="E242" s="5" t="str">
        <f>+IF(FINANCIACION[[#This Row],[$ CAPITAL]]&gt;=0,FINANCIACION[[#This Row],[$ CAPITAL]]+FINANCIACION[[#This Row],[$ INTERESES]],"")</f>
        <v/>
      </c>
      <c r="F242" s="5">
        <f>+SUMIFS(FINANCIACION[$ CAPITAL],FINANCIACION[Fecha],"&lt;="&amp;FINANCIACION[[#This Row],[Fecha]],FINANCIACION[PRESTAMO],FINANCIACION[[#This Row],[PRESTAMO]])</f>
        <v>-66965431.858707003</v>
      </c>
      <c r="G242" s="7" t="s">
        <v>154</v>
      </c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0</v>
      </c>
    </row>
    <row r="243" spans="1:10" ht="24" hidden="1" customHeight="1" x14ac:dyDescent="0.25">
      <c r="A243" s="109">
        <v>44208</v>
      </c>
      <c r="B243" s="50" t="s">
        <v>364</v>
      </c>
      <c r="C243" s="5">
        <v>553839.73069999996</v>
      </c>
      <c r="D243" s="5">
        <v>646160.26930000004</v>
      </c>
      <c r="E243" s="5">
        <f>+IF(FINANCIACION[[#This Row],[$ CAPITAL]]&gt;=0,FINANCIACION[[#This Row],[$ CAPITAL]]+FINANCIACION[[#This Row],[$ INTERESES]],"")</f>
        <v>1200000</v>
      </c>
      <c r="F243" s="5">
        <f>+SUMIFS(FINANCIACION[$ CAPITAL],FINANCIACION[Fecha],"&lt;="&amp;FINANCIACION[[#This Row],[Fecha]],FINANCIACION[PRESTAMO],FINANCIACION[[#This Row],[PRESTAMO]])</f>
        <v>-66411592.128007002</v>
      </c>
      <c r="G243" s="7"/>
      <c r="H243" s="53"/>
      <c r="I243" s="5">
        <f>IF(FINANCIACION[[#This Row],[$ CAPITAL]]&gt;0,FINANCIACION[[#This Row],[$ CAPITAL]])</f>
        <v>553839.73069999996</v>
      </c>
      <c r="J243" s="33">
        <f>IF(FINANCIACION[[#This Row],[$ CAPITAL]]&gt;=0,FINANCIACION[[#This Row],[$ CAPITAL]]+FINANCIACION[[#This Row],[$ INTERESES]],0)</f>
        <v>1200000</v>
      </c>
    </row>
    <row r="244" spans="1:10" ht="24" hidden="1" customHeight="1" x14ac:dyDescent="0.25">
      <c r="A244" s="109">
        <v>44237</v>
      </c>
      <c r="B244" s="50" t="s">
        <v>364</v>
      </c>
      <c r="C244" s="5">
        <v>559378.12800699996</v>
      </c>
      <c r="D244" s="5">
        <v>640621.87199300004</v>
      </c>
      <c r="E244" s="5">
        <f>+IF(FINANCIACION[[#This Row],[$ CAPITAL]]&gt;=0,FINANCIACION[[#This Row],[$ CAPITAL]]+FINANCIACION[[#This Row],[$ INTERESES]],"")</f>
        <v>1200000</v>
      </c>
      <c r="F244" s="5">
        <f>+SUMIFS(FINANCIACION[$ CAPITAL],FINANCIACION[Fecha],"&lt;="&amp;FINANCIACION[[#This Row],[Fecha]],FINANCIACION[PRESTAMO],FINANCIACION[[#This Row],[PRESTAMO]])</f>
        <v>-65852214</v>
      </c>
      <c r="G244" s="7"/>
      <c r="H244" s="53"/>
      <c r="I244" s="5">
        <f>IF(FINANCIACION[[#This Row],[$ CAPITAL]]&gt;0,FINANCIACION[[#This Row],[$ CAPITAL]])</f>
        <v>559378.12800699996</v>
      </c>
      <c r="J244" s="33">
        <f>IF(FINANCIACION[[#This Row],[$ CAPITAL]]&gt;=0,FINANCIACION[[#This Row],[$ CAPITAL]]+FINANCIACION[[#This Row],[$ INTERESES]],0)</f>
        <v>1200000</v>
      </c>
    </row>
    <row r="245" spans="1:10" ht="24" hidden="1" customHeight="1" x14ac:dyDescent="0.25">
      <c r="A245" s="109">
        <v>44248</v>
      </c>
      <c r="B245" s="50" t="s">
        <v>364</v>
      </c>
      <c r="C245" s="5">
        <v>-8879000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-74731214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hidden="1" customHeight="1" x14ac:dyDescent="0.25">
      <c r="A246" s="109">
        <v>44265</v>
      </c>
      <c r="B246" s="50" t="s">
        <v>364</v>
      </c>
      <c r="C246" s="5">
        <v>552687.86</v>
      </c>
      <c r="D246" s="5">
        <v>747312.14</v>
      </c>
      <c r="E246" s="5">
        <f>+IF(FINANCIACION[[#This Row],[$ CAPITAL]]&gt;=0,FINANCIACION[[#This Row],[$ CAPITAL]]+FINANCIACION[[#This Row],[$ INTERESES]],"")</f>
        <v>1300000</v>
      </c>
      <c r="F246" s="5">
        <f>+SUMIFS(FINANCIACION[$ CAPITAL],FINANCIACION[Fecha],"&lt;="&amp;FINANCIACION[[#This Row],[Fecha]],FINANCIACION[PRESTAMO],FINANCIACION[[#This Row],[PRESTAMO]])</f>
        <v>-74349214</v>
      </c>
      <c r="G246" s="7"/>
      <c r="H246" s="53"/>
      <c r="I246" s="5">
        <f>IF(FINANCIACION[[#This Row],[$ CAPITAL]]&gt;0,FINANCIACION[[#This Row],[$ CAPITAL]])</f>
        <v>552687.86</v>
      </c>
      <c r="J246" s="33">
        <f>IF(FINANCIACION[[#This Row],[$ CAPITAL]]&gt;=0,FINANCIACION[[#This Row],[$ CAPITAL]]+FINANCIACION[[#This Row],[$ INTERESES]],0)</f>
        <v>1300000</v>
      </c>
    </row>
    <row r="247" spans="1:10" ht="24" hidden="1" customHeight="1" x14ac:dyDescent="0.25">
      <c r="A247" s="109">
        <v>44265</v>
      </c>
      <c r="B247" s="50" t="s">
        <v>364</v>
      </c>
      <c r="C247" s="5">
        <v>-170687.859999999</v>
      </c>
      <c r="D247" s="5"/>
      <c r="E247" s="5" t="str">
        <f>+IF(FINANCIACION[[#This Row],[$ CAPITAL]]&gt;=0,FINANCIACION[[#This Row],[$ CAPITAL]]+FINANCIACION[[#This Row],[$ INTERESES]],"")</f>
        <v/>
      </c>
      <c r="F247" s="5">
        <f>+SUMIFS(FINANCIACION[$ CAPITAL],FINANCIACION[Fecha],"&lt;="&amp;FINANCIACION[[#This Row],[Fecha]],FINANCIACION[PRESTAMO],FINANCIACION[[#This Row],[PRESTAMO]])</f>
        <v>-74349214</v>
      </c>
      <c r="G247" s="7" t="s">
        <v>488</v>
      </c>
      <c r="H247" s="53"/>
      <c r="I247" s="5" t="b">
        <f>+IF(FINANCIACION[[#This Row],[$ CAPITAL]]&gt;0,FINANCIACION[[#This Row],[$ CAPITAL]])</f>
        <v>0</v>
      </c>
      <c r="J247" s="33">
        <f>+IF(FINANCIACION[[#This Row],[$ CAPITAL]]&gt;=0,FINANCIACION[[#This Row],[$ CAPITAL]]+FINANCIACION[[#This Row],[$ INTERESES]],0)</f>
        <v>0</v>
      </c>
    </row>
    <row r="248" spans="1:10" ht="24" hidden="1" customHeight="1" x14ac:dyDescent="0.25">
      <c r="A248" s="109">
        <v>44340</v>
      </c>
      <c r="B248" s="50" t="s">
        <v>364</v>
      </c>
      <c r="C248" s="5">
        <v>458214.73859999992</v>
      </c>
      <c r="D248" s="5">
        <v>741785.26140000008</v>
      </c>
      <c r="E248" s="5">
        <f>+IF(FINANCIACION[[#This Row],[$ CAPITAL]]&gt;=0,FINANCIACION[[#This Row],[$ CAPITAL]]+FINANCIACION[[#This Row],[$ INTERESES]],"")</f>
        <v>1200000</v>
      </c>
      <c r="F248" s="5">
        <f>+SUMIFS(FINANCIACION[$ CAPITAL],FINANCIACION[Fecha],"&lt;="&amp;FINANCIACION[[#This Row],[Fecha]],FINANCIACION[PRESTAMO],FINANCIACION[[#This Row],[PRESTAMO]])</f>
        <v>-73890999.261399999</v>
      </c>
      <c r="G248" s="7"/>
      <c r="H248" s="53"/>
      <c r="I248" s="5">
        <f>IF(FINANCIACION[[#This Row],[$ CAPITAL]]&gt;0,FINANCIACION[[#This Row],[$ CAPITAL]])</f>
        <v>458214.73859999992</v>
      </c>
      <c r="J248" s="33">
        <f>IF(FINANCIACION[[#This Row],[$ CAPITAL]]&gt;=0,FINANCIACION[[#This Row],[$ CAPITAL]]+FINANCIACION[[#This Row],[$ INTERESES]],0)</f>
        <v>1200000</v>
      </c>
    </row>
    <row r="249" spans="1:10" ht="24" hidden="1" customHeight="1" x14ac:dyDescent="0.25">
      <c r="A249" s="109">
        <v>44358</v>
      </c>
      <c r="B249" s="50" t="s">
        <v>364</v>
      </c>
      <c r="C249" s="5">
        <v>462796.88598599995</v>
      </c>
      <c r="D249" s="5">
        <v>737203.11401400005</v>
      </c>
      <c r="E249" s="5">
        <f>+IF(FINANCIACION[[#This Row],[$ CAPITAL]]&gt;=0,FINANCIACION[[#This Row],[$ CAPITAL]]+FINANCIACION[[#This Row],[$ INTERESES]],"")</f>
        <v>1200000</v>
      </c>
      <c r="F249" s="5">
        <f>+SUMIFS(FINANCIACION[$ CAPITAL],FINANCIACION[Fecha],"&lt;="&amp;FINANCIACION[[#This Row],[Fecha]],FINANCIACION[PRESTAMO],FINANCIACION[[#This Row],[PRESTAMO]])</f>
        <v>-73428202.375413999</v>
      </c>
      <c r="G249" s="7"/>
      <c r="H249" s="53"/>
      <c r="I249" s="5">
        <f>IF(FINANCIACION[[#This Row],[$ CAPITAL]]&gt;0,FINANCIACION[[#This Row],[$ CAPITAL]])</f>
        <v>462796.88598599995</v>
      </c>
      <c r="J249" s="8">
        <f>IF(FINANCIACION[[#This Row],[$ CAPITAL]]&gt;=0,FINANCIACION[[#This Row],[$ CAPITAL]]+FINANCIACION[[#This Row],[$ INTERESES]],0)</f>
        <v>1200000</v>
      </c>
    </row>
    <row r="250" spans="1:10" ht="24" hidden="1" customHeight="1" x14ac:dyDescent="0.25">
      <c r="A250" s="109">
        <v>44362</v>
      </c>
      <c r="B250" s="50" t="s">
        <v>364</v>
      </c>
      <c r="C250" s="5">
        <v>-3000000</v>
      </c>
      <c r="D250" s="5"/>
      <c r="E250" s="5" t="str">
        <f>+IF(FINANCIACION[[#This Row],[$ CAPITAL]]&gt;=0,FINANCIACION[[#This Row],[$ CAPITAL]]+FINANCIACION[[#This Row],[$ INTERESES]],"")</f>
        <v/>
      </c>
      <c r="F250" s="5">
        <f>+SUMIFS(FINANCIACION[$ CAPITAL],FINANCIACION[Fecha],"&lt;="&amp;FINANCIACION[[#This Row],[Fecha]],FINANCIACION[PRESTAMO],FINANCIACION[[#This Row],[PRESTAMO]])</f>
        <v>-76428202.375413999</v>
      </c>
      <c r="G250" s="53" t="s">
        <v>210</v>
      </c>
      <c r="H250" s="53"/>
      <c r="I250" s="5" t="b">
        <f>IF(FINANCIACION[[#This Row],[$ CAPITAL]]&gt;0,FINANCIACION[[#This Row],[$ CAPITAL]])</f>
        <v>0</v>
      </c>
      <c r="J250" s="33">
        <f>IF(FINANCIACION[[#This Row],[$ CAPITAL]]&gt;=0,FINANCIACION[[#This Row],[$ CAPITAL]]+FINANCIACION[[#This Row],[$ INTERESES]],0)</f>
        <v>0</v>
      </c>
    </row>
    <row r="251" spans="1:10" ht="24" hidden="1" customHeight="1" x14ac:dyDescent="0.25">
      <c r="A251" s="109">
        <v>44389</v>
      </c>
      <c r="B251" s="50" t="s">
        <v>364</v>
      </c>
      <c r="C251" s="5">
        <v>3000000</v>
      </c>
      <c r="D251" s="5"/>
      <c r="E251" s="5">
        <f>+IF(FINANCIACION[[#This Row],[$ CAPITAL]]&gt;=0,FINANCIACION[[#This Row],[$ CAPITAL]]+FINANCIACION[[#This Row],[$ INTERESES]],"")</f>
        <v>3000000</v>
      </c>
      <c r="F251" s="5">
        <f>+SUMIFS(FINANCIACION[$ CAPITAL],FINANCIACION[Fecha],"&lt;="&amp;FINANCIACION[[#This Row],[Fecha]],FINANCIACION[PRESTAMO],FINANCIACION[[#This Row],[PRESTAMO]])</f>
        <v>-73428202.375413999</v>
      </c>
      <c r="G251" s="53"/>
      <c r="H251" s="53"/>
      <c r="I251" s="5">
        <f>IF(FINANCIACION[[#This Row],[$ CAPITAL]]&gt;0,FINANCIACION[[#This Row],[$ CAPITAL]])</f>
        <v>3000000</v>
      </c>
      <c r="J251" s="33">
        <f>IF(FINANCIACION[[#This Row],[$ CAPITAL]]&gt;=0,FINANCIACION[[#This Row],[$ CAPITAL]]+FINANCIACION[[#This Row],[$ INTERESES]],0)</f>
        <v>3000000</v>
      </c>
    </row>
    <row r="252" spans="1:10" ht="24" hidden="1" customHeight="1" x14ac:dyDescent="0.25">
      <c r="A252" s="109">
        <v>44390</v>
      </c>
      <c r="B252" s="50" t="s">
        <v>364</v>
      </c>
      <c r="C252" s="5">
        <v>467424.85484586004</v>
      </c>
      <c r="D252" s="5">
        <v>732575.14515413996</v>
      </c>
      <c r="E252" s="5">
        <f>+IF(FINANCIACION[[#This Row],[$ CAPITAL]]&gt;=0,FINANCIACION[[#This Row],[$ CAPITAL]]+FINANCIACION[[#This Row],[$ INTERESES]],"")</f>
        <v>1200000</v>
      </c>
      <c r="F252" s="5">
        <f>+SUMIFS(FINANCIACION[$ CAPITAL],FINANCIACION[Fecha],"&lt;="&amp;FINANCIACION[[#This Row],[Fecha]],FINANCIACION[PRESTAMO],FINANCIACION[[#This Row],[PRESTAMO]])</f>
        <v>-72960777.520568132</v>
      </c>
      <c r="G252" s="53"/>
      <c r="H252" s="53"/>
      <c r="I252" s="130">
        <f>IF(FINANCIACION[[#This Row],[$ CAPITAL]]&gt;0,FINANCIACION[[#This Row],[$ CAPITAL]])</f>
        <v>467424.85484586004</v>
      </c>
      <c r="J252" s="131">
        <f>IF(FINANCIACION[[#This Row],[$ CAPITAL]]&gt;=0,FINANCIACION[[#This Row],[$ CAPITAL]]+FINANCIACION[[#This Row],[$ INTERESES]],0)</f>
        <v>1200000</v>
      </c>
    </row>
    <row r="253" spans="1:10" ht="24" hidden="1" customHeight="1" x14ac:dyDescent="0.25">
      <c r="A253" s="109">
        <v>44425</v>
      </c>
      <c r="B253" s="50" t="s">
        <v>364</v>
      </c>
      <c r="C253" s="5">
        <v>472099.1033943186</v>
      </c>
      <c r="D253" s="5">
        <v>727900.8966056814</v>
      </c>
      <c r="E253" s="5">
        <f>+IF(FINANCIACION[[#This Row],[$ CAPITAL]]&gt;=0,FINANCIACION[[#This Row],[$ CAPITAL]]+FINANCIACION[[#This Row],[$ INTERESES]],"")</f>
        <v>1200000</v>
      </c>
      <c r="F253" s="5">
        <f>+SUMIFS(FINANCIACION[$ CAPITAL],FINANCIACION[Fecha],"&lt;="&amp;FINANCIACION[[#This Row],[Fecha]],FINANCIACION[PRESTAMO],FINANCIACION[[#This Row],[PRESTAMO]])</f>
        <v>-72488678.417173818</v>
      </c>
      <c r="G253" s="53"/>
      <c r="H253" s="53"/>
      <c r="I253" s="130">
        <f>IF(FINANCIACION[[#This Row],[$ CAPITAL]]&gt;0,FINANCIACION[[#This Row],[$ CAPITAL]])</f>
        <v>472099.1033943186</v>
      </c>
      <c r="J253" s="131">
        <f>IF(FINANCIACION[[#This Row],[$ CAPITAL]]&gt;=0,FINANCIACION[[#This Row],[$ CAPITAL]]+FINANCIACION[[#This Row],[$ INTERESES]],0)</f>
        <v>1200000</v>
      </c>
    </row>
    <row r="254" spans="1:10" ht="24" hidden="1" customHeight="1" x14ac:dyDescent="0.25">
      <c r="A254" s="109">
        <v>44450</v>
      </c>
      <c r="B254" s="50" t="s">
        <v>364</v>
      </c>
      <c r="C254" s="5">
        <v>476820.09442826186</v>
      </c>
      <c r="D254" s="5">
        <v>723179.90557173814</v>
      </c>
      <c r="E254" s="5">
        <f>+IF(FINANCIACION[[#This Row],[$ CAPITAL]]&gt;=0,FINANCIACION[[#This Row],[$ CAPITAL]]+FINANCIACION[[#This Row],[$ INTERESES]],"")</f>
        <v>1200000</v>
      </c>
      <c r="F254" s="5">
        <f>+SUMIFS(FINANCIACION[$ CAPITAL],FINANCIACION[Fecha],"&lt;="&amp;FINANCIACION[[#This Row],[Fecha]],FINANCIACION[PRESTAMO],FINANCIACION[[#This Row],[PRESTAMO]])</f>
        <v>-72011858.322745562</v>
      </c>
      <c r="G254" s="7"/>
      <c r="H254" s="53"/>
      <c r="I254" s="5">
        <f>IF(FINANCIACION[[#This Row],[$ CAPITAL]]&gt;0,FINANCIACION[[#This Row],[$ CAPITAL]])</f>
        <v>476820.09442826186</v>
      </c>
      <c r="J254" s="33">
        <f>IF(FINANCIACION[[#This Row],[$ CAPITAL]]&gt;=0,FINANCIACION[[#This Row],[$ CAPITAL]]+FINANCIACION[[#This Row],[$ INTERESES]],0)</f>
        <v>1200000</v>
      </c>
    </row>
    <row r="255" spans="1:10" ht="24" hidden="1" customHeight="1" x14ac:dyDescent="0.25">
      <c r="A255" s="109">
        <v>44480</v>
      </c>
      <c r="B255" s="50" t="s">
        <v>364</v>
      </c>
      <c r="C255" s="5">
        <v>481588.29537254432</v>
      </c>
      <c r="D255" s="5">
        <v>718411.70462745568</v>
      </c>
      <c r="E255" s="5">
        <f>+IF(FINANCIACION[[#This Row],[$ CAPITAL]]&gt;=0,FINANCIACION[[#This Row],[$ CAPITAL]]+FINANCIACION[[#This Row],[$ INTERESES]],"")</f>
        <v>1200000</v>
      </c>
      <c r="F255" s="5">
        <f>+SUMIFS(FINANCIACION[$ CAPITAL],FINANCIACION[Fecha],"&lt;="&amp;FINANCIACION[[#This Row],[Fecha]],FINANCIACION[PRESTAMO],FINANCIACION[[#This Row],[PRESTAMO]])</f>
        <v>-71530270.027373016</v>
      </c>
      <c r="G255" s="7"/>
      <c r="H255" s="53"/>
      <c r="I255" s="5">
        <f>IF(FINANCIACION[[#This Row],[$ CAPITAL]]&gt;0,FINANCIACION[[#This Row],[$ CAPITAL]])</f>
        <v>481588.29537254432</v>
      </c>
      <c r="J255" s="33">
        <f>IF(FINANCIACION[[#This Row],[$ CAPITAL]]&gt;=0,FINANCIACION[[#This Row],[$ CAPITAL]]+FINANCIACION[[#This Row],[$ INTERESES]],0)</f>
        <v>1200000</v>
      </c>
    </row>
    <row r="256" spans="1:10" ht="24" hidden="1" customHeight="1" x14ac:dyDescent="0.25">
      <c r="A256" s="109">
        <v>44510</v>
      </c>
      <c r="B256" s="50" t="s">
        <v>364</v>
      </c>
      <c r="C256" s="5">
        <v>486404.17832626984</v>
      </c>
      <c r="D256" s="5">
        <v>713595.82167373016</v>
      </c>
      <c r="E256" s="5">
        <f>+IF(FINANCIACION[[#This Row],[$ CAPITAL]]&gt;=0,FINANCIACION[[#This Row],[$ CAPITAL]]+FINANCIACION[[#This Row],[$ INTERESES]],"")</f>
        <v>1200000</v>
      </c>
      <c r="F256" s="5">
        <f>+SUMIFS(FINANCIACION[$ CAPITAL],FINANCIACION[Fecha],"&lt;="&amp;FINANCIACION[[#This Row],[Fecha]],FINANCIACION[PRESTAMO],FINANCIACION[[#This Row],[PRESTAMO]])</f>
        <v>-71043865.849046752</v>
      </c>
      <c r="G256" s="53"/>
      <c r="H256" s="53"/>
      <c r="I256" s="5">
        <f>IF(FINANCIACION[[#This Row],[$ CAPITAL]]&gt;0,FINANCIACION[[#This Row],[$ CAPITAL]])</f>
        <v>486404.17832626984</v>
      </c>
      <c r="J256" s="33">
        <f>IF(FINANCIACION[[#This Row],[$ CAPITAL]]&gt;=0,FINANCIACION[[#This Row],[$ CAPITAL]]+FINANCIACION[[#This Row],[$ INTERESES]],0)</f>
        <v>1200000</v>
      </c>
    </row>
    <row r="257" spans="1:10" ht="24" hidden="1" customHeight="1" x14ac:dyDescent="0.25">
      <c r="A257" s="109">
        <v>44539</v>
      </c>
      <c r="B257" s="50" t="s">
        <v>364</v>
      </c>
      <c r="C257" s="5">
        <v>491268.22010953247</v>
      </c>
      <c r="D257" s="5">
        <v>708731.77989046753</v>
      </c>
      <c r="E257" s="5">
        <f>+IF(FINANCIACION[[#This Row],[$ CAPITAL]]&gt;=0,FINANCIACION[[#This Row],[$ CAPITAL]]+FINANCIACION[[#This Row],[$ INTERESES]],"")</f>
        <v>1200000</v>
      </c>
      <c r="F257" s="5">
        <f>+SUMIFS(FINANCIACION[$ CAPITAL],FINANCIACION[Fecha],"&lt;="&amp;FINANCIACION[[#This Row],[Fecha]],FINANCIACION[PRESTAMO],FINANCIACION[[#This Row],[PRESTAMO]])</f>
        <v>-70552597.628937215</v>
      </c>
      <c r="G257" s="53"/>
      <c r="H257" s="53"/>
      <c r="I257" s="5">
        <f>IF(FINANCIACION[[#This Row],[$ CAPITAL]]&gt;0,FINANCIACION[[#This Row],[$ CAPITAL]])</f>
        <v>491268.22010953247</v>
      </c>
      <c r="J257" s="33">
        <f>IF(FINANCIACION[[#This Row],[$ CAPITAL]]&gt;=0,FINANCIACION[[#This Row],[$ CAPITAL]]+FINANCIACION[[#This Row],[$ INTERESES]],0)</f>
        <v>1200000</v>
      </c>
    </row>
    <row r="258" spans="1:10" ht="24" hidden="1" customHeight="1" x14ac:dyDescent="0.25">
      <c r="A258" s="109">
        <v>44572</v>
      </c>
      <c r="B258" s="50" t="s">
        <v>364</v>
      </c>
      <c r="C258" s="5">
        <v>496180.90231062786</v>
      </c>
      <c r="D258" s="5">
        <v>703819.09768937214</v>
      </c>
      <c r="E258" s="5">
        <f>+IF(FINANCIACION[[#This Row],[$ CAPITAL]]&gt;=0,FINANCIACION[[#This Row],[$ CAPITAL]]+FINANCIACION[[#This Row],[$ INTERESES]],"")</f>
        <v>1200000</v>
      </c>
      <c r="F258" s="5">
        <f>+SUMIFS(FINANCIACION[$ CAPITAL],FINANCIACION[Fecha],"&lt;="&amp;FINANCIACION[[#This Row],[Fecha]],FINANCIACION[PRESTAMO],FINANCIACION[[#This Row],[PRESTAMO]])</f>
        <v>-70056416.72662659</v>
      </c>
      <c r="G258" s="53"/>
      <c r="H258" s="53"/>
      <c r="I258" s="5">
        <f>IF(FINANCIACION[[#This Row],[$ CAPITAL]]&gt;0,FINANCIACION[[#This Row],[$ CAPITAL]])</f>
        <v>496180.90231062786</v>
      </c>
      <c r="J258" s="33">
        <f>IF(FINANCIACION[[#This Row],[$ CAPITAL]]&gt;=0,FINANCIACION[[#This Row],[$ CAPITAL]]+FINANCIACION[[#This Row],[$ INTERESES]],0)</f>
        <v>1200000</v>
      </c>
    </row>
    <row r="259" spans="1:10" ht="24" hidden="1" customHeight="1" x14ac:dyDescent="0.25">
      <c r="A259" s="109">
        <v>44602</v>
      </c>
      <c r="B259" s="50" t="s">
        <v>364</v>
      </c>
      <c r="C259" s="5">
        <v>501142.7113337341</v>
      </c>
      <c r="D259" s="5">
        <v>698857.2886662659</v>
      </c>
      <c r="E259" s="5">
        <f>+IF(FINANCIACION[[#This Row],[$ CAPITAL]]&gt;=0,FINANCIACION[[#This Row],[$ CAPITAL]]+FINANCIACION[[#This Row],[$ INTERESES]],"")</f>
        <v>1200000</v>
      </c>
      <c r="F259" s="5">
        <f>+SUMIFS(FINANCIACION[$ CAPITAL],FINANCIACION[Fecha],"&lt;="&amp;FINANCIACION[[#This Row],[Fecha]],FINANCIACION[PRESTAMO],FINANCIACION[[#This Row],[PRESTAMO]])</f>
        <v>-69555274.015292853</v>
      </c>
      <c r="G259" s="53"/>
      <c r="H259" s="53"/>
      <c r="I259" s="5">
        <f>+IF(FINANCIACION[[#This Row],[$ CAPITAL]]&gt;0,FINANCIACION[[#This Row],[$ CAPITAL]])</f>
        <v>501142.7113337341</v>
      </c>
      <c r="J259" s="33">
        <f>+IF(FINANCIACION[[#This Row],[$ CAPITAL]]&gt;=0,FINANCIACION[[#This Row],[$ CAPITAL]]+FINANCIACION[[#This Row],[$ INTERESES]],0)</f>
        <v>1200000</v>
      </c>
    </row>
    <row r="260" spans="1:10" ht="24" hidden="1" customHeight="1" x14ac:dyDescent="0.25">
      <c r="A260" s="109">
        <v>44629</v>
      </c>
      <c r="B260" s="50" t="s">
        <v>364</v>
      </c>
      <c r="C260" s="5">
        <v>506154.13844707143</v>
      </c>
      <c r="D260" s="5">
        <v>693845.86155292857</v>
      </c>
      <c r="E260" s="5">
        <f>+IF(FINANCIACION[[#This Row],[$ CAPITAL]]&gt;=0,FINANCIACION[[#This Row],[$ CAPITAL]]+FINANCIACION[[#This Row],[$ INTERESES]],"")</f>
        <v>1200000</v>
      </c>
      <c r="F260" s="5">
        <f>+SUMIFS(FINANCIACION[$ CAPITAL],FINANCIACION[Fecha],"&lt;="&amp;FINANCIACION[[#This Row],[Fecha]],FINANCIACION[PRESTAMO],FINANCIACION[[#This Row],[PRESTAMO]])</f>
        <v>-69049119.876845777</v>
      </c>
      <c r="G260" s="53"/>
      <c r="H260" s="53"/>
      <c r="I260" s="5">
        <f>+IF(FINANCIACION[[#This Row],[$ CAPITAL]]&gt;0,FINANCIACION[[#This Row],[$ CAPITAL]])</f>
        <v>506154.13844707143</v>
      </c>
      <c r="J260" s="33">
        <f>+IF(FINANCIACION[[#This Row],[$ CAPITAL]]&gt;=0,FINANCIACION[[#This Row],[$ CAPITAL]]+FINANCIACION[[#This Row],[$ INTERESES]],0)</f>
        <v>1200000</v>
      </c>
    </row>
    <row r="261" spans="1:10" ht="24" hidden="1" customHeight="1" x14ac:dyDescent="0.25">
      <c r="A261" s="109">
        <v>44666</v>
      </c>
      <c r="B261" s="50" t="s">
        <v>364</v>
      </c>
      <c r="C261" s="5">
        <v>511215.67983154219</v>
      </c>
      <c r="D261" s="5">
        <v>688784.32016845781</v>
      </c>
      <c r="E261" s="5">
        <f>+IF(FINANCIACION[[#This Row],[$ CAPITAL]]&gt;=0,FINANCIACION[[#This Row],[$ CAPITAL]]+FINANCIACION[[#This Row],[$ INTERESES]],"")</f>
        <v>1200000</v>
      </c>
      <c r="F261" s="5">
        <f>+SUMIFS(FINANCIACION[$ CAPITAL],FINANCIACION[Fecha],"&lt;="&amp;FINANCIACION[[#This Row],[Fecha]],FINANCIACION[PRESTAMO],FINANCIACION[[#This Row],[PRESTAMO]])</f>
        <v>-68537904.197014228</v>
      </c>
      <c r="G261" s="53"/>
      <c r="H261" s="53"/>
      <c r="I261" s="5">
        <f>+IF(FINANCIACION[[#This Row],[$ CAPITAL]]&gt;0,FINANCIACION[[#This Row],[$ CAPITAL]])</f>
        <v>511215.67983154219</v>
      </c>
      <c r="J261" s="33">
        <f>+IF(FINANCIACION[[#This Row],[$ CAPITAL]]&gt;=0,FINANCIACION[[#This Row],[$ CAPITAL]]+FINANCIACION[[#This Row],[$ INTERESES]],0)</f>
        <v>1200000</v>
      </c>
    </row>
    <row r="262" spans="1:10" ht="24" hidden="1" customHeight="1" x14ac:dyDescent="0.25">
      <c r="A262" s="109">
        <v>44691</v>
      </c>
      <c r="B262" s="50" t="s">
        <v>364</v>
      </c>
      <c r="C262" s="5">
        <v>516327.83662985766</v>
      </c>
      <c r="D262" s="5">
        <v>683672.16337014234</v>
      </c>
      <c r="E262" s="5">
        <f>+IF(FINANCIACION[[#This Row],[$ CAPITAL]]&gt;=0,FINANCIACION[[#This Row],[$ CAPITAL]]+FINANCIACION[[#This Row],[$ INTERESES]],"")</f>
        <v>1200000</v>
      </c>
      <c r="F262" s="5">
        <f>+SUMIFS(FINANCIACION[$ CAPITAL],FINANCIACION[Fecha],"&lt;="&amp;FINANCIACION[[#This Row],[Fecha]],FINANCIACION[PRESTAMO],FINANCIACION[[#This Row],[PRESTAMO]])</f>
        <v>-68021576.360384375</v>
      </c>
      <c r="G262" s="53"/>
      <c r="H262" s="53"/>
      <c r="I262" s="5">
        <f>+IF(FINANCIACION[[#This Row],[$ CAPITAL]]&gt;0,FINANCIACION[[#This Row],[$ CAPITAL]])</f>
        <v>516327.83662985766</v>
      </c>
      <c r="J262" s="33">
        <f>+IF(FINANCIACION[[#This Row],[$ CAPITAL]]&gt;=0,FINANCIACION[[#This Row],[$ CAPITAL]]+FINANCIACION[[#This Row],[$ INTERESES]],0)</f>
        <v>1200000</v>
      </c>
    </row>
    <row r="263" spans="1:10" ht="24" hidden="1" customHeight="1" x14ac:dyDescent="0.25">
      <c r="A263" s="109">
        <v>44722</v>
      </c>
      <c r="B263" s="50" t="s">
        <v>364</v>
      </c>
      <c r="C263" s="5">
        <v>1321491.1149961562</v>
      </c>
      <c r="D263" s="5">
        <v>678508.88500384381</v>
      </c>
      <c r="E263" s="5">
        <f>+IF(FINANCIACION[[#This Row],[$ CAPITAL]]&gt;=0,FINANCIACION[[#This Row],[$ CAPITAL]]+FINANCIACION[[#This Row],[$ INTERESES]],"")</f>
        <v>2000000</v>
      </c>
      <c r="F263" s="5">
        <f>+SUMIFS(FINANCIACION[$ CAPITAL],FINANCIACION[Fecha],"&lt;="&amp;FINANCIACION[[#This Row],[Fecha]],FINANCIACION[PRESTAMO],FINANCIACION[[#This Row],[PRESTAMO]])</f>
        <v>-66700085.245388217</v>
      </c>
      <c r="G263" s="53"/>
      <c r="H263" s="53"/>
      <c r="I263" s="5">
        <f>+IF(FINANCIACION[[#This Row],[$ CAPITAL]]&gt;0,FINANCIACION[[#This Row],[$ CAPITAL]])</f>
        <v>1321491.1149961562</v>
      </c>
      <c r="J263" s="33">
        <f>+IF(FINANCIACION[[#This Row],[$ CAPITAL]]&gt;=0,FINANCIACION[[#This Row],[$ CAPITAL]]+FINANCIACION[[#This Row],[$ INTERESES]],0)</f>
        <v>2000000</v>
      </c>
    </row>
    <row r="264" spans="1:10" ht="24" hidden="1" customHeight="1" x14ac:dyDescent="0.25">
      <c r="A264" s="109">
        <v>44753</v>
      </c>
      <c r="B264" s="50" t="s">
        <v>364</v>
      </c>
      <c r="C264" s="5">
        <v>1334706.0261461178</v>
      </c>
      <c r="D264" s="5">
        <v>665293.97385388217</v>
      </c>
      <c r="E264" s="5">
        <f>+IF(FINANCIACION[[#This Row],[$ CAPITAL]]&gt;=0,FINANCIACION[[#This Row],[$ CAPITAL]]+FINANCIACION[[#This Row],[$ INTERESES]],"")</f>
        <v>2000000</v>
      </c>
      <c r="F264" s="5">
        <f>+SUMIFS(FINANCIACION[$ CAPITAL],FINANCIACION[Fecha],"&lt;="&amp;FINANCIACION[[#This Row],[Fecha]],FINANCIACION[PRESTAMO],FINANCIACION[[#This Row],[PRESTAMO]])</f>
        <v>-65365379.219242096</v>
      </c>
      <c r="G264" s="53"/>
      <c r="H264" s="53"/>
      <c r="I264" s="5">
        <f>+IF(FINANCIACION[[#This Row],[$ CAPITAL]]&gt;0,FINANCIACION[[#This Row],[$ CAPITAL]])</f>
        <v>1334706.0261461178</v>
      </c>
      <c r="J264" s="33">
        <f>+IF(FINANCIACION[[#This Row],[$ CAPITAL]]&gt;=0,FINANCIACION[[#This Row],[$ CAPITAL]]+FINANCIACION[[#This Row],[$ INTERESES]],0)</f>
        <v>2000000</v>
      </c>
    </row>
    <row r="265" spans="1:10" ht="24" hidden="1" customHeight="1" x14ac:dyDescent="0.25">
      <c r="A265" s="109">
        <v>44786</v>
      </c>
      <c r="B265" s="50" t="s">
        <v>364</v>
      </c>
      <c r="C265" s="5">
        <v>1348053.086407579</v>
      </c>
      <c r="D265" s="5">
        <v>651946.91359242098</v>
      </c>
      <c r="E265" s="5">
        <f>+IF(FINANCIACION[[#This Row],[$ CAPITAL]]&gt;=0,FINANCIACION[[#This Row],[$ CAPITAL]]+FINANCIACION[[#This Row],[$ INTERESES]],"")</f>
        <v>2000000</v>
      </c>
      <c r="F265" s="5">
        <f>+SUMIFS(FINANCIACION[$ CAPITAL],FINANCIACION[Fecha],"&lt;="&amp;FINANCIACION[[#This Row],[Fecha]],FINANCIACION[PRESTAMO],FINANCIACION[[#This Row],[PRESTAMO]])</f>
        <v>-64017326.132834516</v>
      </c>
      <c r="G265" s="53"/>
      <c r="H265" s="53"/>
      <c r="I265" s="5">
        <f>+IF(FINANCIACION[[#This Row],[$ CAPITAL]]&gt;0,FINANCIACION[[#This Row],[$ CAPITAL]])</f>
        <v>1348053.086407579</v>
      </c>
      <c r="J265" s="33">
        <f>+IF(FINANCIACION[[#This Row],[$ CAPITAL]]&gt;=0,FINANCIACION[[#This Row],[$ CAPITAL]]+FINANCIACION[[#This Row],[$ INTERESES]],0)</f>
        <v>2000000</v>
      </c>
    </row>
    <row r="266" spans="1:10" ht="24" hidden="1" customHeight="1" x14ac:dyDescent="0.25">
      <c r="A266" s="109">
        <v>44823</v>
      </c>
      <c r="B266" s="50" t="s">
        <v>364</v>
      </c>
      <c r="C266" s="5">
        <v>1359827</v>
      </c>
      <c r="D266" s="5">
        <v>640173</v>
      </c>
      <c r="E266" s="5">
        <f>+IF(FINANCIACION[[#This Row],[$ CAPITAL]]&gt;=0,FINANCIACION[[#This Row],[$ CAPITAL]]+FINANCIACION[[#This Row],[$ INTERESES]],"")</f>
        <v>2000000</v>
      </c>
      <c r="F266" s="5">
        <f>+SUMIFS(FINANCIACION[$ CAPITAL],FINANCIACION[Fecha],"&lt;="&amp;FINANCIACION[[#This Row],[Fecha]],FINANCIACION[PRESTAMO],FINANCIACION[[#This Row],[PRESTAMO]])</f>
        <v>-62657499.132834516</v>
      </c>
      <c r="G266" s="53"/>
      <c r="H266" s="53"/>
      <c r="I266" s="5">
        <f>+IF(FINANCIACION[[#This Row],[$ CAPITAL]]&gt;0,FINANCIACION[[#This Row],[$ CAPITAL]])</f>
        <v>1359827</v>
      </c>
      <c r="J266" s="33">
        <f>+IF(FINANCIACION[[#This Row],[$ CAPITAL]]&gt;=0,FINANCIACION[[#This Row],[$ CAPITAL]]+FINANCIACION[[#This Row],[$ INTERESES]],0)</f>
        <v>2000000</v>
      </c>
    </row>
    <row r="267" spans="1:10" ht="24" hidden="1" customHeight="1" x14ac:dyDescent="0.25">
      <c r="A267" s="109">
        <v>44855</v>
      </c>
      <c r="B267" s="50" t="s">
        <v>364</v>
      </c>
      <c r="C267" s="5">
        <v>1373425</v>
      </c>
      <c r="D267" s="5">
        <v>626575</v>
      </c>
      <c r="E267" s="5">
        <f>+IF(FINANCIACION[[#This Row],[$ CAPITAL]]&gt;=0,FINANCIACION[[#This Row],[$ CAPITAL]]+FINANCIACION[[#This Row],[$ INTERESES]],"")</f>
        <v>2000000</v>
      </c>
      <c r="F267" s="5">
        <f>+SUMIFS(FINANCIACION[$ CAPITAL],FINANCIACION[Fecha],"&lt;="&amp;FINANCIACION[[#This Row],[Fecha]],FINANCIACION[PRESTAMO],FINANCIACION[[#This Row],[PRESTAMO]])</f>
        <v>-61284074.132834516</v>
      </c>
      <c r="G267" s="53"/>
      <c r="H267" s="53"/>
      <c r="I267" s="5">
        <f>+IF(FINANCIACION[[#This Row],[$ CAPITAL]]&gt;0,FINANCIACION[[#This Row],[$ CAPITAL]])</f>
        <v>1373425</v>
      </c>
      <c r="J267" s="33">
        <f>+IF(FINANCIACION[[#This Row],[$ CAPITAL]]&gt;=0,FINANCIACION[[#This Row],[$ CAPITAL]]+FINANCIACION[[#This Row],[$ INTERESES]],0)</f>
        <v>2000000</v>
      </c>
    </row>
    <row r="268" spans="1:10" ht="24" hidden="1" customHeight="1" x14ac:dyDescent="0.25">
      <c r="A268" s="109">
        <v>44876</v>
      </c>
      <c r="B268" s="50" t="s">
        <v>364</v>
      </c>
      <c r="C268" s="5">
        <v>1387159</v>
      </c>
      <c r="D268" s="5">
        <v>612841</v>
      </c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-59896915.132834516</v>
      </c>
      <c r="G268" s="53"/>
      <c r="H268" s="53"/>
      <c r="I268" s="5">
        <f>+IF(FINANCIACION[[#This Row],[$ CAPITAL]]&gt;0,FINANCIACION[[#This Row],[$ CAPITAL]])</f>
        <v>1387159</v>
      </c>
      <c r="J268" s="33">
        <f>+IF(FINANCIACION[[#This Row],[$ CAPITAL]]&gt;=0,FINANCIACION[[#This Row],[$ CAPITAL]]+FINANCIACION[[#This Row],[$ INTERESES]],0)</f>
        <v>2000000</v>
      </c>
    </row>
    <row r="269" spans="1:10" ht="24" hidden="1" customHeight="1" x14ac:dyDescent="0.25">
      <c r="A269" s="109">
        <v>44909</v>
      </c>
      <c r="B269" s="50" t="s">
        <v>364</v>
      </c>
      <c r="C269" s="5">
        <v>1401030</v>
      </c>
      <c r="D269" s="5">
        <v>598970</v>
      </c>
      <c r="E269" s="5">
        <f>+IF(FINANCIACION[[#This Row],[$ CAPITAL]]&gt;=0,FINANCIACION[[#This Row],[$ CAPITAL]]+FINANCIACION[[#This Row],[$ INTERESES]],"")</f>
        <v>2000000</v>
      </c>
      <c r="F269" s="5">
        <f>+SUMIFS(FINANCIACION[$ CAPITAL],FINANCIACION[Fecha],"&lt;="&amp;FINANCIACION[[#This Row],[Fecha]],FINANCIACION[PRESTAMO],FINANCIACION[[#This Row],[PRESTAMO]])</f>
        <v>-58495885.132834516</v>
      </c>
      <c r="G269" s="53"/>
      <c r="H269" s="53"/>
      <c r="I269" s="5">
        <f>+IF(FINANCIACION[[#This Row],[$ CAPITAL]]&gt;0,FINANCIACION[[#This Row],[$ CAPITAL]])</f>
        <v>1401030</v>
      </c>
      <c r="J269" s="33">
        <f>+IF(FINANCIACION[[#This Row],[$ CAPITAL]]&gt;=0,FINANCIACION[[#This Row],[$ CAPITAL]]+FINANCIACION[[#This Row],[$ INTERESES]],0)</f>
        <v>2000000</v>
      </c>
    </row>
    <row r="270" spans="1:10" ht="24" hidden="1" customHeight="1" x14ac:dyDescent="0.25">
      <c r="A270" s="109">
        <v>44925</v>
      </c>
      <c r="B270" s="50" t="s">
        <v>364</v>
      </c>
      <c r="C270" s="5">
        <v>1415041</v>
      </c>
      <c r="D270" s="5">
        <v>584959</v>
      </c>
      <c r="E270" s="5">
        <f>+IF(FINANCIACION[[#This Row],[$ CAPITAL]]&gt;=0,FINANCIACION[[#This Row],[$ CAPITAL]]+FINANCIACION[[#This Row],[$ INTERESES]],"")</f>
        <v>2000000</v>
      </c>
      <c r="F270" s="5">
        <f>+SUMIFS(FINANCIACION[$ CAPITAL],FINANCIACION[Fecha],"&lt;="&amp;FINANCIACION[[#This Row],[Fecha]],FINANCIACION[PRESTAMO],FINANCIACION[[#This Row],[PRESTAMO]])</f>
        <v>-57080844.132834516</v>
      </c>
      <c r="G270" s="53"/>
      <c r="H270" s="53"/>
      <c r="I270" s="5">
        <f>+IF(FINANCIACION[[#This Row],[$ CAPITAL]]&gt;0,FINANCIACION[[#This Row],[$ CAPITAL]])</f>
        <v>1415041</v>
      </c>
      <c r="J270" s="33">
        <f>+IF(FINANCIACION[[#This Row],[$ CAPITAL]]&gt;=0,FINANCIACION[[#This Row],[$ CAPITAL]]+FINANCIACION[[#This Row],[$ INTERESES]],0)</f>
        <v>2000000</v>
      </c>
    </row>
    <row r="271" spans="1:10" ht="24" hidden="1" customHeight="1" x14ac:dyDescent="0.25">
      <c r="A271" s="109">
        <v>44938</v>
      </c>
      <c r="B271" s="50" t="s">
        <v>364</v>
      </c>
      <c r="C271" s="5">
        <v>1429192</v>
      </c>
      <c r="D271" s="5">
        <v>570808</v>
      </c>
      <c r="E271" s="5">
        <f>+IF(FINANCIACION[[#This Row],[$ CAPITAL]]&gt;=0,FINANCIACION[[#This Row],[$ CAPITAL]]+FINANCIACION[[#This Row],[$ INTERESES]],"")</f>
        <v>2000000</v>
      </c>
      <c r="F271" s="5">
        <f>+SUMIFS(FINANCIACION[$ CAPITAL],FINANCIACION[Fecha],"&lt;="&amp;FINANCIACION[[#This Row],[Fecha]],FINANCIACION[PRESTAMO],FINANCIACION[[#This Row],[PRESTAMO]])</f>
        <v>-55651652.132834516</v>
      </c>
      <c r="G271" s="53"/>
      <c r="H271" s="53"/>
      <c r="I271" s="5">
        <f>+IF(FINANCIACION[[#This Row],[$ CAPITAL]]&gt;0,FINANCIACION[[#This Row],[$ CAPITAL]])</f>
        <v>1429192</v>
      </c>
      <c r="J271" s="33">
        <f>+IF(FINANCIACION[[#This Row],[$ CAPITAL]]&gt;=0,FINANCIACION[[#This Row],[$ CAPITAL]]+FINANCIACION[[#This Row],[$ INTERESES]],0)</f>
        <v>2000000</v>
      </c>
    </row>
    <row r="272" spans="1:10" ht="24" hidden="1" customHeight="1" x14ac:dyDescent="0.25">
      <c r="A272" s="109">
        <v>44970</v>
      </c>
      <c r="B272" s="50" t="s">
        <v>364</v>
      </c>
      <c r="C272" s="5">
        <v>1443483</v>
      </c>
      <c r="D272" s="5">
        <v>556517</v>
      </c>
      <c r="E272" s="5">
        <f>+IF(FINANCIACION[[#This Row],[$ CAPITAL]]&gt;=0,FINANCIACION[[#This Row],[$ CAPITAL]]+FINANCIACION[[#This Row],[$ INTERESES]],"")</f>
        <v>2000000</v>
      </c>
      <c r="F272" s="5">
        <f>+SUMIFS(FINANCIACION[$ CAPITAL],FINANCIACION[Fecha],"&lt;="&amp;FINANCIACION[[#This Row],[Fecha]],FINANCIACION[PRESTAMO],FINANCIACION[[#This Row],[PRESTAMO]])</f>
        <v>-54208169.132834516</v>
      </c>
      <c r="G272" s="53"/>
      <c r="H272" s="53"/>
      <c r="I272" s="5">
        <f>+IF(FINANCIACION[[#This Row],[$ CAPITAL]]&gt;0,FINANCIACION[[#This Row],[$ CAPITAL]])</f>
        <v>1443483</v>
      </c>
      <c r="J272" s="33">
        <f>+IF(FINANCIACION[[#This Row],[$ CAPITAL]]&gt;=0,FINANCIACION[[#This Row],[$ CAPITAL]]+FINANCIACION[[#This Row],[$ INTERESES]],0)</f>
        <v>2000000</v>
      </c>
    </row>
    <row r="273" spans="1:10" ht="24" hidden="1" customHeight="1" x14ac:dyDescent="0.25">
      <c r="A273" s="109">
        <v>45016</v>
      </c>
      <c r="B273" s="50" t="s">
        <v>364</v>
      </c>
      <c r="C273" s="5">
        <v>0</v>
      </c>
      <c r="D273" s="5">
        <v>0</v>
      </c>
      <c r="E273" s="5">
        <f>+IF(FINANCIACION[[#This Row],[$ CAPITAL]]&gt;=0,FINANCIACION[[#This Row],[$ CAPITAL]]+FINANCIACION[[#This Row],[$ INTERESES]],"")</f>
        <v>0</v>
      </c>
      <c r="F273" s="5">
        <f>+SUMIFS(FINANCIACION[$ CAPITAL],FINANCIACION[Fecha],"&lt;="&amp;FINANCIACION[[#This Row],[Fecha]],FINANCIACION[PRESTAMO],FINANCIACION[[#This Row],[PRESTAMO]])</f>
        <v>-54208169.132834516</v>
      </c>
      <c r="G273" s="53"/>
      <c r="H273" s="53"/>
      <c r="I273" s="5" t="b">
        <f>+IF(FINANCIACION[[#This Row],[$ CAPITAL]]&gt;0,FINANCIACION[[#This Row],[$ CAPITAL]])</f>
        <v>0</v>
      </c>
      <c r="J273" s="33">
        <f>+IF(FINANCIACION[[#This Row],[$ CAPITAL]]&gt;=0,FINANCIACION[[#This Row],[$ CAPITAL]]+FINANCIACION[[#This Row],[$ INTERESES]],0)</f>
        <v>0</v>
      </c>
    </row>
    <row r="274" spans="1:10" ht="24" hidden="1" customHeight="1" x14ac:dyDescent="0.25">
      <c r="A274" s="109">
        <v>45020</v>
      </c>
      <c r="B274" s="50" t="s">
        <v>364</v>
      </c>
      <c r="C274" s="5">
        <v>1457918</v>
      </c>
      <c r="D274" s="5">
        <v>542082</v>
      </c>
      <c r="E274" s="5">
        <f>+IF(FINANCIACION[[#This Row],[$ CAPITAL]]&gt;=0,FINANCIACION[[#This Row],[$ CAPITAL]]+FINANCIACION[[#This Row],[$ INTERESES]],"")</f>
        <v>2000000</v>
      </c>
      <c r="F274" s="5">
        <f>+SUMIFS(FINANCIACION[$ CAPITAL],FINANCIACION[Fecha],"&lt;="&amp;FINANCIACION[[#This Row],[Fecha]],FINANCIACION[PRESTAMO],FINANCIACION[[#This Row],[PRESTAMO]])</f>
        <v>-52750251.132834516</v>
      </c>
      <c r="G274" s="53" t="s">
        <v>727</v>
      </c>
      <c r="H274" s="53"/>
      <c r="I274" s="5">
        <f>+IF(FINANCIACION[[#This Row],[$ CAPITAL]]&gt;0,FINANCIACION[[#This Row],[$ CAPITAL]])</f>
        <v>1457918</v>
      </c>
      <c r="J274" s="33">
        <f>+IF(FINANCIACION[[#This Row],[$ CAPITAL]]&gt;=0,FINANCIACION[[#This Row],[$ CAPITAL]]+FINANCIACION[[#This Row],[$ INTERESES]],0)</f>
        <v>2000000</v>
      </c>
    </row>
    <row r="275" spans="1:10" ht="24" hidden="1" customHeight="1" x14ac:dyDescent="0.25">
      <c r="A275" s="109">
        <v>45033</v>
      </c>
      <c r="B275" s="50" t="s">
        <v>364</v>
      </c>
      <c r="C275" s="5">
        <v>1472497</v>
      </c>
      <c r="D275" s="5">
        <v>527503</v>
      </c>
      <c r="E275" s="5">
        <f>+IF(FINANCIACION[[#This Row],[$ CAPITAL]]&gt;=0,FINANCIACION[[#This Row],[$ CAPITAL]]+FINANCIACION[[#This Row],[$ INTERESES]],"")</f>
        <v>2000000</v>
      </c>
      <c r="F275" s="5">
        <f>+SUMIFS(FINANCIACION[$ CAPITAL],FINANCIACION[Fecha],"&lt;="&amp;FINANCIACION[[#This Row],[Fecha]],FINANCIACION[PRESTAMO],FINANCIACION[[#This Row],[PRESTAMO]])</f>
        <v>-51277754.132834516</v>
      </c>
      <c r="G275" s="53"/>
      <c r="H275" s="53"/>
      <c r="I275" s="5">
        <f>+IF(FINANCIACION[[#This Row],[$ CAPITAL]]&gt;0,FINANCIACION[[#This Row],[$ CAPITAL]])</f>
        <v>1472497</v>
      </c>
      <c r="J275" s="33">
        <f>+IF(FINANCIACION[[#This Row],[$ CAPITAL]]&gt;=0,FINANCIACION[[#This Row],[$ CAPITAL]]+FINANCIACION[[#This Row],[$ INTERESES]],0)</f>
        <v>2000000</v>
      </c>
    </row>
    <row r="276" spans="1:10" ht="24" hidden="1" customHeight="1" x14ac:dyDescent="0.25">
      <c r="A276" s="109">
        <v>45054</v>
      </c>
      <c r="B276" s="50" t="s">
        <v>364</v>
      </c>
      <c r="C276" s="5">
        <v>1487222</v>
      </c>
      <c r="D276" s="5">
        <v>512778</v>
      </c>
      <c r="E276" s="5">
        <f>+IF(FINANCIACION[[#This Row],[$ CAPITAL]]&gt;=0,FINANCIACION[[#This Row],[$ CAPITAL]]+FINANCIACION[[#This Row],[$ INTERESES]],"")</f>
        <v>2000000</v>
      </c>
      <c r="F276" s="5">
        <f>+SUMIFS(FINANCIACION[$ CAPITAL],FINANCIACION[Fecha],"&lt;="&amp;FINANCIACION[[#This Row],[Fecha]],FINANCIACION[PRESTAMO],FINANCIACION[[#This Row],[PRESTAMO]])</f>
        <v>-49790532.132834516</v>
      </c>
      <c r="G276" s="53"/>
      <c r="H276" s="53"/>
      <c r="I276" s="5">
        <f>+IF(FINANCIACION[[#This Row],[$ CAPITAL]]&gt;0,FINANCIACION[[#This Row],[$ CAPITAL]])</f>
        <v>1487222</v>
      </c>
      <c r="J276" s="33">
        <f>+IF(FINANCIACION[[#This Row],[$ CAPITAL]]&gt;=0,FINANCIACION[[#This Row],[$ CAPITAL]]+FINANCIACION[[#This Row],[$ INTERESES]],0)</f>
        <v>2000000</v>
      </c>
    </row>
    <row r="277" spans="1:10" ht="24" hidden="1" customHeight="1" x14ac:dyDescent="0.25">
      <c r="A277" s="109">
        <v>45098</v>
      </c>
      <c r="B277" s="50" t="s">
        <v>364</v>
      </c>
      <c r="C277" s="5">
        <v>1502095</v>
      </c>
      <c r="D277" s="5">
        <v>497905</v>
      </c>
      <c r="E277" s="5">
        <f>+IF(FINANCIACION[[#This Row],[$ CAPITAL]]&gt;=0,FINANCIACION[[#This Row],[$ CAPITAL]]+FINANCIACION[[#This Row],[$ INTERESES]],"")</f>
        <v>2000000</v>
      </c>
      <c r="F277" s="5">
        <f>+SUMIFS(FINANCIACION[$ CAPITAL],FINANCIACION[Fecha],"&lt;="&amp;FINANCIACION[[#This Row],[Fecha]],FINANCIACION[PRESTAMO],FINANCIACION[[#This Row],[PRESTAMO]])</f>
        <v>-48288437.132834516</v>
      </c>
      <c r="G277" s="53"/>
      <c r="H277" s="53"/>
      <c r="I277" s="5">
        <f>+IF(FINANCIACION[[#This Row],[$ CAPITAL]]&gt;0,FINANCIACION[[#This Row],[$ CAPITAL]])</f>
        <v>1502095</v>
      </c>
      <c r="J277" s="33">
        <f>+IF(FINANCIACION[[#This Row],[$ CAPITAL]]&gt;=0,FINANCIACION[[#This Row],[$ CAPITAL]]+FINANCIACION[[#This Row],[$ INTERESES]],0)</f>
        <v>2000000</v>
      </c>
    </row>
    <row r="278" spans="1:10" ht="24" hidden="1" customHeight="1" x14ac:dyDescent="0.25">
      <c r="A278" s="136">
        <v>45107</v>
      </c>
      <c r="B278" s="137" t="s">
        <v>364</v>
      </c>
      <c r="C278" s="138">
        <v>-1364220</v>
      </c>
      <c r="D278" s="138"/>
      <c r="E278" s="138" t="str">
        <f>+IF(FINANCIACION[[#This Row],[$ CAPITAL]]&gt;=0,FINANCIACION[[#This Row],[$ CAPITAL]]+FINANCIACION[[#This Row],[$ INTERESES]],"")</f>
        <v/>
      </c>
      <c r="F278" s="138">
        <f>+SUMIFS(FINANCIACION[$ CAPITAL],FINANCIACION[Fecha],"&lt;="&amp;FINANCIACION[[#This Row],[Fecha]],FINANCIACION[PRESTAMO],FINANCIACION[[#This Row],[PRESTAMO]])</f>
        <v>-49652657.132834516</v>
      </c>
      <c r="G278" s="53" t="s">
        <v>934</v>
      </c>
      <c r="H278" s="53"/>
      <c r="I278" s="5" t="b">
        <f>+IF(FINANCIACION[[#This Row],[$ CAPITAL]]&gt;0,FINANCIACION[[#This Row],[$ CAPITAL]])</f>
        <v>0</v>
      </c>
      <c r="J278" s="33">
        <f>+IF(FINANCIACION[[#This Row],[$ CAPITAL]]&gt;=0,FINANCIACION[[#This Row],[$ CAPITAL]]+FINANCIACION[[#This Row],[$ INTERESES]],0)</f>
        <v>0</v>
      </c>
    </row>
    <row r="279" spans="1:10" ht="24" hidden="1" customHeight="1" x14ac:dyDescent="0.25">
      <c r="A279" s="109">
        <v>45126</v>
      </c>
      <c r="B279" s="50" t="s">
        <v>364</v>
      </c>
      <c r="C279" s="5">
        <v>1503473</v>
      </c>
      <c r="D279" s="5">
        <v>496527</v>
      </c>
      <c r="E279" s="5">
        <f>+IF(FINANCIACION[[#This Row],[$ CAPITAL]]&gt;=0,FINANCIACION[[#This Row],[$ CAPITAL]]+FINANCIACION[[#This Row],[$ INTERESES]],"")</f>
        <v>2000000</v>
      </c>
      <c r="F279" s="5">
        <f>+SUMIFS(FINANCIACION[$ CAPITAL],FINANCIACION[Fecha],"&lt;="&amp;FINANCIACION[[#This Row],[Fecha]],FINANCIACION[PRESTAMO],FINANCIACION[[#This Row],[PRESTAMO]])</f>
        <v>-48149184.132834516</v>
      </c>
      <c r="G279" s="53"/>
      <c r="H279" s="53"/>
      <c r="I279" s="5">
        <f>+IF(FINANCIACION[[#This Row],[$ CAPITAL]]&gt;0,FINANCIACION[[#This Row],[$ CAPITAL]])</f>
        <v>1503473</v>
      </c>
      <c r="J279" s="33">
        <f>+IF(FINANCIACION[[#This Row],[$ CAPITAL]]&gt;=0,FINANCIACION[[#This Row],[$ CAPITAL]]+FINANCIACION[[#This Row],[$ INTERESES]],0)</f>
        <v>2000000</v>
      </c>
    </row>
    <row r="280" spans="1:10" ht="24" hidden="1" customHeight="1" x14ac:dyDescent="0.25">
      <c r="A280" s="109">
        <v>45155</v>
      </c>
      <c r="B280" s="50" t="s">
        <v>364</v>
      </c>
      <c r="C280" s="5">
        <v>1518508.16</v>
      </c>
      <c r="D280" s="5">
        <v>481491.84</v>
      </c>
      <c r="E280" s="5">
        <f>+IF(FINANCIACION[[#This Row],[$ CAPITAL]]&gt;=0,FINANCIACION[[#This Row],[$ CAPITAL]]+FINANCIACION[[#This Row],[$ INTERESES]],"")</f>
        <v>2000000</v>
      </c>
      <c r="F280" s="5">
        <f>+SUMIFS(FINANCIACION[$ CAPITAL],FINANCIACION[Fecha],"&lt;="&amp;FINANCIACION[[#This Row],[Fecha]],FINANCIACION[PRESTAMO],FINANCIACION[[#This Row],[PRESTAMO]])</f>
        <v>-46630675.97283452</v>
      </c>
      <c r="G280" s="53"/>
      <c r="H280" s="53"/>
      <c r="I280" s="5">
        <f>+IF(FINANCIACION[[#This Row],[$ CAPITAL]]&gt;0,FINANCIACION[[#This Row],[$ CAPITAL]])</f>
        <v>1518508.16</v>
      </c>
      <c r="J280" s="33">
        <f>+IF(FINANCIACION[[#This Row],[$ CAPITAL]]&gt;=0,FINANCIACION[[#This Row],[$ CAPITAL]]+FINANCIACION[[#This Row],[$ INTERESES]],0)</f>
        <v>2000000</v>
      </c>
    </row>
    <row r="281" spans="1:10" ht="24" hidden="1" customHeight="1" x14ac:dyDescent="0.25">
      <c r="A281" s="109">
        <v>45194</v>
      </c>
      <c r="B281" s="50" t="s">
        <v>364</v>
      </c>
      <c r="C281" s="5">
        <v>1533693</v>
      </c>
      <c r="D281" s="5">
        <v>466307</v>
      </c>
      <c r="E281" s="5">
        <f>+IF(FINANCIACION[[#This Row],[$ CAPITAL]]&gt;=0,FINANCIACION[[#This Row],[$ CAPITAL]]+FINANCIACION[[#This Row],[$ INTERESES]],"")</f>
        <v>2000000</v>
      </c>
      <c r="F281" s="5">
        <f>+SUMIFS(FINANCIACION[$ CAPITAL],FINANCIACION[Fecha],"&lt;="&amp;FINANCIACION[[#This Row],[Fecha]],FINANCIACION[PRESTAMO],FINANCIACION[[#This Row],[PRESTAMO]])</f>
        <v>-45096982.97283452</v>
      </c>
      <c r="G281" s="53"/>
      <c r="H281" s="53"/>
      <c r="I281" s="5">
        <f>+IF(FINANCIACION[[#This Row],[$ CAPITAL]]&gt;0,FINANCIACION[[#This Row],[$ CAPITAL]])</f>
        <v>1533693</v>
      </c>
      <c r="J281" s="33">
        <f>+IF(FINANCIACION[[#This Row],[$ CAPITAL]]&gt;=0,FINANCIACION[[#This Row],[$ CAPITAL]]+FINANCIACION[[#This Row],[$ INTERESES]],0)</f>
        <v>2000000</v>
      </c>
    </row>
    <row r="282" spans="1:10" ht="24" hidden="1" customHeight="1" x14ac:dyDescent="0.25">
      <c r="A282" s="109">
        <v>45220</v>
      </c>
      <c r="B282" s="50" t="s">
        <v>364</v>
      </c>
      <c r="C282" s="5">
        <v>1549030</v>
      </c>
      <c r="D282" s="5">
        <v>450970</v>
      </c>
      <c r="E282" s="5">
        <f>+IF(FINANCIACION[[#This Row],[$ CAPITAL]]&gt;=0,FINANCIACION[[#This Row],[$ CAPITAL]]+FINANCIACION[[#This Row],[$ INTERESES]],"")</f>
        <v>2000000</v>
      </c>
      <c r="F282" s="5">
        <f>+SUMIFS(FINANCIACION[$ CAPITAL],FINANCIACION[Fecha],"&lt;="&amp;FINANCIACION[[#This Row],[Fecha]],FINANCIACION[PRESTAMO],FINANCIACION[[#This Row],[PRESTAMO]])</f>
        <v>-43547952.97283452</v>
      </c>
      <c r="G282" s="53"/>
      <c r="H282" s="53"/>
      <c r="I282" s="5">
        <f>+IF(FINANCIACION[[#This Row],[$ CAPITAL]]&gt;0,FINANCIACION[[#This Row],[$ CAPITAL]])</f>
        <v>1549030</v>
      </c>
      <c r="J282" s="33">
        <f>+IF(FINANCIACION[[#This Row],[$ CAPITAL]]&gt;=0,FINANCIACION[[#This Row],[$ CAPITAL]]+FINANCIACION[[#This Row],[$ INTERESES]],0)</f>
        <v>2000000</v>
      </c>
    </row>
    <row r="283" spans="1:10" ht="24" hidden="1" customHeight="1" x14ac:dyDescent="0.25">
      <c r="A283" s="109">
        <v>45244</v>
      </c>
      <c r="B283" s="50" t="s">
        <v>364</v>
      </c>
      <c r="C283" s="5">
        <v>1564521</v>
      </c>
      <c r="D283" s="5">
        <v>435479</v>
      </c>
      <c r="E283" s="5">
        <f>+IF(FINANCIACION[[#This Row],[$ CAPITAL]]&gt;=0,FINANCIACION[[#This Row],[$ CAPITAL]]+FINANCIACION[[#This Row],[$ INTERESES]],"")</f>
        <v>2000000</v>
      </c>
      <c r="F283" s="5">
        <f>+SUMIFS(FINANCIACION[$ CAPITAL],FINANCIACION[Fecha],"&lt;="&amp;FINANCIACION[[#This Row],[Fecha]],FINANCIACION[PRESTAMO],FINANCIACION[[#This Row],[PRESTAMO]])</f>
        <v>-41983431.97283452</v>
      </c>
      <c r="G283" s="53"/>
      <c r="H283" s="53"/>
      <c r="I283" s="5">
        <f>+IF(FINANCIACION[[#This Row],[$ CAPITAL]]&gt;0,FINANCIACION[[#This Row],[$ CAPITAL]])</f>
        <v>1564521</v>
      </c>
      <c r="J283" s="33">
        <f>+IF(FINANCIACION[[#This Row],[$ CAPITAL]]&gt;=0,FINANCIACION[[#This Row],[$ CAPITAL]]+FINANCIACION[[#This Row],[$ INTERESES]],0)</f>
        <v>2000000</v>
      </c>
    </row>
    <row r="284" spans="1:10" ht="24" hidden="1" customHeight="1" x14ac:dyDescent="0.25">
      <c r="A284" s="109">
        <v>45271</v>
      </c>
      <c r="B284" s="303" t="s">
        <v>364</v>
      </c>
      <c r="C284" s="5">
        <v>1580166</v>
      </c>
      <c r="D284" s="5">
        <v>419834</v>
      </c>
      <c r="E284" s="5">
        <f>+IF(FINANCIACION[[#This Row],[$ CAPITAL]]&gt;=0,FINANCIACION[[#This Row],[$ CAPITAL]]+FINANCIACION[[#This Row],[$ INTERESES]],"")</f>
        <v>2000000</v>
      </c>
      <c r="F284" s="5">
        <f>+SUMIFS(FINANCIACION[$ CAPITAL],FINANCIACION[Fecha],"&lt;="&amp;FINANCIACION[[#This Row],[Fecha]],FINANCIACION[PRESTAMO],FINANCIACION[[#This Row],[PRESTAMO]])</f>
        <v>-40403265.97283452</v>
      </c>
      <c r="G284" s="53"/>
      <c r="H284" s="53"/>
      <c r="I284" s="5">
        <f>+IF(FINANCIACION[[#This Row],[$ CAPITAL]]&gt;0,FINANCIACION[[#This Row],[$ CAPITAL]])</f>
        <v>1580166</v>
      </c>
      <c r="J284" s="33">
        <f>+IF(FINANCIACION[[#This Row],[$ CAPITAL]]&gt;=0,FINANCIACION[[#This Row],[$ CAPITAL]]+FINANCIACION[[#This Row],[$ INTERESES]],0)</f>
        <v>2000000</v>
      </c>
    </row>
    <row r="285" spans="1:10" ht="24" hidden="1" customHeight="1" x14ac:dyDescent="0.25">
      <c r="A285" s="109">
        <v>45302</v>
      </c>
      <c r="B285" s="50" t="s">
        <v>364</v>
      </c>
      <c r="C285" s="5">
        <v>1595967.3402716548</v>
      </c>
      <c r="D285" s="5">
        <v>404032.65972834529</v>
      </c>
      <c r="E285" s="5">
        <f>+IF(FINANCIACION[[#This Row],[$ CAPITAL]]&gt;=0,FINANCIACION[[#This Row],[$ CAPITAL]]+FINANCIACION[[#This Row],[$ INTERESES]],"")</f>
        <v>2000000</v>
      </c>
      <c r="F285" s="5">
        <f>+SUMIFS(FINANCIACION[$ CAPITAL],FINANCIACION[Fecha],"&lt;="&amp;FINANCIACION[[#This Row],[Fecha]],FINANCIACION[PRESTAMO],FINANCIACION[[#This Row],[PRESTAMO]])</f>
        <v>-38807298.632562868</v>
      </c>
      <c r="G285" s="53"/>
      <c r="H285" s="53"/>
      <c r="I285" s="5">
        <f>+IF(FINANCIACION[[#This Row],[$ CAPITAL]]&gt;0,FINANCIACION[[#This Row],[$ CAPITAL]])</f>
        <v>1595967.3402716548</v>
      </c>
      <c r="J285" s="33">
        <f>+IF(FINANCIACION[[#This Row],[$ CAPITAL]]&gt;=0,FINANCIACION[[#This Row],[$ CAPITAL]]+FINANCIACION[[#This Row],[$ INTERESES]],0)</f>
        <v>2000000</v>
      </c>
    </row>
    <row r="286" spans="1:10" ht="24" hidden="1" customHeight="1" x14ac:dyDescent="0.25">
      <c r="A286" s="109">
        <v>44729</v>
      </c>
      <c r="B286" s="50" t="s">
        <v>374</v>
      </c>
      <c r="C286" s="5">
        <v>-50000000</v>
      </c>
      <c r="D286" s="5"/>
      <c r="E286" s="5" t="str">
        <f>+IF(FINANCIACION[[#This Row],[$ CAPITAL]]&gt;=0,FINANCIACION[[#This Row],[$ CAPITAL]]+FINANCIACION[[#This Row],[$ INTERESES]],"")</f>
        <v/>
      </c>
      <c r="F286" s="5">
        <f>+SUMIFS(FINANCIACION[$ CAPITAL],FINANCIACION[Fecha],"&lt;="&amp;FINANCIACION[[#This Row],[Fecha]],FINANCIACION[PRESTAMO],FINANCIACION[[#This Row],[PRESTAMO]])</f>
        <v>-50000000</v>
      </c>
      <c r="G286" s="53" t="s">
        <v>450</v>
      </c>
      <c r="H286" s="53"/>
      <c r="I286" s="5" t="b">
        <f>+IF(FINANCIACION[[#This Row],[$ CAPITAL]]&gt;0,FINANCIACION[[#This Row],[$ CAPITAL]])</f>
        <v>0</v>
      </c>
      <c r="J286" s="33">
        <f>+IF(FINANCIACION[[#This Row],[$ CAPITAL]]&gt;=0,FINANCIACION[[#This Row],[$ CAPITAL]]+FINANCIACION[[#This Row],[$ INTERESES]],0)</f>
        <v>0</v>
      </c>
    </row>
    <row r="287" spans="1:10" ht="24" hidden="1" customHeight="1" x14ac:dyDescent="0.25">
      <c r="A287" s="109">
        <v>44762</v>
      </c>
      <c r="B287" s="50" t="s">
        <v>374</v>
      </c>
      <c r="C287" s="5"/>
      <c r="D287" s="5">
        <v>500000</v>
      </c>
      <c r="E287" s="5">
        <f>+IF(FINANCIACION[[#This Row],[$ CAPITAL]]&gt;=0,FINANCIACION[[#This Row],[$ CAPITAL]]+FINANCIACION[[#This Row],[$ INTERESES]],"")</f>
        <v>500000</v>
      </c>
      <c r="F287" s="5">
        <f>+SUMIFS(FINANCIACION[$ CAPITAL],FINANCIACION[Fecha],"&lt;="&amp;FINANCIACION[[#This Row],[Fecha]],FINANCIACION[PRESTAMO],FINANCIACION[[#This Row],[PRESTAMO]])</f>
        <v>-50000000</v>
      </c>
      <c r="G287" s="53"/>
      <c r="H287" s="53"/>
      <c r="I287" s="5" t="b">
        <f>+IF(FINANCIACION[[#This Row],[$ CAPITAL]]&gt;0,FINANCIACION[[#This Row],[$ CAPITAL]])</f>
        <v>0</v>
      </c>
      <c r="J287" s="33">
        <f>+IF(FINANCIACION[[#This Row],[$ CAPITAL]]&gt;=0,FINANCIACION[[#This Row],[$ CAPITAL]]+FINANCIACION[[#This Row],[$ INTERESES]],0)</f>
        <v>500000</v>
      </c>
    </row>
    <row r="288" spans="1:10" ht="24" hidden="1" customHeight="1" x14ac:dyDescent="0.25">
      <c r="A288" s="109">
        <v>44783</v>
      </c>
      <c r="B288" s="50" t="s">
        <v>374</v>
      </c>
      <c r="C288" s="5"/>
      <c r="D288" s="5">
        <v>500000</v>
      </c>
      <c r="E288" s="5">
        <f>+IF(FINANCIACION[[#This Row],[$ CAPITAL]]&gt;=0,FINANCIACION[[#This Row],[$ CAPITAL]]+FINANCIACION[[#This Row],[$ INTERESES]],"")</f>
        <v>500000</v>
      </c>
      <c r="F288" s="5">
        <f>+SUMIFS(FINANCIACION[$ CAPITAL],FINANCIACION[Fecha],"&lt;="&amp;FINANCIACION[[#This Row],[Fecha]],FINANCIACION[PRESTAMO],FINANCIACION[[#This Row],[PRESTAMO]])</f>
        <v>-50000000</v>
      </c>
      <c r="G288" s="53"/>
      <c r="H288" s="53"/>
      <c r="I288" s="5" t="b">
        <f>+IF(FINANCIACION[[#This Row],[$ CAPITAL]]&gt;0,FINANCIACION[[#This Row],[$ CAPITAL]])</f>
        <v>0</v>
      </c>
      <c r="J288" s="33">
        <f>+IF(FINANCIACION[[#This Row],[$ CAPITAL]]&gt;=0,FINANCIACION[[#This Row],[$ CAPITAL]]+FINANCIACION[[#This Row],[$ INTERESES]],0)</f>
        <v>500000</v>
      </c>
    </row>
    <row r="289" spans="1:10" ht="24" hidden="1" customHeight="1" x14ac:dyDescent="0.25">
      <c r="A289" s="109">
        <v>44823</v>
      </c>
      <c r="B289" s="50" t="s">
        <v>374</v>
      </c>
      <c r="C289" s="5"/>
      <c r="D289" s="5">
        <v>500000</v>
      </c>
      <c r="E289" s="5">
        <f>+IF(FINANCIACION[[#This Row],[$ CAPITAL]]&gt;=0,FINANCIACION[[#This Row],[$ CAPITAL]]+FINANCIACION[[#This Row],[$ INTERESES]],"")</f>
        <v>500000</v>
      </c>
      <c r="F289" s="5">
        <f>+SUMIFS(FINANCIACION[$ CAPITAL],FINANCIACION[Fecha],"&lt;="&amp;FINANCIACION[[#This Row],[Fecha]],FINANCIACION[PRESTAMO],FINANCIACION[[#This Row],[PRESTAMO]])</f>
        <v>-50000000</v>
      </c>
      <c r="G289" s="53"/>
      <c r="H289" s="53"/>
      <c r="I289" s="5" t="b">
        <f>+IF(FINANCIACION[[#This Row],[$ CAPITAL]]&gt;0,FINANCIACION[[#This Row],[$ CAPITAL]])</f>
        <v>0</v>
      </c>
      <c r="J289" s="33">
        <f>+IF(FINANCIACION[[#This Row],[$ CAPITAL]]&gt;=0,FINANCIACION[[#This Row],[$ CAPITAL]]+FINANCIACION[[#This Row],[$ INTERESES]],0)</f>
        <v>500000</v>
      </c>
    </row>
    <row r="290" spans="1:10" ht="24" hidden="1" customHeight="1" x14ac:dyDescent="0.25">
      <c r="A290" s="109">
        <v>44844</v>
      </c>
      <c r="B290" s="50" t="s">
        <v>374</v>
      </c>
      <c r="C290" s="5">
        <v>-25000000</v>
      </c>
      <c r="D290" s="5"/>
      <c r="E290" s="5" t="str">
        <f>+IF(FINANCIACION[[#This Row],[$ CAPITAL]]&gt;=0,FINANCIACION[[#This Row],[$ CAPITAL]]+FINANCIACION[[#This Row],[$ INTERESES]],"")</f>
        <v/>
      </c>
      <c r="F290" s="5">
        <f>+SUMIFS(FINANCIACION[$ CAPITAL],FINANCIACION[Fecha],"&lt;="&amp;FINANCIACION[[#This Row],[Fecha]],FINANCIACION[PRESTAMO],FINANCIACION[[#This Row],[PRESTAMO]])</f>
        <v>-75000000</v>
      </c>
      <c r="G290" s="53" t="s">
        <v>531</v>
      </c>
      <c r="H290" s="53"/>
      <c r="I290" s="5" t="b">
        <f>+IF(FINANCIACION[[#This Row],[$ CAPITAL]]&gt;0,FINANCIACION[[#This Row],[$ CAPITAL]])</f>
        <v>0</v>
      </c>
      <c r="J290" s="33">
        <f>+IF(FINANCIACION[[#This Row],[$ CAPITAL]]&gt;=0,FINANCIACION[[#This Row],[$ CAPITAL]]+FINANCIACION[[#This Row],[$ INTERESES]],0)</f>
        <v>0</v>
      </c>
    </row>
    <row r="291" spans="1:10" ht="24" hidden="1" customHeight="1" x14ac:dyDescent="0.25">
      <c r="A291" s="109">
        <v>44846</v>
      </c>
      <c r="B291" s="50" t="s">
        <v>374</v>
      </c>
      <c r="C291" s="5"/>
      <c r="D291" s="5">
        <v>500000</v>
      </c>
      <c r="E291" s="5">
        <f>+IF(FINANCIACION[[#This Row],[$ CAPITAL]]&gt;=0,FINANCIACION[[#This Row],[$ CAPITAL]]+FINANCIACION[[#This Row],[$ INTERESES]],"")</f>
        <v>500000</v>
      </c>
      <c r="F291" s="5">
        <f>+SUMIFS(FINANCIACION[$ CAPITAL],FINANCIACION[Fecha],"&lt;="&amp;FINANCIACION[[#This Row],[Fecha]],FINANCIACION[PRESTAMO],FINANCIACION[[#This Row],[PRESTAMO]])</f>
        <v>-75000000</v>
      </c>
      <c r="G291" s="53"/>
      <c r="H291" s="53"/>
      <c r="I291" s="5" t="b">
        <f>+IF(FINANCIACION[[#This Row],[$ CAPITAL]]&gt;0,FINANCIACION[[#This Row],[$ CAPITAL]])</f>
        <v>0</v>
      </c>
      <c r="J291" s="33">
        <f>+IF(FINANCIACION[[#This Row],[$ CAPITAL]]&gt;=0,FINANCIACION[[#This Row],[$ CAPITAL]]+FINANCIACION[[#This Row],[$ INTERESES]],0)</f>
        <v>500000</v>
      </c>
    </row>
    <row r="292" spans="1:10" ht="24" hidden="1" customHeight="1" x14ac:dyDescent="0.25">
      <c r="A292" s="109">
        <v>44876</v>
      </c>
      <c r="B292" s="50" t="s">
        <v>374</v>
      </c>
      <c r="C292" s="5"/>
      <c r="D292" s="5">
        <v>750000</v>
      </c>
      <c r="E292" s="5">
        <f>+IF(FINANCIACION[[#This Row],[$ CAPITAL]]&gt;=0,FINANCIACION[[#This Row],[$ CAPITAL]]+FINANCIACION[[#This Row],[$ INTERESES]],"")</f>
        <v>750000</v>
      </c>
      <c r="F292" s="5">
        <f>+SUMIFS(FINANCIACION[$ CAPITAL],FINANCIACION[Fecha],"&lt;="&amp;FINANCIACION[[#This Row],[Fecha]],FINANCIACION[PRESTAMO],FINANCIACION[[#This Row],[PRESTAMO]])</f>
        <v>-75000000</v>
      </c>
      <c r="G292" s="53"/>
      <c r="H292" s="53"/>
      <c r="I292" s="5" t="b">
        <f>+IF(FINANCIACION[[#This Row],[$ CAPITAL]]&gt;0,FINANCIACION[[#This Row],[$ CAPITAL]])</f>
        <v>0</v>
      </c>
      <c r="J292" s="33">
        <f>+IF(FINANCIACION[[#This Row],[$ CAPITAL]]&gt;=0,FINANCIACION[[#This Row],[$ CAPITAL]]+FINANCIACION[[#This Row],[$ INTERESES]],0)</f>
        <v>750000</v>
      </c>
    </row>
    <row r="293" spans="1:10" ht="24" hidden="1" customHeight="1" x14ac:dyDescent="0.25">
      <c r="A293" s="109">
        <v>44909</v>
      </c>
      <c r="B293" s="50" t="s">
        <v>374</v>
      </c>
      <c r="C293" s="5"/>
      <c r="D293" s="5">
        <v>750000</v>
      </c>
      <c r="E293" s="5">
        <f>+IF(FINANCIACION[[#This Row],[$ CAPITAL]]&gt;=0,FINANCIACION[[#This Row],[$ CAPITAL]]+FINANCIACION[[#This Row],[$ INTERESES]],"")</f>
        <v>750000</v>
      </c>
      <c r="F293" s="5">
        <f>+SUMIFS(FINANCIACION[$ CAPITAL],FINANCIACION[Fecha],"&lt;="&amp;FINANCIACION[[#This Row],[Fecha]],FINANCIACION[PRESTAMO],FINANCIACION[[#This Row],[PRESTAMO]])</f>
        <v>-75000000</v>
      </c>
      <c r="G293" s="53"/>
      <c r="H293" s="53"/>
      <c r="I293" s="5" t="b">
        <f>+IF(FINANCIACION[[#This Row],[$ CAPITAL]]&gt;0,FINANCIACION[[#This Row],[$ CAPITAL]])</f>
        <v>0</v>
      </c>
      <c r="J293" s="33">
        <f>+IF(FINANCIACION[[#This Row],[$ CAPITAL]]&gt;=0,FINANCIACION[[#This Row],[$ CAPITAL]]+FINANCIACION[[#This Row],[$ INTERESES]],0)</f>
        <v>750000</v>
      </c>
    </row>
    <row r="294" spans="1:10" ht="24" hidden="1" customHeight="1" x14ac:dyDescent="0.25">
      <c r="A294" s="109">
        <v>44938</v>
      </c>
      <c r="B294" s="50" t="s">
        <v>374</v>
      </c>
      <c r="C294" s="5"/>
      <c r="D294" s="5">
        <v>750000</v>
      </c>
      <c r="E294" s="5">
        <f>+IF(FINANCIACION[[#This Row],[$ CAPITAL]]&gt;=0,FINANCIACION[[#This Row],[$ CAPITAL]]+FINANCIACION[[#This Row],[$ INTERESES]],"")</f>
        <v>750000</v>
      </c>
      <c r="F294" s="5">
        <f>+SUMIFS(FINANCIACION[$ CAPITAL],FINANCIACION[Fecha],"&lt;="&amp;FINANCIACION[[#This Row],[Fecha]],FINANCIACION[PRESTAMO],FINANCIACION[[#This Row],[PRESTAMO]])</f>
        <v>-75000000</v>
      </c>
      <c r="G294" s="53"/>
      <c r="H294" s="53"/>
      <c r="I294" s="5" t="b">
        <f>+IF(FINANCIACION[[#This Row],[$ CAPITAL]]&gt;0,FINANCIACION[[#This Row],[$ CAPITAL]])</f>
        <v>0</v>
      </c>
      <c r="J294" s="33">
        <f>+IF(FINANCIACION[[#This Row],[$ CAPITAL]]&gt;=0,FINANCIACION[[#This Row],[$ CAPITAL]]+FINANCIACION[[#This Row],[$ INTERESES]],0)</f>
        <v>750000</v>
      </c>
    </row>
    <row r="295" spans="1:10" ht="24" hidden="1" customHeight="1" x14ac:dyDescent="0.25">
      <c r="A295" s="109">
        <v>44970</v>
      </c>
      <c r="B295" s="50" t="s">
        <v>374</v>
      </c>
      <c r="C295" s="5"/>
      <c r="D295" s="5">
        <v>750000</v>
      </c>
      <c r="E295" s="5">
        <f>+IF(FINANCIACION[[#This Row],[$ CAPITAL]]&gt;=0,FINANCIACION[[#This Row],[$ CAPITAL]]+FINANCIACION[[#This Row],[$ INTERESES]],"")</f>
        <v>750000</v>
      </c>
      <c r="F295" s="5">
        <f>+SUMIFS(FINANCIACION[$ CAPITAL],FINANCIACION[Fecha],"&lt;="&amp;FINANCIACION[[#This Row],[Fecha]],FINANCIACION[PRESTAMO],FINANCIACION[[#This Row],[PRESTAMO]])</f>
        <v>-75000000</v>
      </c>
      <c r="G295" s="53"/>
      <c r="H295" s="53"/>
      <c r="I295" s="5" t="b">
        <f>+IF(FINANCIACION[[#This Row],[$ CAPITAL]]&gt;0,FINANCIACION[[#This Row],[$ CAPITAL]])</f>
        <v>0</v>
      </c>
      <c r="J295" s="33">
        <f>+IF(FINANCIACION[[#This Row],[$ CAPITAL]]&gt;=0,FINANCIACION[[#This Row],[$ CAPITAL]]+FINANCIACION[[#This Row],[$ INTERESES]],0)</f>
        <v>750000</v>
      </c>
    </row>
    <row r="296" spans="1:10" ht="24" hidden="1" customHeight="1" x14ac:dyDescent="0.25">
      <c r="A296" s="109">
        <v>45012</v>
      </c>
      <c r="B296" s="50" t="s">
        <v>374</v>
      </c>
      <c r="C296" s="5"/>
      <c r="D296" s="5">
        <v>750000</v>
      </c>
      <c r="E296" s="5">
        <f>+IF(FINANCIACION[[#This Row],[$ CAPITAL]]&gt;=0,FINANCIACION[[#This Row],[$ CAPITAL]]+FINANCIACION[[#This Row],[$ INTERESES]],"")</f>
        <v>750000</v>
      </c>
      <c r="F296" s="5">
        <f>+SUMIFS(FINANCIACION[$ CAPITAL],FINANCIACION[Fecha],"&lt;="&amp;FINANCIACION[[#This Row],[Fecha]],FINANCIACION[PRESTAMO],FINANCIACION[[#This Row],[PRESTAMO]])</f>
        <v>-75000000</v>
      </c>
      <c r="G296" s="53"/>
      <c r="H296" s="53"/>
      <c r="I296" s="5" t="b">
        <f>+IF(FINANCIACION[[#This Row],[$ CAPITAL]]&gt;0,FINANCIACION[[#This Row],[$ CAPITAL]])</f>
        <v>0</v>
      </c>
      <c r="J296" s="33">
        <f>+IF(FINANCIACION[[#This Row],[$ CAPITAL]]&gt;=0,FINANCIACION[[#This Row],[$ CAPITAL]]+FINANCIACION[[#This Row],[$ INTERESES]],0)</f>
        <v>750000</v>
      </c>
    </row>
    <row r="297" spans="1:10" ht="24" hidden="1" customHeight="1" x14ac:dyDescent="0.25">
      <c r="A297" s="109">
        <v>45026</v>
      </c>
      <c r="B297" s="50" t="s">
        <v>374</v>
      </c>
      <c r="C297" s="5"/>
      <c r="D297" s="5">
        <v>750000</v>
      </c>
      <c r="E297" s="5">
        <f>+IF(FINANCIACION[[#This Row],[$ CAPITAL]]&gt;=0,FINANCIACION[[#This Row],[$ CAPITAL]]+FINANCIACION[[#This Row],[$ INTERESES]],"")</f>
        <v>750000</v>
      </c>
      <c r="F297" s="5">
        <f>+SUMIFS(FINANCIACION[$ CAPITAL],FINANCIACION[Fecha],"&lt;="&amp;FINANCIACION[[#This Row],[Fecha]],FINANCIACION[PRESTAMO],FINANCIACION[[#This Row],[PRESTAMO]])</f>
        <v>-75000000</v>
      </c>
      <c r="G297" s="53"/>
      <c r="H297" s="53"/>
      <c r="I297" s="5" t="b">
        <f>+IF(FINANCIACION[[#This Row],[$ CAPITAL]]&gt;0,FINANCIACION[[#This Row],[$ CAPITAL]])</f>
        <v>0</v>
      </c>
      <c r="J297" s="33">
        <f>+IF(FINANCIACION[[#This Row],[$ CAPITAL]]&gt;=0,FINANCIACION[[#This Row],[$ CAPITAL]]+FINANCIACION[[#This Row],[$ INTERESES]],0)</f>
        <v>750000</v>
      </c>
    </row>
    <row r="298" spans="1:10" ht="24" hidden="1" customHeight="1" x14ac:dyDescent="0.25">
      <c r="A298" s="109">
        <v>45055</v>
      </c>
      <c r="B298" s="50" t="s">
        <v>374</v>
      </c>
      <c r="C298" s="5"/>
      <c r="D298" s="5">
        <v>750000</v>
      </c>
      <c r="E298" s="5">
        <f>+IF(FINANCIACION[[#This Row],[$ CAPITAL]]&gt;=0,FINANCIACION[[#This Row],[$ CAPITAL]]+FINANCIACION[[#This Row],[$ INTERESES]],"")</f>
        <v>750000</v>
      </c>
      <c r="F298" s="5">
        <f>+SUMIFS(FINANCIACION[$ CAPITAL],FINANCIACION[Fecha],"&lt;="&amp;FINANCIACION[[#This Row],[Fecha]],FINANCIACION[PRESTAMO],FINANCIACION[[#This Row],[PRESTAMO]])</f>
        <v>-75000000</v>
      </c>
      <c r="G298" s="53"/>
      <c r="H298" s="53"/>
      <c r="I298" s="5" t="b">
        <f>+IF(FINANCIACION[[#This Row],[$ CAPITAL]]&gt;0,FINANCIACION[[#This Row],[$ CAPITAL]])</f>
        <v>0</v>
      </c>
      <c r="J298" s="33">
        <f>+IF(FINANCIACION[[#This Row],[$ CAPITAL]]&gt;=0,FINANCIACION[[#This Row],[$ CAPITAL]]+FINANCIACION[[#This Row],[$ INTERESES]],0)</f>
        <v>750000</v>
      </c>
    </row>
    <row r="299" spans="1:10" ht="24" hidden="1" customHeight="1" x14ac:dyDescent="0.25">
      <c r="A299" s="109">
        <v>45100</v>
      </c>
      <c r="B299" s="50" t="s">
        <v>374</v>
      </c>
      <c r="C299" s="5"/>
      <c r="D299" s="5">
        <v>750000</v>
      </c>
      <c r="E299" s="5">
        <f>+IF(FINANCIACION[[#This Row],[$ CAPITAL]]&gt;=0,FINANCIACION[[#This Row],[$ CAPITAL]]+FINANCIACION[[#This Row],[$ INTERESES]],"")</f>
        <v>750000</v>
      </c>
      <c r="F299" s="5">
        <f>+SUMIFS(FINANCIACION[$ CAPITAL],FINANCIACION[Fecha],"&lt;="&amp;FINANCIACION[[#This Row],[Fecha]],FINANCIACION[PRESTAMO],FINANCIACION[[#This Row],[PRESTAMO]])</f>
        <v>-75000000</v>
      </c>
      <c r="G299" s="53"/>
      <c r="H299" s="53"/>
      <c r="I299" s="5" t="b">
        <f>+IF(FINANCIACION[[#This Row],[$ CAPITAL]]&gt;0,FINANCIACION[[#This Row],[$ CAPITAL]])</f>
        <v>0</v>
      </c>
      <c r="J299" s="33">
        <f>+IF(FINANCIACION[[#This Row],[$ CAPITAL]]&gt;=0,FINANCIACION[[#This Row],[$ CAPITAL]]+FINANCIACION[[#This Row],[$ INTERESES]],0)</f>
        <v>750000</v>
      </c>
    </row>
    <row r="300" spans="1:10" ht="24" hidden="1" customHeight="1" x14ac:dyDescent="0.25">
      <c r="A300" s="109">
        <v>45125</v>
      </c>
      <c r="B300" s="50" t="s">
        <v>374</v>
      </c>
      <c r="C300" s="5"/>
      <c r="D300" s="5">
        <v>750000</v>
      </c>
      <c r="E300" s="5">
        <f>+IF(FINANCIACION[[#This Row],[$ CAPITAL]]&gt;=0,FINANCIACION[[#This Row],[$ CAPITAL]]+FINANCIACION[[#This Row],[$ INTERESES]],"")</f>
        <v>750000</v>
      </c>
      <c r="F300" s="5">
        <f>+SUMIFS(FINANCIACION[$ CAPITAL],FINANCIACION[Fecha],"&lt;="&amp;FINANCIACION[[#This Row],[Fecha]],FINANCIACION[PRESTAMO],FINANCIACION[[#This Row],[PRESTAMO]])</f>
        <v>-75000000</v>
      </c>
      <c r="G300" s="53"/>
      <c r="H300" s="53"/>
      <c r="I300" s="5" t="b">
        <f>+IF(FINANCIACION[[#This Row],[$ CAPITAL]]&gt;0,FINANCIACION[[#This Row],[$ CAPITAL]])</f>
        <v>0</v>
      </c>
      <c r="J300" s="33">
        <f>+IF(FINANCIACION[[#This Row],[$ CAPITAL]]&gt;=0,FINANCIACION[[#This Row],[$ CAPITAL]]+FINANCIACION[[#This Row],[$ INTERESES]],0)</f>
        <v>750000</v>
      </c>
    </row>
    <row r="301" spans="1:10" ht="24" hidden="1" customHeight="1" x14ac:dyDescent="0.25">
      <c r="A301" s="109">
        <v>45155</v>
      </c>
      <c r="B301" s="50" t="s">
        <v>374</v>
      </c>
      <c r="C301" s="5"/>
      <c r="D301" s="5">
        <v>750000</v>
      </c>
      <c r="E301" s="5">
        <f>+IF(FINANCIACION[[#This Row],[$ CAPITAL]]&gt;=0,FINANCIACION[[#This Row],[$ CAPITAL]]+FINANCIACION[[#This Row],[$ INTERESES]],"")</f>
        <v>750000</v>
      </c>
      <c r="F301" s="5">
        <f>+SUMIFS(FINANCIACION[$ CAPITAL],FINANCIACION[Fecha],"&lt;="&amp;FINANCIACION[[#This Row],[Fecha]],FINANCIACION[PRESTAMO],FINANCIACION[[#This Row],[PRESTAMO]])</f>
        <v>-75000000</v>
      </c>
      <c r="G301" s="53"/>
      <c r="H301" s="53"/>
      <c r="I301" s="5" t="b">
        <f>+IF(FINANCIACION[[#This Row],[$ CAPITAL]]&gt;0,FINANCIACION[[#This Row],[$ CAPITAL]])</f>
        <v>0</v>
      </c>
      <c r="J301" s="33">
        <f>+IF(FINANCIACION[[#This Row],[$ CAPITAL]]&gt;=0,FINANCIACION[[#This Row],[$ CAPITAL]]+FINANCIACION[[#This Row],[$ INTERESES]],0)</f>
        <v>750000</v>
      </c>
    </row>
    <row r="302" spans="1:10" ht="24" hidden="1" customHeight="1" x14ac:dyDescent="0.25">
      <c r="A302" s="109">
        <v>45190</v>
      </c>
      <c r="B302" s="50" t="s">
        <v>374</v>
      </c>
      <c r="C302" s="5"/>
      <c r="D302" s="5">
        <v>750000</v>
      </c>
      <c r="E302" s="5">
        <f>+IF(FINANCIACION[[#This Row],[$ CAPITAL]]&gt;=0,FINANCIACION[[#This Row],[$ CAPITAL]]+FINANCIACION[[#This Row],[$ INTERESES]],"")</f>
        <v>750000</v>
      </c>
      <c r="F302" s="5">
        <f>+SUMIFS(FINANCIACION[$ CAPITAL],FINANCIACION[Fecha],"&lt;="&amp;FINANCIACION[[#This Row],[Fecha]],FINANCIACION[PRESTAMO],FINANCIACION[[#This Row],[PRESTAMO]])</f>
        <v>-75000000</v>
      </c>
      <c r="G302" s="53"/>
      <c r="H302" s="53"/>
      <c r="I302" s="5" t="b">
        <f>+IF(FINANCIACION[[#This Row],[$ CAPITAL]]&gt;0,FINANCIACION[[#This Row],[$ CAPITAL]])</f>
        <v>0</v>
      </c>
      <c r="J302" s="33">
        <f>+IF(FINANCIACION[[#This Row],[$ CAPITAL]]&gt;=0,FINANCIACION[[#This Row],[$ CAPITAL]]+FINANCIACION[[#This Row],[$ INTERESES]],0)</f>
        <v>750000</v>
      </c>
    </row>
    <row r="303" spans="1:10" ht="24" hidden="1" customHeight="1" x14ac:dyDescent="0.25">
      <c r="A303" s="109">
        <v>45197</v>
      </c>
      <c r="B303" s="50" t="s">
        <v>374</v>
      </c>
      <c r="C303" s="5">
        <v>-65000000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-140000000</v>
      </c>
      <c r="G303" s="53"/>
      <c r="H303" s="53"/>
      <c r="I303" s="5" t="b">
        <f>+IF(FINANCIACION[[#This Row],[$ CAPITAL]]&gt;0,FINANCIACION[[#This Row],[$ CAPITAL]])</f>
        <v>0</v>
      </c>
      <c r="J303" s="33">
        <f>+IF(FINANCIACION[[#This Row],[$ CAPITAL]]&gt;=0,FINANCIACION[[#This Row],[$ CAPITAL]]+FINANCIACION[[#This Row],[$ INTERESES]],0)</f>
        <v>0</v>
      </c>
    </row>
    <row r="304" spans="1:10" ht="24" hidden="1" customHeight="1" x14ac:dyDescent="0.25">
      <c r="A304" s="109">
        <v>45222</v>
      </c>
      <c r="B304" s="50" t="s">
        <v>374</v>
      </c>
      <c r="C304" s="5"/>
      <c r="D304" s="5">
        <v>1400000</v>
      </c>
      <c r="E304" s="5">
        <f>+IF(FINANCIACION[[#This Row],[$ CAPITAL]]&gt;=0,FINANCIACION[[#This Row],[$ CAPITAL]]+FINANCIACION[[#This Row],[$ INTERESES]],"")</f>
        <v>1400000</v>
      </c>
      <c r="F304" s="5">
        <f>+SUMIFS(FINANCIACION[$ CAPITAL],FINANCIACION[Fecha],"&lt;="&amp;FINANCIACION[[#This Row],[Fecha]],FINANCIACION[PRESTAMO],FINANCIACION[[#This Row],[PRESTAMO]])</f>
        <v>-140000000</v>
      </c>
      <c r="G304" s="53"/>
      <c r="H304" s="53"/>
      <c r="I304" s="5" t="b">
        <f>+IF(FINANCIACION[[#This Row],[$ CAPITAL]]&gt;0,FINANCIACION[[#This Row],[$ CAPITAL]])</f>
        <v>0</v>
      </c>
      <c r="J304" s="33">
        <f>+IF(FINANCIACION[[#This Row],[$ CAPITAL]]&gt;=0,FINANCIACION[[#This Row],[$ CAPITAL]]+FINANCIACION[[#This Row],[$ INTERESES]],0)</f>
        <v>1400000</v>
      </c>
    </row>
    <row r="305" spans="1:10" ht="24" hidden="1" customHeight="1" x14ac:dyDescent="0.25">
      <c r="A305" s="109">
        <v>45251</v>
      </c>
      <c r="B305" s="50" t="s">
        <v>374</v>
      </c>
      <c r="C305" s="5"/>
      <c r="D305" s="5">
        <v>1400000</v>
      </c>
      <c r="E305" s="5">
        <f>+IF(FINANCIACION[[#This Row],[$ CAPITAL]]&gt;=0,FINANCIACION[[#This Row],[$ CAPITAL]]+FINANCIACION[[#This Row],[$ INTERESES]],"")</f>
        <v>1400000</v>
      </c>
      <c r="F305" s="5">
        <f>+SUMIFS(FINANCIACION[$ CAPITAL],FINANCIACION[Fecha],"&lt;="&amp;FINANCIACION[[#This Row],[Fecha]],FINANCIACION[PRESTAMO],FINANCIACION[[#This Row],[PRESTAMO]])</f>
        <v>-140000000</v>
      </c>
      <c r="G305" s="53"/>
      <c r="H305" s="53"/>
      <c r="I305" s="5" t="b">
        <f>+IF(FINANCIACION[[#This Row],[$ CAPITAL]]&gt;0,FINANCIACION[[#This Row],[$ CAPITAL]])</f>
        <v>0</v>
      </c>
      <c r="J305" s="33">
        <f>+IF(FINANCIACION[[#This Row],[$ CAPITAL]]&gt;=0,FINANCIACION[[#This Row],[$ CAPITAL]]+FINANCIACION[[#This Row],[$ INTERESES]],0)</f>
        <v>1400000</v>
      </c>
    </row>
    <row r="306" spans="1:10" ht="24" hidden="1" customHeight="1" x14ac:dyDescent="0.25">
      <c r="A306" s="109">
        <v>45281</v>
      </c>
      <c r="B306" s="50" t="s">
        <v>374</v>
      </c>
      <c r="C306" s="5"/>
      <c r="D306" s="5">
        <v>1400000</v>
      </c>
      <c r="E306" s="5">
        <f>+IF(FINANCIACION[[#This Row],[$ CAPITAL]]&gt;=0,FINANCIACION[[#This Row],[$ CAPITAL]]+FINANCIACION[[#This Row],[$ INTERESES]],"")</f>
        <v>1400000</v>
      </c>
      <c r="F306" s="5">
        <f>+SUMIFS(FINANCIACION[$ CAPITAL],FINANCIACION[Fecha],"&lt;="&amp;FINANCIACION[[#This Row],[Fecha]],FINANCIACION[PRESTAMO],FINANCIACION[[#This Row],[PRESTAMO]])</f>
        <v>-140000000</v>
      </c>
      <c r="G306" s="53"/>
      <c r="H306" s="53"/>
      <c r="I306" s="5" t="b">
        <f>+IF(FINANCIACION[[#This Row],[$ CAPITAL]]&gt;0,FINANCIACION[[#This Row],[$ CAPITAL]])</f>
        <v>0</v>
      </c>
      <c r="J306" s="33">
        <f>+IF(FINANCIACION[[#This Row],[$ CAPITAL]]&gt;=0,FINANCIACION[[#This Row],[$ CAPITAL]]+FINANCIACION[[#This Row],[$ INTERESES]],0)</f>
        <v>1400000</v>
      </c>
    </row>
    <row r="307" spans="1:10" ht="24" hidden="1" customHeight="1" x14ac:dyDescent="0.25">
      <c r="A307" s="298">
        <v>44073</v>
      </c>
      <c r="B307" s="50" t="s">
        <v>368</v>
      </c>
      <c r="C307" s="5">
        <v>-8000000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-8000000</v>
      </c>
      <c r="G307" s="7"/>
      <c r="H307" s="53"/>
      <c r="I307" s="5" t="b">
        <f>IF(FINANCIACION[[#This Row],[$ CAPITAL]]&gt;0,FINANCIACION[[#This Row],[$ CAPITAL]])</f>
        <v>0</v>
      </c>
      <c r="J307" s="8">
        <f>IF(FINANCIACION[[#This Row],[$ CAPITAL]]&gt;=0,FINANCIACION[[#This Row],[$ CAPITAL]]+FINANCIACION[[#This Row],[$ INTERESES]],0)</f>
        <v>0</v>
      </c>
    </row>
    <row r="308" spans="1:10" ht="24" hidden="1" customHeight="1" x14ac:dyDescent="0.25">
      <c r="A308" s="109">
        <v>44475</v>
      </c>
      <c r="B308" s="50" t="s">
        <v>368</v>
      </c>
      <c r="C308" s="5"/>
      <c r="D308" s="5">
        <v>640000</v>
      </c>
      <c r="E308" s="5">
        <f>+IF(FINANCIACION[[#This Row],[$ CAPITAL]]&gt;=0,FINANCIACION[[#This Row],[$ CAPITAL]]+FINANCIACION[[#This Row],[$ INTERESES]],"")</f>
        <v>640000</v>
      </c>
      <c r="F308" s="5">
        <f>+SUMIFS(FINANCIACION[$ CAPITAL],FINANCIACION[Fecha],"&lt;="&amp;FINANCIACION[[#This Row],[Fecha]],FINANCIACION[PRESTAMO],FINANCIACION[[#This Row],[PRESTAMO]])</f>
        <v>-8000000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640000</v>
      </c>
    </row>
    <row r="309" spans="1:10" ht="24" hidden="1" customHeight="1" x14ac:dyDescent="0.25">
      <c r="A309" s="109">
        <v>44722</v>
      </c>
      <c r="B309" s="50" t="s">
        <v>368</v>
      </c>
      <c r="C309" s="5"/>
      <c r="D309" s="5">
        <f>80000*12</f>
        <v>960000</v>
      </c>
      <c r="E309" s="5">
        <f>+IF(FINANCIACION[[#This Row],[$ CAPITAL]]&gt;=0,FINANCIACION[[#This Row],[$ CAPITAL]]+FINANCIACION[[#This Row],[$ INTERESES]],"")</f>
        <v>960000</v>
      </c>
      <c r="F309" s="5">
        <f>+SUMIFS(FINANCIACION[$ CAPITAL],FINANCIACION[Fecha],"&lt;="&amp;FINANCIACION[[#This Row],[Fecha]],FINANCIACION[PRESTAMO],FINANCIACION[[#This Row],[PRESTAMO]])</f>
        <v>-8000000</v>
      </c>
      <c r="G309" s="53"/>
      <c r="H309" s="53"/>
      <c r="I309" s="5" t="b">
        <f>+IF(FINANCIACION[[#This Row],[$ CAPITAL]]&gt;0,FINANCIACION[[#This Row],[$ CAPITAL]])</f>
        <v>0</v>
      </c>
      <c r="J309" s="33">
        <f>+IF(FINANCIACION[[#This Row],[$ CAPITAL]]&gt;=0,FINANCIACION[[#This Row],[$ CAPITAL]]+FINANCIACION[[#This Row],[$ INTERESES]],0)</f>
        <v>960000</v>
      </c>
    </row>
    <row r="310" spans="1:10" ht="24" hidden="1" customHeight="1" x14ac:dyDescent="0.25">
      <c r="A310" s="109">
        <v>45149</v>
      </c>
      <c r="B310" s="50" t="s">
        <v>368</v>
      </c>
      <c r="C310" s="5"/>
      <c r="D310" s="5">
        <v>960000</v>
      </c>
      <c r="E310" s="5">
        <f>+IF(FINANCIACION[[#This Row],[$ CAPITAL]]&gt;=0,FINANCIACION[[#This Row],[$ CAPITAL]]+FINANCIACION[[#This Row],[$ INTERESES]],"")</f>
        <v>960000</v>
      </c>
      <c r="F310" s="5">
        <f>+SUMIFS(FINANCIACION[$ CAPITAL],FINANCIACION[Fecha],"&lt;="&amp;FINANCIACION[[#This Row],[Fecha]],FINANCIACION[PRESTAMO],FINANCIACION[[#This Row],[PRESTAMO]])</f>
        <v>-8000000</v>
      </c>
      <c r="G310" s="53" t="s">
        <v>1088</v>
      </c>
      <c r="H310" s="53"/>
      <c r="I310" s="5" t="b">
        <f>+IF(FINANCIACION[[#This Row],[$ CAPITAL]]&gt;0,FINANCIACION[[#This Row],[$ CAPITAL]])</f>
        <v>0</v>
      </c>
      <c r="J310" s="33">
        <f>+IF(FINANCIACION[[#This Row],[$ CAPITAL]]&gt;=0,FINANCIACION[[#This Row],[$ CAPITAL]]+FINANCIACION[[#This Row],[$ INTERESES]],0)</f>
        <v>960000</v>
      </c>
    </row>
    <row r="311" spans="1:10" ht="24" hidden="1" customHeight="1" x14ac:dyDescent="0.25">
      <c r="A311" s="109">
        <v>44301</v>
      </c>
      <c r="B311" s="50" t="s">
        <v>370</v>
      </c>
      <c r="C311" s="5">
        <v>-12000000</v>
      </c>
      <c r="D311" s="5"/>
      <c r="E311" s="5" t="str">
        <f>+IF(FINANCIACION[[#This Row],[$ CAPITAL]]&gt;=0,FINANCIACION[[#This Row],[$ CAPITAL]]+FINANCIACION[[#This Row],[$ INTERESES]],"")</f>
        <v/>
      </c>
      <c r="F311" s="5">
        <f>+SUMIFS(FINANCIACION[$ CAPITAL],FINANCIACION[Fecha],"&lt;="&amp;FINANCIACION[[#This Row],[Fecha]],FINANCIACION[PRESTAMO],FINANCIACION[[#This Row],[PRESTAMO]])</f>
        <v>-12000000</v>
      </c>
      <c r="G311" s="7"/>
      <c r="H311" s="53"/>
      <c r="I311" s="5" t="b">
        <f>IF(FINANCIACION[[#This Row],[$ CAPITAL]]&gt;0,FINANCIACION[[#This Row],[$ CAPITAL]])</f>
        <v>0</v>
      </c>
      <c r="J311" s="33">
        <f>IF(FINANCIACION[[#This Row],[$ CAPITAL]]&gt;=0,FINANCIACION[[#This Row],[$ CAPITAL]]+FINANCIACION[[#This Row],[$ INTERESES]],0)</f>
        <v>0</v>
      </c>
    </row>
    <row r="312" spans="1:10" ht="24" hidden="1" customHeight="1" x14ac:dyDescent="0.25">
      <c r="A312" s="109">
        <v>44340</v>
      </c>
      <c r="B312" s="50" t="s">
        <v>370</v>
      </c>
      <c r="C312" s="5"/>
      <c r="D312" s="5">
        <v>120000</v>
      </c>
      <c r="E312" s="5">
        <f>+IF(FINANCIACION[[#This Row],[$ CAPITAL]]&gt;=0,FINANCIACION[[#This Row],[$ CAPITAL]]+FINANCIACION[[#This Row],[$ INTERESES]],"")</f>
        <v>120000</v>
      </c>
      <c r="F312" s="5">
        <f>+SUMIFS(FINANCIACION[$ CAPITAL],FINANCIACION[Fecha],"&lt;="&amp;FINANCIACION[[#This Row],[Fecha]],FINANCIACION[PRESTAMO],FINANCIACION[[#This Row],[PRESTAMO]])</f>
        <v>-12000000</v>
      </c>
      <c r="G312" s="7"/>
      <c r="H312" s="53"/>
      <c r="I312" s="5" t="b">
        <f>IF(FINANCIACION[[#This Row],[$ CAPITAL]]&gt;0,FINANCIACION[[#This Row],[$ CAPITAL]])</f>
        <v>0</v>
      </c>
      <c r="J312" s="33">
        <f>IF(FINANCIACION[[#This Row],[$ CAPITAL]]&gt;=0,FINANCIACION[[#This Row],[$ CAPITAL]]+FINANCIACION[[#This Row],[$ INTERESES]],0)</f>
        <v>120000</v>
      </c>
    </row>
    <row r="313" spans="1:10" ht="24" hidden="1" customHeight="1" x14ac:dyDescent="0.25">
      <c r="A313" s="109">
        <v>44358</v>
      </c>
      <c r="B313" s="50" t="s">
        <v>370</v>
      </c>
      <c r="C313" s="5"/>
      <c r="D313" s="5">
        <v>120000</v>
      </c>
      <c r="E313" s="5">
        <f>+IF(FINANCIACION[[#This Row],[$ CAPITAL]]&gt;=0,FINANCIACION[[#This Row],[$ CAPITAL]]+FINANCIACION[[#This Row],[$ INTERESES]],"")</f>
        <v>120000</v>
      </c>
      <c r="F313" s="5">
        <f>+SUMIFS(FINANCIACION[$ CAPITAL],FINANCIACION[Fecha],"&lt;="&amp;FINANCIACION[[#This Row],[Fecha]],FINANCIACION[PRESTAMO],FINANCIACION[[#This Row],[PRESTAMO]])</f>
        <v>-12000000</v>
      </c>
      <c r="G313" s="7"/>
      <c r="H313" s="53"/>
      <c r="I313" s="5" t="b">
        <f>IF(FINANCIACION[[#This Row],[$ CAPITAL]]&gt;0,FINANCIACION[[#This Row],[$ CAPITAL]])</f>
        <v>0</v>
      </c>
      <c r="J313" s="8">
        <f>IF(FINANCIACION[[#This Row],[$ CAPITAL]]&gt;=0,FINANCIACION[[#This Row],[$ CAPITAL]]+FINANCIACION[[#This Row],[$ INTERESES]],0)</f>
        <v>120000</v>
      </c>
    </row>
    <row r="314" spans="1:10" ht="24" hidden="1" customHeight="1" x14ac:dyDescent="0.25">
      <c r="A314" s="109">
        <v>44390</v>
      </c>
      <c r="B314" s="50" t="s">
        <v>370</v>
      </c>
      <c r="C314" s="5"/>
      <c r="D314" s="5">
        <v>120000</v>
      </c>
      <c r="E314" s="5">
        <f>+IF(FINANCIACION[[#This Row],[$ CAPITAL]]&gt;=0,FINANCIACION[[#This Row],[$ CAPITAL]]+FINANCIACION[[#This Row],[$ INTERESES]],"")</f>
        <v>120000</v>
      </c>
      <c r="F314" s="5">
        <f>+SUMIFS(FINANCIACION[$ CAPITAL],FINANCIACION[Fecha],"&lt;="&amp;FINANCIACION[[#This Row],[Fecha]],FINANCIACION[PRESTAMO],FINANCIACION[[#This Row],[PRESTAMO]])</f>
        <v>-12000000</v>
      </c>
      <c r="G314" s="53"/>
      <c r="H314" s="53"/>
      <c r="I314" s="5" t="b">
        <f>IF(FINANCIACION[[#This Row],[$ CAPITAL]]&gt;0,FINANCIACION[[#This Row],[$ CAPITAL]])</f>
        <v>0</v>
      </c>
      <c r="J314" s="33">
        <f>IF(FINANCIACION[[#This Row],[$ CAPITAL]]&gt;=0,FINANCIACION[[#This Row],[$ CAPITAL]]+FINANCIACION[[#This Row],[$ INTERESES]],0)</f>
        <v>120000</v>
      </c>
    </row>
    <row r="315" spans="1:10" ht="24" hidden="1" customHeight="1" x14ac:dyDescent="0.25">
      <c r="A315" s="109">
        <v>44425</v>
      </c>
      <c r="B315" s="50" t="s">
        <v>370</v>
      </c>
      <c r="C315" s="5"/>
      <c r="D315" s="5">
        <v>120000</v>
      </c>
      <c r="E315" s="5">
        <f>+IF(FINANCIACION[[#This Row],[$ CAPITAL]]&gt;=0,FINANCIACION[[#This Row],[$ CAPITAL]]+FINANCIACION[[#This Row],[$ INTERESES]],"")</f>
        <v>120000</v>
      </c>
      <c r="F315" s="5">
        <f>+SUMIFS(FINANCIACION[$ CAPITAL],FINANCIACION[Fecha],"&lt;="&amp;FINANCIACION[[#This Row],[Fecha]],FINANCIACION[PRESTAMO],FINANCIACION[[#This Row],[PRESTAMO]])</f>
        <v>-12000000</v>
      </c>
      <c r="G315" s="7"/>
      <c r="H315" s="53"/>
      <c r="I315" s="5" t="b">
        <f>IF(FINANCIACION[[#This Row],[$ CAPITAL]]&gt;0,FINANCIACION[[#This Row],[$ CAPITAL]])</f>
        <v>0</v>
      </c>
      <c r="J315" s="33">
        <f>IF(FINANCIACION[[#This Row],[$ CAPITAL]]&gt;=0,FINANCIACION[[#This Row],[$ CAPITAL]]+FINANCIACION[[#This Row],[$ INTERESES]],0)</f>
        <v>120000</v>
      </c>
    </row>
    <row r="316" spans="1:10" ht="24" hidden="1" customHeight="1" x14ac:dyDescent="0.25">
      <c r="A316" s="109">
        <v>44450</v>
      </c>
      <c r="B316" s="50" t="s">
        <v>370</v>
      </c>
      <c r="C316" s="5"/>
      <c r="D316" s="5">
        <v>120000</v>
      </c>
      <c r="E316" s="5">
        <f>+IF(FINANCIACION[[#This Row],[$ CAPITAL]]&gt;=0,FINANCIACION[[#This Row],[$ CAPITAL]]+FINANCIACION[[#This Row],[$ INTERESES]],"")</f>
        <v>120000</v>
      </c>
      <c r="F316" s="5">
        <f>+SUMIFS(FINANCIACION[$ CAPITAL],FINANCIACION[Fecha],"&lt;="&amp;FINANCIACION[[#This Row],[Fecha]],FINANCIACION[PRESTAMO],FINANCIACION[[#This Row],[PRESTAMO]])</f>
        <v>-12000000</v>
      </c>
      <c r="G316" s="7"/>
      <c r="H316" s="53"/>
      <c r="I316" s="5" t="b">
        <f>IF(FINANCIACION[[#This Row],[$ CAPITAL]]&gt;0,FINANCIACION[[#This Row],[$ CAPITAL]])</f>
        <v>0</v>
      </c>
      <c r="J316" s="33">
        <f>IF(FINANCIACION[[#This Row],[$ CAPITAL]]&gt;=0,FINANCIACION[[#This Row],[$ CAPITAL]]+FINANCIACION[[#This Row],[$ INTERESES]],0)</f>
        <v>120000</v>
      </c>
    </row>
    <row r="317" spans="1:10" ht="24" hidden="1" customHeight="1" x14ac:dyDescent="0.25">
      <c r="A317" s="109">
        <v>44480</v>
      </c>
      <c r="B317" s="50" t="s">
        <v>370</v>
      </c>
      <c r="C317" s="5"/>
      <c r="D317" s="5">
        <v>120000</v>
      </c>
      <c r="E317" s="5">
        <f>+IF(FINANCIACION[[#This Row],[$ CAPITAL]]&gt;=0,FINANCIACION[[#This Row],[$ CAPITAL]]+FINANCIACION[[#This Row],[$ INTERESES]],"")</f>
        <v>120000</v>
      </c>
      <c r="F317" s="5">
        <f>+SUMIFS(FINANCIACION[$ CAPITAL],FINANCIACION[Fecha],"&lt;="&amp;FINANCIACION[[#This Row],[Fecha]],FINANCIACION[PRESTAMO],FINANCIACION[[#This Row],[PRESTAMO]])</f>
        <v>-12000000</v>
      </c>
      <c r="G317" s="7"/>
      <c r="H317" s="53"/>
      <c r="I317" s="5" t="b">
        <f>IF(FINANCIACION[[#This Row],[$ CAPITAL]]&gt;0,FINANCIACION[[#This Row],[$ CAPITAL]])</f>
        <v>0</v>
      </c>
      <c r="J317" s="33">
        <f>IF(FINANCIACION[[#This Row],[$ CAPITAL]]&gt;=0,FINANCIACION[[#This Row],[$ CAPITAL]]+FINANCIACION[[#This Row],[$ INTERESES]],0)</f>
        <v>120000</v>
      </c>
    </row>
    <row r="318" spans="1:10" ht="24" hidden="1" customHeight="1" x14ac:dyDescent="0.25">
      <c r="A318" s="109">
        <v>44510</v>
      </c>
      <c r="B318" s="50" t="s">
        <v>370</v>
      </c>
      <c r="C318" s="5"/>
      <c r="D318" s="5">
        <v>120000</v>
      </c>
      <c r="E318" s="5">
        <f>+IF(FINANCIACION[[#This Row],[$ CAPITAL]]&gt;=0,FINANCIACION[[#This Row],[$ CAPITAL]]+FINANCIACION[[#This Row],[$ INTERESES]],"")</f>
        <v>120000</v>
      </c>
      <c r="F318" s="5">
        <f>+SUMIFS(FINANCIACION[$ CAPITAL],FINANCIACION[Fecha],"&lt;="&amp;FINANCIACION[[#This Row],[Fecha]],FINANCIACION[PRESTAMO],FINANCIACION[[#This Row],[PRESTAMO]])</f>
        <v>-12000000</v>
      </c>
      <c r="G318" s="53"/>
      <c r="H318" s="53"/>
      <c r="I318" s="5" t="b">
        <f>IF(FINANCIACION[[#This Row],[$ CAPITAL]]&gt;0,FINANCIACION[[#This Row],[$ CAPITAL]])</f>
        <v>0</v>
      </c>
      <c r="J318" s="33">
        <f>IF(FINANCIACION[[#This Row],[$ CAPITAL]]&gt;=0,FINANCIACION[[#This Row],[$ CAPITAL]]+FINANCIACION[[#This Row],[$ INTERESES]],0)</f>
        <v>120000</v>
      </c>
    </row>
    <row r="319" spans="1:10" ht="24" hidden="1" customHeight="1" x14ac:dyDescent="0.25">
      <c r="A319" s="109">
        <v>44539</v>
      </c>
      <c r="B319" s="50" t="s">
        <v>370</v>
      </c>
      <c r="C319" s="5"/>
      <c r="D319" s="5">
        <v>120000</v>
      </c>
      <c r="E319" s="5">
        <f>+IF(FINANCIACION[[#This Row],[$ CAPITAL]]&gt;=0,FINANCIACION[[#This Row],[$ CAPITAL]]+FINANCIACION[[#This Row],[$ INTERESES]],"")</f>
        <v>120000</v>
      </c>
      <c r="F319" s="5">
        <f>+SUMIFS(FINANCIACION[$ CAPITAL],FINANCIACION[Fecha],"&lt;="&amp;FINANCIACION[[#This Row],[Fecha]],FINANCIACION[PRESTAMO],FINANCIACION[[#This Row],[PRESTAMO]])</f>
        <v>-12000000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120000</v>
      </c>
    </row>
    <row r="320" spans="1:10" ht="24" hidden="1" customHeight="1" x14ac:dyDescent="0.25">
      <c r="A320" s="109">
        <v>44572</v>
      </c>
      <c r="B320" s="50" t="s">
        <v>370</v>
      </c>
      <c r="C320" s="5"/>
      <c r="D320" s="5">
        <v>120000</v>
      </c>
      <c r="E320" s="5">
        <f>+IF(FINANCIACION[[#This Row],[$ CAPITAL]]&gt;=0,FINANCIACION[[#This Row],[$ CAPITAL]]+FINANCIACION[[#This Row],[$ INTERESES]],"")</f>
        <v>120000</v>
      </c>
      <c r="F320" s="5">
        <f>+SUMIFS(FINANCIACION[$ CAPITAL],FINANCIACION[Fecha],"&lt;="&amp;FINANCIACION[[#This Row],[Fecha]],FINANCIACION[PRESTAMO],FINANCIACION[[#This Row],[PRESTAMO]])</f>
        <v>-12000000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120000</v>
      </c>
    </row>
    <row r="321" spans="1:10" ht="24" hidden="1" customHeight="1" x14ac:dyDescent="0.25">
      <c r="A321" s="109">
        <v>44602</v>
      </c>
      <c r="B321" s="50" t="s">
        <v>370</v>
      </c>
      <c r="C321" s="5"/>
      <c r="D321" s="5">
        <v>120000</v>
      </c>
      <c r="E321" s="5">
        <f>+IF(FINANCIACION[[#This Row],[$ CAPITAL]]&gt;=0,FINANCIACION[[#This Row],[$ CAPITAL]]+FINANCIACION[[#This Row],[$ INTERESES]],"")</f>
        <v>120000</v>
      </c>
      <c r="F321" s="5">
        <f>+SUMIFS(FINANCIACION[$ CAPITAL],FINANCIACION[Fecha],"&lt;="&amp;FINANCIACION[[#This Row],[Fecha]],FINANCIACION[PRESTAMO],FINANCIACION[[#This Row],[PRESTAMO]])</f>
        <v>-12000000</v>
      </c>
      <c r="G321" s="53"/>
      <c r="H321" s="53"/>
      <c r="I321" s="5" t="b">
        <f>+IF(FINANCIACION[[#This Row],[$ CAPITAL]]&gt;0,FINANCIACION[[#This Row],[$ CAPITAL]])</f>
        <v>0</v>
      </c>
      <c r="J321" s="33">
        <f>+IF(FINANCIACION[[#This Row],[$ CAPITAL]]&gt;=0,FINANCIACION[[#This Row],[$ CAPITAL]]+FINANCIACION[[#This Row],[$ INTERESES]],0)</f>
        <v>120000</v>
      </c>
    </row>
    <row r="322" spans="1:10" ht="24" hidden="1" customHeight="1" x14ac:dyDescent="0.25">
      <c r="A322" s="109">
        <v>44629</v>
      </c>
      <c r="B322" s="50" t="s">
        <v>370</v>
      </c>
      <c r="C322" s="5"/>
      <c r="D322" s="5">
        <v>120000</v>
      </c>
      <c r="E322" s="5">
        <f>+IF(FINANCIACION[[#This Row],[$ CAPITAL]]&gt;=0,FINANCIACION[[#This Row],[$ CAPITAL]]+FINANCIACION[[#This Row],[$ INTERESES]],"")</f>
        <v>120000</v>
      </c>
      <c r="F322" s="5">
        <f>+SUMIFS(FINANCIACION[$ CAPITAL],FINANCIACION[Fecha],"&lt;="&amp;FINANCIACION[[#This Row],[Fecha]],FINANCIACION[PRESTAMO],FINANCIACION[[#This Row],[PRESTAMO]])</f>
        <v>-12000000</v>
      </c>
      <c r="G322" s="53"/>
      <c r="H322" s="53"/>
      <c r="I322" s="5" t="b">
        <f>+IF(FINANCIACION[[#This Row],[$ CAPITAL]]&gt;0,FINANCIACION[[#This Row],[$ CAPITAL]])</f>
        <v>0</v>
      </c>
      <c r="J322" s="33">
        <f>+IF(FINANCIACION[[#This Row],[$ CAPITAL]]&gt;=0,FINANCIACION[[#This Row],[$ CAPITAL]]+FINANCIACION[[#This Row],[$ INTERESES]],0)</f>
        <v>120000</v>
      </c>
    </row>
    <row r="323" spans="1:10" ht="24" hidden="1" customHeight="1" x14ac:dyDescent="0.25">
      <c r="A323" s="109">
        <v>44668</v>
      </c>
      <c r="B323" s="50" t="s">
        <v>370</v>
      </c>
      <c r="C323" s="5"/>
      <c r="D323" s="5">
        <v>120000</v>
      </c>
      <c r="E323" s="5">
        <f>+IF(FINANCIACION[[#This Row],[$ CAPITAL]]&gt;=0,FINANCIACION[[#This Row],[$ CAPITAL]]+FINANCIACION[[#This Row],[$ INTERESES]],"")</f>
        <v>120000</v>
      </c>
      <c r="F323" s="5">
        <f>+SUMIFS(FINANCIACION[$ CAPITAL],FINANCIACION[Fecha],"&lt;="&amp;FINANCIACION[[#This Row],[Fecha]],FINANCIACION[PRESTAMO],FINANCIACION[[#This Row],[PRESTAMO]])</f>
        <v>-12000000</v>
      </c>
      <c r="G323" s="53"/>
      <c r="H323" s="53"/>
      <c r="I323" s="5" t="b">
        <f>+IF(FINANCIACION[[#This Row],[$ CAPITAL]]&gt;0,FINANCIACION[[#This Row],[$ CAPITAL]])</f>
        <v>0</v>
      </c>
      <c r="J323" s="33">
        <f>+IF(FINANCIACION[[#This Row],[$ CAPITAL]]&gt;=0,FINANCIACION[[#This Row],[$ CAPITAL]]+FINANCIACION[[#This Row],[$ INTERESES]],0)</f>
        <v>120000</v>
      </c>
    </row>
    <row r="324" spans="1:10" ht="24" hidden="1" customHeight="1" x14ac:dyDescent="0.25">
      <c r="A324" s="109">
        <v>44691</v>
      </c>
      <c r="B324" s="50" t="s">
        <v>370</v>
      </c>
      <c r="C324" s="5"/>
      <c r="D324" s="5">
        <v>120000</v>
      </c>
      <c r="E324" s="5">
        <f>+IF(FINANCIACION[[#This Row],[$ CAPITAL]]&gt;=0,FINANCIACION[[#This Row],[$ CAPITAL]]+FINANCIACION[[#This Row],[$ INTERESES]],"")</f>
        <v>120000</v>
      </c>
      <c r="F324" s="5">
        <f>+SUMIFS(FINANCIACION[$ CAPITAL],FINANCIACION[Fecha],"&lt;="&amp;FINANCIACION[[#This Row],[Fecha]],FINANCIACION[PRESTAMO],FINANCIACION[[#This Row],[PRESTAMO]])</f>
        <v>-12000000</v>
      </c>
      <c r="G324" s="53"/>
      <c r="H324" s="53"/>
      <c r="I324" s="5" t="b">
        <f>+IF(FINANCIACION[[#This Row],[$ CAPITAL]]&gt;0,FINANCIACION[[#This Row],[$ CAPITAL]])</f>
        <v>0</v>
      </c>
      <c r="J324" s="33">
        <f>+IF(FINANCIACION[[#This Row],[$ CAPITAL]]&gt;=0,FINANCIACION[[#This Row],[$ CAPITAL]]+FINANCIACION[[#This Row],[$ INTERESES]],0)</f>
        <v>120000</v>
      </c>
    </row>
    <row r="325" spans="1:10" ht="24" hidden="1" customHeight="1" x14ac:dyDescent="0.25">
      <c r="A325" s="109">
        <v>44722</v>
      </c>
      <c r="B325" s="50" t="s">
        <v>370</v>
      </c>
      <c r="C325" s="5"/>
      <c r="D325" s="5">
        <v>120000</v>
      </c>
      <c r="E325" s="5">
        <f>+IF(FINANCIACION[[#This Row],[$ CAPITAL]]&gt;=0,FINANCIACION[[#This Row],[$ CAPITAL]]+FINANCIACION[[#This Row],[$ INTERESES]],"")</f>
        <v>120000</v>
      </c>
      <c r="F325" s="5">
        <f>+SUMIFS(FINANCIACION[$ CAPITAL],FINANCIACION[Fecha],"&lt;="&amp;FINANCIACION[[#This Row],[Fecha]],FINANCIACION[PRESTAMO],FINANCIACION[[#This Row],[PRESTAMO]])</f>
        <v>-12000000</v>
      </c>
      <c r="G325" s="53"/>
      <c r="H325" s="53"/>
      <c r="I325" s="5" t="b">
        <f>+IF(FINANCIACION[[#This Row],[$ CAPITAL]]&gt;0,FINANCIACION[[#This Row],[$ CAPITAL]])</f>
        <v>0</v>
      </c>
      <c r="J325" s="33">
        <f>+IF(FINANCIACION[[#This Row],[$ CAPITAL]]&gt;=0,FINANCIACION[[#This Row],[$ CAPITAL]]+FINANCIACION[[#This Row],[$ INTERESES]],0)</f>
        <v>120000</v>
      </c>
    </row>
    <row r="326" spans="1:10" ht="24" hidden="1" customHeight="1" x14ac:dyDescent="0.25">
      <c r="A326" s="109">
        <v>44753</v>
      </c>
      <c r="B326" s="50" t="s">
        <v>370</v>
      </c>
      <c r="C326" s="5"/>
      <c r="D326" s="5">
        <v>120000</v>
      </c>
      <c r="E326" s="5">
        <f>+IF(FINANCIACION[[#This Row],[$ CAPITAL]]&gt;=0,FINANCIACION[[#This Row],[$ CAPITAL]]+FINANCIACION[[#This Row],[$ INTERESES]],"")</f>
        <v>120000</v>
      </c>
      <c r="F326" s="5">
        <f>+SUMIFS(FINANCIACION[$ CAPITAL],FINANCIACION[Fecha],"&lt;="&amp;FINANCIACION[[#This Row],[Fecha]],FINANCIACION[PRESTAMO],FINANCIACION[[#This Row],[PRESTAMO]])</f>
        <v>-12000000</v>
      </c>
      <c r="G326" s="53"/>
      <c r="H326" s="53"/>
      <c r="I326" s="5" t="b">
        <f>+IF(FINANCIACION[[#This Row],[$ CAPITAL]]&gt;0,FINANCIACION[[#This Row],[$ CAPITAL]])</f>
        <v>0</v>
      </c>
      <c r="J326" s="33">
        <f>+IF(FINANCIACION[[#This Row],[$ CAPITAL]]&gt;=0,FINANCIACION[[#This Row],[$ CAPITAL]]+FINANCIACION[[#This Row],[$ INTERESES]],0)</f>
        <v>120000</v>
      </c>
    </row>
    <row r="327" spans="1:10" ht="24" hidden="1" customHeight="1" x14ac:dyDescent="0.25">
      <c r="A327" s="109">
        <v>44786</v>
      </c>
      <c r="B327" s="50" t="s">
        <v>370</v>
      </c>
      <c r="C327" s="5"/>
      <c r="D327" s="5">
        <v>120000</v>
      </c>
      <c r="E327" s="5">
        <f>+IF(FINANCIACION[[#This Row],[$ CAPITAL]]&gt;=0,FINANCIACION[[#This Row],[$ CAPITAL]]+FINANCIACION[[#This Row],[$ INTERESES]],"")</f>
        <v>120000</v>
      </c>
      <c r="F327" s="5">
        <f>+SUMIFS(FINANCIACION[$ CAPITAL],FINANCIACION[Fecha],"&lt;="&amp;FINANCIACION[[#This Row],[Fecha]],FINANCIACION[PRESTAMO],FINANCIACION[[#This Row],[PRESTAMO]])</f>
        <v>-12000000</v>
      </c>
      <c r="G327" s="53"/>
      <c r="H327" s="53"/>
      <c r="I327" s="5" t="b">
        <f>+IF(FINANCIACION[[#This Row],[$ CAPITAL]]&gt;0,FINANCIACION[[#This Row],[$ CAPITAL]])</f>
        <v>0</v>
      </c>
      <c r="J327" s="33">
        <f>+IF(FINANCIACION[[#This Row],[$ CAPITAL]]&gt;=0,FINANCIACION[[#This Row],[$ CAPITAL]]+FINANCIACION[[#This Row],[$ INTERESES]],0)</f>
        <v>120000</v>
      </c>
    </row>
    <row r="328" spans="1:10" ht="24" hidden="1" customHeight="1" x14ac:dyDescent="0.25">
      <c r="A328" s="109">
        <v>44817</v>
      </c>
      <c r="B328" s="50" t="s">
        <v>370</v>
      </c>
      <c r="C328" s="5"/>
      <c r="D328" s="5">
        <v>120000</v>
      </c>
      <c r="E328" s="5">
        <f>+IF(FINANCIACION[[#This Row],[$ CAPITAL]]&gt;=0,FINANCIACION[[#This Row],[$ CAPITAL]]+FINANCIACION[[#This Row],[$ INTERESES]],"")</f>
        <v>120000</v>
      </c>
      <c r="F328" s="5">
        <f>+SUMIFS(FINANCIACION[$ CAPITAL],FINANCIACION[Fecha],"&lt;="&amp;FINANCIACION[[#This Row],[Fecha]],FINANCIACION[PRESTAMO],FINANCIACION[[#This Row],[PRESTAMO]])</f>
        <v>-12000000</v>
      </c>
      <c r="G328" s="53"/>
      <c r="H328" s="53"/>
      <c r="I328" s="5" t="b">
        <f>+IF(FINANCIACION[[#This Row],[$ CAPITAL]]&gt;0,FINANCIACION[[#This Row],[$ CAPITAL]])</f>
        <v>0</v>
      </c>
      <c r="J328" s="33">
        <f>+IF(FINANCIACION[[#This Row],[$ CAPITAL]]&gt;=0,FINANCIACION[[#This Row],[$ CAPITAL]]+FINANCIACION[[#This Row],[$ INTERESES]],0)</f>
        <v>120000</v>
      </c>
    </row>
    <row r="329" spans="1:10" ht="24" hidden="1" customHeight="1" x14ac:dyDescent="0.25">
      <c r="A329" s="109">
        <v>44846</v>
      </c>
      <c r="B329" s="50" t="s">
        <v>370</v>
      </c>
      <c r="C329" s="5"/>
      <c r="D329" s="5">
        <v>120000</v>
      </c>
      <c r="E329" s="5">
        <f>+IF(FINANCIACION[[#This Row],[$ CAPITAL]]&gt;=0,FINANCIACION[[#This Row],[$ CAPITAL]]+FINANCIACION[[#This Row],[$ INTERESES]],"")</f>
        <v>120000</v>
      </c>
      <c r="F329" s="5">
        <f>+SUMIFS(FINANCIACION[$ CAPITAL],FINANCIACION[Fecha],"&lt;="&amp;FINANCIACION[[#This Row],[Fecha]],FINANCIACION[PRESTAMO],FINANCIACION[[#This Row],[PRESTAMO]])</f>
        <v>-12000000</v>
      </c>
      <c r="G329" s="53"/>
      <c r="H329" s="53"/>
      <c r="I329" s="5" t="b">
        <f>+IF(FINANCIACION[[#This Row],[$ CAPITAL]]&gt;0,FINANCIACION[[#This Row],[$ CAPITAL]])</f>
        <v>0</v>
      </c>
      <c r="J329" s="33">
        <f>+IF(FINANCIACION[[#This Row],[$ CAPITAL]]&gt;=0,FINANCIACION[[#This Row],[$ CAPITAL]]+FINANCIACION[[#This Row],[$ INTERESES]],0)</f>
        <v>120000</v>
      </c>
    </row>
    <row r="330" spans="1:10" ht="24" hidden="1" customHeight="1" x14ac:dyDescent="0.25">
      <c r="A330" s="109">
        <v>44876</v>
      </c>
      <c r="B330" s="50" t="s">
        <v>370</v>
      </c>
      <c r="C330" s="5"/>
      <c r="D330" s="5">
        <v>120000</v>
      </c>
      <c r="E330" s="5">
        <f>+IF(FINANCIACION[[#This Row],[$ CAPITAL]]&gt;=0,FINANCIACION[[#This Row],[$ CAPITAL]]+FINANCIACION[[#This Row],[$ INTERESES]],"")</f>
        <v>120000</v>
      </c>
      <c r="F330" s="5">
        <f>+SUMIFS(FINANCIACION[$ CAPITAL],FINANCIACION[Fecha],"&lt;="&amp;FINANCIACION[[#This Row],[Fecha]],FINANCIACION[PRESTAMO],FINANCIACION[[#This Row],[PRESTAMO]])</f>
        <v>-12000000</v>
      </c>
      <c r="G330" s="53"/>
      <c r="H330" s="53"/>
      <c r="I330" s="5" t="b">
        <f>+IF(FINANCIACION[[#This Row],[$ CAPITAL]]&gt;0,FINANCIACION[[#This Row],[$ CAPITAL]])</f>
        <v>0</v>
      </c>
      <c r="J330" s="33">
        <f>+IF(FINANCIACION[[#This Row],[$ CAPITAL]]&gt;=0,FINANCIACION[[#This Row],[$ CAPITAL]]+FINANCIACION[[#This Row],[$ INTERESES]],0)</f>
        <v>120000</v>
      </c>
    </row>
    <row r="331" spans="1:10" ht="24" hidden="1" customHeight="1" x14ac:dyDescent="0.25">
      <c r="A331" s="109">
        <v>44909</v>
      </c>
      <c r="B331" s="50" t="s">
        <v>370</v>
      </c>
      <c r="C331" s="5"/>
      <c r="D331" s="5">
        <v>120000</v>
      </c>
      <c r="E331" s="5">
        <f>+IF(FINANCIACION[[#This Row],[$ CAPITAL]]&gt;=0,FINANCIACION[[#This Row],[$ CAPITAL]]+FINANCIACION[[#This Row],[$ INTERESES]],"")</f>
        <v>120000</v>
      </c>
      <c r="F331" s="5">
        <f>+SUMIFS(FINANCIACION[$ CAPITAL],FINANCIACION[Fecha],"&lt;="&amp;FINANCIACION[[#This Row],[Fecha]],FINANCIACION[PRESTAMO],FINANCIACION[[#This Row],[PRESTAMO]])</f>
        <v>-12000000</v>
      </c>
      <c r="G331" s="53"/>
      <c r="H331" s="53"/>
      <c r="I331" s="5" t="b">
        <f>+IF(FINANCIACION[[#This Row],[$ CAPITAL]]&gt;0,FINANCIACION[[#This Row],[$ CAPITAL]])</f>
        <v>0</v>
      </c>
      <c r="J331" s="33">
        <f>+IF(FINANCIACION[[#This Row],[$ CAPITAL]]&gt;=0,FINANCIACION[[#This Row],[$ CAPITAL]]+FINANCIACION[[#This Row],[$ INTERESES]],0)</f>
        <v>120000</v>
      </c>
    </row>
    <row r="332" spans="1:10" ht="24" hidden="1" customHeight="1" x14ac:dyDescent="0.25">
      <c r="A332" s="109">
        <v>44938</v>
      </c>
      <c r="B332" s="50" t="s">
        <v>370</v>
      </c>
      <c r="C332" s="5"/>
      <c r="D332" s="5">
        <v>120000</v>
      </c>
      <c r="E332" s="5">
        <f>+IF(FINANCIACION[[#This Row],[$ CAPITAL]]&gt;=0,FINANCIACION[[#This Row],[$ CAPITAL]]+FINANCIACION[[#This Row],[$ INTERESES]],"")</f>
        <v>120000</v>
      </c>
      <c r="F332" s="5">
        <f>+SUMIFS(FINANCIACION[$ CAPITAL],FINANCIACION[Fecha],"&lt;="&amp;FINANCIACION[[#This Row],[Fecha]],FINANCIACION[PRESTAMO],FINANCIACION[[#This Row],[PRESTAMO]])</f>
        <v>-12000000</v>
      </c>
      <c r="G332" s="53"/>
      <c r="H332" s="53"/>
      <c r="I332" s="5" t="b">
        <f>+IF(FINANCIACION[[#This Row],[$ CAPITAL]]&gt;0,FINANCIACION[[#This Row],[$ CAPITAL]])</f>
        <v>0</v>
      </c>
      <c r="J332" s="33">
        <f>+IF(FINANCIACION[[#This Row],[$ CAPITAL]]&gt;=0,FINANCIACION[[#This Row],[$ CAPITAL]]+FINANCIACION[[#This Row],[$ INTERESES]],0)</f>
        <v>120000</v>
      </c>
    </row>
    <row r="333" spans="1:10" ht="24" hidden="1" customHeight="1" x14ac:dyDescent="0.25">
      <c r="A333" s="109">
        <v>44970</v>
      </c>
      <c r="B333" s="50" t="s">
        <v>370</v>
      </c>
      <c r="C333" s="5"/>
      <c r="D333" s="5">
        <v>120000</v>
      </c>
      <c r="E333" s="5">
        <f>+IF(FINANCIACION[[#This Row],[$ CAPITAL]]&gt;=0,FINANCIACION[[#This Row],[$ CAPITAL]]+FINANCIACION[[#This Row],[$ INTERESES]],"")</f>
        <v>120000</v>
      </c>
      <c r="F333" s="5">
        <f>+SUMIFS(FINANCIACION[$ CAPITAL],FINANCIACION[Fecha],"&lt;="&amp;FINANCIACION[[#This Row],[Fecha]],FINANCIACION[PRESTAMO],FINANCIACION[[#This Row],[PRESTAMO]])</f>
        <v>-12000000</v>
      </c>
      <c r="G333" s="53"/>
      <c r="H333" s="53"/>
      <c r="I333" s="5" t="b">
        <f>+IF(FINANCIACION[[#This Row],[$ CAPITAL]]&gt;0,FINANCIACION[[#This Row],[$ CAPITAL]])</f>
        <v>0</v>
      </c>
      <c r="J333" s="33">
        <f>+IF(FINANCIACION[[#This Row],[$ CAPITAL]]&gt;=0,FINANCIACION[[#This Row],[$ CAPITAL]]+FINANCIACION[[#This Row],[$ INTERESES]],0)</f>
        <v>120000</v>
      </c>
    </row>
    <row r="334" spans="1:10" ht="24" hidden="1" customHeight="1" x14ac:dyDescent="0.25">
      <c r="A334" s="109">
        <v>44999</v>
      </c>
      <c r="B334" s="50" t="s">
        <v>370</v>
      </c>
      <c r="C334" s="5"/>
      <c r="D334" s="5">
        <v>120000</v>
      </c>
      <c r="E334" s="5">
        <f>+IF(FINANCIACION[[#This Row],[$ CAPITAL]]&gt;=0,FINANCIACION[[#This Row],[$ CAPITAL]]+FINANCIACION[[#This Row],[$ INTERESES]],"")</f>
        <v>120000</v>
      </c>
      <c r="F334" s="5">
        <f>+SUMIFS(FINANCIACION[$ CAPITAL],FINANCIACION[Fecha],"&lt;="&amp;FINANCIACION[[#This Row],[Fecha]],FINANCIACION[PRESTAMO],FINANCIACION[[#This Row],[PRESTAMO]])</f>
        <v>-12000000</v>
      </c>
      <c r="G334" s="53"/>
      <c r="H334" s="53"/>
      <c r="I334" s="5" t="b">
        <f>+IF(FINANCIACION[[#This Row],[$ CAPITAL]]&gt;0,FINANCIACION[[#This Row],[$ CAPITAL]])</f>
        <v>0</v>
      </c>
      <c r="J334" s="33">
        <f>+IF(FINANCIACION[[#This Row],[$ CAPITAL]]&gt;=0,FINANCIACION[[#This Row],[$ CAPITAL]]+FINANCIACION[[#This Row],[$ INTERESES]],0)</f>
        <v>120000</v>
      </c>
    </row>
    <row r="335" spans="1:10" ht="24" hidden="1" customHeight="1" x14ac:dyDescent="0.25">
      <c r="A335" s="109">
        <v>45026</v>
      </c>
      <c r="B335" s="50" t="s">
        <v>370</v>
      </c>
      <c r="C335" s="5"/>
      <c r="D335" s="5">
        <v>120000</v>
      </c>
      <c r="E335" s="5">
        <f>+IF(FINANCIACION[[#This Row],[$ CAPITAL]]&gt;=0,FINANCIACION[[#This Row],[$ CAPITAL]]+FINANCIACION[[#This Row],[$ INTERESES]],"")</f>
        <v>120000</v>
      </c>
      <c r="F335" s="5">
        <f>+SUMIFS(FINANCIACION[$ CAPITAL],FINANCIACION[Fecha],"&lt;="&amp;FINANCIACION[[#This Row],[Fecha]],FINANCIACION[PRESTAMO],FINANCIACION[[#This Row],[PRESTAMO]])</f>
        <v>-12000000</v>
      </c>
      <c r="G335" s="53"/>
      <c r="H335" s="53"/>
      <c r="I335" s="5" t="b">
        <f>+IF(FINANCIACION[[#This Row],[$ CAPITAL]]&gt;0,FINANCIACION[[#This Row],[$ CAPITAL]])</f>
        <v>0</v>
      </c>
      <c r="J335" s="33">
        <f>+IF(FINANCIACION[[#This Row],[$ CAPITAL]]&gt;=0,FINANCIACION[[#This Row],[$ CAPITAL]]+FINANCIACION[[#This Row],[$ INTERESES]],0)</f>
        <v>120000</v>
      </c>
    </row>
    <row r="336" spans="1:10" ht="24" hidden="1" customHeight="1" x14ac:dyDescent="0.25">
      <c r="A336" s="109">
        <v>45054</v>
      </c>
      <c r="B336" s="50" t="s">
        <v>370</v>
      </c>
      <c r="C336" s="5"/>
      <c r="D336" s="5">
        <v>120000</v>
      </c>
      <c r="E336" s="5">
        <f>+IF(FINANCIACION[[#This Row],[$ CAPITAL]]&gt;=0,FINANCIACION[[#This Row],[$ CAPITAL]]+FINANCIACION[[#This Row],[$ INTERESES]],"")</f>
        <v>120000</v>
      </c>
      <c r="F336" s="5">
        <f>+SUMIFS(FINANCIACION[$ CAPITAL],FINANCIACION[Fecha],"&lt;="&amp;FINANCIACION[[#This Row],[Fecha]],FINANCIACION[PRESTAMO],FINANCIACION[[#This Row],[PRESTAMO]])</f>
        <v>-12000000</v>
      </c>
      <c r="G336" s="53"/>
      <c r="H336" s="53"/>
      <c r="I336" s="5" t="b">
        <f>+IF(FINANCIACION[[#This Row],[$ CAPITAL]]&gt;0,FINANCIACION[[#This Row],[$ CAPITAL]])</f>
        <v>0</v>
      </c>
      <c r="J336" s="33">
        <f>+IF(FINANCIACION[[#This Row],[$ CAPITAL]]&gt;=0,FINANCIACION[[#This Row],[$ CAPITAL]]+FINANCIACION[[#This Row],[$ INTERESES]],0)</f>
        <v>120000</v>
      </c>
    </row>
    <row r="337" spans="1:16" ht="24" hidden="1" customHeight="1" x14ac:dyDescent="0.25">
      <c r="A337" s="109">
        <v>45091</v>
      </c>
      <c r="B337" s="50" t="s">
        <v>370</v>
      </c>
      <c r="C337" s="5"/>
      <c r="D337" s="5">
        <v>120000</v>
      </c>
      <c r="E337" s="5">
        <f>+IF(FINANCIACION[[#This Row],[$ CAPITAL]]&gt;=0,FINANCIACION[[#This Row],[$ CAPITAL]]+FINANCIACION[[#This Row],[$ INTERESES]],"")</f>
        <v>120000</v>
      </c>
      <c r="F337" s="5">
        <f>+SUMIFS(FINANCIACION[$ CAPITAL],FINANCIACION[Fecha],"&lt;="&amp;FINANCIACION[[#This Row],[Fecha]],FINANCIACION[PRESTAMO],FINANCIACION[[#This Row],[PRESTAMO]])</f>
        <v>-12000000</v>
      </c>
      <c r="G337" s="53"/>
      <c r="H337" s="53"/>
      <c r="I337" s="5" t="b">
        <f>+IF(FINANCIACION[[#This Row],[$ CAPITAL]]&gt;0,FINANCIACION[[#This Row],[$ CAPITAL]])</f>
        <v>0</v>
      </c>
      <c r="J337" s="33">
        <f>+IF(FINANCIACION[[#This Row],[$ CAPITAL]]&gt;=0,FINANCIACION[[#This Row],[$ CAPITAL]]+FINANCIACION[[#This Row],[$ INTERESES]],0)</f>
        <v>120000</v>
      </c>
    </row>
    <row r="338" spans="1:16" ht="24" hidden="1" customHeight="1" x14ac:dyDescent="0.25">
      <c r="A338" s="109">
        <v>45118</v>
      </c>
      <c r="B338" s="50" t="s">
        <v>370</v>
      </c>
      <c r="C338" s="5"/>
      <c r="D338" s="5">
        <v>120000</v>
      </c>
      <c r="E338" s="5">
        <f>+IF(FINANCIACION[[#This Row],[$ CAPITAL]]&gt;=0,FINANCIACION[[#This Row],[$ CAPITAL]]+FINANCIACION[[#This Row],[$ INTERESES]],"")</f>
        <v>120000</v>
      </c>
      <c r="F338" s="5">
        <f>+SUMIFS(FINANCIACION[$ CAPITAL],FINANCIACION[Fecha],"&lt;="&amp;FINANCIACION[[#This Row],[Fecha]],FINANCIACION[PRESTAMO],FINANCIACION[[#This Row],[PRESTAMO]])</f>
        <v>-12000000</v>
      </c>
      <c r="G338" s="53"/>
      <c r="H338" s="53"/>
      <c r="I338" s="5" t="b">
        <f>+IF(FINANCIACION[[#This Row],[$ CAPITAL]]&gt;0,FINANCIACION[[#This Row],[$ CAPITAL]])</f>
        <v>0</v>
      </c>
      <c r="J338" s="33">
        <f>+IF(FINANCIACION[[#This Row],[$ CAPITAL]]&gt;=0,FINANCIACION[[#This Row],[$ CAPITAL]]+FINANCIACION[[#This Row],[$ INTERESES]],0)</f>
        <v>120000</v>
      </c>
    </row>
    <row r="339" spans="1:16" ht="24" hidden="1" customHeight="1" x14ac:dyDescent="0.25">
      <c r="A339" s="109">
        <v>45149</v>
      </c>
      <c r="B339" s="50" t="s">
        <v>370</v>
      </c>
      <c r="C339" s="5"/>
      <c r="D339" s="5">
        <v>120000</v>
      </c>
      <c r="E339" s="5">
        <f>+IF(FINANCIACION[[#This Row],[$ CAPITAL]]&gt;=0,FINANCIACION[[#This Row],[$ CAPITAL]]+FINANCIACION[[#This Row],[$ INTERESES]],"")</f>
        <v>120000</v>
      </c>
      <c r="F339" s="5">
        <f>+SUMIFS(FINANCIACION[$ CAPITAL],FINANCIACION[Fecha],"&lt;="&amp;FINANCIACION[[#This Row],[Fecha]],FINANCIACION[PRESTAMO],FINANCIACION[[#This Row],[PRESTAMO]])</f>
        <v>-12000000</v>
      </c>
      <c r="G339" s="53"/>
      <c r="H339" s="53"/>
      <c r="I339" s="5" t="b">
        <f>+IF(FINANCIACION[[#This Row],[$ CAPITAL]]&gt;0,FINANCIACION[[#This Row],[$ CAPITAL]])</f>
        <v>0</v>
      </c>
      <c r="J339" s="33">
        <f>+IF(FINANCIACION[[#This Row],[$ CAPITAL]]&gt;=0,FINANCIACION[[#This Row],[$ CAPITAL]]+FINANCIACION[[#This Row],[$ INTERESES]],0)</f>
        <v>120000</v>
      </c>
    </row>
    <row r="340" spans="1:16" ht="24" hidden="1" customHeight="1" x14ac:dyDescent="0.25">
      <c r="A340" s="109">
        <v>45187</v>
      </c>
      <c r="B340" s="50" t="s">
        <v>370</v>
      </c>
      <c r="C340" s="5"/>
      <c r="D340" s="5">
        <v>120000</v>
      </c>
      <c r="E340" s="5">
        <f>+IF(FINANCIACION[[#This Row],[$ CAPITAL]]&gt;=0,FINANCIACION[[#This Row],[$ CAPITAL]]+FINANCIACION[[#This Row],[$ INTERESES]],"")</f>
        <v>120000</v>
      </c>
      <c r="F340" s="5">
        <f>+SUMIFS(FINANCIACION[$ CAPITAL],FINANCIACION[Fecha],"&lt;="&amp;FINANCIACION[[#This Row],[Fecha]],FINANCIACION[PRESTAMO],FINANCIACION[[#This Row],[PRESTAMO]])</f>
        <v>-12000000</v>
      </c>
      <c r="G340" s="53"/>
      <c r="H340" s="53"/>
      <c r="I340" s="5" t="b">
        <f>+IF(FINANCIACION[[#This Row],[$ CAPITAL]]&gt;0,FINANCIACION[[#This Row],[$ CAPITAL]])</f>
        <v>0</v>
      </c>
      <c r="J340" s="33">
        <f>+IF(FINANCIACION[[#This Row],[$ CAPITAL]]&gt;=0,FINANCIACION[[#This Row],[$ CAPITAL]]+FINANCIACION[[#This Row],[$ INTERESES]],0)</f>
        <v>120000</v>
      </c>
    </row>
    <row r="341" spans="1:16" ht="24" hidden="1" customHeight="1" x14ac:dyDescent="0.25">
      <c r="A341" s="109">
        <v>45210</v>
      </c>
      <c r="B341" s="50" t="s">
        <v>370</v>
      </c>
      <c r="C341" s="5"/>
      <c r="D341" s="5">
        <v>120000</v>
      </c>
      <c r="E341" s="5">
        <f>+IF(FINANCIACION[[#This Row],[$ CAPITAL]]&gt;=0,FINANCIACION[[#This Row],[$ CAPITAL]]+FINANCIACION[[#This Row],[$ INTERESES]],"")</f>
        <v>120000</v>
      </c>
      <c r="F341" s="5">
        <f>+SUMIFS(FINANCIACION[$ CAPITAL],FINANCIACION[Fecha],"&lt;="&amp;FINANCIACION[[#This Row],[Fecha]],FINANCIACION[PRESTAMO],FINANCIACION[[#This Row],[PRESTAMO]])</f>
        <v>-12000000</v>
      </c>
      <c r="G341" s="53"/>
      <c r="H341" s="53"/>
      <c r="I341" s="5" t="b">
        <f>+IF(FINANCIACION[[#This Row],[$ CAPITAL]]&gt;0,FINANCIACION[[#This Row],[$ CAPITAL]])</f>
        <v>0</v>
      </c>
      <c r="J341" s="33">
        <f>+IF(FINANCIACION[[#This Row],[$ CAPITAL]]&gt;=0,FINANCIACION[[#This Row],[$ CAPITAL]]+FINANCIACION[[#This Row],[$ INTERESES]],0)</f>
        <v>120000</v>
      </c>
    </row>
    <row r="342" spans="1:16" ht="24" hidden="1" customHeight="1" x14ac:dyDescent="0.25">
      <c r="A342" s="109">
        <v>45237</v>
      </c>
      <c r="B342" s="50" t="s">
        <v>370</v>
      </c>
      <c r="C342" s="5"/>
      <c r="D342" s="5">
        <v>120000</v>
      </c>
      <c r="E342" s="5">
        <f>+IF(FINANCIACION[[#This Row],[$ CAPITAL]]&gt;=0,FINANCIACION[[#This Row],[$ CAPITAL]]+FINANCIACION[[#This Row],[$ INTERESES]],"")</f>
        <v>120000</v>
      </c>
      <c r="F342" s="5">
        <f>+SUMIFS(FINANCIACION[$ CAPITAL],FINANCIACION[Fecha],"&lt;="&amp;FINANCIACION[[#This Row],[Fecha]],FINANCIACION[PRESTAMO],FINANCIACION[[#This Row],[PRESTAMO]])</f>
        <v>0</v>
      </c>
      <c r="G342" s="53"/>
      <c r="H342" s="53"/>
      <c r="I342" s="5" t="b">
        <f>+IF(FINANCIACION[[#This Row],[$ CAPITAL]]&gt;0,FINANCIACION[[#This Row],[$ CAPITAL]])</f>
        <v>0</v>
      </c>
      <c r="J342" s="33">
        <f>+IF(FINANCIACION[[#This Row],[$ CAPITAL]]&gt;=0,FINANCIACION[[#This Row],[$ CAPITAL]]+FINANCIACION[[#This Row],[$ INTERESES]],0)</f>
        <v>120000</v>
      </c>
    </row>
    <row r="343" spans="1:16" ht="24" hidden="1" customHeight="1" x14ac:dyDescent="0.25">
      <c r="A343" s="109">
        <v>45237</v>
      </c>
      <c r="B343" s="50" t="s">
        <v>370</v>
      </c>
      <c r="C343" s="5">
        <v>12000000</v>
      </c>
      <c r="D343" s="5"/>
      <c r="E343" s="5">
        <f>+IF(FINANCIACION[[#This Row],[$ CAPITAL]]&gt;=0,FINANCIACION[[#This Row],[$ CAPITAL]]+FINANCIACION[[#This Row],[$ INTERESES]],"")</f>
        <v>12000000</v>
      </c>
      <c r="F343" s="5">
        <f>+SUMIFS(FINANCIACION[$ CAPITAL],FINANCIACION[Fecha],"&lt;="&amp;FINANCIACION[[#This Row],[Fecha]],FINANCIACION[PRESTAMO],FINANCIACION[[#This Row],[PRESTAMO]])</f>
        <v>0</v>
      </c>
      <c r="G343" s="53"/>
      <c r="H343" s="53"/>
      <c r="I343" s="5">
        <f>+IF(FINANCIACION[[#This Row],[$ CAPITAL]]&gt;0,FINANCIACION[[#This Row],[$ CAPITAL]])</f>
        <v>12000000</v>
      </c>
      <c r="J343" s="33">
        <f>+IF(FINANCIACION[[#This Row],[$ CAPITAL]]&gt;=0,FINANCIACION[[#This Row],[$ CAPITAL]]+FINANCIACION[[#This Row],[$ INTERESES]],0)</f>
        <v>12000000</v>
      </c>
    </row>
    <row r="344" spans="1:16" ht="24" hidden="1" customHeight="1" x14ac:dyDescent="0.25">
      <c r="A344" s="109">
        <v>43398</v>
      </c>
      <c r="B344" s="50" t="s">
        <v>1511</v>
      </c>
      <c r="C344" s="5">
        <v>-45000000</v>
      </c>
      <c r="D344" s="5"/>
      <c r="E344" s="5" t="str">
        <f>+IF(FINANCIACION[[#This Row],[$ CAPITAL]]&gt;=0,FINANCIACION[[#This Row],[$ CAPITAL]]+FINANCIACION[[#This Row],[$ INTERESES]],"")</f>
        <v/>
      </c>
      <c r="F344" s="5">
        <f>+SUMIFS(FINANCIACION[$ CAPITAL],FINANCIACION[Fecha],"&lt;="&amp;FINANCIACION[[#This Row],[Fecha]],FINANCIACION[PRESTAMO],FINANCIACION[[#This Row],[PRESTAMO]])</f>
        <v>-45000000</v>
      </c>
      <c r="G344" s="53"/>
      <c r="H344" s="53"/>
      <c r="I344" s="5" t="b">
        <f>IF(FINANCIACION[[#This Row],[$ CAPITAL]]&gt;0,FINANCIACION[[#This Row],[$ CAPITAL]])</f>
        <v>0</v>
      </c>
      <c r="J344" s="33">
        <f>IF(FINANCIACION[[#This Row],[$ CAPITAL]]&gt;=0,FINANCIACION[[#This Row],[$ CAPITAL]]+FINANCIACION[[#This Row],[$ INTERESES]],0)</f>
        <v>0</v>
      </c>
      <c r="K344" s="10"/>
      <c r="N344" s="6"/>
      <c r="O344" s="9"/>
      <c r="P344" s="8"/>
    </row>
    <row r="345" spans="1:16" ht="24" hidden="1" customHeight="1" x14ac:dyDescent="0.25">
      <c r="A345" s="109">
        <v>43465</v>
      </c>
      <c r="B345" s="50" t="s">
        <v>1511</v>
      </c>
      <c r="C345" s="5">
        <v>2500000</v>
      </c>
      <c r="D345" s="5"/>
      <c r="E345" s="5">
        <f>+IF(FINANCIACION[[#This Row],[$ CAPITAL]]&gt;=0,FINANCIACION[[#This Row],[$ CAPITAL]]+FINANCIACION[[#This Row],[$ INTERESES]],"")</f>
        <v>2500000</v>
      </c>
      <c r="F345" s="5">
        <f>+SUMIFS(FINANCIACION[$ CAPITAL],FINANCIACION[Fecha],"&lt;="&amp;FINANCIACION[[#This Row],[Fecha]],FINANCIACION[PRESTAMO],FINANCIACION[[#This Row],[PRESTAMO]])</f>
        <v>-42500000</v>
      </c>
      <c r="G345" s="53"/>
      <c r="H345" s="53"/>
      <c r="I345" s="5">
        <f>IF(FINANCIACION[[#This Row],[$ CAPITAL]]&gt;0,FINANCIACION[[#This Row],[$ CAPITAL]])</f>
        <v>2500000</v>
      </c>
      <c r="J345" s="33">
        <f>IF(FINANCIACION[[#This Row],[$ CAPITAL]]&gt;=0,FINANCIACION[[#This Row],[$ CAPITAL]]+FINANCIACION[[#This Row],[$ INTERESES]],0)</f>
        <v>2500000</v>
      </c>
      <c r="K345" s="10"/>
      <c r="N345" s="6"/>
      <c r="O345" s="9"/>
      <c r="P345" s="8"/>
    </row>
    <row r="346" spans="1:16" ht="24" hidden="1" customHeight="1" x14ac:dyDescent="0.25">
      <c r="A346" s="109">
        <v>43490</v>
      </c>
      <c r="B346" s="50" t="s">
        <v>1511</v>
      </c>
      <c r="C346" s="5">
        <v>1250000</v>
      </c>
      <c r="D346" s="5">
        <v>522218</v>
      </c>
      <c r="E346" s="5">
        <f>+IF(FINANCIACION[[#This Row],[$ CAPITAL]]&gt;=0,FINANCIACION[[#This Row],[$ CAPITAL]]+FINANCIACION[[#This Row],[$ INTERESES]],"")</f>
        <v>1772218</v>
      </c>
      <c r="F346" s="5">
        <f>+SUMIFS(FINANCIACION[$ CAPITAL],FINANCIACION[Fecha],"&lt;="&amp;FINANCIACION[[#This Row],[Fecha]],FINANCIACION[PRESTAMO],FINANCIACION[[#This Row],[PRESTAMO]])</f>
        <v>-41250000</v>
      </c>
      <c r="G346" s="53"/>
      <c r="H346" s="53"/>
      <c r="I346" s="5">
        <f>IF(FINANCIACION[[#This Row],[$ CAPITAL]]&gt;0,FINANCIACION[[#This Row],[$ CAPITAL]])</f>
        <v>1250000</v>
      </c>
      <c r="J346" s="33">
        <f>IF(FINANCIACION[[#This Row],[$ CAPITAL]]&gt;=0,FINANCIACION[[#This Row],[$ CAPITAL]]+FINANCIACION[[#This Row],[$ INTERESES]],0)</f>
        <v>1772218</v>
      </c>
      <c r="K346" s="10"/>
      <c r="N346" s="6"/>
      <c r="O346" s="9"/>
      <c r="P346" s="8"/>
    </row>
    <row r="347" spans="1:16" ht="24" hidden="1" customHeight="1" x14ac:dyDescent="0.25">
      <c r="A347" s="109">
        <v>43521</v>
      </c>
      <c r="B347" s="50" t="s">
        <v>1511</v>
      </c>
      <c r="C347" s="5">
        <v>1250000</v>
      </c>
      <c r="D347" s="5">
        <v>508307</v>
      </c>
      <c r="E347" s="5">
        <f>+IF(FINANCIACION[[#This Row],[$ CAPITAL]]&gt;=0,FINANCIACION[[#This Row],[$ CAPITAL]]+FINANCIACION[[#This Row],[$ INTERESES]],"")</f>
        <v>1758307</v>
      </c>
      <c r="F347" s="5">
        <f>+SUMIFS(FINANCIACION[$ CAPITAL],FINANCIACION[Fecha],"&lt;="&amp;FINANCIACION[[#This Row],[Fecha]],FINANCIACION[PRESTAMO],FINANCIACION[[#This Row],[PRESTAMO]])</f>
        <v>-40000000</v>
      </c>
      <c r="G347" s="7"/>
      <c r="H347" s="53"/>
      <c r="I347" s="5">
        <f>IF(FINANCIACION[[#This Row],[$ CAPITAL]]&gt;0,FINANCIACION[[#This Row],[$ CAPITAL]])</f>
        <v>1250000</v>
      </c>
      <c r="J347" s="33">
        <f>IF(FINANCIACION[[#This Row],[$ CAPITAL]]&gt;=0,FINANCIACION[[#This Row],[$ CAPITAL]]+FINANCIACION[[#This Row],[$ INTERESES]],0)</f>
        <v>1758307</v>
      </c>
      <c r="K347" s="10"/>
      <c r="N347" s="6"/>
      <c r="O347" s="9"/>
      <c r="P347" s="8"/>
    </row>
    <row r="348" spans="1:16" ht="24" hidden="1" customHeight="1" x14ac:dyDescent="0.25">
      <c r="A348" s="109">
        <v>43549</v>
      </c>
      <c r="B348" s="50" t="s">
        <v>1511</v>
      </c>
      <c r="C348" s="5">
        <v>1250000</v>
      </c>
      <c r="D348" s="5">
        <v>493253</v>
      </c>
      <c r="E348" s="5">
        <f>+IF(FINANCIACION[[#This Row],[$ CAPITAL]]&gt;=0,FINANCIACION[[#This Row],[$ CAPITAL]]+FINANCIACION[[#This Row],[$ INTERESES]],"")</f>
        <v>1743253</v>
      </c>
      <c r="F348" s="5">
        <f>+SUMIFS(FINANCIACION[$ CAPITAL],FINANCIACION[Fecha],"&lt;="&amp;FINANCIACION[[#This Row],[Fecha]],FINANCIACION[PRESTAMO],FINANCIACION[[#This Row],[PRESTAMO]])</f>
        <v>-38750000</v>
      </c>
      <c r="G348" s="7"/>
      <c r="H348" s="53"/>
      <c r="I348" s="5">
        <f>IF(FINANCIACION[[#This Row],[$ CAPITAL]]&gt;0,FINANCIACION[[#This Row],[$ CAPITAL]])</f>
        <v>1250000</v>
      </c>
      <c r="J348" s="33">
        <f>IF(FINANCIACION[[#This Row],[$ CAPITAL]]&gt;=0,FINANCIACION[[#This Row],[$ CAPITAL]]+FINANCIACION[[#This Row],[$ INTERESES]],0)</f>
        <v>1743253</v>
      </c>
      <c r="K348" s="10"/>
      <c r="N348" s="6"/>
      <c r="O348" s="9"/>
      <c r="P348" s="8"/>
    </row>
    <row r="349" spans="1:16" ht="24" hidden="1" customHeight="1" x14ac:dyDescent="0.25">
      <c r="A349" s="109">
        <v>43580</v>
      </c>
      <c r="B349" s="50" t="s">
        <v>1511</v>
      </c>
      <c r="C349" s="5">
        <v>1250000</v>
      </c>
      <c r="D349" s="5">
        <v>476141</v>
      </c>
      <c r="E349" s="5">
        <f>+IF(FINANCIACION[[#This Row],[$ CAPITAL]]&gt;=0,FINANCIACION[[#This Row],[$ CAPITAL]]+FINANCIACION[[#This Row],[$ INTERESES]],"")</f>
        <v>1726141</v>
      </c>
      <c r="F349" s="5">
        <f>+SUMIFS(FINANCIACION[$ CAPITAL],FINANCIACION[Fecha],"&lt;="&amp;FINANCIACION[[#This Row],[Fecha]],FINANCIACION[PRESTAMO],FINANCIACION[[#This Row],[PRESTAMO]])</f>
        <v>-37500000</v>
      </c>
      <c r="G349" s="7"/>
      <c r="H349" s="53"/>
      <c r="I349" s="5">
        <f>IF(FINANCIACION[[#This Row],[$ CAPITAL]]&gt;0,FINANCIACION[[#This Row],[$ CAPITAL]])</f>
        <v>1250000</v>
      </c>
      <c r="J349" s="33">
        <f>IF(FINANCIACION[[#This Row],[$ CAPITAL]]&gt;=0,FINANCIACION[[#This Row],[$ CAPITAL]]+FINANCIACION[[#This Row],[$ INTERESES]],0)</f>
        <v>1726141</v>
      </c>
      <c r="K349" s="10"/>
      <c r="N349" s="6"/>
      <c r="O349" s="9"/>
      <c r="P349" s="8"/>
    </row>
    <row r="350" spans="1:16" ht="24" hidden="1" customHeight="1" x14ac:dyDescent="0.25">
      <c r="A350" s="109">
        <v>43593</v>
      </c>
      <c r="B350" s="50" t="s">
        <v>1511</v>
      </c>
      <c r="C350" s="5">
        <v>7500000</v>
      </c>
      <c r="D350" s="5"/>
      <c r="E350" s="5">
        <f>+IF(FINANCIACION[[#This Row],[$ CAPITAL]]&gt;=0,FINANCIACION[[#This Row],[$ CAPITAL]]+FINANCIACION[[#This Row],[$ INTERESES]],"")</f>
        <v>7500000</v>
      </c>
      <c r="F350" s="5">
        <f>+SUMIFS(FINANCIACION[$ CAPITAL],FINANCIACION[Fecha],"&lt;="&amp;FINANCIACION[[#This Row],[Fecha]],FINANCIACION[PRESTAMO],FINANCIACION[[#This Row],[PRESTAMO]])</f>
        <v>-30000000</v>
      </c>
      <c r="G350" s="7"/>
      <c r="H350" s="53"/>
      <c r="I350" s="5">
        <f>IF(FINANCIACION[[#This Row],[$ CAPITAL]]&gt;0,FINANCIACION[[#This Row],[$ CAPITAL]])</f>
        <v>7500000</v>
      </c>
      <c r="J350" s="33">
        <f>IF(FINANCIACION[[#This Row],[$ CAPITAL]]&gt;=0,FINANCIACION[[#This Row],[$ CAPITAL]]+FINANCIACION[[#This Row],[$ INTERESES]],0)</f>
        <v>7500000</v>
      </c>
      <c r="K350" s="10"/>
      <c r="N350" s="6"/>
      <c r="O350" s="9"/>
      <c r="P350" s="8"/>
    </row>
    <row r="351" spans="1:16" ht="24" hidden="1" customHeight="1" x14ac:dyDescent="0.25">
      <c r="A351" s="109">
        <v>43612</v>
      </c>
      <c r="B351" s="50" t="s">
        <v>1511</v>
      </c>
      <c r="C351" s="5">
        <v>1250000</v>
      </c>
      <c r="D351" s="5">
        <v>461769</v>
      </c>
      <c r="E351" s="5">
        <f>+IF(FINANCIACION[[#This Row],[$ CAPITAL]]&gt;=0,FINANCIACION[[#This Row],[$ CAPITAL]]+FINANCIACION[[#This Row],[$ INTERESES]],"")</f>
        <v>1711769</v>
      </c>
      <c r="F351" s="5">
        <f>+SUMIFS(FINANCIACION[$ CAPITAL],FINANCIACION[Fecha],"&lt;="&amp;FINANCIACION[[#This Row],[Fecha]],FINANCIACION[PRESTAMO],FINANCIACION[[#This Row],[PRESTAMO]])</f>
        <v>-28750000</v>
      </c>
      <c r="G351" s="7"/>
      <c r="H351" s="53"/>
      <c r="I351" s="5">
        <f>IF(FINANCIACION[[#This Row],[$ CAPITAL]]&gt;0,FINANCIACION[[#This Row],[$ CAPITAL]])</f>
        <v>1250000</v>
      </c>
      <c r="J351" s="33">
        <f>IF(FINANCIACION[[#This Row],[$ CAPITAL]]&gt;=0,FINANCIACION[[#This Row],[$ CAPITAL]]+FINANCIACION[[#This Row],[$ INTERESES]],0)</f>
        <v>1711769</v>
      </c>
      <c r="K351" s="10"/>
      <c r="N351" s="6"/>
      <c r="O351" s="9"/>
      <c r="P351" s="8"/>
    </row>
    <row r="352" spans="1:16" ht="24" hidden="1" customHeight="1" x14ac:dyDescent="0.25">
      <c r="A352" s="109">
        <v>43641</v>
      </c>
      <c r="B352" s="50" t="s">
        <v>1511</v>
      </c>
      <c r="C352" s="5">
        <v>1250000</v>
      </c>
      <c r="D352" s="5">
        <v>353517</v>
      </c>
      <c r="E352" s="5">
        <f>+IF(FINANCIACION[[#This Row],[$ CAPITAL]]&gt;=0,FINANCIACION[[#This Row],[$ CAPITAL]]+FINANCIACION[[#This Row],[$ INTERESES]],"")</f>
        <v>1603517</v>
      </c>
      <c r="F352" s="5">
        <f>+SUMIFS(FINANCIACION[$ CAPITAL],FINANCIACION[Fecha],"&lt;="&amp;FINANCIACION[[#This Row],[Fecha]],FINANCIACION[PRESTAMO],FINANCIACION[[#This Row],[PRESTAMO]])</f>
        <v>-27500000</v>
      </c>
      <c r="G352" s="53"/>
      <c r="H352" s="53"/>
      <c r="I352" s="5">
        <f>IF(FINANCIACION[[#This Row],[$ CAPITAL]]&gt;0,FINANCIACION[[#This Row],[$ CAPITAL]])</f>
        <v>1250000</v>
      </c>
      <c r="J352" s="33">
        <f>IF(FINANCIACION[[#This Row],[$ CAPITAL]]&gt;=0,FINANCIACION[[#This Row],[$ CAPITAL]]+FINANCIACION[[#This Row],[$ INTERESES]],0)</f>
        <v>1603517</v>
      </c>
      <c r="K352" s="10"/>
      <c r="N352" s="6"/>
      <c r="O352" s="9"/>
      <c r="P352" s="8"/>
    </row>
    <row r="353" spans="1:16" ht="24" hidden="1" customHeight="1" x14ac:dyDescent="0.25">
      <c r="A353" s="109">
        <v>43671</v>
      </c>
      <c r="B353" s="50" t="s">
        <v>1511</v>
      </c>
      <c r="C353" s="5">
        <v>1250000</v>
      </c>
      <c r="D353" s="5">
        <v>335262</v>
      </c>
      <c r="E353" s="5">
        <f>+IF(FINANCIACION[[#This Row],[$ CAPITAL]]&gt;=0,FINANCIACION[[#This Row],[$ CAPITAL]]+FINANCIACION[[#This Row],[$ INTERESES]],"")</f>
        <v>1585262</v>
      </c>
      <c r="F353" s="5">
        <f>+SUMIFS(FINANCIACION[$ CAPITAL],FINANCIACION[Fecha],"&lt;="&amp;FINANCIACION[[#This Row],[Fecha]],FINANCIACION[PRESTAMO],FINANCIACION[[#This Row],[PRESTAMO]])</f>
        <v>-26250000</v>
      </c>
      <c r="G353" s="7"/>
      <c r="H353" s="53"/>
      <c r="I353" s="5">
        <f>IF(FINANCIACION[[#This Row],[$ CAPITAL]]&gt;0,FINANCIACION[[#This Row],[$ CAPITAL]])</f>
        <v>1250000</v>
      </c>
      <c r="J353" s="33">
        <f>IF(FINANCIACION[[#This Row],[$ CAPITAL]]&gt;=0,FINANCIACION[[#This Row],[$ CAPITAL]]+FINANCIACION[[#This Row],[$ INTERESES]],0)</f>
        <v>1585262</v>
      </c>
      <c r="K353" s="10"/>
      <c r="N353" s="6"/>
      <c r="O353" s="9"/>
      <c r="P353" s="8"/>
    </row>
    <row r="354" spans="1:16" ht="24" hidden="1" customHeight="1" x14ac:dyDescent="0.25">
      <c r="A354" s="109">
        <v>43703</v>
      </c>
      <c r="B354" s="50" t="s">
        <v>1511</v>
      </c>
      <c r="C354" s="5">
        <v>1250000</v>
      </c>
      <c r="D354" s="5">
        <v>320711</v>
      </c>
      <c r="E354" s="5">
        <f>+IF(FINANCIACION[[#This Row],[$ CAPITAL]]&gt;=0,FINANCIACION[[#This Row],[$ CAPITAL]]+FINANCIACION[[#This Row],[$ INTERESES]],"")</f>
        <v>1570711</v>
      </c>
      <c r="F354" s="5">
        <f>+SUMIFS(FINANCIACION[$ CAPITAL],FINANCIACION[Fecha],"&lt;="&amp;FINANCIACION[[#This Row],[Fecha]],FINANCIACION[PRESTAMO],FINANCIACION[[#This Row],[PRESTAMO]])</f>
        <v>-25000000</v>
      </c>
      <c r="G354" s="7"/>
      <c r="H354" s="53"/>
      <c r="I354" s="5">
        <f>IF(FINANCIACION[[#This Row],[$ CAPITAL]]&gt;0,FINANCIACION[[#This Row],[$ CAPITAL]])</f>
        <v>1250000</v>
      </c>
      <c r="J354" s="33">
        <f>IF(FINANCIACION[[#This Row],[$ CAPITAL]]&gt;=0,FINANCIACION[[#This Row],[$ CAPITAL]]+FINANCIACION[[#This Row],[$ INTERESES]],0)</f>
        <v>1570711</v>
      </c>
      <c r="K354" s="10"/>
      <c r="N354" s="6"/>
      <c r="O354" s="9"/>
      <c r="P354" s="8"/>
    </row>
    <row r="355" spans="1:16" ht="24" hidden="1" customHeight="1" x14ac:dyDescent="0.25">
      <c r="A355" s="109">
        <v>43733</v>
      </c>
      <c r="B355" s="50" t="s">
        <v>1511</v>
      </c>
      <c r="C355" s="5">
        <v>1250000</v>
      </c>
      <c r="D355" s="5">
        <v>305659</v>
      </c>
      <c r="E355" s="5">
        <f>+IF(FINANCIACION[[#This Row],[$ CAPITAL]]&gt;=0,FINANCIACION[[#This Row],[$ CAPITAL]]+FINANCIACION[[#This Row],[$ INTERESES]],"")</f>
        <v>1555659</v>
      </c>
      <c r="F355" s="5">
        <f>+SUMIFS(FINANCIACION[$ CAPITAL],FINANCIACION[Fecha],"&lt;="&amp;FINANCIACION[[#This Row],[Fecha]],FINANCIACION[PRESTAMO],FINANCIACION[[#This Row],[PRESTAMO]])</f>
        <v>-23750000</v>
      </c>
      <c r="G355" s="7"/>
      <c r="H355" s="53"/>
      <c r="I355" s="5">
        <f>IF(FINANCIACION[[#This Row],[$ CAPITAL]]&gt;0,FINANCIACION[[#This Row],[$ CAPITAL]])</f>
        <v>1250000</v>
      </c>
      <c r="J355" s="33">
        <f>IF(FINANCIACION[[#This Row],[$ CAPITAL]]&gt;=0,FINANCIACION[[#This Row],[$ CAPITAL]]+FINANCIACION[[#This Row],[$ INTERESES]],0)</f>
        <v>1555659</v>
      </c>
      <c r="K355" s="10"/>
      <c r="N355" s="6"/>
      <c r="O355" s="9"/>
      <c r="P355" s="8"/>
    </row>
    <row r="356" spans="1:16" ht="24" hidden="1" customHeight="1" x14ac:dyDescent="0.25">
      <c r="A356" s="109">
        <v>43763</v>
      </c>
      <c r="B356" s="50" t="s">
        <v>1511</v>
      </c>
      <c r="C356" s="5">
        <v>1250000</v>
      </c>
      <c r="D356" s="5">
        <v>289544</v>
      </c>
      <c r="E356" s="5">
        <f>+IF(FINANCIACION[[#This Row],[$ CAPITAL]]&gt;=0,FINANCIACION[[#This Row],[$ CAPITAL]]+FINANCIACION[[#This Row],[$ INTERESES]],"")</f>
        <v>1539544</v>
      </c>
      <c r="F356" s="5">
        <f>+SUMIFS(FINANCIACION[$ CAPITAL],FINANCIACION[Fecha],"&lt;="&amp;FINANCIACION[[#This Row],[Fecha]],FINANCIACION[PRESTAMO],FINANCIACION[[#This Row],[PRESTAMO]])</f>
        <v>-22500000</v>
      </c>
      <c r="G356" s="7"/>
      <c r="H356" s="53"/>
      <c r="I356" s="5">
        <f>IF(FINANCIACION[[#This Row],[$ CAPITAL]]&gt;0,FINANCIACION[[#This Row],[$ CAPITAL]])</f>
        <v>1250000</v>
      </c>
      <c r="J356" s="33">
        <f>IF(FINANCIACION[[#This Row],[$ CAPITAL]]&gt;=0,FINANCIACION[[#This Row],[$ CAPITAL]]+FINANCIACION[[#This Row],[$ INTERESES]],0)</f>
        <v>1539544</v>
      </c>
      <c r="K356" s="10"/>
      <c r="N356" s="6"/>
      <c r="O356" s="9"/>
      <c r="P356" s="8"/>
    </row>
    <row r="357" spans="1:16" ht="24" hidden="1" customHeight="1" x14ac:dyDescent="0.25">
      <c r="A357" s="109">
        <v>43794</v>
      </c>
      <c r="B357" s="50" t="s">
        <v>1511</v>
      </c>
      <c r="C357" s="5">
        <v>1250000</v>
      </c>
      <c r="D357" s="5">
        <v>1130711</v>
      </c>
      <c r="E357" s="5">
        <f>+IF(FINANCIACION[[#This Row],[$ CAPITAL]]&gt;=0,FINANCIACION[[#This Row],[$ CAPITAL]]+FINANCIACION[[#This Row],[$ INTERESES]],"")</f>
        <v>2380711</v>
      </c>
      <c r="F357" s="5">
        <f>+SUMIFS(FINANCIACION[$ CAPITAL],FINANCIACION[Fecha],"&lt;="&amp;FINANCIACION[[#This Row],[Fecha]],FINANCIACION[PRESTAMO],FINANCIACION[[#This Row],[PRESTAMO]])</f>
        <v>-21250000</v>
      </c>
      <c r="G357" s="53"/>
      <c r="H357" s="53"/>
      <c r="I357" s="5">
        <f>IF(FINANCIACION[[#This Row],[$ CAPITAL]]&gt;0,FINANCIACION[[#This Row],[$ CAPITAL]])</f>
        <v>1250000</v>
      </c>
      <c r="J357" s="33">
        <f>IF(FINANCIACION[[#This Row],[$ CAPITAL]]&gt;=0,FINANCIACION[[#This Row],[$ CAPITAL]]+FINANCIACION[[#This Row],[$ INTERESES]],0)</f>
        <v>2380711</v>
      </c>
      <c r="K357" s="10"/>
      <c r="N357" s="6"/>
      <c r="O357" s="9"/>
      <c r="P357" s="8"/>
    </row>
    <row r="358" spans="1:16" ht="24" hidden="1" customHeight="1" x14ac:dyDescent="0.25">
      <c r="A358" s="109">
        <v>43825</v>
      </c>
      <c r="B358" s="50" t="s">
        <v>1511</v>
      </c>
      <c r="C358" s="5">
        <v>1250000</v>
      </c>
      <c r="D358" s="5">
        <v>260739</v>
      </c>
      <c r="E358" s="5">
        <f>+IF(FINANCIACION[[#This Row],[$ CAPITAL]]&gt;=0,FINANCIACION[[#This Row],[$ CAPITAL]]+FINANCIACION[[#This Row],[$ INTERESES]],"")</f>
        <v>1510739</v>
      </c>
      <c r="F358" s="5">
        <f>+SUMIFS(FINANCIACION[$ CAPITAL],FINANCIACION[Fecha],"&lt;="&amp;FINANCIACION[[#This Row],[Fecha]],FINANCIACION[PRESTAMO],FINANCIACION[[#This Row],[PRESTAMO]])</f>
        <v>-20000000</v>
      </c>
      <c r="G358" s="7"/>
      <c r="H358" s="53"/>
      <c r="I358" s="5">
        <f>IF(FINANCIACION[[#This Row],[$ CAPITAL]]&gt;0,FINANCIACION[[#This Row],[$ CAPITAL]])</f>
        <v>1250000</v>
      </c>
      <c r="J358" s="33">
        <f>IF(FINANCIACION[[#This Row],[$ CAPITAL]]&gt;=0,FINANCIACION[[#This Row],[$ CAPITAL]]+FINANCIACION[[#This Row],[$ INTERESES]],0)</f>
        <v>1510739</v>
      </c>
      <c r="K358" s="10"/>
      <c r="N358" s="6"/>
      <c r="O358" s="9"/>
      <c r="P358" s="8"/>
    </row>
    <row r="359" spans="1:16" ht="24" hidden="1" customHeight="1" x14ac:dyDescent="0.25">
      <c r="A359" s="298">
        <v>43855</v>
      </c>
      <c r="B359" s="50" t="s">
        <v>1511</v>
      </c>
      <c r="C359" s="5">
        <v>1250000</v>
      </c>
      <c r="D359" s="5">
        <v>244877</v>
      </c>
      <c r="E359" s="5">
        <f>+IF(FINANCIACION[[#This Row],[$ CAPITAL]]&gt;=0,FINANCIACION[[#This Row],[$ CAPITAL]]+FINANCIACION[[#This Row],[$ INTERESES]],"")</f>
        <v>1494877</v>
      </c>
      <c r="F359" s="5">
        <f>+SUMIFS(FINANCIACION[$ CAPITAL],FINANCIACION[Fecha],"&lt;="&amp;FINANCIACION[[#This Row],[Fecha]],FINANCIACION[PRESTAMO],FINANCIACION[[#This Row],[PRESTAMO]])</f>
        <v>-18750000</v>
      </c>
      <c r="G359" s="7"/>
      <c r="H359" s="53"/>
      <c r="I359" s="5">
        <f>IF(FINANCIACION[[#This Row],[$ CAPITAL]]&gt;0,FINANCIACION[[#This Row],[$ CAPITAL]])</f>
        <v>1250000</v>
      </c>
      <c r="J359" s="33">
        <f>IF(FINANCIACION[[#This Row],[$ CAPITAL]]&gt;=0,FINANCIACION[[#This Row],[$ CAPITAL]]+FINANCIACION[[#This Row],[$ INTERESES]],0)</f>
        <v>1494877</v>
      </c>
      <c r="K359" s="10"/>
      <c r="N359" s="6"/>
      <c r="O359" s="9"/>
      <c r="P359" s="8"/>
    </row>
    <row r="360" spans="1:16" ht="24" hidden="1" customHeight="1" x14ac:dyDescent="0.25">
      <c r="A360" s="298">
        <v>43886</v>
      </c>
      <c r="B360" s="50" t="s">
        <v>1511</v>
      </c>
      <c r="C360" s="5">
        <v>1250000</v>
      </c>
      <c r="D360" s="5">
        <v>229080</v>
      </c>
      <c r="E360" s="5">
        <f>+IF(FINANCIACION[[#This Row],[$ CAPITAL]]&gt;=0,FINANCIACION[[#This Row],[$ CAPITAL]]+FINANCIACION[[#This Row],[$ INTERESES]],"")</f>
        <v>1479080</v>
      </c>
      <c r="F360" s="5">
        <f>+SUMIFS(FINANCIACION[$ CAPITAL],FINANCIACION[Fecha],"&lt;="&amp;FINANCIACION[[#This Row],[Fecha]],FINANCIACION[PRESTAMO],FINANCIACION[[#This Row],[PRESTAMO]])</f>
        <v>-17500000</v>
      </c>
      <c r="G360" s="53"/>
      <c r="H360" s="53"/>
      <c r="I360" s="5">
        <f>IF(FINANCIACION[[#This Row],[$ CAPITAL]]&gt;0,FINANCIACION[[#This Row],[$ CAPITAL]])</f>
        <v>1250000</v>
      </c>
      <c r="J360" s="33">
        <f>IF(FINANCIACION[[#This Row],[$ CAPITAL]]&gt;=0,FINANCIACION[[#This Row],[$ CAPITAL]]+FINANCIACION[[#This Row],[$ INTERESES]],0)</f>
        <v>1479080</v>
      </c>
      <c r="K360" s="10"/>
      <c r="N360" s="6"/>
      <c r="O360" s="9"/>
      <c r="P360" s="8"/>
    </row>
    <row r="361" spans="1:16" ht="24" hidden="1" customHeight="1" x14ac:dyDescent="0.25">
      <c r="A361" s="298">
        <v>43915</v>
      </c>
      <c r="B361" s="50" t="s">
        <v>1511</v>
      </c>
      <c r="C361" s="5">
        <v>1250000</v>
      </c>
      <c r="D361" s="5">
        <v>214114</v>
      </c>
      <c r="E361" s="5">
        <f>+IF(FINANCIACION[[#This Row],[$ CAPITAL]]&gt;=0,FINANCIACION[[#This Row],[$ CAPITAL]]+FINANCIACION[[#This Row],[$ INTERESES]],"")</f>
        <v>1464114</v>
      </c>
      <c r="F361" s="5">
        <f>+SUMIFS(FINANCIACION[$ CAPITAL],FINANCIACION[Fecha],"&lt;="&amp;FINANCIACION[[#This Row],[Fecha]],FINANCIACION[PRESTAMO],FINANCIACION[[#This Row],[PRESTAMO]])</f>
        <v>-16250000</v>
      </c>
      <c r="G361" s="53"/>
      <c r="H361" s="53"/>
      <c r="I361" s="5">
        <f>IF(FINANCIACION[[#This Row],[$ CAPITAL]]&gt;0,FINANCIACION[[#This Row],[$ CAPITAL]])</f>
        <v>1250000</v>
      </c>
      <c r="J361" s="33">
        <f>IF(FINANCIACION[[#This Row],[$ CAPITAL]]&gt;=0,FINANCIACION[[#This Row],[$ CAPITAL]]+FINANCIACION[[#This Row],[$ INTERESES]],0)</f>
        <v>1464114</v>
      </c>
      <c r="K361" s="10"/>
      <c r="N361" s="6"/>
      <c r="O361" s="9"/>
      <c r="P361" s="8"/>
    </row>
    <row r="362" spans="1:16" ht="24" hidden="1" customHeight="1" x14ac:dyDescent="0.25">
      <c r="A362" s="298">
        <v>44081</v>
      </c>
      <c r="B362" s="50" t="s">
        <v>1511</v>
      </c>
      <c r="C362" s="5"/>
      <c r="D362" s="5">
        <v>31575</v>
      </c>
      <c r="E362" s="5">
        <f>+IF(FINANCIACION[[#This Row],[$ CAPITAL]]&gt;=0,FINANCIACION[[#This Row],[$ CAPITAL]]+FINANCIACION[[#This Row],[$ INTERESES]],"")</f>
        <v>31575</v>
      </c>
      <c r="F362" s="5">
        <f>+SUMIFS(FINANCIACION[$ CAPITAL],FINANCIACION[Fecha],"&lt;="&amp;FINANCIACION[[#This Row],[Fecha]],FINANCIACION[PRESTAMO],FINANCIACION[[#This Row],[PRESTAMO]])</f>
        <v>-16250000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31575</v>
      </c>
      <c r="K362" s="10"/>
      <c r="N362" s="6"/>
      <c r="O362" s="9"/>
      <c r="P362" s="8"/>
    </row>
    <row r="363" spans="1:16" ht="24" hidden="1" customHeight="1" x14ac:dyDescent="0.25">
      <c r="A363" s="298">
        <v>44104</v>
      </c>
      <c r="B363" s="50" t="s">
        <v>1511</v>
      </c>
      <c r="C363" s="5">
        <v>-38080833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-54330833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  <c r="K363" s="10"/>
      <c r="N363" s="6"/>
      <c r="O363" s="9"/>
      <c r="P363" s="8"/>
    </row>
    <row r="364" spans="1:16" ht="24" hidden="1" customHeight="1" x14ac:dyDescent="0.25">
      <c r="A364" s="298">
        <v>44138</v>
      </c>
      <c r="B364" s="50" t="s">
        <v>1511</v>
      </c>
      <c r="C364" s="5"/>
      <c r="D364" s="5">
        <v>76830</v>
      </c>
      <c r="E364" s="5">
        <f>+IF(FINANCIACION[[#This Row],[$ CAPITAL]]&gt;=0,FINANCIACION[[#This Row],[$ CAPITAL]]+FINANCIACION[[#This Row],[$ INTERESES]],"")</f>
        <v>76830</v>
      </c>
      <c r="F364" s="5">
        <f>+SUMIFS(FINANCIACION[$ CAPITAL],FINANCIACION[Fecha],"&lt;="&amp;FINANCIACION[[#This Row],[Fecha]],FINANCIACION[PRESTAMO],FINANCIACION[[#This Row],[PRESTAMO]])</f>
        <v>-54330833</v>
      </c>
      <c r="G364" s="7"/>
      <c r="H364" s="53"/>
      <c r="I364" s="5" t="b">
        <f>IF(FINANCIACION[[#This Row],[$ CAPITAL]]&gt;0,FINANCIACION[[#This Row],[$ CAPITAL]])</f>
        <v>0</v>
      </c>
      <c r="J364" s="33">
        <f>IF(FINANCIACION[[#This Row],[$ CAPITAL]]&gt;=0,FINANCIACION[[#This Row],[$ CAPITAL]]+FINANCIACION[[#This Row],[$ INTERESES]],0)</f>
        <v>76830</v>
      </c>
      <c r="K364" s="10"/>
      <c r="N364" s="6"/>
      <c r="O364" s="9"/>
      <c r="P364" s="8"/>
    </row>
    <row r="365" spans="1:16" ht="24" hidden="1" customHeight="1" x14ac:dyDescent="0.25">
      <c r="A365" s="298">
        <v>44165</v>
      </c>
      <c r="B365" s="50" t="s">
        <v>1511</v>
      </c>
      <c r="C365" s="5"/>
      <c r="D365" s="5">
        <v>76791</v>
      </c>
      <c r="E365" s="5">
        <f>+IF(FINANCIACION[[#This Row],[$ CAPITAL]]&gt;=0,FINANCIACION[[#This Row],[$ CAPITAL]]+FINANCIACION[[#This Row],[$ INTERESES]],"")</f>
        <v>76791</v>
      </c>
      <c r="F365" s="5">
        <f>+SUMIFS(FINANCIACION[$ CAPITAL],FINANCIACION[Fecha],"&lt;="&amp;FINANCIACION[[#This Row],[Fecha]],FINANCIACION[PRESTAMO],FINANCIACION[[#This Row],[PRESTAMO]])</f>
        <v>-54330833</v>
      </c>
      <c r="G365" s="7"/>
      <c r="H365" s="53"/>
      <c r="I365" s="5" t="b">
        <f>IF(FINANCIACION[[#This Row],[$ CAPITAL]]&gt;0,FINANCIACION[[#This Row],[$ CAPITAL]])</f>
        <v>0</v>
      </c>
      <c r="J365" s="33">
        <f>IF(FINANCIACION[[#This Row],[$ CAPITAL]]&gt;=0,FINANCIACION[[#This Row],[$ CAPITAL]]+FINANCIACION[[#This Row],[$ INTERESES]],0)</f>
        <v>76791</v>
      </c>
      <c r="K365" s="10"/>
      <c r="N365" s="6"/>
      <c r="O365" s="9"/>
      <c r="P365" s="8"/>
    </row>
    <row r="366" spans="1:16" ht="24" hidden="1" customHeight="1" x14ac:dyDescent="0.25">
      <c r="A366" s="298">
        <v>44196</v>
      </c>
      <c r="B366" s="50" t="s">
        <v>1511</v>
      </c>
      <c r="C366" s="5"/>
      <c r="D366" s="5">
        <v>76791</v>
      </c>
      <c r="E366" s="5">
        <f>+IF(FINANCIACION[[#This Row],[$ CAPITAL]]&gt;=0,FINANCIACION[[#This Row],[$ CAPITAL]]+FINANCIACION[[#This Row],[$ INTERESES]],"")</f>
        <v>76791</v>
      </c>
      <c r="F366" s="5">
        <f>+SUMIFS(FINANCIACION[$ CAPITAL],FINANCIACION[Fecha],"&lt;="&amp;FINANCIACION[[#This Row],[Fecha]],FINANCIACION[PRESTAMO],FINANCIACION[[#This Row],[PRESTAMO]])</f>
        <v>-54330833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76791</v>
      </c>
      <c r="K366" s="10"/>
      <c r="N366" s="6"/>
      <c r="O366" s="9"/>
      <c r="P366" s="8"/>
    </row>
    <row r="367" spans="1:16" ht="24" hidden="1" customHeight="1" x14ac:dyDescent="0.25">
      <c r="A367" s="109">
        <v>44228</v>
      </c>
      <c r="B367" s="50" t="s">
        <v>1511</v>
      </c>
      <c r="C367" s="5"/>
      <c r="D367" s="5">
        <v>76791</v>
      </c>
      <c r="E367" s="5">
        <f>+IF(FINANCIACION[[#This Row],[$ CAPITAL]]&gt;=0,FINANCIACION[[#This Row],[$ CAPITAL]]+FINANCIACION[[#This Row],[$ INTERESES]],"")</f>
        <v>76791</v>
      </c>
      <c r="F367" s="5">
        <f>+SUMIFS(FINANCIACION[$ CAPITAL],FINANCIACION[Fecha],"&lt;="&amp;FINANCIACION[[#This Row],[Fecha]],FINANCIACION[PRESTAMO],FINANCIACION[[#This Row],[PRESTAMO]])</f>
        <v>-54330833</v>
      </c>
      <c r="G367" s="7"/>
      <c r="H367" s="53"/>
      <c r="I367" s="5" t="b">
        <f>IF(FINANCIACION[[#This Row],[$ CAPITAL]]&gt;0,FINANCIACION[[#This Row],[$ CAPITAL]])</f>
        <v>0</v>
      </c>
      <c r="J367" s="33">
        <f>IF(FINANCIACION[[#This Row],[$ CAPITAL]]&gt;=0,FINANCIACION[[#This Row],[$ CAPITAL]]+FINANCIACION[[#This Row],[$ INTERESES]],0)</f>
        <v>76791</v>
      </c>
      <c r="K367" s="10"/>
      <c r="N367" s="6"/>
      <c r="O367" s="9"/>
      <c r="P367" s="8"/>
    </row>
    <row r="368" spans="1:16" ht="24" hidden="1" customHeight="1" x14ac:dyDescent="0.25">
      <c r="A368" s="109">
        <v>44256</v>
      </c>
      <c r="B368" s="50" t="s">
        <v>1511</v>
      </c>
      <c r="C368" s="5"/>
      <c r="D368" s="5">
        <v>462578</v>
      </c>
      <c r="E368" s="5">
        <f>+IF(FINANCIACION[[#This Row],[$ CAPITAL]]&gt;=0,FINANCIACION[[#This Row],[$ CAPITAL]]+FINANCIACION[[#This Row],[$ INTERESES]],"")</f>
        <v>462578</v>
      </c>
      <c r="F368" s="5">
        <f>+SUMIFS(FINANCIACION[$ CAPITAL],FINANCIACION[Fecha],"&lt;="&amp;FINANCIACION[[#This Row],[Fecha]],FINANCIACION[PRESTAMO],FINANCIACION[[#This Row],[PRESTAMO]])</f>
        <v>-54330833</v>
      </c>
      <c r="G368" s="7"/>
      <c r="H368" s="53"/>
      <c r="I368" s="5" t="b">
        <f>IF(FINANCIACION[[#This Row],[$ CAPITAL]]&gt;0,FINANCIACION[[#This Row],[$ CAPITAL]])</f>
        <v>0</v>
      </c>
      <c r="J368" s="33">
        <f>IF(FINANCIACION[[#This Row],[$ CAPITAL]]&gt;=0,FINANCIACION[[#This Row],[$ CAPITAL]]+FINANCIACION[[#This Row],[$ INTERESES]],0)</f>
        <v>462578</v>
      </c>
      <c r="K368" s="10"/>
      <c r="N368" s="6"/>
      <c r="O368" s="9"/>
      <c r="P368" s="8"/>
    </row>
    <row r="369" spans="1:16" ht="24" hidden="1" customHeight="1" x14ac:dyDescent="0.25">
      <c r="A369" s="109">
        <v>44286</v>
      </c>
      <c r="B369" s="50" t="s">
        <v>1511</v>
      </c>
      <c r="C369" s="5">
        <v>1468400</v>
      </c>
      <c r="D369" s="5">
        <v>506320</v>
      </c>
      <c r="E369" s="5">
        <f>+IF(FINANCIACION[[#This Row],[$ CAPITAL]]&gt;=0,FINANCIACION[[#This Row],[$ CAPITAL]]+FINANCIACION[[#This Row],[$ INTERESES]],"")</f>
        <v>1974720</v>
      </c>
      <c r="F369" s="5">
        <f>+SUMIFS(FINANCIACION[$ CAPITAL],FINANCIACION[Fecha],"&lt;="&amp;FINANCIACION[[#This Row],[Fecha]],FINANCIACION[PRESTAMO],FINANCIACION[[#This Row],[PRESTAMO]])</f>
        <v>-52862433</v>
      </c>
      <c r="G369" s="7"/>
      <c r="H369" s="53"/>
      <c r="I369" s="5">
        <f>IF(FINANCIACION[[#This Row],[$ CAPITAL]]&gt;0,FINANCIACION[[#This Row],[$ CAPITAL]])</f>
        <v>1468400</v>
      </c>
      <c r="J369" s="33">
        <f>IF(FINANCIACION[[#This Row],[$ CAPITAL]]&gt;=0,FINANCIACION[[#This Row],[$ CAPITAL]]+FINANCIACION[[#This Row],[$ INTERESES]],0)</f>
        <v>1974720</v>
      </c>
      <c r="K369" s="10"/>
      <c r="N369" s="6"/>
      <c r="O369" s="9"/>
      <c r="P369" s="8"/>
    </row>
    <row r="370" spans="1:16" ht="24" hidden="1" customHeight="1" x14ac:dyDescent="0.25">
      <c r="A370" s="109">
        <v>44316</v>
      </c>
      <c r="B370" s="50" t="s">
        <v>1511</v>
      </c>
      <c r="C370" s="5">
        <v>1468400</v>
      </c>
      <c r="D370" s="5">
        <v>506320</v>
      </c>
      <c r="E370" s="5">
        <f>+IF(FINANCIACION[[#This Row],[$ CAPITAL]]&gt;=0,FINANCIACION[[#This Row],[$ CAPITAL]]+FINANCIACION[[#This Row],[$ INTERESES]],"")</f>
        <v>1974720</v>
      </c>
      <c r="F370" s="5">
        <f>+SUMIFS(FINANCIACION[$ CAPITAL],FINANCIACION[Fecha],"&lt;="&amp;FINANCIACION[[#This Row],[Fecha]],FINANCIACION[PRESTAMO],FINANCIACION[[#This Row],[PRESTAMO]])</f>
        <v>-51394000</v>
      </c>
      <c r="G370" s="7"/>
      <c r="H370" s="53"/>
      <c r="I370" s="5">
        <f>IF(FINANCIACION[[#This Row],[$ CAPITAL]]&gt;0,FINANCIACION[[#This Row],[$ CAPITAL]])</f>
        <v>1468400</v>
      </c>
      <c r="J370" s="33">
        <f>IF(FINANCIACION[[#This Row],[$ CAPITAL]]&gt;=0,FINANCIACION[[#This Row],[$ CAPITAL]]+FINANCIACION[[#This Row],[$ INTERESES]],0)</f>
        <v>1974720</v>
      </c>
      <c r="K370" s="10"/>
      <c r="N370" s="6"/>
      <c r="O370" s="9"/>
      <c r="P370" s="8"/>
    </row>
    <row r="371" spans="1:16" ht="24" hidden="1" customHeight="1" x14ac:dyDescent="0.25">
      <c r="A371" s="109">
        <v>44316</v>
      </c>
      <c r="B371" s="50" t="s">
        <v>1511</v>
      </c>
      <c r="C371" s="5">
        <v>33</v>
      </c>
      <c r="D371" s="5"/>
      <c r="E371" s="5">
        <f>+IF(FINANCIACION[[#This Row],[$ CAPITAL]]&gt;=0,FINANCIACION[[#This Row],[$ CAPITAL]]+FINANCIACION[[#This Row],[$ INTERESES]],"")</f>
        <v>33</v>
      </c>
      <c r="F371" s="5">
        <f>+SUMIFS(FINANCIACION[$ CAPITAL],FINANCIACION[Fecha],"&lt;="&amp;FINANCIACION[[#This Row],[Fecha]],FINANCIACION[PRESTAMO],FINANCIACION[[#This Row],[PRESTAMO]])</f>
        <v>-51394000</v>
      </c>
      <c r="G371" s="7" t="s">
        <v>153</v>
      </c>
      <c r="H371" s="53"/>
      <c r="I371" s="5">
        <f>IF(FINANCIACION[[#This Row],[$ CAPITAL]]&gt;0,FINANCIACION[[#This Row],[$ CAPITAL]])</f>
        <v>33</v>
      </c>
      <c r="J371" s="33">
        <f>IF(FINANCIACION[[#This Row],[$ CAPITAL]]&gt;=0,FINANCIACION[[#This Row],[$ CAPITAL]]+FINANCIACION[[#This Row],[$ INTERESES]],0)</f>
        <v>33</v>
      </c>
      <c r="K371" s="10"/>
      <c r="N371" s="6"/>
      <c r="O371" s="9"/>
      <c r="P371" s="8"/>
    </row>
    <row r="372" spans="1:16" ht="24" hidden="1" customHeight="1" x14ac:dyDescent="0.25">
      <c r="A372" s="109">
        <v>44347</v>
      </c>
      <c r="B372" s="50" t="s">
        <v>1511</v>
      </c>
      <c r="C372" s="5">
        <v>1468400</v>
      </c>
      <c r="D372" s="5">
        <v>477575</v>
      </c>
      <c r="E372" s="5">
        <f>+IF(FINANCIACION[[#This Row],[$ CAPITAL]]&gt;=0,FINANCIACION[[#This Row],[$ CAPITAL]]+FINANCIACION[[#This Row],[$ INTERESES]],"")</f>
        <v>1945975</v>
      </c>
      <c r="F372" s="5">
        <f>+SUMIFS(FINANCIACION[$ CAPITAL],FINANCIACION[Fecha],"&lt;="&amp;FINANCIACION[[#This Row],[Fecha]],FINANCIACION[PRESTAMO],FINANCIACION[[#This Row],[PRESTAMO]])</f>
        <v>-49925600</v>
      </c>
      <c r="G372" s="7"/>
      <c r="H372" s="53"/>
      <c r="I372" s="5">
        <f>IF(FINANCIACION[[#This Row],[$ CAPITAL]]&gt;0,FINANCIACION[[#This Row],[$ CAPITAL]])</f>
        <v>1468400</v>
      </c>
      <c r="J372" s="8">
        <f>IF(FINANCIACION[[#This Row],[$ CAPITAL]]&gt;=0,FINANCIACION[[#This Row],[$ CAPITAL]]+FINANCIACION[[#This Row],[$ INTERESES]],0)</f>
        <v>1945975</v>
      </c>
      <c r="K372" s="10"/>
      <c r="N372" s="6"/>
      <c r="O372" s="9"/>
      <c r="P372" s="8"/>
    </row>
    <row r="373" spans="1:16" ht="24" hidden="1" customHeight="1" x14ac:dyDescent="0.25">
      <c r="A373" s="109">
        <v>44377</v>
      </c>
      <c r="B373" s="50" t="s">
        <v>1511</v>
      </c>
      <c r="C373" s="5">
        <v>1468400</v>
      </c>
      <c r="D373" s="5">
        <v>453711</v>
      </c>
      <c r="E373" s="5">
        <f>+IF(FINANCIACION[[#This Row],[$ CAPITAL]]&gt;=0,FINANCIACION[[#This Row],[$ CAPITAL]]+FINANCIACION[[#This Row],[$ INTERESES]],"")</f>
        <v>1922111</v>
      </c>
      <c r="F373" s="5">
        <f>+SUMIFS(FINANCIACION[$ CAPITAL],FINANCIACION[Fecha],"&lt;="&amp;FINANCIACION[[#This Row],[Fecha]],FINANCIACION[PRESTAMO],FINANCIACION[[#This Row],[PRESTAMO]])</f>
        <v>-48457200</v>
      </c>
      <c r="G373" s="53"/>
      <c r="H373" s="53"/>
      <c r="I373" s="5">
        <f>IF(FINANCIACION[[#This Row],[$ CAPITAL]]&gt;0,FINANCIACION[[#This Row],[$ CAPITAL]])</f>
        <v>1468400</v>
      </c>
      <c r="J373" s="33">
        <f>IF(FINANCIACION[[#This Row],[$ CAPITAL]]&gt;=0,FINANCIACION[[#This Row],[$ CAPITAL]]+FINANCIACION[[#This Row],[$ INTERESES]],0)</f>
        <v>1922111</v>
      </c>
      <c r="K373" s="10"/>
      <c r="N373" s="6"/>
      <c r="O373" s="9"/>
      <c r="P373" s="8"/>
    </row>
    <row r="374" spans="1:16" ht="24" hidden="1" customHeight="1" x14ac:dyDescent="0.25">
      <c r="A374" s="109">
        <v>44410</v>
      </c>
      <c r="B374" s="50" t="s">
        <v>1511</v>
      </c>
      <c r="C374" s="5">
        <v>1468400</v>
      </c>
      <c r="D374" s="5">
        <v>455909</v>
      </c>
      <c r="E374" s="5">
        <f>+IF(FINANCIACION[[#This Row],[$ CAPITAL]]&gt;=0,FINANCIACION[[#This Row],[$ CAPITAL]]+FINANCIACION[[#This Row],[$ INTERESES]],"")</f>
        <v>1924309</v>
      </c>
      <c r="F374" s="5">
        <f>+SUMIFS(FINANCIACION[$ CAPITAL],FINANCIACION[Fecha],"&lt;="&amp;FINANCIACION[[#This Row],[Fecha]],FINANCIACION[PRESTAMO],FINANCIACION[[#This Row],[PRESTAMO]])</f>
        <v>-46988800</v>
      </c>
      <c r="G374" s="7"/>
      <c r="H374" s="53"/>
      <c r="I374" s="5">
        <f>IF(FINANCIACION[[#This Row],[$ CAPITAL]]&gt;0,FINANCIACION[[#This Row],[$ CAPITAL]])</f>
        <v>1468400</v>
      </c>
      <c r="J374" s="8">
        <f>IF(FINANCIACION[[#This Row],[$ CAPITAL]]&gt;=0,FINANCIACION[[#This Row],[$ CAPITAL]]+FINANCIACION[[#This Row],[$ INTERESES]],0)</f>
        <v>1924309</v>
      </c>
      <c r="K374" s="10"/>
      <c r="N374" s="6"/>
      <c r="O374" s="9"/>
      <c r="P374" s="8"/>
    </row>
    <row r="375" spans="1:16" ht="24" hidden="1" customHeight="1" x14ac:dyDescent="0.25">
      <c r="A375" s="109">
        <v>44439</v>
      </c>
      <c r="B375" s="50" t="s">
        <v>1511</v>
      </c>
      <c r="C375" s="5">
        <v>1468400</v>
      </c>
      <c r="D375" s="5">
        <v>442095</v>
      </c>
      <c r="E375" s="5">
        <f>+IF(FINANCIACION[[#This Row],[$ CAPITAL]]&gt;=0,FINANCIACION[[#This Row],[$ CAPITAL]]+FINANCIACION[[#This Row],[$ INTERESES]],"")</f>
        <v>1910495</v>
      </c>
      <c r="F375" s="5">
        <f>+SUMIFS(FINANCIACION[$ CAPITAL],FINANCIACION[Fecha],"&lt;="&amp;FINANCIACION[[#This Row],[Fecha]],FINANCIACION[PRESTAMO],FINANCIACION[[#This Row],[PRESTAMO]])</f>
        <v>-45520400</v>
      </c>
      <c r="G375" s="7"/>
      <c r="H375" s="53"/>
      <c r="I375" s="5">
        <f>IF(FINANCIACION[[#This Row],[$ CAPITAL]]&gt;0,FINANCIACION[[#This Row],[$ CAPITAL]])</f>
        <v>1468400</v>
      </c>
      <c r="J375" s="8">
        <f>IF(FINANCIACION[[#This Row],[$ CAPITAL]]&gt;=0,FINANCIACION[[#This Row],[$ CAPITAL]]+FINANCIACION[[#This Row],[$ INTERESES]],0)</f>
        <v>1910495</v>
      </c>
      <c r="K375" s="10"/>
      <c r="N375" s="6"/>
      <c r="O375" s="9"/>
      <c r="P375" s="8"/>
    </row>
    <row r="376" spans="1:16" ht="24" hidden="1" customHeight="1" x14ac:dyDescent="0.25">
      <c r="A376" s="109">
        <v>44469</v>
      </c>
      <c r="B376" s="50" t="s">
        <v>1511</v>
      </c>
      <c r="C376" s="5">
        <v>1468400</v>
      </c>
      <c r="D376" s="5">
        <v>418397</v>
      </c>
      <c r="E376" s="5">
        <f>+IF(FINANCIACION[[#This Row],[$ CAPITAL]]&gt;=0,FINANCIACION[[#This Row],[$ CAPITAL]]+FINANCIACION[[#This Row],[$ INTERESES]],"")</f>
        <v>1886797</v>
      </c>
      <c r="F376" s="5">
        <f>+SUMIFS(FINANCIACION[$ CAPITAL],FINANCIACION[Fecha],"&lt;="&amp;FINANCIACION[[#This Row],[Fecha]],FINANCIACION[PRESTAMO],FINANCIACION[[#This Row],[PRESTAMO]])</f>
        <v>-44052000</v>
      </c>
      <c r="G376" s="7"/>
      <c r="H376" s="53"/>
      <c r="I376" s="5">
        <f>IF(FINANCIACION[[#This Row],[$ CAPITAL]]&gt;0,FINANCIACION[[#This Row],[$ CAPITAL]])</f>
        <v>1468400</v>
      </c>
      <c r="J376" s="8">
        <f>IF(FINANCIACION[[#This Row],[$ CAPITAL]]&gt;=0,FINANCIACION[[#This Row],[$ CAPITAL]]+FINANCIACION[[#This Row],[$ INTERESES]],0)</f>
        <v>1886797</v>
      </c>
      <c r="K376" s="10"/>
      <c r="N376" s="6"/>
      <c r="O376" s="9"/>
      <c r="P376" s="8"/>
    </row>
    <row r="377" spans="1:16" ht="24" hidden="1" customHeight="1" x14ac:dyDescent="0.25">
      <c r="A377" s="109">
        <v>44502</v>
      </c>
      <c r="B377" s="50" t="s">
        <v>1511</v>
      </c>
      <c r="C377" s="5">
        <v>1468400</v>
      </c>
      <c r="D377" s="5">
        <v>418397</v>
      </c>
      <c r="E377" s="5">
        <f>+IF(FINANCIACION[[#This Row],[$ CAPITAL]]&gt;=0,FINANCIACION[[#This Row],[$ CAPITAL]]+FINANCIACION[[#This Row],[$ INTERESES]],"")</f>
        <v>1886797</v>
      </c>
      <c r="F377" s="5">
        <f>+SUMIFS(FINANCIACION[$ CAPITAL],FINANCIACION[Fecha],"&lt;="&amp;FINANCIACION[[#This Row],[Fecha]],FINANCIACION[PRESTAMO],FINANCIACION[[#This Row],[PRESTAMO]])</f>
        <v>-42583600</v>
      </c>
      <c r="G377" s="53"/>
      <c r="H377" s="53"/>
      <c r="I377" s="5">
        <f>IF(FINANCIACION[[#This Row],[$ CAPITAL]]&gt;0,FINANCIACION[[#This Row],[$ CAPITAL]])</f>
        <v>1468400</v>
      </c>
      <c r="J377" s="33">
        <f>IF(FINANCIACION[[#This Row],[$ CAPITAL]]&gt;=0,FINANCIACION[[#This Row],[$ CAPITAL]]+FINANCIACION[[#This Row],[$ INTERESES]],0)</f>
        <v>1886797</v>
      </c>
      <c r="K377" s="10"/>
      <c r="N377" s="6"/>
      <c r="O377" s="9"/>
      <c r="P377" s="8"/>
    </row>
    <row r="378" spans="1:16" ht="24" hidden="1" customHeight="1" x14ac:dyDescent="0.25">
      <c r="A378" s="109">
        <v>44530</v>
      </c>
      <c r="B378" s="50" t="s">
        <v>1511</v>
      </c>
      <c r="C378" s="5">
        <v>1468400</v>
      </c>
      <c r="D378" s="5">
        <v>419971</v>
      </c>
      <c r="E378" s="5">
        <f>+IF(FINANCIACION[[#This Row],[$ CAPITAL]]&gt;=0,FINANCIACION[[#This Row],[$ CAPITAL]]+FINANCIACION[[#This Row],[$ INTERESES]],"")</f>
        <v>1888371</v>
      </c>
      <c r="F378" s="5">
        <f>+SUMIFS(FINANCIACION[$ CAPITAL],FINANCIACION[Fecha],"&lt;="&amp;FINANCIACION[[#This Row],[Fecha]],FINANCIACION[PRESTAMO],FINANCIACION[[#This Row],[PRESTAMO]])</f>
        <v>-41115200</v>
      </c>
      <c r="G378" s="53"/>
      <c r="H378" s="53"/>
      <c r="I378" s="5">
        <f>IF(FINANCIACION[[#This Row],[$ CAPITAL]]&gt;0,FINANCIACION[[#This Row],[$ CAPITAL]])</f>
        <v>1468400</v>
      </c>
      <c r="J378" s="33">
        <f>IF(FINANCIACION[[#This Row],[$ CAPITAL]]&gt;=0,FINANCIACION[[#This Row],[$ CAPITAL]]+FINANCIACION[[#This Row],[$ INTERESES]],0)</f>
        <v>1888371</v>
      </c>
      <c r="K378" s="10"/>
      <c r="N378" s="6"/>
      <c r="O378" s="9"/>
      <c r="P378" s="8"/>
    </row>
    <row r="379" spans="1:16" ht="24" hidden="1" customHeight="1" x14ac:dyDescent="0.25">
      <c r="A379" s="109">
        <v>44564</v>
      </c>
      <c r="B379" s="50" t="s">
        <v>1511</v>
      </c>
      <c r="C379" s="5">
        <v>1468400</v>
      </c>
      <c r="D379" s="5">
        <v>417344</v>
      </c>
      <c r="E379" s="5">
        <f>+IF(FINANCIACION[[#This Row],[$ CAPITAL]]&gt;=0,FINANCIACION[[#This Row],[$ CAPITAL]]+FINANCIACION[[#This Row],[$ INTERESES]],"")</f>
        <v>1885744</v>
      </c>
      <c r="F379" s="5">
        <f>+SUMIFS(FINANCIACION[$ CAPITAL],FINANCIACION[Fecha],"&lt;="&amp;FINANCIACION[[#This Row],[Fecha]],FINANCIACION[PRESTAMO],FINANCIACION[[#This Row],[PRESTAMO]])</f>
        <v>-39646800</v>
      </c>
      <c r="G379" s="53"/>
      <c r="H379" s="53"/>
      <c r="I379" s="5">
        <f>IF(FINANCIACION[[#This Row],[$ CAPITAL]]&gt;0,FINANCIACION[[#This Row],[$ CAPITAL]])</f>
        <v>1468400</v>
      </c>
      <c r="J379" s="33">
        <f>IF(FINANCIACION[[#This Row],[$ CAPITAL]]&gt;=0,FINANCIACION[[#This Row],[$ CAPITAL]]+FINANCIACION[[#This Row],[$ INTERESES]],0)</f>
        <v>1885744</v>
      </c>
      <c r="K379" s="10"/>
      <c r="N379" s="6"/>
      <c r="O379" s="9"/>
      <c r="P379" s="8"/>
    </row>
    <row r="380" spans="1:16" ht="24" hidden="1" customHeight="1" x14ac:dyDescent="0.25">
      <c r="A380" s="109">
        <v>44592</v>
      </c>
      <c r="B380" s="50" t="s">
        <v>1511</v>
      </c>
      <c r="C380" s="5">
        <v>1468400</v>
      </c>
      <c r="D380" s="5">
        <v>417717</v>
      </c>
      <c r="E380" s="5">
        <f>+IF(FINANCIACION[[#This Row],[$ CAPITAL]]&gt;=0,FINANCIACION[[#This Row],[$ CAPITAL]]+FINANCIACION[[#This Row],[$ INTERESES]],"")</f>
        <v>1886117</v>
      </c>
      <c r="F380" s="5">
        <f>+SUMIFS(FINANCIACION[$ CAPITAL],FINANCIACION[Fecha],"&lt;="&amp;FINANCIACION[[#This Row],[Fecha]],FINANCIACION[PRESTAMO],FINANCIACION[[#This Row],[PRESTAMO]])</f>
        <v>-38178400</v>
      </c>
      <c r="G380" s="53"/>
      <c r="H380" s="53">
        <v>-14434.36</v>
      </c>
      <c r="I380" s="5">
        <f>+IF(FINANCIACION[[#This Row],[$ CAPITAL]]&gt;0,FINANCIACION[[#This Row],[$ CAPITAL]])</f>
        <v>1468400</v>
      </c>
      <c r="J380" s="33">
        <f>+IF(FINANCIACION[[#This Row],[$ CAPITAL]]&gt;=0,FINANCIACION[[#This Row],[$ CAPITAL]]+FINANCIACION[[#This Row],[$ INTERESES]],0)</f>
        <v>1886117</v>
      </c>
      <c r="K380" s="10"/>
      <c r="N380" s="6"/>
      <c r="O380" s="9"/>
      <c r="P380" s="8"/>
    </row>
    <row r="381" spans="1:16" ht="24" hidden="1" customHeight="1" x14ac:dyDescent="0.25">
      <c r="A381" s="109">
        <v>44620</v>
      </c>
      <c r="B381" s="50" t="s">
        <v>1511</v>
      </c>
      <c r="C381" s="5">
        <v>1468400</v>
      </c>
      <c r="D381" s="5">
        <v>372910</v>
      </c>
      <c r="E381" s="5">
        <f>+IF(FINANCIACION[[#This Row],[$ CAPITAL]]&gt;=0,FINANCIACION[[#This Row],[$ CAPITAL]]+FINANCIACION[[#This Row],[$ INTERESES]],"")</f>
        <v>1841310</v>
      </c>
      <c r="F381" s="5">
        <f>+SUMIFS(FINANCIACION[$ CAPITAL],FINANCIACION[Fecha],"&lt;="&amp;FINANCIACION[[#This Row],[Fecha]],FINANCIACION[PRESTAMO],FINANCIACION[[#This Row],[PRESTAMO]])</f>
        <v>-36710000</v>
      </c>
      <c r="G381" s="53"/>
      <c r="H381" s="53"/>
      <c r="I381" s="5">
        <f>+IF(FINANCIACION[[#This Row],[$ CAPITAL]]&gt;0,FINANCIACION[[#This Row],[$ CAPITAL]])</f>
        <v>1468400</v>
      </c>
      <c r="J381" s="33">
        <f>+IF(FINANCIACION[[#This Row],[$ CAPITAL]]&gt;=0,FINANCIACION[[#This Row],[$ CAPITAL]]+FINANCIACION[[#This Row],[$ INTERESES]],0)</f>
        <v>1841310</v>
      </c>
      <c r="K381" s="10"/>
      <c r="N381" s="6"/>
      <c r="O381" s="9"/>
      <c r="P381" s="8"/>
    </row>
    <row r="382" spans="1:16" ht="24" hidden="1" customHeight="1" x14ac:dyDescent="0.25">
      <c r="A382" s="109">
        <v>44651</v>
      </c>
      <c r="B382" s="50" t="s">
        <v>1511</v>
      </c>
      <c r="C382" s="5">
        <v>1468400</v>
      </c>
      <c r="D382" s="5">
        <v>424048</v>
      </c>
      <c r="E382" s="5">
        <f>+IF(FINANCIACION[[#This Row],[$ CAPITAL]]&gt;=0,FINANCIACION[[#This Row],[$ CAPITAL]]+FINANCIACION[[#This Row],[$ INTERESES]],"")</f>
        <v>1892448</v>
      </c>
      <c r="F382" s="5">
        <f>+SUMIFS(FINANCIACION[$ CAPITAL],FINANCIACION[Fecha],"&lt;="&amp;FINANCIACION[[#This Row],[Fecha]],FINANCIACION[PRESTAMO],FINANCIACION[[#This Row],[PRESTAMO]])</f>
        <v>-35241600</v>
      </c>
      <c r="G382" s="53"/>
      <c r="H382" s="53"/>
      <c r="I382" s="5">
        <f>+IF(FINANCIACION[[#This Row],[$ CAPITAL]]&gt;0,FINANCIACION[[#This Row],[$ CAPITAL]])</f>
        <v>1468400</v>
      </c>
      <c r="J382" s="33">
        <f>+IF(FINANCIACION[[#This Row],[$ CAPITAL]]&gt;=0,FINANCIACION[[#This Row],[$ CAPITAL]]+FINANCIACION[[#This Row],[$ INTERESES]],0)</f>
        <v>1892448</v>
      </c>
      <c r="K382" s="10"/>
      <c r="N382" s="6"/>
      <c r="O382" s="9"/>
      <c r="P382" s="8"/>
    </row>
    <row r="383" spans="1:16" ht="24" hidden="1" customHeight="1" x14ac:dyDescent="0.25">
      <c r="A383" s="109">
        <v>44683</v>
      </c>
      <c r="B383" s="50" t="s">
        <v>1511</v>
      </c>
      <c r="C383" s="5">
        <v>1468400</v>
      </c>
      <c r="D383" s="5">
        <f>1884180-FINANCIACION[[#This Row],[$ CAPITAL]]</f>
        <v>415780</v>
      </c>
      <c r="E383" s="5">
        <f>+IF(FINANCIACION[[#This Row],[$ CAPITAL]]&gt;=0,FINANCIACION[[#This Row],[$ CAPITAL]]+FINANCIACION[[#This Row],[$ INTERESES]],"")</f>
        <v>1884180</v>
      </c>
      <c r="F383" s="5">
        <f>+SUMIFS(FINANCIACION[$ CAPITAL],FINANCIACION[Fecha],"&lt;="&amp;FINANCIACION[[#This Row],[Fecha]],FINANCIACION[PRESTAMO],FINANCIACION[[#This Row],[PRESTAMO]])</f>
        <v>-33773200</v>
      </c>
      <c r="G383" s="53"/>
      <c r="H383" s="53"/>
      <c r="I383" s="5">
        <f>+IF(FINANCIACION[[#This Row],[$ CAPITAL]]&gt;0,FINANCIACION[[#This Row],[$ CAPITAL]])</f>
        <v>1468400</v>
      </c>
      <c r="J383" s="33">
        <f>+IF(FINANCIACION[[#This Row],[$ CAPITAL]]&gt;=0,FINANCIACION[[#This Row],[$ CAPITAL]]+FINANCIACION[[#This Row],[$ INTERESES]],0)</f>
        <v>1884180</v>
      </c>
      <c r="K383" s="10"/>
      <c r="N383" s="6"/>
      <c r="O383" s="9"/>
      <c r="P383" s="8"/>
    </row>
    <row r="384" spans="1:16" ht="24" hidden="1" customHeight="1" x14ac:dyDescent="0.25">
      <c r="A384" s="109">
        <v>44712</v>
      </c>
      <c r="B384" s="50" t="s">
        <v>1511</v>
      </c>
      <c r="C384" s="5">
        <v>1468400</v>
      </c>
      <c r="D384" s="5">
        <f>1901499-FINANCIACION[[#This Row],[$ CAPITAL]]</f>
        <v>433099</v>
      </c>
      <c r="E384" s="5">
        <f>+IF(FINANCIACION[[#This Row],[$ CAPITAL]]&gt;=0,FINANCIACION[[#This Row],[$ CAPITAL]]+FINANCIACION[[#This Row],[$ INTERESES]],"")</f>
        <v>1901499</v>
      </c>
      <c r="F384" s="5">
        <f>+SUMIFS(FINANCIACION[$ CAPITAL],FINANCIACION[Fecha],"&lt;="&amp;FINANCIACION[[#This Row],[Fecha]],FINANCIACION[PRESTAMO],FINANCIACION[[#This Row],[PRESTAMO]])</f>
        <v>-32304800</v>
      </c>
      <c r="G384" s="53"/>
      <c r="H384" s="53"/>
      <c r="I384" s="5">
        <f>+IF(FINANCIACION[[#This Row],[$ CAPITAL]]&gt;0,FINANCIACION[[#This Row],[$ CAPITAL]])</f>
        <v>1468400</v>
      </c>
      <c r="J384" s="33">
        <f>+IF(FINANCIACION[[#This Row],[$ CAPITAL]]&gt;=0,FINANCIACION[[#This Row],[$ CAPITAL]]+FINANCIACION[[#This Row],[$ INTERESES]],0)</f>
        <v>1901499</v>
      </c>
      <c r="K384" s="10"/>
      <c r="N384" s="6"/>
      <c r="O384" s="9"/>
      <c r="P384" s="8"/>
    </row>
    <row r="385" spans="1:16" ht="24" hidden="1" customHeight="1" x14ac:dyDescent="0.25">
      <c r="A385" s="109">
        <v>44742</v>
      </c>
      <c r="B385" s="50" t="s">
        <v>1511</v>
      </c>
      <c r="C385" s="5">
        <v>1468400</v>
      </c>
      <c r="D385" s="5">
        <v>440312</v>
      </c>
      <c r="E385" s="5">
        <f>+IF(FINANCIACION[[#This Row],[$ CAPITAL]]&gt;=0,FINANCIACION[[#This Row],[$ CAPITAL]]+FINANCIACION[[#This Row],[$ INTERESES]],"")</f>
        <v>1908712</v>
      </c>
      <c r="F385" s="5">
        <f>+SUMIFS(FINANCIACION[$ CAPITAL],FINANCIACION[Fecha],"&lt;="&amp;FINANCIACION[[#This Row],[Fecha]],FINANCIACION[PRESTAMO],FINANCIACION[[#This Row],[PRESTAMO]])</f>
        <v>-30836400</v>
      </c>
      <c r="G385" s="53"/>
      <c r="H385" s="53"/>
      <c r="I385" s="5">
        <f>+IF(FINANCIACION[[#This Row],[$ CAPITAL]]&gt;0,FINANCIACION[[#This Row],[$ CAPITAL]])</f>
        <v>1468400</v>
      </c>
      <c r="J385" s="33">
        <f>+IF(FINANCIACION[[#This Row],[$ CAPITAL]]&gt;=0,FINANCIACION[[#This Row],[$ CAPITAL]]+FINANCIACION[[#This Row],[$ INTERESES]],0)</f>
        <v>1908712</v>
      </c>
      <c r="K385" s="10"/>
      <c r="N385" s="6"/>
      <c r="O385" s="9"/>
      <c r="P385" s="8"/>
    </row>
    <row r="386" spans="1:16" ht="24" hidden="1" customHeight="1" x14ac:dyDescent="0.25">
      <c r="A386" s="109">
        <v>44774</v>
      </c>
      <c r="B386" s="50" t="s">
        <v>1511</v>
      </c>
      <c r="C386" s="5">
        <v>1468400</v>
      </c>
      <c r="D386" s="5">
        <v>444966</v>
      </c>
      <c r="E386" s="5">
        <f>+IF(FINANCIACION[[#This Row],[$ CAPITAL]]&gt;=0,FINANCIACION[[#This Row],[$ CAPITAL]]+FINANCIACION[[#This Row],[$ INTERESES]],"")</f>
        <v>1913366</v>
      </c>
      <c r="F386" s="5">
        <f>+SUMIFS(FINANCIACION[$ CAPITAL],FINANCIACION[Fecha],"&lt;="&amp;FINANCIACION[[#This Row],[Fecha]],FINANCIACION[PRESTAMO],FINANCIACION[[#This Row],[PRESTAMO]])</f>
        <v>-29368000</v>
      </c>
      <c r="G386" s="53"/>
      <c r="H386" s="53"/>
      <c r="I386" s="5">
        <f>+IF(FINANCIACION[[#This Row],[$ CAPITAL]]&gt;0,FINANCIACION[[#This Row],[$ CAPITAL]])</f>
        <v>1468400</v>
      </c>
      <c r="J386" s="33">
        <f>+IF(FINANCIACION[[#This Row],[$ CAPITAL]]&gt;=0,FINANCIACION[[#This Row],[$ CAPITAL]]+FINANCIACION[[#This Row],[$ INTERESES]],0)</f>
        <v>1913366</v>
      </c>
      <c r="K386" s="10"/>
      <c r="N386" s="6"/>
      <c r="O386" s="9"/>
      <c r="P386" s="8"/>
    </row>
    <row r="387" spans="1:16" ht="24" hidden="1" customHeight="1" x14ac:dyDescent="0.25">
      <c r="A387" s="109">
        <v>44804</v>
      </c>
      <c r="B387" s="50" t="s">
        <v>1511</v>
      </c>
      <c r="C387" s="5">
        <v>1468400</v>
      </c>
      <c r="D387" s="5">
        <v>459144</v>
      </c>
      <c r="E387" s="5">
        <f>+IF(FINANCIACION[[#This Row],[$ CAPITAL]]&gt;=0,FINANCIACION[[#This Row],[$ CAPITAL]]+FINANCIACION[[#This Row],[$ INTERESES]],"")</f>
        <v>1927544</v>
      </c>
      <c r="F387" s="5">
        <f>+SUMIFS(FINANCIACION[$ CAPITAL],FINANCIACION[Fecha],"&lt;="&amp;FINANCIACION[[#This Row],[Fecha]],FINANCIACION[PRESTAMO],FINANCIACION[[#This Row],[PRESTAMO]])</f>
        <v>-27899600</v>
      </c>
      <c r="G387" s="53"/>
      <c r="H387" s="53"/>
      <c r="I387" s="5">
        <f>+IF(FINANCIACION[[#This Row],[$ CAPITAL]]&gt;0,FINANCIACION[[#This Row],[$ CAPITAL]])</f>
        <v>1468400</v>
      </c>
      <c r="J387" s="33">
        <f>+IF(FINANCIACION[[#This Row],[$ CAPITAL]]&gt;=0,FINANCIACION[[#This Row],[$ CAPITAL]]+FINANCIACION[[#This Row],[$ INTERESES]],0)</f>
        <v>1927544</v>
      </c>
      <c r="K387" s="10"/>
      <c r="N387" s="6"/>
      <c r="O387" s="9"/>
      <c r="P387" s="8"/>
    </row>
    <row r="388" spans="1:16" ht="24" hidden="1" customHeight="1" x14ac:dyDescent="0.25">
      <c r="A388" s="109">
        <v>44834</v>
      </c>
      <c r="B388" s="50" t="s">
        <v>1511</v>
      </c>
      <c r="C388" s="5">
        <v>1468400</v>
      </c>
      <c r="D388" s="5">
        <v>1586824</v>
      </c>
      <c r="E388" s="5">
        <f>+IF(FINANCIACION[[#This Row],[$ CAPITAL]]&gt;=0,FINANCIACION[[#This Row],[$ CAPITAL]]+FINANCIACION[[#This Row],[$ INTERESES]],"")</f>
        <v>3055224</v>
      </c>
      <c r="F388" s="5">
        <f>+SUMIFS(FINANCIACION[$ CAPITAL],FINANCIACION[Fecha],"&lt;="&amp;FINANCIACION[[#This Row],[Fecha]],FINANCIACION[PRESTAMO],FINANCIACION[[#This Row],[PRESTAMO]])</f>
        <v>-26431200</v>
      </c>
      <c r="G388" s="53"/>
      <c r="H388" s="53"/>
      <c r="I388" s="5">
        <f>+IF(FINANCIACION[[#This Row],[$ CAPITAL]]&gt;0,FINANCIACION[[#This Row],[$ CAPITAL]])</f>
        <v>1468400</v>
      </c>
      <c r="J388" s="33">
        <f>+IF(FINANCIACION[[#This Row],[$ CAPITAL]]&gt;=0,FINANCIACION[[#This Row],[$ CAPITAL]]+FINANCIACION[[#This Row],[$ INTERESES]],0)</f>
        <v>3055224</v>
      </c>
      <c r="K388" s="10"/>
      <c r="N388" s="6"/>
      <c r="O388" s="9"/>
      <c r="P388" s="8"/>
    </row>
    <row r="389" spans="1:16" ht="24" hidden="1" customHeight="1" x14ac:dyDescent="0.25">
      <c r="A389" s="109">
        <v>44865</v>
      </c>
      <c r="B389" s="50" t="s">
        <v>1511</v>
      </c>
      <c r="C389" s="5">
        <v>1916280</v>
      </c>
      <c r="D389" s="5">
        <v>447880</v>
      </c>
      <c r="E389" s="5">
        <f>+IF(FINANCIACION[[#This Row],[$ CAPITAL]]&gt;=0,FINANCIACION[[#This Row],[$ CAPITAL]]+FINANCIACION[[#This Row],[$ INTERESES]],"")</f>
        <v>2364160</v>
      </c>
      <c r="F389" s="5">
        <f>+SUMIFS(FINANCIACION[$ CAPITAL],FINANCIACION[Fecha],"&lt;="&amp;FINANCIACION[[#This Row],[Fecha]],FINANCIACION[PRESTAMO],FINANCIACION[[#This Row],[PRESTAMO]])</f>
        <v>-24514920</v>
      </c>
      <c r="G389" s="53"/>
      <c r="H389" s="53"/>
      <c r="I389" s="5">
        <f>+IF(FINANCIACION[[#This Row],[$ CAPITAL]]&gt;0,FINANCIACION[[#This Row],[$ CAPITAL]])</f>
        <v>1916280</v>
      </c>
      <c r="J389" s="33">
        <f>+IF(FINANCIACION[[#This Row],[$ CAPITAL]]&gt;=0,FINANCIACION[[#This Row],[$ CAPITAL]]+FINANCIACION[[#This Row],[$ INTERESES]],0)</f>
        <v>2364160</v>
      </c>
      <c r="K389" s="10"/>
      <c r="N389" s="6"/>
      <c r="O389" s="9"/>
      <c r="P389" s="8"/>
    </row>
    <row r="390" spans="1:16" ht="24" hidden="1" customHeight="1" x14ac:dyDescent="0.25">
      <c r="A390" s="109">
        <v>44895</v>
      </c>
      <c r="B390" s="50" t="s">
        <v>1511</v>
      </c>
      <c r="C390" s="5">
        <v>1468400</v>
      </c>
      <c r="D390" s="5">
        <v>437833</v>
      </c>
      <c r="E390" s="5">
        <f>+IF(FINANCIACION[[#This Row],[$ CAPITAL]]&gt;=0,FINANCIACION[[#This Row],[$ CAPITAL]]+FINANCIACION[[#This Row],[$ INTERESES]],"")</f>
        <v>1906233</v>
      </c>
      <c r="F390" s="5">
        <f>+SUMIFS(FINANCIACION[$ CAPITAL],FINANCIACION[Fecha],"&lt;="&amp;FINANCIACION[[#This Row],[Fecha]],FINANCIACION[PRESTAMO],FINANCIACION[[#This Row],[PRESTAMO]])</f>
        <v>-23046520</v>
      </c>
      <c r="G390" s="53"/>
      <c r="H390" s="53"/>
      <c r="I390" s="5">
        <f>+IF(FINANCIACION[[#This Row],[$ CAPITAL]]&gt;0,FINANCIACION[[#This Row],[$ CAPITAL]])</f>
        <v>1468400</v>
      </c>
      <c r="J390" s="33">
        <f>+IF(FINANCIACION[[#This Row],[$ CAPITAL]]&gt;=0,FINANCIACION[[#This Row],[$ CAPITAL]]+FINANCIACION[[#This Row],[$ INTERESES]],0)</f>
        <v>1906233</v>
      </c>
      <c r="K390" s="10"/>
      <c r="N390" s="6"/>
      <c r="O390" s="9"/>
      <c r="P390" s="8"/>
    </row>
    <row r="391" spans="1:16" ht="24" hidden="1" customHeight="1" x14ac:dyDescent="0.25">
      <c r="A391" s="136">
        <v>44926</v>
      </c>
      <c r="B391" s="137" t="s">
        <v>1511</v>
      </c>
      <c r="C391" s="138">
        <v>0</v>
      </c>
      <c r="D391" s="138">
        <v>0</v>
      </c>
      <c r="E391" s="138">
        <f>+IF(FINANCIACION[[#This Row],[$ CAPITAL]]&gt;=0,FINANCIACION[[#This Row],[$ CAPITAL]]+FINANCIACION[[#This Row],[$ INTERESES]],"")</f>
        <v>0</v>
      </c>
      <c r="F391" s="138">
        <f>+SUMIFS(FINANCIACION[$ CAPITAL],FINANCIACION[Fecha],"&lt;="&amp;FINANCIACION[[#This Row],[Fecha]],FINANCIACION[PRESTAMO],FINANCIACION[[#This Row],[PRESTAMO]])</f>
        <v>-23046520</v>
      </c>
      <c r="G391" s="53"/>
      <c r="H391" s="53"/>
      <c r="I391" s="5" t="b">
        <f>+IF(FINANCIACION[[#This Row],[$ CAPITAL]]&gt;0,FINANCIACION[[#This Row],[$ CAPITAL]])</f>
        <v>0</v>
      </c>
      <c r="J391" s="33">
        <f>+IF(FINANCIACION[[#This Row],[$ CAPITAL]]&gt;=0,FINANCIACION[[#This Row],[$ CAPITAL]]+FINANCIACION[[#This Row],[$ INTERESES]],0)</f>
        <v>0</v>
      </c>
      <c r="K391" s="10"/>
      <c r="N391" s="6"/>
      <c r="O391" s="9"/>
      <c r="P391" s="8"/>
    </row>
    <row r="392" spans="1:16" ht="24" hidden="1" customHeight="1" x14ac:dyDescent="0.25">
      <c r="A392" s="109">
        <v>44928</v>
      </c>
      <c r="B392" s="50" t="s">
        <v>1511</v>
      </c>
      <c r="C392" s="5">
        <v>1468400</v>
      </c>
      <c r="D392" s="5">
        <v>435146</v>
      </c>
      <c r="E392" s="5">
        <f>+IF(FINANCIACION[[#This Row],[$ CAPITAL]]&gt;=0,FINANCIACION[[#This Row],[$ CAPITAL]]+FINANCIACION[[#This Row],[$ INTERESES]],"")</f>
        <v>1903546</v>
      </c>
      <c r="F392" s="5">
        <f>+SUMIFS(FINANCIACION[$ CAPITAL],FINANCIACION[Fecha],"&lt;="&amp;FINANCIACION[[#This Row],[Fecha]],FINANCIACION[PRESTAMO],FINANCIACION[[#This Row],[PRESTAMO]])</f>
        <v>-21578120</v>
      </c>
      <c r="G392" s="53"/>
      <c r="H392" s="53"/>
      <c r="I392" s="5">
        <f>+IF(FINANCIACION[[#This Row],[$ CAPITAL]]&gt;0,FINANCIACION[[#This Row],[$ CAPITAL]])</f>
        <v>1468400</v>
      </c>
      <c r="J392" s="33">
        <f>+IF(FINANCIACION[[#This Row],[$ CAPITAL]]&gt;=0,FINANCIACION[[#This Row],[$ CAPITAL]]+FINANCIACION[[#This Row],[$ INTERESES]],0)</f>
        <v>1903546</v>
      </c>
      <c r="K392" s="10"/>
      <c r="N392" s="6"/>
      <c r="O392" s="9"/>
      <c r="P392" s="8"/>
    </row>
    <row r="393" spans="1:16" ht="24" hidden="1" customHeight="1" x14ac:dyDescent="0.25">
      <c r="A393" s="109">
        <v>44928</v>
      </c>
      <c r="B393" s="50" t="s">
        <v>140</v>
      </c>
      <c r="C393" s="5">
        <v>76791</v>
      </c>
      <c r="D393" s="5"/>
      <c r="E393" s="5">
        <f>+IF(FINANCIACION[[#This Row],[$ CAPITAL]]&gt;=0,FINANCIACION[[#This Row],[$ CAPITAL]]+FINANCIACION[[#This Row],[$ INTERESES]],"")</f>
        <v>76791</v>
      </c>
      <c r="F393" s="5">
        <f>+SUMIFS(FINANCIACION[$ CAPITAL],FINANCIACION[Fecha],"&lt;="&amp;FINANCIACION[[#This Row],[Fecha]],FINANCIACION[PRESTAMO],FINANCIACION[[#This Row],[PRESTAMO]])</f>
        <v>76791</v>
      </c>
      <c r="G393" s="53"/>
      <c r="H393" s="53"/>
      <c r="I393" s="5">
        <f>+IF(FINANCIACION[[#This Row],[$ CAPITAL]]&gt;0,FINANCIACION[[#This Row],[$ CAPITAL]])</f>
        <v>76791</v>
      </c>
      <c r="J393" s="33">
        <f>+IF(FINANCIACION[[#This Row],[$ CAPITAL]]&gt;=0,FINANCIACION[[#This Row],[$ CAPITAL]]+FINANCIACION[[#This Row],[$ INTERESES]],0)</f>
        <v>76791</v>
      </c>
      <c r="K393" s="10"/>
      <c r="N393" s="6"/>
      <c r="O393" s="9"/>
      <c r="P393" s="8"/>
    </row>
    <row r="394" spans="1:16" ht="24" hidden="1" customHeight="1" x14ac:dyDescent="0.25">
      <c r="A394" s="109">
        <v>44957</v>
      </c>
      <c r="B394" s="50" t="s">
        <v>1511</v>
      </c>
      <c r="C394" s="5">
        <v>1468400</v>
      </c>
      <c r="D394" s="5">
        <v>422631</v>
      </c>
      <c r="E394" s="5">
        <f>+IF(FINANCIACION[[#This Row],[$ CAPITAL]]&gt;=0,FINANCIACION[[#This Row],[$ CAPITAL]]+FINANCIACION[[#This Row],[$ INTERESES]],"")</f>
        <v>1891031</v>
      </c>
      <c r="F394" s="5">
        <f>+SUMIFS(FINANCIACION[$ CAPITAL],FINANCIACION[Fecha],"&lt;="&amp;FINANCIACION[[#This Row],[Fecha]],FINANCIACION[PRESTAMO],FINANCIACION[[#This Row],[PRESTAMO]])</f>
        <v>-20109720</v>
      </c>
      <c r="G394" s="53"/>
      <c r="H394" s="53"/>
      <c r="I394" s="5">
        <f>+IF(FINANCIACION[[#This Row],[$ CAPITAL]]&gt;0,FINANCIACION[[#This Row],[$ CAPITAL]])</f>
        <v>1468400</v>
      </c>
      <c r="J394" s="33">
        <f>+IF(FINANCIACION[[#This Row],[$ CAPITAL]]&gt;=0,FINANCIACION[[#This Row],[$ CAPITAL]]+FINANCIACION[[#This Row],[$ INTERESES]],0)</f>
        <v>1891031</v>
      </c>
      <c r="K394" s="10"/>
      <c r="N394" s="6"/>
      <c r="O394" s="9"/>
      <c r="P394" s="8"/>
    </row>
    <row r="395" spans="1:16" ht="24" hidden="1" customHeight="1" x14ac:dyDescent="0.25">
      <c r="A395" s="109">
        <v>44957</v>
      </c>
      <c r="B395" s="50" t="s">
        <v>140</v>
      </c>
      <c r="C395" s="5">
        <v>76791</v>
      </c>
      <c r="D395" s="5"/>
      <c r="E395" s="5">
        <f>+IF(FINANCIACION[[#This Row],[$ CAPITAL]]&gt;=0,FINANCIACION[[#This Row],[$ CAPITAL]]+FINANCIACION[[#This Row],[$ INTERESES]],"")</f>
        <v>76791</v>
      </c>
      <c r="F395" s="5">
        <f>+SUMIFS(FINANCIACION[$ CAPITAL],FINANCIACION[Fecha],"&lt;="&amp;FINANCIACION[[#This Row],[Fecha]],FINANCIACION[PRESTAMO],FINANCIACION[[#This Row],[PRESTAMO]])</f>
        <v>153582</v>
      </c>
      <c r="G395" s="53"/>
      <c r="H395" s="53"/>
      <c r="I395" s="5">
        <f>+IF(FINANCIACION[[#This Row],[$ CAPITAL]]&gt;0,FINANCIACION[[#This Row],[$ CAPITAL]])</f>
        <v>76791</v>
      </c>
      <c r="J395" s="33">
        <f>+IF(FINANCIACION[[#This Row],[$ CAPITAL]]&gt;=0,FINANCIACION[[#This Row],[$ CAPITAL]]+FINANCIACION[[#This Row],[$ INTERESES]],0)</f>
        <v>76791</v>
      </c>
      <c r="K395" s="10"/>
      <c r="N395" s="6"/>
      <c r="O395" s="9"/>
      <c r="P395" s="8"/>
    </row>
    <row r="396" spans="1:16" ht="24" hidden="1" customHeight="1" x14ac:dyDescent="0.25">
      <c r="A396" s="109">
        <v>44985</v>
      </c>
      <c r="B396" s="50" t="s">
        <v>1511</v>
      </c>
      <c r="C396" s="5">
        <v>1468400</v>
      </c>
      <c r="D396" s="5">
        <v>364033</v>
      </c>
      <c r="E396" s="5">
        <f>+IF(FINANCIACION[[#This Row],[$ CAPITAL]]&gt;=0,FINANCIACION[[#This Row],[$ CAPITAL]]+FINANCIACION[[#This Row],[$ INTERESES]],"")</f>
        <v>1832433</v>
      </c>
      <c r="F396" s="5">
        <f>+SUMIFS(FINANCIACION[$ CAPITAL],FINANCIACION[Fecha],"&lt;="&amp;FINANCIACION[[#This Row],[Fecha]],FINANCIACION[PRESTAMO],FINANCIACION[[#This Row],[PRESTAMO]])</f>
        <v>-18641320</v>
      </c>
      <c r="G396" s="53"/>
      <c r="H396" s="53"/>
      <c r="I396" s="5">
        <f>+IF(FINANCIACION[[#This Row],[$ CAPITAL]]&gt;0,FINANCIACION[[#This Row],[$ CAPITAL]])</f>
        <v>1468400</v>
      </c>
      <c r="J396" s="33">
        <f>+IF(FINANCIACION[[#This Row],[$ CAPITAL]]&gt;=0,FINANCIACION[[#This Row],[$ CAPITAL]]+FINANCIACION[[#This Row],[$ INTERESES]],0)</f>
        <v>1832433</v>
      </c>
      <c r="K396" s="10"/>
      <c r="N396" s="6"/>
      <c r="O396" s="9"/>
      <c r="P396" s="8"/>
    </row>
    <row r="397" spans="1:16" ht="24" hidden="1" customHeight="1" x14ac:dyDescent="0.25">
      <c r="A397" s="109">
        <v>44985</v>
      </c>
      <c r="B397" s="50" t="s">
        <v>140</v>
      </c>
      <c r="C397" s="5">
        <v>76791</v>
      </c>
      <c r="D397" s="5"/>
      <c r="E397" s="5">
        <f>+IF(FINANCIACION[[#This Row],[$ CAPITAL]]&gt;=0,FINANCIACION[[#This Row],[$ CAPITAL]]+FINANCIACION[[#This Row],[$ INTERESES]],"")</f>
        <v>76791</v>
      </c>
      <c r="F397" s="5">
        <f>+SUMIFS(FINANCIACION[$ CAPITAL],FINANCIACION[Fecha],"&lt;="&amp;FINANCIACION[[#This Row],[Fecha]],FINANCIACION[PRESTAMO],FINANCIACION[[#This Row],[PRESTAMO]])</f>
        <v>230373</v>
      </c>
      <c r="G397" s="53"/>
      <c r="H397" s="53"/>
      <c r="I397" s="5">
        <f>+IF(FINANCIACION[[#This Row],[$ CAPITAL]]&gt;0,FINANCIACION[[#This Row],[$ CAPITAL]])</f>
        <v>76791</v>
      </c>
      <c r="J397" s="33">
        <f>+IF(FINANCIACION[[#This Row],[$ CAPITAL]]&gt;=0,FINANCIACION[[#This Row],[$ CAPITAL]]+FINANCIACION[[#This Row],[$ INTERESES]],0)</f>
        <v>76791</v>
      </c>
      <c r="K397" s="10"/>
      <c r="N397" s="6"/>
      <c r="O397" s="9"/>
      <c r="P397" s="8"/>
    </row>
    <row r="398" spans="1:16" ht="24" hidden="1" customHeight="1" x14ac:dyDescent="0.25">
      <c r="A398" s="109">
        <v>45016</v>
      </c>
      <c r="B398" s="50" t="s">
        <v>1511</v>
      </c>
      <c r="C398" s="5">
        <v>1468400</v>
      </c>
      <c r="D398" s="5">
        <v>424098</v>
      </c>
      <c r="E398" s="5">
        <f>+IF(FINANCIACION[[#This Row],[$ CAPITAL]]&gt;=0,FINANCIACION[[#This Row],[$ CAPITAL]]+FINANCIACION[[#This Row],[$ INTERESES]],"")</f>
        <v>1892498</v>
      </c>
      <c r="F398" s="5">
        <f>+SUMIFS(FINANCIACION[$ CAPITAL],FINANCIACION[Fecha],"&lt;="&amp;FINANCIACION[[#This Row],[Fecha]],FINANCIACION[PRESTAMO],FINANCIACION[[#This Row],[PRESTAMO]])</f>
        <v>-17172920</v>
      </c>
      <c r="G398" s="53"/>
      <c r="H398" s="53"/>
      <c r="I398" s="5">
        <f>+IF(FINANCIACION[[#This Row],[$ CAPITAL]]&gt;0,FINANCIACION[[#This Row],[$ CAPITAL]])</f>
        <v>1468400</v>
      </c>
      <c r="J398" s="33">
        <f>+IF(FINANCIACION[[#This Row],[$ CAPITAL]]&gt;=0,FINANCIACION[[#This Row],[$ CAPITAL]]+FINANCIACION[[#This Row],[$ INTERESES]],0)</f>
        <v>1892498</v>
      </c>
      <c r="K398" s="10"/>
      <c r="N398" s="6"/>
      <c r="O398" s="9"/>
      <c r="P398" s="8"/>
    </row>
    <row r="399" spans="1:16" ht="24" hidden="1" customHeight="1" x14ac:dyDescent="0.25">
      <c r="A399" s="109">
        <v>45016</v>
      </c>
      <c r="B399" s="50" t="s">
        <v>140</v>
      </c>
      <c r="C399" s="5">
        <v>76791</v>
      </c>
      <c r="D399" s="5"/>
      <c r="E399" s="5">
        <f>+IF(FINANCIACION[[#This Row],[$ CAPITAL]]&gt;=0,FINANCIACION[[#This Row],[$ CAPITAL]]+FINANCIACION[[#This Row],[$ INTERESES]],"")</f>
        <v>76791</v>
      </c>
      <c r="F399" s="5">
        <f>+SUMIFS(FINANCIACION[$ CAPITAL],FINANCIACION[Fecha],"&lt;="&amp;FINANCIACION[[#This Row],[Fecha]],FINANCIACION[PRESTAMO],FINANCIACION[[#This Row],[PRESTAMO]])</f>
        <v>307164</v>
      </c>
      <c r="G399" s="53"/>
      <c r="H399" s="53"/>
      <c r="I399" s="5">
        <f>+IF(FINANCIACION[[#This Row],[$ CAPITAL]]&gt;0,FINANCIACION[[#This Row],[$ CAPITAL]])</f>
        <v>76791</v>
      </c>
      <c r="J399" s="33">
        <f>+IF(FINANCIACION[[#This Row],[$ CAPITAL]]&gt;=0,FINANCIACION[[#This Row],[$ CAPITAL]]+FINANCIACION[[#This Row],[$ INTERESES]],0)</f>
        <v>76791</v>
      </c>
      <c r="K399" s="10"/>
      <c r="N399" s="6"/>
      <c r="O399" s="9"/>
      <c r="P399" s="8"/>
    </row>
    <row r="400" spans="1:16" ht="24" hidden="1" customHeight="1" x14ac:dyDescent="0.25">
      <c r="A400" s="109">
        <v>45046</v>
      </c>
      <c r="B400" s="50" t="s">
        <v>1511</v>
      </c>
      <c r="C400" s="5">
        <v>0</v>
      </c>
      <c r="D400" s="5">
        <v>0</v>
      </c>
      <c r="E400" s="5">
        <f>+IF(FINANCIACION[[#This Row],[$ CAPITAL]]&gt;=0,FINANCIACION[[#This Row],[$ CAPITAL]]+FINANCIACION[[#This Row],[$ INTERESES]],"")</f>
        <v>0</v>
      </c>
      <c r="F400" s="5">
        <f>+SUMIFS(FINANCIACION[$ CAPITAL],FINANCIACION[Fecha],"&lt;="&amp;FINANCIACION[[#This Row],[Fecha]],FINANCIACION[PRESTAMO],FINANCIACION[[#This Row],[PRESTAMO]])</f>
        <v>-17172920</v>
      </c>
      <c r="G400" s="53"/>
      <c r="H400" s="53"/>
      <c r="I400" s="5" t="b">
        <f>+IF(FINANCIACION[[#This Row],[$ CAPITAL]]&gt;0,FINANCIACION[[#This Row],[$ CAPITAL]])</f>
        <v>0</v>
      </c>
      <c r="J400" s="33">
        <f>+IF(FINANCIACION[[#This Row],[$ CAPITAL]]&gt;=0,FINANCIACION[[#This Row],[$ CAPITAL]]+FINANCIACION[[#This Row],[$ INTERESES]],0)</f>
        <v>0</v>
      </c>
      <c r="K400" s="10"/>
      <c r="N400" s="6"/>
      <c r="O400" s="9"/>
      <c r="P400" s="8"/>
    </row>
    <row r="401" spans="1:16" ht="24" hidden="1" customHeight="1" x14ac:dyDescent="0.25">
      <c r="A401" s="109">
        <v>45046</v>
      </c>
      <c r="B401" s="50" t="s">
        <v>140</v>
      </c>
      <c r="C401" s="5">
        <v>0</v>
      </c>
      <c r="D401" s="5">
        <v>0</v>
      </c>
      <c r="E401" s="5">
        <f>+IF(FINANCIACION[[#This Row],[$ CAPITAL]]&gt;=0,FINANCIACION[[#This Row],[$ CAPITAL]]+FINANCIACION[[#This Row],[$ INTERESES]],"")</f>
        <v>0</v>
      </c>
      <c r="F401" s="5">
        <f>+SUMIFS(FINANCIACION[$ CAPITAL],FINANCIACION[Fecha],"&lt;="&amp;FINANCIACION[[#This Row],[Fecha]],FINANCIACION[PRESTAMO],FINANCIACION[[#This Row],[PRESTAMO]])</f>
        <v>307164</v>
      </c>
      <c r="G401" s="53"/>
      <c r="H401" s="53"/>
      <c r="I401" s="5" t="b">
        <f>+IF(FINANCIACION[[#This Row],[$ CAPITAL]]&gt;0,FINANCIACION[[#This Row],[$ CAPITAL]])</f>
        <v>0</v>
      </c>
      <c r="J401" s="33">
        <f>+IF(FINANCIACION[[#This Row],[$ CAPITAL]]&gt;=0,FINANCIACION[[#This Row],[$ CAPITAL]]+FINANCIACION[[#This Row],[$ INTERESES]],0)</f>
        <v>0</v>
      </c>
      <c r="K401" s="10"/>
      <c r="N401" s="6"/>
      <c r="O401" s="9"/>
      <c r="P401" s="8"/>
    </row>
    <row r="402" spans="1:16" ht="24" hidden="1" customHeight="1" x14ac:dyDescent="0.25">
      <c r="A402" s="109">
        <v>45048</v>
      </c>
      <c r="B402" s="50" t="s">
        <v>1511</v>
      </c>
      <c r="C402" s="5">
        <v>1468400</v>
      </c>
      <c r="D402" s="5">
        <v>317725</v>
      </c>
      <c r="E402" s="5">
        <f>+IF(FINANCIACION[[#This Row],[$ CAPITAL]]&gt;=0,FINANCIACION[[#This Row],[$ CAPITAL]]+FINANCIACION[[#This Row],[$ INTERESES]],"")</f>
        <v>1786125</v>
      </c>
      <c r="F402" s="5">
        <f>+SUMIFS(FINANCIACION[$ CAPITAL],FINANCIACION[Fecha],"&lt;="&amp;FINANCIACION[[#This Row],[Fecha]],FINANCIACION[PRESTAMO],FINANCIACION[[#This Row],[PRESTAMO]])</f>
        <v>-15704520</v>
      </c>
      <c r="G402" s="53"/>
      <c r="H402" s="53"/>
      <c r="I402" s="5">
        <f>+IF(FINANCIACION[[#This Row],[$ CAPITAL]]&gt;0,FINANCIACION[[#This Row],[$ CAPITAL]])</f>
        <v>1468400</v>
      </c>
      <c r="J402" s="33">
        <f>+IF(FINANCIACION[[#This Row],[$ CAPITAL]]&gt;=0,FINANCIACION[[#This Row],[$ CAPITAL]]+FINANCIACION[[#This Row],[$ INTERESES]],0)</f>
        <v>1786125</v>
      </c>
      <c r="K402" s="10"/>
      <c r="N402" s="6"/>
      <c r="O402" s="9"/>
      <c r="P402" s="8"/>
    </row>
    <row r="403" spans="1:16" ht="24" hidden="1" customHeight="1" x14ac:dyDescent="0.25">
      <c r="A403" s="109">
        <v>45048</v>
      </c>
      <c r="B403" s="50" t="s">
        <v>140</v>
      </c>
      <c r="C403" s="5">
        <v>76791</v>
      </c>
      <c r="D403" s="5"/>
      <c r="E403" s="5">
        <f>+IF(FINANCIACION[[#This Row],[$ CAPITAL]]&gt;=0,FINANCIACION[[#This Row],[$ CAPITAL]]+FINANCIACION[[#This Row],[$ INTERESES]],"")</f>
        <v>76791</v>
      </c>
      <c r="F403" s="5">
        <f>+SUMIFS(FINANCIACION[$ CAPITAL],FINANCIACION[Fecha],"&lt;="&amp;FINANCIACION[[#This Row],[Fecha]],FINANCIACION[PRESTAMO],FINANCIACION[[#This Row],[PRESTAMO]])</f>
        <v>383955</v>
      </c>
      <c r="G403" s="53"/>
      <c r="H403" s="53"/>
      <c r="I403" s="5">
        <f>+IF(FINANCIACION[[#This Row],[$ CAPITAL]]&gt;0,FINANCIACION[[#This Row],[$ CAPITAL]])</f>
        <v>76791</v>
      </c>
      <c r="J403" s="33">
        <f>+IF(FINANCIACION[[#This Row],[$ CAPITAL]]&gt;=0,FINANCIACION[[#This Row],[$ CAPITAL]]+FINANCIACION[[#This Row],[$ INTERESES]],0)</f>
        <v>76791</v>
      </c>
      <c r="K403" s="10"/>
      <c r="N403" s="6"/>
      <c r="O403" s="9"/>
      <c r="P403" s="8"/>
    </row>
    <row r="404" spans="1:16" ht="24" hidden="1" customHeight="1" x14ac:dyDescent="0.25">
      <c r="A404" s="109">
        <v>45077</v>
      </c>
      <c r="B404" s="50" t="s">
        <v>1511</v>
      </c>
      <c r="C404" s="5">
        <v>1468400</v>
      </c>
      <c r="D404" s="5">
        <v>292448</v>
      </c>
      <c r="E404" s="5">
        <f>+IF(FINANCIACION[[#This Row],[$ CAPITAL]]&gt;=0,FINANCIACION[[#This Row],[$ CAPITAL]]+FINANCIACION[[#This Row],[$ INTERESES]],"")</f>
        <v>1760848</v>
      </c>
      <c r="F404" s="5">
        <f>+SUMIFS(FINANCIACION[$ CAPITAL],FINANCIACION[Fecha],"&lt;="&amp;FINANCIACION[[#This Row],[Fecha]],FINANCIACION[PRESTAMO],FINANCIACION[[#This Row],[PRESTAMO]])</f>
        <v>-14236120</v>
      </c>
      <c r="G404" s="53"/>
      <c r="H404" s="53"/>
      <c r="I404" s="5">
        <f>+IF(FINANCIACION[[#This Row],[$ CAPITAL]]&gt;0,FINANCIACION[[#This Row],[$ CAPITAL]])</f>
        <v>1468400</v>
      </c>
      <c r="J404" s="33">
        <f>+IF(FINANCIACION[[#This Row],[$ CAPITAL]]&gt;=0,FINANCIACION[[#This Row],[$ CAPITAL]]+FINANCIACION[[#This Row],[$ INTERESES]],0)</f>
        <v>1760848</v>
      </c>
    </row>
    <row r="405" spans="1:16" ht="24" hidden="1" customHeight="1" x14ac:dyDescent="0.25">
      <c r="A405" s="109">
        <v>45077</v>
      </c>
      <c r="B405" s="50" t="s">
        <v>140</v>
      </c>
      <c r="C405" s="5">
        <v>76791</v>
      </c>
      <c r="D405" s="5"/>
      <c r="E405" s="5">
        <f>+IF(FINANCIACION[[#This Row],[$ CAPITAL]]&gt;=0,FINANCIACION[[#This Row],[$ CAPITAL]]+FINANCIACION[[#This Row],[$ INTERESES]],"")</f>
        <v>76791</v>
      </c>
      <c r="F405" s="5">
        <f>+SUMIFS(FINANCIACION[$ CAPITAL],FINANCIACION[Fecha],"&lt;="&amp;FINANCIACION[[#This Row],[Fecha]],FINANCIACION[PRESTAMO],FINANCIACION[[#This Row],[PRESTAMO]])</f>
        <v>460746</v>
      </c>
      <c r="G405" s="53"/>
      <c r="H405" s="53"/>
      <c r="I405" s="5">
        <f>+IF(FINANCIACION[[#This Row],[$ CAPITAL]]&gt;0,FINANCIACION[[#This Row],[$ CAPITAL]])</f>
        <v>76791</v>
      </c>
      <c r="J405" s="33">
        <f>+IF(FINANCIACION[[#This Row],[$ CAPITAL]]&gt;=0,FINANCIACION[[#This Row],[$ CAPITAL]]+FINANCIACION[[#This Row],[$ INTERESES]],0)</f>
        <v>76791</v>
      </c>
    </row>
    <row r="406" spans="1:16" ht="24" hidden="1" customHeight="1" x14ac:dyDescent="0.25">
      <c r="A406" s="109">
        <v>45107</v>
      </c>
      <c r="B406" s="50" t="s">
        <v>1511</v>
      </c>
      <c r="C406" s="5">
        <v>1468400</v>
      </c>
      <c r="D406" s="5">
        <v>260830</v>
      </c>
      <c r="E406" s="5">
        <f>+IF(FINANCIACION[[#This Row],[$ CAPITAL]]&gt;=0,FINANCIACION[[#This Row],[$ CAPITAL]]+FINANCIACION[[#This Row],[$ INTERESES]],"")</f>
        <v>1729230</v>
      </c>
      <c r="F406" s="5">
        <f>+SUMIFS(FINANCIACION[$ CAPITAL],FINANCIACION[Fecha],"&lt;="&amp;FINANCIACION[[#This Row],[Fecha]],FINANCIACION[PRESTAMO],FINANCIACION[[#This Row],[PRESTAMO]])</f>
        <v>-13215600</v>
      </c>
      <c r="G406" s="53"/>
      <c r="H406" s="53"/>
      <c r="I406" s="5">
        <f>+IF(FINANCIACION[[#This Row],[$ CAPITAL]]&gt;0,FINANCIACION[[#This Row],[$ CAPITAL]])</f>
        <v>1468400</v>
      </c>
      <c r="J406" s="33">
        <f>+IF(FINANCIACION[[#This Row],[$ CAPITAL]]&gt;=0,FINANCIACION[[#This Row],[$ CAPITAL]]+FINANCIACION[[#This Row],[$ INTERESES]],0)</f>
        <v>1729230</v>
      </c>
    </row>
    <row r="407" spans="1:16" ht="24" hidden="1" customHeight="1" x14ac:dyDescent="0.25">
      <c r="A407" s="136">
        <v>45107</v>
      </c>
      <c r="B407" s="137" t="s">
        <v>1511</v>
      </c>
      <c r="C407" s="138">
        <v>-447880</v>
      </c>
      <c r="D407" s="138"/>
      <c r="E407" s="138" t="str">
        <f>+IF(FINANCIACION[[#This Row],[$ CAPITAL]]&gt;=0,FINANCIACION[[#This Row],[$ CAPITAL]]+FINANCIACION[[#This Row],[$ INTERESES]],"")</f>
        <v/>
      </c>
      <c r="F407" s="138">
        <f>+SUMIFS(FINANCIACION[$ CAPITAL],FINANCIACION[Fecha],"&lt;="&amp;FINANCIACION[[#This Row],[Fecha]],FINANCIACION[PRESTAMO],FINANCIACION[[#This Row],[PRESTAMO]])</f>
        <v>-13215600</v>
      </c>
      <c r="G407" s="53" t="s">
        <v>934</v>
      </c>
      <c r="H407" s="53"/>
      <c r="I407" s="5" t="b">
        <f>+IF(FINANCIACION[[#This Row],[$ CAPITAL]]&gt;0,FINANCIACION[[#This Row],[$ CAPITAL]])</f>
        <v>0</v>
      </c>
      <c r="J407" s="33">
        <f>+IF(FINANCIACION[[#This Row],[$ CAPITAL]]&gt;=0,FINANCIACION[[#This Row],[$ CAPITAL]]+FINANCIACION[[#This Row],[$ INTERESES]],0)</f>
        <v>0</v>
      </c>
    </row>
    <row r="408" spans="1:16" ht="24" hidden="1" customHeight="1" x14ac:dyDescent="0.25">
      <c r="A408" s="109">
        <v>45107</v>
      </c>
      <c r="B408" s="50" t="s">
        <v>140</v>
      </c>
      <c r="C408" s="5">
        <v>76791</v>
      </c>
      <c r="D408" s="5"/>
      <c r="E408" s="5">
        <f>+IF(FINANCIACION[[#This Row],[$ CAPITAL]]&gt;=0,FINANCIACION[[#This Row],[$ CAPITAL]]+FINANCIACION[[#This Row],[$ INTERESES]],"")</f>
        <v>76791</v>
      </c>
      <c r="F408" s="5">
        <f>+SUMIFS(FINANCIACION[$ CAPITAL],FINANCIACION[Fecha],"&lt;="&amp;FINANCIACION[[#This Row],[Fecha]],FINANCIACION[PRESTAMO],FINANCIACION[[#This Row],[PRESTAMO]])</f>
        <v>537537</v>
      </c>
      <c r="G408" s="53"/>
      <c r="H408" s="53"/>
      <c r="I408" s="5">
        <f>+IF(FINANCIACION[[#This Row],[$ CAPITAL]]&gt;0,FINANCIACION[[#This Row],[$ CAPITAL]])</f>
        <v>76791</v>
      </c>
      <c r="J408" s="33">
        <f>+IF(FINANCIACION[[#This Row],[$ CAPITAL]]&gt;=0,FINANCIACION[[#This Row],[$ CAPITAL]]+FINANCIACION[[#This Row],[$ INTERESES]],0)</f>
        <v>76791</v>
      </c>
    </row>
    <row r="409" spans="1:16" ht="24" hidden="1" customHeight="1" x14ac:dyDescent="0.25">
      <c r="A409" s="109">
        <v>45138</v>
      </c>
      <c r="B409" s="50" t="s">
        <v>1511</v>
      </c>
      <c r="C409" s="5">
        <v>1468400</v>
      </c>
      <c r="D409" s="5">
        <v>246236</v>
      </c>
      <c r="E409" s="5">
        <f>+IF(FINANCIACION[[#This Row],[$ CAPITAL]]&gt;=0,FINANCIACION[[#This Row],[$ CAPITAL]]+FINANCIACION[[#This Row],[$ INTERESES]],"")</f>
        <v>1714636</v>
      </c>
      <c r="F409" s="5">
        <f>+SUMIFS(FINANCIACION[$ CAPITAL],FINANCIACION[Fecha],"&lt;="&amp;FINANCIACION[[#This Row],[Fecha]],FINANCIACION[PRESTAMO],FINANCIACION[[#This Row],[PRESTAMO]])</f>
        <v>-11747200</v>
      </c>
      <c r="G409" s="53"/>
      <c r="H409" s="53"/>
      <c r="I409" s="5">
        <f>+IF(FINANCIACION[[#This Row],[$ CAPITAL]]&gt;0,FINANCIACION[[#This Row],[$ CAPITAL]])</f>
        <v>1468400</v>
      </c>
      <c r="J409" s="33">
        <f>+IF(FINANCIACION[[#This Row],[$ CAPITAL]]&gt;=0,FINANCIACION[[#This Row],[$ CAPITAL]]+FINANCIACION[[#This Row],[$ INTERESES]],0)</f>
        <v>1714636</v>
      </c>
    </row>
    <row r="410" spans="1:16" ht="24" hidden="1" customHeight="1" x14ac:dyDescent="0.25">
      <c r="A410" s="109">
        <v>45138</v>
      </c>
      <c r="B410" s="50" t="s">
        <v>140</v>
      </c>
      <c r="C410" s="5">
        <v>76791</v>
      </c>
      <c r="D410" s="5"/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614328</v>
      </c>
      <c r="G410" s="53"/>
      <c r="H410" s="53"/>
      <c r="I410" s="5">
        <f>+IF(FINANCIACION[[#This Row],[$ CAPITAL]]&gt;0,FINANCIACION[[#This Row],[$ CAPITAL]])</f>
        <v>76791</v>
      </c>
      <c r="J410" s="33">
        <f>+IF(FINANCIACION[[#This Row],[$ CAPITAL]]&gt;=0,FINANCIACION[[#This Row],[$ CAPITAL]]+FINANCIACION[[#This Row],[$ INTERESES]],0)</f>
        <v>76791</v>
      </c>
    </row>
    <row r="411" spans="1:16" ht="24" hidden="1" customHeight="1" x14ac:dyDescent="0.25">
      <c r="A411" s="109">
        <v>45169</v>
      </c>
      <c r="B411" s="50" t="s">
        <v>1511</v>
      </c>
      <c r="C411" s="5">
        <v>1468400</v>
      </c>
      <c r="D411" s="5">
        <v>260830</v>
      </c>
      <c r="E411" s="5">
        <f>+IF(FINANCIACION[[#This Row],[$ CAPITAL]]&gt;=0,FINANCIACION[[#This Row],[$ CAPITAL]]+FINANCIACION[[#This Row],[$ INTERESES]],"")</f>
        <v>1729230</v>
      </c>
      <c r="F411" s="5">
        <f>+SUMIFS(FINANCIACION[$ CAPITAL],FINANCIACION[Fecha],"&lt;="&amp;FINANCIACION[[#This Row],[Fecha]],FINANCIACION[PRESTAMO],FINANCIACION[[#This Row],[PRESTAMO]])</f>
        <v>-10278800</v>
      </c>
      <c r="G411" s="53"/>
      <c r="H411" s="53"/>
      <c r="I411" s="5">
        <f>+IF(FINANCIACION[[#This Row],[$ CAPITAL]]&gt;0,FINANCIACION[[#This Row],[$ CAPITAL]])</f>
        <v>1468400</v>
      </c>
      <c r="J411" s="33">
        <f>+IF(FINANCIACION[[#This Row],[$ CAPITAL]]&gt;=0,FINANCIACION[[#This Row],[$ CAPITAL]]+FINANCIACION[[#This Row],[$ INTERESES]],0)</f>
        <v>1729230</v>
      </c>
    </row>
    <row r="412" spans="1:16" ht="24" hidden="1" customHeight="1" x14ac:dyDescent="0.25">
      <c r="A412" s="109">
        <v>45169</v>
      </c>
      <c r="B412" s="50" t="s">
        <v>140</v>
      </c>
      <c r="C412" s="5">
        <v>76791</v>
      </c>
      <c r="D412" s="5"/>
      <c r="E412" s="5">
        <f>+IF(FINANCIACION[[#This Row],[$ CAPITAL]]&gt;=0,FINANCIACION[[#This Row],[$ CAPITAL]]+FINANCIACION[[#This Row],[$ INTERESES]],"")</f>
        <v>76791</v>
      </c>
      <c r="F412" s="5">
        <f>+SUMIFS(FINANCIACION[$ CAPITAL],FINANCIACION[Fecha],"&lt;="&amp;FINANCIACION[[#This Row],[Fecha]],FINANCIACION[PRESTAMO],FINANCIACION[[#This Row],[PRESTAMO]])</f>
        <v>691119</v>
      </c>
      <c r="G412" s="53"/>
      <c r="H412" s="53"/>
      <c r="I412" s="5">
        <f>+IF(FINANCIACION[[#This Row],[$ CAPITAL]]&gt;0,FINANCIACION[[#This Row],[$ CAPITAL]])</f>
        <v>76791</v>
      </c>
      <c r="J412" s="33">
        <f>+IF(FINANCIACION[[#This Row],[$ CAPITAL]]&gt;=0,FINANCIACION[[#This Row],[$ CAPITAL]]+FINANCIACION[[#This Row],[$ INTERESES]],0)</f>
        <v>76791</v>
      </c>
    </row>
    <row r="413" spans="1:16" ht="24" hidden="1" customHeight="1" x14ac:dyDescent="0.25">
      <c r="A413" s="109">
        <v>45199</v>
      </c>
      <c r="B413" s="50" t="s">
        <v>1511</v>
      </c>
      <c r="C413" s="5">
        <v>0</v>
      </c>
      <c r="D413" s="5">
        <v>0</v>
      </c>
      <c r="E413" s="5">
        <f>+IF(FINANCIACION[[#This Row],[$ CAPITAL]]&gt;=0,FINANCIACION[[#This Row],[$ CAPITAL]]+FINANCIACION[[#This Row],[$ INTERESES]],"")</f>
        <v>0</v>
      </c>
      <c r="F413" s="5">
        <f>+SUMIFS(FINANCIACION[$ CAPITAL],FINANCIACION[Fecha],"&lt;="&amp;FINANCIACION[[#This Row],[Fecha]],FINANCIACION[PRESTAMO],FINANCIACION[[#This Row],[PRESTAMO]])</f>
        <v>-10278800</v>
      </c>
      <c r="G413" s="53"/>
      <c r="H413" s="53"/>
      <c r="I413" s="5" t="b">
        <f>+IF(FINANCIACION[[#This Row],[$ CAPITAL]]&gt;0,FINANCIACION[[#This Row],[$ CAPITAL]])</f>
        <v>0</v>
      </c>
      <c r="J413" s="33">
        <f>+IF(FINANCIACION[[#This Row],[$ CAPITAL]]&gt;=0,FINANCIACION[[#This Row],[$ CAPITAL]]+FINANCIACION[[#This Row],[$ INTERESES]],0)</f>
        <v>0</v>
      </c>
    </row>
    <row r="414" spans="1:16" ht="24" hidden="1" customHeight="1" x14ac:dyDescent="0.25">
      <c r="A414" s="109">
        <v>45199</v>
      </c>
      <c r="B414" s="50" t="s">
        <v>140</v>
      </c>
      <c r="C414" s="5">
        <v>0</v>
      </c>
      <c r="D414" s="5">
        <v>0</v>
      </c>
      <c r="E414" s="5">
        <f>+IF(FINANCIACION[[#This Row],[$ CAPITAL]]&gt;=0,FINANCIACION[[#This Row],[$ CAPITAL]]+FINANCIACION[[#This Row],[$ INTERESES]],"")</f>
        <v>0</v>
      </c>
      <c r="F414" s="5">
        <f>+SUMIFS(FINANCIACION[$ CAPITAL],FINANCIACION[Fecha],"&lt;="&amp;FINANCIACION[[#This Row],[Fecha]],FINANCIACION[PRESTAMO],FINANCIACION[[#This Row],[PRESTAMO]])</f>
        <v>691119</v>
      </c>
      <c r="G414" s="53"/>
      <c r="H414" s="53"/>
      <c r="I414" s="5" t="b">
        <f>+IF(FINANCIACION[[#This Row],[$ CAPITAL]]&gt;0,FINANCIACION[[#This Row],[$ CAPITAL]])</f>
        <v>0</v>
      </c>
      <c r="J414" s="33">
        <f>+IF(FINANCIACION[[#This Row],[$ CAPITAL]]&gt;=0,FINANCIACION[[#This Row],[$ CAPITAL]]+FINANCIACION[[#This Row],[$ INTERESES]],0)</f>
        <v>0</v>
      </c>
    </row>
    <row r="415" spans="1:16" ht="24" hidden="1" customHeight="1" x14ac:dyDescent="0.25">
      <c r="A415" s="109">
        <v>45201</v>
      </c>
      <c r="B415" s="50" t="s">
        <v>1511</v>
      </c>
      <c r="C415" s="5">
        <v>1468400</v>
      </c>
      <c r="D415" s="5">
        <v>164239</v>
      </c>
      <c r="E415" s="5">
        <f>+IF(FINANCIACION[[#This Row],[$ CAPITAL]]&gt;=0,FINANCIACION[[#This Row],[$ CAPITAL]]+FINANCIACION[[#This Row],[$ INTERESES]],"")</f>
        <v>1632639</v>
      </c>
      <c r="F415" s="5">
        <f>+SUMIFS(FINANCIACION[$ CAPITAL],FINANCIACION[Fecha],"&lt;="&amp;FINANCIACION[[#This Row],[Fecha]],FINANCIACION[PRESTAMO],FINANCIACION[[#This Row],[PRESTAMO]])</f>
        <v>-8810400</v>
      </c>
      <c r="G415" s="53"/>
      <c r="H415" s="53"/>
      <c r="I415" s="5">
        <f>+IF(FINANCIACION[[#This Row],[$ CAPITAL]]&gt;0,FINANCIACION[[#This Row],[$ CAPITAL]])</f>
        <v>1468400</v>
      </c>
      <c r="J415" s="33">
        <f>+IF(FINANCIACION[[#This Row],[$ CAPITAL]]&gt;=0,FINANCIACION[[#This Row],[$ CAPITAL]]+FINANCIACION[[#This Row],[$ INTERESES]],0)</f>
        <v>1632639</v>
      </c>
    </row>
    <row r="416" spans="1:16" ht="24" hidden="1" customHeight="1" x14ac:dyDescent="0.25">
      <c r="A416" s="109">
        <v>45202</v>
      </c>
      <c r="B416" s="50" t="s">
        <v>140</v>
      </c>
      <c r="C416" s="5">
        <v>77002</v>
      </c>
      <c r="D416" s="5"/>
      <c r="E416" s="5">
        <f>+IF(FINANCIACION[[#This Row],[$ CAPITAL]]&gt;=0,FINANCIACION[[#This Row],[$ CAPITAL]]+FINANCIACION[[#This Row],[$ INTERESES]],"")</f>
        <v>77002</v>
      </c>
      <c r="F416" s="5">
        <f>+SUMIFS(FINANCIACION[$ CAPITAL],FINANCIACION[Fecha],"&lt;="&amp;FINANCIACION[[#This Row],[Fecha]],FINANCIACION[PRESTAMO],FINANCIACION[[#This Row],[PRESTAMO]])</f>
        <v>768121</v>
      </c>
      <c r="G416" s="53"/>
      <c r="H416" s="53"/>
      <c r="I416" s="5">
        <f>+IF(FINANCIACION[[#This Row],[$ CAPITAL]]&gt;0,FINANCIACION[[#This Row],[$ CAPITAL]])</f>
        <v>77002</v>
      </c>
      <c r="J416" s="33">
        <f>+IF(FINANCIACION[[#This Row],[$ CAPITAL]]&gt;=0,FINANCIACION[[#This Row],[$ CAPITAL]]+FINANCIACION[[#This Row],[$ INTERESES]],0)</f>
        <v>77002</v>
      </c>
    </row>
    <row r="417" spans="1:10" ht="24" hidden="1" customHeight="1" x14ac:dyDescent="0.25">
      <c r="A417" s="109">
        <v>45205</v>
      </c>
      <c r="B417" s="50" t="s">
        <v>140</v>
      </c>
      <c r="C417" s="5">
        <v>460535</v>
      </c>
      <c r="D417" s="5"/>
      <c r="E417" s="5">
        <f>+IF(FINANCIACION[[#This Row],[$ CAPITAL]]&gt;=0,FINANCIACION[[#This Row],[$ CAPITAL]]+FINANCIACION[[#This Row],[$ INTERESES]],"")</f>
        <v>460535</v>
      </c>
      <c r="F417" s="5">
        <f>+SUMIFS(FINANCIACION[$ CAPITAL],FINANCIACION[Fecha],"&lt;="&amp;FINANCIACION[[#This Row],[Fecha]],FINANCIACION[PRESTAMO],FINANCIACION[[#This Row],[PRESTAMO]])</f>
        <v>1228656</v>
      </c>
      <c r="G417" s="53" t="s">
        <v>1238</v>
      </c>
      <c r="H417" s="53"/>
      <c r="I417" s="5">
        <f>+IF(FINANCIACION[[#This Row],[$ CAPITAL]]&gt;0,FINANCIACION[[#This Row],[$ CAPITAL]])</f>
        <v>460535</v>
      </c>
      <c r="J417" s="33">
        <f>+IF(FINANCIACION[[#This Row],[$ CAPITAL]]&gt;=0,FINANCIACION[[#This Row],[$ CAPITAL]]+FINANCIACION[[#This Row],[$ INTERESES]],0)</f>
        <v>460535</v>
      </c>
    </row>
    <row r="418" spans="1:10" ht="24" hidden="1" customHeight="1" x14ac:dyDescent="0.25">
      <c r="A418" s="109">
        <v>45230</v>
      </c>
      <c r="B418" s="50" t="s">
        <v>1511</v>
      </c>
      <c r="C418" s="5">
        <v>1468400</v>
      </c>
      <c r="D418" s="5">
        <v>164239</v>
      </c>
      <c r="E418" s="5">
        <f>+IF(FINANCIACION[[#This Row],[$ CAPITAL]]&gt;=0,FINANCIACION[[#This Row],[$ CAPITAL]]+FINANCIACION[[#This Row],[$ INTERESES]],"")</f>
        <v>1632639</v>
      </c>
      <c r="F418" s="5">
        <f>+SUMIFS(FINANCIACION[$ CAPITAL],FINANCIACION[Fecha],"&lt;="&amp;FINANCIACION[[#This Row],[Fecha]],FINANCIACION[PRESTAMO],FINANCIACION[[#This Row],[PRESTAMO]])</f>
        <v>-7342000</v>
      </c>
      <c r="G418" s="53"/>
      <c r="H418" s="53"/>
      <c r="I418" s="5">
        <f>+IF(FINANCIACION[[#This Row],[$ CAPITAL]]&gt;0,FINANCIACION[[#This Row],[$ CAPITAL]])</f>
        <v>1468400</v>
      </c>
      <c r="J418" s="33">
        <f>+IF(FINANCIACION[[#This Row],[$ CAPITAL]]&gt;=0,FINANCIACION[[#This Row],[$ CAPITAL]]+FINANCIACION[[#This Row],[$ INTERESES]],0)</f>
        <v>1632639</v>
      </c>
    </row>
    <row r="419" spans="1:10" ht="24" hidden="1" customHeight="1" x14ac:dyDescent="0.25">
      <c r="A419" s="109">
        <v>45237</v>
      </c>
      <c r="B419" s="50" t="s">
        <v>140</v>
      </c>
      <c r="C419" s="5">
        <v>-1228656</v>
      </c>
      <c r="D419" s="5"/>
      <c r="E419" s="5"/>
      <c r="F419" s="5">
        <f>+SUMIFS(FINANCIACION[$ CAPITAL],FINANCIACION[Fecha],"&lt;="&amp;FINANCIACION[[#This Row],[Fecha]],FINANCIACION[PRESTAMO],FINANCIACION[[#This Row],[PRESTAMO]])</f>
        <v>0</v>
      </c>
      <c r="G419" s="53" t="s">
        <v>153</v>
      </c>
      <c r="H419" s="53"/>
      <c r="I419" s="5" t="b">
        <f>+IF(FINANCIACION[[#This Row],[$ CAPITAL]]&gt;0,FINANCIACION[[#This Row],[$ CAPITAL]])</f>
        <v>0</v>
      </c>
      <c r="J419" s="33">
        <f>+IF(FINANCIACION[[#This Row],[$ CAPITAL]]&gt;=0,FINANCIACION[[#This Row],[$ CAPITAL]]+FINANCIACION[[#This Row],[$ INTERESES]],0)</f>
        <v>0</v>
      </c>
    </row>
    <row r="420" spans="1:10" ht="24" hidden="1" customHeight="1" x14ac:dyDescent="0.25">
      <c r="A420" s="109">
        <v>45260</v>
      </c>
      <c r="B420" s="50" t="s">
        <v>1511</v>
      </c>
      <c r="C420" s="5">
        <v>1468400</v>
      </c>
      <c r="D420" s="5">
        <v>134819</v>
      </c>
      <c r="E420" s="5">
        <f>+IF(FINANCIACION[[#This Row],[$ CAPITAL]]&gt;=0,FINANCIACION[[#This Row],[$ CAPITAL]]+FINANCIACION[[#This Row],[$ INTERESES]],"")</f>
        <v>1603219</v>
      </c>
      <c r="F420" s="5">
        <f>+SUMIFS(FINANCIACION[$ CAPITAL],FINANCIACION[Fecha],"&lt;="&amp;FINANCIACION[[#This Row],[Fecha]],FINANCIACION[PRESTAMO],FINANCIACION[[#This Row],[PRESTAMO]])</f>
        <v>-5873600</v>
      </c>
      <c r="G420" s="53"/>
      <c r="H420" s="53"/>
      <c r="I420" s="5">
        <f>+IF(FINANCIACION[[#This Row],[$ CAPITAL]]&gt;0,FINANCIACION[[#This Row],[$ CAPITAL]])</f>
        <v>1468400</v>
      </c>
      <c r="J420" s="33">
        <f>+IF(FINANCIACION[[#This Row],[$ CAPITAL]]&gt;=0,FINANCIACION[[#This Row],[$ CAPITAL]]+FINANCIACION[[#This Row],[$ INTERESES]],0)</f>
        <v>1603219</v>
      </c>
    </row>
    <row r="421" spans="1:10" ht="24" hidden="1" customHeight="1" x14ac:dyDescent="0.25">
      <c r="A421" s="109">
        <v>44966</v>
      </c>
      <c r="B421" s="50" t="s">
        <v>649</v>
      </c>
      <c r="C421" s="5">
        <v>-22673725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-22673725</v>
      </c>
      <c r="G421" s="53"/>
      <c r="H421" s="53"/>
      <c r="I421" s="5" t="b">
        <f>+IF(FINANCIACION[[#This Row],[$ CAPITAL]]&gt;0,FINANCIACION[[#This Row],[$ CAPITAL]])</f>
        <v>0</v>
      </c>
      <c r="J421" s="33">
        <f>+IF(FINANCIACION[[#This Row],[$ CAPITAL]]&gt;=0,FINANCIACION[[#This Row],[$ CAPITAL]]+FINANCIACION[[#This Row],[$ INTERESES]],0)</f>
        <v>0</v>
      </c>
    </row>
    <row r="422" spans="1:10" ht="24" hidden="1" customHeight="1" x14ac:dyDescent="0.25">
      <c r="A422" s="109">
        <v>44994</v>
      </c>
      <c r="B422" s="50" t="s">
        <v>649</v>
      </c>
      <c r="C422" s="5">
        <v>1889478</v>
      </c>
      <c r="D422" s="5">
        <v>377197</v>
      </c>
      <c r="E422" s="5">
        <f>+IF(FINANCIACION[[#This Row],[$ CAPITAL]]&gt;=0,FINANCIACION[[#This Row],[$ CAPITAL]]+FINANCIACION[[#This Row],[$ INTERESES]],"")</f>
        <v>2266675</v>
      </c>
      <c r="F422" s="5">
        <f>+SUMIFS(FINANCIACION[$ CAPITAL],FINANCIACION[Fecha],"&lt;="&amp;FINANCIACION[[#This Row],[Fecha]],FINANCIACION[PRESTAMO],FINANCIACION[[#This Row],[PRESTAMO]])</f>
        <v>-20784247</v>
      </c>
      <c r="G422" s="53"/>
      <c r="H422" s="53"/>
      <c r="I422" s="5">
        <f>+IF(FINANCIACION[[#This Row],[$ CAPITAL]]&gt;0,FINANCIACION[[#This Row],[$ CAPITAL]])</f>
        <v>1889478</v>
      </c>
      <c r="J422" s="33">
        <f>+IF(FINANCIACION[[#This Row],[$ CAPITAL]]&gt;=0,FINANCIACION[[#This Row],[$ CAPITAL]]+FINANCIACION[[#This Row],[$ INTERESES]],0)</f>
        <v>2266675</v>
      </c>
    </row>
    <row r="423" spans="1:10" ht="24" hidden="1" customHeight="1" x14ac:dyDescent="0.25">
      <c r="A423" s="109">
        <v>45026</v>
      </c>
      <c r="B423" s="50" t="s">
        <v>649</v>
      </c>
      <c r="C423" s="5">
        <v>1889477</v>
      </c>
      <c r="D423" s="5">
        <v>384332</v>
      </c>
      <c r="E423" s="5">
        <f>+IF(FINANCIACION[[#This Row],[$ CAPITAL]]&gt;=0,FINANCIACION[[#This Row],[$ CAPITAL]]+FINANCIACION[[#This Row],[$ INTERESES]],"")</f>
        <v>2273809</v>
      </c>
      <c r="F423" s="5">
        <f>+SUMIFS(FINANCIACION[$ CAPITAL],FINANCIACION[Fecha],"&lt;="&amp;FINANCIACION[[#This Row],[Fecha]],FINANCIACION[PRESTAMO],FINANCIACION[[#This Row],[PRESTAMO]])</f>
        <v>-18894770</v>
      </c>
      <c r="G423" s="53"/>
      <c r="H423" s="53"/>
      <c r="I423" s="5">
        <f>+IF(FINANCIACION[[#This Row],[$ CAPITAL]]&gt;0,FINANCIACION[[#This Row],[$ CAPITAL]])</f>
        <v>1889477</v>
      </c>
      <c r="J423" s="33">
        <f>+IF(FINANCIACION[[#This Row],[$ CAPITAL]]&gt;=0,FINANCIACION[[#This Row],[$ CAPITAL]]+FINANCIACION[[#This Row],[$ INTERESES]],0)</f>
        <v>2273809</v>
      </c>
    </row>
    <row r="424" spans="1:10" ht="24" hidden="1" customHeight="1" x14ac:dyDescent="0.25">
      <c r="A424" s="109">
        <v>45055</v>
      </c>
      <c r="B424" s="50" t="s">
        <v>649</v>
      </c>
      <c r="C424" s="5">
        <v>1889477</v>
      </c>
      <c r="D424" s="5">
        <v>340074</v>
      </c>
      <c r="E424" s="5">
        <f>+IF(FINANCIACION[[#This Row],[$ CAPITAL]]&gt;=0,FINANCIACION[[#This Row],[$ CAPITAL]]+FINANCIACION[[#This Row],[$ INTERESES]],"")</f>
        <v>2229551</v>
      </c>
      <c r="F424" s="5">
        <f>+SUMIFS(FINANCIACION[$ CAPITAL],FINANCIACION[Fecha],"&lt;="&amp;FINANCIACION[[#This Row],[Fecha]],FINANCIACION[PRESTAMO],FINANCIACION[[#This Row],[PRESTAMO]])</f>
        <v>-17005293</v>
      </c>
      <c r="G424" s="53"/>
      <c r="H424" s="53"/>
      <c r="I424" s="5">
        <f>+IF(FINANCIACION[[#This Row],[$ CAPITAL]]&gt;0,FINANCIACION[[#This Row],[$ CAPITAL]])</f>
        <v>1889477</v>
      </c>
      <c r="J424" s="33">
        <f>+IF(FINANCIACION[[#This Row],[$ CAPITAL]]&gt;=0,FINANCIACION[[#This Row],[$ CAPITAL]]+FINANCIACION[[#This Row],[$ INTERESES]],0)</f>
        <v>2229551</v>
      </c>
    </row>
    <row r="425" spans="1:10" ht="24" hidden="1" customHeight="1" x14ac:dyDescent="0.25">
      <c r="A425" s="109">
        <v>45086</v>
      </c>
      <c r="B425" s="50" t="s">
        <v>649</v>
      </c>
      <c r="C425" s="5">
        <v>1889477</v>
      </c>
      <c r="D425" s="5">
        <v>319564</v>
      </c>
      <c r="E425" s="5">
        <f>+IF(FINANCIACION[[#This Row],[$ CAPITAL]]&gt;=0,FINANCIACION[[#This Row],[$ CAPITAL]]+FINANCIACION[[#This Row],[$ INTERESES]],"")</f>
        <v>2209041</v>
      </c>
      <c r="F425" s="5">
        <f>+SUMIFS(FINANCIACION[$ CAPITAL],FINANCIACION[Fecha],"&lt;="&amp;FINANCIACION[[#This Row],[Fecha]],FINANCIACION[PRESTAMO],FINANCIACION[[#This Row],[PRESTAMO]])</f>
        <v>-15115816</v>
      </c>
      <c r="G425" s="53"/>
      <c r="H425" s="53"/>
      <c r="I425" s="5">
        <f>+IF(FINANCIACION[[#This Row],[$ CAPITAL]]&gt;0,FINANCIACION[[#This Row],[$ CAPITAL]])</f>
        <v>1889477</v>
      </c>
      <c r="J425" s="33">
        <f>+IF(FINANCIACION[[#This Row],[$ CAPITAL]]&gt;=0,FINANCIACION[[#This Row],[$ CAPITAL]]+FINANCIACION[[#This Row],[$ INTERESES]],0)</f>
        <v>2209041</v>
      </c>
    </row>
    <row r="426" spans="1:10" ht="24" hidden="1" customHeight="1" x14ac:dyDescent="0.25">
      <c r="A426" s="109">
        <v>45117</v>
      </c>
      <c r="B426" s="50" t="s">
        <v>649</v>
      </c>
      <c r="C426" s="5">
        <v>1889477</v>
      </c>
      <c r="D426" s="5">
        <v>275070</v>
      </c>
      <c r="E426" s="5">
        <f>+IF(FINANCIACION[[#This Row],[$ CAPITAL]]&gt;=0,FINANCIACION[[#This Row],[$ CAPITAL]]+FINANCIACION[[#This Row],[$ INTERESES]],"")</f>
        <v>2164547</v>
      </c>
      <c r="F426" s="5">
        <f>+SUMIFS(FINANCIACION[$ CAPITAL],FINANCIACION[Fecha],"&lt;="&amp;FINANCIACION[[#This Row],[Fecha]],FINANCIACION[PRESTAMO],FINANCIACION[[#This Row],[PRESTAMO]])</f>
        <v>-13226339</v>
      </c>
      <c r="G426" s="53"/>
      <c r="H426" s="53"/>
      <c r="I426" s="5">
        <f>+IF(FINANCIACION[[#This Row],[$ CAPITAL]]&gt;0,FINANCIACION[[#This Row],[$ CAPITAL]])</f>
        <v>1889477</v>
      </c>
      <c r="J426" s="33">
        <f>+IF(FINANCIACION[[#This Row],[$ CAPITAL]]&gt;=0,FINANCIACION[[#This Row],[$ CAPITAL]]+FINANCIACION[[#This Row],[$ INTERESES]],0)</f>
        <v>2164547</v>
      </c>
    </row>
    <row r="427" spans="1:10" ht="24" hidden="1" customHeight="1" x14ac:dyDescent="0.25">
      <c r="A427" s="109">
        <v>45147</v>
      </c>
      <c r="B427" s="50" t="s">
        <v>649</v>
      </c>
      <c r="C427" s="5">
        <v>1889477</v>
      </c>
      <c r="D427" s="5">
        <v>275070</v>
      </c>
      <c r="E427" s="5">
        <f>+IF(FINANCIACION[[#This Row],[$ CAPITAL]]&gt;=0,FINANCIACION[[#This Row],[$ CAPITAL]]+FINANCIACION[[#This Row],[$ INTERESES]],"")</f>
        <v>2164547</v>
      </c>
      <c r="F427" s="5">
        <f>+SUMIFS(FINANCIACION[$ CAPITAL],FINANCIACION[Fecha],"&lt;="&amp;FINANCIACION[[#This Row],[Fecha]],FINANCIACION[PRESTAMO],FINANCIACION[[#This Row],[PRESTAMO]])</f>
        <v>-11336862</v>
      </c>
      <c r="G427" s="53"/>
      <c r="H427" s="53"/>
      <c r="I427" s="5">
        <f>+IF(FINANCIACION[[#This Row],[$ CAPITAL]]&gt;0,FINANCIACION[[#This Row],[$ CAPITAL]])</f>
        <v>1889477</v>
      </c>
      <c r="J427" s="33">
        <f>+IF(FINANCIACION[[#This Row],[$ CAPITAL]]&gt;=0,FINANCIACION[[#This Row],[$ CAPITAL]]+FINANCIACION[[#This Row],[$ INTERESES]],0)</f>
        <v>2164547</v>
      </c>
    </row>
    <row r="428" spans="1:10" ht="24" hidden="1" customHeight="1" x14ac:dyDescent="0.25">
      <c r="A428" s="109">
        <v>45178</v>
      </c>
      <c r="B428" s="50" t="s">
        <v>649</v>
      </c>
      <c r="C428" s="5">
        <v>1889477</v>
      </c>
      <c r="D428" s="5">
        <v>171736</v>
      </c>
      <c r="E428" s="5">
        <f>+IF(FINANCIACION[[#This Row],[$ CAPITAL]]&gt;=0,FINANCIACION[[#This Row],[$ CAPITAL]]+FINANCIACION[[#This Row],[$ INTERESES]],"")</f>
        <v>2061213</v>
      </c>
      <c r="F428" s="5">
        <f>+SUMIFS(FINANCIACION[$ CAPITAL],FINANCIACION[Fecha],"&lt;="&amp;FINANCIACION[[#This Row],[Fecha]],FINANCIACION[PRESTAMO],FINANCIACION[[#This Row],[PRESTAMO]])</f>
        <v>-9447385</v>
      </c>
      <c r="G428" s="53"/>
      <c r="H428" s="53"/>
      <c r="I428" s="5">
        <f>+IF(FINANCIACION[[#This Row],[$ CAPITAL]]&gt;0,FINANCIACION[[#This Row],[$ CAPITAL]])</f>
        <v>1889477</v>
      </c>
      <c r="J428" s="33">
        <f>+IF(FINANCIACION[[#This Row],[$ CAPITAL]]&gt;=0,FINANCIACION[[#This Row],[$ CAPITAL]]+FINANCIACION[[#This Row],[$ INTERESES]],0)</f>
        <v>2061213</v>
      </c>
    </row>
    <row r="429" spans="1:10" ht="24" hidden="1" customHeight="1" x14ac:dyDescent="0.25">
      <c r="A429" s="109">
        <v>45208</v>
      </c>
      <c r="B429" s="50" t="s">
        <v>649</v>
      </c>
      <c r="C429" s="5">
        <v>1889477</v>
      </c>
      <c r="D429" s="5">
        <v>171736</v>
      </c>
      <c r="E429" s="5">
        <f>+IF(FINANCIACION[[#This Row],[$ CAPITAL]]&gt;=0,FINANCIACION[[#This Row],[$ CAPITAL]]+FINANCIACION[[#This Row],[$ INTERESES]],"")</f>
        <v>2061213</v>
      </c>
      <c r="F429" s="5">
        <f>+SUMIFS(FINANCIACION[$ CAPITAL],FINANCIACION[Fecha],"&lt;="&amp;FINANCIACION[[#This Row],[Fecha]],FINANCIACION[PRESTAMO],FINANCIACION[[#This Row],[PRESTAMO]])</f>
        <v>-7557908</v>
      </c>
      <c r="G429" s="53"/>
      <c r="H429" s="53"/>
      <c r="I429" s="5">
        <f>+IF(FINANCIACION[[#This Row],[$ CAPITAL]]&gt;0,FINANCIACION[[#This Row],[$ CAPITAL]])</f>
        <v>1889477</v>
      </c>
      <c r="J429" s="33">
        <f>+IF(FINANCIACION[[#This Row],[$ CAPITAL]]&gt;=0,FINANCIACION[[#This Row],[$ CAPITAL]]+FINANCIACION[[#This Row],[$ INTERESES]],0)</f>
        <v>2061213</v>
      </c>
    </row>
    <row r="430" spans="1:10" ht="24" hidden="1" customHeight="1" x14ac:dyDescent="0.25">
      <c r="A430" s="109">
        <v>45239</v>
      </c>
      <c r="B430" s="50" t="s">
        <v>649</v>
      </c>
      <c r="C430" s="5">
        <v>1889477</v>
      </c>
      <c r="D430" s="5">
        <v>103156</v>
      </c>
      <c r="E430" s="5">
        <f>+IF(FINANCIACION[[#This Row],[$ CAPITAL]]&gt;=0,FINANCIACION[[#This Row],[$ CAPITAL]]+FINANCIACION[[#This Row],[$ INTERESES]],"")</f>
        <v>1992633</v>
      </c>
      <c r="F430" s="5">
        <f>+SUMIFS(FINANCIACION[$ CAPITAL],FINANCIACION[Fecha],"&lt;="&amp;FINANCIACION[[#This Row],[Fecha]],FINANCIACION[PRESTAMO],FINANCIACION[[#This Row],[PRESTAMO]])</f>
        <v>-5668431</v>
      </c>
      <c r="G430" s="53"/>
      <c r="H430" s="53"/>
      <c r="I430" s="5">
        <f>+IF(FINANCIACION[[#This Row],[$ CAPITAL]]&gt;0,FINANCIACION[[#This Row],[$ CAPITAL]])</f>
        <v>1889477</v>
      </c>
      <c r="J430" s="33">
        <f>+IF(FINANCIACION[[#This Row],[$ CAPITAL]]&gt;=0,FINANCIACION[[#This Row],[$ CAPITAL]]+FINANCIACION[[#This Row],[$ INTERESES]],0)</f>
        <v>1992633</v>
      </c>
    </row>
    <row r="431" spans="1:10" ht="24" hidden="1" customHeight="1" x14ac:dyDescent="0.25">
      <c r="A431" s="109">
        <v>45271</v>
      </c>
      <c r="B431" s="50" t="s">
        <v>649</v>
      </c>
      <c r="C431" s="5">
        <v>1889477</v>
      </c>
      <c r="D431" s="5">
        <v>103156</v>
      </c>
      <c r="E431" s="5">
        <f>+IF(FINANCIACION[[#This Row],[$ CAPITAL]]&gt;=0,FINANCIACION[[#This Row],[$ CAPITAL]]+FINANCIACION[[#This Row],[$ INTERESES]],"")</f>
        <v>1992633</v>
      </c>
      <c r="F431" s="5">
        <f>+SUMIFS(FINANCIACION[$ CAPITAL],FINANCIACION[Fecha],"&lt;="&amp;FINANCIACION[[#This Row],[Fecha]],FINANCIACION[PRESTAMO],FINANCIACION[[#This Row],[PRESTAMO]])</f>
        <v>-3778954</v>
      </c>
      <c r="G431" s="53"/>
      <c r="H431" s="53"/>
      <c r="I431" s="5">
        <f>+IF(FINANCIACION[[#This Row],[$ CAPITAL]]&gt;0,FINANCIACION[[#This Row],[$ CAPITAL]])</f>
        <v>1889477</v>
      </c>
      <c r="J431" s="33">
        <f>+IF(FINANCIACION[[#This Row],[$ CAPITAL]]&gt;=0,FINANCIACION[[#This Row],[$ CAPITAL]]+FINANCIACION[[#This Row],[$ INTERESES]],0)</f>
        <v>1992633</v>
      </c>
    </row>
    <row r="432" spans="1:10" ht="24" hidden="1" customHeight="1" x14ac:dyDescent="0.25">
      <c r="A432" s="109">
        <v>45293</v>
      </c>
      <c r="B432" s="50" t="s">
        <v>1511</v>
      </c>
      <c r="C432" s="5">
        <f>5873600-4405200</f>
        <v>1468400</v>
      </c>
      <c r="D432" s="5">
        <v>107809</v>
      </c>
      <c r="E432" s="5">
        <f>+IF(FINANCIACION[[#This Row],[$ CAPITAL]]&gt;=0,FINANCIACION[[#This Row],[$ CAPITAL]]+FINANCIACION[[#This Row],[$ INTERESES]],"")</f>
        <v>1576209</v>
      </c>
      <c r="F432" s="5">
        <f>+SUMIFS(FINANCIACION[$ CAPITAL],FINANCIACION[Fecha],"&lt;="&amp;FINANCIACION[[#This Row],[Fecha]],FINANCIACION[PRESTAMO],FINANCIACION[[#This Row],[PRESTAMO]])</f>
        <v>-4405200</v>
      </c>
      <c r="G432" s="53"/>
      <c r="H432" s="53"/>
      <c r="I432" s="5">
        <f>+IF(FINANCIACION[[#This Row],[$ CAPITAL]]&gt;0,FINANCIACION[[#This Row],[$ CAPITAL]])</f>
        <v>1468400</v>
      </c>
      <c r="J432" s="33">
        <f>+IF(FINANCIACION[[#This Row],[$ CAPITAL]]&gt;=0,FINANCIACION[[#This Row],[$ CAPITAL]]+FINANCIACION[[#This Row],[$ INTERESES]],0)</f>
        <v>1576209</v>
      </c>
    </row>
    <row r="433" spans="1:10" ht="24" hidden="1" customHeight="1" x14ac:dyDescent="0.25">
      <c r="A433" s="109">
        <v>44930</v>
      </c>
      <c r="B433" s="50" t="s">
        <v>141</v>
      </c>
      <c r="C433" s="5"/>
      <c r="D433" s="5">
        <v>61060</v>
      </c>
      <c r="E433" s="5">
        <f>+IF(FINANCIACION[[#This Row],[$ CAPITAL]]&gt;=0,FINANCIACION[[#This Row],[$ CAPITAL]]+FINANCIACION[[#This Row],[$ INTERESES]],"")</f>
        <v>61060</v>
      </c>
      <c r="F433" s="5">
        <f>+SUMIFS(FINANCIACION[$ CAPITAL],FINANCIACION[Fecha],"&lt;="&amp;FINANCIACION[[#This Row],[Fecha]],FINANCIACION[PRESTAMO],FINANCIACION[[#This Row],[PRESTAMO]])</f>
        <v>0</v>
      </c>
      <c r="G433" s="53"/>
      <c r="H433" s="53"/>
      <c r="I433" s="5" t="b">
        <f>+IF(FINANCIACION[[#This Row],[$ CAPITAL]]&gt;0,FINANCIACION[[#This Row],[$ CAPITAL]])</f>
        <v>0</v>
      </c>
      <c r="J433" s="33">
        <f>+IF(FINANCIACION[[#This Row],[$ CAPITAL]]&gt;=0,FINANCIACION[[#This Row],[$ CAPITAL]]+FINANCIACION[[#This Row],[$ INTERESES]],0)</f>
        <v>61060</v>
      </c>
    </row>
    <row r="434" spans="1:10" ht="24" hidden="1" customHeight="1" x14ac:dyDescent="0.25">
      <c r="A434" s="109">
        <v>44931</v>
      </c>
      <c r="B434" s="50" t="s">
        <v>141</v>
      </c>
      <c r="C434" s="5"/>
      <c r="D434" s="5">
        <v>665872</v>
      </c>
      <c r="E434" s="5">
        <f>+IF(FINANCIACION[[#This Row],[$ CAPITAL]]&gt;=0,FINANCIACION[[#This Row],[$ CAPITAL]]+FINANCIACION[[#This Row],[$ INTERESES]],"")</f>
        <v>665872</v>
      </c>
      <c r="F434" s="5">
        <f>+SUMIFS(FINANCIACION[$ CAPITAL],FINANCIACION[Fecha],"&lt;="&amp;FINANCIACION[[#This Row],[Fecha]],FINANCIACION[PRESTAMO],FINANCIACION[[#This Row],[PRESTAMO]])</f>
        <v>0</v>
      </c>
      <c r="G434" s="53"/>
      <c r="H434" s="53"/>
      <c r="I434" s="5" t="b">
        <f>+IF(FINANCIACION[[#This Row],[$ CAPITAL]]&gt;0,FINANCIACION[[#This Row],[$ CAPITAL]])</f>
        <v>0</v>
      </c>
      <c r="J434" s="33">
        <f>+IF(FINANCIACION[[#This Row],[$ CAPITAL]]&gt;=0,FINANCIACION[[#This Row],[$ CAPITAL]]+FINANCIACION[[#This Row],[$ INTERESES]],0)</f>
        <v>665872</v>
      </c>
    </row>
    <row r="435" spans="1:10" ht="24" hidden="1" customHeight="1" x14ac:dyDescent="0.25">
      <c r="A435" s="109">
        <v>44936</v>
      </c>
      <c r="B435" s="50" t="s">
        <v>141</v>
      </c>
      <c r="C435" s="5"/>
      <c r="D435" s="5">
        <v>41283</v>
      </c>
      <c r="E435" s="5">
        <f>+IF(FINANCIACION[[#This Row],[$ CAPITAL]]&gt;=0,FINANCIACION[[#This Row],[$ CAPITAL]]+FINANCIACION[[#This Row],[$ INTERESES]],"")</f>
        <v>41283</v>
      </c>
      <c r="F435" s="5">
        <f>+SUMIFS(FINANCIACION[$ CAPITAL],FINANCIACION[Fecha],"&lt;="&amp;FINANCIACION[[#This Row],[Fecha]],FINANCIACION[PRESTAMO],FINANCIACION[[#This Row],[PRESTAMO]])</f>
        <v>0</v>
      </c>
      <c r="G435" s="53"/>
      <c r="H435" s="53"/>
      <c r="I435" s="5" t="b">
        <f>+IF(FINANCIACION[[#This Row],[$ CAPITAL]]&gt;0,FINANCIACION[[#This Row],[$ CAPITAL]])</f>
        <v>0</v>
      </c>
      <c r="J435" s="33">
        <f>+IF(FINANCIACION[[#This Row],[$ CAPITAL]]&gt;=0,FINANCIACION[[#This Row],[$ CAPITAL]]+FINANCIACION[[#This Row],[$ INTERESES]],0)</f>
        <v>41283</v>
      </c>
    </row>
    <row r="436" spans="1:10" ht="24" hidden="1" customHeight="1" x14ac:dyDescent="0.25">
      <c r="A436" s="109">
        <v>44963</v>
      </c>
      <c r="B436" s="50" t="s">
        <v>141</v>
      </c>
      <c r="C436" s="5"/>
      <c r="D436" s="5">
        <v>641575</v>
      </c>
      <c r="E436" s="5">
        <f>+IF(FINANCIACION[[#This Row],[$ CAPITAL]]&gt;=0,FINANCIACION[[#This Row],[$ CAPITAL]]+FINANCIACION[[#This Row],[$ INTERESES]],"")</f>
        <v>641575</v>
      </c>
      <c r="F436" s="5">
        <f>+SUMIFS(FINANCIACION[$ CAPITAL],FINANCIACION[Fecha],"&lt;="&amp;FINANCIACION[[#This Row],[Fecha]],FINANCIACION[PRESTAMO],FINANCIACION[[#This Row],[PRESTAMO]])</f>
        <v>0</v>
      </c>
      <c r="G436" s="53"/>
      <c r="H436" s="53"/>
      <c r="I436" s="5" t="b">
        <f>+IF(FINANCIACION[[#This Row],[$ CAPITAL]]&gt;0,FINANCIACION[[#This Row],[$ CAPITAL]])</f>
        <v>0</v>
      </c>
      <c r="J436" s="33">
        <f>+IF(FINANCIACION[[#This Row],[$ CAPITAL]]&gt;=0,FINANCIACION[[#This Row],[$ CAPITAL]]+FINANCIACION[[#This Row],[$ INTERESES]],0)</f>
        <v>641575</v>
      </c>
    </row>
    <row r="437" spans="1:10" ht="24" hidden="1" customHeight="1" x14ac:dyDescent="0.25">
      <c r="A437" s="109">
        <v>44965</v>
      </c>
      <c r="B437" s="50" t="s">
        <v>141</v>
      </c>
      <c r="C437" s="5"/>
      <c r="D437" s="5">
        <v>318176</v>
      </c>
      <c r="E437" s="5">
        <f>+IF(FINANCIACION[[#This Row],[$ CAPITAL]]&gt;=0,FINANCIACION[[#This Row],[$ CAPITAL]]+FINANCIACION[[#This Row],[$ INTERESES]],"")</f>
        <v>318176</v>
      </c>
      <c r="F437" s="5">
        <f>+SUMIFS(FINANCIACION[$ CAPITAL],FINANCIACION[Fecha],"&lt;="&amp;FINANCIACION[[#This Row],[Fecha]],FINANCIACION[PRESTAMO],FINANCIACION[[#This Row],[PRESTAMO]])</f>
        <v>0</v>
      </c>
      <c r="G437" s="53"/>
      <c r="H437" s="53"/>
      <c r="I437" s="5" t="b">
        <f>+IF(FINANCIACION[[#This Row],[$ CAPITAL]]&gt;0,FINANCIACION[[#This Row],[$ CAPITAL]])</f>
        <v>0</v>
      </c>
      <c r="J437" s="33">
        <f>+IF(FINANCIACION[[#This Row],[$ CAPITAL]]&gt;=0,FINANCIACION[[#This Row],[$ CAPITAL]]+FINANCIACION[[#This Row],[$ INTERESES]],0)</f>
        <v>318176</v>
      </c>
    </row>
    <row r="438" spans="1:10" ht="24" hidden="1" customHeight="1" x14ac:dyDescent="0.25">
      <c r="A438" s="109">
        <v>44967</v>
      </c>
      <c r="B438" s="50" t="s">
        <v>141</v>
      </c>
      <c r="C438" s="5"/>
      <c r="D438" s="5">
        <v>20700</v>
      </c>
      <c r="E438" s="5">
        <f>+IF(FINANCIACION[[#This Row],[$ CAPITAL]]&gt;=0,FINANCIACION[[#This Row],[$ CAPITAL]]+FINANCIACION[[#This Row],[$ INTERESES]],"")</f>
        <v>20700</v>
      </c>
      <c r="F438" s="5">
        <f>+SUMIFS(FINANCIACION[$ CAPITAL],FINANCIACION[Fecha],"&lt;="&amp;FINANCIACION[[#This Row],[Fecha]],FINANCIACION[PRESTAMO],FINANCIACION[[#This Row],[PRESTAMO]])</f>
        <v>0</v>
      </c>
      <c r="G438" s="53"/>
      <c r="H438" s="53"/>
      <c r="I438" s="5" t="b">
        <f>+IF(FINANCIACION[[#This Row],[$ CAPITAL]]&gt;0,FINANCIACION[[#This Row],[$ CAPITAL]])</f>
        <v>0</v>
      </c>
      <c r="J438" s="33">
        <f>+IF(FINANCIACION[[#This Row],[$ CAPITAL]]&gt;=0,FINANCIACION[[#This Row],[$ CAPITAL]]+FINANCIACION[[#This Row],[$ INTERESES]],0)</f>
        <v>20700</v>
      </c>
    </row>
    <row r="439" spans="1:10" ht="24" hidden="1" customHeight="1" x14ac:dyDescent="0.25">
      <c r="A439" s="109">
        <v>44971</v>
      </c>
      <c r="B439" s="50" t="s">
        <v>141</v>
      </c>
      <c r="C439" s="5"/>
      <c r="D439" s="5">
        <v>847788</v>
      </c>
      <c r="E439" s="5">
        <f>+IF(FINANCIACION[[#This Row],[$ CAPITAL]]&gt;=0,FINANCIACION[[#This Row],[$ CAPITAL]]+FINANCIACION[[#This Row],[$ INTERESES]],"")</f>
        <v>847788</v>
      </c>
      <c r="F439" s="5">
        <f>+SUMIFS(FINANCIACION[$ CAPITAL],FINANCIACION[Fecha],"&lt;="&amp;FINANCIACION[[#This Row],[Fecha]],FINANCIACION[PRESTAMO],FINANCIACION[[#This Row],[PRESTAMO]])</f>
        <v>0</v>
      </c>
      <c r="G439" s="53"/>
      <c r="H439" s="53"/>
      <c r="I439" s="5" t="b">
        <f>+IF(FINANCIACION[[#This Row],[$ CAPITAL]]&gt;0,FINANCIACION[[#This Row],[$ CAPITAL]])</f>
        <v>0</v>
      </c>
      <c r="J439" s="33">
        <f>+IF(FINANCIACION[[#This Row],[$ CAPITAL]]&gt;=0,FINANCIACION[[#This Row],[$ CAPITAL]]+FINANCIACION[[#This Row],[$ INTERESES]],0)</f>
        <v>847788</v>
      </c>
    </row>
    <row r="440" spans="1:10" ht="24" hidden="1" customHeight="1" x14ac:dyDescent="0.25">
      <c r="A440" s="109">
        <v>44991</v>
      </c>
      <c r="B440" s="50" t="s">
        <v>141</v>
      </c>
      <c r="C440" s="5"/>
      <c r="D440" s="5">
        <v>315490</v>
      </c>
      <c r="E440" s="5">
        <f>+IF(FINANCIACION[[#This Row],[$ CAPITAL]]&gt;=0,FINANCIACION[[#This Row],[$ CAPITAL]]+FINANCIACION[[#This Row],[$ INTERESES]],"")</f>
        <v>315490</v>
      </c>
      <c r="F440" s="5">
        <f>+SUMIFS(FINANCIACION[$ CAPITAL],FINANCIACION[Fecha],"&lt;="&amp;FINANCIACION[[#This Row],[Fecha]],FINANCIACION[PRESTAMO],FINANCIACION[[#This Row],[PRESTAMO]])</f>
        <v>0</v>
      </c>
      <c r="G440" s="53"/>
      <c r="H440" s="53"/>
      <c r="I440" s="5" t="b">
        <f>+IF(FINANCIACION[[#This Row],[$ CAPITAL]]&gt;0,FINANCIACION[[#This Row],[$ CAPITAL]])</f>
        <v>0</v>
      </c>
      <c r="J440" s="33">
        <f>+IF(FINANCIACION[[#This Row],[$ CAPITAL]]&gt;=0,FINANCIACION[[#This Row],[$ CAPITAL]]+FINANCIACION[[#This Row],[$ INTERESES]],0)</f>
        <v>315490</v>
      </c>
    </row>
    <row r="441" spans="1:10" ht="24" hidden="1" customHeight="1" x14ac:dyDescent="0.25">
      <c r="A441" s="109">
        <v>44999</v>
      </c>
      <c r="B441" s="50" t="s">
        <v>141</v>
      </c>
      <c r="C441" s="5"/>
      <c r="D441" s="5">
        <v>764020</v>
      </c>
      <c r="E441" s="5">
        <f>+IF(FINANCIACION[[#This Row],[$ CAPITAL]]&gt;=0,FINANCIACION[[#This Row],[$ CAPITAL]]+FINANCIACION[[#This Row],[$ INTERESES]],"")</f>
        <v>764020</v>
      </c>
      <c r="F441" s="5">
        <f>+SUMIFS(FINANCIACION[$ CAPITAL],FINANCIACION[Fecha],"&lt;="&amp;FINANCIACION[[#This Row],[Fecha]],FINANCIACION[PRESTAMO],FINANCIACION[[#This Row],[PRESTAMO]])</f>
        <v>0</v>
      </c>
      <c r="G441" s="53"/>
      <c r="H441" s="53"/>
      <c r="I441" s="5" t="b">
        <f>+IF(FINANCIACION[[#This Row],[$ CAPITAL]]&gt;0,FINANCIACION[[#This Row],[$ CAPITAL]])</f>
        <v>0</v>
      </c>
      <c r="J441" s="33">
        <f>+IF(FINANCIACION[[#This Row],[$ CAPITAL]]&gt;=0,FINANCIACION[[#This Row],[$ CAPITAL]]+FINANCIACION[[#This Row],[$ INTERESES]],0)</f>
        <v>764020</v>
      </c>
    </row>
    <row r="442" spans="1:10" ht="24" hidden="1" customHeight="1" x14ac:dyDescent="0.25">
      <c r="A442" s="109">
        <v>45000</v>
      </c>
      <c r="B442" s="50" t="s">
        <v>141</v>
      </c>
      <c r="C442" s="5"/>
      <c r="D442" s="5">
        <v>528019</v>
      </c>
      <c r="E442" s="5">
        <f>+IF(FINANCIACION[[#This Row],[$ CAPITAL]]&gt;=0,FINANCIACION[[#This Row],[$ CAPITAL]]+FINANCIACION[[#This Row],[$ INTERESES]],"")</f>
        <v>528019</v>
      </c>
      <c r="F442" s="5">
        <f>+SUMIFS(FINANCIACION[$ CAPITAL],FINANCIACION[Fecha],"&lt;="&amp;FINANCIACION[[#This Row],[Fecha]],FINANCIACION[PRESTAMO],FINANCIACION[[#This Row],[PRESTAMO]])</f>
        <v>0</v>
      </c>
      <c r="G442" s="53"/>
      <c r="H442" s="53"/>
      <c r="I442" s="5" t="b">
        <f>+IF(FINANCIACION[[#This Row],[$ CAPITAL]]&gt;0,FINANCIACION[[#This Row],[$ CAPITAL]])</f>
        <v>0</v>
      </c>
      <c r="J442" s="33">
        <f>+IF(FINANCIACION[[#This Row],[$ CAPITAL]]&gt;=0,FINANCIACION[[#This Row],[$ CAPITAL]]+FINANCIACION[[#This Row],[$ INTERESES]],0)</f>
        <v>528019</v>
      </c>
    </row>
    <row r="443" spans="1:10" ht="24" hidden="1" customHeight="1" x14ac:dyDescent="0.25">
      <c r="A443" s="109">
        <v>45021</v>
      </c>
      <c r="B443" s="50" t="s">
        <v>141</v>
      </c>
      <c r="C443" s="5"/>
      <c r="D443" s="5">
        <v>412995</v>
      </c>
      <c r="E443" s="5">
        <f>+IF(FINANCIACION[[#This Row],[$ CAPITAL]]&gt;=0,FINANCIACION[[#This Row],[$ CAPITAL]]+FINANCIACION[[#This Row],[$ INTERESES]],"")</f>
        <v>412995</v>
      </c>
      <c r="F443" s="5">
        <f>+SUMIFS(FINANCIACION[$ CAPITAL],FINANCIACION[Fecha],"&lt;="&amp;FINANCIACION[[#This Row],[Fecha]],FINANCIACION[PRESTAMO],FINANCIACION[[#This Row],[PRESTAMO]])</f>
        <v>0</v>
      </c>
      <c r="G443" s="53"/>
      <c r="H443" s="53"/>
      <c r="I443" s="5" t="b">
        <f>+IF(FINANCIACION[[#This Row],[$ CAPITAL]]&gt;0,FINANCIACION[[#This Row],[$ CAPITAL]])</f>
        <v>0</v>
      </c>
      <c r="J443" s="33">
        <f>+IF(FINANCIACION[[#This Row],[$ CAPITAL]]&gt;=0,FINANCIACION[[#This Row],[$ CAPITAL]]+FINANCIACION[[#This Row],[$ INTERESES]],0)</f>
        <v>412995</v>
      </c>
    </row>
    <row r="444" spans="1:10" ht="24" hidden="1" customHeight="1" x14ac:dyDescent="0.25">
      <c r="A444" s="109">
        <v>45028</v>
      </c>
      <c r="B444" s="50" t="s">
        <v>141</v>
      </c>
      <c r="C444" s="5"/>
      <c r="D444" s="5">
        <v>823676</v>
      </c>
      <c r="E444" s="5">
        <f>+IF(FINANCIACION[[#This Row],[$ CAPITAL]]&gt;=0,FINANCIACION[[#This Row],[$ CAPITAL]]+FINANCIACION[[#This Row],[$ INTERESES]],"")</f>
        <v>823676</v>
      </c>
      <c r="F444" s="5">
        <f>+SUMIFS(FINANCIACION[$ CAPITAL],FINANCIACION[Fecha],"&lt;="&amp;FINANCIACION[[#This Row],[Fecha]],FINANCIACION[PRESTAMO],FINANCIACION[[#This Row],[PRESTAMO]])</f>
        <v>0</v>
      </c>
      <c r="G444" s="53"/>
      <c r="H444" s="53"/>
      <c r="I444" s="5" t="b">
        <f>+IF(FINANCIACION[[#This Row],[$ CAPITAL]]&gt;0,FINANCIACION[[#This Row],[$ CAPITAL]])</f>
        <v>0</v>
      </c>
      <c r="J444" s="33">
        <f>+IF(FINANCIACION[[#This Row],[$ CAPITAL]]&gt;=0,FINANCIACION[[#This Row],[$ CAPITAL]]+FINANCIACION[[#This Row],[$ INTERESES]],0)</f>
        <v>823676</v>
      </c>
    </row>
    <row r="445" spans="1:10" ht="24" hidden="1" customHeight="1" x14ac:dyDescent="0.25">
      <c r="A445" s="109">
        <v>45033</v>
      </c>
      <c r="B445" s="50" t="s">
        <v>141</v>
      </c>
      <c r="C445" s="5"/>
      <c r="D445" s="5">
        <v>554707</v>
      </c>
      <c r="E445" s="5">
        <f>+IF(FINANCIACION[[#This Row],[$ CAPITAL]]&gt;=0,FINANCIACION[[#This Row],[$ CAPITAL]]+FINANCIACION[[#This Row],[$ INTERESES]],"")</f>
        <v>554707</v>
      </c>
      <c r="F445" s="5">
        <f>+SUMIFS(FINANCIACION[$ CAPITAL],FINANCIACION[Fecha],"&lt;="&amp;FINANCIACION[[#This Row],[Fecha]],FINANCIACION[PRESTAMO],FINANCIACION[[#This Row],[PRESTAMO]])</f>
        <v>0</v>
      </c>
      <c r="G445" s="53"/>
      <c r="H445" s="53"/>
      <c r="I445" s="5" t="b">
        <f>+IF(FINANCIACION[[#This Row],[$ CAPITAL]]&gt;0,FINANCIACION[[#This Row],[$ CAPITAL]])</f>
        <v>0</v>
      </c>
      <c r="J445" s="33">
        <f>+IF(FINANCIACION[[#This Row],[$ CAPITAL]]&gt;=0,FINANCIACION[[#This Row],[$ CAPITAL]]+FINANCIACION[[#This Row],[$ INTERESES]],0)</f>
        <v>554707</v>
      </c>
    </row>
    <row r="446" spans="1:10" ht="24" hidden="1" customHeight="1" x14ac:dyDescent="0.25">
      <c r="A446" s="109">
        <v>45051</v>
      </c>
      <c r="B446" s="50" t="s">
        <v>141</v>
      </c>
      <c r="C446" s="5"/>
      <c r="D446" s="5">
        <v>406397</v>
      </c>
      <c r="E446" s="5">
        <f>+IF(FINANCIACION[[#This Row],[$ CAPITAL]]&gt;=0,FINANCIACION[[#This Row],[$ CAPITAL]]+FINANCIACION[[#This Row],[$ INTERESES]],"")</f>
        <v>406397</v>
      </c>
      <c r="F446" s="5">
        <f>+SUMIFS(FINANCIACION[$ CAPITAL],FINANCIACION[Fecha],"&lt;="&amp;FINANCIACION[[#This Row],[Fecha]],FINANCIACION[PRESTAMO],FINANCIACION[[#This Row],[PRESTAMO]])</f>
        <v>0</v>
      </c>
      <c r="G446" s="53"/>
      <c r="H446" s="53"/>
      <c r="I446" s="5" t="b">
        <f>+IF(FINANCIACION[[#This Row],[$ CAPITAL]]&gt;0,FINANCIACION[[#This Row],[$ CAPITAL]])</f>
        <v>0</v>
      </c>
      <c r="J446" s="33">
        <f>+IF(FINANCIACION[[#This Row],[$ CAPITAL]]&gt;=0,FINANCIACION[[#This Row],[$ CAPITAL]]+FINANCIACION[[#This Row],[$ INTERESES]],0)</f>
        <v>406397</v>
      </c>
    </row>
    <row r="447" spans="1:10" ht="24" hidden="1" customHeight="1" x14ac:dyDescent="0.25">
      <c r="A447" s="109">
        <v>45058</v>
      </c>
      <c r="B447" s="50" t="s">
        <v>141</v>
      </c>
      <c r="C447" s="5"/>
      <c r="D447" s="5">
        <v>813575</v>
      </c>
      <c r="E447" s="5">
        <f>+IF(FINANCIACION[[#This Row],[$ CAPITAL]]&gt;=0,FINANCIACION[[#This Row],[$ CAPITAL]]+FINANCIACION[[#This Row],[$ INTERESES]],"")</f>
        <v>813575</v>
      </c>
      <c r="F447" s="5">
        <f>+SUMIFS(FINANCIACION[$ CAPITAL],FINANCIACION[Fecha],"&lt;="&amp;FINANCIACION[[#This Row],[Fecha]],FINANCIACION[PRESTAMO],FINANCIACION[[#This Row],[PRESTAMO]])</f>
        <v>0</v>
      </c>
      <c r="G447" s="53"/>
      <c r="H447" s="53"/>
      <c r="I447" s="5" t="b">
        <f>+IF(FINANCIACION[[#This Row],[$ CAPITAL]]&gt;0,FINANCIACION[[#This Row],[$ CAPITAL]])</f>
        <v>0</v>
      </c>
      <c r="J447" s="33">
        <f>+IF(FINANCIACION[[#This Row],[$ CAPITAL]]&gt;=0,FINANCIACION[[#This Row],[$ CAPITAL]]+FINANCIACION[[#This Row],[$ INTERESES]],0)</f>
        <v>813575</v>
      </c>
    </row>
    <row r="448" spans="1:10" ht="24" hidden="1" customHeight="1" x14ac:dyDescent="0.25">
      <c r="A448" s="109">
        <v>45061</v>
      </c>
      <c r="B448" s="50" t="s">
        <v>141</v>
      </c>
      <c r="C448" s="5"/>
      <c r="D448" s="5">
        <v>560695</v>
      </c>
      <c r="E448" s="5">
        <f>+IF(FINANCIACION[[#This Row],[$ CAPITAL]]&gt;=0,FINANCIACION[[#This Row],[$ CAPITAL]]+FINANCIACION[[#This Row],[$ INTERESES]],"")</f>
        <v>560695</v>
      </c>
      <c r="F448" s="5">
        <f>+SUMIFS(FINANCIACION[$ CAPITAL],FINANCIACION[Fecha],"&lt;="&amp;FINANCIACION[[#This Row],[Fecha]],FINANCIACION[PRESTAMO],FINANCIACION[[#This Row],[PRESTAMO]])</f>
        <v>0</v>
      </c>
      <c r="G448" s="53"/>
      <c r="H448" s="53"/>
      <c r="I448" s="5" t="b">
        <f>+IF(FINANCIACION[[#This Row],[$ CAPITAL]]&gt;0,FINANCIACION[[#This Row],[$ CAPITAL]])</f>
        <v>0</v>
      </c>
      <c r="J448" s="33">
        <f>+IF(FINANCIACION[[#This Row],[$ CAPITAL]]&gt;=0,FINANCIACION[[#This Row],[$ CAPITAL]]+FINANCIACION[[#This Row],[$ INTERESES]],0)</f>
        <v>560695</v>
      </c>
    </row>
    <row r="449" spans="1:10" ht="24" hidden="1" customHeight="1" x14ac:dyDescent="0.25">
      <c r="A449" s="109">
        <v>45082</v>
      </c>
      <c r="B449" s="50" t="s">
        <v>141</v>
      </c>
      <c r="C449" s="5"/>
      <c r="D449" s="5">
        <v>403608</v>
      </c>
      <c r="E449" s="5">
        <f>+IF(FINANCIACION[[#This Row],[$ CAPITAL]]&gt;=0,FINANCIACION[[#This Row],[$ CAPITAL]]+FINANCIACION[[#This Row],[$ INTERESES]],"")</f>
        <v>403608</v>
      </c>
      <c r="F449" s="5">
        <f>+SUMIFS(FINANCIACION[$ CAPITAL],FINANCIACION[Fecha],"&lt;="&amp;FINANCIACION[[#This Row],[Fecha]],FINANCIACION[PRESTAMO],FINANCIACION[[#This Row],[PRESTAMO]])</f>
        <v>0</v>
      </c>
      <c r="G449" s="53"/>
      <c r="H449" s="53"/>
      <c r="I449" s="5" t="b">
        <f>+IF(FINANCIACION[[#This Row],[$ CAPITAL]]&gt;0,FINANCIACION[[#This Row],[$ CAPITAL]])</f>
        <v>0</v>
      </c>
      <c r="J449" s="33">
        <f>+IF(FINANCIACION[[#This Row],[$ CAPITAL]]&gt;=0,FINANCIACION[[#This Row],[$ CAPITAL]]+FINANCIACION[[#This Row],[$ INTERESES]],0)</f>
        <v>403608</v>
      </c>
    </row>
    <row r="450" spans="1:10" ht="24" hidden="1" customHeight="1" x14ac:dyDescent="0.25">
      <c r="A450" s="109">
        <v>45090</v>
      </c>
      <c r="B450" s="50" t="s">
        <v>141</v>
      </c>
      <c r="C450" s="5"/>
      <c r="D450" s="5">
        <v>774923</v>
      </c>
      <c r="E450" s="5">
        <f>+IF(FINANCIACION[[#This Row],[$ CAPITAL]]&gt;=0,FINANCIACION[[#This Row],[$ CAPITAL]]+FINANCIACION[[#This Row],[$ INTERESES]],"")</f>
        <v>774923</v>
      </c>
      <c r="F450" s="5">
        <f>+SUMIFS(FINANCIACION[$ CAPITAL],FINANCIACION[Fecha],"&lt;="&amp;FINANCIACION[[#This Row],[Fecha]],FINANCIACION[PRESTAMO],FINANCIACION[[#This Row],[PRESTAMO]])</f>
        <v>0</v>
      </c>
      <c r="G450" s="53"/>
      <c r="H450" s="53"/>
      <c r="I450" s="5" t="b">
        <f>+IF(FINANCIACION[[#This Row],[$ CAPITAL]]&gt;0,FINANCIACION[[#This Row],[$ CAPITAL]])</f>
        <v>0</v>
      </c>
      <c r="J450" s="33">
        <f>+IF(FINANCIACION[[#This Row],[$ CAPITAL]]&gt;=0,FINANCIACION[[#This Row],[$ CAPITAL]]+FINANCIACION[[#This Row],[$ INTERESES]],0)</f>
        <v>774923</v>
      </c>
    </row>
    <row r="451" spans="1:10" ht="24" hidden="1" customHeight="1" x14ac:dyDescent="0.25">
      <c r="A451" s="109">
        <v>45092</v>
      </c>
      <c r="B451" s="50" t="s">
        <v>141</v>
      </c>
      <c r="C451" s="5"/>
      <c r="D451" s="5">
        <v>538600</v>
      </c>
      <c r="E451" s="5">
        <f>+IF(FINANCIACION[[#This Row],[$ CAPITAL]]&gt;=0,FINANCIACION[[#This Row],[$ CAPITAL]]+FINANCIACION[[#This Row],[$ INTERESES]],"")</f>
        <v>538600</v>
      </c>
      <c r="F451" s="5">
        <f>+SUMIFS(FINANCIACION[$ CAPITAL],FINANCIACION[Fecha],"&lt;="&amp;FINANCIACION[[#This Row],[Fecha]],FINANCIACION[PRESTAMO],FINANCIACION[[#This Row],[PRESTAMO]])</f>
        <v>0</v>
      </c>
      <c r="G451" s="53"/>
      <c r="H451" s="53"/>
      <c r="I451" s="5" t="b">
        <f>+IF(FINANCIACION[[#This Row],[$ CAPITAL]]&gt;0,FINANCIACION[[#This Row],[$ CAPITAL]])</f>
        <v>0</v>
      </c>
      <c r="J451" s="33">
        <f>+IF(FINANCIACION[[#This Row],[$ CAPITAL]]&gt;=0,FINANCIACION[[#This Row],[$ CAPITAL]]+FINANCIACION[[#This Row],[$ INTERESES]],0)</f>
        <v>538600</v>
      </c>
    </row>
    <row r="452" spans="1:10" ht="24" hidden="1" customHeight="1" x14ac:dyDescent="0.25">
      <c r="A452" s="109">
        <v>45112</v>
      </c>
      <c r="B452" s="50" t="s">
        <v>141</v>
      </c>
      <c r="C452" s="5"/>
      <c r="D452" s="5">
        <v>377695</v>
      </c>
      <c r="E452" s="5">
        <f>+IF(FINANCIACION[[#This Row],[$ CAPITAL]]&gt;=0,FINANCIACION[[#This Row],[$ CAPITAL]]+FINANCIACION[[#This Row],[$ INTERESES]],"")</f>
        <v>377695</v>
      </c>
      <c r="F452" s="5">
        <f>+SUMIFS(FINANCIACION[$ CAPITAL],FINANCIACION[Fecha],"&lt;="&amp;FINANCIACION[[#This Row],[Fecha]],FINANCIACION[PRESTAMO],FINANCIACION[[#This Row],[PRESTAMO]])</f>
        <v>0</v>
      </c>
      <c r="G452" s="53"/>
      <c r="H452" s="53"/>
      <c r="I452" s="5" t="b">
        <f>+IF(FINANCIACION[[#This Row],[$ CAPITAL]]&gt;0,FINANCIACION[[#This Row],[$ CAPITAL]])</f>
        <v>0</v>
      </c>
      <c r="J452" s="33">
        <f>+IF(FINANCIACION[[#This Row],[$ CAPITAL]]&gt;=0,FINANCIACION[[#This Row],[$ CAPITAL]]+FINANCIACION[[#This Row],[$ INTERESES]],0)</f>
        <v>377695</v>
      </c>
    </row>
    <row r="453" spans="1:10" ht="24" hidden="1" customHeight="1" x14ac:dyDescent="0.25">
      <c r="A453" s="109">
        <v>45119</v>
      </c>
      <c r="B453" s="50" t="s">
        <v>141</v>
      </c>
      <c r="C453" s="5"/>
      <c r="D453" s="5">
        <v>759501</v>
      </c>
      <c r="E453" s="5">
        <f>+IF(FINANCIACION[[#This Row],[$ CAPITAL]]&gt;=0,FINANCIACION[[#This Row],[$ CAPITAL]]+FINANCIACION[[#This Row],[$ INTERESES]],"")</f>
        <v>759501</v>
      </c>
      <c r="F453" s="5">
        <f>+SUMIFS(FINANCIACION[$ CAPITAL],FINANCIACION[Fecha],"&lt;="&amp;FINANCIACION[[#This Row],[Fecha]],FINANCIACION[PRESTAMO],FINANCIACION[[#This Row],[PRESTAMO]])</f>
        <v>0</v>
      </c>
      <c r="G453" s="53"/>
      <c r="H453" s="53"/>
      <c r="I453" s="5" t="b">
        <f>+IF(FINANCIACION[[#This Row],[$ CAPITAL]]&gt;0,FINANCIACION[[#This Row],[$ CAPITAL]])</f>
        <v>0</v>
      </c>
      <c r="J453" s="33">
        <f>+IF(FINANCIACION[[#This Row],[$ CAPITAL]]&gt;=0,FINANCIACION[[#This Row],[$ CAPITAL]]+FINANCIACION[[#This Row],[$ INTERESES]],0)</f>
        <v>759501</v>
      </c>
    </row>
    <row r="454" spans="1:10" ht="24" hidden="1" customHeight="1" x14ac:dyDescent="0.25">
      <c r="A454" s="109">
        <v>45124</v>
      </c>
      <c r="B454" s="50" t="s">
        <v>141</v>
      </c>
      <c r="C454" s="5"/>
      <c r="D454" s="5">
        <v>510671</v>
      </c>
      <c r="E454" s="5">
        <f>+IF(FINANCIACION[[#This Row],[$ CAPITAL]]&gt;=0,FINANCIACION[[#This Row],[$ CAPITAL]]+FINANCIACION[[#This Row],[$ INTERESES]],"")</f>
        <v>510671</v>
      </c>
      <c r="F454" s="5">
        <f>+SUMIFS(FINANCIACION[$ CAPITAL],FINANCIACION[Fecha],"&lt;="&amp;FINANCIACION[[#This Row],[Fecha]],FINANCIACION[PRESTAMO],FINANCIACION[[#This Row],[PRESTAMO]])</f>
        <v>0</v>
      </c>
      <c r="G454" s="53"/>
      <c r="H454" s="53"/>
      <c r="I454" s="5" t="b">
        <f>+IF(FINANCIACION[[#This Row],[$ CAPITAL]]&gt;0,FINANCIACION[[#This Row],[$ CAPITAL]])</f>
        <v>0</v>
      </c>
      <c r="J454" s="33">
        <f>+IF(FINANCIACION[[#This Row],[$ CAPITAL]]&gt;=0,FINANCIACION[[#This Row],[$ CAPITAL]]+FINANCIACION[[#This Row],[$ INTERESES]],0)</f>
        <v>510671</v>
      </c>
    </row>
    <row r="455" spans="1:10" ht="24" hidden="1" customHeight="1" x14ac:dyDescent="0.25">
      <c r="A455" s="109">
        <v>45146</v>
      </c>
      <c r="B455" s="50" t="s">
        <v>141</v>
      </c>
      <c r="C455" s="5"/>
      <c r="D455" s="5">
        <v>380835</v>
      </c>
      <c r="E455" s="5">
        <f>+IF(FINANCIACION[[#This Row],[$ CAPITAL]]&gt;=0,FINANCIACION[[#This Row],[$ CAPITAL]]+FINANCIACION[[#This Row],[$ INTERESES]],"")</f>
        <v>380835</v>
      </c>
      <c r="F455" s="5">
        <f>+SUMIFS(FINANCIACION[$ CAPITAL],FINANCIACION[Fecha],"&lt;="&amp;FINANCIACION[[#This Row],[Fecha]],FINANCIACION[PRESTAMO],FINANCIACION[[#This Row],[PRESTAMO]])</f>
        <v>0</v>
      </c>
      <c r="G455" s="53"/>
      <c r="H455" s="53"/>
      <c r="I455" s="5" t="b">
        <f>+IF(FINANCIACION[[#This Row],[$ CAPITAL]]&gt;0,FINANCIACION[[#This Row],[$ CAPITAL]])</f>
        <v>0</v>
      </c>
      <c r="J455" s="33">
        <f>+IF(FINANCIACION[[#This Row],[$ CAPITAL]]&gt;=0,FINANCIACION[[#This Row],[$ CAPITAL]]+FINANCIACION[[#This Row],[$ INTERESES]],0)</f>
        <v>380835</v>
      </c>
    </row>
    <row r="456" spans="1:10" ht="24" hidden="1" customHeight="1" x14ac:dyDescent="0.25">
      <c r="A456" s="109">
        <v>45152</v>
      </c>
      <c r="B456" s="50" t="s">
        <v>141</v>
      </c>
      <c r="C456" s="5"/>
      <c r="D456" s="5">
        <v>747438</v>
      </c>
      <c r="E456" s="5">
        <f>+IF(FINANCIACION[[#This Row],[$ CAPITAL]]&gt;=0,FINANCIACION[[#This Row],[$ CAPITAL]]+FINANCIACION[[#This Row],[$ INTERESES]],"")</f>
        <v>747438</v>
      </c>
      <c r="F456" s="5">
        <f>+SUMIFS(FINANCIACION[$ CAPITAL],FINANCIACION[Fecha],"&lt;="&amp;FINANCIACION[[#This Row],[Fecha]],FINANCIACION[PRESTAMO],FINANCIACION[[#This Row],[PRESTAMO]])</f>
        <v>0</v>
      </c>
      <c r="G456" s="53"/>
      <c r="H456" s="53"/>
      <c r="I456" s="5" t="b">
        <f>+IF(FINANCIACION[[#This Row],[$ CAPITAL]]&gt;0,FINANCIACION[[#This Row],[$ CAPITAL]])</f>
        <v>0</v>
      </c>
      <c r="J456" s="33">
        <f>+IF(FINANCIACION[[#This Row],[$ CAPITAL]]&gt;=0,FINANCIACION[[#This Row],[$ CAPITAL]]+FINANCIACION[[#This Row],[$ INTERESES]],0)</f>
        <v>747438</v>
      </c>
    </row>
    <row r="457" spans="1:10" ht="24" hidden="1" customHeight="1" x14ac:dyDescent="0.25">
      <c r="A457" s="109">
        <v>45153</v>
      </c>
      <c r="B457" s="50" t="s">
        <v>141</v>
      </c>
      <c r="C457" s="5"/>
      <c r="D457" s="5">
        <v>525989</v>
      </c>
      <c r="E457" s="5">
        <f>+IF(FINANCIACION[[#This Row],[$ CAPITAL]]&gt;=0,FINANCIACION[[#This Row],[$ CAPITAL]]+FINANCIACION[[#This Row],[$ INTERESES]],"")</f>
        <v>525989</v>
      </c>
      <c r="F457" s="5">
        <f>+SUMIFS(FINANCIACION[$ CAPITAL],FINANCIACION[Fecha],"&lt;="&amp;FINANCIACION[[#This Row],[Fecha]],FINANCIACION[PRESTAMO],FINANCIACION[[#This Row],[PRESTAMO]])</f>
        <v>0</v>
      </c>
      <c r="G457" s="53"/>
      <c r="H457" s="53"/>
      <c r="I457" s="5" t="b">
        <f>+IF(FINANCIACION[[#This Row],[$ CAPITAL]]&gt;0,FINANCIACION[[#This Row],[$ CAPITAL]])</f>
        <v>0</v>
      </c>
      <c r="J457" s="33">
        <f>+IF(FINANCIACION[[#This Row],[$ CAPITAL]]&gt;=0,FINANCIACION[[#This Row],[$ CAPITAL]]+FINANCIACION[[#This Row],[$ INTERESES]],0)</f>
        <v>525989</v>
      </c>
    </row>
    <row r="458" spans="1:10" ht="24" hidden="1" customHeight="1" x14ac:dyDescent="0.25">
      <c r="A458" s="109">
        <v>45174</v>
      </c>
      <c r="B458" s="50" t="s">
        <v>141</v>
      </c>
      <c r="C458" s="5"/>
      <c r="D458" s="5">
        <v>384840</v>
      </c>
      <c r="E458" s="5">
        <f>+IF(FINANCIACION[[#This Row],[$ CAPITAL]]&gt;=0,FINANCIACION[[#This Row],[$ CAPITAL]]+FINANCIACION[[#This Row],[$ INTERESES]],"")</f>
        <v>384840</v>
      </c>
      <c r="F458" s="5">
        <f>+SUMIFS(FINANCIACION[$ CAPITAL],FINANCIACION[Fecha],"&lt;="&amp;FINANCIACION[[#This Row],[Fecha]],FINANCIACION[PRESTAMO],FINANCIACION[[#This Row],[PRESTAMO]])</f>
        <v>0</v>
      </c>
      <c r="G458" s="53"/>
      <c r="H458" s="53"/>
      <c r="I458" s="5" t="b">
        <f>+IF(FINANCIACION[[#This Row],[$ CAPITAL]]&gt;0,FINANCIACION[[#This Row],[$ CAPITAL]])</f>
        <v>0</v>
      </c>
      <c r="J458" s="33">
        <f>+IF(FINANCIACION[[#This Row],[$ CAPITAL]]&gt;=0,FINANCIACION[[#This Row],[$ CAPITAL]]+FINANCIACION[[#This Row],[$ INTERESES]],0)</f>
        <v>384840</v>
      </c>
    </row>
    <row r="459" spans="1:10" ht="24" hidden="1" customHeight="1" x14ac:dyDescent="0.25">
      <c r="A459" s="109">
        <v>45181</v>
      </c>
      <c r="B459" s="50" t="s">
        <v>141</v>
      </c>
      <c r="C459" s="5"/>
      <c r="D459" s="5">
        <v>759250</v>
      </c>
      <c r="E459" s="5">
        <f>+IF(FINANCIACION[[#This Row],[$ CAPITAL]]&gt;=0,FINANCIACION[[#This Row],[$ CAPITAL]]+FINANCIACION[[#This Row],[$ INTERESES]],"")</f>
        <v>759250</v>
      </c>
      <c r="F459" s="5">
        <f>+SUMIFS(FINANCIACION[$ CAPITAL],FINANCIACION[Fecha],"&lt;="&amp;FINANCIACION[[#This Row],[Fecha]],FINANCIACION[PRESTAMO],FINANCIACION[[#This Row],[PRESTAMO]])</f>
        <v>0</v>
      </c>
      <c r="G459" s="53"/>
      <c r="H459" s="53"/>
      <c r="I459" s="5" t="b">
        <f>+IF(FINANCIACION[[#This Row],[$ CAPITAL]]&gt;0,FINANCIACION[[#This Row],[$ CAPITAL]])</f>
        <v>0</v>
      </c>
      <c r="J459" s="33">
        <f>+IF(FINANCIACION[[#This Row],[$ CAPITAL]]&gt;=0,FINANCIACION[[#This Row],[$ CAPITAL]]+FINANCIACION[[#This Row],[$ INTERESES]],0)</f>
        <v>759250</v>
      </c>
    </row>
    <row r="460" spans="1:10" ht="24" hidden="1" customHeight="1" x14ac:dyDescent="0.25">
      <c r="A460" s="109">
        <v>45184</v>
      </c>
      <c r="B460" s="50" t="s">
        <v>141</v>
      </c>
      <c r="C460" s="5"/>
      <c r="D460" s="5">
        <v>515993</v>
      </c>
      <c r="E460" s="5">
        <f>+IF(FINANCIACION[[#This Row],[$ CAPITAL]]&gt;=0,FINANCIACION[[#This Row],[$ CAPITAL]]+FINANCIACION[[#This Row],[$ INTERESES]],"")</f>
        <v>515993</v>
      </c>
      <c r="F460" s="5">
        <f>+SUMIFS(FINANCIACION[$ CAPITAL],FINANCIACION[Fecha],"&lt;="&amp;FINANCIACION[[#This Row],[Fecha]],FINANCIACION[PRESTAMO],FINANCIACION[[#This Row],[PRESTAMO]])</f>
        <v>0</v>
      </c>
      <c r="G460" s="53"/>
      <c r="H460" s="53"/>
      <c r="I460" s="5" t="b">
        <f>+IF(FINANCIACION[[#This Row],[$ CAPITAL]]&gt;0,FINANCIACION[[#This Row],[$ CAPITAL]])</f>
        <v>0</v>
      </c>
      <c r="J460" s="33">
        <f>+IF(FINANCIACION[[#This Row],[$ CAPITAL]]&gt;=0,FINANCIACION[[#This Row],[$ CAPITAL]]+FINANCIACION[[#This Row],[$ INTERESES]],0)</f>
        <v>515993</v>
      </c>
    </row>
    <row r="461" spans="1:10" ht="24" hidden="1" customHeight="1" x14ac:dyDescent="0.25">
      <c r="A461" s="109">
        <v>45198</v>
      </c>
      <c r="B461" s="50" t="s">
        <v>141</v>
      </c>
      <c r="C461" s="5"/>
      <c r="D461" s="5">
        <v>299839</v>
      </c>
      <c r="E461" s="5">
        <f>+IF(FINANCIACION[[#This Row],[$ CAPITAL]]&gt;=0,FINANCIACION[[#This Row],[$ CAPITAL]]+FINANCIACION[[#This Row],[$ INTERESES]],"")</f>
        <v>299839</v>
      </c>
      <c r="F461" s="5">
        <f>+SUMIFS(FINANCIACION[$ CAPITAL],FINANCIACION[Fecha],"&lt;="&amp;FINANCIACION[[#This Row],[Fecha]],FINANCIACION[PRESTAMO],FINANCIACION[[#This Row],[PRESTAMO]])</f>
        <v>0</v>
      </c>
      <c r="G461" s="53" t="s">
        <v>1162</v>
      </c>
      <c r="H461" s="53"/>
      <c r="I461" s="5" t="b">
        <f>+IF(FINANCIACION[[#This Row],[$ CAPITAL]]&gt;0,FINANCIACION[[#This Row],[$ CAPITAL]])</f>
        <v>0</v>
      </c>
      <c r="J461" s="33">
        <f>+IF(FINANCIACION[[#This Row],[$ CAPITAL]]&gt;=0,FINANCIACION[[#This Row],[$ CAPITAL]]+FINANCIACION[[#This Row],[$ INTERESES]],0)</f>
        <v>299839</v>
      </c>
    </row>
    <row r="462" spans="1:10" ht="24" hidden="1" customHeight="1" x14ac:dyDescent="0.25">
      <c r="A462" s="109">
        <v>45212</v>
      </c>
      <c r="B462" s="50" t="s">
        <v>141</v>
      </c>
      <c r="C462" s="5"/>
      <c r="D462" s="5">
        <v>779151</v>
      </c>
      <c r="E462" s="5">
        <f>+IF(FINANCIACION[[#This Row],[$ CAPITAL]]&gt;=0,FINANCIACION[[#This Row],[$ CAPITAL]]+FINANCIACION[[#This Row],[$ INTERESES]],"")</f>
        <v>779151</v>
      </c>
      <c r="F462" s="5">
        <f>+SUMIFS(FINANCIACION[$ CAPITAL],FINANCIACION[Fecha],"&lt;="&amp;FINANCIACION[[#This Row],[Fecha]],FINANCIACION[PRESTAMO],FINANCIACION[[#This Row],[PRESTAMO]])</f>
        <v>0</v>
      </c>
      <c r="G462" s="53"/>
      <c r="H462" s="53"/>
      <c r="I462" s="5" t="b">
        <f>+IF(FINANCIACION[[#This Row],[$ CAPITAL]]&gt;0,FINANCIACION[[#This Row],[$ CAPITAL]])</f>
        <v>0</v>
      </c>
      <c r="J462" s="33">
        <f>+IF(FINANCIACION[[#This Row],[$ CAPITAL]]&gt;=0,FINANCIACION[[#This Row],[$ CAPITAL]]+FINANCIACION[[#This Row],[$ INTERESES]],0)</f>
        <v>779151</v>
      </c>
    </row>
    <row r="463" spans="1:10" ht="24" hidden="1" customHeight="1" x14ac:dyDescent="0.25">
      <c r="A463" s="109">
        <v>45216</v>
      </c>
      <c r="B463" s="50" t="s">
        <v>141</v>
      </c>
      <c r="C463" s="5"/>
      <c r="D463" s="5">
        <v>540897</v>
      </c>
      <c r="E463" s="5">
        <f>+IF(FINANCIACION[[#This Row],[$ CAPITAL]]&gt;=0,FINANCIACION[[#This Row],[$ CAPITAL]]+FINANCIACION[[#This Row],[$ INTERESES]],"")</f>
        <v>540897</v>
      </c>
      <c r="F463" s="5">
        <f>+SUMIFS(FINANCIACION[$ CAPITAL],FINANCIACION[Fecha],"&lt;="&amp;FINANCIACION[[#This Row],[Fecha]],FINANCIACION[PRESTAMO],FINANCIACION[[#This Row],[PRESTAMO]])</f>
        <v>0</v>
      </c>
      <c r="G463" s="53"/>
      <c r="H463" s="53"/>
      <c r="I463" s="5" t="b">
        <f>+IF(FINANCIACION[[#This Row],[$ CAPITAL]]&gt;0,FINANCIACION[[#This Row],[$ CAPITAL]])</f>
        <v>0</v>
      </c>
      <c r="J463" s="33">
        <f>+IF(FINANCIACION[[#This Row],[$ CAPITAL]]&gt;=0,FINANCIACION[[#This Row],[$ CAPITAL]]+FINANCIACION[[#This Row],[$ INTERESES]],0)</f>
        <v>540897</v>
      </c>
    </row>
    <row r="464" spans="1:10" ht="24" hidden="1" customHeight="1" x14ac:dyDescent="0.25">
      <c r="A464" s="109">
        <v>45244</v>
      </c>
      <c r="B464" s="50" t="s">
        <v>141</v>
      </c>
      <c r="C464" s="5"/>
      <c r="D464" s="5">
        <v>768358</v>
      </c>
      <c r="E464" s="5">
        <f>+IF(FINANCIACION[[#This Row],[$ CAPITAL]]&gt;=0,FINANCIACION[[#This Row],[$ CAPITAL]]+FINANCIACION[[#This Row],[$ INTERESES]],"")</f>
        <v>768358</v>
      </c>
      <c r="F464" s="5">
        <f>+SUMIFS(FINANCIACION[$ CAPITAL],FINANCIACION[Fecha],"&lt;="&amp;FINANCIACION[[#This Row],[Fecha]],FINANCIACION[PRESTAMO],FINANCIACION[[#This Row],[PRESTAMO]])</f>
        <v>0</v>
      </c>
      <c r="G464" s="53"/>
      <c r="H464" s="53"/>
      <c r="I464" s="5" t="b">
        <f>+IF(FINANCIACION[[#This Row],[$ CAPITAL]]&gt;0,FINANCIACION[[#This Row],[$ CAPITAL]])</f>
        <v>0</v>
      </c>
      <c r="J464" s="33">
        <f>+IF(FINANCIACION[[#This Row],[$ CAPITAL]]&gt;=0,FINANCIACION[[#This Row],[$ CAPITAL]]+FINANCIACION[[#This Row],[$ INTERESES]],0)</f>
        <v>768358</v>
      </c>
    </row>
    <row r="465" spans="1:10" ht="24" hidden="1" customHeight="1" x14ac:dyDescent="0.25">
      <c r="A465" s="109">
        <v>45245</v>
      </c>
      <c r="B465" s="50" t="s">
        <v>141</v>
      </c>
      <c r="C465" s="5"/>
      <c r="D465" s="5">
        <v>521764</v>
      </c>
      <c r="E465" s="5">
        <f>+IF(FINANCIACION[[#This Row],[$ CAPITAL]]&gt;=0,FINANCIACION[[#This Row],[$ CAPITAL]]+FINANCIACION[[#This Row],[$ INTERESES]],"")</f>
        <v>521764</v>
      </c>
      <c r="F465" s="5">
        <f>+SUMIFS(FINANCIACION[$ CAPITAL],FINANCIACION[Fecha],"&lt;="&amp;FINANCIACION[[#This Row],[Fecha]],FINANCIACION[PRESTAMO],FINANCIACION[[#This Row],[PRESTAMO]])</f>
        <v>0</v>
      </c>
      <c r="G465" s="53"/>
      <c r="H465" s="53"/>
      <c r="I465" s="5" t="b">
        <f>+IF(FINANCIACION[[#This Row],[$ CAPITAL]]&gt;0,FINANCIACION[[#This Row],[$ CAPITAL]])</f>
        <v>0</v>
      </c>
      <c r="J465" s="33">
        <f>+IF(FINANCIACION[[#This Row],[$ CAPITAL]]&gt;=0,FINANCIACION[[#This Row],[$ CAPITAL]]+FINANCIACION[[#This Row],[$ INTERESES]],0)</f>
        <v>521764</v>
      </c>
    </row>
    <row r="466" spans="1:10" ht="24" hidden="1" customHeight="1" x14ac:dyDescent="0.25">
      <c r="A466" s="109">
        <v>45272</v>
      </c>
      <c r="B466" s="50" t="s">
        <v>141</v>
      </c>
      <c r="C466" s="5"/>
      <c r="D466" s="5">
        <v>732740</v>
      </c>
      <c r="E466" s="5">
        <f>+IF(FINANCIACION[[#This Row],[$ CAPITAL]]&gt;=0,FINANCIACION[[#This Row],[$ CAPITAL]]+FINANCIACION[[#This Row],[$ INTERESES]],"")</f>
        <v>732740</v>
      </c>
      <c r="F466" s="5">
        <f>+SUMIFS(FINANCIACION[$ CAPITAL],FINANCIACION[Fecha],"&lt;="&amp;FINANCIACION[[#This Row],[Fecha]],FINANCIACION[PRESTAMO],FINANCIACION[[#This Row],[PRESTAMO]])</f>
        <v>0</v>
      </c>
      <c r="G466" s="53"/>
      <c r="H466" s="53"/>
      <c r="I466" s="5" t="b">
        <f>+IF(FINANCIACION[[#This Row],[$ CAPITAL]]&gt;0,FINANCIACION[[#This Row],[$ CAPITAL]])</f>
        <v>0</v>
      </c>
      <c r="J466" s="33">
        <f>+IF(FINANCIACION[[#This Row],[$ CAPITAL]]&gt;=0,FINANCIACION[[#This Row],[$ CAPITAL]]+FINANCIACION[[#This Row],[$ INTERESES]],0)</f>
        <v>732740</v>
      </c>
    </row>
    <row r="467" spans="1:10" ht="24" hidden="1" customHeight="1" x14ac:dyDescent="0.25">
      <c r="A467" s="109">
        <v>45275</v>
      </c>
      <c r="B467" s="50" t="s">
        <v>141</v>
      </c>
      <c r="C467" s="5"/>
      <c r="D467" s="5">
        <v>503741</v>
      </c>
      <c r="E467" s="5">
        <f>+IF(FINANCIACION[[#This Row],[$ CAPITAL]]&gt;=0,FINANCIACION[[#This Row],[$ CAPITAL]]+FINANCIACION[[#This Row],[$ INTERESES]],"")</f>
        <v>503741</v>
      </c>
      <c r="F467" s="5">
        <f>+SUMIFS(FINANCIACION[$ CAPITAL],FINANCIACION[Fecha],"&lt;="&amp;FINANCIACION[[#This Row],[Fecha]],FINANCIACION[PRESTAMO],FINANCIACION[[#This Row],[PRESTAMO]])</f>
        <v>0</v>
      </c>
      <c r="G467" s="53"/>
      <c r="H467" s="53"/>
      <c r="I467" s="5" t="b">
        <f>+IF(FINANCIACION[[#This Row],[$ CAPITAL]]&gt;0,FINANCIACION[[#This Row],[$ CAPITAL]])</f>
        <v>0</v>
      </c>
      <c r="J467" s="33">
        <f>+IF(FINANCIACION[[#This Row],[$ CAPITAL]]&gt;=0,FINANCIACION[[#This Row],[$ CAPITAL]]+FINANCIACION[[#This Row],[$ INTERESES]],0)</f>
        <v>503741</v>
      </c>
    </row>
    <row r="468" spans="1:10" ht="24" hidden="1" customHeight="1" x14ac:dyDescent="0.25">
      <c r="A468" s="109">
        <v>45286</v>
      </c>
      <c r="B468" s="50" t="s">
        <v>141</v>
      </c>
      <c r="C468" s="5"/>
      <c r="D468" s="5">
        <v>183163</v>
      </c>
      <c r="E468" s="5">
        <f>+IF(FINANCIACION[[#This Row],[$ CAPITAL]]&gt;=0,FINANCIACION[[#This Row],[$ CAPITAL]]+FINANCIACION[[#This Row],[$ INTERESES]],"")</f>
        <v>183163</v>
      </c>
      <c r="F468" s="5">
        <f>+SUMIFS(FINANCIACION[$ CAPITAL],FINANCIACION[Fecha],"&lt;="&amp;FINANCIACION[[#This Row],[Fecha]],FINANCIACION[PRESTAMO],FINANCIACION[[#This Row],[PRESTAMO]])</f>
        <v>0</v>
      </c>
      <c r="G468" s="53"/>
      <c r="H468" s="53"/>
      <c r="I468" s="5" t="b">
        <f>+IF(FINANCIACION[[#This Row],[$ CAPITAL]]&gt;0,FINANCIACION[[#This Row],[$ CAPITAL]])</f>
        <v>0</v>
      </c>
      <c r="J468" s="33">
        <f>+IF(FINANCIACION[[#This Row],[$ CAPITAL]]&gt;=0,FINANCIACION[[#This Row],[$ CAPITAL]]+FINANCIACION[[#This Row],[$ INTERESES]],0)</f>
        <v>183163</v>
      </c>
    </row>
    <row r="469" spans="1:10" ht="24" hidden="1" customHeight="1" x14ac:dyDescent="0.25">
      <c r="A469" s="109">
        <v>44938</v>
      </c>
      <c r="B469" s="50" t="s">
        <v>548</v>
      </c>
      <c r="C469" s="5">
        <v>-94165500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-94165500</v>
      </c>
      <c r="G469" s="53" t="s">
        <v>549</v>
      </c>
      <c r="H469" s="53">
        <v>19500</v>
      </c>
      <c r="I469" s="5" t="b">
        <f>+IF(FINANCIACION[[#This Row],[$ CAPITAL]]&gt;0,FINANCIACION[[#This Row],[$ CAPITAL]])</f>
        <v>0</v>
      </c>
      <c r="J469" s="33">
        <f>+IF(FINANCIACION[[#This Row],[$ CAPITAL]]&gt;=0,FINANCIACION[[#This Row],[$ CAPITAL]]+FINANCIACION[[#This Row],[$ INTERESES]],0)</f>
        <v>0</v>
      </c>
    </row>
    <row r="470" spans="1:10" ht="24" hidden="1" customHeight="1" x14ac:dyDescent="0.25">
      <c r="A470" s="109">
        <v>44957</v>
      </c>
      <c r="B470" s="50" t="s">
        <v>548</v>
      </c>
      <c r="C470" s="5">
        <v>2905000</v>
      </c>
      <c r="D470" s="5"/>
      <c r="E470" s="5">
        <f>+IF(FINANCIACION[[#This Row],[$ CAPITAL]]&gt;=0,FINANCIACION[[#This Row],[$ CAPITAL]]+FINANCIACION[[#This Row],[$ INTERESES]],"")</f>
        <v>2905000</v>
      </c>
      <c r="F470" s="5">
        <f>+SUMIFS(FINANCIACION[$ CAPITAL],FINANCIACION[Fecha],"&lt;="&amp;FINANCIACION[[#This Row],[Fecha]],FINANCIACION[PRESTAMO],FINANCIACION[[#This Row],[PRESTAMO]])</f>
        <v>-91260500</v>
      </c>
      <c r="G470" s="53"/>
      <c r="H470" s="53"/>
      <c r="I470" s="5">
        <f>+IF(FINANCIACION[[#This Row],[$ CAPITAL]]&gt;0,FINANCIACION[[#This Row],[$ CAPITAL]])</f>
        <v>2905000</v>
      </c>
      <c r="J470" s="33">
        <f>+IF(FINANCIACION[[#This Row],[$ CAPITAL]]&gt;=0,FINANCIACION[[#This Row],[$ CAPITAL]]+FINANCIACION[[#This Row],[$ INTERESES]],0)</f>
        <v>2905000</v>
      </c>
    </row>
    <row r="471" spans="1:10" ht="24" hidden="1" customHeight="1" x14ac:dyDescent="0.25">
      <c r="A471" s="109">
        <v>44985</v>
      </c>
      <c r="B471" s="50" t="s">
        <v>548</v>
      </c>
      <c r="C471" s="5">
        <v>-3899500</v>
      </c>
      <c r="D471" s="5"/>
      <c r="E471" s="5" t="str">
        <f>+IF(FINANCIACION[[#This Row],[$ CAPITAL]]&gt;=0,FINANCIACION[[#This Row],[$ CAPITAL]]+FINANCIACION[[#This Row],[$ INTERESES]],"")</f>
        <v/>
      </c>
      <c r="F471" s="5">
        <f>+SUMIFS(FINANCIACION[$ CAPITAL],FINANCIACION[Fecha],"&lt;="&amp;FINANCIACION[[#This Row],[Fecha]],FINANCIACION[PRESTAMO],FINANCIACION[[#This Row],[PRESTAMO]])</f>
        <v>-95160000</v>
      </c>
      <c r="G471" s="53"/>
      <c r="H471" s="53"/>
      <c r="I471" s="5" t="b">
        <f>+IF(FINANCIACION[[#This Row],[$ CAPITAL]]&gt;0,FINANCIACION[[#This Row],[$ CAPITAL]])</f>
        <v>0</v>
      </c>
      <c r="J471" s="33">
        <f>+IF(FINANCIACION[[#This Row],[$ CAPITAL]]&gt;=0,FINANCIACION[[#This Row],[$ CAPITAL]]+FINANCIACION[[#This Row],[$ INTERESES]],0)</f>
        <v>0</v>
      </c>
    </row>
    <row r="472" spans="1:10" ht="24" hidden="1" customHeight="1" x14ac:dyDescent="0.25">
      <c r="A472" s="109">
        <v>45016</v>
      </c>
      <c r="B472" s="50" t="s">
        <v>548</v>
      </c>
      <c r="C472" s="5">
        <v>3510000</v>
      </c>
      <c r="D472" s="5"/>
      <c r="E472" s="5">
        <f>+IF(FINANCIACION[[#This Row],[$ CAPITAL]]&gt;=0,FINANCIACION[[#This Row],[$ CAPITAL]]+FINANCIACION[[#This Row],[$ INTERESES]],"")</f>
        <v>3510000</v>
      </c>
      <c r="F472" s="5">
        <f>+SUMIFS(FINANCIACION[$ CAPITAL],FINANCIACION[Fecha],"&lt;="&amp;FINANCIACION[[#This Row],[Fecha]],FINANCIACION[PRESTAMO],FINANCIACION[[#This Row],[PRESTAMO]])</f>
        <v>-91650000</v>
      </c>
      <c r="G472" s="53"/>
      <c r="H472" s="53"/>
      <c r="I472" s="5">
        <f>+IF(FINANCIACION[[#This Row],[$ CAPITAL]]&gt;0,FINANCIACION[[#This Row],[$ CAPITAL]])</f>
        <v>3510000</v>
      </c>
      <c r="J472" s="33">
        <f>+IF(FINANCIACION[[#This Row],[$ CAPITAL]]&gt;=0,FINANCIACION[[#This Row],[$ CAPITAL]]+FINANCIACION[[#This Row],[$ INTERESES]],0)</f>
        <v>3510000</v>
      </c>
    </row>
    <row r="473" spans="1:10" ht="24" hidden="1" customHeight="1" x14ac:dyDescent="0.25">
      <c r="A473" s="109">
        <v>45046</v>
      </c>
      <c r="B473" s="50" t="s">
        <v>548</v>
      </c>
      <c r="C473" s="5">
        <v>0</v>
      </c>
      <c r="D473" s="5"/>
      <c r="E473" s="5">
        <f>+IF(FINANCIACION[[#This Row],[$ CAPITAL]]&gt;=0,FINANCIACION[[#This Row],[$ CAPITAL]]+FINANCIACION[[#This Row],[$ INTERESES]],"")</f>
        <v>0</v>
      </c>
      <c r="F473" s="5">
        <f>+SUMIFS(FINANCIACION[$ CAPITAL],FINANCIACION[Fecha],"&lt;="&amp;FINANCIACION[[#This Row],[Fecha]],FINANCIACION[PRESTAMO],FINANCIACION[[#This Row],[PRESTAMO]])</f>
        <v>-91650000</v>
      </c>
      <c r="G473" s="53"/>
      <c r="H473" s="53"/>
      <c r="I473" s="5" t="b">
        <f>+IF(FINANCIACION[[#This Row],[$ CAPITAL]]&gt;0,FINANCIACION[[#This Row],[$ CAPITAL]])</f>
        <v>0</v>
      </c>
      <c r="J473" s="33">
        <f>+IF(FINANCIACION[[#This Row],[$ CAPITAL]]&gt;=0,FINANCIACION[[#This Row],[$ CAPITAL]]+FINANCIACION[[#This Row],[$ INTERESES]],0)</f>
        <v>0</v>
      </c>
    </row>
    <row r="474" spans="1:10" ht="24" hidden="1" customHeight="1" x14ac:dyDescent="0.25">
      <c r="A474" s="109">
        <v>45077</v>
      </c>
      <c r="B474" s="50" t="s">
        <v>548</v>
      </c>
      <c r="C474" s="5">
        <v>2730000</v>
      </c>
      <c r="D474" s="5"/>
      <c r="E474" s="5">
        <f>+IF(FINANCIACION[[#This Row],[$ CAPITAL]]&gt;=0,FINANCIACION[[#This Row],[$ CAPITAL]]+FINANCIACION[[#This Row],[$ INTERESES]],"")</f>
        <v>2730000</v>
      </c>
      <c r="F474" s="5">
        <f>+SUMIFS(FINANCIACION[$ CAPITAL],FINANCIACION[Fecha],"&lt;="&amp;FINANCIACION[[#This Row],[Fecha]],FINANCIACION[PRESTAMO],FINANCIACION[[#This Row],[PRESTAMO]])</f>
        <v>-88920000</v>
      </c>
      <c r="G474" s="53"/>
      <c r="H474" s="53"/>
      <c r="I474" s="5">
        <f>+IF(FINANCIACION[[#This Row],[$ CAPITAL]]&gt;0,FINANCIACION[[#This Row],[$ CAPITAL]])</f>
        <v>2730000</v>
      </c>
      <c r="J474" s="33">
        <f>+IF(FINANCIACION[[#This Row],[$ CAPITAL]]&gt;=0,FINANCIACION[[#This Row],[$ CAPITAL]]+FINANCIACION[[#This Row],[$ INTERESES]],0)</f>
        <v>2730000</v>
      </c>
    </row>
    <row r="475" spans="1:10" ht="24" hidden="1" customHeight="1" x14ac:dyDescent="0.25">
      <c r="A475" s="109">
        <v>45107</v>
      </c>
      <c r="B475" s="50" t="s">
        <v>548</v>
      </c>
      <c r="C475" s="5">
        <v>4095000</v>
      </c>
      <c r="D475" s="5"/>
      <c r="E475" s="5">
        <f>+IF(FINANCIACION[[#This Row],[$ CAPITAL]]&gt;=0,FINANCIACION[[#This Row],[$ CAPITAL]]+FINANCIACION[[#This Row],[$ INTERESES]],"")</f>
        <v>4095000</v>
      </c>
      <c r="F475" s="5">
        <f>+SUMIFS(FINANCIACION[$ CAPITAL],FINANCIACION[Fecha],"&lt;="&amp;FINANCIACION[[#This Row],[Fecha]],FINANCIACION[PRESTAMO],FINANCIACION[[#This Row],[PRESTAMO]])</f>
        <v>-84825000</v>
      </c>
      <c r="G475" s="53"/>
      <c r="H475" s="53"/>
      <c r="I475" s="5">
        <f>+IF(FINANCIACION[[#This Row],[$ CAPITAL]]&gt;0,FINANCIACION[[#This Row],[$ CAPITAL]])</f>
        <v>4095000</v>
      </c>
      <c r="J475" s="33">
        <f>+IF(FINANCIACION[[#This Row],[$ CAPITAL]]&gt;=0,FINANCIACION[[#This Row],[$ CAPITAL]]+FINANCIACION[[#This Row],[$ INTERESES]],0)</f>
        <v>4095000</v>
      </c>
    </row>
    <row r="476" spans="1:10" ht="24" hidden="1" customHeight="1" x14ac:dyDescent="0.25">
      <c r="A476" s="109">
        <v>45138</v>
      </c>
      <c r="B476" s="50" t="s">
        <v>548</v>
      </c>
      <c r="C476" s="5">
        <v>0</v>
      </c>
      <c r="D476" s="5"/>
      <c r="E476" s="5">
        <f>+IF(FINANCIACION[[#This Row],[$ CAPITAL]]&gt;=0,FINANCIACION[[#This Row],[$ CAPITAL]]+FINANCIACION[[#This Row],[$ INTERESES]],"")</f>
        <v>0</v>
      </c>
      <c r="F476" s="5">
        <f>+SUMIFS(FINANCIACION[$ CAPITAL],FINANCIACION[Fecha],"&lt;="&amp;FINANCIACION[[#This Row],[Fecha]],FINANCIACION[PRESTAMO],FINANCIACION[[#This Row],[PRESTAMO]])</f>
        <v>-84825000</v>
      </c>
      <c r="G476" s="53"/>
      <c r="H476" s="53"/>
      <c r="I476" s="5" t="b">
        <f>+IF(FINANCIACION[[#This Row],[$ CAPITAL]]&gt;0,FINANCIACION[[#This Row],[$ CAPITAL]])</f>
        <v>0</v>
      </c>
      <c r="J476" s="33">
        <f>+IF(FINANCIACION[[#This Row],[$ CAPITAL]]&gt;=0,FINANCIACION[[#This Row],[$ CAPITAL]]+FINANCIACION[[#This Row],[$ INTERESES]],0)</f>
        <v>0</v>
      </c>
    </row>
    <row r="477" spans="1:10" ht="24" hidden="1" customHeight="1" x14ac:dyDescent="0.25">
      <c r="A477" s="109">
        <v>45169</v>
      </c>
      <c r="B477" s="50" t="s">
        <v>548</v>
      </c>
      <c r="C477" s="5">
        <v>0</v>
      </c>
      <c r="D477" s="5">
        <v>0</v>
      </c>
      <c r="E477" s="5">
        <f>+IF(FINANCIACION[[#This Row],[$ CAPITAL]]&gt;=0,FINANCIACION[[#This Row],[$ CAPITAL]]+FINANCIACION[[#This Row],[$ INTERESES]],"")</f>
        <v>0</v>
      </c>
      <c r="F477" s="5">
        <f>+SUMIFS(FINANCIACION[$ CAPITAL],FINANCIACION[Fecha],"&lt;="&amp;FINANCIACION[[#This Row],[Fecha]],FINANCIACION[PRESTAMO],FINANCIACION[[#This Row],[PRESTAMO]])</f>
        <v>-84825000</v>
      </c>
      <c r="G477" s="53"/>
      <c r="H477" s="53"/>
      <c r="I477" s="5" t="b">
        <f>+IF(FINANCIACION[[#This Row],[$ CAPITAL]]&gt;0,FINANCIACION[[#This Row],[$ CAPITAL]])</f>
        <v>0</v>
      </c>
      <c r="J477" s="33">
        <f>+IF(FINANCIACION[[#This Row],[$ CAPITAL]]&gt;=0,FINANCIACION[[#This Row],[$ CAPITAL]]+FINANCIACION[[#This Row],[$ INTERESES]],0)</f>
        <v>0</v>
      </c>
    </row>
    <row r="478" spans="1:10" ht="24" hidden="1" customHeight="1" x14ac:dyDescent="0.25">
      <c r="A478" s="109">
        <v>45199</v>
      </c>
      <c r="B478" s="50" t="s">
        <v>548</v>
      </c>
      <c r="C478" s="5">
        <v>0</v>
      </c>
      <c r="D478" s="5">
        <v>0</v>
      </c>
      <c r="E478" s="5">
        <f>+IF(FINANCIACION[[#This Row],[$ CAPITAL]]&gt;=0,FINANCIACION[[#This Row],[$ CAPITAL]]+FINANCIACION[[#This Row],[$ INTERESES]],"")</f>
        <v>0</v>
      </c>
      <c r="F478" s="5">
        <f>+SUMIFS(FINANCIACION[$ CAPITAL],FINANCIACION[Fecha],"&lt;="&amp;FINANCIACION[[#This Row],[Fecha]],FINANCIACION[PRESTAMO],FINANCIACION[[#This Row],[PRESTAMO]])</f>
        <v>-84825000</v>
      </c>
      <c r="G478" s="53" t="s">
        <v>935</v>
      </c>
      <c r="H478" s="53"/>
      <c r="I478" s="5" t="b">
        <f>+IF(FINANCIACION[[#This Row],[$ CAPITAL]]&gt;0,FINANCIACION[[#This Row],[$ CAPITAL]])</f>
        <v>0</v>
      </c>
      <c r="J478" s="33">
        <f>+IF(FINANCIACION[[#This Row],[$ CAPITAL]]&gt;=0,FINANCIACION[[#This Row],[$ CAPITAL]]+FINANCIACION[[#This Row],[$ INTERESES]],0)</f>
        <v>0</v>
      </c>
    </row>
    <row r="479" spans="1:10" ht="24" hidden="1" customHeight="1" x14ac:dyDescent="0.25">
      <c r="A479" s="109">
        <v>45230</v>
      </c>
      <c r="B479" s="50" t="s">
        <v>548</v>
      </c>
      <c r="C479" s="5">
        <v>0</v>
      </c>
      <c r="D479" s="5"/>
      <c r="E479" s="5">
        <f>+IF(FINANCIACION[[#This Row],[$ CAPITAL]]&gt;=0,FINANCIACION[[#This Row],[$ CAPITAL]]+FINANCIACION[[#This Row],[$ INTERESES]],"")</f>
        <v>0</v>
      </c>
      <c r="F479" s="5">
        <f>+SUMIFS(FINANCIACION[$ CAPITAL],FINANCIACION[Fecha],"&lt;="&amp;FINANCIACION[[#This Row],[Fecha]],FINANCIACION[PRESTAMO],FINANCIACION[[#This Row],[PRESTAMO]])</f>
        <v>-84825000</v>
      </c>
      <c r="G479" s="53" t="s">
        <v>1004</v>
      </c>
      <c r="H479" s="53"/>
      <c r="I479" s="5" t="b">
        <f>+IF(FINANCIACION[[#This Row],[$ CAPITAL]]&gt;0,FINANCIACION[[#This Row],[$ CAPITAL]])</f>
        <v>0</v>
      </c>
      <c r="J479" s="33">
        <f>+IF(FINANCIACION[[#This Row],[$ CAPITAL]]&gt;=0,FINANCIACION[[#This Row],[$ CAPITAL]]+FINANCIACION[[#This Row],[$ INTERESES]],0)</f>
        <v>0</v>
      </c>
    </row>
    <row r="480" spans="1:10" ht="24" hidden="1" customHeight="1" x14ac:dyDescent="0.25">
      <c r="A480" s="109">
        <v>45260</v>
      </c>
      <c r="B480" s="50" t="s">
        <v>548</v>
      </c>
      <c r="C480" s="5">
        <v>0</v>
      </c>
      <c r="D480" s="5"/>
      <c r="E480" s="5">
        <f>+IF(FINANCIACION[[#This Row],[$ CAPITAL]]&gt;=0,FINANCIACION[[#This Row],[$ CAPITAL]]+FINANCIACION[[#This Row],[$ INTERESES]],"")</f>
        <v>0</v>
      </c>
      <c r="F480" s="5">
        <f>+SUMIFS(FINANCIACION[$ CAPITAL],FINANCIACION[Fecha],"&lt;="&amp;FINANCIACION[[#This Row],[Fecha]],FINANCIACION[PRESTAMO],FINANCIACION[[#This Row],[PRESTAMO]])</f>
        <v>-84825000</v>
      </c>
      <c r="G480" s="53" t="s">
        <v>1004</v>
      </c>
      <c r="H480" s="53"/>
      <c r="I480" s="5" t="b">
        <f>+IF(FINANCIACION[[#This Row],[$ CAPITAL]]&gt;0,FINANCIACION[[#This Row],[$ CAPITAL]])</f>
        <v>0</v>
      </c>
      <c r="J480" s="33">
        <f>+IF(FINANCIACION[[#This Row],[$ CAPITAL]]&gt;=0,FINANCIACION[[#This Row],[$ CAPITAL]]+FINANCIACION[[#This Row],[$ INTERESES]],0)</f>
        <v>0</v>
      </c>
    </row>
    <row r="481" spans="1:10" ht="24" hidden="1" customHeight="1" x14ac:dyDescent="0.25">
      <c r="A481" s="109">
        <v>45291</v>
      </c>
      <c r="B481" s="50" t="s">
        <v>548</v>
      </c>
      <c r="C481" s="5">
        <v>0</v>
      </c>
      <c r="D481" s="5">
        <v>0</v>
      </c>
      <c r="E481" s="5">
        <f>+IF(FINANCIACION[[#This Row],[$ CAPITAL]]&gt;=0,FINANCIACION[[#This Row],[$ CAPITAL]]+FINANCIACION[[#This Row],[$ INTERESES]],"")</f>
        <v>0</v>
      </c>
      <c r="F481" s="5">
        <f>+SUMIFS(FINANCIACION[$ CAPITAL],FINANCIACION[Fecha],"&lt;="&amp;FINANCIACION[[#This Row],[Fecha]],FINANCIACION[PRESTAMO],FINANCIACION[[#This Row],[PRESTAMO]])</f>
        <v>-84825000</v>
      </c>
      <c r="G481" s="53" t="s">
        <v>1004</v>
      </c>
      <c r="H481" s="53"/>
      <c r="I481" s="5" t="b">
        <f>+IF(FINANCIACION[[#This Row],[$ CAPITAL]]&gt;0,FINANCIACION[[#This Row],[$ CAPITAL]])</f>
        <v>0</v>
      </c>
      <c r="J481" s="33">
        <f>+IF(FINANCIACION[[#This Row],[$ CAPITAL]]&gt;=0,FINANCIACION[[#This Row],[$ CAPITAL]]+FINANCIACION[[#This Row],[$ INTERESES]],0)</f>
        <v>0</v>
      </c>
    </row>
    <row r="482" spans="1:10" ht="24" hidden="1" customHeight="1" x14ac:dyDescent="0.25">
      <c r="A482" s="109">
        <v>44967</v>
      </c>
      <c r="B482" s="50" t="s">
        <v>647</v>
      </c>
      <c r="C482" s="5">
        <v>-60233450</v>
      </c>
      <c r="D482" s="5"/>
      <c r="E482" s="5" t="str">
        <f>+IF(FINANCIACION[[#This Row],[$ CAPITAL]]&gt;=0,FINANCIACION[[#This Row],[$ CAPITAL]]+FINANCIACION[[#This Row],[$ INTERESES]],"")</f>
        <v/>
      </c>
      <c r="F482" s="5">
        <f>+SUMIFS(FINANCIACION[$ CAPITAL],FINANCIACION[Fecha],"&lt;="&amp;FINANCIACION[[#This Row],[Fecha]],FINANCIACION[PRESTAMO],FINANCIACION[[#This Row],[PRESTAMO]])</f>
        <v>-60233450</v>
      </c>
      <c r="G482" s="53" t="s">
        <v>648</v>
      </c>
      <c r="H482" s="53">
        <v>12342.92</v>
      </c>
      <c r="I482" s="5" t="b">
        <f>+IF(FINANCIACION[[#This Row],[$ CAPITAL]]&gt;0,FINANCIACION[[#This Row],[$ CAPITAL]])</f>
        <v>0</v>
      </c>
      <c r="J482" s="33">
        <f>+IF(FINANCIACION[[#This Row],[$ CAPITAL]]&gt;=0,FINANCIACION[[#This Row],[$ CAPITAL]]+FINANCIACION[[#This Row],[$ INTERESES]],0)</f>
        <v>0</v>
      </c>
    </row>
    <row r="483" spans="1:10" ht="24" hidden="1" customHeight="1" x14ac:dyDescent="0.25">
      <c r="A483" s="109">
        <v>45016</v>
      </c>
      <c r="B483" s="50" t="s">
        <v>647</v>
      </c>
      <c r="C483" s="5">
        <v>2221726</v>
      </c>
      <c r="D483" s="5"/>
      <c r="E483" s="5">
        <f>+IF(FINANCIACION[[#This Row],[$ CAPITAL]]&gt;=0,FINANCIACION[[#This Row],[$ CAPITAL]]+FINANCIACION[[#This Row],[$ INTERESES]],"")</f>
        <v>2221726</v>
      </c>
      <c r="F483" s="5">
        <f>+SUMIFS(FINANCIACION[$ CAPITAL],FINANCIACION[Fecha],"&lt;="&amp;FINANCIACION[[#This Row],[Fecha]],FINANCIACION[PRESTAMO],FINANCIACION[[#This Row],[PRESTAMO]])</f>
        <v>-58011724</v>
      </c>
      <c r="G483" s="53" t="s">
        <v>726</v>
      </c>
      <c r="H483" s="53"/>
      <c r="I483" s="5">
        <f>+IF(FINANCIACION[[#This Row],[$ CAPITAL]]&gt;0,FINANCIACION[[#This Row],[$ CAPITAL]])</f>
        <v>2221726</v>
      </c>
      <c r="J483" s="33">
        <f>+IF(FINANCIACION[[#This Row],[$ CAPITAL]]&gt;=0,FINANCIACION[[#This Row],[$ CAPITAL]]+FINANCIACION[[#This Row],[$ INTERESES]],0)</f>
        <v>2221726</v>
      </c>
    </row>
    <row r="484" spans="1:10" ht="24" hidden="1" customHeight="1" x14ac:dyDescent="0.25">
      <c r="A484" s="109">
        <v>45046</v>
      </c>
      <c r="B484" s="50" t="s">
        <v>647</v>
      </c>
      <c r="C484" s="5">
        <v>0</v>
      </c>
      <c r="D484" s="5"/>
      <c r="E484" s="5">
        <f>+IF(FINANCIACION[[#This Row],[$ CAPITAL]]&gt;=0,FINANCIACION[[#This Row],[$ CAPITAL]]+FINANCIACION[[#This Row],[$ INTERESES]],"")</f>
        <v>0</v>
      </c>
      <c r="F484" s="5">
        <f>+SUMIFS(FINANCIACION[$ CAPITAL],FINANCIACION[Fecha],"&lt;="&amp;FINANCIACION[[#This Row],[Fecha]],FINANCIACION[PRESTAMO],FINANCIACION[[#This Row],[PRESTAMO]])</f>
        <v>-58011724</v>
      </c>
      <c r="G484" s="53" t="s">
        <v>807</v>
      </c>
      <c r="H484" s="53"/>
      <c r="I484" s="5" t="b">
        <f>+IF(FINANCIACION[[#This Row],[$ CAPITAL]]&gt;0,FINANCIACION[[#This Row],[$ CAPITAL]])</f>
        <v>0</v>
      </c>
      <c r="J484" s="33">
        <f>+IF(FINANCIACION[[#This Row],[$ CAPITAL]]&gt;=0,FINANCIACION[[#This Row],[$ CAPITAL]]+FINANCIACION[[#This Row],[$ INTERESES]],0)</f>
        <v>0</v>
      </c>
    </row>
    <row r="485" spans="1:10" ht="24" hidden="1" customHeight="1" x14ac:dyDescent="0.25">
      <c r="A485" s="109">
        <v>45077</v>
      </c>
      <c r="B485" s="50" t="s">
        <v>647</v>
      </c>
      <c r="C485" s="5">
        <v>1728009</v>
      </c>
      <c r="D485" s="5"/>
      <c r="E485" s="5">
        <f>+IF(FINANCIACION[[#This Row],[$ CAPITAL]]&gt;=0,FINANCIACION[[#This Row],[$ CAPITAL]]+FINANCIACION[[#This Row],[$ INTERESES]],"")</f>
        <v>1728009</v>
      </c>
      <c r="F485" s="5">
        <f>+SUMIFS(FINANCIACION[$ CAPITAL],FINANCIACION[Fecha],"&lt;="&amp;FINANCIACION[[#This Row],[Fecha]],FINANCIACION[PRESTAMO],FINANCIACION[[#This Row],[PRESTAMO]])</f>
        <v>-56283715</v>
      </c>
      <c r="G485" s="53"/>
      <c r="H485" s="53"/>
      <c r="I485" s="5">
        <f>+IF(FINANCIACION[[#This Row],[$ CAPITAL]]&gt;0,FINANCIACION[[#This Row],[$ CAPITAL]])</f>
        <v>1728009</v>
      </c>
      <c r="J485" s="33">
        <f>+IF(FINANCIACION[[#This Row],[$ CAPITAL]]&gt;=0,FINANCIACION[[#This Row],[$ CAPITAL]]+FINANCIACION[[#This Row],[$ INTERESES]],0)</f>
        <v>1728009</v>
      </c>
    </row>
    <row r="486" spans="1:10" ht="24" hidden="1" customHeight="1" x14ac:dyDescent="0.25">
      <c r="A486" s="109">
        <v>45107</v>
      </c>
      <c r="B486" s="50" t="s">
        <v>647</v>
      </c>
      <c r="C486" s="5">
        <v>2592013</v>
      </c>
      <c r="D486" s="5"/>
      <c r="E486" s="5">
        <f>+IF(FINANCIACION[[#This Row],[$ CAPITAL]]&gt;=0,FINANCIACION[[#This Row],[$ CAPITAL]]+FINANCIACION[[#This Row],[$ INTERESES]],"")</f>
        <v>2592013</v>
      </c>
      <c r="F486" s="5">
        <f>+SUMIFS(FINANCIACION[$ CAPITAL],FINANCIACION[Fecha],"&lt;="&amp;FINANCIACION[[#This Row],[Fecha]],FINANCIACION[PRESTAMO],FINANCIACION[[#This Row],[PRESTAMO]])</f>
        <v>-53691702</v>
      </c>
      <c r="G486" s="53"/>
      <c r="H486" s="53"/>
      <c r="I486" s="5">
        <f>+IF(FINANCIACION[[#This Row],[$ CAPITAL]]&gt;0,FINANCIACION[[#This Row],[$ CAPITAL]])</f>
        <v>2592013</v>
      </c>
      <c r="J486" s="33">
        <f>+IF(FINANCIACION[[#This Row],[$ CAPITAL]]&gt;=0,FINANCIACION[[#This Row],[$ CAPITAL]]+FINANCIACION[[#This Row],[$ INTERESES]],0)</f>
        <v>2592013</v>
      </c>
    </row>
    <row r="487" spans="1:10" ht="24" hidden="1" customHeight="1" x14ac:dyDescent="0.25">
      <c r="A487" s="109">
        <v>45138</v>
      </c>
      <c r="B487" s="50" t="s">
        <v>647</v>
      </c>
      <c r="C487" s="5">
        <v>0</v>
      </c>
      <c r="D487" s="5"/>
      <c r="E487" s="5">
        <f>+IF(FINANCIACION[[#This Row],[$ CAPITAL]]&gt;=0,FINANCIACION[[#This Row],[$ CAPITAL]]+FINANCIACION[[#This Row],[$ INTERESES]],"")</f>
        <v>0</v>
      </c>
      <c r="F487" s="5">
        <f>+SUMIFS(FINANCIACION[$ CAPITAL],FINANCIACION[Fecha],"&lt;="&amp;FINANCIACION[[#This Row],[Fecha]],FINANCIACION[PRESTAMO],FINANCIACION[[#This Row],[PRESTAMO]])</f>
        <v>-53691702</v>
      </c>
      <c r="G487" s="53"/>
      <c r="H487" s="53"/>
      <c r="I487" s="5" t="b">
        <f>+IF(FINANCIACION[[#This Row],[$ CAPITAL]]&gt;0,FINANCIACION[[#This Row],[$ CAPITAL]])</f>
        <v>0</v>
      </c>
      <c r="J487" s="33">
        <f>+IF(FINANCIACION[[#This Row],[$ CAPITAL]]&gt;=0,FINANCIACION[[#This Row],[$ CAPITAL]]+FINANCIACION[[#This Row],[$ INTERESES]],0)</f>
        <v>0</v>
      </c>
    </row>
    <row r="488" spans="1:10" ht="24" hidden="1" customHeight="1" x14ac:dyDescent="0.25">
      <c r="A488" s="109">
        <v>45169</v>
      </c>
      <c r="B488" s="50" t="s">
        <v>647</v>
      </c>
      <c r="C488" s="5">
        <v>0</v>
      </c>
      <c r="D488" s="5">
        <v>0</v>
      </c>
      <c r="E488" s="5">
        <f>+IF(FINANCIACION[[#This Row],[$ CAPITAL]]&gt;=0,FINANCIACION[[#This Row],[$ CAPITAL]]+FINANCIACION[[#This Row],[$ INTERESES]],"")</f>
        <v>0</v>
      </c>
      <c r="F488" s="5">
        <f>+SUMIFS(FINANCIACION[$ CAPITAL],FINANCIACION[Fecha],"&lt;="&amp;FINANCIACION[[#This Row],[Fecha]],FINANCIACION[PRESTAMO],FINANCIACION[[#This Row],[PRESTAMO]])</f>
        <v>-53691702</v>
      </c>
      <c r="G488" s="53"/>
      <c r="H488" s="53"/>
      <c r="I488" s="5" t="b">
        <f>+IF(FINANCIACION[[#This Row],[$ CAPITAL]]&gt;0,FINANCIACION[[#This Row],[$ CAPITAL]])</f>
        <v>0</v>
      </c>
      <c r="J488" s="33">
        <f>+IF(FINANCIACION[[#This Row],[$ CAPITAL]]&gt;=0,FINANCIACION[[#This Row],[$ CAPITAL]]+FINANCIACION[[#This Row],[$ INTERESES]],0)</f>
        <v>0</v>
      </c>
    </row>
    <row r="489" spans="1:10" ht="24" hidden="1" customHeight="1" x14ac:dyDescent="0.25">
      <c r="A489" s="109">
        <v>45199</v>
      </c>
      <c r="B489" s="50" t="s">
        <v>647</v>
      </c>
      <c r="C489" s="5">
        <v>0</v>
      </c>
      <c r="D489" s="5">
        <v>0</v>
      </c>
      <c r="E489" s="5">
        <f>+IF(FINANCIACION[[#This Row],[$ CAPITAL]]&gt;=0,FINANCIACION[[#This Row],[$ CAPITAL]]+FINANCIACION[[#This Row],[$ INTERESES]],"")</f>
        <v>0</v>
      </c>
      <c r="F489" s="5">
        <f>+SUMIFS(FINANCIACION[$ CAPITAL],FINANCIACION[Fecha],"&lt;="&amp;FINANCIACION[[#This Row],[Fecha]],FINANCIACION[PRESTAMO],FINANCIACION[[#This Row],[PRESTAMO]])</f>
        <v>-53691702</v>
      </c>
      <c r="G489" s="53"/>
      <c r="H489" s="53"/>
      <c r="I489" s="5" t="b">
        <f>+IF(FINANCIACION[[#This Row],[$ CAPITAL]]&gt;0,FINANCIACION[[#This Row],[$ CAPITAL]])</f>
        <v>0</v>
      </c>
      <c r="J489" s="33">
        <f>+IF(FINANCIACION[[#This Row],[$ CAPITAL]]&gt;=0,FINANCIACION[[#This Row],[$ CAPITAL]]+FINANCIACION[[#This Row],[$ INTERESES]],0)</f>
        <v>0</v>
      </c>
    </row>
    <row r="490" spans="1:10" ht="24" hidden="1" customHeight="1" x14ac:dyDescent="0.25">
      <c r="A490" s="109">
        <v>45230</v>
      </c>
      <c r="B490" s="50" t="s">
        <v>647</v>
      </c>
      <c r="C490" s="5">
        <v>0</v>
      </c>
      <c r="D490" s="5"/>
      <c r="E490" s="5">
        <f>+IF(FINANCIACION[[#This Row],[$ CAPITAL]]&gt;=0,FINANCIACION[[#This Row],[$ CAPITAL]]+FINANCIACION[[#This Row],[$ INTERESES]],"")</f>
        <v>0</v>
      </c>
      <c r="F490" s="5">
        <f>+SUMIFS(FINANCIACION[$ CAPITAL],FINANCIACION[Fecha],"&lt;="&amp;FINANCIACION[[#This Row],[Fecha]],FINANCIACION[PRESTAMO],FINANCIACION[[#This Row],[PRESTAMO]])</f>
        <v>-53691702</v>
      </c>
      <c r="G490" s="53"/>
      <c r="H490" s="53"/>
      <c r="I490" s="5" t="b">
        <f>+IF(FINANCIACION[[#This Row],[$ CAPITAL]]&gt;0,FINANCIACION[[#This Row],[$ CAPITAL]])</f>
        <v>0</v>
      </c>
      <c r="J490" s="33">
        <f>+IF(FINANCIACION[[#This Row],[$ CAPITAL]]&gt;=0,FINANCIACION[[#This Row],[$ CAPITAL]]+FINANCIACION[[#This Row],[$ INTERESES]],0)</f>
        <v>0</v>
      </c>
    </row>
    <row r="491" spans="1:10" ht="24" hidden="1" customHeight="1" x14ac:dyDescent="0.25">
      <c r="A491" s="109">
        <v>45260</v>
      </c>
      <c r="B491" s="50" t="s">
        <v>647</v>
      </c>
      <c r="C491" s="5">
        <v>0</v>
      </c>
      <c r="D491" s="5"/>
      <c r="E491" s="5">
        <f>+IF(FINANCIACION[[#This Row],[$ CAPITAL]]&gt;=0,FINANCIACION[[#This Row],[$ CAPITAL]]+FINANCIACION[[#This Row],[$ INTERESES]],"")</f>
        <v>0</v>
      </c>
      <c r="F491" s="5">
        <f>+SUMIFS(FINANCIACION[$ CAPITAL],FINANCIACION[Fecha],"&lt;="&amp;FINANCIACION[[#This Row],[Fecha]],FINANCIACION[PRESTAMO],FINANCIACION[[#This Row],[PRESTAMO]])</f>
        <v>-53691702</v>
      </c>
      <c r="G491" s="53"/>
      <c r="H491" s="53"/>
      <c r="I491" s="5" t="b">
        <f>+IF(FINANCIACION[[#This Row],[$ CAPITAL]]&gt;0,FINANCIACION[[#This Row],[$ CAPITAL]])</f>
        <v>0</v>
      </c>
      <c r="J491" s="33">
        <f>+IF(FINANCIACION[[#This Row],[$ CAPITAL]]&gt;=0,FINANCIACION[[#This Row],[$ CAPITAL]]+FINANCIACION[[#This Row],[$ INTERESES]],0)</f>
        <v>0</v>
      </c>
    </row>
    <row r="492" spans="1:10" ht="24" hidden="1" customHeight="1" x14ac:dyDescent="0.25">
      <c r="A492" s="109">
        <v>45286</v>
      </c>
      <c r="B492" s="50" t="s">
        <v>647</v>
      </c>
      <c r="C492" s="5">
        <v>47942987</v>
      </c>
      <c r="D492" s="5"/>
      <c r="E492" s="5">
        <f>+IF(FINANCIACION[[#This Row],[$ CAPITAL]]&gt;=0,FINANCIACION[[#This Row],[$ CAPITAL]]+FINANCIACION[[#This Row],[$ INTERESES]],"")</f>
        <v>47942987</v>
      </c>
      <c r="F492" s="5">
        <f>+SUMIFS(FINANCIACION[$ CAPITAL],FINANCIACION[Fecha],"&lt;="&amp;FINANCIACION[[#This Row],[Fecha]],FINANCIACION[PRESTAMO],FINANCIACION[[#This Row],[PRESTAMO]])</f>
        <v>-5748715</v>
      </c>
      <c r="G492" s="53"/>
      <c r="H492" s="53"/>
      <c r="I492" s="5">
        <f>+IF(FINANCIACION[[#This Row],[$ CAPITAL]]&gt;0,FINANCIACION[[#This Row],[$ CAPITAL]])</f>
        <v>47942987</v>
      </c>
      <c r="J492" s="33">
        <f>+IF(FINANCIACION[[#This Row],[$ CAPITAL]]&gt;=0,FINANCIACION[[#This Row],[$ CAPITAL]]+FINANCIACION[[#This Row],[$ INTERESES]],0)</f>
        <v>47942987</v>
      </c>
    </row>
    <row r="493" spans="1:10" ht="24" hidden="1" customHeight="1" x14ac:dyDescent="0.25">
      <c r="A493" s="109">
        <v>45291</v>
      </c>
      <c r="B493" s="50" t="s">
        <v>647</v>
      </c>
      <c r="C493" s="5">
        <v>5748715</v>
      </c>
      <c r="D493" s="5"/>
      <c r="E493" s="5">
        <f>+IF(FINANCIACION[[#This Row],[$ CAPITAL]]&gt;=0,FINANCIACION[[#This Row],[$ CAPITAL]]+FINANCIACION[[#This Row],[$ INTERESES]],"")</f>
        <v>5748715</v>
      </c>
      <c r="F493" s="5">
        <f>+SUMIFS(FINANCIACION[$ CAPITAL],FINANCIACION[Fecha],"&lt;="&amp;FINANCIACION[[#This Row],[Fecha]],FINANCIACION[PRESTAMO],FINANCIACION[[#This Row],[PRESTAMO]])</f>
        <v>0</v>
      </c>
      <c r="G493" s="53" t="s">
        <v>646</v>
      </c>
      <c r="H493" s="53"/>
      <c r="I493" s="5">
        <f>+IF(FINANCIACION[[#This Row],[$ CAPITAL]]&gt;0,FINANCIACION[[#This Row],[$ CAPITAL]])</f>
        <v>5748715</v>
      </c>
      <c r="J493" s="33">
        <f>+IF(FINANCIACION[[#This Row],[$ CAPITAL]]&gt;=0,FINANCIACION[[#This Row],[$ CAPITAL]]+FINANCIACION[[#This Row],[$ INTERESES]],0)</f>
        <v>5748715</v>
      </c>
    </row>
    <row r="494" spans="1:10" ht="24" hidden="1" customHeight="1" x14ac:dyDescent="0.25">
      <c r="A494" s="109">
        <v>44727</v>
      </c>
      <c r="B494" s="50" t="s">
        <v>142</v>
      </c>
      <c r="C494" s="5">
        <v>-15000000</v>
      </c>
      <c r="D494" s="5">
        <f>15000000-14530545</f>
        <v>469455</v>
      </c>
      <c r="E494" s="5" t="str">
        <f>+IF(FINANCIACION[[#This Row],[$ CAPITAL]]&gt;=0,FINANCIACION[[#This Row],[$ CAPITAL]]+FINANCIACION[[#This Row],[$ INTERESES]],"")</f>
        <v/>
      </c>
      <c r="F494" s="5">
        <f>+SUMIFS(FINANCIACION[$ CAPITAL],FINANCIACION[Fecha],"&lt;="&amp;FINANCIACION[[#This Row],[Fecha]],FINANCIACION[PRESTAMO],FINANCIACION[[#This Row],[PRESTAMO]])</f>
        <v>-15000000</v>
      </c>
      <c r="G494" s="53" t="s">
        <v>453</v>
      </c>
      <c r="H494" s="53"/>
      <c r="I494" s="5" t="b">
        <f>+IF(FINANCIACION[[#This Row],[$ CAPITAL]]&gt;0,FINANCIACION[[#This Row],[$ CAPITAL]])</f>
        <v>0</v>
      </c>
      <c r="J494" s="33">
        <f>+IF(FINANCIACION[[#This Row],[$ CAPITAL]]&gt;=0,FINANCIACION[[#This Row],[$ CAPITAL]]+FINANCIACION[[#This Row],[$ INTERESES]],0)</f>
        <v>0</v>
      </c>
    </row>
    <row r="495" spans="1:10" ht="24" hidden="1" customHeight="1" x14ac:dyDescent="0.25">
      <c r="A495" s="109">
        <v>44761</v>
      </c>
      <c r="B495" s="50" t="s">
        <v>142</v>
      </c>
      <c r="C495" s="5">
        <v>417000</v>
      </c>
      <c r="D495" s="5">
        <f>627251.99-FINANCIACION[[#This Row],[$ CAPITAL]]</f>
        <v>210251.99</v>
      </c>
      <c r="E495" s="5">
        <f>+IF(FINANCIACION[[#This Row],[$ CAPITAL]]&gt;=0,FINANCIACION[[#This Row],[$ CAPITAL]]+FINANCIACION[[#This Row],[$ INTERESES]],"")</f>
        <v>627251.99</v>
      </c>
      <c r="F495" s="5">
        <f>+SUMIFS(FINANCIACION[$ CAPITAL],FINANCIACION[Fecha],"&lt;="&amp;FINANCIACION[[#This Row],[Fecha]],FINANCIACION[PRESTAMO],FINANCIACION[[#This Row],[PRESTAMO]])</f>
        <v>-14583000</v>
      </c>
      <c r="G495" s="53"/>
      <c r="H495" s="53"/>
      <c r="I495" s="5">
        <f>+IF(FINANCIACION[[#This Row],[$ CAPITAL]]&gt;0,FINANCIACION[[#This Row],[$ CAPITAL]])</f>
        <v>417000</v>
      </c>
      <c r="J495" s="33">
        <f>+IF(FINANCIACION[[#This Row],[$ CAPITAL]]&gt;=0,FINANCIACION[[#This Row],[$ CAPITAL]]+FINANCIACION[[#This Row],[$ INTERESES]],0)</f>
        <v>627251.99</v>
      </c>
    </row>
    <row r="496" spans="1:10" ht="24" hidden="1" customHeight="1" x14ac:dyDescent="0.25">
      <c r="A496" s="109">
        <v>44784</v>
      </c>
      <c r="B496" s="50" t="s">
        <v>142</v>
      </c>
      <c r="C496" s="5">
        <v>417000</v>
      </c>
      <c r="D496" s="5">
        <v>208327</v>
      </c>
      <c r="E496" s="5">
        <f>+IF(FINANCIACION[[#This Row],[$ CAPITAL]]&gt;=0,FINANCIACION[[#This Row],[$ CAPITAL]]+FINANCIACION[[#This Row],[$ INTERESES]],"")</f>
        <v>625327</v>
      </c>
      <c r="F496" s="5">
        <f>+SUMIFS(FINANCIACION[$ CAPITAL],FINANCIACION[Fecha],"&lt;="&amp;FINANCIACION[[#This Row],[Fecha]],FINANCIACION[PRESTAMO],FINANCIACION[[#This Row],[PRESTAMO]])</f>
        <v>-14166000</v>
      </c>
      <c r="G496" s="53"/>
      <c r="H496" s="53"/>
      <c r="I496" s="5">
        <f>+IF(FINANCIACION[[#This Row],[$ CAPITAL]]&gt;0,FINANCIACION[[#This Row],[$ CAPITAL]])</f>
        <v>417000</v>
      </c>
      <c r="J496" s="33">
        <f>+IF(FINANCIACION[[#This Row],[$ CAPITAL]]&gt;=0,FINANCIACION[[#This Row],[$ CAPITAL]]+FINANCIACION[[#This Row],[$ INTERESES]],0)</f>
        <v>625327</v>
      </c>
    </row>
    <row r="497" spans="1:10" ht="24" hidden="1" customHeight="1" x14ac:dyDescent="0.25">
      <c r="A497" s="109">
        <v>44804</v>
      </c>
      <c r="B497" s="50" t="s">
        <v>142</v>
      </c>
      <c r="C497" s="5"/>
      <c r="D497" s="5"/>
      <c r="E497" s="5">
        <f>+IF(FINANCIACION[[#This Row],[$ CAPITAL]]&gt;=0,FINANCIACION[[#This Row],[$ CAPITAL]]+FINANCIACION[[#This Row],[$ INTERESES]],"")</f>
        <v>0</v>
      </c>
      <c r="F497" s="5">
        <f>+SUMIFS(FINANCIACION[$ CAPITAL],FINANCIACION[Fecha],"&lt;="&amp;FINANCIACION[[#This Row],[Fecha]],FINANCIACION[PRESTAMO],FINANCIACION[[#This Row],[PRESTAMO]])</f>
        <v>-14166000</v>
      </c>
      <c r="G497" s="53" t="s">
        <v>153</v>
      </c>
      <c r="H497" s="53"/>
      <c r="I497" s="5" t="b">
        <f>+IF(FINANCIACION[[#This Row],[$ CAPITAL]]&gt;0,FINANCIACION[[#This Row],[$ CAPITAL]])</f>
        <v>0</v>
      </c>
      <c r="J497" s="33">
        <f>+IF(FINANCIACION[[#This Row],[$ CAPITAL]]&gt;=0,FINANCIACION[[#This Row],[$ CAPITAL]]+FINANCIACION[[#This Row],[$ INTERESES]],0)</f>
        <v>0</v>
      </c>
    </row>
    <row r="498" spans="1:10" ht="24" hidden="1" customHeight="1" x14ac:dyDescent="0.25">
      <c r="A498" s="109">
        <v>44819</v>
      </c>
      <c r="B498" s="50" t="s">
        <v>142</v>
      </c>
      <c r="C498" s="5">
        <v>417000</v>
      </c>
      <c r="D498" s="5">
        <v>227121.46</v>
      </c>
      <c r="E498" s="5">
        <f>+IF(FINANCIACION[[#This Row],[$ CAPITAL]]&gt;=0,FINANCIACION[[#This Row],[$ CAPITAL]]+FINANCIACION[[#This Row],[$ INTERESES]],"")</f>
        <v>644121.46</v>
      </c>
      <c r="F498" s="5">
        <f>+SUMIFS(FINANCIACION[$ CAPITAL],FINANCIACION[Fecha],"&lt;="&amp;FINANCIACION[[#This Row],[Fecha]],FINANCIACION[PRESTAMO],FINANCIACION[[#This Row],[PRESTAMO]])</f>
        <v>-13749000</v>
      </c>
      <c r="G498" s="53"/>
      <c r="H498" s="53"/>
      <c r="I498" s="5">
        <f>+IF(FINANCIACION[[#This Row],[$ CAPITAL]]&gt;0,FINANCIACION[[#This Row],[$ CAPITAL]])</f>
        <v>417000</v>
      </c>
      <c r="J498" s="33">
        <f>+IF(FINANCIACION[[#This Row],[$ CAPITAL]]&gt;=0,FINANCIACION[[#This Row],[$ CAPITAL]]+FINANCIACION[[#This Row],[$ INTERESES]],0)</f>
        <v>644121.46</v>
      </c>
    </row>
    <row r="499" spans="1:10" ht="24" hidden="1" customHeight="1" x14ac:dyDescent="0.25">
      <c r="A499" s="109">
        <v>44852</v>
      </c>
      <c r="B499" s="50" t="s">
        <v>142</v>
      </c>
      <c r="C499" s="5">
        <v>417000</v>
      </c>
      <c r="D499" s="5">
        <v>226863.81</v>
      </c>
      <c r="E499" s="5">
        <f>+IF(FINANCIACION[[#This Row],[$ CAPITAL]]&gt;=0,FINANCIACION[[#This Row],[$ CAPITAL]]+FINANCIACION[[#This Row],[$ INTERESES]],"")</f>
        <v>643863.81000000006</v>
      </c>
      <c r="F499" s="5">
        <f>+SUMIFS(FINANCIACION[$ CAPITAL],FINANCIACION[Fecha],"&lt;="&amp;FINANCIACION[[#This Row],[Fecha]],FINANCIACION[PRESTAMO],FINANCIACION[[#This Row],[PRESTAMO]])</f>
        <v>-13332000</v>
      </c>
      <c r="G499" s="53"/>
      <c r="H499" s="53"/>
      <c r="I499" s="5">
        <f>+IF(FINANCIACION[[#This Row],[$ CAPITAL]]&gt;0,FINANCIACION[[#This Row],[$ CAPITAL]])</f>
        <v>417000</v>
      </c>
      <c r="J499" s="33">
        <f>+IF(FINANCIACION[[#This Row],[$ CAPITAL]]&gt;=0,FINANCIACION[[#This Row],[$ CAPITAL]]+FINANCIACION[[#This Row],[$ INTERESES]],0)</f>
        <v>643863.81000000006</v>
      </c>
    </row>
    <row r="500" spans="1:10" ht="24" hidden="1" customHeight="1" x14ac:dyDescent="0.25">
      <c r="A500" s="109">
        <v>44880</v>
      </c>
      <c r="B500" s="50" t="s">
        <v>142</v>
      </c>
      <c r="C500" s="5">
        <v>417000</v>
      </c>
      <c r="D500" s="5">
        <v>219054</v>
      </c>
      <c r="E500" s="5">
        <f>+IF(FINANCIACION[[#This Row],[$ CAPITAL]]&gt;=0,FINANCIACION[[#This Row],[$ CAPITAL]]+FINANCIACION[[#This Row],[$ INTERESES]],"")</f>
        <v>636054</v>
      </c>
      <c r="F500" s="5">
        <f>+SUMIFS(FINANCIACION[$ CAPITAL],FINANCIACION[Fecha],"&lt;="&amp;FINANCIACION[[#This Row],[Fecha]],FINANCIACION[PRESTAMO],FINANCIACION[[#This Row],[PRESTAMO]])</f>
        <v>-12915000</v>
      </c>
      <c r="G500" s="53"/>
      <c r="H500" s="53"/>
      <c r="I500" s="5">
        <f>+IF(FINANCIACION[[#This Row],[$ CAPITAL]]&gt;0,FINANCIACION[[#This Row],[$ CAPITAL]])</f>
        <v>417000</v>
      </c>
      <c r="J500" s="33">
        <f>+IF(FINANCIACION[[#This Row],[$ CAPITAL]]&gt;=0,FINANCIACION[[#This Row],[$ CAPITAL]]+FINANCIACION[[#This Row],[$ INTERESES]],0)</f>
        <v>636054</v>
      </c>
    </row>
    <row r="501" spans="1:10" ht="24" hidden="1" customHeight="1" x14ac:dyDescent="0.25">
      <c r="A501" s="110">
        <v>44910</v>
      </c>
      <c r="B501" s="51" t="s">
        <v>142</v>
      </c>
      <c r="C501" s="142">
        <v>417000</v>
      </c>
      <c r="D501" s="142">
        <v>227044</v>
      </c>
      <c r="E501" s="142">
        <f>+IF(FINANCIACION[[#This Row],[$ CAPITAL]]&gt;=0,FINANCIACION[[#This Row],[$ CAPITAL]]+FINANCIACION[[#This Row],[$ INTERESES]],"")</f>
        <v>644044</v>
      </c>
      <c r="F501" s="142">
        <f>+SUMIFS(FINANCIACION[$ CAPITAL],FINANCIACION[Fecha],"&lt;="&amp;FINANCIACION[[#This Row],[Fecha]],FINANCIACION[PRESTAMO],FINANCIACION[[#This Row],[PRESTAMO]])</f>
        <v>-12498000</v>
      </c>
      <c r="G501" s="53"/>
      <c r="H501" s="53"/>
      <c r="I501" s="5">
        <f>+IF(FINANCIACION[[#This Row],[$ CAPITAL]]&gt;0,FINANCIACION[[#This Row],[$ CAPITAL]])</f>
        <v>417000</v>
      </c>
      <c r="J501" s="33">
        <f>+IF(FINANCIACION[[#This Row],[$ CAPITAL]]&gt;=0,FINANCIACION[[#This Row],[$ CAPITAL]]+FINANCIACION[[#This Row],[$ INTERESES]],0)</f>
        <v>644044</v>
      </c>
    </row>
    <row r="502" spans="1:10" ht="24" hidden="1" customHeight="1" x14ac:dyDescent="0.25">
      <c r="A502" s="109">
        <v>44945</v>
      </c>
      <c r="B502" s="50" t="s">
        <v>142</v>
      </c>
      <c r="C502" s="5">
        <v>417000</v>
      </c>
      <c r="D502" s="5">
        <v>224894</v>
      </c>
      <c r="E502" s="5">
        <f>+IF(FINANCIACION[[#This Row],[$ CAPITAL]]&gt;=0,FINANCIACION[[#This Row],[$ CAPITAL]]+FINANCIACION[[#This Row],[$ INTERESES]],"")</f>
        <v>641894</v>
      </c>
      <c r="F502" s="5">
        <f>+SUMIFS(FINANCIACION[$ CAPITAL],FINANCIACION[Fecha],"&lt;="&amp;FINANCIACION[[#This Row],[Fecha]],FINANCIACION[PRESTAMO],FINANCIACION[[#This Row],[PRESTAMO]])</f>
        <v>-12081000</v>
      </c>
      <c r="G502" s="53"/>
      <c r="H502" s="53"/>
      <c r="I502" s="5">
        <f>+IF(FINANCIACION[[#This Row],[$ CAPITAL]]&gt;0,FINANCIACION[[#This Row],[$ CAPITAL]])</f>
        <v>417000</v>
      </c>
      <c r="J502" s="33">
        <f>+IF(FINANCIACION[[#This Row],[$ CAPITAL]]&gt;=0,FINANCIACION[[#This Row],[$ CAPITAL]]+FINANCIACION[[#This Row],[$ INTERESES]],0)</f>
        <v>641894</v>
      </c>
    </row>
    <row r="503" spans="1:10" ht="24" hidden="1" customHeight="1" x14ac:dyDescent="0.25">
      <c r="A503" s="109">
        <v>44972</v>
      </c>
      <c r="B503" s="50" t="s">
        <v>142</v>
      </c>
      <c r="C503" s="5">
        <v>417000</v>
      </c>
      <c r="D503" s="5">
        <v>221773</v>
      </c>
      <c r="E503" s="5">
        <f>+IF(FINANCIACION[[#This Row],[$ CAPITAL]]&gt;=0,FINANCIACION[[#This Row],[$ CAPITAL]]+FINANCIACION[[#This Row],[$ INTERESES]],"")</f>
        <v>638773</v>
      </c>
      <c r="F503" s="5">
        <f>+SUMIFS(FINANCIACION[$ CAPITAL],FINANCIACION[Fecha],"&lt;="&amp;FINANCIACION[[#This Row],[Fecha]],FINANCIACION[PRESTAMO],FINANCIACION[[#This Row],[PRESTAMO]])</f>
        <v>-11664000</v>
      </c>
      <c r="G503" s="53"/>
      <c r="H503" s="53"/>
      <c r="I503" s="5">
        <f>+IF(FINANCIACION[[#This Row],[$ CAPITAL]]&gt;0,FINANCIACION[[#This Row],[$ CAPITAL]])</f>
        <v>417000</v>
      </c>
      <c r="J503" s="33">
        <f>+IF(FINANCIACION[[#This Row],[$ CAPITAL]]&gt;=0,FINANCIACION[[#This Row],[$ CAPITAL]]+FINANCIACION[[#This Row],[$ INTERESES]],0)</f>
        <v>638773</v>
      </c>
    </row>
    <row r="504" spans="1:10" ht="24" hidden="1" customHeight="1" x14ac:dyDescent="0.25">
      <c r="A504" s="109">
        <v>45000</v>
      </c>
      <c r="B504" s="50" t="s">
        <v>142</v>
      </c>
      <c r="C504" s="5">
        <v>417000</v>
      </c>
      <c r="D504" s="5">
        <v>221772</v>
      </c>
      <c r="E504" s="5">
        <f>+IF(FINANCIACION[[#This Row],[$ CAPITAL]]&gt;=0,FINANCIACION[[#This Row],[$ CAPITAL]]+FINANCIACION[[#This Row],[$ INTERESES]],"")</f>
        <v>638772</v>
      </c>
      <c r="F504" s="5">
        <f>+SUMIFS(FINANCIACION[$ CAPITAL],FINANCIACION[Fecha],"&lt;="&amp;FINANCIACION[[#This Row],[Fecha]],FINANCIACION[PRESTAMO],FINANCIACION[[#This Row],[PRESTAMO]])</f>
        <v>-11247000</v>
      </c>
      <c r="G504" s="53"/>
      <c r="H504" s="53"/>
      <c r="I504" s="5">
        <f>+IF(FINANCIACION[[#This Row],[$ CAPITAL]]&gt;0,FINANCIACION[[#This Row],[$ CAPITAL]])</f>
        <v>417000</v>
      </c>
      <c r="J504" s="33">
        <f>+IF(FINANCIACION[[#This Row],[$ CAPITAL]]&gt;=0,FINANCIACION[[#This Row],[$ CAPITAL]]+FINANCIACION[[#This Row],[$ INTERESES]],0)</f>
        <v>638772</v>
      </c>
    </row>
    <row r="505" spans="1:10" ht="24" hidden="1" customHeight="1" x14ac:dyDescent="0.25">
      <c r="A505" s="109">
        <v>45031</v>
      </c>
      <c r="B505" s="50" t="s">
        <v>142</v>
      </c>
      <c r="C505" s="5">
        <v>417000</v>
      </c>
      <c r="D505" s="5">
        <v>203486</v>
      </c>
      <c r="E505" s="5">
        <f>+IF(FINANCIACION[[#This Row],[$ CAPITAL]]&gt;=0,FINANCIACION[[#This Row],[$ CAPITAL]]+FINANCIACION[[#This Row],[$ INTERESES]],"")</f>
        <v>620486</v>
      </c>
      <c r="F505" s="5">
        <f>+SUMIFS(FINANCIACION[$ CAPITAL],FINANCIACION[Fecha],"&lt;="&amp;FINANCIACION[[#This Row],[Fecha]],FINANCIACION[PRESTAMO],FINANCIACION[[#This Row],[PRESTAMO]])</f>
        <v>-10830000</v>
      </c>
      <c r="G505" s="53"/>
      <c r="H505" s="53"/>
      <c r="I505" s="5">
        <f>+IF(FINANCIACION[[#This Row],[$ CAPITAL]]&gt;0,FINANCIACION[[#This Row],[$ CAPITAL]])</f>
        <v>417000</v>
      </c>
      <c r="J505" s="33">
        <f>+IF(FINANCIACION[[#This Row],[$ CAPITAL]]&gt;=0,FINANCIACION[[#This Row],[$ CAPITAL]]+FINANCIACION[[#This Row],[$ INTERESES]],0)</f>
        <v>620486</v>
      </c>
    </row>
    <row r="506" spans="1:10" ht="24" hidden="1" customHeight="1" x14ac:dyDescent="0.25">
      <c r="A506" s="109">
        <v>45061</v>
      </c>
      <c r="B506" s="50" t="s">
        <v>142</v>
      </c>
      <c r="C506" s="5">
        <v>417000</v>
      </c>
      <c r="D506" s="5">
        <v>186494</v>
      </c>
      <c r="E506" s="5">
        <f>+IF(FINANCIACION[[#This Row],[$ CAPITAL]]&gt;=0,FINANCIACION[[#This Row],[$ CAPITAL]]+FINANCIACION[[#This Row],[$ INTERESES]],"")</f>
        <v>603494</v>
      </c>
      <c r="F506" s="5">
        <f>+SUMIFS(FINANCIACION[$ CAPITAL],FINANCIACION[Fecha],"&lt;="&amp;FINANCIACION[[#This Row],[Fecha]],FINANCIACION[PRESTAMO],FINANCIACION[[#This Row],[PRESTAMO]])</f>
        <v>-10413000</v>
      </c>
      <c r="G506" s="53"/>
      <c r="H506" s="53"/>
      <c r="I506" s="5">
        <f>+IF(FINANCIACION[[#This Row],[$ CAPITAL]]&gt;0,FINANCIACION[[#This Row],[$ CAPITAL]])</f>
        <v>417000</v>
      </c>
      <c r="J506" s="33">
        <f>+IF(FINANCIACION[[#This Row],[$ CAPITAL]]&gt;=0,FINANCIACION[[#This Row],[$ CAPITAL]]+FINANCIACION[[#This Row],[$ INTERESES]],0)</f>
        <v>603494</v>
      </c>
    </row>
    <row r="507" spans="1:10" ht="24" hidden="1" customHeight="1" x14ac:dyDescent="0.25">
      <c r="A507" s="109">
        <v>45093</v>
      </c>
      <c r="B507" s="50" t="s">
        <v>142</v>
      </c>
      <c r="C507" s="5">
        <v>417000</v>
      </c>
      <c r="D507" s="5">
        <v>495747</v>
      </c>
      <c r="E507" s="5">
        <f>+IF(FINANCIACION[[#This Row],[$ CAPITAL]]&gt;=0,FINANCIACION[[#This Row],[$ CAPITAL]]+FINANCIACION[[#This Row],[$ INTERESES]],"")</f>
        <v>912747</v>
      </c>
      <c r="F507" s="5">
        <f>+SUMIFS(FINANCIACION[$ CAPITAL],FINANCIACION[Fecha],"&lt;="&amp;FINANCIACION[[#This Row],[Fecha]],FINANCIACION[PRESTAMO],FINANCIACION[[#This Row],[PRESTAMO]])</f>
        <v>-9996000</v>
      </c>
      <c r="G507" s="53"/>
      <c r="H507" s="53"/>
      <c r="I507" s="5">
        <f>+IF(FINANCIACION[[#This Row],[$ CAPITAL]]&gt;0,FINANCIACION[[#This Row],[$ CAPITAL]])</f>
        <v>417000</v>
      </c>
      <c r="J507" s="33">
        <f>+IF(FINANCIACION[[#This Row],[$ CAPITAL]]&gt;=0,FINANCIACION[[#This Row],[$ CAPITAL]]+FINANCIACION[[#This Row],[$ INTERESES]],0)</f>
        <v>912747</v>
      </c>
    </row>
    <row r="508" spans="1:10" ht="24" hidden="1" customHeight="1" x14ac:dyDescent="0.25">
      <c r="A508" s="136">
        <v>45107</v>
      </c>
      <c r="B508" s="137" t="s">
        <v>142</v>
      </c>
      <c r="C508" s="138">
        <v>-94820</v>
      </c>
      <c r="D508" s="138"/>
      <c r="E508" s="138" t="str">
        <f>+IF(FINANCIACION[[#This Row],[$ CAPITAL]]&gt;=0,FINANCIACION[[#This Row],[$ CAPITAL]]+FINANCIACION[[#This Row],[$ INTERESES]],"")</f>
        <v/>
      </c>
      <c r="F508" s="138">
        <f>+SUMIFS(FINANCIACION[$ CAPITAL],FINANCIACION[Fecha],"&lt;="&amp;FINANCIACION[[#This Row],[Fecha]],FINANCIACION[PRESTAMO],FINANCIACION[[#This Row],[PRESTAMO]])</f>
        <v>-10090820</v>
      </c>
      <c r="G508" s="53" t="s">
        <v>934</v>
      </c>
      <c r="H508" s="53"/>
      <c r="I508" s="5" t="b">
        <f>+IF(FINANCIACION[[#This Row],[$ CAPITAL]]&gt;0,FINANCIACION[[#This Row],[$ CAPITAL]])</f>
        <v>0</v>
      </c>
      <c r="J508" s="33">
        <f>+IF(FINANCIACION[[#This Row],[$ CAPITAL]]&gt;=0,FINANCIACION[[#This Row],[$ CAPITAL]]+FINANCIACION[[#This Row],[$ INTERESES]],0)</f>
        <v>0</v>
      </c>
    </row>
    <row r="509" spans="1:10" ht="24" hidden="1" customHeight="1" x14ac:dyDescent="0.25">
      <c r="A509" s="109">
        <v>45122</v>
      </c>
      <c r="B509" s="50" t="s">
        <v>142</v>
      </c>
      <c r="C509" s="5">
        <v>417000</v>
      </c>
      <c r="D509" s="5">
        <v>177789</v>
      </c>
      <c r="E509" s="5">
        <f>+IF(FINANCIACION[[#This Row],[$ CAPITAL]]&gt;=0,FINANCIACION[[#This Row],[$ CAPITAL]]+FINANCIACION[[#This Row],[$ INTERESES]],"")</f>
        <v>594789</v>
      </c>
      <c r="F509" s="5">
        <f>+SUMIFS(FINANCIACION[$ CAPITAL],FINANCIACION[Fecha],"&lt;="&amp;FINANCIACION[[#This Row],[Fecha]],FINANCIACION[PRESTAMO],FINANCIACION[[#This Row],[PRESTAMO]])</f>
        <v>-9673820</v>
      </c>
      <c r="G509" s="53"/>
      <c r="H509" s="53"/>
      <c r="I509" s="5">
        <f>+IF(FINANCIACION[[#This Row],[$ CAPITAL]]&gt;0,FINANCIACION[[#This Row],[$ CAPITAL]])</f>
        <v>417000</v>
      </c>
      <c r="J509" s="33">
        <f>+IF(FINANCIACION[[#This Row],[$ CAPITAL]]&gt;=0,FINANCIACION[[#This Row],[$ CAPITAL]]+FINANCIACION[[#This Row],[$ INTERESES]],0)</f>
        <v>594789</v>
      </c>
    </row>
    <row r="510" spans="1:10" ht="24" hidden="1" customHeight="1" x14ac:dyDescent="0.25">
      <c r="A510" s="109">
        <v>45160</v>
      </c>
      <c r="B510" s="50" t="s">
        <v>142</v>
      </c>
      <c r="C510" s="5">
        <v>417000</v>
      </c>
      <c r="D510" s="5">
        <v>177542</v>
      </c>
      <c r="E510" s="5">
        <f>+IF(FINANCIACION[[#This Row],[$ CAPITAL]]&gt;=0,FINANCIACION[[#This Row],[$ CAPITAL]]+FINANCIACION[[#This Row],[$ INTERESES]],"")</f>
        <v>594542</v>
      </c>
      <c r="F510" s="5">
        <f>+SUMIFS(FINANCIACION[$ CAPITAL],FINANCIACION[Fecha],"&lt;="&amp;FINANCIACION[[#This Row],[Fecha]],FINANCIACION[PRESTAMO],FINANCIACION[[#This Row],[PRESTAMO]])</f>
        <v>-9256820</v>
      </c>
      <c r="G510" s="53"/>
      <c r="H510" s="53"/>
      <c r="I510" s="5">
        <f>+IF(FINANCIACION[[#This Row],[$ CAPITAL]]&gt;0,FINANCIACION[[#This Row],[$ CAPITAL]])</f>
        <v>417000</v>
      </c>
      <c r="J510" s="33">
        <f>+IF(FINANCIACION[[#This Row],[$ CAPITAL]]&gt;=0,FINANCIACION[[#This Row],[$ CAPITAL]]+FINANCIACION[[#This Row],[$ INTERESES]],0)</f>
        <v>594542</v>
      </c>
    </row>
    <row r="511" spans="1:10" ht="24" hidden="1" customHeight="1" x14ac:dyDescent="0.25">
      <c r="A511" s="109">
        <v>45184</v>
      </c>
      <c r="B511" s="50" t="s">
        <v>142</v>
      </c>
      <c r="C511" s="5">
        <v>417000</v>
      </c>
      <c r="D511" s="5">
        <v>167722</v>
      </c>
      <c r="E511" s="5">
        <f>+IF(FINANCIACION[[#This Row],[$ CAPITAL]]&gt;=0,FINANCIACION[[#This Row],[$ CAPITAL]]+FINANCIACION[[#This Row],[$ INTERESES]],"")</f>
        <v>584722</v>
      </c>
      <c r="F511" s="5">
        <f>+SUMIFS(FINANCIACION[$ CAPITAL],FINANCIACION[Fecha],"&lt;="&amp;FINANCIACION[[#This Row],[Fecha]],FINANCIACION[PRESTAMO],FINANCIACION[[#This Row],[PRESTAMO]])</f>
        <v>-8839820</v>
      </c>
      <c r="G511" s="53"/>
      <c r="H511" s="53"/>
      <c r="I511" s="5">
        <f>+IF(FINANCIACION[[#This Row],[$ CAPITAL]]&gt;0,FINANCIACION[[#This Row],[$ CAPITAL]])</f>
        <v>417000</v>
      </c>
      <c r="J511" s="33">
        <f>+IF(FINANCIACION[[#This Row],[$ CAPITAL]]&gt;=0,FINANCIACION[[#This Row],[$ CAPITAL]]+FINANCIACION[[#This Row],[$ INTERESES]],0)</f>
        <v>584722</v>
      </c>
    </row>
    <row r="512" spans="1:10" ht="24" hidden="1" customHeight="1" x14ac:dyDescent="0.25">
      <c r="A512" s="109">
        <v>45214</v>
      </c>
      <c r="B512" s="50" t="s">
        <v>142</v>
      </c>
      <c r="C512" s="5">
        <v>417000</v>
      </c>
      <c r="D512" s="5">
        <v>158355</v>
      </c>
      <c r="E512" s="5">
        <f>+IF(FINANCIACION[[#This Row],[$ CAPITAL]]&gt;=0,FINANCIACION[[#This Row],[$ CAPITAL]]+FINANCIACION[[#This Row],[$ INTERESES]],"")</f>
        <v>575355</v>
      </c>
      <c r="F512" s="5">
        <f>+SUMIFS(FINANCIACION[$ CAPITAL],FINANCIACION[Fecha],"&lt;="&amp;FINANCIACION[[#This Row],[Fecha]],FINANCIACION[PRESTAMO],FINANCIACION[[#This Row],[PRESTAMO]])</f>
        <v>-8422820</v>
      </c>
      <c r="G512" s="53"/>
      <c r="H512" s="53"/>
      <c r="I512" s="5">
        <f>+IF(FINANCIACION[[#This Row],[$ CAPITAL]]&gt;0,FINANCIACION[[#This Row],[$ CAPITAL]])</f>
        <v>417000</v>
      </c>
      <c r="J512" s="33">
        <f>+IF(FINANCIACION[[#This Row],[$ CAPITAL]]&gt;=0,FINANCIACION[[#This Row],[$ CAPITAL]]+FINANCIACION[[#This Row],[$ INTERESES]],0)</f>
        <v>575355</v>
      </c>
    </row>
    <row r="513" spans="1:10" ht="24" hidden="1" customHeight="1" x14ac:dyDescent="0.25">
      <c r="A513" s="109">
        <v>45245</v>
      </c>
      <c r="B513" s="50" t="s">
        <v>142</v>
      </c>
      <c r="C513" s="5">
        <v>422000</v>
      </c>
      <c r="D513" s="5">
        <v>141890</v>
      </c>
      <c r="E513" s="5">
        <f>+IF(FINANCIACION[[#This Row],[$ CAPITAL]]&gt;=0,FINANCIACION[[#This Row],[$ CAPITAL]]+FINANCIACION[[#This Row],[$ INTERESES]],"")</f>
        <v>563890</v>
      </c>
      <c r="F513" s="5">
        <f>+SUMIFS(FINANCIACION[$ CAPITAL],FINANCIACION[Fecha],"&lt;="&amp;FINANCIACION[[#This Row],[Fecha]],FINANCIACION[PRESTAMO],FINANCIACION[[#This Row],[PRESTAMO]])</f>
        <v>-8000820</v>
      </c>
      <c r="G513" s="53"/>
      <c r="H513" s="53"/>
      <c r="I513" s="5">
        <f>+IF(FINANCIACION[[#This Row],[$ CAPITAL]]&gt;0,FINANCIACION[[#This Row],[$ CAPITAL]])</f>
        <v>422000</v>
      </c>
      <c r="J513" s="33">
        <f>+IF(FINANCIACION[[#This Row],[$ CAPITAL]]&gt;=0,FINANCIACION[[#This Row],[$ CAPITAL]]+FINANCIACION[[#This Row],[$ INTERESES]],0)</f>
        <v>563890</v>
      </c>
    </row>
    <row r="514" spans="1:10" ht="24" hidden="1" customHeight="1" x14ac:dyDescent="0.25">
      <c r="A514" s="109">
        <v>45258</v>
      </c>
      <c r="B514" s="50" t="s">
        <v>142</v>
      </c>
      <c r="C514" s="5">
        <v>7911000</v>
      </c>
      <c r="D514" s="5"/>
      <c r="E514" s="5">
        <f>+IF(FINANCIACION[[#This Row],[$ CAPITAL]]&gt;=0,FINANCIACION[[#This Row],[$ CAPITAL]]+FINANCIACION[[#This Row],[$ INTERESES]],"")</f>
        <v>7911000</v>
      </c>
      <c r="F514" s="5">
        <f>+SUMIFS(FINANCIACION[$ CAPITAL],FINANCIACION[Fecha],"&lt;="&amp;FINANCIACION[[#This Row],[Fecha]],FINANCIACION[PRESTAMO],FINANCIACION[[#This Row],[PRESTAMO]])</f>
        <v>-89820</v>
      </c>
      <c r="G514" s="53"/>
      <c r="H514" s="53"/>
      <c r="I514" s="5">
        <f>+IF(FINANCIACION[[#This Row],[$ CAPITAL]]&gt;0,FINANCIACION[[#This Row],[$ CAPITAL]])</f>
        <v>7911000</v>
      </c>
      <c r="J514" s="33">
        <f>+IF(FINANCIACION[[#This Row],[$ CAPITAL]]&gt;=0,FINANCIACION[[#This Row],[$ CAPITAL]]+FINANCIACION[[#This Row],[$ INTERESES]],0)</f>
        <v>7911000</v>
      </c>
    </row>
    <row r="515" spans="1:10" ht="24" hidden="1" customHeight="1" x14ac:dyDescent="0.25">
      <c r="A515" s="109">
        <v>45260</v>
      </c>
      <c r="B515" s="50" t="s">
        <v>142</v>
      </c>
      <c r="C515" s="5">
        <v>89820</v>
      </c>
      <c r="D515" s="5"/>
      <c r="E515" s="5">
        <f>+IF(FINANCIACION[[#This Row],[$ CAPITAL]]&gt;=0,FINANCIACION[[#This Row],[$ CAPITAL]]+FINANCIACION[[#This Row],[$ INTERESES]],"")</f>
        <v>89820</v>
      </c>
      <c r="F515" s="5">
        <f>+SUMIFS(FINANCIACION[$ CAPITAL],FINANCIACION[Fecha],"&lt;="&amp;FINANCIACION[[#This Row],[Fecha]],FINANCIACION[PRESTAMO],FINANCIACION[[#This Row],[PRESTAMO]])</f>
        <v>0</v>
      </c>
      <c r="G515" s="53" t="s">
        <v>1341</v>
      </c>
      <c r="H515" s="53"/>
      <c r="I515" s="5">
        <f>+IF(FINANCIACION[[#This Row],[$ CAPITAL]]&gt;0,FINANCIACION[[#This Row],[$ CAPITAL]])</f>
        <v>89820</v>
      </c>
      <c r="J515" s="33">
        <f>+IF(FINANCIACION[[#This Row],[$ CAPITAL]]&gt;=0,FINANCIACION[[#This Row],[$ CAPITAL]]+FINANCIACION[[#This Row],[$ INTERESES]],0)</f>
        <v>89820</v>
      </c>
    </row>
    <row r="516" spans="1:10" ht="24" hidden="1" customHeight="1" x14ac:dyDescent="0.25">
      <c r="A516" s="109">
        <v>45270</v>
      </c>
      <c r="B516" s="50" t="s">
        <v>1342</v>
      </c>
      <c r="C516" s="5">
        <v>-100000000</v>
      </c>
      <c r="D516" s="5"/>
      <c r="E516" s="5" t="str">
        <f>+IF(FINANCIACION[[#This Row],[$ CAPITAL]]&gt;=0,FINANCIACION[[#This Row],[$ CAPITAL]]+FINANCIACION[[#This Row],[$ INTERESES]],"")</f>
        <v/>
      </c>
      <c r="F516" s="5">
        <f>+SUMIFS(FINANCIACION[$ CAPITAL],FINANCIACION[Fecha],"&lt;="&amp;FINANCIACION[[#This Row],[Fecha]],FINANCIACION[PRESTAMO],FINANCIACION[[#This Row],[PRESTAMO]])</f>
        <v>-100000000</v>
      </c>
      <c r="G516" s="53"/>
      <c r="H516" s="53"/>
      <c r="I516" s="5" t="b">
        <f>+IF(FINANCIACION[[#This Row],[$ CAPITAL]]&gt;0,FINANCIACION[[#This Row],[$ CAPITAL]])</f>
        <v>0</v>
      </c>
      <c r="J516" s="33">
        <f>+IF(FINANCIACION[[#This Row],[$ CAPITAL]]&gt;=0,FINANCIACION[[#This Row],[$ CAPITAL]]+FINANCIACION[[#This Row],[$ INTERESES]],0)</f>
        <v>0</v>
      </c>
    </row>
    <row r="517" spans="1:10" ht="24" hidden="1" customHeight="1" x14ac:dyDescent="0.25">
      <c r="A517" s="109">
        <v>44988</v>
      </c>
      <c r="B517" s="50" t="s">
        <v>650</v>
      </c>
      <c r="C517" s="5">
        <v>-140000000</v>
      </c>
      <c r="D517" s="5"/>
      <c r="E517" s="5" t="str">
        <f>+IF(FINANCIACION[[#This Row],[$ CAPITAL]]&gt;=0,FINANCIACION[[#This Row],[$ CAPITAL]]+FINANCIACION[[#This Row],[$ INTERESES]],"")</f>
        <v/>
      </c>
      <c r="F517" s="5">
        <f>+SUMIFS(FINANCIACION[$ CAPITAL],FINANCIACION[Fecha],"&lt;="&amp;FINANCIACION[[#This Row],[Fecha]],FINANCIACION[PRESTAMO],FINANCIACION[[#This Row],[PRESTAMO]])</f>
        <v>-140000000</v>
      </c>
      <c r="G517" s="53"/>
      <c r="H517" s="53"/>
      <c r="I517" s="5" t="b">
        <f>+IF(FINANCIACION[[#This Row],[$ CAPITAL]]&gt;0,FINANCIACION[[#This Row],[$ CAPITAL]])</f>
        <v>0</v>
      </c>
      <c r="J517" s="33">
        <f>+IF(FINANCIACION[[#This Row],[$ CAPITAL]]&gt;=0,FINANCIACION[[#This Row],[$ CAPITAL]]+FINANCIACION[[#This Row],[$ INTERESES]],0)</f>
        <v>0</v>
      </c>
    </row>
    <row r="518" spans="1:10" ht="24" hidden="1" customHeight="1" x14ac:dyDescent="0.25">
      <c r="A518" s="109">
        <v>45018</v>
      </c>
      <c r="B518" s="50" t="s">
        <v>650</v>
      </c>
      <c r="C518" s="5">
        <v>0</v>
      </c>
      <c r="D518" s="5">
        <v>0</v>
      </c>
      <c r="E518" s="5">
        <f>+IF(FINANCIACION[[#This Row],[$ CAPITAL]]&gt;=0,FINANCIACION[[#This Row],[$ CAPITAL]]+FINANCIACION[[#This Row],[$ INTERESES]],"")</f>
        <v>0</v>
      </c>
      <c r="F518" s="5">
        <f>+SUMIFS(FINANCIACION[$ CAPITAL],FINANCIACION[Fecha],"&lt;="&amp;FINANCIACION[[#This Row],[Fecha]],FINANCIACION[PRESTAMO],FINANCIACION[[#This Row],[PRESTAMO]])</f>
        <v>-140000000</v>
      </c>
      <c r="G518" s="53"/>
      <c r="H518" s="53"/>
      <c r="I518" s="5" t="b">
        <f>+IF(FINANCIACION[[#This Row],[$ CAPITAL]]&gt;0,FINANCIACION[[#This Row],[$ CAPITAL]])</f>
        <v>0</v>
      </c>
      <c r="J518" s="33">
        <f>+IF(FINANCIACION[[#This Row],[$ CAPITAL]]&gt;=0,FINANCIACION[[#This Row],[$ CAPITAL]]+FINANCIACION[[#This Row],[$ INTERESES]],0)</f>
        <v>0</v>
      </c>
    </row>
    <row r="519" spans="1:10" ht="24" hidden="1" customHeight="1" x14ac:dyDescent="0.25">
      <c r="A519" s="109">
        <v>45048</v>
      </c>
      <c r="B519" s="50" t="s">
        <v>650</v>
      </c>
      <c r="C519" s="5">
        <v>3315898</v>
      </c>
      <c r="D519" s="5">
        <v>6518092</v>
      </c>
      <c r="E519" s="5">
        <f>+IF(FINANCIACION[[#This Row],[$ CAPITAL]]&gt;=0,FINANCIACION[[#This Row],[$ CAPITAL]]+FINANCIACION[[#This Row],[$ INTERESES]],"")</f>
        <v>9833990</v>
      </c>
      <c r="F519" s="5">
        <f>+SUMIFS(FINANCIACION[$ CAPITAL],FINANCIACION[Fecha],"&lt;="&amp;FINANCIACION[[#This Row],[Fecha]],FINANCIACION[PRESTAMO],FINANCIACION[[#This Row],[PRESTAMO]])</f>
        <v>-136684102</v>
      </c>
      <c r="G519" s="53"/>
      <c r="H519" s="53"/>
      <c r="I519" s="5">
        <f>+IF(FINANCIACION[[#This Row],[$ CAPITAL]]&gt;0,FINANCIACION[[#This Row],[$ CAPITAL]])</f>
        <v>3315898</v>
      </c>
      <c r="J519" s="33">
        <f>+IF(FINANCIACION[[#This Row],[$ CAPITAL]]&gt;=0,FINANCIACION[[#This Row],[$ CAPITAL]]+FINANCIACION[[#This Row],[$ INTERESES]],0)</f>
        <v>9833990</v>
      </c>
    </row>
    <row r="520" spans="1:10" ht="24" hidden="1" customHeight="1" x14ac:dyDescent="0.25">
      <c r="A520" s="109">
        <v>45082</v>
      </c>
      <c r="B520" s="50" t="s">
        <v>650</v>
      </c>
      <c r="C520" s="5">
        <v>1586752</v>
      </c>
      <c r="D520" s="5">
        <v>5432950</v>
      </c>
      <c r="E520" s="5">
        <f>+IF(FINANCIACION[[#This Row],[$ CAPITAL]]&gt;=0,FINANCIACION[[#This Row],[$ CAPITAL]]+FINANCIACION[[#This Row],[$ INTERESES]],"")</f>
        <v>7019702</v>
      </c>
      <c r="F520" s="5">
        <f>+SUMIFS(FINANCIACION[$ CAPITAL],FINANCIACION[Fecha],"&lt;="&amp;FINANCIACION[[#This Row],[Fecha]],FINANCIACION[PRESTAMO],FINANCIACION[[#This Row],[PRESTAMO]])</f>
        <v>-135097350</v>
      </c>
      <c r="G520" s="53"/>
      <c r="H520" s="53"/>
      <c r="I520" s="5">
        <f>+IF(FINANCIACION[[#This Row],[$ CAPITAL]]&gt;0,FINANCIACION[[#This Row],[$ CAPITAL]])</f>
        <v>1586752</v>
      </c>
      <c r="J520" s="33">
        <f>+IF(FINANCIACION[[#This Row],[$ CAPITAL]]&gt;=0,FINANCIACION[[#This Row],[$ CAPITAL]]+FINANCIACION[[#This Row],[$ INTERESES]],0)</f>
        <v>7019702</v>
      </c>
    </row>
    <row r="521" spans="1:10" ht="24" hidden="1" customHeight="1" x14ac:dyDescent="0.25">
      <c r="A521" s="109">
        <v>45111</v>
      </c>
      <c r="B521" s="50" t="s">
        <v>650</v>
      </c>
      <c r="C521" s="5">
        <v>3794920</v>
      </c>
      <c r="D521" s="5">
        <v>3130802</v>
      </c>
      <c r="E521" s="5">
        <f>+IF(FINANCIACION[[#This Row],[$ CAPITAL]]&gt;=0,FINANCIACION[[#This Row],[$ CAPITAL]]+FINANCIACION[[#This Row],[$ INTERESES]],"")</f>
        <v>6925722</v>
      </c>
      <c r="F521" s="5">
        <f>+SUMIFS(FINANCIACION[$ CAPITAL],FINANCIACION[Fecha],"&lt;="&amp;FINANCIACION[[#This Row],[Fecha]],FINANCIACION[PRESTAMO],FINANCIACION[[#This Row],[PRESTAMO]])</f>
        <v>-131302430</v>
      </c>
      <c r="G521" s="53"/>
      <c r="H521" s="53"/>
      <c r="I521" s="5">
        <f>+IF(FINANCIACION[[#This Row],[$ CAPITAL]]&gt;0,FINANCIACION[[#This Row],[$ CAPITAL]])</f>
        <v>3794920</v>
      </c>
      <c r="J521" s="33">
        <f>+IF(FINANCIACION[[#This Row],[$ CAPITAL]]&gt;=0,FINANCIACION[[#This Row],[$ CAPITAL]]+FINANCIACION[[#This Row],[$ INTERESES]],0)</f>
        <v>6925722</v>
      </c>
    </row>
    <row r="522" spans="1:10" ht="24" hidden="1" customHeight="1" x14ac:dyDescent="0.25">
      <c r="A522" s="109">
        <v>45120</v>
      </c>
      <c r="B522" s="50" t="s">
        <v>650</v>
      </c>
      <c r="C522" s="5">
        <v>17000000</v>
      </c>
      <c r="D522" s="5">
        <v>3000000</v>
      </c>
      <c r="E522" s="5">
        <f>+IF(FINANCIACION[[#This Row],[$ CAPITAL]]&gt;=0,FINANCIACION[[#This Row],[$ CAPITAL]]+FINANCIACION[[#This Row],[$ INTERESES]],"")</f>
        <v>20000000</v>
      </c>
      <c r="F522" s="5">
        <f>+SUMIFS(FINANCIACION[$ CAPITAL],FINANCIACION[Fecha],"&lt;="&amp;FINANCIACION[[#This Row],[Fecha]],FINANCIACION[PRESTAMO],FINANCIACION[[#This Row],[PRESTAMO]])</f>
        <v>-114302430</v>
      </c>
      <c r="G522" s="53"/>
      <c r="H522" s="53"/>
      <c r="I522" s="5">
        <f>+IF(FINANCIACION[[#This Row],[$ CAPITAL]]&gt;0,FINANCIACION[[#This Row],[$ CAPITAL]])</f>
        <v>17000000</v>
      </c>
      <c r="J522" s="33">
        <f>+IF(FINANCIACION[[#This Row],[$ CAPITAL]]&gt;=0,FINANCIACION[[#This Row],[$ CAPITAL]]+FINANCIACION[[#This Row],[$ INTERESES]],0)</f>
        <v>20000000</v>
      </c>
    </row>
    <row r="523" spans="1:10" ht="24" hidden="1" customHeight="1" x14ac:dyDescent="0.25">
      <c r="A523" s="109">
        <v>45121</v>
      </c>
      <c r="B523" s="50" t="s">
        <v>650</v>
      </c>
      <c r="C523" s="5">
        <v>30000000</v>
      </c>
      <c r="D523" s="5"/>
      <c r="E523" s="5">
        <f>+IF(FINANCIACION[[#This Row],[$ CAPITAL]]&gt;=0,FINANCIACION[[#This Row],[$ CAPITAL]]+FINANCIACION[[#This Row],[$ INTERESES]],"")</f>
        <v>30000000</v>
      </c>
      <c r="F523" s="5">
        <f>+SUMIFS(FINANCIACION[$ CAPITAL],FINANCIACION[Fecha],"&lt;="&amp;FINANCIACION[[#This Row],[Fecha]],FINANCIACION[PRESTAMO],FINANCIACION[[#This Row],[PRESTAMO]])</f>
        <v>-84302430</v>
      </c>
      <c r="G523" s="53"/>
      <c r="H523" s="53"/>
      <c r="I523" s="5">
        <f>+IF(FINANCIACION[[#This Row],[$ CAPITAL]]&gt;0,FINANCIACION[[#This Row],[$ CAPITAL]])</f>
        <v>30000000</v>
      </c>
      <c r="J523" s="33">
        <f>+IF(FINANCIACION[[#This Row],[$ CAPITAL]]&gt;=0,FINANCIACION[[#This Row],[$ CAPITAL]]+FINANCIACION[[#This Row],[$ INTERESES]],0)</f>
        <v>30000000</v>
      </c>
    </row>
    <row r="524" spans="1:10" ht="24" hidden="1" customHeight="1" x14ac:dyDescent="0.25">
      <c r="A524" s="109">
        <v>45140</v>
      </c>
      <c r="B524" s="50" t="s">
        <v>650</v>
      </c>
      <c r="C524" s="5">
        <v>0</v>
      </c>
      <c r="D524" s="5">
        <v>0</v>
      </c>
      <c r="E524" s="5">
        <f>+IF(FINANCIACION[[#This Row],[$ CAPITAL]]&gt;=0,FINANCIACION[[#This Row],[$ CAPITAL]]+FINANCIACION[[#This Row],[$ INTERESES]],"")</f>
        <v>0</v>
      </c>
      <c r="F524" s="5">
        <f>+SUMIFS(FINANCIACION[$ CAPITAL],FINANCIACION[Fecha],"&lt;="&amp;FINANCIACION[[#This Row],[Fecha]],FINANCIACION[PRESTAMO],FINANCIACION[[#This Row],[PRESTAMO]])</f>
        <v>-84302430</v>
      </c>
      <c r="G524" s="53"/>
      <c r="H524" s="53"/>
      <c r="I524" s="5" t="b">
        <f>+IF(FINANCIACION[[#This Row],[$ CAPITAL]]&gt;0,FINANCIACION[[#This Row],[$ CAPITAL]])</f>
        <v>0</v>
      </c>
      <c r="J524" s="33">
        <f>+IF(FINANCIACION[[#This Row],[$ CAPITAL]]&gt;=0,FINANCIACION[[#This Row],[$ CAPITAL]]+FINANCIACION[[#This Row],[$ INTERESES]],0)</f>
        <v>0</v>
      </c>
    </row>
    <row r="525" spans="1:10" ht="24" hidden="1" customHeight="1" x14ac:dyDescent="0.25">
      <c r="A525" s="109">
        <v>45170</v>
      </c>
      <c r="B525" s="50" t="s">
        <v>650</v>
      </c>
      <c r="C525" s="5">
        <v>3626885</v>
      </c>
      <c r="D525" s="5">
        <f>1797434+374651</f>
        <v>2172085</v>
      </c>
      <c r="E525" s="5">
        <f>+IF(FINANCIACION[[#This Row],[$ CAPITAL]]&gt;=0,FINANCIACION[[#This Row],[$ CAPITAL]]+FINANCIACION[[#This Row],[$ INTERESES]],"")</f>
        <v>5798970</v>
      </c>
      <c r="F525" s="5">
        <f>+SUMIFS(FINANCIACION[$ CAPITAL],FINANCIACION[Fecha],"&lt;="&amp;FINANCIACION[[#This Row],[Fecha]],FINANCIACION[PRESTAMO],FINANCIACION[[#This Row],[PRESTAMO]])</f>
        <v>-80675545</v>
      </c>
      <c r="G525" s="53"/>
      <c r="H525" s="53"/>
      <c r="I525" s="5">
        <f>+IF(FINANCIACION[[#This Row],[$ CAPITAL]]&gt;0,FINANCIACION[[#This Row],[$ CAPITAL]])</f>
        <v>3626885</v>
      </c>
      <c r="J525" s="33">
        <f>+IF(FINANCIACION[[#This Row],[$ CAPITAL]]&gt;=0,FINANCIACION[[#This Row],[$ CAPITAL]]+FINANCIACION[[#This Row],[$ INTERESES]],0)</f>
        <v>5798970</v>
      </c>
    </row>
    <row r="526" spans="1:10" ht="24" hidden="1" customHeight="1" x14ac:dyDescent="0.25">
      <c r="A526" s="109">
        <v>45201</v>
      </c>
      <c r="B526" s="50" t="s">
        <v>650</v>
      </c>
      <c r="C526" s="5">
        <v>3806000</v>
      </c>
      <c r="D526" s="5">
        <f>1532131+356587</f>
        <v>1888718</v>
      </c>
      <c r="E526" s="5">
        <f>+IF(FINANCIACION[[#This Row],[$ CAPITAL]]&gt;=0,FINANCIACION[[#This Row],[$ CAPITAL]]+FINANCIACION[[#This Row],[$ INTERESES]],"")</f>
        <v>5694718</v>
      </c>
      <c r="F526" s="5">
        <f>+SUMIFS(FINANCIACION[$ CAPITAL],FINANCIACION[Fecha],"&lt;="&amp;FINANCIACION[[#This Row],[Fecha]],FINANCIACION[PRESTAMO],FINANCIACION[[#This Row],[PRESTAMO]])</f>
        <v>-76869545</v>
      </c>
      <c r="G526" s="53"/>
      <c r="H526" s="53"/>
      <c r="I526" s="5">
        <f>+IF(FINANCIACION[[#This Row],[$ CAPITAL]]&gt;0,FINANCIACION[[#This Row],[$ CAPITAL]])</f>
        <v>3806000</v>
      </c>
      <c r="J526" s="33">
        <f>+IF(FINANCIACION[[#This Row],[$ CAPITAL]]&gt;=0,FINANCIACION[[#This Row],[$ CAPITAL]]+FINANCIACION[[#This Row],[$ INTERESES]],0)</f>
        <v>5694718</v>
      </c>
    </row>
    <row r="527" spans="1:10" ht="24" hidden="1" customHeight="1" x14ac:dyDescent="0.25">
      <c r="A527" s="109">
        <v>45232</v>
      </c>
      <c r="B527" s="50" t="s">
        <v>650</v>
      </c>
      <c r="C527" s="264">
        <v>3769874</v>
      </c>
      <c r="D527" s="5">
        <f>1448896+338538</f>
        <v>1787434</v>
      </c>
      <c r="E527" s="5">
        <f>+IF(FINANCIACION[[#This Row],[$ CAPITAL]]&gt;=0,FINANCIACION[[#This Row],[$ CAPITAL]]+FINANCIACION[[#This Row],[$ INTERESES]],"")</f>
        <v>5557308</v>
      </c>
      <c r="F527" s="5">
        <f>+SUMIFS(FINANCIACION[$ CAPITAL],FINANCIACION[Fecha],"&lt;="&amp;FINANCIACION[[#This Row],[Fecha]],FINANCIACION[PRESTAMO],FINANCIACION[[#This Row],[PRESTAMO]])</f>
        <v>-73099671</v>
      </c>
      <c r="G527" s="53"/>
      <c r="H527" s="53"/>
      <c r="I527" s="5">
        <f>+IF(FINANCIACION[[#This Row],[$ CAPITAL]]&gt;0,FINANCIACION[[#This Row],[$ CAPITAL]])</f>
        <v>3769874</v>
      </c>
      <c r="J527" s="33">
        <f>+IF(FINANCIACION[[#This Row],[$ CAPITAL]]&gt;=0,FINANCIACION[[#This Row],[$ CAPITAL]]+FINANCIACION[[#This Row],[$ INTERESES]],0)</f>
        <v>5557308</v>
      </c>
    </row>
    <row r="528" spans="1:10" ht="24" hidden="1" customHeight="1" x14ac:dyDescent="0.25">
      <c r="A528" s="109">
        <v>45260</v>
      </c>
      <c r="B528" s="50" t="s">
        <v>650</v>
      </c>
      <c r="C528" s="5">
        <v>50000000</v>
      </c>
      <c r="D528" s="5"/>
      <c r="E528" s="5">
        <f>+IF(FINANCIACION[[#This Row],[$ CAPITAL]]&gt;=0,FINANCIACION[[#This Row],[$ CAPITAL]]+FINANCIACION[[#This Row],[$ INTERESES]],"")</f>
        <v>50000000</v>
      </c>
      <c r="F528" s="5">
        <f>+SUMIFS(FINANCIACION[$ CAPITAL],FINANCIACION[Fecha],"&lt;="&amp;FINANCIACION[[#This Row],[Fecha]],FINANCIACION[PRESTAMO],FINANCIACION[[#This Row],[PRESTAMO]])</f>
        <v>-23099671</v>
      </c>
      <c r="G528" s="53" t="s">
        <v>1340</v>
      </c>
      <c r="H528" s="53"/>
      <c r="I528" s="5">
        <f>+IF(FINANCIACION[[#This Row],[$ CAPITAL]]&gt;0,FINANCIACION[[#This Row],[$ CAPITAL]])</f>
        <v>50000000</v>
      </c>
      <c r="J528" s="33">
        <f>+IF(FINANCIACION[[#This Row],[$ CAPITAL]]&gt;=0,FINANCIACION[[#This Row],[$ CAPITAL]]+FINANCIACION[[#This Row],[$ INTERESES]],0)</f>
        <v>50000000</v>
      </c>
    </row>
    <row r="529" spans="1:10" ht="24" hidden="1" customHeight="1" x14ac:dyDescent="0.25">
      <c r="A529" s="109">
        <v>45262</v>
      </c>
      <c r="B529" s="50" t="s">
        <v>650</v>
      </c>
      <c r="C529" s="5">
        <v>0</v>
      </c>
      <c r="D529" s="5">
        <v>0</v>
      </c>
      <c r="E529" s="5">
        <f>+IF(FINANCIACION[[#This Row],[$ CAPITAL]]&gt;=0,FINANCIACION[[#This Row],[$ CAPITAL]]+FINANCIACION[[#This Row],[$ INTERESES]],"")</f>
        <v>0</v>
      </c>
      <c r="F529" s="5">
        <f>+SUMIFS(FINANCIACION[$ CAPITAL],FINANCIACION[Fecha],"&lt;="&amp;FINANCIACION[[#This Row],[Fecha]],FINANCIACION[PRESTAMO],FINANCIACION[[#This Row],[PRESTAMO]])</f>
        <v>-23099671</v>
      </c>
      <c r="G529" s="53"/>
      <c r="H529" s="53"/>
      <c r="I529" s="5" t="b">
        <f>+IF(FINANCIACION[[#This Row],[$ CAPITAL]]&gt;0,FINANCIACION[[#This Row],[$ CAPITAL]])</f>
        <v>0</v>
      </c>
      <c r="J529" s="33">
        <f>+IF(FINANCIACION[[#This Row],[$ CAPITAL]]&gt;=0,FINANCIACION[[#This Row],[$ CAPITAL]]+FINANCIACION[[#This Row],[$ INTERESES]],0)</f>
        <v>0</v>
      </c>
    </row>
    <row r="530" spans="1:10" ht="24" hidden="1" customHeight="1" x14ac:dyDescent="0.25">
      <c r="A530" s="109">
        <v>45280</v>
      </c>
      <c r="B530" s="50" t="s">
        <v>650</v>
      </c>
      <c r="C530" s="5">
        <v>20920810</v>
      </c>
      <c r="D530" s="5"/>
      <c r="E530" s="5">
        <f>+IF(FINANCIACION[[#This Row],[$ CAPITAL]]&gt;=0,FINANCIACION[[#This Row],[$ CAPITAL]]+FINANCIACION[[#This Row],[$ INTERESES]],"")</f>
        <v>20920810</v>
      </c>
      <c r="F530" s="5">
        <f>+SUMIFS(FINANCIACION[$ CAPITAL],FINANCIACION[Fecha],"&lt;="&amp;FINANCIACION[[#This Row],[Fecha]],FINANCIACION[PRESTAMO],FINANCIACION[[#This Row],[PRESTAMO]])</f>
        <v>-2178861</v>
      </c>
      <c r="G530" s="53"/>
      <c r="H530" s="53"/>
      <c r="I530" s="5">
        <f>+IF(FINANCIACION[[#This Row],[$ CAPITAL]]&gt;0,FINANCIACION[[#This Row],[$ CAPITAL]])</f>
        <v>20920810</v>
      </c>
      <c r="J530" s="33">
        <f>+IF(FINANCIACION[[#This Row],[$ CAPITAL]]&gt;=0,FINANCIACION[[#This Row],[$ CAPITAL]]+FINANCIACION[[#This Row],[$ INTERESES]],0)</f>
        <v>20920810</v>
      </c>
    </row>
    <row r="531" spans="1:10" ht="24" hidden="1" customHeight="1" x14ac:dyDescent="0.25">
      <c r="A531" s="109">
        <v>45291</v>
      </c>
      <c r="B531" s="50" t="s">
        <v>650</v>
      </c>
      <c r="C531" s="5">
        <v>2178861</v>
      </c>
      <c r="D531" s="5"/>
      <c r="E531" s="5">
        <f>+IF(FINANCIACION[[#This Row],[$ CAPITAL]]&gt;=0,FINANCIACION[[#This Row],[$ CAPITAL]]+FINANCIACION[[#This Row],[$ INTERESES]],"")</f>
        <v>2178861</v>
      </c>
      <c r="F531" s="5">
        <f>+SUMIFS(FINANCIACION[$ CAPITAL],FINANCIACION[Fecha],"&lt;="&amp;FINANCIACION[[#This Row],[Fecha]],FINANCIACION[PRESTAMO],FINANCIACION[[#This Row],[PRESTAMO]])</f>
        <v>0</v>
      </c>
      <c r="G531" s="53" t="s">
        <v>646</v>
      </c>
      <c r="H531" s="53"/>
      <c r="I531" s="5">
        <f>+IF(FINANCIACION[[#This Row],[$ CAPITAL]]&gt;0,FINANCIACION[[#This Row],[$ CAPITAL]])</f>
        <v>2178861</v>
      </c>
      <c r="J531" s="33">
        <f>+IF(FINANCIACION[[#This Row],[$ CAPITAL]]&gt;=0,FINANCIACION[[#This Row],[$ CAPITAL]]+FINANCIACION[[#This Row],[$ INTERESES]],0)</f>
        <v>2178861</v>
      </c>
    </row>
    <row r="532" spans="1:10" ht="24" hidden="1" customHeight="1" x14ac:dyDescent="0.25">
      <c r="A532" s="109">
        <v>43118</v>
      </c>
      <c r="B532" s="50" t="s">
        <v>365</v>
      </c>
      <c r="C532" s="5">
        <v>-382491081</v>
      </c>
      <c r="D532" s="5"/>
      <c r="E532" s="5" t="str">
        <f>+IF(FINANCIACION[[#This Row],[$ CAPITAL]]&gt;=0,FINANCIACION[[#This Row],[$ CAPITAL]]+FINANCIACION[[#This Row],[$ INTERESES]],"")</f>
        <v/>
      </c>
      <c r="F532" s="5">
        <f>+SUMIFS(FINANCIACION[$ CAPITAL],FINANCIACION[Fecha],"&lt;="&amp;FINANCIACION[[#This Row],[Fecha]],FINANCIACION[PRESTAMO],FINANCIACION[[#This Row],[PRESTAMO]])</f>
        <v>-382491081</v>
      </c>
      <c r="G532" s="53"/>
      <c r="H532" s="53"/>
      <c r="I532" s="5" t="b">
        <f>IF(FINANCIACION[[#This Row],[$ CAPITAL]]&gt;0,FINANCIACION[[#This Row],[$ CAPITAL]])</f>
        <v>0</v>
      </c>
      <c r="J532" s="33">
        <f>IF(FINANCIACION[[#This Row],[$ CAPITAL]]&gt;=0,FINANCIACION[[#This Row],[$ CAPITAL]]+FINANCIACION[[#This Row],[$ INTERESES]],0)</f>
        <v>0</v>
      </c>
    </row>
    <row r="533" spans="1:10" ht="24" hidden="1" customHeight="1" x14ac:dyDescent="0.25">
      <c r="A533" s="109">
        <v>43483</v>
      </c>
      <c r="B533" s="50" t="s">
        <v>365</v>
      </c>
      <c r="C533" s="5">
        <v>1268533</v>
      </c>
      <c r="D533" s="5">
        <v>12694590</v>
      </c>
      <c r="E533" s="5">
        <f>+IF(FINANCIACION[[#This Row],[$ CAPITAL]]&gt;=0,FINANCIACION[[#This Row],[$ CAPITAL]]+FINANCIACION[[#This Row],[$ INTERESES]],"")</f>
        <v>13963123</v>
      </c>
      <c r="F533" s="5">
        <f>+SUMIFS(FINANCIACION[$ CAPITAL],FINANCIACION[Fecha],"&lt;="&amp;FINANCIACION[[#This Row],[Fecha]],FINANCIACION[PRESTAMO],FINANCIACION[[#This Row],[PRESTAMO]])</f>
        <v>-381222548</v>
      </c>
      <c r="G533" s="7"/>
      <c r="H533" s="53"/>
      <c r="I533" s="5">
        <f>IF(FINANCIACION[[#This Row],[$ CAPITAL]]&gt;0,FINANCIACION[[#This Row],[$ CAPITAL]])</f>
        <v>1268533</v>
      </c>
      <c r="J533" s="33">
        <f>IF(FINANCIACION[[#This Row],[$ CAPITAL]]&gt;=0,FINANCIACION[[#This Row],[$ CAPITAL]]+FINANCIACION[[#This Row],[$ INTERESES]],0)</f>
        <v>13963123</v>
      </c>
    </row>
    <row r="534" spans="1:10" ht="24" hidden="1" customHeight="1" x14ac:dyDescent="0.25">
      <c r="A534" s="109">
        <v>43485</v>
      </c>
      <c r="B534" s="50" t="s">
        <v>365</v>
      </c>
      <c r="C534" s="5">
        <v>1482486.9681818199</v>
      </c>
      <c r="D534" s="5">
        <v>4603361.0318181803</v>
      </c>
      <c r="E534" s="5">
        <f>+IF(FINANCIACION[[#This Row],[$ CAPITAL]]&gt;=0,FINANCIACION[[#This Row],[$ CAPITAL]]+FINANCIACION[[#This Row],[$ INTERESES]],"")</f>
        <v>6085848</v>
      </c>
      <c r="F534" s="5">
        <f>+SUMIFS(FINANCIACION[$ CAPITAL],FINANCIACION[Fecha],"&lt;="&amp;FINANCIACION[[#This Row],[Fecha]],FINANCIACION[PRESTAMO],FINANCIACION[[#This Row],[PRESTAMO]])</f>
        <v>-379740061.03181815</v>
      </c>
      <c r="G534" s="57"/>
      <c r="H534" s="53"/>
      <c r="I534" s="5">
        <f>IF(FINANCIACION[[#This Row],[$ CAPITAL]]&gt;0,FINANCIACION[[#This Row],[$ CAPITAL]])</f>
        <v>1482486.9681818199</v>
      </c>
      <c r="J534" s="33">
        <f>IF(FINANCIACION[[#This Row],[$ CAPITAL]]&gt;=0,FINANCIACION[[#This Row],[$ CAPITAL]]+FINANCIACION[[#This Row],[$ INTERESES]],0)</f>
        <v>6085848</v>
      </c>
    </row>
    <row r="535" spans="1:10" ht="24" hidden="1" customHeight="1" x14ac:dyDescent="0.25">
      <c r="A535" s="109">
        <v>43514</v>
      </c>
      <c r="B535" s="50" t="s">
        <v>365</v>
      </c>
      <c r="C535" s="5">
        <v>1286844</v>
      </c>
      <c r="D535" s="5">
        <v>4795368</v>
      </c>
      <c r="E535" s="5">
        <f>+IF(FINANCIACION[[#This Row],[$ CAPITAL]]&gt;=0,FINANCIACION[[#This Row],[$ CAPITAL]]+FINANCIACION[[#This Row],[$ INTERESES]],"")</f>
        <v>6082212</v>
      </c>
      <c r="F535" s="5">
        <f>+SUMIFS(FINANCIACION[$ CAPITAL],FINANCIACION[Fecha],"&lt;="&amp;FINANCIACION[[#This Row],[Fecha]],FINANCIACION[PRESTAMO],FINANCIACION[[#This Row],[PRESTAMO]])</f>
        <v>-378453217.03181815</v>
      </c>
      <c r="G535" s="7"/>
      <c r="H535" s="53"/>
      <c r="I535" s="5">
        <f>IF(FINANCIACION[[#This Row],[$ CAPITAL]]&gt;0,FINANCIACION[[#This Row],[$ CAPITAL]])</f>
        <v>1286844</v>
      </c>
      <c r="J535" s="33">
        <f>IF(FINANCIACION[[#This Row],[$ CAPITAL]]&gt;=0,FINANCIACION[[#This Row],[$ CAPITAL]]+FINANCIACION[[#This Row],[$ INTERESES]],0)</f>
        <v>6082212</v>
      </c>
    </row>
    <row r="536" spans="1:10" ht="24" hidden="1" customHeight="1" x14ac:dyDescent="0.25">
      <c r="A536" s="109">
        <v>43542</v>
      </c>
      <c r="B536" s="50" t="s">
        <v>365</v>
      </c>
      <c r="C536" s="5">
        <v>1302644</v>
      </c>
      <c r="D536" s="5">
        <v>4779568</v>
      </c>
      <c r="E536" s="5">
        <f>+IF(FINANCIACION[[#This Row],[$ CAPITAL]]&gt;=0,FINANCIACION[[#This Row],[$ CAPITAL]]+FINANCIACION[[#This Row],[$ INTERESES]],"")</f>
        <v>6082212</v>
      </c>
      <c r="F536" s="5">
        <f>+SUMIFS(FINANCIACION[$ CAPITAL],FINANCIACION[Fecha],"&lt;="&amp;FINANCIACION[[#This Row],[Fecha]],FINANCIACION[PRESTAMO],FINANCIACION[[#This Row],[PRESTAMO]])</f>
        <v>-377150573.03181815</v>
      </c>
      <c r="G536" s="7"/>
      <c r="H536" s="53"/>
      <c r="I536" s="5">
        <f>IF(FINANCIACION[[#This Row],[$ CAPITAL]]&gt;0,FINANCIACION[[#This Row],[$ CAPITAL]])</f>
        <v>1302644</v>
      </c>
      <c r="J536" s="33">
        <f>IF(FINANCIACION[[#This Row],[$ CAPITAL]]&gt;=0,FINANCIACION[[#This Row],[$ CAPITAL]]+FINANCIACION[[#This Row],[$ INTERESES]],0)</f>
        <v>6082212</v>
      </c>
    </row>
    <row r="537" spans="1:10" ht="24" hidden="1" customHeight="1" x14ac:dyDescent="0.25">
      <c r="A537" s="109">
        <v>43577</v>
      </c>
      <c r="B537" s="50" t="s">
        <v>365</v>
      </c>
      <c r="C537" s="5">
        <v>1302644</v>
      </c>
      <c r="D537" s="5">
        <v>4779568</v>
      </c>
      <c r="E537" s="5">
        <f>+IF(FINANCIACION[[#This Row],[$ CAPITAL]]&gt;=0,FINANCIACION[[#This Row],[$ CAPITAL]]+FINANCIACION[[#This Row],[$ INTERESES]],"")</f>
        <v>6082212</v>
      </c>
      <c r="F537" s="5">
        <f>+SUMIFS(FINANCIACION[$ CAPITAL],FINANCIACION[Fecha],"&lt;="&amp;FINANCIACION[[#This Row],[Fecha]],FINANCIACION[PRESTAMO],FINANCIACION[[#This Row],[PRESTAMO]])</f>
        <v>-375847929.03181815</v>
      </c>
      <c r="G537" s="7"/>
      <c r="H537" s="53"/>
      <c r="I537" s="5">
        <f>IF(FINANCIACION[[#This Row],[$ CAPITAL]]&gt;0,FINANCIACION[[#This Row],[$ CAPITAL]])</f>
        <v>1302644</v>
      </c>
      <c r="J537" s="33">
        <f>IF(FINANCIACION[[#This Row],[$ CAPITAL]]&gt;=0,FINANCIACION[[#This Row],[$ CAPITAL]]+FINANCIACION[[#This Row],[$ INTERESES]],0)</f>
        <v>6082212</v>
      </c>
    </row>
    <row r="538" spans="1:10" ht="24" hidden="1" customHeight="1" x14ac:dyDescent="0.25">
      <c r="A538" s="109">
        <v>43605</v>
      </c>
      <c r="B538" s="50" t="s">
        <v>365</v>
      </c>
      <c r="C538" s="5">
        <v>1334827</v>
      </c>
      <c r="D538" s="5">
        <v>4747385</v>
      </c>
      <c r="E538" s="5">
        <f>+IF(FINANCIACION[[#This Row],[$ CAPITAL]]&gt;=0,FINANCIACION[[#This Row],[$ CAPITAL]]+FINANCIACION[[#This Row],[$ INTERESES]],"")</f>
        <v>6082212</v>
      </c>
      <c r="F538" s="5">
        <f>+SUMIFS(FINANCIACION[$ CAPITAL],FINANCIACION[Fecha],"&lt;="&amp;FINANCIACION[[#This Row],[Fecha]],FINANCIACION[PRESTAMO],FINANCIACION[[#This Row],[PRESTAMO]])</f>
        <v>-374513102.03181815</v>
      </c>
      <c r="G538" s="7"/>
      <c r="H538" s="53"/>
      <c r="I538" s="5">
        <f>IF(FINANCIACION[[#This Row],[$ CAPITAL]]&gt;0,FINANCIACION[[#This Row],[$ CAPITAL]])</f>
        <v>1334827</v>
      </c>
      <c r="J538" s="33">
        <f>IF(FINANCIACION[[#This Row],[$ CAPITAL]]&gt;=0,FINANCIACION[[#This Row],[$ CAPITAL]]+FINANCIACION[[#This Row],[$ INTERESES]],0)</f>
        <v>6082212</v>
      </c>
    </row>
    <row r="539" spans="1:10" ht="24" hidden="1" customHeight="1" x14ac:dyDescent="0.25">
      <c r="A539" s="109">
        <v>43634</v>
      </c>
      <c r="B539" s="50" t="s">
        <v>365</v>
      </c>
      <c r="C539" s="5">
        <v>1351215</v>
      </c>
      <c r="D539" s="5">
        <v>4730997</v>
      </c>
      <c r="E539" s="5">
        <f>+IF(FINANCIACION[[#This Row],[$ CAPITAL]]&gt;=0,FINANCIACION[[#This Row],[$ CAPITAL]]+FINANCIACION[[#This Row],[$ INTERESES]],"")</f>
        <v>6082212</v>
      </c>
      <c r="F539" s="5">
        <f>+SUMIFS(FINANCIACION[$ CAPITAL],FINANCIACION[Fecha],"&lt;="&amp;FINANCIACION[[#This Row],[Fecha]],FINANCIACION[PRESTAMO],FINANCIACION[[#This Row],[PRESTAMO]])</f>
        <v>-373161887.03181815</v>
      </c>
      <c r="G539" s="53"/>
      <c r="H539" s="53"/>
      <c r="I539" s="5">
        <f>IF(FINANCIACION[[#This Row],[$ CAPITAL]]&gt;0,FINANCIACION[[#This Row],[$ CAPITAL]])</f>
        <v>1351215</v>
      </c>
      <c r="J539" s="33">
        <f>IF(FINANCIACION[[#This Row],[$ CAPITAL]]&gt;=0,FINANCIACION[[#This Row],[$ CAPITAL]]+FINANCIACION[[#This Row],[$ INTERESES]],0)</f>
        <v>6082212</v>
      </c>
    </row>
    <row r="540" spans="1:10" ht="24" hidden="1" customHeight="1" x14ac:dyDescent="0.25">
      <c r="A540" s="109">
        <v>43664</v>
      </c>
      <c r="B540" s="50" t="s">
        <v>365</v>
      </c>
      <c r="C540" s="5">
        <v>1367805</v>
      </c>
      <c r="D540" s="5">
        <v>4714407</v>
      </c>
      <c r="E540" s="5">
        <f>+IF(FINANCIACION[[#This Row],[$ CAPITAL]]&gt;=0,FINANCIACION[[#This Row],[$ CAPITAL]]+FINANCIACION[[#This Row],[$ INTERESES]],"")</f>
        <v>6082212</v>
      </c>
      <c r="F540" s="5">
        <f>+SUMIFS(FINANCIACION[$ CAPITAL],FINANCIACION[Fecha],"&lt;="&amp;FINANCIACION[[#This Row],[Fecha]],FINANCIACION[PRESTAMO],FINANCIACION[[#This Row],[PRESTAMO]])</f>
        <v>-371794082.03181815</v>
      </c>
      <c r="G540" s="7"/>
      <c r="H540" s="53"/>
      <c r="I540" s="5">
        <f>IF(FINANCIACION[[#This Row],[$ CAPITAL]]&gt;0,FINANCIACION[[#This Row],[$ CAPITAL]])</f>
        <v>1367805</v>
      </c>
      <c r="J540" s="33">
        <f>IF(FINANCIACION[[#This Row],[$ CAPITAL]]&gt;=0,FINANCIACION[[#This Row],[$ CAPITAL]]+FINANCIACION[[#This Row],[$ INTERESES]],0)</f>
        <v>6082212</v>
      </c>
    </row>
    <row r="541" spans="1:10" ht="24" hidden="1" customHeight="1" x14ac:dyDescent="0.25">
      <c r="A541" s="109">
        <v>43697</v>
      </c>
      <c r="B541" s="50" t="s">
        <v>365</v>
      </c>
      <c r="C541" s="5">
        <v>1392137</v>
      </c>
      <c r="D541" s="5">
        <v>4667683</v>
      </c>
      <c r="E541" s="5">
        <f>+IF(FINANCIACION[[#This Row],[$ CAPITAL]]&gt;=0,FINANCIACION[[#This Row],[$ CAPITAL]]+FINANCIACION[[#This Row],[$ INTERESES]],"")</f>
        <v>6059820</v>
      </c>
      <c r="F541" s="5">
        <f>+SUMIFS(FINANCIACION[$ CAPITAL],FINANCIACION[Fecha],"&lt;="&amp;FINANCIACION[[#This Row],[Fecha]],FINANCIACION[PRESTAMO],FINANCIACION[[#This Row],[PRESTAMO]])</f>
        <v>-370401945.03181815</v>
      </c>
      <c r="G541" s="7"/>
      <c r="H541" s="53"/>
      <c r="I541" s="5">
        <f>IF(FINANCIACION[[#This Row],[$ CAPITAL]]&gt;0,FINANCIACION[[#This Row],[$ CAPITAL]])</f>
        <v>1392137</v>
      </c>
      <c r="J541" s="33">
        <f>IF(FINANCIACION[[#This Row],[$ CAPITAL]]&gt;=0,FINANCIACION[[#This Row],[$ CAPITAL]]+FINANCIACION[[#This Row],[$ INTERESES]],0)</f>
        <v>6059820</v>
      </c>
    </row>
    <row r="542" spans="1:10" ht="24" hidden="1" customHeight="1" x14ac:dyDescent="0.25">
      <c r="A542" s="109">
        <v>43726</v>
      </c>
      <c r="B542" s="50" t="s">
        <v>365</v>
      </c>
      <c r="C542" s="5">
        <v>1409118</v>
      </c>
      <c r="D542" s="5">
        <v>4650702</v>
      </c>
      <c r="E542" s="5">
        <f>+IF(FINANCIACION[[#This Row],[$ CAPITAL]]&gt;=0,FINANCIACION[[#This Row],[$ CAPITAL]]+FINANCIACION[[#This Row],[$ INTERESES]],"")</f>
        <v>6059820</v>
      </c>
      <c r="F542" s="5">
        <f>+SUMIFS(FINANCIACION[$ CAPITAL],FINANCIACION[Fecha],"&lt;="&amp;FINANCIACION[[#This Row],[Fecha]],FINANCIACION[PRESTAMO],FINANCIACION[[#This Row],[PRESTAMO]])</f>
        <v>-368992827.03181815</v>
      </c>
      <c r="G542" s="53"/>
      <c r="H542" s="53"/>
      <c r="I542" s="5">
        <f>IF(FINANCIACION[[#This Row],[$ CAPITAL]]&gt;0,FINANCIACION[[#This Row],[$ CAPITAL]])</f>
        <v>1409118</v>
      </c>
      <c r="J542" s="33">
        <f>IF(FINANCIACION[[#This Row],[$ CAPITAL]]&gt;=0,FINANCIACION[[#This Row],[$ CAPITAL]]+FINANCIACION[[#This Row],[$ INTERESES]],0)</f>
        <v>6059820</v>
      </c>
    </row>
    <row r="543" spans="1:10" ht="24" hidden="1" customHeight="1" x14ac:dyDescent="0.25">
      <c r="A543" s="109">
        <v>43756</v>
      </c>
      <c r="B543" s="50" t="s">
        <v>365</v>
      </c>
      <c r="C543" s="5">
        <v>1426306</v>
      </c>
      <c r="D543" s="5">
        <v>4592899</v>
      </c>
      <c r="E543" s="5">
        <f>+IF(FINANCIACION[[#This Row],[$ CAPITAL]]&gt;=0,FINANCIACION[[#This Row],[$ CAPITAL]]+FINANCIACION[[#This Row],[$ INTERESES]],"")</f>
        <v>6019205</v>
      </c>
      <c r="F543" s="5">
        <f>+SUMIFS(FINANCIACION[$ CAPITAL],FINANCIACION[Fecha],"&lt;="&amp;FINANCIACION[[#This Row],[Fecha]],FINANCIACION[PRESTAMO],FINANCIACION[[#This Row],[PRESTAMO]])</f>
        <v>-367566521.03181815</v>
      </c>
      <c r="G543" s="7"/>
      <c r="H543" s="53"/>
      <c r="I543" s="5">
        <f>IF(FINANCIACION[[#This Row],[$ CAPITAL]]&gt;0,FINANCIACION[[#This Row],[$ CAPITAL]])</f>
        <v>1426306</v>
      </c>
      <c r="J543" s="33">
        <f>IF(FINANCIACION[[#This Row],[$ CAPITAL]]&gt;=0,FINANCIACION[[#This Row],[$ CAPITAL]]+FINANCIACION[[#This Row],[$ INTERESES]],0)</f>
        <v>6019205</v>
      </c>
    </row>
    <row r="544" spans="1:10" ht="24" hidden="1" customHeight="1" x14ac:dyDescent="0.25">
      <c r="A544" s="109">
        <v>43787</v>
      </c>
      <c r="B544" s="50" t="s">
        <v>365</v>
      </c>
      <c r="C544" s="5">
        <v>1442047.66666667</v>
      </c>
      <c r="D544" s="5">
        <v>4639789.3333333302</v>
      </c>
      <c r="E544" s="5">
        <f>+IF(FINANCIACION[[#This Row],[$ CAPITAL]]&gt;=0,FINANCIACION[[#This Row],[$ CAPITAL]]+FINANCIACION[[#This Row],[$ INTERESES]],"")</f>
        <v>6081837</v>
      </c>
      <c r="F544" s="5">
        <f>+SUMIFS(FINANCIACION[$ CAPITAL],FINANCIACION[Fecha],"&lt;="&amp;FINANCIACION[[#This Row],[Fecha]],FINANCIACION[PRESTAMO],FINANCIACION[[#This Row],[PRESTAMO]])</f>
        <v>-366124473.36515146</v>
      </c>
      <c r="G544" s="53"/>
      <c r="H544" s="53"/>
      <c r="I544" s="5">
        <f>IF(FINANCIACION[[#This Row],[$ CAPITAL]]&gt;0,FINANCIACION[[#This Row],[$ CAPITAL]])</f>
        <v>1442047.66666667</v>
      </c>
      <c r="J544" s="33">
        <f>IF(FINANCIACION[[#This Row],[$ CAPITAL]]&gt;=0,FINANCIACION[[#This Row],[$ CAPITAL]]+FINANCIACION[[#This Row],[$ INTERESES]],0)</f>
        <v>6081837</v>
      </c>
    </row>
    <row r="545" spans="1:10" ht="24" hidden="1" customHeight="1" x14ac:dyDescent="0.25">
      <c r="A545" s="109">
        <v>43817</v>
      </c>
      <c r="B545" s="50" t="s">
        <v>365</v>
      </c>
      <c r="C545" s="5">
        <v>1459836.82424242</v>
      </c>
      <c r="D545" s="5">
        <v>4622000.1757575795</v>
      </c>
      <c r="E545" s="5">
        <f>+IF(FINANCIACION[[#This Row],[$ CAPITAL]]&gt;=0,FINANCIACION[[#This Row],[$ CAPITAL]]+FINANCIACION[[#This Row],[$ INTERESES]],"")</f>
        <v>6081837</v>
      </c>
      <c r="F545" s="5">
        <f>+SUMIFS(FINANCIACION[$ CAPITAL],FINANCIACION[Fecha],"&lt;="&amp;FINANCIACION[[#This Row],[Fecha]],FINANCIACION[PRESTAMO],FINANCIACION[[#This Row],[PRESTAMO]])</f>
        <v>-364664636.54090905</v>
      </c>
      <c r="G545" s="7"/>
      <c r="H545" s="53"/>
      <c r="I545" s="5">
        <f>IF(FINANCIACION[[#This Row],[$ CAPITAL]]&gt;0,FINANCIACION[[#This Row],[$ CAPITAL]])</f>
        <v>1459836.82424242</v>
      </c>
      <c r="J545" s="33">
        <f>IF(FINANCIACION[[#This Row],[$ CAPITAL]]&gt;=0,FINANCIACION[[#This Row],[$ CAPITAL]]+FINANCIACION[[#This Row],[$ INTERESES]],0)</f>
        <v>6081837</v>
      </c>
    </row>
    <row r="546" spans="1:10" ht="24" hidden="1" customHeight="1" x14ac:dyDescent="0.25">
      <c r="A546" s="109">
        <v>43830</v>
      </c>
      <c r="B546" s="50" t="s">
        <v>365</v>
      </c>
      <c r="C546" s="5">
        <v>-24464288.602231398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-389128925.14314044</v>
      </c>
      <c r="G546" s="7"/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</row>
    <row r="547" spans="1:10" ht="24" hidden="1" customHeight="1" x14ac:dyDescent="0.25">
      <c r="A547" s="298">
        <v>43848</v>
      </c>
      <c r="B547" s="50" t="s">
        <v>365</v>
      </c>
      <c r="C547" s="5">
        <v>1471610</v>
      </c>
      <c r="D547" s="5">
        <v>4614238</v>
      </c>
      <c r="E547" s="5">
        <f>+IF(FINANCIACION[[#This Row],[$ CAPITAL]]&gt;=0,FINANCIACION[[#This Row],[$ CAPITAL]]+FINANCIACION[[#This Row],[$ INTERESES]],"")</f>
        <v>6085848</v>
      </c>
      <c r="F547" s="5">
        <f>+SUMIFS(FINANCIACION[$ CAPITAL],FINANCIACION[Fecha],"&lt;="&amp;FINANCIACION[[#This Row],[Fecha]],FINANCIACION[PRESTAMO],FINANCIACION[[#This Row],[PRESTAMO]])</f>
        <v>-387657315.14314044</v>
      </c>
      <c r="G547" s="7"/>
      <c r="H547" s="53"/>
      <c r="I547" s="5">
        <f>IF(FINANCIACION[[#This Row],[$ CAPITAL]]&gt;0,FINANCIACION[[#This Row],[$ CAPITAL]])</f>
        <v>1471610</v>
      </c>
      <c r="J547" s="33">
        <f>IF(FINANCIACION[[#This Row],[$ CAPITAL]]&gt;=0,FINANCIACION[[#This Row],[$ CAPITAL]]+FINANCIACION[[#This Row],[$ INTERESES]],0)</f>
        <v>6085848</v>
      </c>
    </row>
    <row r="548" spans="1:10" ht="24" hidden="1" customHeight="1" x14ac:dyDescent="0.25">
      <c r="A548" s="298">
        <v>43879</v>
      </c>
      <c r="B548" s="50" t="s">
        <v>365</v>
      </c>
      <c r="C548" s="5">
        <v>1491748</v>
      </c>
      <c r="D548" s="5">
        <v>4588198</v>
      </c>
      <c r="E548" s="5">
        <f>+IF(FINANCIACION[[#This Row],[$ CAPITAL]]&gt;=0,FINANCIACION[[#This Row],[$ CAPITAL]]+FINANCIACION[[#This Row],[$ INTERESES]],"")</f>
        <v>6079946</v>
      </c>
      <c r="F548" s="5">
        <f>+SUMIFS(FINANCIACION[$ CAPITAL],FINANCIACION[Fecha],"&lt;="&amp;FINANCIACION[[#This Row],[Fecha]],FINANCIACION[PRESTAMO],FINANCIACION[[#This Row],[PRESTAMO]])</f>
        <v>-386165567.14314044</v>
      </c>
      <c r="G548" s="53"/>
      <c r="H548" s="53"/>
      <c r="I548" s="5">
        <f>IF(FINANCIACION[[#This Row],[$ CAPITAL]]&gt;0,FINANCIACION[[#This Row],[$ CAPITAL]])</f>
        <v>1491748</v>
      </c>
      <c r="J548" s="33">
        <f>IF(FINANCIACION[[#This Row],[$ CAPITAL]]&gt;=0,FINANCIACION[[#This Row],[$ CAPITAL]]+FINANCIACION[[#This Row],[$ INTERESES]],0)</f>
        <v>6079946</v>
      </c>
    </row>
    <row r="549" spans="1:10" ht="24" hidden="1" customHeight="1" x14ac:dyDescent="0.25">
      <c r="A549" s="298">
        <v>43908</v>
      </c>
      <c r="B549" s="50" t="s">
        <v>365</v>
      </c>
      <c r="C549" s="5">
        <v>1513636.1431404999</v>
      </c>
      <c r="D549" s="5">
        <v>4992178.8568594996</v>
      </c>
      <c r="E549" s="5">
        <f>+IF(FINANCIACION[[#This Row],[$ CAPITAL]]&gt;=0,FINANCIACION[[#This Row],[$ CAPITAL]]+FINANCIACION[[#This Row],[$ INTERESES]],"")</f>
        <v>6505815</v>
      </c>
      <c r="F549" s="5">
        <f>+SUMIFS(FINANCIACION[$ CAPITAL],FINANCIACION[Fecha],"&lt;="&amp;FINANCIACION[[#This Row],[Fecha]],FINANCIACION[PRESTAMO],FINANCIACION[[#This Row],[PRESTAMO]])</f>
        <v>-384651930.99999994</v>
      </c>
      <c r="G549" s="53"/>
      <c r="H549" s="53"/>
      <c r="I549" s="5">
        <f>IF(FINANCIACION[[#This Row],[$ CAPITAL]]&gt;0,FINANCIACION[[#This Row],[$ CAPITAL]])</f>
        <v>1513636.1431404999</v>
      </c>
      <c r="J549" s="33">
        <f>IF(FINANCIACION[[#This Row],[$ CAPITAL]]&gt;=0,FINANCIACION[[#This Row],[$ CAPITAL]]+FINANCIACION[[#This Row],[$ INTERESES]],0)</f>
        <v>6505815</v>
      </c>
    </row>
    <row r="550" spans="1:10" ht="24" hidden="1" customHeight="1" x14ac:dyDescent="0.25">
      <c r="A550" s="298">
        <v>44043</v>
      </c>
      <c r="B550" s="50" t="s">
        <v>365</v>
      </c>
      <c r="C550" s="5">
        <v>-183255600</v>
      </c>
      <c r="D550" s="5"/>
      <c r="E550" s="5" t="str">
        <f>+IF(FINANCIACION[[#This Row],[$ CAPITAL]]&gt;=0,FINANCIACION[[#This Row],[$ CAPITAL]]+FINANCIACION[[#This Row],[$ INTERESES]],"")</f>
        <v/>
      </c>
      <c r="F550" s="5">
        <f>+SUMIFS(FINANCIACION[$ CAPITAL],FINANCIACION[Fecha],"&lt;="&amp;FINANCIACION[[#This Row],[Fecha]],FINANCIACION[PRESTAMO],FINANCIACION[[#This Row],[PRESTAMO]])</f>
        <v>-380443064</v>
      </c>
      <c r="G550" s="7"/>
      <c r="H550" s="53"/>
      <c r="I550" s="5" t="b">
        <f>IF(FINANCIACION[[#This Row],[$ CAPITAL]]&gt;0,FINANCIACION[[#This Row],[$ CAPITAL]])</f>
        <v>0</v>
      </c>
      <c r="J550" s="33">
        <f>IF(FINANCIACION[[#This Row],[$ CAPITAL]]&gt;=0,FINANCIACION[[#This Row],[$ CAPITAL]]+FINANCIACION[[#This Row],[$ INTERESES]],0)</f>
        <v>0</v>
      </c>
    </row>
    <row r="551" spans="1:10" ht="24" hidden="1" customHeight="1" x14ac:dyDescent="0.25">
      <c r="A551" s="298">
        <v>44043</v>
      </c>
      <c r="B551" s="50" t="s">
        <v>365</v>
      </c>
      <c r="C551" s="5">
        <v>187464467</v>
      </c>
      <c r="D551" s="5"/>
      <c r="E551" s="5">
        <f>+IF(FINANCIACION[[#This Row],[$ CAPITAL]]&gt;=0,FINANCIACION[[#This Row],[$ CAPITAL]]+FINANCIACION[[#This Row],[$ INTERESES]],"")</f>
        <v>187464467</v>
      </c>
      <c r="F551" s="5">
        <f>+SUMIFS(FINANCIACION[$ CAPITAL],FINANCIACION[Fecha],"&lt;="&amp;FINANCIACION[[#This Row],[Fecha]],FINANCIACION[PRESTAMO],FINANCIACION[[#This Row],[PRESTAMO]])</f>
        <v>-380443064</v>
      </c>
      <c r="G551" s="7"/>
      <c r="H551" s="53"/>
      <c r="I551" s="5">
        <f>IF(FINANCIACION[[#This Row],[$ CAPITAL]]&gt;0,FINANCIACION[[#This Row],[$ CAPITAL]])</f>
        <v>187464467</v>
      </c>
      <c r="J551" s="33">
        <f>IF(FINANCIACION[[#This Row],[$ CAPITAL]]&gt;=0,FINANCIACION[[#This Row],[$ CAPITAL]]+FINANCIACION[[#This Row],[$ INTERESES]],0)</f>
        <v>187464467</v>
      </c>
    </row>
    <row r="552" spans="1:10" ht="24" hidden="1" customHeight="1" x14ac:dyDescent="0.25">
      <c r="A552" s="298">
        <v>44092</v>
      </c>
      <c r="B552" s="50" t="s">
        <v>365</v>
      </c>
      <c r="C552" s="5">
        <v>3000000</v>
      </c>
      <c r="D552" s="5"/>
      <c r="E552" s="5">
        <f>+IF(FINANCIACION[[#This Row],[$ CAPITAL]]&gt;=0,FINANCIACION[[#This Row],[$ CAPITAL]]+FINANCIACION[[#This Row],[$ INTERESES]],"")</f>
        <v>3000000</v>
      </c>
      <c r="F552" s="5">
        <f>+SUMIFS(FINANCIACION[$ CAPITAL],FINANCIACION[Fecha],"&lt;="&amp;FINANCIACION[[#This Row],[Fecha]],FINANCIACION[PRESTAMO],FINANCIACION[[#This Row],[PRESTAMO]])</f>
        <v>-377443064</v>
      </c>
      <c r="G552" s="7"/>
      <c r="H552" s="53"/>
      <c r="I552" s="5">
        <f>IF(FINANCIACION[[#This Row],[$ CAPITAL]]&gt;0,FINANCIACION[[#This Row],[$ CAPITAL]])</f>
        <v>3000000</v>
      </c>
      <c r="J552" s="33">
        <f>IF(FINANCIACION[[#This Row],[$ CAPITAL]]&gt;=0,FINANCIACION[[#This Row],[$ CAPITAL]]+FINANCIACION[[#This Row],[$ INTERESES]],0)</f>
        <v>3000000</v>
      </c>
    </row>
    <row r="553" spans="1:10" ht="24" hidden="1" customHeight="1" x14ac:dyDescent="0.25">
      <c r="A553" s="298">
        <v>44104</v>
      </c>
      <c r="B553" s="50" t="s">
        <v>365</v>
      </c>
      <c r="C553" s="5">
        <v>-39568203</v>
      </c>
      <c r="D553" s="5"/>
      <c r="E553" s="5" t="str">
        <f>+IF(FINANCIACION[[#This Row],[$ CAPITAL]]&gt;=0,FINANCIACION[[#This Row],[$ CAPITAL]]+FINANCIACION[[#This Row],[$ INTERESES]],"")</f>
        <v/>
      </c>
      <c r="F553" s="5">
        <f>+SUMIFS(FINANCIACION[$ CAPITAL],FINANCIACION[Fecha],"&lt;="&amp;FINANCIACION[[#This Row],[Fecha]],FINANCIACION[PRESTAMO],FINANCIACION[[#This Row],[PRESTAMO]])</f>
        <v>-417011267</v>
      </c>
      <c r="G553" s="7"/>
      <c r="H553" s="53"/>
      <c r="I553" s="5" t="b">
        <f>IF(FINANCIACION[[#This Row],[$ CAPITAL]]&gt;0,FINANCIACION[[#This Row],[$ CAPITAL]])</f>
        <v>0</v>
      </c>
      <c r="J553" s="33">
        <f>IF(FINANCIACION[[#This Row],[$ CAPITAL]]&gt;=0,FINANCIACION[[#This Row],[$ CAPITAL]]+FINANCIACION[[#This Row],[$ INTERESES]],0)</f>
        <v>0</v>
      </c>
    </row>
    <row r="554" spans="1:10" ht="24" hidden="1" customHeight="1" x14ac:dyDescent="0.25">
      <c r="A554" s="298">
        <v>44111</v>
      </c>
      <c r="B554" s="50" t="s">
        <v>365</v>
      </c>
      <c r="C554" s="5">
        <v>3000000</v>
      </c>
      <c r="D554" s="5"/>
      <c r="E554" s="5">
        <f>+IF(FINANCIACION[[#This Row],[$ CAPITAL]]&gt;=0,FINANCIACION[[#This Row],[$ CAPITAL]]+FINANCIACION[[#This Row],[$ INTERESES]],"")</f>
        <v>3000000</v>
      </c>
      <c r="F554" s="5">
        <f>+SUMIFS(FINANCIACION[$ CAPITAL],FINANCIACION[Fecha],"&lt;="&amp;FINANCIACION[[#This Row],[Fecha]],FINANCIACION[PRESTAMO],FINANCIACION[[#This Row],[PRESTAMO]])</f>
        <v>-414011267</v>
      </c>
      <c r="G554" s="7"/>
      <c r="H554" s="53"/>
      <c r="I554" s="5">
        <f>IF(FINANCIACION[[#This Row],[$ CAPITAL]]&gt;0,FINANCIACION[[#This Row],[$ CAPITAL]])</f>
        <v>3000000</v>
      </c>
      <c r="J554" s="33">
        <f>IF(FINANCIACION[[#This Row],[$ CAPITAL]]&gt;=0,FINANCIACION[[#This Row],[$ CAPITAL]]+FINANCIACION[[#This Row],[$ INTERESES]],0)</f>
        <v>3000000</v>
      </c>
    </row>
    <row r="555" spans="1:10" ht="24" hidden="1" customHeight="1" x14ac:dyDescent="0.25">
      <c r="A555" s="298">
        <v>44131</v>
      </c>
      <c r="B555" s="50" t="s">
        <v>365</v>
      </c>
      <c r="C555" s="5">
        <v>5000000</v>
      </c>
      <c r="D555" s="5"/>
      <c r="E555" s="5">
        <f>+IF(FINANCIACION[[#This Row],[$ CAPITAL]]&gt;=0,FINANCIACION[[#This Row],[$ CAPITAL]]+FINANCIACION[[#This Row],[$ INTERESES]],"")</f>
        <v>5000000</v>
      </c>
      <c r="F555" s="5">
        <f>+SUMIFS(FINANCIACION[$ CAPITAL],FINANCIACION[Fecha],"&lt;="&amp;FINANCIACION[[#This Row],[Fecha]],FINANCIACION[PRESTAMO],FINANCIACION[[#This Row],[PRESTAMO]])</f>
        <v>-409011267</v>
      </c>
      <c r="G555" s="7"/>
      <c r="H555" s="53"/>
      <c r="I555" s="5">
        <f>IF(FINANCIACION[[#This Row],[$ CAPITAL]]&gt;0,FINANCIACION[[#This Row],[$ CAPITAL]])</f>
        <v>5000000</v>
      </c>
      <c r="J555" s="33">
        <f>IF(FINANCIACION[[#This Row],[$ CAPITAL]]&gt;=0,FINANCIACION[[#This Row],[$ CAPITAL]]+FINANCIACION[[#This Row],[$ INTERESES]],0)</f>
        <v>5000000</v>
      </c>
    </row>
    <row r="556" spans="1:10" ht="24" hidden="1" customHeight="1" x14ac:dyDescent="0.25">
      <c r="A556" s="298">
        <v>44135</v>
      </c>
      <c r="B556" s="50" t="s">
        <v>365</v>
      </c>
      <c r="C556" s="5">
        <v>6521200</v>
      </c>
      <c r="D556" s="5"/>
      <c r="E556" s="5">
        <f>+IF(FINANCIACION[[#This Row],[$ CAPITAL]]&gt;=0,FINANCIACION[[#This Row],[$ CAPITAL]]+FINANCIACION[[#This Row],[$ INTERESES]],"")</f>
        <v>6521200</v>
      </c>
      <c r="F556" s="5">
        <f>+SUMIFS(FINANCIACION[$ CAPITAL],FINANCIACION[Fecha],"&lt;="&amp;FINANCIACION[[#This Row],[Fecha]],FINANCIACION[PRESTAMO],FINANCIACION[[#This Row],[PRESTAMO]])</f>
        <v>-402490067</v>
      </c>
      <c r="G556" s="7"/>
      <c r="H556" s="53"/>
      <c r="I556" s="5">
        <f>IF(FINANCIACION[[#This Row],[$ CAPITAL]]&gt;0,FINANCIACION[[#This Row],[$ CAPITAL]])</f>
        <v>6521200</v>
      </c>
      <c r="J556" s="33">
        <f>IF(FINANCIACION[[#This Row],[$ CAPITAL]]&gt;=0,FINANCIACION[[#This Row],[$ CAPITAL]]+FINANCIACION[[#This Row],[$ INTERESES]],0)</f>
        <v>6521200</v>
      </c>
    </row>
    <row r="557" spans="1:10" ht="24" hidden="1" customHeight="1" x14ac:dyDescent="0.25">
      <c r="A557" s="298">
        <v>44161</v>
      </c>
      <c r="B557" s="50" t="s">
        <v>365</v>
      </c>
      <c r="C557" s="5">
        <v>0</v>
      </c>
      <c r="D557" s="5">
        <v>2000000</v>
      </c>
      <c r="E557" s="5">
        <f>+IF(FINANCIACION[[#This Row],[$ CAPITAL]]&gt;=0,FINANCIACION[[#This Row],[$ CAPITAL]]+FINANCIACION[[#This Row],[$ INTERESES]],"")</f>
        <v>2000000</v>
      </c>
      <c r="F557" s="5">
        <f>+SUMIFS(FINANCIACION[$ CAPITAL],FINANCIACION[Fecha],"&lt;="&amp;FINANCIACION[[#This Row],[Fecha]],FINANCIACION[PRESTAMO],FINANCIACION[[#This Row],[PRESTAMO]])</f>
        <v>-402490067</v>
      </c>
      <c r="G557" s="7"/>
      <c r="H557" s="53"/>
      <c r="I557" s="5" t="b">
        <f>IF(FINANCIACION[[#This Row],[$ CAPITAL]]&gt;0,FINANCIACION[[#This Row],[$ CAPITAL]])</f>
        <v>0</v>
      </c>
      <c r="J557" s="33">
        <f>IF(FINANCIACION[[#This Row],[$ CAPITAL]]&gt;=0,FINANCIACION[[#This Row],[$ CAPITAL]]+FINANCIACION[[#This Row],[$ INTERESES]],0)</f>
        <v>2000000</v>
      </c>
    </row>
    <row r="558" spans="1:10" ht="24" hidden="1" customHeight="1" x14ac:dyDescent="0.25">
      <c r="A558" s="298">
        <v>44165</v>
      </c>
      <c r="B558" s="50" t="s">
        <v>365</v>
      </c>
      <c r="C558" s="5">
        <v>5494197</v>
      </c>
      <c r="D558" s="5"/>
      <c r="E558" s="5">
        <f>+IF(FINANCIACION[[#This Row],[$ CAPITAL]]&gt;=0,FINANCIACION[[#This Row],[$ CAPITAL]]+FINANCIACION[[#This Row],[$ INTERESES]],"")</f>
        <v>5494197</v>
      </c>
      <c r="F558" s="5">
        <f>+SUMIFS(FINANCIACION[$ CAPITAL],FINANCIACION[Fecha],"&lt;="&amp;FINANCIACION[[#This Row],[Fecha]],FINANCIACION[PRESTAMO],FINANCIACION[[#This Row],[PRESTAMO]])</f>
        <v>-396995870</v>
      </c>
      <c r="G558" s="7"/>
      <c r="H558" s="53"/>
      <c r="I558" s="5">
        <f>IF(FINANCIACION[[#This Row],[$ CAPITAL]]&gt;0,FINANCIACION[[#This Row],[$ CAPITAL]])</f>
        <v>5494197</v>
      </c>
      <c r="J558" s="33">
        <f>IF(FINANCIACION[[#This Row],[$ CAPITAL]]&gt;=0,FINANCIACION[[#This Row],[$ CAPITAL]]+FINANCIACION[[#This Row],[$ INTERESES]],0)</f>
        <v>5494197</v>
      </c>
    </row>
    <row r="559" spans="1:10" ht="24" hidden="1" customHeight="1" x14ac:dyDescent="0.25">
      <c r="A559" s="298">
        <v>44187</v>
      </c>
      <c r="B559" s="50" t="s">
        <v>365</v>
      </c>
      <c r="C559" s="5">
        <v>5215587</v>
      </c>
      <c r="D559" s="5"/>
      <c r="E559" s="5">
        <f>+IF(FINANCIACION[[#This Row],[$ CAPITAL]]&gt;=0,FINANCIACION[[#This Row],[$ CAPITAL]]+FINANCIACION[[#This Row],[$ INTERESES]],"")</f>
        <v>5215587</v>
      </c>
      <c r="F559" s="5">
        <f>+SUMIFS(FINANCIACION[$ CAPITAL],FINANCIACION[Fecha],"&lt;="&amp;FINANCIACION[[#This Row],[Fecha]],FINANCIACION[PRESTAMO],FINANCIACION[[#This Row],[PRESTAMO]])</f>
        <v>-391780283</v>
      </c>
      <c r="G559" s="7"/>
      <c r="H559" s="53"/>
      <c r="I559" s="5">
        <f>IF(FINANCIACION[[#This Row],[$ CAPITAL]]&gt;0,FINANCIACION[[#This Row],[$ CAPITAL]])</f>
        <v>5215587</v>
      </c>
      <c r="J559" s="33">
        <f>IF(FINANCIACION[[#This Row],[$ CAPITAL]]&gt;=0,FINANCIACION[[#This Row],[$ CAPITAL]]+FINANCIACION[[#This Row],[$ INTERESES]],0)</f>
        <v>5215587</v>
      </c>
    </row>
    <row r="560" spans="1:10" ht="24" hidden="1" customHeight="1" x14ac:dyDescent="0.25">
      <c r="A560" s="298">
        <v>44196</v>
      </c>
      <c r="B560" s="50" t="s">
        <v>365</v>
      </c>
      <c r="C560" s="5">
        <v>36112485</v>
      </c>
      <c r="D560" s="5"/>
      <c r="E560" s="5">
        <f>+IF(FINANCIACION[[#This Row],[$ CAPITAL]]&gt;=0,FINANCIACION[[#This Row],[$ CAPITAL]]+FINANCIACION[[#This Row],[$ INTERESES]],"")</f>
        <v>36112485</v>
      </c>
      <c r="F560" s="5">
        <f>+SUMIFS(FINANCIACION[$ CAPITAL],FINANCIACION[Fecha],"&lt;="&amp;FINANCIACION[[#This Row],[Fecha]],FINANCIACION[PRESTAMO],FINANCIACION[[#This Row],[PRESTAMO]])</f>
        <v>-349958312</v>
      </c>
      <c r="G560" s="7" t="s">
        <v>228</v>
      </c>
      <c r="H560" s="53"/>
      <c r="I560" s="5">
        <f>IF(FINANCIACION[[#This Row],[$ CAPITAL]]&gt;0,FINANCIACION[[#This Row],[$ CAPITAL]])</f>
        <v>36112485</v>
      </c>
      <c r="J560" s="33">
        <f>IF(FINANCIACION[[#This Row],[$ CAPITAL]]&gt;=0,FINANCIACION[[#This Row],[$ CAPITAL]]+FINANCIACION[[#This Row],[$ INTERESES]],0)</f>
        <v>36112485</v>
      </c>
    </row>
    <row r="561" spans="1:10" ht="24" hidden="1" customHeight="1" x14ac:dyDescent="0.25">
      <c r="A561" s="298">
        <v>44196</v>
      </c>
      <c r="B561" s="50" t="s">
        <v>365</v>
      </c>
      <c r="C561" s="5">
        <v>5709486</v>
      </c>
      <c r="D561" s="5"/>
      <c r="E561" s="5">
        <f>+IF(FINANCIACION[[#This Row],[$ CAPITAL]]&gt;=0,FINANCIACION[[#This Row],[$ CAPITAL]]+FINANCIACION[[#This Row],[$ INTERESES]],"")</f>
        <v>5709486</v>
      </c>
      <c r="F561" s="5">
        <f>+SUMIFS(FINANCIACION[$ CAPITAL],FINANCIACION[Fecha],"&lt;="&amp;FINANCIACION[[#This Row],[Fecha]],FINANCIACION[PRESTAMO],FINANCIACION[[#This Row],[PRESTAMO]])</f>
        <v>-349958312</v>
      </c>
      <c r="G561" s="7"/>
      <c r="H561" s="53"/>
      <c r="I561" s="5">
        <f>IF(FINANCIACION[[#This Row],[$ CAPITAL]]&gt;0,FINANCIACION[[#This Row],[$ CAPITAL]])</f>
        <v>5709486</v>
      </c>
      <c r="J561" s="33">
        <f>IF(FINANCIACION[[#This Row],[$ CAPITAL]]&gt;=0,FINANCIACION[[#This Row],[$ CAPITAL]]+FINANCIACION[[#This Row],[$ INTERESES]],0)</f>
        <v>5709486</v>
      </c>
    </row>
    <row r="562" spans="1:10" ht="24" hidden="1" customHeight="1" x14ac:dyDescent="0.25">
      <c r="A562" s="109">
        <v>44244</v>
      </c>
      <c r="B562" s="50" t="s">
        <v>365</v>
      </c>
      <c r="C562" s="5">
        <v>108181</v>
      </c>
      <c r="D562" s="5"/>
      <c r="E562" s="5">
        <f>+IF(FINANCIACION[[#This Row],[$ CAPITAL]]&gt;=0,FINANCIACION[[#This Row],[$ CAPITAL]]+FINANCIACION[[#This Row],[$ INTERESES]],"")</f>
        <v>108181</v>
      </c>
      <c r="F562" s="5">
        <f>+SUMIFS(FINANCIACION[$ CAPITAL],FINANCIACION[Fecha],"&lt;="&amp;FINANCIACION[[#This Row],[Fecha]],FINANCIACION[PRESTAMO],FINANCIACION[[#This Row],[PRESTAMO]])</f>
        <v>-346350131</v>
      </c>
      <c r="G562" s="7"/>
      <c r="H562" s="53"/>
      <c r="I562" s="5">
        <f>IF(FINANCIACION[[#This Row],[$ CAPITAL]]&gt;0,FINANCIACION[[#This Row],[$ CAPITAL]])</f>
        <v>108181</v>
      </c>
      <c r="J562" s="33">
        <f>IF(FINANCIACION[[#This Row],[$ CAPITAL]]&gt;=0,FINANCIACION[[#This Row],[$ CAPITAL]]+FINANCIACION[[#This Row],[$ INTERESES]],0)</f>
        <v>108181</v>
      </c>
    </row>
    <row r="563" spans="1:10" ht="24" hidden="1" customHeight="1" x14ac:dyDescent="0.25">
      <c r="A563" s="109">
        <v>44244</v>
      </c>
      <c r="B563" s="50" t="s">
        <v>365</v>
      </c>
      <c r="C563" s="5">
        <v>3500000</v>
      </c>
      <c r="D563" s="5"/>
      <c r="E563" s="5">
        <f>+IF(FINANCIACION[[#This Row],[$ CAPITAL]]&gt;=0,FINANCIACION[[#This Row],[$ CAPITAL]]+FINANCIACION[[#This Row],[$ INTERESES]],"")</f>
        <v>3500000</v>
      </c>
      <c r="F563" s="5">
        <f>+SUMIFS(FINANCIACION[$ CAPITAL],FINANCIACION[Fecha],"&lt;="&amp;FINANCIACION[[#This Row],[Fecha]],FINANCIACION[PRESTAMO],FINANCIACION[[#This Row],[PRESTAMO]])</f>
        <v>-346350131</v>
      </c>
      <c r="G563" s="7"/>
      <c r="H563" s="53"/>
      <c r="I563" s="5">
        <f>IF(FINANCIACION[[#This Row],[$ CAPITAL]]&gt;0,FINANCIACION[[#This Row],[$ CAPITAL]])</f>
        <v>3500000</v>
      </c>
      <c r="J563" s="33">
        <f>IF(FINANCIACION[[#This Row],[$ CAPITAL]]&gt;=0,FINANCIACION[[#This Row],[$ CAPITAL]]+FINANCIACION[[#This Row],[$ INTERESES]],0)</f>
        <v>3500000</v>
      </c>
    </row>
    <row r="564" spans="1:10" ht="24" hidden="1" customHeight="1" x14ac:dyDescent="0.25">
      <c r="A564" s="109">
        <v>44255</v>
      </c>
      <c r="B564" s="50" t="s">
        <v>365</v>
      </c>
      <c r="C564" s="5">
        <v>-8929573</v>
      </c>
      <c r="D564" s="5"/>
      <c r="E564" s="5" t="str">
        <f>+IF(FINANCIACION[[#This Row],[$ CAPITAL]]&gt;=0,FINANCIACION[[#This Row],[$ CAPITAL]]+FINANCIACION[[#This Row],[$ INTERESES]],"")</f>
        <v/>
      </c>
      <c r="F564" s="5">
        <f>+SUMIFS(FINANCIACION[$ CAPITAL],FINANCIACION[Fecha],"&lt;="&amp;FINANCIACION[[#This Row],[Fecha]],FINANCIACION[PRESTAMO],FINANCIACION[[#This Row],[PRESTAMO]])</f>
        <v>-355279704</v>
      </c>
      <c r="G564" s="7" t="s">
        <v>153</v>
      </c>
      <c r="H564" s="53"/>
      <c r="I564" s="5" t="b">
        <f>IF(FINANCIACION[[#This Row],[$ CAPITAL]]&gt;0,FINANCIACION[[#This Row],[$ CAPITAL]])</f>
        <v>0</v>
      </c>
      <c r="J564" s="33">
        <f>IF(FINANCIACION[[#This Row],[$ CAPITAL]]&gt;=0,FINANCIACION[[#This Row],[$ CAPITAL]]+FINANCIACION[[#This Row],[$ INTERESES]],0)</f>
        <v>0</v>
      </c>
    </row>
    <row r="565" spans="1:10" ht="24" hidden="1" customHeight="1" x14ac:dyDescent="0.25">
      <c r="A565" s="109">
        <v>44284</v>
      </c>
      <c r="B565" s="50" t="s">
        <v>365</v>
      </c>
      <c r="C565" s="5">
        <v>8286154</v>
      </c>
      <c r="D565" s="5">
        <v>120765</v>
      </c>
      <c r="E565" s="5">
        <f>+IF(FINANCIACION[[#This Row],[$ CAPITAL]]&gt;=0,FINANCIACION[[#This Row],[$ CAPITAL]]+FINANCIACION[[#This Row],[$ INTERESES]],"")</f>
        <v>8406919</v>
      </c>
      <c r="F565" s="5">
        <f>+SUMIFS(FINANCIACION[$ CAPITAL],FINANCIACION[Fecha],"&lt;="&amp;FINANCIACION[[#This Row],[Fecha]],FINANCIACION[PRESTAMO],FINANCIACION[[#This Row],[PRESTAMO]])</f>
        <v>-346993550</v>
      </c>
      <c r="G565" s="7"/>
      <c r="H565" s="53"/>
      <c r="I565" s="5">
        <f>IF(FINANCIACION[[#This Row],[$ CAPITAL]]&gt;0,FINANCIACION[[#This Row],[$ CAPITAL]])</f>
        <v>8286154</v>
      </c>
      <c r="J565" s="33">
        <f>IF(FINANCIACION[[#This Row],[$ CAPITAL]]&gt;=0,FINANCIACION[[#This Row],[$ CAPITAL]]+FINANCIACION[[#This Row],[$ INTERESES]],0)</f>
        <v>8406919</v>
      </c>
    </row>
    <row r="566" spans="1:10" ht="24" hidden="1" customHeight="1" x14ac:dyDescent="0.25">
      <c r="A566" s="109">
        <v>44286</v>
      </c>
      <c r="B566" s="50" t="s">
        <v>365</v>
      </c>
      <c r="C566" s="5">
        <v>-4128919</v>
      </c>
      <c r="D566" s="5"/>
      <c r="E566" s="5" t="str">
        <f>+IF(FINANCIACION[[#This Row],[$ CAPITAL]]&gt;=0,FINANCIACION[[#This Row],[$ CAPITAL]]+FINANCIACION[[#This Row],[$ INTERESES]],"")</f>
        <v/>
      </c>
      <c r="F566" s="5">
        <f>+SUMIFS(FINANCIACION[$ CAPITAL],FINANCIACION[Fecha],"&lt;="&amp;FINANCIACION[[#This Row],[Fecha]],FINANCIACION[PRESTAMO],FINANCIACION[[#This Row],[PRESTAMO]])</f>
        <v>-351122469</v>
      </c>
      <c r="G566" s="7" t="s">
        <v>153</v>
      </c>
      <c r="H566" s="53"/>
      <c r="I566" s="5" t="b">
        <f>IF(FINANCIACION[[#This Row],[$ CAPITAL]]&gt;0,FINANCIACION[[#This Row],[$ CAPITAL]])</f>
        <v>0</v>
      </c>
      <c r="J566" s="33">
        <f>IF(FINANCIACION[[#This Row],[$ CAPITAL]]&gt;=0,FINANCIACION[[#This Row],[$ CAPITAL]]+FINANCIACION[[#This Row],[$ INTERESES]],0)</f>
        <v>0</v>
      </c>
    </row>
    <row r="567" spans="1:10" ht="24" hidden="1" customHeight="1" x14ac:dyDescent="0.25">
      <c r="A567" s="109">
        <v>44316</v>
      </c>
      <c r="B567" s="50" t="s">
        <v>365</v>
      </c>
      <c r="C567" s="5">
        <v>-3722340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-354844809</v>
      </c>
      <c r="G567" s="7" t="s">
        <v>153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0" ht="24" hidden="1" customHeight="1" x14ac:dyDescent="0.25">
      <c r="A568" s="109">
        <v>44320</v>
      </c>
      <c r="B568" s="50" t="s">
        <v>365</v>
      </c>
      <c r="C568" s="5">
        <v>5000000</v>
      </c>
      <c r="D568" s="5"/>
      <c r="E568" s="5">
        <f>+IF(FINANCIACION[[#This Row],[$ CAPITAL]]&gt;=0,FINANCIACION[[#This Row],[$ CAPITAL]]+FINANCIACION[[#This Row],[$ INTERESES]],"")</f>
        <v>5000000</v>
      </c>
      <c r="F568" s="5">
        <f>+SUMIFS(FINANCIACION[$ CAPITAL],FINANCIACION[Fecha],"&lt;="&amp;FINANCIACION[[#This Row],[Fecha]],FINANCIACION[PRESTAMO],FINANCIACION[[#This Row],[PRESTAMO]])</f>
        <v>-349844809</v>
      </c>
      <c r="G568" s="7"/>
      <c r="H568" s="53"/>
      <c r="I568" s="5">
        <f>IF(FINANCIACION[[#This Row],[$ CAPITAL]]&gt;0,FINANCIACION[[#This Row],[$ CAPITAL]])</f>
        <v>5000000</v>
      </c>
      <c r="J568" s="33">
        <f>IF(FINANCIACION[[#This Row],[$ CAPITAL]]&gt;=0,FINANCIACION[[#This Row],[$ CAPITAL]]+FINANCIACION[[#This Row],[$ INTERESES]],0)</f>
        <v>5000000</v>
      </c>
    </row>
    <row r="569" spans="1:10" ht="24" hidden="1" customHeight="1" x14ac:dyDescent="0.25">
      <c r="A569" s="109">
        <v>44328</v>
      </c>
      <c r="B569" s="50" t="s">
        <v>365</v>
      </c>
      <c r="C569" s="5">
        <v>918187</v>
      </c>
      <c r="D569" s="5"/>
      <c r="E569" s="5">
        <f>+IF(FINANCIACION[[#This Row],[$ CAPITAL]]&gt;=0,FINANCIACION[[#This Row],[$ CAPITAL]]+FINANCIACION[[#This Row],[$ INTERESES]],"")</f>
        <v>918187</v>
      </c>
      <c r="F569" s="5">
        <f>+SUMIFS(FINANCIACION[$ CAPITAL],FINANCIACION[Fecha],"&lt;="&amp;FINANCIACION[[#This Row],[Fecha]],FINANCIACION[PRESTAMO],FINANCIACION[[#This Row],[PRESTAMO]])</f>
        <v>-348926622</v>
      </c>
      <c r="G569" s="7"/>
      <c r="H569" s="53"/>
      <c r="I569" s="5">
        <f>IF(FINANCIACION[[#This Row],[$ CAPITAL]]&gt;0,FINANCIACION[[#This Row],[$ CAPITAL]])</f>
        <v>918187</v>
      </c>
      <c r="J569" s="33">
        <f>IF(FINANCIACION[[#This Row],[$ CAPITAL]]&gt;=0,FINANCIACION[[#This Row],[$ CAPITAL]]+FINANCIACION[[#This Row],[$ INTERESES]],0)</f>
        <v>918187</v>
      </c>
    </row>
    <row r="570" spans="1:10" ht="24" hidden="1" customHeight="1" x14ac:dyDescent="0.25">
      <c r="A570" s="109">
        <v>44346</v>
      </c>
      <c r="B570" s="50" t="s">
        <v>365</v>
      </c>
      <c r="C570" s="5">
        <v>-7131410</v>
      </c>
      <c r="D570" s="5"/>
      <c r="E570" s="5" t="str">
        <f>+IF(FINANCIACION[[#This Row],[$ CAPITAL]]&gt;=0,FINANCIACION[[#This Row],[$ CAPITAL]]+FINANCIACION[[#This Row],[$ INTERESES]],"")</f>
        <v/>
      </c>
      <c r="F570" s="5">
        <f>+SUMIFS(FINANCIACION[$ CAPITAL],FINANCIACION[Fecha],"&lt;="&amp;FINANCIACION[[#This Row],[Fecha]],FINANCIACION[PRESTAMO],FINANCIACION[[#This Row],[PRESTAMO]])</f>
        <v>-356058032</v>
      </c>
      <c r="G570" s="7" t="s">
        <v>153</v>
      </c>
      <c r="H570" s="53"/>
      <c r="I570" s="5" t="b">
        <f>IF(FINANCIACION[[#This Row],[$ CAPITAL]]&gt;0,FINANCIACION[[#This Row],[$ CAPITAL]])</f>
        <v>0</v>
      </c>
      <c r="J570" s="8">
        <f>IF(FINANCIACION[[#This Row],[$ CAPITAL]]&gt;=0,FINANCIACION[[#This Row],[$ CAPITAL]]+FINANCIACION[[#This Row],[$ INTERESES]],0)</f>
        <v>0</v>
      </c>
    </row>
    <row r="571" spans="1:10" ht="24" hidden="1" customHeight="1" x14ac:dyDescent="0.25">
      <c r="A571" s="109">
        <v>44375</v>
      </c>
      <c r="B571" s="50" t="s">
        <v>365</v>
      </c>
      <c r="C571" s="5">
        <v>11613334</v>
      </c>
      <c r="D571" s="5">
        <v>235877</v>
      </c>
      <c r="E571" s="5">
        <f>+IF(FINANCIACION[[#This Row],[$ CAPITAL]]&gt;=0,FINANCIACION[[#This Row],[$ CAPITAL]]+FINANCIACION[[#This Row],[$ INTERESES]],"")</f>
        <v>11849211</v>
      </c>
      <c r="F571" s="5">
        <f>+SUMIFS(FINANCIACION[$ CAPITAL],FINANCIACION[Fecha],"&lt;="&amp;FINANCIACION[[#This Row],[Fecha]],FINANCIACION[PRESTAMO],FINANCIACION[[#This Row],[PRESTAMO]])</f>
        <v>-344444698</v>
      </c>
      <c r="G571" s="53"/>
      <c r="H571" s="53"/>
      <c r="I571" s="5">
        <f>IF(FINANCIACION[[#This Row],[$ CAPITAL]]&gt;0,FINANCIACION[[#This Row],[$ CAPITAL]])</f>
        <v>11613334</v>
      </c>
      <c r="J571" s="33">
        <f>IF(FINANCIACION[[#This Row],[$ CAPITAL]]&gt;=0,FINANCIACION[[#This Row],[$ CAPITAL]]+FINANCIACION[[#This Row],[$ INTERESES]],0)</f>
        <v>11849211</v>
      </c>
    </row>
    <row r="572" spans="1:10" ht="24" hidden="1" customHeight="1" x14ac:dyDescent="0.25">
      <c r="A572" s="109">
        <v>44426</v>
      </c>
      <c r="B572" s="50" t="s">
        <v>365</v>
      </c>
      <c r="C572" s="5">
        <v>5709486</v>
      </c>
      <c r="D572" s="5">
        <v>242086</v>
      </c>
      <c r="E572" s="5">
        <f>+IF(FINANCIACION[[#This Row],[$ CAPITAL]]&gt;=0,FINANCIACION[[#This Row],[$ CAPITAL]]+FINANCIACION[[#This Row],[$ INTERESES]],"")</f>
        <v>5951572</v>
      </c>
      <c r="F572" s="5">
        <f>+SUMIFS(FINANCIACION[$ CAPITAL],FINANCIACION[Fecha],"&lt;="&amp;FINANCIACION[[#This Row],[Fecha]],FINANCIACION[PRESTAMO],FINANCIACION[[#This Row],[PRESTAMO]])</f>
        <v>-338735212</v>
      </c>
      <c r="G572" s="7"/>
      <c r="H572" s="53"/>
      <c r="I572" s="5">
        <f>IF(FINANCIACION[[#This Row],[$ CAPITAL]]&gt;0,FINANCIACION[[#This Row],[$ CAPITAL]])</f>
        <v>5709486</v>
      </c>
      <c r="J572" s="33">
        <f>IF(FINANCIACION[[#This Row],[$ CAPITAL]]&gt;=0,FINANCIACION[[#This Row],[$ CAPITAL]]+FINANCIACION[[#This Row],[$ INTERESES]],0)</f>
        <v>5951572</v>
      </c>
    </row>
    <row r="573" spans="1:10" ht="24" hidden="1" customHeight="1" x14ac:dyDescent="0.25">
      <c r="A573" s="109">
        <v>44459</v>
      </c>
      <c r="B573" s="50" t="s">
        <v>365</v>
      </c>
      <c r="C573" s="5">
        <v>5238034</v>
      </c>
      <c r="D573" s="5">
        <v>713538</v>
      </c>
      <c r="E573" s="5">
        <f>+IF(FINANCIACION[[#This Row],[$ CAPITAL]]&gt;=0,FINANCIACION[[#This Row],[$ CAPITAL]]+FINANCIACION[[#This Row],[$ INTERESES]],"")</f>
        <v>5951572</v>
      </c>
      <c r="F573" s="5">
        <f>+SUMIFS(FINANCIACION[$ CAPITAL],FINANCIACION[Fecha],"&lt;="&amp;FINANCIACION[[#This Row],[Fecha]],FINANCIACION[PRESTAMO],FINANCIACION[[#This Row],[PRESTAMO]])</f>
        <v>-333497178</v>
      </c>
      <c r="G573" s="7"/>
      <c r="H573" s="53"/>
      <c r="I573" s="5">
        <f>IF(FINANCIACION[[#This Row],[$ CAPITAL]]&gt;0,FINANCIACION[[#This Row],[$ CAPITAL]])</f>
        <v>5238034</v>
      </c>
      <c r="J573" s="33">
        <f>IF(FINANCIACION[[#This Row],[$ CAPITAL]]&gt;=0,FINANCIACION[[#This Row],[$ CAPITAL]]+FINANCIACION[[#This Row],[$ INTERESES]],0)</f>
        <v>5951572</v>
      </c>
    </row>
    <row r="574" spans="1:10" ht="24" hidden="1" customHeight="1" x14ac:dyDescent="0.25">
      <c r="A574" s="109">
        <v>44488</v>
      </c>
      <c r="B574" s="50" t="s">
        <v>365</v>
      </c>
      <c r="C574" s="5">
        <v>5238034</v>
      </c>
      <c r="D574" s="5">
        <v>683538</v>
      </c>
      <c r="E574" s="5">
        <f>+IF(FINANCIACION[[#This Row],[$ CAPITAL]]&gt;=0,FINANCIACION[[#This Row],[$ CAPITAL]]+FINANCIACION[[#This Row],[$ INTERESES]],"")</f>
        <v>5921572</v>
      </c>
      <c r="F574" s="5">
        <f>+SUMIFS(FINANCIACION[$ CAPITAL],FINANCIACION[Fecha],"&lt;="&amp;FINANCIACION[[#This Row],[Fecha]],FINANCIACION[PRESTAMO],FINANCIACION[[#This Row],[PRESTAMO]])</f>
        <v>-328259144</v>
      </c>
      <c r="G574" s="53"/>
      <c r="H574" s="53"/>
      <c r="I574" s="5">
        <f>IF(FINANCIACION[[#This Row],[$ CAPITAL]]&gt;0,FINANCIACION[[#This Row],[$ CAPITAL]])</f>
        <v>5238034</v>
      </c>
      <c r="J574" s="33">
        <f>IF(FINANCIACION[[#This Row],[$ CAPITAL]]&gt;=0,FINANCIACION[[#This Row],[$ CAPITAL]]+FINANCIACION[[#This Row],[$ INTERESES]],0)</f>
        <v>5921572</v>
      </c>
    </row>
    <row r="575" spans="1:10" ht="24" hidden="1" customHeight="1" x14ac:dyDescent="0.25">
      <c r="A575" s="109">
        <v>44518</v>
      </c>
      <c r="B575" s="50" t="s">
        <v>365</v>
      </c>
      <c r="C575" s="5">
        <v>5143385</v>
      </c>
      <c r="D575" s="5">
        <v>835554</v>
      </c>
      <c r="E575" s="5">
        <f>+IF(FINANCIACION[[#This Row],[$ CAPITAL]]&gt;=0,FINANCIACION[[#This Row],[$ CAPITAL]]+FINANCIACION[[#This Row],[$ INTERESES]],"")</f>
        <v>5978939</v>
      </c>
      <c r="F575" s="5">
        <f>+SUMIFS(FINANCIACION[$ CAPITAL],FINANCIACION[Fecha],"&lt;="&amp;FINANCIACION[[#This Row],[Fecha]],FINANCIACION[PRESTAMO],FINANCIACION[[#This Row],[PRESTAMO]])</f>
        <v>-323115759</v>
      </c>
      <c r="G575" s="53"/>
      <c r="H575" s="53"/>
      <c r="I575" s="5">
        <f>IF(FINANCIACION[[#This Row],[$ CAPITAL]]&gt;0,FINANCIACION[[#This Row],[$ CAPITAL]])</f>
        <v>5143385</v>
      </c>
      <c r="J575" s="33">
        <f>IF(FINANCIACION[[#This Row],[$ CAPITAL]]&gt;=0,FINANCIACION[[#This Row],[$ CAPITAL]]+FINANCIACION[[#This Row],[$ INTERESES]],0)</f>
        <v>5978939</v>
      </c>
    </row>
    <row r="576" spans="1:10" ht="24" hidden="1" customHeight="1" x14ac:dyDescent="0.25">
      <c r="A576" s="109">
        <v>44544</v>
      </c>
      <c r="B576" s="50" t="s">
        <v>365</v>
      </c>
      <c r="C576" s="5">
        <v>4796627</v>
      </c>
      <c r="D576" s="5">
        <v>1182312</v>
      </c>
      <c r="E576" s="5">
        <f>+IF(FINANCIACION[[#This Row],[$ CAPITAL]]&gt;=0,FINANCIACION[[#This Row],[$ CAPITAL]]+FINANCIACION[[#This Row],[$ INTERESES]],"")</f>
        <v>5978939</v>
      </c>
      <c r="F576" s="5">
        <f>+SUMIFS(FINANCIACION[$ CAPITAL],FINANCIACION[Fecha],"&lt;="&amp;FINANCIACION[[#This Row],[Fecha]],FINANCIACION[PRESTAMO],FINANCIACION[[#This Row],[PRESTAMO]])</f>
        <v>-318319132</v>
      </c>
      <c r="G576" s="53"/>
      <c r="H576" s="53"/>
      <c r="I576" s="5">
        <f>IF(FINANCIACION[[#This Row],[$ CAPITAL]]&gt;0,FINANCIACION[[#This Row],[$ CAPITAL]])</f>
        <v>4796627</v>
      </c>
      <c r="J576" s="33">
        <f>IF(FINANCIACION[[#This Row],[$ CAPITAL]]&gt;=0,FINANCIACION[[#This Row],[$ CAPITAL]]+FINANCIACION[[#This Row],[$ INTERESES]],0)</f>
        <v>5978939</v>
      </c>
    </row>
    <row r="577" spans="1:10" ht="24" hidden="1" customHeight="1" x14ac:dyDescent="0.25">
      <c r="A577" s="109">
        <v>44561</v>
      </c>
      <c r="B577" s="50" t="s">
        <v>365</v>
      </c>
      <c r="C577" s="5">
        <v>-18803895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-388924522</v>
      </c>
      <c r="G577" s="53" t="s">
        <v>153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hidden="1" customHeight="1" x14ac:dyDescent="0.25">
      <c r="A578" s="109">
        <v>44561</v>
      </c>
      <c r="B578" s="50" t="s">
        <v>365</v>
      </c>
      <c r="C578" s="5">
        <v>-51801495</v>
      </c>
      <c r="D578" s="5"/>
      <c r="E578" s="5" t="str">
        <f>+IF(FINANCIACION[[#This Row],[$ CAPITAL]]&gt;=0,FINANCIACION[[#This Row],[$ CAPITAL]]+FINANCIACION[[#This Row],[$ INTERESES]],"")</f>
        <v/>
      </c>
      <c r="F578" s="5">
        <f>+SUMIFS(FINANCIACION[$ CAPITAL],FINANCIACION[Fecha],"&lt;="&amp;FINANCIACION[[#This Row],[Fecha]],FINANCIACION[PRESTAMO],FINANCIACION[[#This Row],[PRESTAMO]])</f>
        <v>-388924522</v>
      </c>
      <c r="G578" s="53" t="s">
        <v>461</v>
      </c>
      <c r="H578" s="53"/>
      <c r="I578" s="5" t="b">
        <f>+IF(FINANCIACION[[#This Row],[$ CAPITAL]]&gt;0,FINANCIACION[[#This Row],[$ CAPITAL]])</f>
        <v>0</v>
      </c>
      <c r="J578" s="33">
        <f>+IF(FINANCIACION[[#This Row],[$ CAPITAL]]&gt;=0,FINANCIACION[[#This Row],[$ CAPITAL]]+FINANCIACION[[#This Row],[$ INTERESES]],0)</f>
        <v>0</v>
      </c>
    </row>
    <row r="579" spans="1:10" ht="24" hidden="1" customHeight="1" x14ac:dyDescent="0.25">
      <c r="A579" s="109">
        <v>44579</v>
      </c>
      <c r="B579" s="50" t="s">
        <v>365</v>
      </c>
      <c r="C579" s="5">
        <v>506866</v>
      </c>
      <c r="D579" s="5">
        <v>5475236</v>
      </c>
      <c r="E579" s="5">
        <f>+IF(FINANCIACION[[#This Row],[$ CAPITAL]]&gt;=0,FINANCIACION[[#This Row],[$ CAPITAL]]+FINANCIACION[[#This Row],[$ INTERESES]],"")</f>
        <v>5982102</v>
      </c>
      <c r="F579" s="5">
        <f>+SUMIFS(FINANCIACION[$ CAPITAL],FINANCIACION[Fecha],"&lt;="&amp;FINANCIACION[[#This Row],[Fecha]],FINANCIACION[PRESTAMO],FINANCIACION[[#This Row],[PRESTAMO]])</f>
        <v>-388417656</v>
      </c>
      <c r="G579" s="53"/>
      <c r="H579" s="53"/>
      <c r="I579" s="5">
        <f>IF(FINANCIACION[[#This Row],[$ CAPITAL]]&gt;0,FINANCIACION[[#This Row],[$ CAPITAL]])</f>
        <v>506866</v>
      </c>
      <c r="J579" s="33">
        <f>IF(FINANCIACION[[#This Row],[$ CAPITAL]]&gt;=0,FINANCIACION[[#This Row],[$ CAPITAL]]+FINANCIACION[[#This Row],[$ INTERESES]],0)</f>
        <v>5982102</v>
      </c>
    </row>
    <row r="580" spans="1:10" ht="24" hidden="1" customHeight="1" x14ac:dyDescent="0.25">
      <c r="A580" s="109">
        <v>44610</v>
      </c>
      <c r="B580" s="50" t="s">
        <v>365</v>
      </c>
      <c r="C580" s="5">
        <v>5809351</v>
      </c>
      <c r="D580" s="5">
        <v>379619</v>
      </c>
      <c r="E580" s="5">
        <f>+IF(FINANCIACION[[#This Row],[$ CAPITAL]]&gt;=0,FINANCIACION[[#This Row],[$ CAPITAL]]+FINANCIACION[[#This Row],[$ INTERESES]],"")</f>
        <v>6188970</v>
      </c>
      <c r="F580" s="5">
        <f>+SUMIFS(FINANCIACION[$ CAPITAL],FINANCIACION[Fecha],"&lt;="&amp;FINANCIACION[[#This Row],[Fecha]],FINANCIACION[PRESTAMO],FINANCIACION[[#This Row],[PRESTAMO]])</f>
        <v>-382608305</v>
      </c>
      <c r="G580" s="53"/>
      <c r="H580" s="53"/>
      <c r="I580" s="5">
        <f>+IF(FINANCIACION[[#This Row],[$ CAPITAL]]&gt;0,FINANCIACION[[#This Row],[$ CAPITAL]])</f>
        <v>5809351</v>
      </c>
      <c r="J580" s="33">
        <f>+IF(FINANCIACION[[#This Row],[$ CAPITAL]]&gt;=0,FINANCIACION[[#This Row],[$ CAPITAL]]+FINANCIACION[[#This Row],[$ INTERESES]],0)</f>
        <v>6188970</v>
      </c>
    </row>
    <row r="581" spans="1:10" ht="24" hidden="1" customHeight="1" x14ac:dyDescent="0.25">
      <c r="A581" s="109">
        <v>44638</v>
      </c>
      <c r="B581" s="50" t="s">
        <v>365</v>
      </c>
      <c r="C581" s="5">
        <v>5497957</v>
      </c>
      <c r="D581" s="5">
        <v>252367</v>
      </c>
      <c r="E581" s="5">
        <f>+IF(FINANCIACION[[#This Row],[$ CAPITAL]]&gt;=0,FINANCIACION[[#This Row],[$ CAPITAL]]+FINANCIACION[[#This Row],[$ INTERESES]],"")</f>
        <v>5750324</v>
      </c>
      <c r="F581" s="5">
        <f>+SUMIFS(FINANCIACION[$ CAPITAL],FINANCIACION[Fecha],"&lt;="&amp;FINANCIACION[[#This Row],[Fecha]],FINANCIACION[PRESTAMO],FINANCIACION[[#This Row],[PRESTAMO]])</f>
        <v>-377110348</v>
      </c>
      <c r="G581" s="53"/>
      <c r="H581" s="53"/>
      <c r="I581" s="5">
        <f>+IF(FINANCIACION[[#This Row],[$ CAPITAL]]&gt;0,FINANCIACION[[#This Row],[$ CAPITAL]])</f>
        <v>5497957</v>
      </c>
      <c r="J581" s="33">
        <f>+IF(FINANCIACION[[#This Row],[$ CAPITAL]]&gt;=0,FINANCIACION[[#This Row],[$ CAPITAL]]+FINANCIACION[[#This Row],[$ INTERESES]],0)</f>
        <v>5750324</v>
      </c>
    </row>
    <row r="582" spans="1:10" ht="24" hidden="1" customHeight="1" x14ac:dyDescent="0.25">
      <c r="A582" s="109">
        <v>44670</v>
      </c>
      <c r="B582" s="50" t="s">
        <v>365</v>
      </c>
      <c r="C582" s="5">
        <v>4839732</v>
      </c>
      <c r="D582" s="5">
        <v>910592</v>
      </c>
      <c r="E582" s="5">
        <f>+IF(FINANCIACION[[#This Row],[$ CAPITAL]]&gt;=0,FINANCIACION[[#This Row],[$ CAPITAL]]+FINANCIACION[[#This Row],[$ INTERESES]],"")</f>
        <v>5750324</v>
      </c>
      <c r="F582" s="5">
        <f>+SUMIFS(FINANCIACION[$ CAPITAL],FINANCIACION[Fecha],"&lt;="&amp;FINANCIACION[[#This Row],[Fecha]],FINANCIACION[PRESTAMO],FINANCIACION[[#This Row],[PRESTAMO]])</f>
        <v>-372270616</v>
      </c>
      <c r="G582" s="53"/>
      <c r="H582" s="53"/>
      <c r="I582" s="5">
        <f>+IF(FINANCIACION[[#This Row],[$ CAPITAL]]&gt;0,FINANCIACION[[#This Row],[$ CAPITAL]])</f>
        <v>4839732</v>
      </c>
      <c r="J582" s="33">
        <f>+IF(FINANCIACION[[#This Row],[$ CAPITAL]]&gt;=0,FINANCIACION[[#This Row],[$ CAPITAL]]+FINANCIACION[[#This Row],[$ INTERESES]],0)</f>
        <v>5750324</v>
      </c>
    </row>
    <row r="583" spans="1:10" ht="24" hidden="1" customHeight="1" x14ac:dyDescent="0.25">
      <c r="A583" s="109">
        <v>44699</v>
      </c>
      <c r="B583" s="50" t="s">
        <v>365</v>
      </c>
      <c r="C583" s="5">
        <v>5828926</v>
      </c>
      <c r="D583" s="5">
        <v>266879</v>
      </c>
      <c r="E583" s="5">
        <f>+IF(FINANCIACION[[#This Row],[$ CAPITAL]]&gt;=0,FINANCIACION[[#This Row],[$ CAPITAL]]+FINANCIACION[[#This Row],[$ INTERESES]],"")</f>
        <v>6095805</v>
      </c>
      <c r="F583" s="5">
        <f>+SUMIFS(FINANCIACION[$ CAPITAL],FINANCIACION[Fecha],"&lt;="&amp;FINANCIACION[[#This Row],[Fecha]],FINANCIACION[PRESTAMO],FINANCIACION[[#This Row],[PRESTAMO]])</f>
        <v>-366441690</v>
      </c>
      <c r="G583" s="53"/>
      <c r="H583" s="53"/>
      <c r="I583" s="5">
        <f>+IF(FINANCIACION[[#This Row],[$ CAPITAL]]&gt;0,FINANCIACION[[#This Row],[$ CAPITAL]])</f>
        <v>5828926</v>
      </c>
      <c r="J583" s="33">
        <f>+IF(FINANCIACION[[#This Row],[$ CAPITAL]]&gt;=0,FINANCIACION[[#This Row],[$ CAPITAL]]+FINANCIACION[[#This Row],[$ INTERESES]],0)</f>
        <v>6095805</v>
      </c>
    </row>
    <row r="584" spans="1:10" ht="24" hidden="1" customHeight="1" x14ac:dyDescent="0.25">
      <c r="A584" s="109">
        <v>44733</v>
      </c>
      <c r="B584" s="50" t="s">
        <v>365</v>
      </c>
      <c r="C584" s="5">
        <v>1384152</v>
      </c>
      <c r="D584" s="5">
        <v>4711653</v>
      </c>
      <c r="E584" s="5">
        <f>+IF(FINANCIACION[[#This Row],[$ CAPITAL]]&gt;=0,FINANCIACION[[#This Row],[$ CAPITAL]]+FINANCIACION[[#This Row],[$ INTERESES]],"")</f>
        <v>6095805</v>
      </c>
      <c r="F584" s="5">
        <f>+SUMIFS(FINANCIACION[$ CAPITAL],FINANCIACION[Fecha],"&lt;="&amp;FINANCIACION[[#This Row],[Fecha]],FINANCIACION[PRESTAMO],FINANCIACION[[#This Row],[PRESTAMO]])</f>
        <v>-365057538</v>
      </c>
      <c r="G584" s="53"/>
      <c r="H584" s="53"/>
      <c r="I584" s="5">
        <f>+IF(FINANCIACION[[#This Row],[$ CAPITAL]]&gt;0,FINANCIACION[[#This Row],[$ CAPITAL]])</f>
        <v>1384152</v>
      </c>
      <c r="J584" s="33">
        <f>+IF(FINANCIACION[[#This Row],[$ CAPITAL]]&gt;=0,FINANCIACION[[#This Row],[$ CAPITAL]]+FINANCIACION[[#This Row],[$ INTERESES]],0)</f>
        <v>6095805</v>
      </c>
    </row>
    <row r="585" spans="1:10" ht="24" hidden="1" customHeight="1" x14ac:dyDescent="0.25">
      <c r="A585" s="109">
        <v>44761</v>
      </c>
      <c r="B585" s="50" t="s">
        <v>365</v>
      </c>
      <c r="C585" s="5">
        <v>1336670</v>
      </c>
      <c r="D585" s="5">
        <v>4759135</v>
      </c>
      <c r="E585" s="5">
        <f>+IF(FINANCIACION[[#This Row],[$ CAPITAL]]&gt;=0,FINANCIACION[[#This Row],[$ CAPITAL]]+FINANCIACION[[#This Row],[$ INTERESES]],"")</f>
        <v>6095805</v>
      </c>
      <c r="F585" s="5">
        <f>+SUMIFS(FINANCIACION[$ CAPITAL],FINANCIACION[Fecha],"&lt;="&amp;FINANCIACION[[#This Row],[Fecha]],FINANCIACION[PRESTAMO],FINANCIACION[[#This Row],[PRESTAMO]])</f>
        <v>-363720868</v>
      </c>
      <c r="G585" s="53"/>
      <c r="H585" s="53"/>
      <c r="I585" s="5">
        <f>+IF(FINANCIACION[[#This Row],[$ CAPITAL]]&gt;0,FINANCIACION[[#This Row],[$ CAPITAL]])</f>
        <v>1336670</v>
      </c>
      <c r="J585" s="33">
        <f>+IF(FINANCIACION[[#This Row],[$ CAPITAL]]&gt;=0,FINANCIACION[[#This Row],[$ CAPITAL]]+FINANCIACION[[#This Row],[$ INTERESES]],0)</f>
        <v>6095805</v>
      </c>
    </row>
    <row r="586" spans="1:10" ht="24" hidden="1" customHeight="1" x14ac:dyDescent="0.25">
      <c r="A586" s="109">
        <v>44791</v>
      </c>
      <c r="B586" s="50" t="s">
        <v>365</v>
      </c>
      <c r="C586" s="5">
        <v>1264566</v>
      </c>
      <c r="D586" s="5">
        <v>5302748</v>
      </c>
      <c r="E586" s="5">
        <f>+IF(FINANCIACION[[#This Row],[$ CAPITAL]]&gt;=0,FINANCIACION[[#This Row],[$ CAPITAL]]+FINANCIACION[[#This Row],[$ INTERESES]],"")</f>
        <v>6567314</v>
      </c>
      <c r="F586" s="5">
        <f>+SUMIFS(FINANCIACION[$ CAPITAL],FINANCIACION[Fecha],"&lt;="&amp;FINANCIACION[[#This Row],[Fecha]],FINANCIACION[PRESTAMO],FINANCIACION[[#This Row],[PRESTAMO]])</f>
        <v>-362456302</v>
      </c>
      <c r="G586" s="53"/>
      <c r="H586" s="53"/>
      <c r="I586" s="5">
        <f>+IF(FINANCIACION[[#This Row],[$ CAPITAL]]&gt;0,FINANCIACION[[#This Row],[$ CAPITAL]])</f>
        <v>1264566</v>
      </c>
      <c r="J586" s="33">
        <f>+IF(FINANCIACION[[#This Row],[$ CAPITAL]]&gt;=0,FINANCIACION[[#This Row],[$ CAPITAL]]+FINANCIACION[[#This Row],[$ INTERESES]],0)</f>
        <v>6567314</v>
      </c>
    </row>
    <row r="587" spans="1:10" ht="24" hidden="1" customHeight="1" x14ac:dyDescent="0.25">
      <c r="A587" s="109">
        <v>44823</v>
      </c>
      <c r="B587" s="50" t="s">
        <v>365</v>
      </c>
      <c r="C587" s="5">
        <v>1283103</v>
      </c>
      <c r="D587" s="5">
        <v>4776103</v>
      </c>
      <c r="E587" s="5">
        <f>+IF(FINANCIACION[[#This Row],[$ CAPITAL]]&gt;=0,FINANCIACION[[#This Row],[$ CAPITAL]]+FINANCIACION[[#This Row],[$ INTERESES]],"")</f>
        <v>6059206</v>
      </c>
      <c r="F587" s="5">
        <f>+SUMIFS(FINANCIACION[$ CAPITAL],FINANCIACION[Fecha],"&lt;="&amp;FINANCIACION[[#This Row],[Fecha]],FINANCIACION[PRESTAMO],FINANCIACION[[#This Row],[PRESTAMO]])</f>
        <v>-361173199</v>
      </c>
      <c r="G587" s="53"/>
      <c r="H587" s="53"/>
      <c r="I587" s="5">
        <f>+IF(FINANCIACION[[#This Row],[$ CAPITAL]]&gt;0,FINANCIACION[[#This Row],[$ CAPITAL]])</f>
        <v>1283103</v>
      </c>
      <c r="J587" s="33">
        <f>+IF(FINANCIACION[[#This Row],[$ CAPITAL]]&gt;=0,FINANCIACION[[#This Row],[$ CAPITAL]]+FINANCIACION[[#This Row],[$ INTERESES]],0)</f>
        <v>6059206</v>
      </c>
    </row>
    <row r="588" spans="1:10" ht="24" hidden="1" customHeight="1" x14ac:dyDescent="0.25">
      <c r="A588" s="109">
        <v>44853</v>
      </c>
      <c r="B588" s="50" t="s">
        <v>365</v>
      </c>
      <c r="C588" s="5">
        <v>1301911</v>
      </c>
      <c r="D588" s="5">
        <v>4884117</v>
      </c>
      <c r="E588" s="5">
        <f>+IF(FINANCIACION[[#This Row],[$ CAPITAL]]&gt;=0,FINANCIACION[[#This Row],[$ CAPITAL]]+FINANCIACION[[#This Row],[$ INTERESES]],"")</f>
        <v>6186028</v>
      </c>
      <c r="F588" s="5">
        <f>+SUMIFS(FINANCIACION[$ CAPITAL],FINANCIACION[Fecha],"&lt;="&amp;FINANCIACION[[#This Row],[Fecha]],FINANCIACION[PRESTAMO],FINANCIACION[[#This Row],[PRESTAMO]])</f>
        <v>-359871288</v>
      </c>
      <c r="G588" s="53"/>
      <c r="H588" s="53"/>
      <c r="I588" s="5">
        <f>+IF(FINANCIACION[[#This Row],[$ CAPITAL]]&gt;0,FINANCIACION[[#This Row],[$ CAPITAL]])</f>
        <v>1301911</v>
      </c>
      <c r="J588" s="33">
        <f>+IF(FINANCIACION[[#This Row],[$ CAPITAL]]&gt;=0,FINANCIACION[[#This Row],[$ CAPITAL]]+FINANCIACION[[#This Row],[$ INTERESES]],0)</f>
        <v>6186028</v>
      </c>
    </row>
    <row r="589" spans="1:10" ht="24" hidden="1" customHeight="1" x14ac:dyDescent="0.25">
      <c r="A589" s="109">
        <v>44884</v>
      </c>
      <c r="B589" s="50" t="s">
        <v>365</v>
      </c>
      <c r="C589" s="5">
        <v>1161336</v>
      </c>
      <c r="D589" s="5">
        <v>5945012</v>
      </c>
      <c r="E589" s="5">
        <f>+IF(FINANCIACION[[#This Row],[$ CAPITAL]]&gt;=0,FINANCIACION[[#This Row],[$ CAPITAL]]+FINANCIACION[[#This Row],[$ INTERESES]],"")</f>
        <v>7106348</v>
      </c>
      <c r="F589" s="5">
        <f>+SUMIFS(FINANCIACION[$ CAPITAL],FINANCIACION[Fecha],"&lt;="&amp;FINANCIACION[[#This Row],[Fecha]],FINANCIACION[PRESTAMO],FINANCIACION[[#This Row],[PRESTAMO]])</f>
        <v>-358709952</v>
      </c>
      <c r="G589" s="53"/>
      <c r="H589" s="53"/>
      <c r="I589" s="5">
        <f>+IF(FINANCIACION[[#This Row],[$ CAPITAL]]&gt;0,FINANCIACION[[#This Row],[$ CAPITAL]])</f>
        <v>1161336</v>
      </c>
      <c r="J589" s="33">
        <f>+IF(FINANCIACION[[#This Row],[$ CAPITAL]]&gt;=0,FINANCIACION[[#This Row],[$ CAPITAL]]+FINANCIACION[[#This Row],[$ INTERESES]],0)</f>
        <v>7106348</v>
      </c>
    </row>
    <row r="590" spans="1:10" ht="24" hidden="1" customHeight="1" x14ac:dyDescent="0.25">
      <c r="A590" s="109">
        <v>44911</v>
      </c>
      <c r="B590" s="50" t="s">
        <v>365</v>
      </c>
      <c r="C590" s="5">
        <v>1179230</v>
      </c>
      <c r="D590" s="5">
        <v>4989908</v>
      </c>
      <c r="E590" s="5">
        <f>+IF(FINANCIACION[[#This Row],[$ CAPITAL]]&gt;=0,FINANCIACION[[#This Row],[$ CAPITAL]]+FINANCIACION[[#This Row],[$ INTERESES]],"")</f>
        <v>6169138</v>
      </c>
      <c r="F590" s="5">
        <f>+SUMIFS(FINANCIACION[$ CAPITAL],FINANCIACION[Fecha],"&lt;="&amp;FINANCIACION[[#This Row],[Fecha]],FINANCIACION[PRESTAMO],FINANCIACION[[#This Row],[PRESTAMO]])</f>
        <v>-357530722</v>
      </c>
      <c r="G590" s="53"/>
      <c r="H590" s="53"/>
      <c r="I590" s="5">
        <f>+IF(FINANCIACION[[#This Row],[$ CAPITAL]]&gt;0,FINANCIACION[[#This Row],[$ CAPITAL]])</f>
        <v>1179230</v>
      </c>
      <c r="J590" s="33">
        <f>+IF(FINANCIACION[[#This Row],[$ CAPITAL]]&gt;=0,FINANCIACION[[#This Row],[$ CAPITAL]]+FINANCIACION[[#This Row],[$ INTERESES]],0)</f>
        <v>6169138</v>
      </c>
    </row>
    <row r="591" spans="1:10" ht="24" hidden="1" customHeight="1" x14ac:dyDescent="0.25">
      <c r="A591" s="109">
        <v>44943</v>
      </c>
      <c r="B591" s="50" t="s">
        <v>365</v>
      </c>
      <c r="C591" s="5">
        <v>1200732</v>
      </c>
      <c r="D591" s="5">
        <v>5930311</v>
      </c>
      <c r="E591" s="5">
        <f>+IF(FINANCIACION[[#This Row],[$ CAPITAL]]&gt;=0,FINANCIACION[[#This Row],[$ CAPITAL]]+FINANCIACION[[#This Row],[$ INTERESES]],"")</f>
        <v>7131043</v>
      </c>
      <c r="F591" s="5">
        <f>+SUMIFS(FINANCIACION[$ CAPITAL],FINANCIACION[Fecha],"&lt;="&amp;FINANCIACION[[#This Row],[Fecha]],FINANCIACION[PRESTAMO],FINANCIACION[[#This Row],[PRESTAMO]])</f>
        <v>-356329990</v>
      </c>
      <c r="G591" s="53"/>
      <c r="H591" s="53"/>
      <c r="I591" s="5">
        <f>+IF(FINANCIACION[[#This Row],[$ CAPITAL]]&gt;0,FINANCIACION[[#This Row],[$ CAPITAL]])</f>
        <v>1200732</v>
      </c>
      <c r="J591" s="33">
        <f>+IF(FINANCIACION[[#This Row],[$ CAPITAL]]&gt;=0,FINANCIACION[[#This Row],[$ CAPITAL]]+FINANCIACION[[#This Row],[$ INTERESES]],0)</f>
        <v>7131043</v>
      </c>
    </row>
    <row r="592" spans="1:10" ht="24" hidden="1" customHeight="1" x14ac:dyDescent="0.25">
      <c r="A592" s="109">
        <v>44978</v>
      </c>
      <c r="B592" s="50" t="s">
        <v>365</v>
      </c>
      <c r="C592" s="5">
        <v>1090811</v>
      </c>
      <c r="D592" s="5">
        <v>6525724</v>
      </c>
      <c r="E592" s="5">
        <f>+IF(FINANCIACION[[#This Row],[$ CAPITAL]]&gt;=0,FINANCIACION[[#This Row],[$ CAPITAL]]+FINANCIACION[[#This Row],[$ INTERESES]],"")</f>
        <v>7616535</v>
      </c>
      <c r="F592" s="5">
        <f>+SUMIFS(FINANCIACION[$ CAPITAL],FINANCIACION[Fecha],"&lt;="&amp;FINANCIACION[[#This Row],[Fecha]],FINANCIACION[PRESTAMO],FINANCIACION[[#This Row],[PRESTAMO]])</f>
        <v>-355239179</v>
      </c>
      <c r="G592" s="53"/>
      <c r="H592" s="53"/>
      <c r="I592" s="5">
        <f>+IF(FINANCIACION[[#This Row],[$ CAPITAL]]&gt;0,FINANCIACION[[#This Row],[$ CAPITAL]])</f>
        <v>1090811</v>
      </c>
      <c r="J592" s="33">
        <f>+IF(FINANCIACION[[#This Row],[$ CAPITAL]]&gt;=0,FINANCIACION[[#This Row],[$ CAPITAL]]+FINANCIACION[[#This Row],[$ INTERESES]],0)</f>
        <v>7616535</v>
      </c>
    </row>
    <row r="593" spans="1:10" ht="24" hidden="1" customHeight="1" x14ac:dyDescent="0.25">
      <c r="A593" s="109">
        <v>45006</v>
      </c>
      <c r="B593" s="50" t="s">
        <v>365</v>
      </c>
      <c r="C593" s="5">
        <v>1111000</v>
      </c>
      <c r="D593" s="5">
        <v>13053979</v>
      </c>
      <c r="E593" s="5">
        <f>+IF(FINANCIACION[[#This Row],[$ CAPITAL]]&gt;=0,FINANCIACION[[#This Row],[$ CAPITAL]]+FINANCIACION[[#This Row],[$ INTERESES]],"")</f>
        <v>14164979</v>
      </c>
      <c r="F593" s="5">
        <f>+SUMIFS(FINANCIACION[$ CAPITAL],FINANCIACION[Fecha],"&lt;="&amp;FINANCIACION[[#This Row],[Fecha]],FINANCIACION[PRESTAMO],FINANCIACION[[#This Row],[PRESTAMO]])</f>
        <v>-354128179</v>
      </c>
      <c r="G593" s="53" t="s">
        <v>728</v>
      </c>
      <c r="H593" s="53"/>
      <c r="I593" s="5">
        <f>+IF(FINANCIACION[[#This Row],[$ CAPITAL]]&gt;0,FINANCIACION[[#This Row],[$ CAPITAL]])</f>
        <v>1111000</v>
      </c>
      <c r="J593" s="33">
        <f>+IF(FINANCIACION[[#This Row],[$ CAPITAL]]&gt;=0,FINANCIACION[[#This Row],[$ CAPITAL]]+FINANCIACION[[#This Row],[$ INTERESES]],0)</f>
        <v>14164979</v>
      </c>
    </row>
    <row r="594" spans="1:10" ht="24" hidden="1" customHeight="1" x14ac:dyDescent="0.25">
      <c r="A594" s="109">
        <v>45034</v>
      </c>
      <c r="B594" s="50" t="s">
        <v>365</v>
      </c>
      <c r="C594" s="5">
        <v>1239164</v>
      </c>
      <c r="D594" s="5">
        <v>6376253</v>
      </c>
      <c r="E594" s="5">
        <f>+IF(FINANCIACION[[#This Row],[$ CAPITAL]]&gt;=0,FINANCIACION[[#This Row],[$ CAPITAL]]+FINANCIACION[[#This Row],[$ INTERESES]],"")</f>
        <v>7615417</v>
      </c>
      <c r="F594" s="5">
        <f>+SUMIFS(FINANCIACION[$ CAPITAL],FINANCIACION[Fecha],"&lt;="&amp;FINANCIACION[[#This Row],[Fecha]],FINANCIACION[PRESTAMO],FINANCIACION[[#This Row],[PRESTAMO]])</f>
        <v>-352889015</v>
      </c>
      <c r="G594" s="53"/>
      <c r="H594" s="53"/>
      <c r="I594" s="5">
        <f>+IF(FINANCIACION[[#This Row],[$ CAPITAL]]&gt;0,FINANCIACION[[#This Row],[$ CAPITAL]])</f>
        <v>1239164</v>
      </c>
      <c r="J594" s="33">
        <f>+IF(FINANCIACION[[#This Row],[$ CAPITAL]]&gt;=0,FINANCIACION[[#This Row],[$ CAPITAL]]+FINANCIACION[[#This Row],[$ INTERESES]],0)</f>
        <v>7615417</v>
      </c>
    </row>
    <row r="595" spans="1:10" ht="24" hidden="1" customHeight="1" x14ac:dyDescent="0.25">
      <c r="A595" s="109">
        <v>45064</v>
      </c>
      <c r="B595" s="50" t="s">
        <v>365</v>
      </c>
      <c r="C595" s="5">
        <v>1184963</v>
      </c>
      <c r="D595" s="5">
        <v>6311276</v>
      </c>
      <c r="E595" s="5">
        <f>+IF(FINANCIACION[[#This Row],[$ CAPITAL]]&gt;=0,FINANCIACION[[#This Row],[$ CAPITAL]]+FINANCIACION[[#This Row],[$ INTERESES]],"")</f>
        <v>7496239</v>
      </c>
      <c r="F595" s="5">
        <f>+SUMIFS(FINANCIACION[$ CAPITAL],FINANCIACION[Fecha],"&lt;="&amp;FINANCIACION[[#This Row],[Fecha]],FINANCIACION[PRESTAMO],FINANCIACION[[#This Row],[PRESTAMO]])</f>
        <v>-351704052</v>
      </c>
      <c r="G595" s="53"/>
      <c r="H595" s="53"/>
      <c r="I595" s="5">
        <f>+IF(FINANCIACION[[#This Row],[$ CAPITAL]]&gt;0,FINANCIACION[[#This Row],[$ CAPITAL]])</f>
        <v>1184963</v>
      </c>
      <c r="J595" s="33">
        <f>+IF(FINANCIACION[[#This Row],[$ CAPITAL]]&gt;=0,FINANCIACION[[#This Row],[$ CAPITAL]]+FINANCIACION[[#This Row],[$ INTERESES]],0)</f>
        <v>7496239</v>
      </c>
    </row>
    <row r="596" spans="1:10" ht="24" hidden="1" customHeight="1" x14ac:dyDescent="0.25">
      <c r="A596" s="109">
        <v>45097</v>
      </c>
      <c r="B596" s="50" t="s">
        <v>365</v>
      </c>
      <c r="C596" s="5">
        <v>1206607</v>
      </c>
      <c r="D596" s="5">
        <v>5908346</v>
      </c>
      <c r="E596" s="5">
        <f>+IF(FINANCIACION[[#This Row],[$ CAPITAL]]&gt;=0,FINANCIACION[[#This Row],[$ CAPITAL]]+FINANCIACION[[#This Row],[$ INTERESES]],"")</f>
        <v>7114953</v>
      </c>
      <c r="F596" s="5">
        <f>+SUMIFS(FINANCIACION[$ CAPITAL],FINANCIACION[Fecha],"&lt;="&amp;FINANCIACION[[#This Row],[Fecha]],FINANCIACION[PRESTAMO],FINANCIACION[[#This Row],[PRESTAMO]])</f>
        <v>-350497445</v>
      </c>
      <c r="G596" s="53"/>
      <c r="H596" s="53"/>
      <c r="I596" s="5">
        <f>+IF(FINANCIACION[[#This Row],[$ CAPITAL]]&gt;0,FINANCIACION[[#This Row],[$ CAPITAL]])</f>
        <v>1206607</v>
      </c>
      <c r="J596" s="33">
        <f>+IF(FINANCIACION[[#This Row],[$ CAPITAL]]&gt;=0,FINANCIACION[[#This Row],[$ CAPITAL]]+FINANCIACION[[#This Row],[$ INTERESES]],0)</f>
        <v>7114953</v>
      </c>
    </row>
    <row r="597" spans="1:10" ht="24" hidden="1" customHeight="1" x14ac:dyDescent="0.25">
      <c r="A597" s="136">
        <v>45107</v>
      </c>
      <c r="B597" s="137" t="s">
        <v>365</v>
      </c>
      <c r="C597" s="138">
        <v>2089972</v>
      </c>
      <c r="D597" s="138"/>
      <c r="E597" s="138">
        <f>+IF(FINANCIACION[[#This Row],[$ CAPITAL]]&gt;=0,FINANCIACION[[#This Row],[$ CAPITAL]]+FINANCIACION[[#This Row],[$ INTERESES]],"")</f>
        <v>2089972</v>
      </c>
      <c r="F597" s="5">
        <f>+SUMIFS(FINANCIACION[$ CAPITAL],FINANCIACION[Fecha],"&lt;="&amp;FINANCIACION[[#This Row],[Fecha]],FINANCIACION[PRESTAMO],FINANCIACION[[#This Row],[PRESTAMO]])</f>
        <v>-348407473</v>
      </c>
      <c r="G597" s="53" t="s">
        <v>934</v>
      </c>
      <c r="H597" s="53"/>
      <c r="I597" s="5">
        <f>+IF(FINANCIACION[[#This Row],[$ CAPITAL]]&gt;0,FINANCIACION[[#This Row],[$ CAPITAL]])</f>
        <v>2089972</v>
      </c>
      <c r="J597" s="33">
        <f>+IF(FINANCIACION[[#This Row],[$ CAPITAL]]&gt;=0,FINANCIACION[[#This Row],[$ CAPITAL]]+FINANCIACION[[#This Row],[$ INTERESES]],0)</f>
        <v>2089972</v>
      </c>
    </row>
    <row r="598" spans="1:10" ht="24" hidden="1" customHeight="1" x14ac:dyDescent="0.25">
      <c r="A598" s="109">
        <v>45125</v>
      </c>
      <c r="B598" s="50" t="s">
        <v>365</v>
      </c>
      <c r="C598" s="5">
        <v>1228646</v>
      </c>
      <c r="D598" s="5">
        <f>5734853+151454+370999+10287</f>
        <v>6267593</v>
      </c>
      <c r="E598" s="5">
        <f>+IF(FINANCIACION[[#This Row],[$ CAPITAL]]&gt;=0,FINANCIACION[[#This Row],[$ CAPITAL]]+FINANCIACION[[#This Row],[$ INTERESES]],"")</f>
        <v>7496239</v>
      </c>
      <c r="F598" s="5">
        <f>+SUMIFS(FINANCIACION[$ CAPITAL],FINANCIACION[Fecha],"&lt;="&amp;FINANCIACION[[#This Row],[Fecha]],FINANCIACION[PRESTAMO],FINANCIACION[[#This Row],[PRESTAMO]])</f>
        <v>-347178827</v>
      </c>
      <c r="G598" s="53"/>
      <c r="H598" s="53"/>
      <c r="I598" s="5">
        <f>+IF(FINANCIACION[[#This Row],[$ CAPITAL]]&gt;0,FINANCIACION[[#This Row],[$ CAPITAL]])</f>
        <v>1228646</v>
      </c>
      <c r="J598" s="33">
        <f>+IF(FINANCIACION[[#This Row],[$ CAPITAL]]&gt;=0,FINANCIACION[[#This Row],[$ CAPITAL]]+FINANCIACION[[#This Row],[$ INTERESES]],0)</f>
        <v>7496239</v>
      </c>
    </row>
    <row r="599" spans="1:10" ht="24" hidden="1" customHeight="1" x14ac:dyDescent="0.25">
      <c r="A599" s="109">
        <v>45156</v>
      </c>
      <c r="B599" s="50" t="s">
        <v>365</v>
      </c>
      <c r="C599" s="5">
        <v>1251087</v>
      </c>
      <c r="D599" s="5">
        <f>5712412+151454+370999+10287</f>
        <v>6245152</v>
      </c>
      <c r="E599" s="5">
        <f>+IF(FINANCIACION[[#This Row],[$ CAPITAL]]&gt;=0,FINANCIACION[[#This Row],[$ CAPITAL]]+FINANCIACION[[#This Row],[$ INTERESES]],"")</f>
        <v>7496239</v>
      </c>
      <c r="F599" s="5">
        <f>+SUMIFS(FINANCIACION[$ CAPITAL],FINANCIACION[Fecha],"&lt;="&amp;FINANCIACION[[#This Row],[Fecha]],FINANCIACION[PRESTAMO],FINANCIACION[[#This Row],[PRESTAMO]])</f>
        <v>-345927740</v>
      </c>
      <c r="G599" s="53"/>
      <c r="H599" s="53"/>
      <c r="I599" s="5">
        <f>+IF(FINANCIACION[[#This Row],[$ CAPITAL]]&gt;0,FINANCIACION[[#This Row],[$ CAPITAL]])</f>
        <v>1251087</v>
      </c>
      <c r="J599" s="33">
        <f>+IF(FINANCIACION[[#This Row],[$ CAPITAL]]&gt;=0,FINANCIACION[[#This Row],[$ CAPITAL]]+FINANCIACION[[#This Row],[$ INTERESES]],0)</f>
        <v>7496239</v>
      </c>
    </row>
    <row r="600" spans="1:10" ht="24" hidden="1" customHeight="1" x14ac:dyDescent="0.25">
      <c r="A600" s="109">
        <v>45187</v>
      </c>
      <c r="B600" s="50" t="s">
        <v>365</v>
      </c>
      <c r="C600" s="5">
        <v>1273939</v>
      </c>
      <c r="D600" s="5">
        <f>5689560+151454+381286</f>
        <v>6222300</v>
      </c>
      <c r="E600" s="5">
        <f>+IF(FINANCIACION[[#This Row],[$ CAPITAL]]&gt;=0,FINANCIACION[[#This Row],[$ CAPITAL]]+FINANCIACION[[#This Row],[$ INTERESES]],"")</f>
        <v>7496239</v>
      </c>
      <c r="F600" s="5">
        <f>+SUMIFS(FINANCIACION[$ CAPITAL],FINANCIACION[Fecha],"&lt;="&amp;FINANCIACION[[#This Row],[Fecha]],FINANCIACION[PRESTAMO],FINANCIACION[[#This Row],[PRESTAMO]])</f>
        <v>-344653801</v>
      </c>
      <c r="G600" s="53"/>
      <c r="H600" s="53"/>
      <c r="I600" s="5">
        <f>+IF(FINANCIACION[[#This Row],[$ CAPITAL]]&gt;0,FINANCIACION[[#This Row],[$ CAPITAL]])</f>
        <v>1273939</v>
      </c>
      <c r="J600" s="33">
        <f>+IF(FINANCIACION[[#This Row],[$ CAPITAL]]&gt;=0,FINANCIACION[[#This Row],[$ CAPITAL]]+FINANCIACION[[#This Row],[$ INTERESES]],0)</f>
        <v>7496239</v>
      </c>
    </row>
    <row r="601" spans="1:10" ht="24" hidden="1" customHeight="1" x14ac:dyDescent="0.25">
      <c r="A601" s="109">
        <v>45217</v>
      </c>
      <c r="B601" s="50" t="s">
        <v>365</v>
      </c>
      <c r="C601" s="5">
        <v>1297208</v>
      </c>
      <c r="D601" s="5">
        <f>381286+5666291+151454</f>
        <v>6199031</v>
      </c>
      <c r="E601" s="5">
        <f>+IF(FINANCIACION[[#This Row],[$ CAPITAL]]&gt;=0,FINANCIACION[[#This Row],[$ CAPITAL]]+FINANCIACION[[#This Row],[$ INTERESES]],"")</f>
        <v>7496239</v>
      </c>
      <c r="F601" s="5">
        <f>+SUMIFS(FINANCIACION[$ CAPITAL],FINANCIACION[Fecha],"&lt;="&amp;FINANCIACION[[#This Row],[Fecha]],FINANCIACION[PRESTAMO],FINANCIACION[[#This Row],[PRESTAMO]])</f>
        <v>-343356593</v>
      </c>
      <c r="G601" s="53"/>
      <c r="H601" s="53"/>
      <c r="I601" s="5">
        <f>+IF(FINANCIACION[[#This Row],[$ CAPITAL]]&gt;0,FINANCIACION[[#This Row],[$ CAPITAL]])</f>
        <v>1297208</v>
      </c>
      <c r="J601" s="33">
        <f>+IF(FINANCIACION[[#This Row],[$ CAPITAL]]&gt;=0,FINANCIACION[[#This Row],[$ CAPITAL]]+FINANCIACION[[#This Row],[$ INTERESES]],0)</f>
        <v>7496239</v>
      </c>
    </row>
    <row r="602" spans="1:10" ht="24" hidden="1" customHeight="1" x14ac:dyDescent="0.25">
      <c r="A602" s="109">
        <v>45250</v>
      </c>
      <c r="B602" s="50" t="s">
        <v>365</v>
      </c>
      <c r="C602" s="5">
        <v>1320430</v>
      </c>
      <c r="D602" s="5">
        <f>5644707+151454+381286</f>
        <v>6177447</v>
      </c>
      <c r="E602" s="5">
        <f>+IF(FINANCIACION[[#This Row],[$ CAPITAL]]&gt;=0,FINANCIACION[[#This Row],[$ CAPITAL]]+FINANCIACION[[#This Row],[$ INTERESES]],"")</f>
        <v>7497877</v>
      </c>
      <c r="F602" s="5">
        <f>+SUMIFS(FINANCIACION[$ CAPITAL],FINANCIACION[Fecha],"&lt;="&amp;FINANCIACION[[#This Row],[Fecha]],FINANCIACION[PRESTAMO],FINANCIACION[[#This Row],[PRESTAMO]])</f>
        <v>-342036163</v>
      </c>
      <c r="G602" s="53"/>
      <c r="H602" s="53"/>
      <c r="I602" s="5">
        <f>+IF(FINANCIACION[[#This Row],[$ CAPITAL]]&gt;0,FINANCIACION[[#This Row],[$ CAPITAL]])</f>
        <v>1320430</v>
      </c>
      <c r="J602" s="33">
        <f>+IF(FINANCIACION[[#This Row],[$ CAPITAL]]&gt;=0,FINANCIACION[[#This Row],[$ CAPITAL]]+FINANCIACION[[#This Row],[$ INTERESES]],0)</f>
        <v>7497877</v>
      </c>
    </row>
    <row r="603" spans="1:10" ht="24" hidden="1" customHeight="1" x14ac:dyDescent="0.25">
      <c r="A603" s="109">
        <v>45278</v>
      </c>
      <c r="B603" s="50" t="s">
        <v>365</v>
      </c>
      <c r="C603" s="5">
        <v>1344557</v>
      </c>
      <c r="D603" s="5">
        <f>5620580+151454+381286</f>
        <v>6153320</v>
      </c>
      <c r="E603" s="5">
        <f>+IF(FINANCIACION[[#This Row],[$ CAPITAL]]&gt;=0,FINANCIACION[[#This Row],[$ CAPITAL]]+FINANCIACION[[#This Row],[$ INTERESES]],"")</f>
        <v>7497877</v>
      </c>
      <c r="F603" s="5">
        <f>+SUMIFS(FINANCIACION[$ CAPITAL],FINANCIACION[Fecha],"&lt;="&amp;FINANCIACION[[#This Row],[Fecha]],FINANCIACION[PRESTAMO],FINANCIACION[[#This Row],[PRESTAMO]])</f>
        <v>-340691606</v>
      </c>
      <c r="G603" s="53"/>
      <c r="H603" s="53"/>
      <c r="I603" s="5">
        <f>+IF(FINANCIACION[[#This Row],[$ CAPITAL]]&gt;0,FINANCIACION[[#This Row],[$ CAPITAL]])</f>
        <v>1344557</v>
      </c>
      <c r="J603" s="33">
        <f>+IF(FINANCIACION[[#This Row],[$ CAPITAL]]&gt;=0,FINANCIACION[[#This Row],[$ CAPITAL]]+FINANCIACION[[#This Row],[$ INTERESES]],0)</f>
        <v>7497877</v>
      </c>
    </row>
    <row r="604" spans="1:10" ht="24" hidden="1" customHeight="1" x14ac:dyDescent="0.25">
      <c r="A604" s="109">
        <v>45291</v>
      </c>
      <c r="B604" s="50" t="s">
        <v>365</v>
      </c>
      <c r="C604" s="5">
        <v>1200575</v>
      </c>
      <c r="D604" s="5"/>
      <c r="E604" s="5">
        <f>+IF(FINANCIACION[[#This Row],[$ CAPITAL]]&gt;=0,FINANCIACION[[#This Row],[$ CAPITAL]]+FINANCIACION[[#This Row],[$ INTERESES]],"")</f>
        <v>1200575</v>
      </c>
      <c r="F604" s="5">
        <f>+SUMIFS(FINANCIACION[$ CAPITAL],FINANCIACION[Fecha],"&lt;="&amp;FINANCIACION[[#This Row],[Fecha]],FINANCIACION[PRESTAMO],FINANCIACION[[#This Row],[PRESTAMO]])</f>
        <v>-339491031</v>
      </c>
      <c r="G604" s="53" t="s">
        <v>934</v>
      </c>
      <c r="H604" s="53"/>
      <c r="I604" s="5">
        <f>+IF(FINANCIACION[[#This Row],[$ CAPITAL]]&gt;0,FINANCIACION[[#This Row],[$ CAPITAL]])</f>
        <v>1200575</v>
      </c>
      <c r="J604" s="33">
        <f>+IF(FINANCIACION[[#This Row],[$ CAPITAL]]&gt;=0,FINANCIACION[[#This Row],[$ CAPITAL]]+FINANCIACION[[#This Row],[$ INTERESES]],0)</f>
        <v>1200575</v>
      </c>
    </row>
    <row r="605" spans="1:10" ht="24" hidden="1" customHeight="1" x14ac:dyDescent="0.25">
      <c r="A605" s="109">
        <v>44226</v>
      </c>
      <c r="B605" s="50" t="s">
        <v>1477</v>
      </c>
      <c r="C605" s="5">
        <v>-7016439</v>
      </c>
      <c r="D605" s="5"/>
      <c r="E605" s="5" t="str">
        <f>+IF(FINANCIACION[[#This Row],[$ CAPITAL]]&gt;=0,FINANCIACION[[#This Row],[$ CAPITAL]]+FINANCIACION[[#This Row],[$ INTERESES]],"")</f>
        <v/>
      </c>
      <c r="F605" s="5">
        <f>+SUMIFS(FINANCIACION[$ CAPITAL],FINANCIACION[Fecha],"&lt;="&amp;FINANCIACION[[#This Row],[Fecha]],FINANCIACION[PRESTAMO],FINANCIACION[[#This Row],[PRESTAMO]])</f>
        <v>-7016439</v>
      </c>
      <c r="G605" s="7" t="s">
        <v>153</v>
      </c>
      <c r="H605" s="53"/>
      <c r="I605" s="5" t="b">
        <f>IF(FINANCIACION[[#This Row],[$ CAPITAL]]&gt;0,FINANCIACION[[#This Row],[$ CAPITAL]])</f>
        <v>0</v>
      </c>
      <c r="J605" s="33">
        <f>IF(FINANCIACION[[#This Row],[$ CAPITAL]]&gt;=0,FINANCIACION[[#This Row],[$ CAPITAL]]+FINANCIACION[[#This Row],[$ INTERESES]],0)</f>
        <v>0</v>
      </c>
    </row>
    <row r="606" spans="1:10" ht="24" hidden="1" customHeight="1" x14ac:dyDescent="0.25">
      <c r="A606" s="109">
        <v>44255</v>
      </c>
      <c r="B606" s="50" t="s">
        <v>1477</v>
      </c>
      <c r="C606" s="5">
        <v>-20437161</v>
      </c>
      <c r="D606" s="5"/>
      <c r="E606" s="5" t="str">
        <f>+IF(FINANCIACION[[#This Row],[$ CAPITAL]]&gt;=0,FINANCIACION[[#This Row],[$ CAPITAL]]+FINANCIACION[[#This Row],[$ INTERESES]],"")</f>
        <v/>
      </c>
      <c r="F606" s="5">
        <f>+SUMIFS(FINANCIACION[$ CAPITAL],FINANCIACION[Fecha],"&lt;="&amp;FINANCIACION[[#This Row],[Fecha]],FINANCIACION[PRESTAMO],FINANCIACION[[#This Row],[PRESTAMO]])</f>
        <v>-27453600</v>
      </c>
      <c r="G606" s="7" t="s">
        <v>153</v>
      </c>
      <c r="H606" s="53"/>
      <c r="I606" s="5" t="b">
        <f>IF(FINANCIACION[[#This Row],[$ CAPITAL]]&gt;0,FINANCIACION[[#This Row],[$ CAPITAL]])</f>
        <v>0</v>
      </c>
      <c r="J606" s="33">
        <f>IF(FINANCIACION[[#This Row],[$ CAPITAL]]&gt;=0,FINANCIACION[[#This Row],[$ CAPITAL]]+FINANCIACION[[#This Row],[$ INTERESES]],0)</f>
        <v>0</v>
      </c>
    </row>
    <row r="607" spans="1:10" ht="24" hidden="1" customHeight="1" x14ac:dyDescent="0.25">
      <c r="A607" s="109">
        <v>44285</v>
      </c>
      <c r="B607" s="50" t="s">
        <v>1477</v>
      </c>
      <c r="C607" s="5">
        <v>1068900</v>
      </c>
      <c r="D607" s="5"/>
      <c r="E607" s="5">
        <f>+IF(FINANCIACION[[#This Row],[$ CAPITAL]]&gt;=0,FINANCIACION[[#This Row],[$ CAPITAL]]+FINANCIACION[[#This Row],[$ INTERESES]],"")</f>
        <v>1068900</v>
      </c>
      <c r="F607" s="5">
        <f>+SUMIFS(FINANCIACION[$ CAPITAL],FINANCIACION[Fecha],"&lt;="&amp;FINANCIACION[[#This Row],[Fecha]],FINANCIACION[PRESTAMO],FINANCIACION[[#This Row],[PRESTAMO]])</f>
        <v>-26384700</v>
      </c>
      <c r="G607" s="7" t="s">
        <v>153</v>
      </c>
      <c r="H607" s="53"/>
      <c r="I607" s="5">
        <f>IF(FINANCIACION[[#This Row],[$ CAPITAL]]&gt;0,FINANCIACION[[#This Row],[$ CAPITAL]])</f>
        <v>1068900</v>
      </c>
      <c r="J607" s="33">
        <f>IF(FINANCIACION[[#This Row],[$ CAPITAL]]&gt;=0,FINANCIACION[[#This Row],[$ CAPITAL]]+FINANCIACION[[#This Row],[$ INTERESES]],0)</f>
        <v>1068900</v>
      </c>
    </row>
    <row r="608" spans="1:10" ht="24" hidden="1" customHeight="1" x14ac:dyDescent="0.25">
      <c r="A608" s="109">
        <v>44316</v>
      </c>
      <c r="B608" s="50" t="s">
        <v>1477</v>
      </c>
      <c r="C608" s="5">
        <v>-7917900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-34302600</v>
      </c>
      <c r="G608" s="7" t="s">
        <v>153</v>
      </c>
      <c r="H608" s="53"/>
      <c r="I608" s="5" t="b">
        <f>IF(FINANCIACION[[#This Row],[$ CAPITAL]]&gt;0,FINANCIACION[[#This Row],[$ CAPITAL]])</f>
        <v>0</v>
      </c>
      <c r="J608" s="33">
        <f>IF(FINANCIACION[[#This Row],[$ CAPITAL]]&gt;=0,FINANCIACION[[#This Row],[$ CAPITAL]]+FINANCIACION[[#This Row],[$ INTERESES]],0)</f>
        <v>0</v>
      </c>
    </row>
    <row r="609" spans="1:10" ht="24" hidden="1" customHeight="1" x14ac:dyDescent="0.25">
      <c r="A609" s="109">
        <v>44346</v>
      </c>
      <c r="B609" s="50" t="s">
        <v>1477</v>
      </c>
      <c r="C609" s="5">
        <v>936000</v>
      </c>
      <c r="D609" s="5"/>
      <c r="E609" s="5">
        <f>+IF(FINANCIACION[[#This Row],[$ CAPITAL]]&gt;=0,FINANCIACION[[#This Row],[$ CAPITAL]]+FINANCIACION[[#This Row],[$ INTERESES]],"")</f>
        <v>936000</v>
      </c>
      <c r="F609" s="5">
        <f>+SUMIFS(FINANCIACION[$ CAPITAL],FINANCIACION[Fecha],"&lt;="&amp;FINANCIACION[[#This Row],[Fecha]],FINANCIACION[PRESTAMO],FINANCIACION[[#This Row],[PRESTAMO]])</f>
        <v>-33366600</v>
      </c>
      <c r="G609" s="7"/>
      <c r="H609" s="53"/>
      <c r="I609" s="5">
        <f>IF(FINANCIACION[[#This Row],[$ CAPITAL]]&gt;0,FINANCIACION[[#This Row],[$ CAPITAL]])</f>
        <v>936000</v>
      </c>
      <c r="J609" s="8">
        <f>IF(FINANCIACION[[#This Row],[$ CAPITAL]]&gt;=0,FINANCIACION[[#This Row],[$ CAPITAL]]+FINANCIACION[[#This Row],[$ INTERESES]],0)</f>
        <v>936000</v>
      </c>
    </row>
    <row r="610" spans="1:10" ht="24" hidden="1" customHeight="1" x14ac:dyDescent="0.25">
      <c r="A610" s="109">
        <v>44350</v>
      </c>
      <c r="B610" s="50" t="s">
        <v>1477</v>
      </c>
      <c r="C610" s="5">
        <v>3642290</v>
      </c>
      <c r="D610" s="5"/>
      <c r="E610" s="5">
        <f>+IF(FINANCIACION[[#This Row],[$ CAPITAL]]&gt;=0,FINANCIACION[[#This Row],[$ CAPITAL]]+FINANCIACION[[#This Row],[$ INTERESES]],"")</f>
        <v>3642290</v>
      </c>
      <c r="F610" s="5">
        <f>+SUMIFS(FINANCIACION[$ CAPITAL],FINANCIACION[Fecha],"&lt;="&amp;FINANCIACION[[#This Row],[Fecha]],FINANCIACION[PRESTAMO],FINANCIACION[[#This Row],[PRESTAMO]])</f>
        <v>-29724310</v>
      </c>
      <c r="G610" s="7"/>
      <c r="H610" s="53"/>
      <c r="I610" s="5">
        <f>IF(FINANCIACION[[#This Row],[$ CAPITAL]]&gt;0,FINANCIACION[[#This Row],[$ CAPITAL]])</f>
        <v>3642290</v>
      </c>
      <c r="J610" s="8">
        <f>IF(FINANCIACION[[#This Row],[$ CAPITAL]]&gt;=0,FINANCIACION[[#This Row],[$ CAPITAL]]+FINANCIACION[[#This Row],[$ INTERESES]],0)</f>
        <v>3642290</v>
      </c>
    </row>
    <row r="611" spans="1:10" ht="24" hidden="1" customHeight="1" x14ac:dyDescent="0.25">
      <c r="A611" s="109">
        <v>44365</v>
      </c>
      <c r="B611" s="50" t="s">
        <v>1477</v>
      </c>
      <c r="C611" s="5">
        <v>5968720</v>
      </c>
      <c r="D611" s="5"/>
      <c r="E611" s="5">
        <f>+IF(FINANCIACION[[#This Row],[$ CAPITAL]]&gt;=0,FINANCIACION[[#This Row],[$ CAPITAL]]+FINANCIACION[[#This Row],[$ INTERESES]],"")</f>
        <v>5968720</v>
      </c>
      <c r="F611" s="5">
        <f>+SUMIFS(FINANCIACION[$ CAPITAL],FINANCIACION[Fecha],"&lt;="&amp;FINANCIACION[[#This Row],[Fecha]],FINANCIACION[PRESTAMO],FINANCIACION[[#This Row],[PRESTAMO]])</f>
        <v>-23755590</v>
      </c>
      <c r="G611" s="53"/>
      <c r="H611" s="53"/>
      <c r="I611" s="5">
        <f>IF(FINANCIACION[[#This Row],[$ CAPITAL]]&gt;0,FINANCIACION[[#This Row],[$ CAPITAL]])</f>
        <v>5968720</v>
      </c>
      <c r="J611" s="33">
        <f>IF(FINANCIACION[[#This Row],[$ CAPITAL]]&gt;=0,FINANCIACION[[#This Row],[$ CAPITAL]]+FINANCIACION[[#This Row],[$ INTERESES]],0)</f>
        <v>5968720</v>
      </c>
    </row>
    <row r="612" spans="1:10" ht="24" hidden="1" customHeight="1" x14ac:dyDescent="0.25">
      <c r="A612" s="109">
        <v>44377</v>
      </c>
      <c r="B612" s="50" t="s">
        <v>1477</v>
      </c>
      <c r="C612" s="5">
        <v>1790</v>
      </c>
      <c r="D612" s="5"/>
      <c r="E612" s="5">
        <f>+IF(FINANCIACION[[#This Row],[$ CAPITAL]]&gt;=0,FINANCIACION[[#This Row],[$ CAPITAL]]+FINANCIACION[[#This Row],[$ INTERESES]],"")</f>
        <v>1790</v>
      </c>
      <c r="F612" s="5">
        <f>+SUMIFS(FINANCIACION[$ CAPITAL],FINANCIACION[Fecha],"&lt;="&amp;FINANCIACION[[#This Row],[Fecha]],FINANCIACION[PRESTAMO],FINANCIACION[[#This Row],[PRESTAMO]])</f>
        <v>-23753800</v>
      </c>
      <c r="G612" s="53" t="s">
        <v>153</v>
      </c>
      <c r="H612" s="53"/>
      <c r="I612" s="5">
        <f>IF(FINANCIACION[[#This Row],[$ CAPITAL]]&gt;0,FINANCIACION[[#This Row],[$ CAPITAL]])</f>
        <v>1790</v>
      </c>
      <c r="J612" s="33">
        <f>IF(FINANCIACION[[#This Row],[$ CAPITAL]]&gt;=0,FINANCIACION[[#This Row],[$ CAPITAL]]+FINANCIACION[[#This Row],[$ INTERESES]],0)</f>
        <v>1790</v>
      </c>
    </row>
    <row r="613" spans="1:10" ht="24" hidden="1" customHeight="1" x14ac:dyDescent="0.25">
      <c r="A613" s="109">
        <v>44389</v>
      </c>
      <c r="B613" s="50" t="s">
        <v>1477</v>
      </c>
      <c r="C613" s="5">
        <v>3829460</v>
      </c>
      <c r="D613" s="5"/>
      <c r="E613" s="5">
        <f>+IF(FINANCIACION[[#This Row],[$ CAPITAL]]&gt;=0,FINANCIACION[[#This Row],[$ CAPITAL]]+FINANCIACION[[#This Row],[$ INTERESES]],"")</f>
        <v>3829460</v>
      </c>
      <c r="F613" s="5">
        <f>+SUMIFS(FINANCIACION[$ CAPITAL],FINANCIACION[Fecha],"&lt;="&amp;FINANCIACION[[#This Row],[Fecha]],FINANCIACION[PRESTAMO],FINANCIACION[[#This Row],[PRESTAMO]])</f>
        <v>-19924340</v>
      </c>
      <c r="G613" s="53"/>
      <c r="H613" s="53"/>
      <c r="I613" s="5">
        <f>IF(FINANCIACION[[#This Row],[$ CAPITAL]]&gt;0,FINANCIACION[[#This Row],[$ CAPITAL]])</f>
        <v>3829460</v>
      </c>
      <c r="J613" s="33">
        <f>IF(FINANCIACION[[#This Row],[$ CAPITAL]]&gt;=0,FINANCIACION[[#This Row],[$ CAPITAL]]+FINANCIACION[[#This Row],[$ INTERESES]],0)</f>
        <v>3829460</v>
      </c>
    </row>
    <row r="614" spans="1:10" ht="24" hidden="1" customHeight="1" x14ac:dyDescent="0.25">
      <c r="A614" s="109">
        <v>44396</v>
      </c>
      <c r="B614" s="50" t="s">
        <v>1477</v>
      </c>
      <c r="C614" s="5">
        <v>3808460</v>
      </c>
      <c r="D614" s="5"/>
      <c r="E614" s="5">
        <f>+IF(FINANCIACION[[#This Row],[$ CAPITAL]]&gt;=0,FINANCIACION[[#This Row],[$ CAPITAL]]+FINANCIACION[[#This Row],[$ INTERESES]],"")</f>
        <v>3808460</v>
      </c>
      <c r="F614" s="5">
        <f>+SUMIFS(FINANCIACION[$ CAPITAL],FINANCIACION[Fecha],"&lt;="&amp;FINANCIACION[[#This Row],[Fecha]],FINANCIACION[PRESTAMO],FINANCIACION[[#This Row],[PRESTAMO]])</f>
        <v>-16115880</v>
      </c>
      <c r="G614" s="53"/>
      <c r="H614" s="53"/>
      <c r="I614" s="5">
        <f>IF(FINANCIACION[[#This Row],[$ CAPITAL]]&gt;0,FINANCIACION[[#This Row],[$ CAPITAL]])</f>
        <v>3808460</v>
      </c>
      <c r="J614" s="33">
        <f>IF(FINANCIACION[[#This Row],[$ CAPITAL]]&gt;=0,FINANCIACION[[#This Row],[$ CAPITAL]]+FINANCIACION[[#This Row],[$ INTERESES]],0)</f>
        <v>3808460</v>
      </c>
    </row>
    <row r="615" spans="1:10" ht="24" hidden="1" customHeight="1" x14ac:dyDescent="0.25">
      <c r="A615" s="109">
        <v>44408</v>
      </c>
      <c r="B615" s="50" t="s">
        <v>1477</v>
      </c>
      <c r="C615" s="5">
        <v>-11578020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-27693900</v>
      </c>
      <c r="G615" s="7" t="s">
        <v>153</v>
      </c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hidden="1" customHeight="1" x14ac:dyDescent="0.25">
      <c r="A616" s="109">
        <v>44414</v>
      </c>
      <c r="B616" s="50" t="s">
        <v>1477</v>
      </c>
      <c r="C616" s="5">
        <v>3910810</v>
      </c>
      <c r="D616" s="5"/>
      <c r="E616" s="5">
        <f>+IF(FINANCIACION[[#This Row],[$ CAPITAL]]&gt;=0,FINANCIACION[[#This Row],[$ CAPITAL]]+FINANCIACION[[#This Row],[$ INTERESES]],"")</f>
        <v>3910810</v>
      </c>
      <c r="F616" s="5">
        <f>+SUMIFS(FINANCIACION[$ CAPITAL],FINANCIACION[Fecha],"&lt;="&amp;FINANCIACION[[#This Row],[Fecha]],FINANCIACION[PRESTAMO],FINANCIACION[[#This Row],[PRESTAMO]])</f>
        <v>-23783090</v>
      </c>
      <c r="G616" s="53"/>
      <c r="H616" s="53"/>
      <c r="I616" s="5">
        <f>IF(FINANCIACION[[#This Row],[$ CAPITAL]]&gt;0,FINANCIACION[[#This Row],[$ CAPITAL]])</f>
        <v>3910810</v>
      </c>
      <c r="J616" s="33">
        <f>IF(FINANCIACION[[#This Row],[$ CAPITAL]]&gt;=0,FINANCIACION[[#This Row],[$ CAPITAL]]+FINANCIACION[[#This Row],[$ INTERESES]],0)</f>
        <v>3910810</v>
      </c>
    </row>
    <row r="617" spans="1:10" ht="24" hidden="1" customHeight="1" x14ac:dyDescent="0.25">
      <c r="A617" s="109">
        <v>44421</v>
      </c>
      <c r="B617" s="50" t="s">
        <v>1477</v>
      </c>
      <c r="C617" s="5">
        <v>3887070</v>
      </c>
      <c r="D617" s="5"/>
      <c r="E617" s="5">
        <f>+IF(FINANCIACION[[#This Row],[$ CAPITAL]]&gt;=0,FINANCIACION[[#This Row],[$ CAPITAL]]+FINANCIACION[[#This Row],[$ INTERESES]],"")</f>
        <v>3887070</v>
      </c>
      <c r="F617" s="5">
        <f>+SUMIFS(FINANCIACION[$ CAPITAL],FINANCIACION[Fecha],"&lt;="&amp;FINANCIACION[[#This Row],[Fecha]],FINANCIACION[PRESTAMO],FINANCIACION[[#This Row],[PRESTAMO]])</f>
        <v>-19896020</v>
      </c>
      <c r="G617" s="53"/>
      <c r="H617" s="53"/>
      <c r="I617" s="5">
        <f>IF(FINANCIACION[[#This Row],[$ CAPITAL]]&gt;0,FINANCIACION[[#This Row],[$ CAPITAL]])</f>
        <v>3887070</v>
      </c>
      <c r="J617" s="33">
        <f>IF(FINANCIACION[[#This Row],[$ CAPITAL]]&gt;=0,FINANCIACION[[#This Row],[$ CAPITAL]]+FINANCIACION[[#This Row],[$ INTERESES]],0)</f>
        <v>3887070</v>
      </c>
    </row>
    <row r="618" spans="1:10" ht="24" hidden="1" customHeight="1" x14ac:dyDescent="0.25">
      <c r="A618" s="109">
        <v>44426</v>
      </c>
      <c r="B618" s="50" t="s">
        <v>1477</v>
      </c>
      <c r="C618" s="5">
        <v>3868410</v>
      </c>
      <c r="D618" s="5"/>
      <c r="E618" s="5">
        <f>+IF(FINANCIACION[[#This Row],[$ CAPITAL]]&gt;=0,FINANCIACION[[#This Row],[$ CAPITAL]]+FINANCIACION[[#This Row],[$ INTERESES]],"")</f>
        <v>3868410</v>
      </c>
      <c r="F618" s="5">
        <f>+SUMIFS(FINANCIACION[$ CAPITAL],FINANCIACION[Fecha],"&lt;="&amp;FINANCIACION[[#This Row],[Fecha]],FINANCIACION[PRESTAMO],FINANCIACION[[#This Row],[PRESTAMO]])</f>
        <v>-16027610</v>
      </c>
      <c r="G618" s="7"/>
      <c r="H618" s="53"/>
      <c r="I618" s="5">
        <f>IF(FINANCIACION[[#This Row],[$ CAPITAL]]&gt;0,FINANCIACION[[#This Row],[$ CAPITAL]])</f>
        <v>3868410</v>
      </c>
      <c r="J618" s="8">
        <f>IF(FINANCIACION[[#This Row],[$ CAPITAL]]&gt;=0,FINANCIACION[[#This Row],[$ CAPITAL]]+FINANCIACION[[#This Row],[$ INTERESES]],0)</f>
        <v>3868410</v>
      </c>
    </row>
    <row r="619" spans="1:10" ht="24" hidden="1" customHeight="1" x14ac:dyDescent="0.25">
      <c r="A619" s="109">
        <v>44439</v>
      </c>
      <c r="B619" s="50" t="s">
        <v>1477</v>
      </c>
      <c r="C619" s="5">
        <v>38068.699999999997</v>
      </c>
      <c r="D619" s="5"/>
      <c r="E619" s="5">
        <f>+IF(FINANCIACION[[#This Row],[$ CAPITAL]]&gt;=0,FINANCIACION[[#This Row],[$ CAPITAL]]+FINANCIACION[[#This Row],[$ INTERESES]],"")</f>
        <v>38068.699999999997</v>
      </c>
      <c r="F619" s="5">
        <f>+SUMIFS(FINANCIACION[$ CAPITAL],FINANCIACION[Fecha],"&lt;="&amp;FINANCIACION[[#This Row],[Fecha]],FINANCIACION[PRESTAMO],FINANCIACION[[#This Row],[PRESTAMO]])</f>
        <v>-31683600</v>
      </c>
      <c r="G619" s="53"/>
      <c r="H619" s="53"/>
      <c r="I619" s="5">
        <f>IF(FINANCIACION[[#This Row],[$ CAPITAL]]&gt;0,FINANCIACION[[#This Row],[$ CAPITAL]])</f>
        <v>38068.699999999997</v>
      </c>
      <c r="J619" s="33">
        <f>IF(FINANCIACION[[#This Row],[$ CAPITAL]]&gt;=0,FINANCIACION[[#This Row],[$ CAPITAL]]+FINANCIACION[[#This Row],[$ INTERESES]],0)</f>
        <v>38068.699999999997</v>
      </c>
    </row>
    <row r="620" spans="1:10" ht="24" hidden="1" customHeight="1" x14ac:dyDescent="0.25">
      <c r="A620" s="109">
        <v>44439</v>
      </c>
      <c r="B620" s="50" t="s">
        <v>1477</v>
      </c>
      <c r="C620" s="5">
        <v>-15694058.699999999</v>
      </c>
      <c r="D620" s="5"/>
      <c r="E620" s="5" t="str">
        <f>+IF(FINANCIACION[[#This Row],[$ CAPITAL]]&gt;=0,FINANCIACION[[#This Row],[$ CAPITAL]]+FINANCIACION[[#This Row],[$ INTERESES]],"")</f>
        <v/>
      </c>
      <c r="F620" s="5">
        <f>+SUMIFS(FINANCIACION[$ CAPITAL],FINANCIACION[Fecha],"&lt;="&amp;FINANCIACION[[#This Row],[Fecha]],FINANCIACION[PRESTAMO],FINANCIACION[[#This Row],[PRESTAMO]])</f>
        <v>-31683600</v>
      </c>
      <c r="G620" s="53" t="s">
        <v>153</v>
      </c>
      <c r="H620" s="53"/>
      <c r="I620" s="5" t="b">
        <f>IF(FINANCIACION[[#This Row],[$ CAPITAL]]&gt;0,FINANCIACION[[#This Row],[$ CAPITAL]])</f>
        <v>0</v>
      </c>
      <c r="J620" s="33">
        <f>IF(FINANCIACION[[#This Row],[$ CAPITAL]]&gt;=0,FINANCIACION[[#This Row],[$ CAPITAL]]+FINANCIACION[[#This Row],[$ INTERESES]],0)</f>
        <v>0</v>
      </c>
    </row>
    <row r="621" spans="1:10" ht="24" hidden="1" customHeight="1" x14ac:dyDescent="0.25">
      <c r="A621" s="109">
        <v>44440</v>
      </c>
      <c r="B621" s="50" t="s">
        <v>1477</v>
      </c>
      <c r="C621" s="5">
        <v>11300000</v>
      </c>
      <c r="D621" s="5"/>
      <c r="E621" s="5">
        <f>+IF(FINANCIACION[[#This Row],[$ CAPITAL]]&gt;=0,FINANCIACION[[#This Row],[$ CAPITAL]]+FINANCIACION[[#This Row],[$ INTERESES]],"")</f>
        <v>11300000</v>
      </c>
      <c r="F621" s="5">
        <f>+SUMIFS(FINANCIACION[$ CAPITAL],FINANCIACION[Fecha],"&lt;="&amp;FINANCIACION[[#This Row],[Fecha]],FINANCIACION[PRESTAMO],FINANCIACION[[#This Row],[PRESTAMO]])</f>
        <v>-20383600</v>
      </c>
      <c r="G621" s="7"/>
      <c r="H621" s="53"/>
      <c r="I621" s="5">
        <f>IF(FINANCIACION[[#This Row],[$ CAPITAL]]&gt;0,FINANCIACION[[#This Row],[$ CAPITAL]])</f>
        <v>11300000</v>
      </c>
      <c r="J621" s="33">
        <f>IF(FINANCIACION[[#This Row],[$ CAPITAL]]&gt;=0,FINANCIACION[[#This Row],[$ CAPITAL]]+FINANCIACION[[#This Row],[$ INTERESES]],0)</f>
        <v>11300000</v>
      </c>
    </row>
    <row r="622" spans="1:10" ht="24" hidden="1" customHeight="1" x14ac:dyDescent="0.25">
      <c r="A622" s="109">
        <v>44469</v>
      </c>
      <c r="B622" s="50" t="s">
        <v>1477</v>
      </c>
      <c r="C622" s="5">
        <v>-13423250</v>
      </c>
      <c r="D622" s="5"/>
      <c r="E622" s="5" t="str">
        <f>+IF(FINANCIACION[[#This Row],[$ CAPITAL]]&gt;=0,FINANCIACION[[#This Row],[$ CAPITAL]]+FINANCIACION[[#This Row],[$ INTERESES]],"")</f>
        <v/>
      </c>
      <c r="F622" s="5">
        <f>+SUMIFS(FINANCIACION[$ CAPITAL],FINANCIACION[Fecha],"&lt;="&amp;FINANCIACION[[#This Row],[Fecha]],FINANCIACION[PRESTAMO],FINANCIACION[[#This Row],[PRESTAMO]])</f>
        <v>-33806850</v>
      </c>
      <c r="G622" s="53" t="s">
        <v>153</v>
      </c>
      <c r="H622" s="53"/>
      <c r="I622" s="5" t="b">
        <f>IF(FINANCIACION[[#This Row],[$ CAPITAL]]&gt;0,FINANCIACION[[#This Row],[$ CAPITAL]])</f>
        <v>0</v>
      </c>
      <c r="J622" s="33">
        <f>IF(FINANCIACION[[#This Row],[$ CAPITAL]]&gt;=0,FINANCIACION[[#This Row],[$ CAPITAL]]+FINANCIACION[[#This Row],[$ INTERESES]],0)</f>
        <v>0</v>
      </c>
    </row>
    <row r="623" spans="1:10" ht="24" hidden="1" customHeight="1" x14ac:dyDescent="0.25">
      <c r="A623" s="109">
        <v>44476</v>
      </c>
      <c r="B623" s="50" t="s">
        <v>1477</v>
      </c>
      <c r="C623" s="5">
        <v>3788030</v>
      </c>
      <c r="D623" s="5"/>
      <c r="E623" s="5">
        <f>+IF(FINANCIACION[[#This Row],[$ CAPITAL]]&gt;=0,FINANCIACION[[#This Row],[$ CAPITAL]]+FINANCIACION[[#This Row],[$ INTERESES]],"")</f>
        <v>3788030</v>
      </c>
      <c r="F623" s="5">
        <f>+SUMIFS(FINANCIACION[$ CAPITAL],FINANCIACION[Fecha],"&lt;="&amp;FINANCIACION[[#This Row],[Fecha]],FINANCIACION[PRESTAMO],FINANCIACION[[#This Row],[PRESTAMO]])</f>
        <v>-30018820</v>
      </c>
      <c r="G623" s="53"/>
      <c r="H623" s="53"/>
      <c r="I623" s="5">
        <f>IF(FINANCIACION[[#This Row],[$ CAPITAL]]&gt;0,FINANCIACION[[#This Row],[$ CAPITAL]])</f>
        <v>3788030</v>
      </c>
      <c r="J623" s="33">
        <f>IF(FINANCIACION[[#This Row],[$ CAPITAL]]&gt;=0,FINANCIACION[[#This Row],[$ CAPITAL]]+FINANCIACION[[#This Row],[$ INTERESES]],0)</f>
        <v>3788030</v>
      </c>
    </row>
    <row r="624" spans="1:10" ht="24" hidden="1" customHeight="1" x14ac:dyDescent="0.25">
      <c r="A624" s="109">
        <v>44480</v>
      </c>
      <c r="B624" s="50" t="s">
        <v>1477</v>
      </c>
      <c r="C624" s="5">
        <v>3765800</v>
      </c>
      <c r="D624" s="5"/>
      <c r="E624" s="5">
        <f>+IF(FINANCIACION[[#This Row],[$ CAPITAL]]&gt;=0,FINANCIACION[[#This Row],[$ CAPITAL]]+FINANCIACION[[#This Row],[$ INTERESES]],"")</f>
        <v>3765800</v>
      </c>
      <c r="F624" s="5">
        <f>+SUMIFS(FINANCIACION[$ CAPITAL],FINANCIACION[Fecha],"&lt;="&amp;FINANCIACION[[#This Row],[Fecha]],FINANCIACION[PRESTAMO],FINANCIACION[[#This Row],[PRESTAMO]])</f>
        <v>-26253020</v>
      </c>
      <c r="G624" s="7"/>
      <c r="H624" s="53"/>
      <c r="I624" s="5">
        <f>IF(FINANCIACION[[#This Row],[$ CAPITAL]]&gt;0,FINANCIACION[[#This Row],[$ CAPITAL]])</f>
        <v>3765800</v>
      </c>
      <c r="J624" s="33">
        <f>IF(FINANCIACION[[#This Row],[$ CAPITAL]]&gt;=0,FINANCIACION[[#This Row],[$ CAPITAL]]+FINANCIACION[[#This Row],[$ INTERESES]],0)</f>
        <v>3765800</v>
      </c>
    </row>
    <row r="625" spans="1:10" ht="24" hidden="1" customHeight="1" x14ac:dyDescent="0.25">
      <c r="A625" s="109">
        <v>44483</v>
      </c>
      <c r="B625" s="50" t="s">
        <v>1477</v>
      </c>
      <c r="C625" s="5">
        <v>5607720</v>
      </c>
      <c r="D625" s="5"/>
      <c r="E625" s="5">
        <f>+IF(FINANCIACION[[#This Row],[$ CAPITAL]]&gt;=0,FINANCIACION[[#This Row],[$ CAPITAL]]+FINANCIACION[[#This Row],[$ INTERESES]],"")</f>
        <v>5607720</v>
      </c>
      <c r="F625" s="5">
        <f>+SUMIFS(FINANCIACION[$ CAPITAL],FINANCIACION[Fecha],"&lt;="&amp;FINANCIACION[[#This Row],[Fecha]],FINANCIACION[PRESTAMO],FINANCIACION[[#This Row],[PRESTAMO]])</f>
        <v>-5691380</v>
      </c>
      <c r="G625" s="7"/>
      <c r="H625" s="53"/>
      <c r="I625" s="5">
        <f>IF(FINANCIACION[[#This Row],[$ CAPITAL]]&gt;0,FINANCIACION[[#This Row],[$ CAPITAL]])</f>
        <v>5607720</v>
      </c>
      <c r="J625" s="8">
        <f>IF(FINANCIACION[[#This Row],[$ CAPITAL]]&gt;=0,FINANCIACION[[#This Row],[$ CAPITAL]]+FINANCIACION[[#This Row],[$ INTERESES]],0)</f>
        <v>5607720</v>
      </c>
    </row>
    <row r="626" spans="1:10" ht="24" hidden="1" customHeight="1" x14ac:dyDescent="0.25">
      <c r="A626" s="109">
        <v>44483</v>
      </c>
      <c r="B626" s="50" t="s">
        <v>1477</v>
      </c>
      <c r="C626" s="5">
        <v>14953920</v>
      </c>
      <c r="D626" s="5"/>
      <c r="E626" s="5">
        <f>+IF(FINANCIACION[[#This Row],[$ CAPITAL]]&gt;=0,FINANCIACION[[#This Row],[$ CAPITAL]]+FINANCIACION[[#This Row],[$ INTERESES]],"")</f>
        <v>14953920</v>
      </c>
      <c r="F626" s="5">
        <f>+SUMIFS(FINANCIACION[$ CAPITAL],FINANCIACION[Fecha],"&lt;="&amp;FINANCIACION[[#This Row],[Fecha]],FINANCIACION[PRESTAMO],FINANCIACION[[#This Row],[PRESTAMO]])</f>
        <v>-5691380</v>
      </c>
      <c r="G626" s="7"/>
      <c r="H626" s="53"/>
      <c r="I626" s="5">
        <f>IF(FINANCIACION[[#This Row],[$ CAPITAL]]&gt;0,FINANCIACION[[#This Row],[$ CAPITAL]])</f>
        <v>14953920</v>
      </c>
      <c r="J626" s="8">
        <f>IF(FINANCIACION[[#This Row],[$ CAPITAL]]&gt;=0,FINANCIACION[[#This Row],[$ CAPITAL]]+FINANCIACION[[#This Row],[$ INTERESES]],0)</f>
        <v>14953920</v>
      </c>
    </row>
    <row r="627" spans="1:10" ht="24" hidden="1" customHeight="1" x14ac:dyDescent="0.25">
      <c r="A627" s="109">
        <v>44491</v>
      </c>
      <c r="B627" s="50" t="s">
        <v>1477</v>
      </c>
      <c r="C627" s="5">
        <v>3783300</v>
      </c>
      <c r="D627" s="5"/>
      <c r="E627" s="5">
        <f>+IF(FINANCIACION[[#This Row],[$ CAPITAL]]&gt;=0,FINANCIACION[[#This Row],[$ CAPITAL]]+FINANCIACION[[#This Row],[$ INTERESES]],"")</f>
        <v>3783300</v>
      </c>
      <c r="F627" s="5">
        <f>+SUMIFS(FINANCIACION[$ CAPITAL],FINANCIACION[Fecha],"&lt;="&amp;FINANCIACION[[#This Row],[Fecha]],FINANCIACION[PRESTAMO],FINANCIACION[[#This Row],[PRESTAMO]])</f>
        <v>1875220</v>
      </c>
      <c r="G627" s="53"/>
      <c r="H627" s="53"/>
      <c r="I627" s="5">
        <f>IF(FINANCIACION[[#This Row],[$ CAPITAL]]&gt;0,FINANCIACION[[#This Row],[$ CAPITAL]])</f>
        <v>3783300</v>
      </c>
      <c r="J627" s="33">
        <f>IF(FINANCIACION[[#This Row],[$ CAPITAL]]&gt;=0,FINANCIACION[[#This Row],[$ CAPITAL]]+FINANCIACION[[#This Row],[$ INTERESES]],0)</f>
        <v>3783300</v>
      </c>
    </row>
    <row r="628" spans="1:10" ht="24" hidden="1" customHeight="1" x14ac:dyDescent="0.25">
      <c r="A628" s="109">
        <v>44491</v>
      </c>
      <c r="B628" s="50" t="s">
        <v>1477</v>
      </c>
      <c r="C628" s="5">
        <v>3783300</v>
      </c>
      <c r="D628" s="5"/>
      <c r="E628" s="5">
        <f>+IF(FINANCIACION[[#This Row],[$ CAPITAL]]&gt;=0,FINANCIACION[[#This Row],[$ CAPITAL]]+FINANCIACION[[#This Row],[$ INTERESES]],"")</f>
        <v>3783300</v>
      </c>
      <c r="F628" s="5">
        <f>+SUMIFS(FINANCIACION[$ CAPITAL],FINANCIACION[Fecha],"&lt;="&amp;FINANCIACION[[#This Row],[Fecha]],FINANCIACION[PRESTAMO],FINANCIACION[[#This Row],[PRESTAMO]])</f>
        <v>1875220</v>
      </c>
      <c r="G628" s="53"/>
      <c r="H628" s="53"/>
      <c r="I628" s="5">
        <f>IF(FINANCIACION[[#This Row],[$ CAPITAL]]&gt;0,FINANCIACION[[#This Row],[$ CAPITAL]])</f>
        <v>3783300</v>
      </c>
      <c r="J628" s="33">
        <f>IF(FINANCIACION[[#This Row],[$ CAPITAL]]&gt;=0,FINANCIACION[[#This Row],[$ CAPITAL]]+FINANCIACION[[#This Row],[$ INTERESES]],0)</f>
        <v>3783300</v>
      </c>
    </row>
    <row r="629" spans="1:10" ht="24" hidden="1" customHeight="1" x14ac:dyDescent="0.25">
      <c r="A629" s="109">
        <v>44500</v>
      </c>
      <c r="B629" s="50" t="s">
        <v>1477</v>
      </c>
      <c r="C629" s="5">
        <v>-1876641</v>
      </c>
      <c r="D629" s="5"/>
      <c r="E629" s="5" t="str">
        <f>+IF(FINANCIACION[[#This Row],[$ CAPITAL]]&gt;=0,FINANCIACION[[#This Row],[$ CAPITAL]]+FINANCIACION[[#This Row],[$ INTERESES]],"")</f>
        <v/>
      </c>
      <c r="F629" s="5">
        <f>+SUMIFS(FINANCIACION[$ CAPITAL],FINANCIACION[Fecha],"&lt;="&amp;FINANCIACION[[#This Row],[Fecha]],FINANCIACION[PRESTAMO],FINANCIACION[[#This Row],[PRESTAMO]])</f>
        <v>-1421</v>
      </c>
      <c r="G629" s="53" t="s">
        <v>153</v>
      </c>
      <c r="H629" s="53"/>
      <c r="I629" s="5" t="b">
        <f>IF(FINANCIACION[[#This Row],[$ CAPITAL]]&gt;0,FINANCIACION[[#This Row],[$ CAPITAL]])</f>
        <v>0</v>
      </c>
      <c r="J629" s="33">
        <f>IF(FINANCIACION[[#This Row],[$ CAPITAL]]&gt;=0,FINANCIACION[[#This Row],[$ CAPITAL]]+FINANCIACION[[#This Row],[$ INTERESES]],0)</f>
        <v>0</v>
      </c>
    </row>
    <row r="630" spans="1:10" ht="24" hidden="1" customHeight="1" x14ac:dyDescent="0.25">
      <c r="A630" s="109">
        <v>44502</v>
      </c>
      <c r="B630" s="50" t="s">
        <v>1477</v>
      </c>
      <c r="C630" s="5">
        <v>1892220</v>
      </c>
      <c r="D630" s="5"/>
      <c r="E630" s="5">
        <f>+IF(FINANCIACION[[#This Row],[$ CAPITAL]]&gt;=0,FINANCIACION[[#This Row],[$ CAPITAL]]+FINANCIACION[[#This Row],[$ INTERESES]],"")</f>
        <v>1892220</v>
      </c>
      <c r="F630" s="5">
        <f>+SUMIFS(FINANCIACION[$ CAPITAL],FINANCIACION[Fecha],"&lt;="&amp;FINANCIACION[[#This Row],[Fecha]],FINANCIACION[PRESTAMO],FINANCIACION[[#This Row],[PRESTAMO]])</f>
        <v>1890799</v>
      </c>
      <c r="G630" s="53"/>
      <c r="H630" s="53"/>
      <c r="I630" s="5">
        <f>IF(FINANCIACION[[#This Row],[$ CAPITAL]]&gt;0,FINANCIACION[[#This Row],[$ CAPITAL]])</f>
        <v>1892220</v>
      </c>
      <c r="J630" s="33">
        <f>IF(FINANCIACION[[#This Row],[$ CAPITAL]]&gt;=0,FINANCIACION[[#This Row],[$ CAPITAL]]+FINANCIACION[[#This Row],[$ INTERESES]],0)</f>
        <v>1892220</v>
      </c>
    </row>
    <row r="631" spans="1:10" ht="24" hidden="1" customHeight="1" x14ac:dyDescent="0.25">
      <c r="A631" s="109">
        <v>44510</v>
      </c>
      <c r="B631" s="50" t="s">
        <v>1477</v>
      </c>
      <c r="C631" s="52">
        <v>2713802</v>
      </c>
      <c r="D631" s="5"/>
      <c r="E631" s="5">
        <f>+IF(FINANCIACION[[#This Row],[$ CAPITAL]]&gt;=0,FINANCIACION[[#This Row],[$ CAPITAL]]+FINANCIACION[[#This Row],[$ INTERESES]],"")</f>
        <v>2713802</v>
      </c>
      <c r="F631" s="5">
        <f>+SUMIFS(FINANCIACION[$ CAPITAL],FINANCIACION[Fecha],"&lt;="&amp;FINANCIACION[[#This Row],[Fecha]],FINANCIACION[PRESTAMO],FINANCIACION[[#This Row],[PRESTAMO]])</f>
        <v>4604601</v>
      </c>
      <c r="G631" s="53"/>
      <c r="H631" s="53"/>
      <c r="I631" s="5">
        <f>IF(FINANCIACION[[#This Row],[$ CAPITAL]]&gt;0,FINANCIACION[[#This Row],[$ CAPITAL]])</f>
        <v>2713802</v>
      </c>
      <c r="J631" s="33">
        <f>IF(FINANCIACION[[#This Row],[$ CAPITAL]]&gt;=0,FINANCIACION[[#This Row],[$ CAPITAL]]+FINANCIACION[[#This Row],[$ INTERESES]],0)</f>
        <v>2713802</v>
      </c>
    </row>
    <row r="632" spans="1:10" ht="24" hidden="1" customHeight="1" x14ac:dyDescent="0.25">
      <c r="A632" s="109">
        <v>44525</v>
      </c>
      <c r="B632" s="50" t="s">
        <v>1477</v>
      </c>
      <c r="C632" s="5">
        <v>9244400</v>
      </c>
      <c r="D632" s="5"/>
      <c r="E632" s="5">
        <f>+IF(FINANCIACION[[#This Row],[$ CAPITAL]]&gt;=0,FINANCIACION[[#This Row],[$ CAPITAL]]+FINANCIACION[[#This Row],[$ INTERESES]],"")</f>
        <v>9244400</v>
      </c>
      <c r="F632" s="5">
        <f>+SUMIFS(FINANCIACION[$ CAPITAL],FINANCIACION[Fecha],"&lt;="&amp;FINANCIACION[[#This Row],[Fecha]],FINANCIACION[PRESTAMO],FINANCIACION[[#This Row],[PRESTAMO]])</f>
        <v>13849001</v>
      </c>
      <c r="G632" s="53"/>
      <c r="H632" s="53"/>
      <c r="I632" s="5">
        <f>IF(FINANCIACION[[#This Row],[$ CAPITAL]]&gt;0,FINANCIACION[[#This Row],[$ CAPITAL]])</f>
        <v>9244400</v>
      </c>
      <c r="J632" s="33">
        <f>IF(FINANCIACION[[#This Row],[$ CAPITAL]]&gt;=0,FINANCIACION[[#This Row],[$ CAPITAL]]+FINANCIACION[[#This Row],[$ INTERESES]],0)</f>
        <v>9244400</v>
      </c>
    </row>
    <row r="633" spans="1:10" ht="24" hidden="1" customHeight="1" x14ac:dyDescent="0.25">
      <c r="A633" s="109">
        <v>44530</v>
      </c>
      <c r="B633" s="50" t="s">
        <v>1477</v>
      </c>
      <c r="C633" s="5">
        <v>-42540986</v>
      </c>
      <c r="D633" s="5"/>
      <c r="E633" s="5" t="str">
        <f>+IF(FINANCIACION[[#This Row],[$ CAPITAL]]&gt;=0,FINANCIACION[[#This Row],[$ CAPITAL]]+FINANCIACION[[#This Row],[$ INTERESES]],"")</f>
        <v/>
      </c>
      <c r="F633" s="5">
        <f>+SUMIFS(FINANCIACION[$ CAPITAL],FINANCIACION[Fecha],"&lt;="&amp;FINANCIACION[[#This Row],[Fecha]],FINANCIACION[PRESTAMO],FINANCIACION[[#This Row],[PRESTAMO]])</f>
        <v>-28691985</v>
      </c>
      <c r="G633" s="53" t="s">
        <v>153</v>
      </c>
      <c r="H633" s="53"/>
      <c r="I633" s="5" t="b">
        <f>IF(FINANCIACION[[#This Row],[$ CAPITAL]]&gt;0,FINANCIACION[[#This Row],[$ CAPITAL]])</f>
        <v>0</v>
      </c>
      <c r="J633" s="33">
        <f>IF(FINANCIACION[[#This Row],[$ CAPITAL]]&gt;=0,FINANCIACION[[#This Row],[$ CAPITAL]]+FINANCIACION[[#This Row],[$ INTERESES]],0)</f>
        <v>0</v>
      </c>
    </row>
    <row r="634" spans="1:10" ht="24" hidden="1" customHeight="1" x14ac:dyDescent="0.25">
      <c r="A634" s="109">
        <v>44536</v>
      </c>
      <c r="B634" s="50" t="s">
        <v>1477</v>
      </c>
      <c r="C634" s="5">
        <v>11844990</v>
      </c>
      <c r="D634" s="5"/>
      <c r="E634" s="5">
        <f>+IF(FINANCIACION[[#This Row],[$ CAPITAL]]&gt;=0,FINANCIACION[[#This Row],[$ CAPITAL]]+FINANCIACION[[#This Row],[$ INTERESES]],"")</f>
        <v>11844990</v>
      </c>
      <c r="F634" s="5">
        <f>+SUMIFS(FINANCIACION[$ CAPITAL],FINANCIACION[Fecha],"&lt;="&amp;FINANCIACION[[#This Row],[Fecha]],FINANCIACION[PRESTAMO],FINANCIACION[[#This Row],[PRESTAMO]])</f>
        <v>-16846995</v>
      </c>
      <c r="G634" s="53"/>
      <c r="H634" s="53"/>
      <c r="I634" s="5">
        <f>IF(FINANCIACION[[#This Row],[$ CAPITAL]]&gt;0,FINANCIACION[[#This Row],[$ CAPITAL]])</f>
        <v>11844990</v>
      </c>
      <c r="J634" s="33">
        <f>IF(FINANCIACION[[#This Row],[$ CAPITAL]]&gt;=0,FINANCIACION[[#This Row],[$ CAPITAL]]+FINANCIACION[[#This Row],[$ INTERESES]],0)</f>
        <v>11844990</v>
      </c>
    </row>
    <row r="635" spans="1:10" ht="24" hidden="1" customHeight="1" x14ac:dyDescent="0.25">
      <c r="A635" s="109">
        <v>44554</v>
      </c>
      <c r="B635" s="50" t="s">
        <v>1477</v>
      </c>
      <c r="C635" s="5">
        <v>3997090</v>
      </c>
      <c r="D635" s="5"/>
      <c r="E635" s="5">
        <f>+IF(FINANCIACION[[#This Row],[$ CAPITAL]]&gt;=0,FINANCIACION[[#This Row],[$ CAPITAL]]+FINANCIACION[[#This Row],[$ INTERESES]],"")</f>
        <v>3997090</v>
      </c>
      <c r="F635" s="5">
        <f>+SUMIFS(FINANCIACION[$ CAPITAL],FINANCIACION[Fecha],"&lt;="&amp;FINANCIACION[[#This Row],[Fecha]],FINANCIACION[PRESTAMO],FINANCIACION[[#This Row],[PRESTAMO]])</f>
        <v>-12849905</v>
      </c>
      <c r="G635" s="53"/>
      <c r="H635" s="53"/>
      <c r="I635" s="5">
        <f>IF(FINANCIACION[[#This Row],[$ CAPITAL]]&gt;0,FINANCIACION[[#This Row],[$ CAPITAL]])</f>
        <v>3997090</v>
      </c>
      <c r="J635" s="33">
        <f>IF(FINANCIACION[[#This Row],[$ CAPITAL]]&gt;=0,FINANCIACION[[#This Row],[$ CAPITAL]]+FINANCIACION[[#This Row],[$ INTERESES]],0)</f>
        <v>3997090</v>
      </c>
    </row>
    <row r="636" spans="1:10" ht="24" hidden="1" customHeight="1" x14ac:dyDescent="0.25">
      <c r="A636" s="109">
        <v>44557</v>
      </c>
      <c r="B636" s="50" t="s">
        <v>1477</v>
      </c>
      <c r="C636" s="5">
        <v>3994150</v>
      </c>
      <c r="D636" s="5"/>
      <c r="E636" s="5">
        <f>+IF(FINANCIACION[[#This Row],[$ CAPITAL]]&gt;=0,FINANCIACION[[#This Row],[$ CAPITAL]]+FINANCIACION[[#This Row],[$ INTERESES]],"")</f>
        <v>3994150</v>
      </c>
      <c r="F636" s="5">
        <f>+SUMIFS(FINANCIACION[$ CAPITAL],FINANCIACION[Fecha],"&lt;="&amp;FINANCIACION[[#This Row],[Fecha]],FINANCIACION[PRESTAMO],FINANCIACION[[#This Row],[PRESTAMO]])</f>
        <v>-8855755</v>
      </c>
      <c r="G636" s="7"/>
      <c r="H636" s="53"/>
      <c r="I636" s="5">
        <f>IF(FINANCIACION[[#This Row],[$ CAPITAL]]&gt;0,FINANCIACION[[#This Row],[$ CAPITAL]])</f>
        <v>3994150</v>
      </c>
      <c r="J636" s="33">
        <f>IF(FINANCIACION[[#This Row],[$ CAPITAL]]&gt;=0,FINANCIACION[[#This Row],[$ CAPITAL]]+FINANCIACION[[#This Row],[$ INTERESES]],0)</f>
        <v>3994150</v>
      </c>
    </row>
    <row r="637" spans="1:10" ht="24" hidden="1" customHeight="1" x14ac:dyDescent="0.25">
      <c r="A637" s="109">
        <v>44560</v>
      </c>
      <c r="B637" s="50" t="s">
        <v>1477</v>
      </c>
      <c r="C637" s="5">
        <v>4023680</v>
      </c>
      <c r="D637" s="5"/>
      <c r="E637" s="5">
        <f>+IF(FINANCIACION[[#This Row],[$ CAPITAL]]&gt;=0,FINANCIACION[[#This Row],[$ CAPITAL]]+FINANCIACION[[#This Row],[$ INTERESES]],"")</f>
        <v>4023680</v>
      </c>
      <c r="F637" s="5">
        <f>+SUMIFS(FINANCIACION[$ CAPITAL],FINANCIACION[Fecha],"&lt;="&amp;FINANCIACION[[#This Row],[Fecha]],FINANCIACION[PRESTAMO],FINANCIACION[[#This Row],[PRESTAMO]])</f>
        <v>-4832075</v>
      </c>
      <c r="G637" s="53"/>
      <c r="H637" s="53"/>
      <c r="I637" s="5">
        <f>IF(FINANCIACION[[#This Row],[$ CAPITAL]]&gt;0,FINANCIACION[[#This Row],[$ CAPITAL]])</f>
        <v>4023680</v>
      </c>
      <c r="J637" s="33">
        <f>IF(FINANCIACION[[#This Row],[$ CAPITAL]]&gt;=0,FINANCIACION[[#This Row],[$ CAPITAL]]+FINANCIACION[[#This Row],[$ INTERESES]],0)</f>
        <v>4023680</v>
      </c>
    </row>
    <row r="638" spans="1:10" ht="24" hidden="1" customHeight="1" x14ac:dyDescent="0.25">
      <c r="A638" s="109">
        <v>44561</v>
      </c>
      <c r="B638" s="50" t="s">
        <v>1477</v>
      </c>
      <c r="C638" s="5">
        <v>-15729425</v>
      </c>
      <c r="D638" s="5"/>
      <c r="E638" s="5" t="str">
        <f>+IF(FINANCIACION[[#This Row],[$ CAPITAL]]&gt;=0,FINANCIACION[[#This Row],[$ CAPITAL]]+FINANCIACION[[#This Row],[$ INTERESES]],"")</f>
        <v/>
      </c>
      <c r="F638" s="5">
        <f>+SUMIFS(FINANCIACION[$ CAPITAL],FINANCIACION[Fecha],"&lt;="&amp;FINANCIACION[[#This Row],[Fecha]],FINANCIACION[PRESTAMO],FINANCIACION[[#This Row],[PRESTAMO]])</f>
        <v>-20561500</v>
      </c>
      <c r="G638" s="53"/>
      <c r="H638" s="53"/>
      <c r="I638" s="5" t="b">
        <f>IF(FINANCIACION[[#This Row],[$ CAPITAL]]&gt;0,FINANCIACION[[#This Row],[$ CAPITAL]])</f>
        <v>0</v>
      </c>
      <c r="J638" s="33">
        <f>IF(FINANCIACION[[#This Row],[$ CAPITAL]]&gt;=0,FINANCIACION[[#This Row],[$ CAPITAL]]+FINANCIACION[[#This Row],[$ INTERESES]],0)</f>
        <v>0</v>
      </c>
    </row>
    <row r="639" spans="1:10" ht="24" hidden="1" customHeight="1" x14ac:dyDescent="0.25">
      <c r="A639" s="109">
        <v>44581</v>
      </c>
      <c r="B639" s="50" t="s">
        <v>1477</v>
      </c>
      <c r="C639" s="5">
        <v>2001975</v>
      </c>
      <c r="D639" s="5"/>
      <c r="E639" s="5">
        <f>+IF(FINANCIACION[[#This Row],[$ CAPITAL]]&gt;=0,FINANCIACION[[#This Row],[$ CAPITAL]]+FINANCIACION[[#This Row],[$ INTERESES]],"")</f>
        <v>2001975</v>
      </c>
      <c r="F639" s="5">
        <f>+SUMIFS(FINANCIACION[$ CAPITAL],FINANCIACION[Fecha],"&lt;="&amp;FINANCIACION[[#This Row],[Fecha]],FINANCIACION[PRESTAMO],FINANCIACION[[#This Row],[PRESTAMO]])</f>
        <v>-18559525</v>
      </c>
      <c r="G639" s="53"/>
      <c r="H639" s="53"/>
      <c r="I639" s="5">
        <f>+IF(FINANCIACION[[#This Row],[$ CAPITAL]]&gt;0,FINANCIACION[[#This Row],[$ CAPITAL]])</f>
        <v>2001975</v>
      </c>
      <c r="J639" s="33">
        <f>+IF(FINANCIACION[[#This Row],[$ CAPITAL]]&gt;=0,FINANCIACION[[#This Row],[$ CAPITAL]]+FINANCIACION[[#This Row],[$ INTERESES]],0)</f>
        <v>2001975</v>
      </c>
    </row>
    <row r="640" spans="1:10" ht="24" hidden="1" customHeight="1" x14ac:dyDescent="0.25">
      <c r="A640" s="109">
        <v>44592</v>
      </c>
      <c r="B640" s="50" t="s">
        <v>1477</v>
      </c>
      <c r="C640" s="5">
        <v>-11936475</v>
      </c>
      <c r="D640" s="5"/>
      <c r="E640" s="5" t="str">
        <f>+IF(FINANCIACION[[#This Row],[$ CAPITAL]]&gt;=0,FINANCIACION[[#This Row],[$ CAPITAL]]+FINANCIACION[[#This Row],[$ INTERESES]],"")</f>
        <v/>
      </c>
      <c r="F640" s="5">
        <f>+SUMIFS(FINANCIACION[$ CAPITAL],FINANCIACION[Fecha],"&lt;="&amp;FINANCIACION[[#This Row],[Fecha]],FINANCIACION[PRESTAMO],FINANCIACION[[#This Row],[PRESTAMO]])</f>
        <v>-30496000</v>
      </c>
      <c r="G640" s="53"/>
      <c r="H640" s="53"/>
      <c r="I640" s="5" t="b">
        <f>+IF(FINANCIACION[[#This Row],[$ CAPITAL]]&gt;0,FINANCIACION[[#This Row],[$ CAPITAL]])</f>
        <v>0</v>
      </c>
      <c r="J640" s="33">
        <f>+IF(FINANCIACION[[#This Row],[$ CAPITAL]]&gt;=0,FINANCIACION[[#This Row],[$ CAPITAL]]+FINANCIACION[[#This Row],[$ INTERESES]],0)</f>
        <v>0</v>
      </c>
    </row>
    <row r="641" spans="1:10" ht="24" hidden="1" customHeight="1" x14ac:dyDescent="0.25">
      <c r="A641" s="109">
        <v>44620</v>
      </c>
      <c r="B641" s="50" t="s">
        <v>1477</v>
      </c>
      <c r="C641" s="5">
        <v>-1113500</v>
      </c>
      <c r="D641" s="5"/>
      <c r="E641" s="5" t="str">
        <f>+IF(FINANCIACION[[#This Row],[$ CAPITAL]]&gt;=0,FINANCIACION[[#This Row],[$ CAPITAL]]+FINANCIACION[[#This Row],[$ INTERESES]],"")</f>
        <v/>
      </c>
      <c r="F641" s="5">
        <f>+SUMIFS(FINANCIACION[$ CAPITAL],FINANCIACION[Fecha],"&lt;="&amp;FINANCIACION[[#This Row],[Fecha]],FINANCIACION[PRESTAMO],FINANCIACION[[#This Row],[PRESTAMO]])</f>
        <v>-31609500</v>
      </c>
      <c r="G641" s="53" t="s">
        <v>153</v>
      </c>
      <c r="H641" s="53"/>
      <c r="I641" s="5" t="b">
        <f>+IF(FINANCIACION[[#This Row],[$ CAPITAL]]&gt;0,FINANCIACION[[#This Row],[$ CAPITAL]])</f>
        <v>0</v>
      </c>
      <c r="J641" s="33">
        <f>+IF(FINANCIACION[[#This Row],[$ CAPITAL]]&gt;=0,FINANCIACION[[#This Row],[$ CAPITAL]]+FINANCIACION[[#This Row],[$ INTERESES]],0)</f>
        <v>0</v>
      </c>
    </row>
    <row r="642" spans="1:10" ht="24" hidden="1" customHeight="1" x14ac:dyDescent="0.25">
      <c r="A642" s="109">
        <v>44651</v>
      </c>
      <c r="B642" s="50" t="s">
        <v>1477</v>
      </c>
      <c r="C642" s="5">
        <v>251900</v>
      </c>
      <c r="D642" s="5"/>
      <c r="E642" s="5">
        <f>+IF(FINANCIACION[[#This Row],[$ CAPITAL]]&gt;=0,FINANCIACION[[#This Row],[$ CAPITAL]]+FINANCIACION[[#This Row],[$ INTERESES]],"")</f>
        <v>251900</v>
      </c>
      <c r="F642" s="5">
        <f>+SUMIFS(FINANCIACION[$ CAPITAL],FINANCIACION[Fecha],"&lt;="&amp;FINANCIACION[[#This Row],[Fecha]],FINANCIACION[PRESTAMO],FINANCIACION[[#This Row],[PRESTAMO]])</f>
        <v>-31357600</v>
      </c>
      <c r="G642" s="53"/>
      <c r="H642" s="53"/>
      <c r="I642" s="5">
        <f>+IF(FINANCIACION[[#This Row],[$ CAPITAL]]&gt;0,FINANCIACION[[#This Row],[$ CAPITAL]])</f>
        <v>251900</v>
      </c>
      <c r="J642" s="33">
        <f>+IF(FINANCIACION[[#This Row],[$ CAPITAL]]&gt;=0,FINANCIACION[[#This Row],[$ CAPITAL]]+FINANCIACION[[#This Row],[$ INTERESES]],0)</f>
        <v>251900</v>
      </c>
    </row>
    <row r="643" spans="1:10" ht="24" hidden="1" customHeight="1" x14ac:dyDescent="0.25">
      <c r="A643" s="109">
        <v>44681</v>
      </c>
      <c r="B643" s="50" t="s">
        <v>1477</v>
      </c>
      <c r="C643" s="5">
        <v>-1502400</v>
      </c>
      <c r="D643" s="5"/>
      <c r="E643" s="5" t="str">
        <f>+IF(FINANCIACION[[#This Row],[$ CAPITAL]]&gt;=0,FINANCIACION[[#This Row],[$ CAPITAL]]+FINANCIACION[[#This Row],[$ INTERESES]],"")</f>
        <v/>
      </c>
      <c r="F643" s="5">
        <f>+SUMIFS(FINANCIACION[$ CAPITAL],FINANCIACION[Fecha],"&lt;="&amp;FINANCIACION[[#This Row],[Fecha]],FINANCIACION[PRESTAMO],FINANCIACION[[#This Row],[PRESTAMO]])</f>
        <v>-32860000</v>
      </c>
      <c r="G643" s="53" t="s">
        <v>153</v>
      </c>
      <c r="H643" s="53"/>
      <c r="I643" s="5" t="b">
        <f>+IF(FINANCIACION[[#This Row],[$ CAPITAL]]&gt;0,FINANCIACION[[#This Row],[$ CAPITAL]])</f>
        <v>0</v>
      </c>
      <c r="J643" s="33">
        <f>+IF(FINANCIACION[[#This Row],[$ CAPITAL]]&gt;=0,FINANCIACION[[#This Row],[$ CAPITAL]]+FINANCIACION[[#This Row],[$ INTERESES]],0)</f>
        <v>0</v>
      </c>
    </row>
    <row r="644" spans="1:10" ht="24" hidden="1" customHeight="1" x14ac:dyDescent="0.25">
      <c r="A644" s="109">
        <v>44712</v>
      </c>
      <c r="B644" s="50" t="s">
        <v>1477</v>
      </c>
      <c r="C644" s="5">
        <v>-773800</v>
      </c>
      <c r="D644" s="5"/>
      <c r="E644" s="5" t="str">
        <f>+IF(FINANCIACION[[#This Row],[$ CAPITAL]]&gt;=0,FINANCIACION[[#This Row],[$ CAPITAL]]+FINANCIACION[[#This Row],[$ INTERESES]],"")</f>
        <v/>
      </c>
      <c r="F644" s="5">
        <f>+SUMIFS(FINANCIACION[$ CAPITAL],FINANCIACION[Fecha],"&lt;="&amp;FINANCIACION[[#This Row],[Fecha]],FINANCIACION[PRESTAMO],FINANCIACION[[#This Row],[PRESTAMO]])</f>
        <v>-33633800</v>
      </c>
      <c r="G644" s="53" t="s">
        <v>153</v>
      </c>
      <c r="H644" s="53"/>
      <c r="I644" s="5" t="b">
        <f>+IF(FINANCIACION[[#This Row],[$ CAPITAL]]&gt;0,FINANCIACION[[#This Row],[$ CAPITAL]])</f>
        <v>0</v>
      </c>
      <c r="J644" s="33">
        <f>+IF(FINANCIACION[[#This Row],[$ CAPITAL]]&gt;=0,FINANCIACION[[#This Row],[$ CAPITAL]]+FINANCIACION[[#This Row],[$ INTERESES]],0)</f>
        <v>0</v>
      </c>
    </row>
    <row r="645" spans="1:10" ht="24" hidden="1" customHeight="1" x14ac:dyDescent="0.25">
      <c r="A645" s="109">
        <v>44742</v>
      </c>
      <c r="B645" s="50" t="s">
        <v>1477</v>
      </c>
      <c r="C645" s="5">
        <v>11583800</v>
      </c>
      <c r="D645" s="5"/>
      <c r="E645" s="5">
        <f>+IF(FINANCIACION[[#This Row],[$ CAPITAL]]&gt;=0,FINANCIACION[[#This Row],[$ CAPITAL]]+FINANCIACION[[#This Row],[$ INTERESES]],"")</f>
        <v>11583800</v>
      </c>
      <c r="F645" s="5">
        <f>+SUMIFS(FINANCIACION[$ CAPITAL],FINANCIACION[Fecha],"&lt;="&amp;FINANCIACION[[#This Row],[Fecha]],FINANCIACION[PRESTAMO],FINANCIACION[[#This Row],[PRESTAMO]])</f>
        <v>-22050000</v>
      </c>
      <c r="G645" s="53" t="s">
        <v>153</v>
      </c>
      <c r="H645" s="53"/>
      <c r="I645" s="5">
        <f>+IF(FINANCIACION[[#This Row],[$ CAPITAL]]&gt;0,FINANCIACION[[#This Row],[$ CAPITAL]])</f>
        <v>11583800</v>
      </c>
      <c r="J645" s="33">
        <f>+IF(FINANCIACION[[#This Row],[$ CAPITAL]]&gt;=0,FINANCIACION[[#This Row],[$ CAPITAL]]+FINANCIACION[[#This Row],[$ INTERESES]],0)</f>
        <v>11583800</v>
      </c>
    </row>
    <row r="646" spans="1:10" ht="24" hidden="1" customHeight="1" x14ac:dyDescent="0.25">
      <c r="A646" s="109">
        <v>44773</v>
      </c>
      <c r="B646" s="50" t="s">
        <v>1477</v>
      </c>
      <c r="C646" s="5">
        <v>4909800</v>
      </c>
      <c r="D646" s="5"/>
      <c r="E646" s="5">
        <f>+IF(FINANCIACION[[#This Row],[$ CAPITAL]]&gt;=0,FINANCIACION[[#This Row],[$ CAPITAL]]+FINANCIACION[[#This Row],[$ INTERESES]],"")</f>
        <v>4909800</v>
      </c>
      <c r="F646" s="5">
        <f>+SUMIFS(FINANCIACION[$ CAPITAL],FINANCIACION[Fecha],"&lt;="&amp;FINANCIACION[[#This Row],[Fecha]],FINANCIACION[PRESTAMO],FINANCIACION[[#This Row],[PRESTAMO]])</f>
        <v>-17140200</v>
      </c>
      <c r="G646" s="53" t="s">
        <v>153</v>
      </c>
      <c r="H646" s="53"/>
      <c r="I646" s="5">
        <f>+IF(FINANCIACION[[#This Row],[$ CAPITAL]]&gt;0,FINANCIACION[[#This Row],[$ CAPITAL]])</f>
        <v>4909800</v>
      </c>
      <c r="J646" s="33">
        <f>+IF(FINANCIACION[[#This Row],[$ CAPITAL]]&gt;=0,FINANCIACION[[#This Row],[$ CAPITAL]]+FINANCIACION[[#This Row],[$ INTERESES]],0)</f>
        <v>4909800</v>
      </c>
    </row>
    <row r="647" spans="1:10" ht="24" hidden="1" customHeight="1" x14ac:dyDescent="0.25">
      <c r="A647" s="109">
        <v>44804</v>
      </c>
      <c r="B647" s="50" t="s">
        <v>1477</v>
      </c>
      <c r="C647" s="52">
        <v>-5300120</v>
      </c>
      <c r="D647" s="5"/>
      <c r="E647" s="5" t="str">
        <f>+IF(FINANCIACION[[#This Row],[$ CAPITAL]]&gt;=0,FINANCIACION[[#This Row],[$ CAPITAL]]+FINANCIACION[[#This Row],[$ INTERESES]],"")</f>
        <v/>
      </c>
      <c r="F647" s="5">
        <f>+SUMIFS(FINANCIACION[$ CAPITAL],FINANCIACION[Fecha],"&lt;="&amp;FINANCIACION[[#This Row],[Fecha]],FINANCIACION[PRESTAMO],FINANCIACION[[#This Row],[PRESTAMO]])</f>
        <v>-22440320</v>
      </c>
      <c r="G647" s="53"/>
      <c r="H647" s="53"/>
      <c r="I647" s="5" t="b">
        <f>+IF(FINANCIACION[[#This Row],[$ CAPITAL]]&gt;0,FINANCIACION[[#This Row],[$ CAPITAL]])</f>
        <v>0</v>
      </c>
      <c r="J647" s="33">
        <f>+IF(FINANCIACION[[#This Row],[$ CAPITAL]]&gt;=0,FINANCIACION[[#This Row],[$ CAPITAL]]+FINANCIACION[[#This Row],[$ INTERESES]],0)</f>
        <v>0</v>
      </c>
    </row>
    <row r="648" spans="1:10" ht="24" hidden="1" customHeight="1" x14ac:dyDescent="0.25">
      <c r="A648" s="109">
        <v>44834</v>
      </c>
      <c r="B648" s="50" t="s">
        <v>1477</v>
      </c>
      <c r="C648" s="5">
        <v>1444150</v>
      </c>
      <c r="D648" s="5"/>
      <c r="E648" s="5">
        <f>+IF(FINANCIACION[[#This Row],[$ CAPITAL]]&gt;=0,FINANCIACION[[#This Row],[$ CAPITAL]]+FINANCIACION[[#This Row],[$ INTERESES]],"")</f>
        <v>1444150</v>
      </c>
      <c r="F648" s="5">
        <f>+SUMIFS(FINANCIACION[$ CAPITAL],FINANCIACION[Fecha],"&lt;="&amp;FINANCIACION[[#This Row],[Fecha]],FINANCIACION[PRESTAMO],FINANCIACION[[#This Row],[PRESTAMO]])</f>
        <v>-20996170</v>
      </c>
      <c r="G648" s="53" t="s">
        <v>507</v>
      </c>
      <c r="H648" s="53"/>
      <c r="I648" s="5">
        <f>+IF(FINANCIACION[[#This Row],[$ CAPITAL]]&gt;0,FINANCIACION[[#This Row],[$ CAPITAL]])</f>
        <v>1444150</v>
      </c>
      <c r="J648" s="33">
        <f>+IF(FINANCIACION[[#This Row],[$ CAPITAL]]&gt;=0,FINANCIACION[[#This Row],[$ CAPITAL]]+FINANCIACION[[#This Row],[$ INTERESES]],0)</f>
        <v>1444150</v>
      </c>
    </row>
    <row r="649" spans="1:10" ht="24" hidden="1" customHeight="1" x14ac:dyDescent="0.25">
      <c r="A649" s="109">
        <v>44865</v>
      </c>
      <c r="B649" s="50" t="s">
        <v>1477</v>
      </c>
      <c r="C649" s="5">
        <f>20996170-23005500</f>
        <v>-2009330</v>
      </c>
      <c r="D649" s="5"/>
      <c r="E649" s="5" t="str">
        <f>+IF(FINANCIACION[[#This Row],[$ CAPITAL]]&gt;=0,FINANCIACION[[#This Row],[$ CAPITAL]]+FINANCIACION[[#This Row],[$ INTERESES]],"")</f>
        <v/>
      </c>
      <c r="F649" s="5">
        <f>+SUMIFS(FINANCIACION[$ CAPITAL],FINANCIACION[Fecha],"&lt;="&amp;FINANCIACION[[#This Row],[Fecha]],FINANCIACION[PRESTAMO],FINANCIACION[[#This Row],[PRESTAMO]])</f>
        <v>-23005500</v>
      </c>
      <c r="G649" s="53" t="s">
        <v>530</v>
      </c>
      <c r="H649" s="53"/>
      <c r="I649" s="5" t="b">
        <f>+IF(FINANCIACION[[#This Row],[$ CAPITAL]]&gt;0,FINANCIACION[[#This Row],[$ CAPITAL]])</f>
        <v>0</v>
      </c>
      <c r="J649" s="33">
        <f>+IF(FINANCIACION[[#This Row],[$ CAPITAL]]&gt;=0,FINANCIACION[[#This Row],[$ CAPITAL]]+FINANCIACION[[#This Row],[$ INTERESES]],0)</f>
        <v>0</v>
      </c>
    </row>
    <row r="650" spans="1:10" ht="24" hidden="1" customHeight="1" x14ac:dyDescent="0.25">
      <c r="A650" s="109">
        <v>44926</v>
      </c>
      <c r="B650" s="50" t="s">
        <v>1477</v>
      </c>
      <c r="C650" s="5">
        <v>22192100</v>
      </c>
      <c r="D650" s="5"/>
      <c r="E650" s="5">
        <f>+IF(FINANCIACION[[#This Row],[$ CAPITAL]]&gt;=0,FINANCIACION[[#This Row],[$ CAPITAL]]+FINANCIACION[[#This Row],[$ INTERESES]],"")</f>
        <v>22192100</v>
      </c>
      <c r="F650" s="5">
        <f>+SUMIFS(FINANCIACION[$ CAPITAL],FINANCIACION[Fecha],"&lt;="&amp;FINANCIACION[[#This Row],[Fecha]],FINANCIACION[PRESTAMO],FINANCIACION[[#This Row],[PRESTAMO]])</f>
        <v>-813400</v>
      </c>
      <c r="G650" s="53"/>
      <c r="H650" s="53"/>
      <c r="I650" s="5">
        <f>+IF(FINANCIACION[[#This Row],[$ CAPITAL]]&gt;0,FINANCIACION[[#This Row],[$ CAPITAL]])</f>
        <v>22192100</v>
      </c>
      <c r="J650" s="33">
        <f>+IF(FINANCIACION[[#This Row],[$ CAPITAL]]&gt;=0,FINANCIACION[[#This Row],[$ CAPITAL]]+FINANCIACION[[#This Row],[$ INTERESES]],0)</f>
        <v>22192100</v>
      </c>
    </row>
    <row r="651" spans="1:10" ht="24" hidden="1" customHeight="1" x14ac:dyDescent="0.25">
      <c r="A651" s="109">
        <v>44957</v>
      </c>
      <c r="B651" s="50" t="s">
        <v>1477</v>
      </c>
      <c r="C651" s="5">
        <v>-6645600</v>
      </c>
      <c r="D651" s="5"/>
      <c r="E651" s="5" t="str">
        <f>+IF(FINANCIACION[[#This Row],[$ CAPITAL]]&gt;=0,FINANCIACION[[#This Row],[$ CAPITAL]]+FINANCIACION[[#This Row],[$ INTERESES]],"")</f>
        <v/>
      </c>
      <c r="F651" s="5">
        <f>+SUMIFS(FINANCIACION[$ CAPITAL],FINANCIACION[Fecha],"&lt;="&amp;FINANCIACION[[#This Row],[Fecha]],FINANCIACION[PRESTAMO],FINANCIACION[[#This Row],[PRESTAMO]])</f>
        <v>-7459000</v>
      </c>
      <c r="G651" s="53"/>
      <c r="H651" s="53"/>
      <c r="I651" s="5" t="b">
        <f>+IF(FINANCIACION[[#This Row],[$ CAPITAL]]&gt;0,FINANCIACION[[#This Row],[$ CAPITAL]])</f>
        <v>0</v>
      </c>
      <c r="J651" s="33">
        <f>+IF(FINANCIACION[[#This Row],[$ CAPITAL]]&gt;=0,FINANCIACION[[#This Row],[$ CAPITAL]]+FINANCIACION[[#This Row],[$ INTERESES]],0)</f>
        <v>0</v>
      </c>
    </row>
    <row r="652" spans="1:10" ht="24" hidden="1" customHeight="1" x14ac:dyDescent="0.25">
      <c r="A652" s="109">
        <v>44985</v>
      </c>
      <c r="B652" s="50" t="s">
        <v>1477</v>
      </c>
      <c r="C652" s="5">
        <v>-9419360</v>
      </c>
      <c r="D652" s="5"/>
      <c r="E652" s="5" t="str">
        <f>+IF(FINANCIACION[[#This Row],[$ CAPITAL]]&gt;=0,FINANCIACION[[#This Row],[$ CAPITAL]]+FINANCIACION[[#This Row],[$ INTERESES]],"")</f>
        <v/>
      </c>
      <c r="F652" s="5">
        <f>+SUMIFS(FINANCIACION[$ CAPITAL],FINANCIACION[Fecha],"&lt;="&amp;FINANCIACION[[#This Row],[Fecha]],FINANCIACION[PRESTAMO],FINANCIACION[[#This Row],[PRESTAMO]])</f>
        <v>-16878360</v>
      </c>
      <c r="G652" s="53"/>
      <c r="H652" s="53"/>
      <c r="I652" s="5" t="b">
        <f>+IF(FINANCIACION[[#This Row],[$ CAPITAL]]&gt;0,FINANCIACION[[#This Row],[$ CAPITAL]])</f>
        <v>0</v>
      </c>
      <c r="J652" s="33">
        <f>+IF(FINANCIACION[[#This Row],[$ CAPITAL]]&gt;=0,FINANCIACION[[#This Row],[$ CAPITAL]]+FINANCIACION[[#This Row],[$ INTERESES]],0)</f>
        <v>0</v>
      </c>
    </row>
    <row r="653" spans="1:10" ht="24" hidden="1" customHeight="1" x14ac:dyDescent="0.25">
      <c r="A653" s="109">
        <v>45016</v>
      </c>
      <c r="B653" s="50" t="s">
        <v>1477</v>
      </c>
      <c r="C653" s="5">
        <v>-1447240</v>
      </c>
      <c r="D653" s="5"/>
      <c r="E653" s="5" t="str">
        <f>+IF(FINANCIACION[[#This Row],[$ CAPITAL]]&gt;=0,FINANCIACION[[#This Row],[$ CAPITAL]]+FINANCIACION[[#This Row],[$ INTERESES]],"")</f>
        <v/>
      </c>
      <c r="F653" s="5">
        <f>+SUMIFS(FINANCIACION[$ CAPITAL],FINANCIACION[Fecha],"&lt;="&amp;FINANCIACION[[#This Row],[Fecha]],FINANCIACION[PRESTAMO],FINANCIACION[[#This Row],[PRESTAMO]])</f>
        <v>-18325600</v>
      </c>
      <c r="G653" s="53"/>
      <c r="H653" s="53"/>
      <c r="I653" s="5" t="b">
        <f>+IF(FINANCIACION[[#This Row],[$ CAPITAL]]&gt;0,FINANCIACION[[#This Row],[$ CAPITAL]])</f>
        <v>0</v>
      </c>
      <c r="J653" s="33">
        <f>+IF(FINANCIACION[[#This Row],[$ CAPITAL]]&gt;=0,FINANCIACION[[#This Row],[$ CAPITAL]]+FINANCIACION[[#This Row],[$ INTERESES]],0)</f>
        <v>0</v>
      </c>
    </row>
    <row r="654" spans="1:10" ht="24" hidden="1" customHeight="1" x14ac:dyDescent="0.25">
      <c r="A654" s="109">
        <v>45046</v>
      </c>
      <c r="B654" s="50" t="s">
        <v>1477</v>
      </c>
      <c r="C654" s="5">
        <v>-540500</v>
      </c>
      <c r="D654" s="5"/>
      <c r="E654" s="5" t="str">
        <f>+IF(FINANCIACION[[#This Row],[$ CAPITAL]]&gt;=0,FINANCIACION[[#This Row],[$ CAPITAL]]+FINANCIACION[[#This Row],[$ INTERESES]],"")</f>
        <v/>
      </c>
      <c r="F654" s="5">
        <f>+SUMIFS(FINANCIACION[$ CAPITAL],FINANCIACION[Fecha],"&lt;="&amp;FINANCIACION[[#This Row],[Fecha]],FINANCIACION[PRESTAMO],FINANCIACION[[#This Row],[PRESTAMO]])</f>
        <v>-18866100</v>
      </c>
      <c r="G654" s="53"/>
      <c r="H654" s="53"/>
      <c r="I654" s="5" t="b">
        <f>+IF(FINANCIACION[[#This Row],[$ CAPITAL]]&gt;0,FINANCIACION[[#This Row],[$ CAPITAL]])</f>
        <v>0</v>
      </c>
      <c r="J654" s="33">
        <f>+IF(FINANCIACION[[#This Row],[$ CAPITAL]]&gt;=0,FINANCIACION[[#This Row],[$ CAPITAL]]+FINANCIACION[[#This Row],[$ INTERESES]],0)</f>
        <v>0</v>
      </c>
    </row>
    <row r="655" spans="1:10" ht="24" hidden="1" customHeight="1" x14ac:dyDescent="0.25">
      <c r="A655" s="109">
        <v>45077</v>
      </c>
      <c r="B655" s="50" t="s">
        <v>1477</v>
      </c>
      <c r="C655" s="5">
        <v>-3557140</v>
      </c>
      <c r="D655" s="5"/>
      <c r="E655" s="5" t="str">
        <f>+IF(FINANCIACION[[#This Row],[$ CAPITAL]]&gt;=0,FINANCIACION[[#This Row],[$ CAPITAL]]+FINANCIACION[[#This Row],[$ INTERESES]],"")</f>
        <v/>
      </c>
      <c r="F655" s="5">
        <f>+SUMIFS(FINANCIACION[$ CAPITAL],FINANCIACION[Fecha],"&lt;="&amp;FINANCIACION[[#This Row],[Fecha]],FINANCIACION[PRESTAMO],FINANCIACION[[#This Row],[PRESTAMO]])</f>
        <v>-22423240</v>
      </c>
      <c r="G655" s="53"/>
      <c r="H655" s="53"/>
      <c r="I655" s="5" t="b">
        <f>+IF(FINANCIACION[[#This Row],[$ CAPITAL]]&gt;0,FINANCIACION[[#This Row],[$ CAPITAL]])</f>
        <v>0</v>
      </c>
      <c r="J655" s="33">
        <f>+IF(FINANCIACION[[#This Row],[$ CAPITAL]]&gt;=0,FINANCIACION[[#This Row],[$ CAPITAL]]+FINANCIACION[[#This Row],[$ INTERESES]],0)</f>
        <v>0</v>
      </c>
    </row>
    <row r="656" spans="1:10" ht="24" hidden="1" customHeight="1" x14ac:dyDescent="0.25">
      <c r="A656" s="109">
        <v>45107</v>
      </c>
      <c r="B656" s="50" t="s">
        <v>1477</v>
      </c>
      <c r="C656" s="5">
        <v>629790</v>
      </c>
      <c r="D656" s="5"/>
      <c r="E656" s="5">
        <f>+IF(FINANCIACION[[#This Row],[$ CAPITAL]]&gt;=0,FINANCIACION[[#This Row],[$ CAPITAL]]+FINANCIACION[[#This Row],[$ INTERESES]],"")</f>
        <v>629790</v>
      </c>
      <c r="F656" s="5">
        <f>+SUMIFS(FINANCIACION[$ CAPITAL],FINANCIACION[Fecha],"&lt;="&amp;FINANCIACION[[#This Row],[Fecha]],FINANCIACION[PRESTAMO],FINANCIACION[[#This Row],[PRESTAMO]])</f>
        <v>-21793450</v>
      </c>
      <c r="G656" s="53"/>
      <c r="H656" s="53"/>
      <c r="I656" s="5">
        <f>+IF(FINANCIACION[[#This Row],[$ CAPITAL]]&gt;0,FINANCIACION[[#This Row],[$ CAPITAL]])</f>
        <v>629790</v>
      </c>
      <c r="J656" s="33">
        <f>+IF(FINANCIACION[[#This Row],[$ CAPITAL]]&gt;=0,FINANCIACION[[#This Row],[$ CAPITAL]]+FINANCIACION[[#This Row],[$ INTERESES]],0)</f>
        <v>629790</v>
      </c>
    </row>
    <row r="657" spans="1:10" ht="24" hidden="1" customHeight="1" x14ac:dyDescent="0.25">
      <c r="A657" s="109">
        <v>45138</v>
      </c>
      <c r="B657" s="50" t="s">
        <v>1477</v>
      </c>
      <c r="C657" s="5">
        <v>17952450</v>
      </c>
      <c r="D657" s="5"/>
      <c r="E657" s="5">
        <f>+IF(FINANCIACION[[#This Row],[$ CAPITAL]]&gt;=0,FINANCIACION[[#This Row],[$ CAPITAL]]+FINANCIACION[[#This Row],[$ INTERESES]],"")</f>
        <v>17952450</v>
      </c>
      <c r="F657" s="5">
        <f>+SUMIFS(FINANCIACION[$ CAPITAL],FINANCIACION[Fecha],"&lt;="&amp;FINANCIACION[[#This Row],[Fecha]],FINANCIACION[PRESTAMO],FINANCIACION[[#This Row],[PRESTAMO]])</f>
        <v>-3841000</v>
      </c>
      <c r="G657" s="53"/>
      <c r="H657" s="53"/>
      <c r="I657" s="5">
        <f>+IF(FINANCIACION[[#This Row],[$ CAPITAL]]&gt;0,FINANCIACION[[#This Row],[$ CAPITAL]])</f>
        <v>17952450</v>
      </c>
      <c r="J657" s="33">
        <f>+IF(FINANCIACION[[#This Row],[$ CAPITAL]]&gt;=0,FINANCIACION[[#This Row],[$ CAPITAL]]+FINANCIACION[[#This Row],[$ INTERESES]],0)</f>
        <v>17952450</v>
      </c>
    </row>
    <row r="658" spans="1:10" ht="24" hidden="1" customHeight="1" x14ac:dyDescent="0.25">
      <c r="A658" s="109">
        <v>45169</v>
      </c>
      <c r="B658" s="50" t="s">
        <v>1477</v>
      </c>
      <c r="C658" s="5">
        <v>-8247504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-12088504</v>
      </c>
      <c r="G658" s="53"/>
      <c r="H658" s="53"/>
      <c r="I658" s="5" t="b">
        <f>+IF(FINANCIACION[[#This Row],[$ CAPITAL]]&gt;0,FINANCIACION[[#This Row],[$ CAPITAL]])</f>
        <v>0</v>
      </c>
      <c r="J658" s="33">
        <f>+IF(FINANCIACION[[#This Row],[$ CAPITAL]]&gt;=0,FINANCIACION[[#This Row],[$ CAPITAL]]+FINANCIACION[[#This Row],[$ INTERESES]],0)</f>
        <v>0</v>
      </c>
    </row>
    <row r="659" spans="1:10" ht="24" hidden="1" customHeight="1" x14ac:dyDescent="0.25">
      <c r="A659" s="109">
        <v>45199</v>
      </c>
      <c r="B659" s="50" t="s">
        <v>1477</v>
      </c>
      <c r="C659" s="5">
        <v>-5702946</v>
      </c>
      <c r="D659" s="5"/>
      <c r="E659" s="5" t="str">
        <f>+IF(FINANCIACION[[#This Row],[$ CAPITAL]]&gt;=0,FINANCIACION[[#This Row],[$ CAPITAL]]+FINANCIACION[[#This Row],[$ INTERESES]],"")</f>
        <v/>
      </c>
      <c r="F659" s="5">
        <f>+SUMIFS(FINANCIACION[$ CAPITAL],FINANCIACION[Fecha],"&lt;="&amp;FINANCIACION[[#This Row],[Fecha]],FINANCIACION[PRESTAMO],FINANCIACION[[#This Row],[PRESTAMO]])</f>
        <v>-17791450</v>
      </c>
      <c r="G659" s="53"/>
      <c r="H659" s="53"/>
      <c r="I659" s="5" t="b">
        <f>+IF(FINANCIACION[[#This Row],[$ CAPITAL]]&gt;0,FINANCIACION[[#This Row],[$ CAPITAL]])</f>
        <v>0</v>
      </c>
      <c r="J659" s="33">
        <f>+IF(FINANCIACION[[#This Row],[$ CAPITAL]]&gt;=0,FINANCIACION[[#This Row],[$ CAPITAL]]+FINANCIACION[[#This Row],[$ INTERESES]],0)</f>
        <v>0</v>
      </c>
    </row>
    <row r="660" spans="1:10" ht="24" hidden="1" customHeight="1" x14ac:dyDescent="0.25">
      <c r="A660" s="109">
        <v>45230</v>
      </c>
      <c r="B660" s="50" t="s">
        <v>1477</v>
      </c>
      <c r="C660" s="5">
        <v>769950</v>
      </c>
      <c r="D660" s="5"/>
      <c r="E660" s="5">
        <f>+IF(FINANCIACION[[#This Row],[$ CAPITAL]]&gt;=0,FINANCIACION[[#This Row],[$ CAPITAL]]+FINANCIACION[[#This Row],[$ INTERESES]],"")</f>
        <v>769950</v>
      </c>
      <c r="F660" s="5">
        <f>+SUMIFS(FINANCIACION[$ CAPITAL],FINANCIACION[Fecha],"&lt;="&amp;FINANCIACION[[#This Row],[Fecha]],FINANCIACION[PRESTAMO],FINANCIACION[[#This Row],[PRESTAMO]])</f>
        <v>-17021500</v>
      </c>
      <c r="G660" s="53"/>
      <c r="H660" s="53"/>
      <c r="I660" s="5">
        <f>+IF(FINANCIACION[[#This Row],[$ CAPITAL]]&gt;0,FINANCIACION[[#This Row],[$ CAPITAL]])</f>
        <v>769950</v>
      </c>
      <c r="J660" s="33">
        <f>+IF(FINANCIACION[[#This Row],[$ CAPITAL]]&gt;=0,FINANCIACION[[#This Row],[$ CAPITAL]]+FINANCIACION[[#This Row],[$ INTERESES]],0)</f>
        <v>769950</v>
      </c>
    </row>
    <row r="661" spans="1:10" ht="24" hidden="1" customHeight="1" x14ac:dyDescent="0.25">
      <c r="A661" s="109">
        <v>45260</v>
      </c>
      <c r="B661" s="50" t="s">
        <v>1477</v>
      </c>
      <c r="C661" s="5">
        <v>15576000</v>
      </c>
      <c r="D661" s="5"/>
      <c r="E661" s="5">
        <f>+IF(FINANCIACION[[#This Row],[$ CAPITAL]]&gt;=0,FINANCIACION[[#This Row],[$ CAPITAL]]+FINANCIACION[[#This Row],[$ INTERESES]],"")</f>
        <v>15576000</v>
      </c>
      <c r="F661" s="5">
        <f>+SUMIFS(FINANCIACION[$ CAPITAL],FINANCIACION[Fecha],"&lt;="&amp;FINANCIACION[[#This Row],[Fecha]],FINANCIACION[PRESTAMO],FINANCIACION[[#This Row],[PRESTAMO]])</f>
        <v>10603950</v>
      </c>
      <c r="G661" s="53"/>
      <c r="H661" s="53"/>
      <c r="I661" s="5">
        <f>+IF(FINANCIACION[[#This Row],[$ CAPITAL]]&gt;0,FINANCIACION[[#This Row],[$ CAPITAL]])</f>
        <v>15576000</v>
      </c>
      <c r="J661" s="33">
        <f>+IF(FINANCIACION[[#This Row],[$ CAPITAL]]&gt;=0,FINANCIACION[[#This Row],[$ CAPITAL]]+FINANCIACION[[#This Row],[$ INTERESES]],0)</f>
        <v>15576000</v>
      </c>
    </row>
    <row r="662" spans="1:10" ht="24" hidden="1" customHeight="1" x14ac:dyDescent="0.25">
      <c r="A662" s="109">
        <v>45291</v>
      </c>
      <c r="B662" s="50" t="s">
        <v>1477</v>
      </c>
      <c r="C662" s="5">
        <v>-10603950</v>
      </c>
      <c r="D662" s="5"/>
      <c r="E662" s="5" t="str">
        <f>+IF(FINANCIACION[[#This Row],[$ CAPITAL]]&gt;=0,FINANCIACION[[#This Row],[$ CAPITAL]]+FINANCIACION[[#This Row],[$ INTERESES]],"")</f>
        <v/>
      </c>
      <c r="F662" s="5">
        <f>+SUMIFS(FINANCIACION[$ CAPITAL],FINANCIACION[Fecha],"&lt;="&amp;FINANCIACION[[#This Row],[Fecha]],FINANCIACION[PRESTAMO],FINANCIACION[[#This Row],[PRESTAMO]])</f>
        <v>0</v>
      </c>
      <c r="G662" s="53"/>
      <c r="H662" s="53"/>
      <c r="I662" s="5" t="b">
        <f>+IF(FINANCIACION[[#This Row],[$ CAPITAL]]&gt;0,FINANCIACION[[#This Row],[$ CAPITAL]])</f>
        <v>0</v>
      </c>
      <c r="J662" s="33">
        <f>+IF(FINANCIACION[[#This Row],[$ CAPITAL]]&gt;=0,FINANCIACION[[#This Row],[$ CAPITAL]]+FINANCIACION[[#This Row],[$ INTERESES]],0)</f>
        <v>0</v>
      </c>
    </row>
    <row r="663" spans="1:10" ht="24" hidden="1" customHeight="1" x14ac:dyDescent="0.25">
      <c r="A663" s="109">
        <v>44927</v>
      </c>
      <c r="B663" s="50" t="s">
        <v>1479</v>
      </c>
      <c r="C663" s="5">
        <v>442515</v>
      </c>
      <c r="D663" s="5"/>
      <c r="E663" s="5">
        <f>+IF(FINANCIACION[[#This Row],[$ CAPITAL]]&gt;=0,FINANCIACION[[#This Row],[$ CAPITAL]]+FINANCIACION[[#This Row],[$ INTERESES]],"")</f>
        <v>442515</v>
      </c>
      <c r="F663" s="5">
        <f>+SUMIFS(FINANCIACION[$ CAPITAL],FINANCIACION[Fecha],"&lt;="&amp;FINANCIACION[[#This Row],[Fecha]],FINANCIACION[PRESTAMO],FINANCIACION[[#This Row],[PRESTAMO]])</f>
        <v>442515</v>
      </c>
      <c r="G663" s="53" t="s">
        <v>153</v>
      </c>
      <c r="H663" s="53"/>
      <c r="I663" s="5">
        <f>+IF(FINANCIACION[[#This Row],[$ CAPITAL]]&gt;0,FINANCIACION[[#This Row],[$ CAPITAL]])</f>
        <v>442515</v>
      </c>
      <c r="J663" s="33">
        <f>+IF(FINANCIACION[[#This Row],[$ CAPITAL]]&gt;=0,FINANCIACION[[#This Row],[$ CAPITAL]]+FINANCIACION[[#This Row],[$ INTERESES]],0)</f>
        <v>442515</v>
      </c>
    </row>
    <row r="664" spans="1:10" ht="24" hidden="1" customHeight="1" x14ac:dyDescent="0.25">
      <c r="A664" s="109">
        <v>44957</v>
      </c>
      <c r="B664" s="50" t="s">
        <v>1479</v>
      </c>
      <c r="C664" s="5">
        <v>-442515</v>
      </c>
      <c r="D664" s="5"/>
      <c r="E664" s="5" t="str">
        <f>+IF(FINANCIACION[[#This Row],[$ CAPITAL]]&gt;=0,FINANCIACION[[#This Row],[$ CAPITAL]]+FINANCIACION[[#This Row],[$ INTERESES]],"")</f>
        <v/>
      </c>
      <c r="F664" s="5">
        <f>+SUMIFS(FINANCIACION[$ CAPITAL],FINANCIACION[Fecha],"&lt;="&amp;FINANCIACION[[#This Row],[Fecha]],FINANCIACION[PRESTAMO],FINANCIACION[[#This Row],[PRESTAMO]])</f>
        <v>0</v>
      </c>
      <c r="G664" s="53"/>
      <c r="H664" s="53"/>
      <c r="I664" s="5" t="b">
        <f>+IF(FINANCIACION[[#This Row],[$ CAPITAL]]&gt;0,FINANCIACION[[#This Row],[$ CAPITAL]])</f>
        <v>0</v>
      </c>
      <c r="J664" s="33">
        <f>+IF(FINANCIACION[[#This Row],[$ CAPITAL]]&gt;=0,FINANCIACION[[#This Row],[$ CAPITAL]]+FINANCIACION[[#This Row],[$ INTERESES]],0)</f>
        <v>0</v>
      </c>
    </row>
    <row r="665" spans="1:10" ht="24" hidden="1" customHeight="1" x14ac:dyDescent="0.25">
      <c r="A665" s="109">
        <v>44985</v>
      </c>
      <c r="B665" s="50" t="s">
        <v>1479</v>
      </c>
      <c r="C665" s="5">
        <v>982925</v>
      </c>
      <c r="D665" s="5"/>
      <c r="E665" s="5">
        <f>+IF(FINANCIACION[[#This Row],[$ CAPITAL]]&gt;=0,FINANCIACION[[#This Row],[$ CAPITAL]]+FINANCIACION[[#This Row],[$ INTERESES]],"")</f>
        <v>982925</v>
      </c>
      <c r="F665" s="5">
        <f>+SUMIFS(FINANCIACION[$ CAPITAL],FINANCIACION[Fecha],"&lt;="&amp;FINANCIACION[[#This Row],[Fecha]],FINANCIACION[PRESTAMO],FINANCIACION[[#This Row],[PRESTAMO]])</f>
        <v>982925</v>
      </c>
      <c r="G665" s="53"/>
      <c r="H665" s="53"/>
      <c r="I665" s="5">
        <f>+IF(FINANCIACION[[#This Row],[$ CAPITAL]]&gt;0,FINANCIACION[[#This Row],[$ CAPITAL]])</f>
        <v>982925</v>
      </c>
      <c r="J665" s="33">
        <f>+IF(FINANCIACION[[#This Row],[$ CAPITAL]]&gt;=0,FINANCIACION[[#This Row],[$ CAPITAL]]+FINANCIACION[[#This Row],[$ INTERESES]],0)</f>
        <v>982925</v>
      </c>
    </row>
    <row r="666" spans="1:10" ht="24" hidden="1" customHeight="1" x14ac:dyDescent="0.25">
      <c r="A666" s="109">
        <v>45016</v>
      </c>
      <c r="B666" s="50" t="s">
        <v>1479</v>
      </c>
      <c r="C666" s="5">
        <v>-80343</v>
      </c>
      <c r="D666" s="5"/>
      <c r="E666" s="5" t="str">
        <f>+IF(FINANCIACION[[#This Row],[$ CAPITAL]]&gt;=0,FINANCIACION[[#This Row],[$ CAPITAL]]+FINANCIACION[[#This Row],[$ INTERESES]],"")</f>
        <v/>
      </c>
      <c r="F666" s="5">
        <f>+SUMIFS(FINANCIACION[$ CAPITAL],FINANCIACION[Fecha],"&lt;="&amp;FINANCIACION[[#This Row],[Fecha]],FINANCIACION[PRESTAMO],FINANCIACION[[#This Row],[PRESTAMO]])</f>
        <v>902582</v>
      </c>
      <c r="G666" s="53"/>
      <c r="H666" s="53"/>
      <c r="I666" s="5" t="b">
        <f>+IF(FINANCIACION[[#This Row],[$ CAPITAL]]&gt;0,FINANCIACION[[#This Row],[$ CAPITAL]])</f>
        <v>0</v>
      </c>
      <c r="J666" s="33">
        <f>+IF(FINANCIACION[[#This Row],[$ CAPITAL]]&gt;=0,FINANCIACION[[#This Row],[$ CAPITAL]]+FINANCIACION[[#This Row],[$ INTERESES]],0)</f>
        <v>0</v>
      </c>
    </row>
    <row r="667" spans="1:10" ht="24" hidden="1" customHeight="1" x14ac:dyDescent="0.25">
      <c r="A667" s="109">
        <v>45046</v>
      </c>
      <c r="B667" s="50" t="s">
        <v>1479</v>
      </c>
      <c r="C667" s="5">
        <v>2826258</v>
      </c>
      <c r="D667" s="5"/>
      <c r="E667" s="5">
        <f>+IF(FINANCIACION[[#This Row],[$ CAPITAL]]&gt;=0,FINANCIACION[[#This Row],[$ CAPITAL]]+FINANCIACION[[#This Row],[$ INTERESES]],"")</f>
        <v>2826258</v>
      </c>
      <c r="F667" s="5">
        <f>+SUMIFS(FINANCIACION[$ CAPITAL],FINANCIACION[Fecha],"&lt;="&amp;FINANCIACION[[#This Row],[Fecha]],FINANCIACION[PRESTAMO],FINANCIACION[[#This Row],[PRESTAMO]])</f>
        <v>3728840</v>
      </c>
      <c r="G667" s="53"/>
      <c r="H667" s="53"/>
      <c r="I667" s="5">
        <f>+IF(FINANCIACION[[#This Row],[$ CAPITAL]]&gt;0,FINANCIACION[[#This Row],[$ CAPITAL]])</f>
        <v>2826258</v>
      </c>
      <c r="J667" s="33">
        <f>+IF(FINANCIACION[[#This Row],[$ CAPITAL]]&gt;=0,FINANCIACION[[#This Row],[$ CAPITAL]]+FINANCIACION[[#This Row],[$ INTERESES]],0)</f>
        <v>2826258</v>
      </c>
    </row>
    <row r="668" spans="1:10" ht="24" hidden="1" customHeight="1" x14ac:dyDescent="0.25">
      <c r="A668" s="109">
        <v>45077</v>
      </c>
      <c r="B668" s="50" t="s">
        <v>1479</v>
      </c>
      <c r="C668" s="5">
        <v>-4517238</v>
      </c>
      <c r="D668" s="5"/>
      <c r="E668" s="5" t="str">
        <f>+IF(FINANCIACION[[#This Row],[$ CAPITAL]]&gt;=0,FINANCIACION[[#This Row],[$ CAPITAL]]+FINANCIACION[[#This Row],[$ INTERESES]],"")</f>
        <v/>
      </c>
      <c r="F668" s="5">
        <f>+SUMIFS(FINANCIACION[$ CAPITAL],FINANCIACION[Fecha],"&lt;="&amp;FINANCIACION[[#This Row],[Fecha]],FINANCIACION[PRESTAMO],FINANCIACION[[#This Row],[PRESTAMO]])</f>
        <v>-788398</v>
      </c>
      <c r="G668" s="53"/>
      <c r="H668" s="53"/>
      <c r="I668" s="5" t="b">
        <f>+IF(FINANCIACION[[#This Row],[$ CAPITAL]]&gt;0,FINANCIACION[[#This Row],[$ CAPITAL]])</f>
        <v>0</v>
      </c>
      <c r="J668" s="33">
        <f>+IF(FINANCIACION[[#This Row],[$ CAPITAL]]&gt;=0,FINANCIACION[[#This Row],[$ CAPITAL]]+FINANCIACION[[#This Row],[$ INTERESES]],0)</f>
        <v>0</v>
      </c>
    </row>
    <row r="669" spans="1:10" ht="24" hidden="1" customHeight="1" x14ac:dyDescent="0.25">
      <c r="A669" s="109">
        <v>45107</v>
      </c>
      <c r="B669" s="50" t="s">
        <v>1479</v>
      </c>
      <c r="C669" s="5">
        <v>2026596</v>
      </c>
      <c r="D669" s="5"/>
      <c r="E669" s="5">
        <f>+IF(FINANCIACION[[#This Row],[$ CAPITAL]]&gt;=0,FINANCIACION[[#This Row],[$ CAPITAL]]+FINANCIACION[[#This Row],[$ INTERESES]],"")</f>
        <v>2026596</v>
      </c>
      <c r="F669" s="5">
        <f>+SUMIFS(FINANCIACION[$ CAPITAL],FINANCIACION[Fecha],"&lt;="&amp;FINANCIACION[[#This Row],[Fecha]],FINANCIACION[PRESTAMO],FINANCIACION[[#This Row],[PRESTAMO]])</f>
        <v>1238198</v>
      </c>
      <c r="G669" s="53"/>
      <c r="H669" s="53"/>
      <c r="I669" s="5">
        <f>+IF(FINANCIACION[[#This Row],[$ CAPITAL]]&gt;0,FINANCIACION[[#This Row],[$ CAPITAL]])</f>
        <v>2026596</v>
      </c>
      <c r="J669" s="33">
        <f>+IF(FINANCIACION[[#This Row],[$ CAPITAL]]&gt;=0,FINANCIACION[[#This Row],[$ CAPITAL]]+FINANCIACION[[#This Row],[$ INTERESES]],0)</f>
        <v>2026596</v>
      </c>
    </row>
    <row r="670" spans="1:10" ht="24" hidden="1" customHeight="1" x14ac:dyDescent="0.25">
      <c r="A670" s="109">
        <v>45138</v>
      </c>
      <c r="B670" s="50" t="s">
        <v>1479</v>
      </c>
      <c r="C670" s="5">
        <v>373808</v>
      </c>
      <c r="D670" s="5"/>
      <c r="E670" s="5">
        <f>+IF(FINANCIACION[[#This Row],[$ CAPITAL]]&gt;=0,FINANCIACION[[#This Row],[$ CAPITAL]]+FINANCIACION[[#This Row],[$ INTERESES]],"")</f>
        <v>373808</v>
      </c>
      <c r="F670" s="5">
        <f>+SUMIFS(FINANCIACION[$ CAPITAL],FINANCIACION[Fecha],"&lt;="&amp;FINANCIACION[[#This Row],[Fecha]],FINANCIACION[PRESTAMO],FINANCIACION[[#This Row],[PRESTAMO]])</f>
        <v>1612006</v>
      </c>
      <c r="G670" s="53"/>
      <c r="H670" s="53"/>
      <c r="I670" s="5">
        <f>+IF(FINANCIACION[[#This Row],[$ CAPITAL]]&gt;0,FINANCIACION[[#This Row],[$ CAPITAL]])</f>
        <v>373808</v>
      </c>
      <c r="J670" s="33">
        <f>+IF(FINANCIACION[[#This Row],[$ CAPITAL]]&gt;=0,FINANCIACION[[#This Row],[$ CAPITAL]]+FINANCIACION[[#This Row],[$ INTERESES]],0)</f>
        <v>373808</v>
      </c>
    </row>
    <row r="671" spans="1:10" ht="24" hidden="1" customHeight="1" x14ac:dyDescent="0.25">
      <c r="A671" s="109">
        <v>45169</v>
      </c>
      <c r="B671" s="50" t="s">
        <v>1479</v>
      </c>
      <c r="C671" s="5">
        <v>2206994</v>
      </c>
      <c r="D671" s="5"/>
      <c r="E671" s="5">
        <f>+IF(FINANCIACION[[#This Row],[$ CAPITAL]]&gt;=0,FINANCIACION[[#This Row],[$ CAPITAL]]+FINANCIACION[[#This Row],[$ INTERESES]],"")</f>
        <v>2206994</v>
      </c>
      <c r="F671" s="5">
        <f>+SUMIFS(FINANCIACION[$ CAPITAL],FINANCIACION[Fecha],"&lt;="&amp;FINANCIACION[[#This Row],[Fecha]],FINANCIACION[PRESTAMO],FINANCIACION[[#This Row],[PRESTAMO]])</f>
        <v>3819000</v>
      </c>
      <c r="G671" s="53"/>
      <c r="H671" s="53"/>
      <c r="I671" s="5">
        <f>+IF(FINANCIACION[[#This Row],[$ CAPITAL]]&gt;0,FINANCIACION[[#This Row],[$ CAPITAL]])</f>
        <v>2206994</v>
      </c>
      <c r="J671" s="33">
        <f>+IF(FINANCIACION[[#This Row],[$ CAPITAL]]&gt;=0,FINANCIACION[[#This Row],[$ CAPITAL]]+FINANCIACION[[#This Row],[$ INTERESES]],0)</f>
        <v>2206994</v>
      </c>
    </row>
    <row r="672" spans="1:10" ht="24" hidden="1" customHeight="1" x14ac:dyDescent="0.25">
      <c r="A672" s="109">
        <v>45199</v>
      </c>
      <c r="B672" s="50" t="s">
        <v>1479</v>
      </c>
      <c r="C672" s="5">
        <v>-2662251</v>
      </c>
      <c r="D672" s="5"/>
      <c r="E672" s="5" t="str">
        <f>+IF(FINANCIACION[[#This Row],[$ CAPITAL]]&gt;=0,FINANCIACION[[#This Row],[$ CAPITAL]]+FINANCIACION[[#This Row],[$ INTERESES]],"")</f>
        <v/>
      </c>
      <c r="F672" s="5">
        <f>+SUMIFS(FINANCIACION[$ CAPITAL],FINANCIACION[Fecha],"&lt;="&amp;FINANCIACION[[#This Row],[Fecha]],FINANCIACION[PRESTAMO],FINANCIACION[[#This Row],[PRESTAMO]])</f>
        <v>1156749</v>
      </c>
      <c r="G672" s="53"/>
      <c r="H672" s="53"/>
      <c r="I672" s="5" t="b">
        <f>+IF(FINANCIACION[[#This Row],[$ CAPITAL]]&gt;0,FINANCIACION[[#This Row],[$ CAPITAL]])</f>
        <v>0</v>
      </c>
      <c r="J672" s="33">
        <f>+IF(FINANCIACION[[#This Row],[$ CAPITAL]]&gt;=0,FINANCIACION[[#This Row],[$ CAPITAL]]+FINANCIACION[[#This Row],[$ INTERESES]],0)</f>
        <v>0</v>
      </c>
    </row>
    <row r="673" spans="1:10" ht="24" hidden="1" customHeight="1" x14ac:dyDescent="0.25">
      <c r="A673" s="109">
        <v>45230</v>
      </c>
      <c r="B673" s="50" t="s">
        <v>1479</v>
      </c>
      <c r="C673" s="5">
        <v>895339</v>
      </c>
      <c r="D673" s="5"/>
      <c r="E673" s="5">
        <f>+IF(FINANCIACION[[#This Row],[$ CAPITAL]]&gt;=0,FINANCIACION[[#This Row],[$ CAPITAL]]+FINANCIACION[[#This Row],[$ INTERESES]],"")</f>
        <v>895339</v>
      </c>
      <c r="F673" s="5">
        <f>+SUMIFS(FINANCIACION[$ CAPITAL],FINANCIACION[Fecha],"&lt;="&amp;FINANCIACION[[#This Row],[Fecha]],FINANCIACION[PRESTAMO],FINANCIACION[[#This Row],[PRESTAMO]])</f>
        <v>2052088</v>
      </c>
      <c r="G673" s="53"/>
      <c r="H673" s="53"/>
      <c r="I673" s="5">
        <f>+IF(FINANCIACION[[#This Row],[$ CAPITAL]]&gt;0,FINANCIACION[[#This Row],[$ CAPITAL]])</f>
        <v>895339</v>
      </c>
      <c r="J673" s="33">
        <f>+IF(FINANCIACION[[#This Row],[$ CAPITAL]]&gt;=0,FINANCIACION[[#This Row],[$ CAPITAL]]+FINANCIACION[[#This Row],[$ INTERESES]],0)</f>
        <v>895339</v>
      </c>
    </row>
    <row r="674" spans="1:10" ht="24" hidden="1" customHeight="1" x14ac:dyDescent="0.25">
      <c r="A674" s="109">
        <v>45260</v>
      </c>
      <c r="B674" s="50" t="s">
        <v>1479</v>
      </c>
      <c r="C674" s="5">
        <v>-2165488</v>
      </c>
      <c r="D674" s="5"/>
      <c r="E674" s="5" t="str">
        <f>+IF(FINANCIACION[[#This Row],[$ CAPITAL]]&gt;=0,FINANCIACION[[#This Row],[$ CAPITAL]]+FINANCIACION[[#This Row],[$ INTERESES]],"")</f>
        <v/>
      </c>
      <c r="F674" s="5">
        <f>+SUMIFS(FINANCIACION[$ CAPITAL],FINANCIACION[Fecha],"&lt;="&amp;FINANCIACION[[#This Row],[Fecha]],FINANCIACION[PRESTAMO],FINANCIACION[[#This Row],[PRESTAMO]])</f>
        <v>-3932437</v>
      </c>
      <c r="G674" s="53"/>
      <c r="H674" s="53"/>
      <c r="I674" s="5" t="b">
        <f>+IF(FINANCIACION[[#This Row],[$ CAPITAL]]&gt;0,FINANCIACION[[#This Row],[$ CAPITAL]])</f>
        <v>0</v>
      </c>
      <c r="J674" s="33">
        <f>+IF(FINANCIACION[[#This Row],[$ CAPITAL]]&gt;=0,FINANCIACION[[#This Row],[$ CAPITAL]]+FINANCIACION[[#This Row],[$ INTERESES]],0)</f>
        <v>0</v>
      </c>
    </row>
    <row r="675" spans="1:10" ht="24" hidden="1" customHeight="1" x14ac:dyDescent="0.25">
      <c r="A675" s="109">
        <v>45291</v>
      </c>
      <c r="B675" s="50" t="s">
        <v>1479</v>
      </c>
      <c r="C675" s="5">
        <v>3816487</v>
      </c>
      <c r="D675" s="5"/>
      <c r="E675" s="5">
        <f>+IF(FINANCIACION[[#This Row],[$ CAPITAL]]&gt;=0,FINANCIACION[[#This Row],[$ CAPITAL]]+FINANCIACION[[#This Row],[$ INTERESES]],"")</f>
        <v>3816487</v>
      </c>
      <c r="F675" s="5">
        <f>+SUMIFS(FINANCIACION[$ CAPITAL],FINANCIACION[Fecha],"&lt;="&amp;FINANCIACION[[#This Row],[Fecha]],FINANCIACION[PRESTAMO],FINANCIACION[[#This Row],[PRESTAMO]])</f>
        <v>-115950</v>
      </c>
      <c r="G675" s="53"/>
      <c r="H675" s="53"/>
      <c r="I675" s="5">
        <f>+IF(FINANCIACION[[#This Row],[$ CAPITAL]]&gt;0,FINANCIACION[[#This Row],[$ CAPITAL]])</f>
        <v>3816487</v>
      </c>
      <c r="J675" s="33">
        <f>+IF(FINANCIACION[[#This Row],[$ CAPITAL]]&gt;=0,FINANCIACION[[#This Row],[$ CAPITAL]]+FINANCIACION[[#This Row],[$ INTERESES]],0)</f>
        <v>3816487</v>
      </c>
    </row>
    <row r="676" spans="1:10" ht="24" hidden="1" customHeight="1" x14ac:dyDescent="0.25">
      <c r="A676" s="109">
        <v>44927</v>
      </c>
      <c r="B676" s="50" t="s">
        <v>1478</v>
      </c>
      <c r="C676" s="5">
        <f>10016677-14662059</f>
        <v>-4645382</v>
      </c>
      <c r="D676" s="308"/>
      <c r="E676" s="5" t="str">
        <f>+IF(FINANCIACION[[#This Row],[$ CAPITAL]]&gt;=0,FINANCIACION[[#This Row],[$ CAPITAL]]+FINANCIACION[[#This Row],[$ INTERESES]],"")</f>
        <v/>
      </c>
      <c r="F676" s="5">
        <f>+SUMIFS(FINANCIACION[$ CAPITAL],FINANCIACION[Fecha],"&lt;="&amp;FINANCIACION[[#This Row],[Fecha]],FINANCIACION[PRESTAMO],FINANCIACION[[#This Row],[PRESTAMO]])</f>
        <v>-4645382</v>
      </c>
      <c r="G676" s="7" t="s">
        <v>153</v>
      </c>
      <c r="H676" s="309"/>
      <c r="I676" s="307" t="b">
        <f>+IF(FINANCIACION[[#This Row],[$ CAPITAL]]&gt;0,FINANCIACION[[#This Row],[$ CAPITAL]])</f>
        <v>0</v>
      </c>
      <c r="J676" s="306">
        <f>+IF(FINANCIACION[[#This Row],[$ CAPITAL]]&gt;=0,FINANCIACION[[#This Row],[$ CAPITAL]]+FINANCIACION[[#This Row],[$ INTERESES]],0)</f>
        <v>0</v>
      </c>
    </row>
    <row r="677" spans="1:10" ht="24" hidden="1" customHeight="1" x14ac:dyDescent="0.25">
      <c r="A677" s="109">
        <v>44957</v>
      </c>
      <c r="B677" s="50" t="s">
        <v>1478</v>
      </c>
      <c r="C677" s="5">
        <v>-10016677</v>
      </c>
      <c r="D677" s="5"/>
      <c r="E677" s="5" t="str">
        <f>+IF(FINANCIACION[[#This Row],[$ CAPITAL]]&gt;=0,FINANCIACION[[#This Row],[$ CAPITAL]]+FINANCIACION[[#This Row],[$ INTERESES]],"")</f>
        <v/>
      </c>
      <c r="F677" s="5">
        <f>+SUMIFS(FINANCIACION[$ CAPITAL],FINANCIACION[Fecha],"&lt;="&amp;FINANCIACION[[#This Row],[Fecha]],FINANCIACION[PRESTAMO],FINANCIACION[[#This Row],[PRESTAMO]])</f>
        <v>-14662059</v>
      </c>
      <c r="G677" s="53"/>
      <c r="H677" s="53"/>
      <c r="I677" s="5" t="b">
        <f>+IF(FINANCIACION[[#This Row],[$ CAPITAL]]&gt;0,FINANCIACION[[#This Row],[$ CAPITAL]])</f>
        <v>0</v>
      </c>
      <c r="J677" s="33">
        <f>+IF(FINANCIACION[[#This Row],[$ CAPITAL]]&gt;=0,FINANCIACION[[#This Row],[$ CAPITAL]]+FINANCIACION[[#This Row],[$ INTERESES]],0)</f>
        <v>0</v>
      </c>
    </row>
    <row r="678" spans="1:10" ht="24" hidden="1" customHeight="1" x14ac:dyDescent="0.25">
      <c r="A678" s="109">
        <v>44985</v>
      </c>
      <c r="B678" s="50" t="s">
        <v>1478</v>
      </c>
      <c r="C678" s="5">
        <v>7555577</v>
      </c>
      <c r="D678" s="5"/>
      <c r="E678" s="5">
        <f>+IF(FINANCIACION[[#This Row],[$ CAPITAL]]&gt;=0,FINANCIACION[[#This Row],[$ CAPITAL]]+FINANCIACION[[#This Row],[$ INTERESES]],"")</f>
        <v>7555577</v>
      </c>
      <c r="F678" s="5">
        <f>+SUMIFS(FINANCIACION[$ CAPITAL],FINANCIACION[Fecha],"&lt;="&amp;FINANCIACION[[#This Row],[Fecha]],FINANCIACION[PRESTAMO],FINANCIACION[[#This Row],[PRESTAMO]])</f>
        <v>-7106482</v>
      </c>
      <c r="G678" s="53"/>
      <c r="H678" s="53"/>
      <c r="I678" s="5">
        <f>+IF(FINANCIACION[[#This Row],[$ CAPITAL]]&gt;0,FINANCIACION[[#This Row],[$ CAPITAL]])</f>
        <v>7555577</v>
      </c>
      <c r="J678" s="33">
        <f>+IF(FINANCIACION[[#This Row],[$ CAPITAL]]&gt;=0,FINANCIACION[[#This Row],[$ CAPITAL]]+FINANCIACION[[#This Row],[$ INTERESES]],0)</f>
        <v>7555577</v>
      </c>
    </row>
    <row r="679" spans="1:10" ht="24" hidden="1" customHeight="1" x14ac:dyDescent="0.25">
      <c r="A679" s="109">
        <v>45016</v>
      </c>
      <c r="B679" s="50" t="s">
        <v>1478</v>
      </c>
      <c r="C679" s="5">
        <v>-9795454</v>
      </c>
      <c r="D679" s="5"/>
      <c r="E679" s="5" t="str">
        <f>+IF(FINANCIACION[[#This Row],[$ CAPITAL]]&gt;=0,FINANCIACION[[#This Row],[$ CAPITAL]]+FINANCIACION[[#This Row],[$ INTERESES]],"")</f>
        <v/>
      </c>
      <c r="F679" s="5">
        <f>+SUMIFS(FINANCIACION[$ CAPITAL],FINANCIACION[Fecha],"&lt;="&amp;FINANCIACION[[#This Row],[Fecha]],FINANCIACION[PRESTAMO],FINANCIACION[[#This Row],[PRESTAMO]])</f>
        <v>-16901936</v>
      </c>
      <c r="G679" s="53"/>
      <c r="H679" s="53"/>
      <c r="I679" s="5" t="b">
        <f>+IF(FINANCIACION[[#This Row],[$ CAPITAL]]&gt;0,FINANCIACION[[#This Row],[$ CAPITAL]])</f>
        <v>0</v>
      </c>
      <c r="J679" s="33">
        <f>+IF(FINANCIACION[[#This Row],[$ CAPITAL]]&gt;=0,FINANCIACION[[#This Row],[$ CAPITAL]]+FINANCIACION[[#This Row],[$ INTERESES]],0)</f>
        <v>0</v>
      </c>
    </row>
    <row r="680" spans="1:10" ht="24" hidden="1" customHeight="1" x14ac:dyDescent="0.25">
      <c r="A680" s="109">
        <v>45046</v>
      </c>
      <c r="B680" s="50" t="s">
        <v>1478</v>
      </c>
      <c r="C680" s="5">
        <v>-2011168</v>
      </c>
      <c r="D680" s="5"/>
      <c r="E680" s="5" t="str">
        <f>+IF(FINANCIACION[[#This Row],[$ CAPITAL]]&gt;=0,FINANCIACION[[#This Row],[$ CAPITAL]]+FINANCIACION[[#This Row],[$ INTERESES]],"")</f>
        <v/>
      </c>
      <c r="F680" s="5">
        <f>+SUMIFS(FINANCIACION[$ CAPITAL],FINANCIACION[Fecha],"&lt;="&amp;FINANCIACION[[#This Row],[Fecha]],FINANCIACION[PRESTAMO],FINANCIACION[[#This Row],[PRESTAMO]])</f>
        <v>-18913104</v>
      </c>
      <c r="G680" s="53"/>
      <c r="H680" s="53"/>
      <c r="I680" s="5" t="b">
        <f>+IF(FINANCIACION[[#This Row],[$ CAPITAL]]&gt;0,FINANCIACION[[#This Row],[$ CAPITAL]])</f>
        <v>0</v>
      </c>
      <c r="J680" s="33">
        <f>+IF(FINANCIACION[[#This Row],[$ CAPITAL]]&gt;=0,FINANCIACION[[#This Row],[$ CAPITAL]]+FINANCIACION[[#This Row],[$ INTERESES]],0)</f>
        <v>0</v>
      </c>
    </row>
    <row r="681" spans="1:10" ht="24" hidden="1" customHeight="1" x14ac:dyDescent="0.25">
      <c r="A681" s="109">
        <v>45077</v>
      </c>
      <c r="B681" s="50" t="s">
        <v>1478</v>
      </c>
      <c r="C681" s="5">
        <v>-446369</v>
      </c>
      <c r="D681" s="5"/>
      <c r="E681" s="5" t="str">
        <f>+IF(FINANCIACION[[#This Row],[$ CAPITAL]]&gt;=0,FINANCIACION[[#This Row],[$ CAPITAL]]+FINANCIACION[[#This Row],[$ INTERESES]],"")</f>
        <v/>
      </c>
      <c r="F681" s="5">
        <f>+SUMIFS(FINANCIACION[$ CAPITAL],FINANCIACION[Fecha],"&lt;="&amp;FINANCIACION[[#This Row],[Fecha]],FINANCIACION[PRESTAMO],FINANCIACION[[#This Row],[PRESTAMO]])</f>
        <v>-19359473</v>
      </c>
      <c r="G681" s="53"/>
      <c r="H681" s="53"/>
      <c r="I681" s="5" t="b">
        <f>+IF(FINANCIACION[[#This Row],[$ CAPITAL]]&gt;0,FINANCIACION[[#This Row],[$ CAPITAL]])</f>
        <v>0</v>
      </c>
      <c r="J681" s="33">
        <f>+IF(FINANCIACION[[#This Row],[$ CAPITAL]]&gt;=0,FINANCIACION[[#This Row],[$ CAPITAL]]+FINANCIACION[[#This Row],[$ INTERESES]],0)</f>
        <v>0</v>
      </c>
    </row>
    <row r="682" spans="1:10" ht="24" hidden="1" customHeight="1" x14ac:dyDescent="0.25">
      <c r="A682" s="109">
        <v>45107</v>
      </c>
      <c r="B682" s="50" t="s">
        <v>1478</v>
      </c>
      <c r="C682" s="5">
        <v>-862409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-20221882</v>
      </c>
      <c r="G682" s="53"/>
      <c r="H682" s="53"/>
      <c r="I682" s="5" t="b">
        <f>+IF(FINANCIACION[[#This Row],[$ CAPITAL]]&gt;0,FINANCIACION[[#This Row],[$ CAPITAL]])</f>
        <v>0</v>
      </c>
      <c r="J682" s="33">
        <f>+IF(FINANCIACION[[#This Row],[$ CAPITAL]]&gt;=0,FINANCIACION[[#This Row],[$ CAPITAL]]+FINANCIACION[[#This Row],[$ INTERESES]],0)</f>
        <v>0</v>
      </c>
    </row>
    <row r="683" spans="1:10" ht="24" hidden="1" customHeight="1" x14ac:dyDescent="0.25">
      <c r="A683" s="109">
        <v>45138</v>
      </c>
      <c r="B683" s="50" t="s">
        <v>1478</v>
      </c>
      <c r="C683" s="5">
        <v>-306722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-20528604</v>
      </c>
      <c r="G683" s="53"/>
      <c r="H683" s="53"/>
      <c r="I683" s="5" t="b">
        <f>+IF(FINANCIACION[[#This Row],[$ CAPITAL]]&gt;0,FINANCIACION[[#This Row],[$ CAPITAL]])</f>
        <v>0</v>
      </c>
      <c r="J683" s="33">
        <f>+IF(FINANCIACION[[#This Row],[$ CAPITAL]]&gt;=0,FINANCIACION[[#This Row],[$ CAPITAL]]+FINANCIACION[[#This Row],[$ INTERESES]],0)</f>
        <v>0</v>
      </c>
    </row>
    <row r="684" spans="1:10" ht="24" hidden="1" customHeight="1" x14ac:dyDescent="0.25">
      <c r="A684" s="109">
        <v>45169</v>
      </c>
      <c r="B684" s="50" t="s">
        <v>1478</v>
      </c>
      <c r="C684" s="5">
        <v>8669196</v>
      </c>
      <c r="D684" s="5"/>
      <c r="E684" s="5">
        <f>+IF(FINANCIACION[[#This Row],[$ CAPITAL]]&gt;=0,FINANCIACION[[#This Row],[$ CAPITAL]]+FINANCIACION[[#This Row],[$ INTERESES]],"")</f>
        <v>8669196</v>
      </c>
      <c r="F684" s="5">
        <f>+SUMIFS(FINANCIACION[$ CAPITAL],FINANCIACION[Fecha],"&lt;="&amp;FINANCIACION[[#This Row],[Fecha]],FINANCIACION[PRESTAMO],FINANCIACION[[#This Row],[PRESTAMO]])</f>
        <v>-11859408</v>
      </c>
      <c r="G684" s="53"/>
      <c r="H684" s="53"/>
      <c r="I684" s="5">
        <f>+IF(FINANCIACION[[#This Row],[$ CAPITAL]]&gt;0,FINANCIACION[[#This Row],[$ CAPITAL]])</f>
        <v>8669196</v>
      </c>
      <c r="J684" s="33">
        <f>+IF(FINANCIACION[[#This Row],[$ CAPITAL]]&gt;=0,FINANCIACION[[#This Row],[$ CAPITAL]]+FINANCIACION[[#This Row],[$ INTERESES]],0)</f>
        <v>8669196</v>
      </c>
    </row>
    <row r="685" spans="1:10" ht="24" hidden="1" customHeight="1" x14ac:dyDescent="0.25">
      <c r="A685" s="109">
        <v>45199</v>
      </c>
      <c r="B685" s="50" t="s">
        <v>1478</v>
      </c>
      <c r="C685" s="5">
        <v>25180</v>
      </c>
      <c r="D685" s="5"/>
      <c r="E685" s="5">
        <f>+IF(FINANCIACION[[#This Row],[$ CAPITAL]]&gt;=0,FINANCIACION[[#This Row],[$ CAPITAL]]+FINANCIACION[[#This Row],[$ INTERESES]],"")</f>
        <v>25180</v>
      </c>
      <c r="F685" s="5">
        <f>+SUMIFS(FINANCIACION[$ CAPITAL],FINANCIACION[Fecha],"&lt;="&amp;FINANCIACION[[#This Row],[Fecha]],FINANCIACION[PRESTAMO],FINANCIACION[[#This Row],[PRESTAMO]])</f>
        <v>-11834228</v>
      </c>
      <c r="G685" s="53"/>
      <c r="H685" s="53"/>
      <c r="I685" s="5">
        <f>+IF(FINANCIACION[[#This Row],[$ CAPITAL]]&gt;0,FINANCIACION[[#This Row],[$ CAPITAL]])</f>
        <v>25180</v>
      </c>
      <c r="J685" s="33">
        <f>+IF(FINANCIACION[[#This Row],[$ CAPITAL]]&gt;=0,FINANCIACION[[#This Row],[$ CAPITAL]]+FINANCIACION[[#This Row],[$ INTERESES]],0)</f>
        <v>25180</v>
      </c>
    </row>
    <row r="686" spans="1:10" ht="24" hidden="1" customHeight="1" x14ac:dyDescent="0.25">
      <c r="A686" s="109">
        <v>45230</v>
      </c>
      <c r="B686" s="50" t="s">
        <v>1478</v>
      </c>
      <c r="C686" s="5">
        <v>-3423159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-15257387</v>
      </c>
      <c r="G686" s="53"/>
      <c r="H686" s="53"/>
      <c r="I686" s="5" t="b">
        <f>+IF(FINANCIACION[[#This Row],[$ CAPITAL]]&gt;0,FINANCIACION[[#This Row],[$ CAPITAL]])</f>
        <v>0</v>
      </c>
      <c r="J686" s="33">
        <f>+IF(FINANCIACION[[#This Row],[$ CAPITAL]]&gt;=0,FINANCIACION[[#This Row],[$ CAPITAL]]+FINANCIACION[[#This Row],[$ INTERESES]],0)</f>
        <v>0</v>
      </c>
    </row>
    <row r="687" spans="1:10" ht="24" hidden="1" customHeight="1" x14ac:dyDescent="0.25">
      <c r="A687" s="109">
        <v>45260</v>
      </c>
      <c r="B687" s="50" t="s">
        <v>1478</v>
      </c>
      <c r="C687" s="5">
        <v>9815942</v>
      </c>
      <c r="D687" s="5"/>
      <c r="E687" s="5">
        <f>+IF(FINANCIACION[[#This Row],[$ CAPITAL]]&gt;=0,FINANCIACION[[#This Row],[$ CAPITAL]]+FINANCIACION[[#This Row],[$ INTERESES]],"")</f>
        <v>9815942</v>
      </c>
      <c r="F687" s="5">
        <f>+SUMIFS(FINANCIACION[$ CAPITAL],FINANCIACION[Fecha],"&lt;="&amp;FINANCIACION[[#This Row],[Fecha]],FINANCIACION[PRESTAMO],FINANCIACION[[#This Row],[PRESTAMO]])</f>
        <v>-17361280</v>
      </c>
      <c r="G687" s="53"/>
      <c r="H687" s="53"/>
      <c r="I687" s="5">
        <f>+IF(FINANCIACION[[#This Row],[$ CAPITAL]]&gt;0,FINANCIACION[[#This Row],[$ CAPITAL]])</f>
        <v>9815942</v>
      </c>
      <c r="J687" s="33">
        <f>+IF(FINANCIACION[[#This Row],[$ CAPITAL]]&gt;=0,FINANCIACION[[#This Row],[$ CAPITAL]]+FINANCIACION[[#This Row],[$ INTERESES]],0)</f>
        <v>9815942</v>
      </c>
    </row>
    <row r="688" spans="1:10" ht="24" hidden="1" customHeight="1" x14ac:dyDescent="0.25">
      <c r="A688" s="109">
        <v>45291</v>
      </c>
      <c r="B688" s="50" t="s">
        <v>1478</v>
      </c>
      <c r="C688" s="5">
        <v>-2595310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-19956590</v>
      </c>
      <c r="G688" s="53"/>
      <c r="H688" s="53"/>
      <c r="I688" s="5" t="b">
        <f>+IF(FINANCIACION[[#This Row],[$ CAPITAL]]&gt;0,FINANCIACION[[#This Row],[$ CAPITAL]])</f>
        <v>0</v>
      </c>
      <c r="J688" s="33">
        <f>+IF(FINANCIACION[[#This Row],[$ CAPITAL]]&gt;=0,FINANCIACION[[#This Row],[$ CAPITAL]]+FINANCIACION[[#This Row],[$ INTERESES]],0)</f>
        <v>0</v>
      </c>
    </row>
    <row r="689" spans="1:10" ht="24" hidden="1" customHeight="1" x14ac:dyDescent="0.25">
      <c r="A689" s="109">
        <v>45300</v>
      </c>
      <c r="B689" s="50" t="s">
        <v>649</v>
      </c>
      <c r="C689" s="5">
        <v>1889477</v>
      </c>
      <c r="D689" s="5">
        <v>70929</v>
      </c>
      <c r="E689" s="5">
        <f>+IF(FINANCIACION[[#This Row],[$ CAPITAL]]&gt;=0,FINANCIACION[[#This Row],[$ CAPITAL]]+FINANCIACION[[#This Row],[$ INTERESES]],"")</f>
        <v>1960406</v>
      </c>
      <c r="F689" s="5">
        <f>+SUMIFS(FINANCIACION[$ CAPITAL],FINANCIACION[Fecha],"&lt;="&amp;FINANCIACION[[#This Row],[Fecha]],FINANCIACION[PRESTAMO],FINANCIACION[[#This Row],[PRESTAMO]])</f>
        <v>-1889477</v>
      </c>
      <c r="G689" s="53"/>
      <c r="H689" s="53"/>
      <c r="I689" s="5">
        <f>+IF(FINANCIACION[[#This Row],[$ CAPITAL]]&gt;0,FINANCIACION[[#This Row],[$ CAPITAL]])</f>
        <v>1889477</v>
      </c>
      <c r="J689" s="33">
        <f>+IF(FINANCIACION[[#This Row],[$ CAPITAL]]&gt;=0,FINANCIACION[[#This Row],[$ CAPITAL]]+FINANCIACION[[#This Row],[$ INTERESES]],0)</f>
        <v>1960406</v>
      </c>
    </row>
    <row r="690" spans="1:10" ht="24" hidden="1" customHeight="1" x14ac:dyDescent="0.25">
      <c r="A690" s="109">
        <v>45293</v>
      </c>
      <c r="B690" s="50" t="s">
        <v>1479</v>
      </c>
      <c r="C690" s="5">
        <v>115950</v>
      </c>
      <c r="D690" s="5"/>
      <c r="E690" s="5">
        <f>+IF(FINANCIACION[[#This Row],[$ CAPITAL]]&gt;=0,FINANCIACION[[#This Row],[$ CAPITAL]]+FINANCIACION[[#This Row],[$ INTERESES]],"")</f>
        <v>115950</v>
      </c>
      <c r="F690" s="5">
        <f>+SUMIFS(FINANCIACION[$ CAPITAL],FINANCIACION[Fecha],"&lt;="&amp;FINANCIACION[[#This Row],[Fecha]],FINANCIACION[PRESTAMO],FINANCIACION[[#This Row],[PRESTAMO]])</f>
        <v>0</v>
      </c>
      <c r="G690" s="53"/>
      <c r="H690" s="53"/>
      <c r="I690" s="5">
        <f>+IF(FINANCIACION[[#This Row],[$ CAPITAL]]&gt;0,FINANCIACION[[#This Row],[$ CAPITAL]])</f>
        <v>115950</v>
      </c>
      <c r="J690" s="33">
        <f>+IF(FINANCIACION[[#This Row],[$ CAPITAL]]&gt;=0,FINANCIACION[[#This Row],[$ CAPITAL]]+FINANCIACION[[#This Row],[$ INTERESES]],0)</f>
        <v>115950</v>
      </c>
    </row>
    <row r="691" spans="1:10" ht="24" hidden="1" customHeight="1" x14ac:dyDescent="0.25">
      <c r="A691" s="109">
        <v>45260</v>
      </c>
      <c r="B691" s="50" t="s">
        <v>1479</v>
      </c>
      <c r="C691" s="5">
        <v>-3819037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-3932437</v>
      </c>
      <c r="G691" s="53" t="s">
        <v>153</v>
      </c>
      <c r="H691" s="53"/>
      <c r="I691" s="5" t="b">
        <f>+IF(FINANCIACION[[#This Row],[$ CAPITAL]]&gt;0,FINANCIACION[[#This Row],[$ CAPITAL]])</f>
        <v>0</v>
      </c>
      <c r="J691" s="33">
        <f>+IF(FINANCIACION[[#This Row],[$ CAPITAL]]&gt;=0,FINANCIACION[[#This Row],[$ CAPITAL]]+FINANCIACION[[#This Row],[$ INTERESES]],0)</f>
        <v>0</v>
      </c>
    </row>
    <row r="692" spans="1:10" ht="24" hidden="1" customHeight="1" x14ac:dyDescent="0.25">
      <c r="A692" s="109">
        <v>45260</v>
      </c>
      <c r="B692" s="50" t="s">
        <v>1477</v>
      </c>
      <c r="C692" s="5">
        <v>12049450</v>
      </c>
      <c r="D692" s="5"/>
      <c r="E692" s="5">
        <f>+IF(FINANCIACION[[#This Row],[$ CAPITAL]]&gt;=0,FINANCIACION[[#This Row],[$ CAPITAL]]+FINANCIACION[[#This Row],[$ INTERESES]],"")</f>
        <v>12049450</v>
      </c>
      <c r="F692" s="5">
        <f>+SUMIFS(FINANCIACION[$ CAPITAL],FINANCIACION[Fecha],"&lt;="&amp;FINANCIACION[[#This Row],[Fecha]],FINANCIACION[PRESTAMO],FINANCIACION[[#This Row],[PRESTAMO]])</f>
        <v>10603950</v>
      </c>
      <c r="G692" s="53" t="s">
        <v>153</v>
      </c>
      <c r="H692" s="53"/>
      <c r="I692" s="5">
        <f>+IF(FINANCIACION[[#This Row],[$ CAPITAL]]&gt;0,FINANCIACION[[#This Row],[$ CAPITAL]])</f>
        <v>12049450</v>
      </c>
      <c r="J692" s="33">
        <f>+IF(FINANCIACION[[#This Row],[$ CAPITAL]]&gt;=0,FINANCIACION[[#This Row],[$ CAPITAL]]+FINANCIACION[[#This Row],[$ INTERESES]],0)</f>
        <v>12049450</v>
      </c>
    </row>
    <row r="693" spans="1:10" ht="24" hidden="1" customHeight="1" x14ac:dyDescent="0.25">
      <c r="A693" s="109">
        <v>45260</v>
      </c>
      <c r="B693" s="50" t="s">
        <v>1478</v>
      </c>
      <c r="C693" s="5">
        <f>8036755-19956590</f>
        <v>-11919835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-17361280</v>
      </c>
      <c r="G693" s="53" t="s">
        <v>153</v>
      </c>
      <c r="H693" s="53"/>
      <c r="I693" s="5" t="b">
        <f>+IF(FINANCIACION[[#This Row],[$ CAPITAL]]&gt;0,FINANCIACION[[#This Row],[$ CAPITAL]])</f>
        <v>0</v>
      </c>
      <c r="J693" s="33">
        <f>+IF(FINANCIACION[[#This Row],[$ CAPITAL]]&gt;=0,FINANCIACION[[#This Row],[$ CAPITAL]]+FINANCIACION[[#This Row],[$ INTERESES]],0)</f>
        <v>0</v>
      </c>
    </row>
    <row r="694" spans="1:10" ht="24" hidden="1" customHeight="1" x14ac:dyDescent="0.25">
      <c r="A694" s="109">
        <v>44525</v>
      </c>
      <c r="B694" s="50" t="s">
        <v>1480</v>
      </c>
      <c r="C694" s="5">
        <v>-80206729.879999995</v>
      </c>
      <c r="D694" s="5">
        <v>6148159.1900000004</v>
      </c>
      <c r="E694" s="5" t="str">
        <f>+IF(FINANCIACION[[#This Row],[$ CAPITAL]]&gt;=0,FINANCIACION[[#This Row],[$ CAPITAL]]+FINANCIACION[[#This Row],[$ INTERESES]],"")</f>
        <v/>
      </c>
      <c r="F694" s="5">
        <f>+SUMIFS(FINANCIACION[$ CAPITAL],FINANCIACION[Fecha],"&lt;="&amp;FINANCIACION[[#This Row],[Fecha]],FINANCIACION[PRESTAMO],FINANCIACION[[#This Row],[PRESTAMO]])</f>
        <v>-80206729.879999995</v>
      </c>
      <c r="G694" s="53"/>
      <c r="H694" s="53"/>
      <c r="I694" s="5" t="b">
        <f>+IF(FINANCIACION[[#This Row],[$ CAPITAL]]&gt;0,FINANCIACION[[#This Row],[$ CAPITAL]])</f>
        <v>0</v>
      </c>
      <c r="J694" s="33">
        <f>+IF(FINANCIACION[[#This Row],[$ CAPITAL]]&gt;=0,FINANCIACION[[#This Row],[$ CAPITAL]]+FINANCIACION[[#This Row],[$ INTERESES]],0)</f>
        <v>0</v>
      </c>
    </row>
    <row r="695" spans="1:10" ht="24" hidden="1" customHeight="1" x14ac:dyDescent="0.25">
      <c r="A695" s="109">
        <v>44544</v>
      </c>
      <c r="B695" s="50" t="s">
        <v>1480</v>
      </c>
      <c r="C695" s="5">
        <v>345651.39999999106</v>
      </c>
      <c r="D695" s="5">
        <v>172348.60000000894</v>
      </c>
      <c r="E695" s="5">
        <f>+IF(FINANCIACION[[#This Row],[$ CAPITAL]]&gt;=0,FINANCIACION[[#This Row],[$ CAPITAL]]+FINANCIACION[[#This Row],[$ INTERESES]],"")</f>
        <v>518000</v>
      </c>
      <c r="F695" s="5">
        <f>+SUMIFS(FINANCIACION[$ CAPITAL],FINANCIACION[Fecha],"&lt;="&amp;FINANCIACION[[#This Row],[Fecha]],FINANCIACION[PRESTAMO],FINANCIACION[[#This Row],[PRESTAMO]])</f>
        <v>-79861078.480000004</v>
      </c>
      <c r="G695" s="53"/>
      <c r="H695" s="53"/>
      <c r="I695" s="5">
        <f>+IF(FINANCIACION[[#This Row],[$ CAPITAL]]&gt;0,FINANCIACION[[#This Row],[$ CAPITAL]])</f>
        <v>345651.39999999106</v>
      </c>
      <c r="J695" s="33">
        <f>+IF(FINANCIACION[[#This Row],[$ CAPITAL]]&gt;=0,FINANCIACION[[#This Row],[$ CAPITAL]]+FINANCIACION[[#This Row],[$ INTERESES]],0)</f>
        <v>518000</v>
      </c>
    </row>
    <row r="696" spans="1:10" ht="24" hidden="1" customHeight="1" x14ac:dyDescent="0.25">
      <c r="A696" s="109">
        <v>44561</v>
      </c>
      <c r="B696" s="50" t="s">
        <v>1480</v>
      </c>
      <c r="C696" s="5">
        <v>-1661234.7599999905</v>
      </c>
      <c r="D696" s="5"/>
      <c r="E696" s="5" t="str">
        <f>+IF(FINANCIACION[[#This Row],[$ CAPITAL]]&gt;=0,FINANCIACION[[#This Row],[$ CAPITAL]]+FINANCIACION[[#This Row],[$ INTERESES]],"")</f>
        <v/>
      </c>
      <c r="F696" s="5">
        <f>+SUMIFS(FINANCIACION[$ CAPITAL],FINANCIACION[Fecha],"&lt;="&amp;FINANCIACION[[#This Row],[Fecha]],FINANCIACION[PRESTAMO],FINANCIACION[[#This Row],[PRESTAMO]])</f>
        <v>-82321407.039999992</v>
      </c>
      <c r="G696" s="53"/>
      <c r="H696" s="53"/>
      <c r="I696" s="5" t="b">
        <f>+IF(FINANCIACION[[#This Row],[$ CAPITAL]]&gt;0,FINANCIACION[[#This Row],[$ CAPITAL]])</f>
        <v>0</v>
      </c>
      <c r="J696" s="33">
        <f>+IF(FINANCIACION[[#This Row],[$ CAPITAL]]&gt;=0,FINANCIACION[[#This Row],[$ CAPITAL]]+FINANCIACION[[#This Row],[$ INTERESES]],0)</f>
        <v>0</v>
      </c>
    </row>
    <row r="697" spans="1:10" ht="24" hidden="1" customHeight="1" x14ac:dyDescent="0.25">
      <c r="A697" s="109">
        <v>44561</v>
      </c>
      <c r="B697" s="50" t="s">
        <v>1480</v>
      </c>
      <c r="C697" s="5">
        <v>-799093.79999999702</v>
      </c>
      <c r="D697" s="5"/>
      <c r="E697" s="5" t="str">
        <f>+IF(FINANCIACION[[#This Row],[$ CAPITAL]]&gt;=0,FINANCIACION[[#This Row],[$ CAPITAL]]+FINANCIACION[[#This Row],[$ INTERESES]],"")</f>
        <v/>
      </c>
      <c r="F697" s="5">
        <f>+SUMIFS(FINANCIACION[$ CAPITAL],FINANCIACION[Fecha],"&lt;="&amp;FINANCIACION[[#This Row],[Fecha]],FINANCIACION[PRESTAMO],FINANCIACION[[#This Row],[PRESTAMO]])</f>
        <v>-82321407.039999992</v>
      </c>
      <c r="G697" s="53"/>
      <c r="H697" s="53"/>
      <c r="I697" s="5" t="b">
        <f>+IF(FINANCIACION[[#This Row],[$ CAPITAL]]&gt;0,FINANCIACION[[#This Row],[$ CAPITAL]])</f>
        <v>0</v>
      </c>
      <c r="J697" s="33">
        <f>+IF(FINANCIACION[[#This Row],[$ CAPITAL]]&gt;=0,FINANCIACION[[#This Row],[$ CAPITAL]]+FINANCIACION[[#This Row],[$ INTERESES]],0)</f>
        <v>0</v>
      </c>
    </row>
    <row r="698" spans="1:10" ht="24" hidden="1" customHeight="1" x14ac:dyDescent="0.25">
      <c r="A698" s="109">
        <v>44579</v>
      </c>
      <c r="B698" s="50" t="s">
        <v>1480</v>
      </c>
      <c r="C698" s="5">
        <v>831.03</v>
      </c>
      <c r="D698" s="5">
        <v>541168.97</v>
      </c>
      <c r="E698" s="5">
        <f>+IF(FINANCIACION[[#This Row],[$ CAPITAL]]&gt;=0,FINANCIACION[[#This Row],[$ CAPITAL]]+FINANCIACION[[#This Row],[$ INTERESES]],"")</f>
        <v>542000</v>
      </c>
      <c r="F698" s="5">
        <f>+SUMIFS(FINANCIACION[$ CAPITAL],FINANCIACION[Fecha],"&lt;="&amp;FINANCIACION[[#This Row],[Fecha]],FINANCIACION[PRESTAMO],FINANCIACION[[#This Row],[PRESTAMO]])</f>
        <v>-82320576.00999999</v>
      </c>
      <c r="G698" s="53"/>
      <c r="H698" s="53"/>
      <c r="I698" s="5">
        <f>+IF(FINANCIACION[[#This Row],[$ CAPITAL]]&gt;0,FINANCIACION[[#This Row],[$ CAPITAL]])</f>
        <v>831.03</v>
      </c>
      <c r="J698" s="33">
        <f>+IF(FINANCIACION[[#This Row],[$ CAPITAL]]&gt;=0,FINANCIACION[[#This Row],[$ CAPITAL]]+FINANCIACION[[#This Row],[$ INTERESES]],0)</f>
        <v>542000</v>
      </c>
    </row>
    <row r="699" spans="1:10" ht="24" hidden="1" customHeight="1" x14ac:dyDescent="0.25">
      <c r="A699" s="109">
        <v>44610</v>
      </c>
      <c r="B699" s="50" t="s">
        <v>1480</v>
      </c>
      <c r="C699" s="5">
        <v>489945.29999999702</v>
      </c>
      <c r="D699" s="5">
        <v>72054.70000000298</v>
      </c>
      <c r="E699" s="5">
        <f>+IF(FINANCIACION[[#This Row],[$ CAPITAL]]&gt;=0,FINANCIACION[[#This Row],[$ CAPITAL]]+FINANCIACION[[#This Row],[$ INTERESES]],"")</f>
        <v>562000</v>
      </c>
      <c r="F699" s="5">
        <f>+SUMIFS(FINANCIACION[$ CAPITAL],FINANCIACION[Fecha],"&lt;="&amp;FINANCIACION[[#This Row],[Fecha]],FINANCIACION[PRESTAMO],FINANCIACION[[#This Row],[PRESTAMO]])</f>
        <v>-81830630.709999993</v>
      </c>
      <c r="G699" s="53"/>
      <c r="H699" s="53"/>
      <c r="I699" s="5">
        <f>+IF(FINANCIACION[[#This Row],[$ CAPITAL]]&gt;0,FINANCIACION[[#This Row],[$ CAPITAL]])</f>
        <v>489945.29999999702</v>
      </c>
      <c r="J699" s="33">
        <f>+IF(FINANCIACION[[#This Row],[$ CAPITAL]]&gt;=0,FINANCIACION[[#This Row],[$ CAPITAL]]+FINANCIACION[[#This Row],[$ INTERESES]],0)</f>
        <v>562000</v>
      </c>
    </row>
    <row r="700" spans="1:10" ht="24" hidden="1" customHeight="1" x14ac:dyDescent="0.25">
      <c r="A700" s="109">
        <v>44638</v>
      </c>
      <c r="B700" s="50" t="s">
        <v>1480</v>
      </c>
      <c r="C700" s="5">
        <v>519036.93999999762</v>
      </c>
      <c r="D700" s="5">
        <v>85963.060000002384</v>
      </c>
      <c r="E700" s="5">
        <f>+IF(FINANCIACION[[#This Row],[$ CAPITAL]]&gt;=0,FINANCIACION[[#This Row],[$ CAPITAL]]+FINANCIACION[[#This Row],[$ INTERESES]],"")</f>
        <v>605000</v>
      </c>
      <c r="F700" s="5">
        <f>+SUMIFS(FINANCIACION[$ CAPITAL],FINANCIACION[Fecha],"&lt;="&amp;FINANCIACION[[#This Row],[Fecha]],FINANCIACION[PRESTAMO],FINANCIACION[[#This Row],[PRESTAMO]])</f>
        <v>-81311593.769999996</v>
      </c>
      <c r="G700" s="53"/>
      <c r="H700" s="53"/>
      <c r="I700" s="5">
        <f>+IF(FINANCIACION[[#This Row],[$ CAPITAL]]&gt;0,FINANCIACION[[#This Row],[$ CAPITAL]])</f>
        <v>519036.93999999762</v>
      </c>
      <c r="J700" s="33">
        <f>+IF(FINANCIACION[[#This Row],[$ CAPITAL]]&gt;=0,FINANCIACION[[#This Row],[$ CAPITAL]]+FINANCIACION[[#This Row],[$ INTERESES]],0)</f>
        <v>605000</v>
      </c>
    </row>
    <row r="701" spans="1:10" ht="24" hidden="1" customHeight="1" x14ac:dyDescent="0.25">
      <c r="A701" s="109">
        <v>44670</v>
      </c>
      <c r="B701" s="50" t="s">
        <v>1480</v>
      </c>
      <c r="C701" s="5">
        <v>626870.95999999344</v>
      </c>
      <c r="D701" s="5">
        <v>43129.040000006557</v>
      </c>
      <c r="E701" s="5">
        <f>+IF(FINANCIACION[[#This Row],[$ CAPITAL]]&gt;=0,FINANCIACION[[#This Row],[$ CAPITAL]]+FINANCIACION[[#This Row],[$ INTERESES]],"")</f>
        <v>670000</v>
      </c>
      <c r="F701" s="5">
        <f>+SUMIFS(FINANCIACION[$ CAPITAL],FINANCIACION[Fecha],"&lt;="&amp;FINANCIACION[[#This Row],[Fecha]],FINANCIACION[PRESTAMO],FINANCIACION[[#This Row],[PRESTAMO]])</f>
        <v>-80684722.810000002</v>
      </c>
      <c r="G701" s="53"/>
      <c r="H701" s="53"/>
      <c r="I701" s="5">
        <f>+IF(FINANCIACION[[#This Row],[$ CAPITAL]]&gt;0,FINANCIACION[[#This Row],[$ CAPITAL]])</f>
        <v>626870.95999999344</v>
      </c>
      <c r="J701" s="33">
        <f>+IF(FINANCIACION[[#This Row],[$ CAPITAL]]&gt;=0,FINANCIACION[[#This Row],[$ CAPITAL]]+FINANCIACION[[#This Row],[$ INTERESES]],0)</f>
        <v>670000</v>
      </c>
    </row>
    <row r="702" spans="1:10" ht="24" hidden="1" customHeight="1" x14ac:dyDescent="0.25">
      <c r="A702" s="109">
        <v>44699</v>
      </c>
      <c r="B702" s="50" t="s">
        <v>1480</v>
      </c>
      <c r="C702" s="5">
        <v>693257.62999999523</v>
      </c>
      <c r="D702" s="5">
        <v>23742.370000004768</v>
      </c>
      <c r="E702" s="5">
        <f>+IF(FINANCIACION[[#This Row],[$ CAPITAL]]&gt;=0,FINANCIACION[[#This Row],[$ CAPITAL]]+FINANCIACION[[#This Row],[$ INTERESES]],"")</f>
        <v>717000</v>
      </c>
      <c r="F702" s="5">
        <f>+SUMIFS(FINANCIACION[$ CAPITAL],FINANCIACION[Fecha],"&lt;="&amp;FINANCIACION[[#This Row],[Fecha]],FINANCIACION[PRESTAMO],FINANCIACION[[#This Row],[PRESTAMO]])</f>
        <v>-79991465.180000007</v>
      </c>
      <c r="G702" s="53"/>
      <c r="H702" s="53"/>
      <c r="I702" s="5">
        <f>+IF(FINANCIACION[[#This Row],[$ CAPITAL]]&gt;0,FINANCIACION[[#This Row],[$ CAPITAL]])</f>
        <v>693257.62999999523</v>
      </c>
      <c r="J702" s="33">
        <f>+IF(FINANCIACION[[#This Row],[$ CAPITAL]]&gt;=0,FINANCIACION[[#This Row],[$ CAPITAL]]+FINANCIACION[[#This Row],[$ INTERESES]],0)</f>
        <v>717000</v>
      </c>
    </row>
    <row r="703" spans="1:10" ht="24" hidden="1" customHeight="1" x14ac:dyDescent="0.25">
      <c r="A703" s="109">
        <v>44733</v>
      </c>
      <c r="B703" s="50" t="s">
        <v>1480</v>
      </c>
      <c r="C703" s="5">
        <v>1482386.81</v>
      </c>
      <c r="D703" s="5">
        <v>783613.19</v>
      </c>
      <c r="E703" s="5">
        <f>+IF(FINANCIACION[[#This Row],[$ CAPITAL]]&gt;=0,FINANCIACION[[#This Row],[$ CAPITAL]]+FINANCIACION[[#This Row],[$ INTERESES]],"")</f>
        <v>2266000</v>
      </c>
      <c r="F703" s="5">
        <f>+SUMIFS(FINANCIACION[$ CAPITAL],FINANCIACION[Fecha],"&lt;="&amp;FINANCIACION[[#This Row],[Fecha]],FINANCIACION[PRESTAMO],FINANCIACION[[#This Row],[PRESTAMO]])</f>
        <v>-78509078.370000005</v>
      </c>
      <c r="G703" s="53"/>
      <c r="H703" s="53"/>
      <c r="I703" s="5">
        <f>+IF(FINANCIACION[[#This Row],[$ CAPITAL]]&gt;0,FINANCIACION[[#This Row],[$ CAPITAL]])</f>
        <v>1482386.81</v>
      </c>
      <c r="J703" s="33">
        <f>+IF(FINANCIACION[[#This Row],[$ CAPITAL]]&gt;=0,FINANCIACION[[#This Row],[$ CAPITAL]]+FINANCIACION[[#This Row],[$ INTERESES]],0)</f>
        <v>2266000</v>
      </c>
    </row>
    <row r="704" spans="1:10" ht="24" hidden="1" customHeight="1" x14ac:dyDescent="0.25">
      <c r="A704" s="109">
        <v>44761</v>
      </c>
      <c r="B704" s="50" t="s">
        <v>1480</v>
      </c>
      <c r="C704" s="5">
        <v>1481481.48</v>
      </c>
      <c r="D704" s="5">
        <v>797518.52</v>
      </c>
      <c r="E704" s="5">
        <f>+IF(FINANCIACION[[#This Row],[$ CAPITAL]]&gt;=0,FINANCIACION[[#This Row],[$ CAPITAL]]+FINANCIACION[[#This Row],[$ INTERESES]],"")</f>
        <v>2279000</v>
      </c>
      <c r="F704" s="5">
        <f>+SUMIFS(FINANCIACION[$ CAPITAL],FINANCIACION[Fecha],"&lt;="&amp;FINANCIACION[[#This Row],[Fecha]],FINANCIACION[PRESTAMO],FINANCIACION[[#This Row],[PRESTAMO]])</f>
        <v>-77027596.890000001</v>
      </c>
      <c r="G704" s="53"/>
      <c r="H704" s="53"/>
      <c r="I704" s="5">
        <f>+IF(FINANCIACION[[#This Row],[$ CAPITAL]]&gt;0,FINANCIACION[[#This Row],[$ CAPITAL]])</f>
        <v>1481481.48</v>
      </c>
      <c r="J704" s="33">
        <f>+IF(FINANCIACION[[#This Row],[$ CAPITAL]]&gt;=0,FINANCIACION[[#This Row],[$ CAPITAL]]+FINANCIACION[[#This Row],[$ INTERESES]],0)</f>
        <v>2279000</v>
      </c>
    </row>
    <row r="705" spans="1:10" ht="24" hidden="1" customHeight="1" x14ac:dyDescent="0.25">
      <c r="A705" s="109">
        <v>44791</v>
      </c>
      <c r="B705" s="50" t="s">
        <v>1480</v>
      </c>
      <c r="C705" s="5">
        <v>1481481.48</v>
      </c>
      <c r="D705" s="5">
        <v>884518.52</v>
      </c>
      <c r="E705" s="5">
        <f>+IF(FINANCIACION[[#This Row],[$ CAPITAL]]&gt;=0,FINANCIACION[[#This Row],[$ CAPITAL]]+FINANCIACION[[#This Row],[$ INTERESES]],"")</f>
        <v>2366000</v>
      </c>
      <c r="F705" s="5">
        <f>+SUMIFS(FINANCIACION[$ CAPITAL],FINANCIACION[Fecha],"&lt;="&amp;FINANCIACION[[#This Row],[Fecha]],FINANCIACION[PRESTAMO],FINANCIACION[[#This Row],[PRESTAMO]])</f>
        <v>-75546115.409999996</v>
      </c>
      <c r="G705" s="53"/>
      <c r="H705" s="53"/>
      <c r="I705" s="5">
        <f>+IF(FINANCIACION[[#This Row],[$ CAPITAL]]&gt;0,FINANCIACION[[#This Row],[$ CAPITAL]])</f>
        <v>1481481.48</v>
      </c>
      <c r="J705" s="33">
        <f>+IF(FINANCIACION[[#This Row],[$ CAPITAL]]&gt;=0,FINANCIACION[[#This Row],[$ CAPITAL]]+FINANCIACION[[#This Row],[$ INTERESES]],0)</f>
        <v>2366000</v>
      </c>
    </row>
    <row r="706" spans="1:10" ht="24" hidden="1" customHeight="1" x14ac:dyDescent="0.25">
      <c r="A706" s="109">
        <v>44830</v>
      </c>
      <c r="B706" s="50" t="s">
        <v>1480</v>
      </c>
      <c r="C706" s="5">
        <v>1481481.48</v>
      </c>
      <c r="D706" s="5">
        <v>930667.62</v>
      </c>
      <c r="E706" s="5">
        <f>+IF(FINANCIACION[[#This Row],[$ CAPITAL]]&gt;=0,FINANCIACION[[#This Row],[$ CAPITAL]]+FINANCIACION[[#This Row],[$ INTERESES]],"")</f>
        <v>2412149.1</v>
      </c>
      <c r="F706" s="5">
        <f>+SUMIFS(FINANCIACION[$ CAPITAL],FINANCIACION[Fecha],"&lt;="&amp;FINANCIACION[[#This Row],[Fecha]],FINANCIACION[PRESTAMO],FINANCIACION[[#This Row],[PRESTAMO]])</f>
        <v>-74064633.929999992</v>
      </c>
      <c r="G706" s="53"/>
      <c r="H706" s="53"/>
      <c r="I706" s="5">
        <f>+IF(FINANCIACION[[#This Row],[$ CAPITAL]]&gt;0,FINANCIACION[[#This Row],[$ CAPITAL]])</f>
        <v>1481481.48</v>
      </c>
      <c r="J706" s="33">
        <f>+IF(FINANCIACION[[#This Row],[$ CAPITAL]]&gt;=0,FINANCIACION[[#This Row],[$ CAPITAL]]+FINANCIACION[[#This Row],[$ INTERESES]],0)</f>
        <v>2412149.1</v>
      </c>
    </row>
    <row r="707" spans="1:10" ht="24" hidden="1" customHeight="1" x14ac:dyDescent="0.25">
      <c r="A707" s="109">
        <v>44859</v>
      </c>
      <c r="B707" s="50" t="s">
        <v>1480</v>
      </c>
      <c r="C707" s="5">
        <v>1481481.48</v>
      </c>
      <c r="D707" s="5">
        <v>926400.64</v>
      </c>
      <c r="E707" s="5">
        <f>+IF(FINANCIACION[[#This Row],[$ CAPITAL]]&gt;=0,FINANCIACION[[#This Row],[$ CAPITAL]]+FINANCIACION[[#This Row],[$ INTERESES]],"")</f>
        <v>2407882.12</v>
      </c>
      <c r="F707" s="5">
        <f>+SUMIFS(FINANCIACION[$ CAPITAL],FINANCIACION[Fecha],"&lt;="&amp;FINANCIACION[[#This Row],[Fecha]],FINANCIACION[PRESTAMO],FINANCIACION[[#This Row],[PRESTAMO]])</f>
        <v>-72583152.449999988</v>
      </c>
      <c r="G707" s="53"/>
      <c r="H707" s="53"/>
      <c r="I707" s="5">
        <f>+IF(FINANCIACION[[#This Row],[$ CAPITAL]]&gt;0,FINANCIACION[[#This Row],[$ CAPITAL]])</f>
        <v>1481481.48</v>
      </c>
      <c r="J707" s="33">
        <f>+IF(FINANCIACION[[#This Row],[$ CAPITAL]]&gt;=0,FINANCIACION[[#This Row],[$ CAPITAL]]+FINANCIACION[[#This Row],[$ INTERESES]],0)</f>
        <v>2407882.12</v>
      </c>
    </row>
    <row r="708" spans="1:10" ht="24" hidden="1" customHeight="1" x14ac:dyDescent="0.25">
      <c r="A708" s="109">
        <v>44890</v>
      </c>
      <c r="B708" s="50" t="s">
        <v>1480</v>
      </c>
      <c r="C708" s="5">
        <v>1481314</v>
      </c>
      <c r="D708" s="5">
        <v>944686</v>
      </c>
      <c r="E708" s="5">
        <f>+IF(FINANCIACION[[#This Row],[$ CAPITAL]]&gt;=0,FINANCIACION[[#This Row],[$ CAPITAL]]+FINANCIACION[[#This Row],[$ INTERESES]],"")</f>
        <v>2426000</v>
      </c>
      <c r="F708" s="5">
        <f>+SUMIFS(FINANCIACION[$ CAPITAL],FINANCIACION[Fecha],"&lt;="&amp;FINANCIACION[[#This Row],[Fecha]],FINANCIACION[PRESTAMO],FINANCIACION[[#This Row],[PRESTAMO]])</f>
        <v>-71101838.449999988</v>
      </c>
      <c r="G708" s="53"/>
      <c r="H708" s="53"/>
      <c r="I708" s="5">
        <f>+IF(FINANCIACION[[#This Row],[$ CAPITAL]]&gt;0,FINANCIACION[[#This Row],[$ CAPITAL]])</f>
        <v>1481314</v>
      </c>
      <c r="J708" s="33">
        <f>+IF(FINANCIACION[[#This Row],[$ CAPITAL]]&gt;=0,FINANCIACION[[#This Row],[$ CAPITAL]]+FINANCIACION[[#This Row],[$ INTERESES]],0)</f>
        <v>2426000</v>
      </c>
    </row>
    <row r="709" spans="1:10" ht="24" hidden="1" customHeight="1" x14ac:dyDescent="0.25">
      <c r="A709" s="109">
        <v>44918</v>
      </c>
      <c r="B709" s="50" t="s">
        <v>1480</v>
      </c>
      <c r="C709" s="5">
        <v>1536477</v>
      </c>
      <c r="D709" s="5">
        <v>932563</v>
      </c>
      <c r="E709" s="5">
        <f>+IF(FINANCIACION[[#This Row],[$ CAPITAL]]&gt;=0,FINANCIACION[[#This Row],[$ CAPITAL]]+FINANCIACION[[#This Row],[$ INTERESES]],"")</f>
        <v>2469040</v>
      </c>
      <c r="F709" s="5">
        <f>+SUMIFS(FINANCIACION[$ CAPITAL],FINANCIACION[Fecha],"&lt;="&amp;FINANCIACION[[#This Row],[Fecha]],FINANCIACION[PRESTAMO],FINANCIACION[[#This Row],[PRESTAMO]])</f>
        <v>-69565361.449999988</v>
      </c>
      <c r="G709" s="53"/>
      <c r="H709" s="53"/>
      <c r="I709" s="5">
        <f>+IF(FINANCIACION[[#This Row],[$ CAPITAL]]&gt;0,FINANCIACION[[#This Row],[$ CAPITAL]])</f>
        <v>1536477</v>
      </c>
      <c r="J709" s="33">
        <f>+IF(FINANCIACION[[#This Row],[$ CAPITAL]]&gt;=0,FINANCIACION[[#This Row],[$ CAPITAL]]+FINANCIACION[[#This Row],[$ INTERESES]],0)</f>
        <v>2469040</v>
      </c>
    </row>
    <row r="710" spans="1:10" ht="24" hidden="1" customHeight="1" x14ac:dyDescent="0.25">
      <c r="A710" s="109">
        <v>44949</v>
      </c>
      <c r="B710" s="50" t="s">
        <v>1480</v>
      </c>
      <c r="C710" s="5">
        <v>1481481</v>
      </c>
      <c r="D710" s="5">
        <v>985519</v>
      </c>
      <c r="E710" s="5">
        <f>+IF(FINANCIACION[[#This Row],[$ CAPITAL]]&gt;=0,FINANCIACION[[#This Row],[$ CAPITAL]]+FINANCIACION[[#This Row],[$ INTERESES]],"")</f>
        <v>2467000</v>
      </c>
      <c r="F710" s="5">
        <f>+SUMIFS(FINANCIACION[$ CAPITAL],FINANCIACION[Fecha],"&lt;="&amp;FINANCIACION[[#This Row],[Fecha]],FINANCIACION[PRESTAMO],FINANCIACION[[#This Row],[PRESTAMO]])</f>
        <v>-68083880.449999988</v>
      </c>
      <c r="G710" s="53"/>
      <c r="H710" s="53"/>
      <c r="I710" s="5">
        <f>+IF(FINANCIACION[[#This Row],[$ CAPITAL]]&gt;0,FINANCIACION[[#This Row],[$ CAPITAL]])</f>
        <v>1481481</v>
      </c>
      <c r="J710" s="33">
        <f>+IF(FINANCIACION[[#This Row],[$ CAPITAL]]&gt;=0,FINANCIACION[[#This Row],[$ CAPITAL]]+FINANCIACION[[#This Row],[$ INTERESES]],0)</f>
        <v>2467000</v>
      </c>
    </row>
    <row r="711" spans="1:10" ht="24" hidden="1" customHeight="1" x14ac:dyDescent="0.25">
      <c r="A711" s="109">
        <v>44984</v>
      </c>
      <c r="B711" s="50" t="s">
        <v>1480</v>
      </c>
      <c r="C711" s="5">
        <v>1481481</v>
      </c>
      <c r="D711" s="5">
        <v>1008519</v>
      </c>
      <c r="E711" s="5">
        <f>+IF(FINANCIACION[[#This Row],[$ CAPITAL]]&gt;=0,FINANCIACION[[#This Row],[$ CAPITAL]]+FINANCIACION[[#This Row],[$ INTERESES]],"")</f>
        <v>2490000</v>
      </c>
      <c r="F711" s="5">
        <f>+SUMIFS(FINANCIACION[$ CAPITAL],FINANCIACION[Fecha],"&lt;="&amp;FINANCIACION[[#This Row],[Fecha]],FINANCIACION[PRESTAMO],FINANCIACION[[#This Row],[PRESTAMO]])</f>
        <v>-66602399.449999988</v>
      </c>
      <c r="G711" s="53"/>
      <c r="H711" s="53"/>
      <c r="I711" s="5">
        <f>+IF(FINANCIACION[[#This Row],[$ CAPITAL]]&gt;0,FINANCIACION[[#This Row],[$ CAPITAL]])</f>
        <v>1481481</v>
      </c>
      <c r="J711" s="33">
        <f>+IF(FINANCIACION[[#This Row],[$ CAPITAL]]&gt;=0,FINANCIACION[[#This Row],[$ CAPITAL]]+FINANCIACION[[#This Row],[$ INTERESES]],0)</f>
        <v>2490000</v>
      </c>
    </row>
    <row r="712" spans="1:10" ht="24" hidden="1" customHeight="1" x14ac:dyDescent="0.25">
      <c r="A712" s="109">
        <v>45012</v>
      </c>
      <c r="B712" s="50" t="s">
        <v>1480</v>
      </c>
      <c r="C712" s="5">
        <v>1481000</v>
      </c>
      <c r="D712" s="5">
        <v>1009000</v>
      </c>
      <c r="E712" s="5">
        <f>+IF(FINANCIACION[[#This Row],[$ CAPITAL]]&gt;=0,FINANCIACION[[#This Row],[$ CAPITAL]]+FINANCIACION[[#This Row],[$ INTERESES]],"")</f>
        <v>2490000</v>
      </c>
      <c r="F712" s="5">
        <f>+SUMIFS(FINANCIACION[$ CAPITAL],FINANCIACION[Fecha],"&lt;="&amp;FINANCIACION[[#This Row],[Fecha]],FINANCIACION[PRESTAMO],FINANCIACION[[#This Row],[PRESTAMO]])</f>
        <v>-65121399.449999988</v>
      </c>
      <c r="G712" s="53"/>
      <c r="H712" s="53"/>
      <c r="I712" s="5">
        <f>+IF(FINANCIACION[[#This Row],[$ CAPITAL]]&gt;0,FINANCIACION[[#This Row],[$ CAPITAL]])</f>
        <v>1481000</v>
      </c>
      <c r="J712" s="33">
        <f>+IF(FINANCIACION[[#This Row],[$ CAPITAL]]&gt;=0,FINANCIACION[[#This Row],[$ CAPITAL]]+FINANCIACION[[#This Row],[$ INTERESES]],0)</f>
        <v>2490000</v>
      </c>
    </row>
    <row r="713" spans="1:10" ht="24" hidden="1" customHeight="1" x14ac:dyDescent="0.25">
      <c r="A713" s="109">
        <v>45041</v>
      </c>
      <c r="B713" s="50" t="s">
        <v>1480</v>
      </c>
      <c r="C713" s="5">
        <v>1481481</v>
      </c>
      <c r="D713" s="5">
        <v>933519</v>
      </c>
      <c r="E713" s="5">
        <f>+IF(FINANCIACION[[#This Row],[$ CAPITAL]]&gt;=0,FINANCIACION[[#This Row],[$ CAPITAL]]+FINANCIACION[[#This Row],[$ INTERESES]],"")</f>
        <v>2415000</v>
      </c>
      <c r="F713" s="5">
        <f>+SUMIFS(FINANCIACION[$ CAPITAL],FINANCIACION[Fecha],"&lt;="&amp;FINANCIACION[[#This Row],[Fecha]],FINANCIACION[PRESTAMO],FINANCIACION[[#This Row],[PRESTAMO]])</f>
        <v>-63639918.449999988</v>
      </c>
      <c r="G713" s="53"/>
      <c r="H713" s="53"/>
      <c r="I713" s="5">
        <f>+IF(FINANCIACION[[#This Row],[$ CAPITAL]]&gt;0,FINANCIACION[[#This Row],[$ CAPITAL]])</f>
        <v>1481481</v>
      </c>
      <c r="J713" s="33">
        <f>+IF(FINANCIACION[[#This Row],[$ CAPITAL]]&gt;=0,FINANCIACION[[#This Row],[$ CAPITAL]]+FINANCIACION[[#This Row],[$ INTERESES]],0)</f>
        <v>2415000</v>
      </c>
    </row>
    <row r="714" spans="1:10" ht="24" hidden="1" customHeight="1" x14ac:dyDescent="0.25">
      <c r="A714" s="109">
        <v>45071</v>
      </c>
      <c r="B714" s="50" t="s">
        <v>1480</v>
      </c>
      <c r="C714" s="5">
        <v>1481000</v>
      </c>
      <c r="D714" s="5">
        <v>873000</v>
      </c>
      <c r="E714" s="5">
        <f>+IF(FINANCIACION[[#This Row],[$ CAPITAL]]&gt;=0,FINANCIACION[[#This Row],[$ CAPITAL]]+FINANCIACION[[#This Row],[$ INTERESES]],"")</f>
        <v>2354000</v>
      </c>
      <c r="F714" s="5">
        <f>+SUMIFS(FINANCIACION[$ CAPITAL],FINANCIACION[Fecha],"&lt;="&amp;FINANCIACION[[#This Row],[Fecha]],FINANCIACION[PRESTAMO],FINANCIACION[[#This Row],[PRESTAMO]])</f>
        <v>-62158918.449999988</v>
      </c>
      <c r="G714" s="53"/>
      <c r="H714" s="53"/>
      <c r="I714" s="5">
        <f>+IF(FINANCIACION[[#This Row],[$ CAPITAL]]&gt;0,FINANCIACION[[#This Row],[$ CAPITAL]])</f>
        <v>1481000</v>
      </c>
      <c r="J714" s="33">
        <f>+IF(FINANCIACION[[#This Row],[$ CAPITAL]]&gt;=0,FINANCIACION[[#This Row],[$ CAPITAL]]+FINANCIACION[[#This Row],[$ INTERESES]],0)</f>
        <v>2354000</v>
      </c>
    </row>
    <row r="715" spans="1:10" ht="24" hidden="1" customHeight="1" x14ac:dyDescent="0.25">
      <c r="A715" s="109">
        <v>45103</v>
      </c>
      <c r="B715" s="50" t="s">
        <v>1480</v>
      </c>
      <c r="C715" s="5">
        <v>1481481</v>
      </c>
      <c r="D715" s="5">
        <v>852113</v>
      </c>
      <c r="E715" s="5">
        <f>+IF(FINANCIACION[[#This Row],[$ CAPITAL]]&gt;=0,FINANCIACION[[#This Row],[$ CAPITAL]]+FINANCIACION[[#This Row],[$ INTERESES]],"")</f>
        <v>2333594</v>
      </c>
      <c r="F715" s="5">
        <f>+SUMIFS(FINANCIACION[$ CAPITAL],FINANCIACION[Fecha],"&lt;="&amp;FINANCIACION[[#This Row],[Fecha]],FINANCIACION[PRESTAMO],FINANCIACION[[#This Row],[PRESTAMO]])</f>
        <v>-60677437.449999988</v>
      </c>
      <c r="G715" s="53"/>
      <c r="H715" s="53"/>
      <c r="I715" s="5">
        <f>+IF(FINANCIACION[[#This Row],[$ CAPITAL]]&gt;0,FINANCIACION[[#This Row],[$ CAPITAL]])</f>
        <v>1481481</v>
      </c>
      <c r="J715" s="33">
        <f>+IF(FINANCIACION[[#This Row],[$ CAPITAL]]&gt;=0,FINANCIACION[[#This Row],[$ CAPITAL]]+FINANCIACION[[#This Row],[$ INTERESES]],0)</f>
        <v>2333594</v>
      </c>
    </row>
    <row r="716" spans="1:10" ht="24" hidden="1" customHeight="1" x14ac:dyDescent="0.25">
      <c r="A716" s="109">
        <v>45107</v>
      </c>
      <c r="B716" s="50" t="s">
        <v>1480</v>
      </c>
      <c r="C716" s="5">
        <v>-172263</v>
      </c>
      <c r="D716" s="5"/>
      <c r="E716" s="5" t="str">
        <f>+IF(FINANCIACION[[#This Row],[$ CAPITAL]]&gt;=0,FINANCIACION[[#This Row],[$ CAPITAL]]+FINANCIACION[[#This Row],[$ INTERESES]],"")</f>
        <v/>
      </c>
      <c r="F716" s="5">
        <f>+SUMIFS(FINANCIACION[$ CAPITAL],FINANCIACION[Fecha],"&lt;="&amp;FINANCIACION[[#This Row],[Fecha]],FINANCIACION[PRESTAMO],FINANCIACION[[#This Row],[PRESTAMO]])</f>
        <v>-60849700.449999988</v>
      </c>
      <c r="G716" s="53"/>
      <c r="H716" s="53"/>
      <c r="I716" s="5" t="b">
        <f>+IF(FINANCIACION[[#This Row],[$ CAPITAL]]&gt;0,FINANCIACION[[#This Row],[$ CAPITAL]])</f>
        <v>0</v>
      </c>
      <c r="J716" s="33">
        <f>+IF(FINANCIACION[[#This Row],[$ CAPITAL]]&gt;=0,FINANCIACION[[#This Row],[$ CAPITAL]]+FINANCIACION[[#This Row],[$ INTERESES]],0)</f>
        <v>0</v>
      </c>
    </row>
    <row r="717" spans="1:10" ht="24" hidden="1" customHeight="1" x14ac:dyDescent="0.25">
      <c r="A717" s="109">
        <v>45131</v>
      </c>
      <c r="B717" s="50" t="s">
        <v>1480</v>
      </c>
      <c r="C717" s="5">
        <v>1481482</v>
      </c>
      <c r="D717" s="5">
        <v>862214</v>
      </c>
      <c r="E717" s="5">
        <f>+IF(FINANCIACION[[#This Row],[$ CAPITAL]]&gt;=0,FINANCIACION[[#This Row],[$ CAPITAL]]+FINANCIACION[[#This Row],[$ INTERESES]],"")</f>
        <v>2343696</v>
      </c>
      <c r="F717" s="5">
        <f>+SUMIFS(FINANCIACION[$ CAPITAL],FINANCIACION[Fecha],"&lt;="&amp;FINANCIACION[[#This Row],[Fecha]],FINANCIACION[PRESTAMO],FINANCIACION[[#This Row],[PRESTAMO]])</f>
        <v>-59368218.449999988</v>
      </c>
      <c r="G717" s="53"/>
      <c r="H717" s="53"/>
      <c r="I717" s="5">
        <f>+IF(FINANCIACION[[#This Row],[$ CAPITAL]]&gt;0,FINANCIACION[[#This Row],[$ CAPITAL]])</f>
        <v>1481482</v>
      </c>
      <c r="J717" s="33">
        <f>+IF(FINANCIACION[[#This Row],[$ CAPITAL]]&gt;=0,FINANCIACION[[#This Row],[$ CAPITAL]]+FINANCIACION[[#This Row],[$ INTERESES]],0)</f>
        <v>2343696</v>
      </c>
    </row>
    <row r="718" spans="1:10" ht="24" hidden="1" customHeight="1" x14ac:dyDescent="0.25">
      <c r="A718" s="109">
        <v>45163</v>
      </c>
      <c r="B718" s="50" t="s">
        <v>1480</v>
      </c>
      <c r="C718" s="5">
        <v>1481481</v>
      </c>
      <c r="D718" s="5">
        <v>860568</v>
      </c>
      <c r="E718" s="5">
        <f>+IF(FINANCIACION[[#This Row],[$ CAPITAL]]&gt;=0,FINANCIACION[[#This Row],[$ CAPITAL]]+FINANCIACION[[#This Row],[$ INTERESES]],"")</f>
        <v>2342049</v>
      </c>
      <c r="F718" s="5">
        <f>+SUMIFS(FINANCIACION[$ CAPITAL],FINANCIACION[Fecha],"&lt;="&amp;FINANCIACION[[#This Row],[Fecha]],FINANCIACION[PRESTAMO],FINANCIACION[[#This Row],[PRESTAMO]])</f>
        <v>-57886737.449999988</v>
      </c>
      <c r="G718" s="53"/>
      <c r="H718" s="53"/>
      <c r="I718" s="5">
        <f>+IF(FINANCIACION[[#This Row],[$ CAPITAL]]&gt;0,FINANCIACION[[#This Row],[$ CAPITAL]])</f>
        <v>1481481</v>
      </c>
      <c r="J718" s="33">
        <f>+IF(FINANCIACION[[#This Row],[$ CAPITAL]]&gt;=0,FINANCIACION[[#This Row],[$ CAPITAL]]+FINANCIACION[[#This Row],[$ INTERESES]],0)</f>
        <v>2342049</v>
      </c>
    </row>
    <row r="719" spans="1:10" ht="24" hidden="1" customHeight="1" x14ac:dyDescent="0.25">
      <c r="A719" s="109">
        <v>45194</v>
      </c>
      <c r="B719" s="50" t="s">
        <v>1480</v>
      </c>
      <c r="C719" s="5">
        <v>1481481</v>
      </c>
      <c r="D719" s="5">
        <v>853352</v>
      </c>
      <c r="E719" s="5">
        <f>+IF(FINANCIACION[[#This Row],[$ CAPITAL]]&gt;=0,FINANCIACION[[#This Row],[$ CAPITAL]]+FINANCIACION[[#This Row],[$ INTERESES]],"")</f>
        <v>2334833</v>
      </c>
      <c r="F719" s="5">
        <f>+SUMIFS(FINANCIACION[$ CAPITAL],FINANCIACION[Fecha],"&lt;="&amp;FINANCIACION[[#This Row],[Fecha]],FINANCIACION[PRESTAMO],FINANCIACION[[#This Row],[PRESTAMO]])</f>
        <v>-56405256.449999988</v>
      </c>
      <c r="G719" s="53"/>
      <c r="H719" s="53"/>
      <c r="I719" s="5">
        <f>+IF(FINANCIACION[[#This Row],[$ CAPITAL]]&gt;0,FINANCIACION[[#This Row],[$ CAPITAL]])</f>
        <v>1481481</v>
      </c>
      <c r="J719" s="33">
        <f>+IF(FINANCIACION[[#This Row],[$ CAPITAL]]&gt;=0,FINANCIACION[[#This Row],[$ CAPITAL]]+FINANCIACION[[#This Row],[$ INTERESES]],0)</f>
        <v>2334833</v>
      </c>
    </row>
    <row r="720" spans="1:10" ht="24" hidden="1" customHeight="1" x14ac:dyDescent="0.25">
      <c r="A720" s="109">
        <v>45223</v>
      </c>
      <c r="B720" s="50" t="s">
        <v>1480</v>
      </c>
      <c r="C720" s="5">
        <v>1482234</v>
      </c>
      <c r="D720" s="5">
        <v>797766</v>
      </c>
      <c r="E720" s="5">
        <f>+IF(FINANCIACION[[#This Row],[$ CAPITAL]]&gt;=0,FINANCIACION[[#This Row],[$ CAPITAL]]+FINANCIACION[[#This Row],[$ INTERESES]],"")</f>
        <v>2280000</v>
      </c>
      <c r="F720" s="5">
        <f>+SUMIFS(FINANCIACION[$ CAPITAL],FINANCIACION[Fecha],"&lt;="&amp;FINANCIACION[[#This Row],[Fecha]],FINANCIACION[PRESTAMO],FINANCIACION[[#This Row],[PRESTAMO]])</f>
        <v>-54923022.449999988</v>
      </c>
      <c r="G720" s="53"/>
      <c r="H720" s="53"/>
      <c r="I720" s="5">
        <f>+IF(FINANCIACION[[#This Row],[$ CAPITAL]]&gt;0,FINANCIACION[[#This Row],[$ CAPITAL]])</f>
        <v>1482234</v>
      </c>
      <c r="J720" s="33">
        <f>+IF(FINANCIACION[[#This Row],[$ CAPITAL]]&gt;=0,FINANCIACION[[#This Row],[$ CAPITAL]]+FINANCIACION[[#This Row],[$ INTERESES]],0)</f>
        <v>2280000</v>
      </c>
    </row>
    <row r="721" spans="1:10" ht="24" hidden="1" customHeight="1" x14ac:dyDescent="0.25">
      <c r="A721" s="109">
        <v>45257</v>
      </c>
      <c r="B721" s="50" t="s">
        <v>1480</v>
      </c>
      <c r="C721" s="5">
        <v>1481481</v>
      </c>
      <c r="D721" s="5">
        <v>777519</v>
      </c>
      <c r="E721" s="5">
        <f>+IF(FINANCIACION[[#This Row],[$ CAPITAL]]&gt;=0,FINANCIACION[[#This Row],[$ CAPITAL]]+FINANCIACION[[#This Row],[$ INTERESES]],"")</f>
        <v>2259000</v>
      </c>
      <c r="F721" s="5">
        <f>+SUMIFS(FINANCIACION[$ CAPITAL],FINANCIACION[Fecha],"&lt;="&amp;FINANCIACION[[#This Row],[Fecha]],FINANCIACION[PRESTAMO],FINANCIACION[[#This Row],[PRESTAMO]])</f>
        <v>-53441541.449999988</v>
      </c>
      <c r="G721" s="53"/>
      <c r="H721" s="53"/>
      <c r="I721" s="5">
        <f>+IF(FINANCIACION[[#This Row],[$ CAPITAL]]&gt;0,FINANCIACION[[#This Row],[$ CAPITAL]])</f>
        <v>1481481</v>
      </c>
      <c r="J721" s="33">
        <f>+IF(FINANCIACION[[#This Row],[$ CAPITAL]]&gt;=0,FINANCIACION[[#This Row],[$ CAPITAL]]+FINANCIACION[[#This Row],[$ INTERESES]],0)</f>
        <v>2259000</v>
      </c>
    </row>
    <row r="722" spans="1:10" ht="24" hidden="1" customHeight="1" x14ac:dyDescent="0.25">
      <c r="A722" s="109">
        <v>45286</v>
      </c>
      <c r="B722" s="50" t="s">
        <v>1480</v>
      </c>
      <c r="C722" s="5">
        <v>1484481</v>
      </c>
      <c r="D722" s="5">
        <v>744678</v>
      </c>
      <c r="E722" s="5">
        <f>+IF(FINANCIACION[[#This Row],[$ CAPITAL]]&gt;=0,FINANCIACION[[#This Row],[$ CAPITAL]]+FINANCIACION[[#This Row],[$ INTERESES]],"")</f>
        <v>2229159</v>
      </c>
      <c r="F722" s="5">
        <f>+SUMIFS(FINANCIACION[$ CAPITAL],FINANCIACION[Fecha],"&lt;="&amp;FINANCIACION[[#This Row],[Fecha]],FINANCIACION[PRESTAMO],FINANCIACION[[#This Row],[PRESTAMO]])</f>
        <v>-51957060.449999988</v>
      </c>
      <c r="G722" s="53"/>
      <c r="H722" s="53"/>
      <c r="I722" s="5">
        <f>+IF(FINANCIACION[[#This Row],[$ CAPITAL]]&gt;0,FINANCIACION[[#This Row],[$ CAPITAL]])</f>
        <v>1484481</v>
      </c>
      <c r="J722" s="33">
        <f>+IF(FINANCIACION[[#This Row],[$ CAPITAL]]&gt;=0,FINANCIACION[[#This Row],[$ CAPITAL]]+FINANCIACION[[#This Row],[$ INTERESES]],0)</f>
        <v>2229159</v>
      </c>
    </row>
    <row r="723" spans="1:10" ht="24" hidden="1" customHeight="1" x14ac:dyDescent="0.25">
      <c r="A723" s="109">
        <v>45307</v>
      </c>
      <c r="B723" s="50" t="s">
        <v>650</v>
      </c>
      <c r="C723" s="5">
        <v>-60000000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-60000000</v>
      </c>
      <c r="G723" s="53"/>
      <c r="H723" s="53"/>
      <c r="I723" s="5" t="b">
        <f>+IF(FINANCIACION[[#This Row],[$ CAPITAL]]&gt;0,FINANCIACION[[#This Row],[$ CAPITAL]])</f>
        <v>0</v>
      </c>
      <c r="J723" s="33">
        <f>+IF(FINANCIACION[[#This Row],[$ CAPITAL]]&gt;=0,FINANCIACION[[#This Row],[$ CAPITAL]]+FINANCIACION[[#This Row],[$ INTERESES]],0)</f>
        <v>0</v>
      </c>
    </row>
    <row r="724" spans="1:10" ht="24" hidden="1" customHeight="1" x14ac:dyDescent="0.25">
      <c r="A724" s="109">
        <v>45309</v>
      </c>
      <c r="B724" s="50" t="s">
        <v>365</v>
      </c>
      <c r="C724" s="5">
        <v>1369125</v>
      </c>
      <c r="D724" s="5">
        <f>5596012+174929</f>
        <v>5770941</v>
      </c>
      <c r="E724" s="5">
        <f>+IF(FINANCIACION[[#This Row],[$ CAPITAL]]&gt;=0,FINANCIACION[[#This Row],[$ CAPITAL]]+FINANCIACION[[#This Row],[$ INTERESES]],"")</f>
        <v>7140066</v>
      </c>
      <c r="F724" s="5">
        <f>+SUMIFS(FINANCIACION[$ CAPITAL],FINANCIACION[Fecha],"&lt;="&amp;FINANCIACION[[#This Row],[Fecha]],FINANCIACION[PRESTAMO],FINANCIACION[[#This Row],[PRESTAMO]])</f>
        <v>-338121906</v>
      </c>
      <c r="G724" s="53"/>
      <c r="H724" s="53"/>
      <c r="I724" s="5">
        <f>+IF(FINANCIACION[[#This Row],[$ CAPITAL]]&gt;0,FINANCIACION[[#This Row],[$ CAPITAL]])</f>
        <v>1369125</v>
      </c>
      <c r="J724" s="33">
        <f>+IF(FINANCIACION[[#This Row],[$ CAPITAL]]&gt;=0,FINANCIACION[[#This Row],[$ CAPITAL]]+FINANCIACION[[#This Row],[$ INTERESES]],0)</f>
        <v>7140066</v>
      </c>
    </row>
    <row r="725" spans="1:10" ht="24" hidden="1" customHeight="1" x14ac:dyDescent="0.25">
      <c r="A725" s="109">
        <v>45310</v>
      </c>
      <c r="B725" s="50" t="s">
        <v>1478</v>
      </c>
      <c r="C725" s="5">
        <v>13879571</v>
      </c>
      <c r="D725" s="5"/>
      <c r="E725" s="5">
        <f>+IF(FINANCIACION[[#This Row],[$ CAPITAL]]&gt;=0,FINANCIACION[[#This Row],[$ CAPITAL]]+FINANCIACION[[#This Row],[$ INTERESES]],"")</f>
        <v>13879571</v>
      </c>
      <c r="F725" s="5">
        <f>+SUMIFS(FINANCIACION[$ CAPITAL],FINANCIACION[Fecha],"&lt;="&amp;FINANCIACION[[#This Row],[Fecha]],FINANCIACION[PRESTAMO],FINANCIACION[[#This Row],[PRESTAMO]])</f>
        <v>-5294530.75</v>
      </c>
      <c r="G725" s="53"/>
      <c r="H725" s="53"/>
      <c r="I725" s="5">
        <f>+IF(FINANCIACION[[#This Row],[$ CAPITAL]]&gt;0,FINANCIACION[[#This Row],[$ CAPITAL]])</f>
        <v>13879571</v>
      </c>
      <c r="J725" s="33">
        <f>+IF(FINANCIACION[[#This Row],[$ CAPITAL]]&gt;=0,FINANCIACION[[#This Row],[$ CAPITAL]]+FINANCIACION[[#This Row],[$ INTERESES]],0)</f>
        <v>13879571</v>
      </c>
    </row>
    <row r="726" spans="1:10" ht="24" hidden="1" customHeight="1" x14ac:dyDescent="0.25">
      <c r="A726" s="109">
        <v>45310</v>
      </c>
      <c r="B726" s="50" t="s">
        <v>1342</v>
      </c>
      <c r="C726" s="5">
        <v>2778000</v>
      </c>
      <c r="D726" s="5">
        <f>4369385.23-FINANCIACION[[#This Row],[$ CAPITAL]]</f>
        <v>1591385.2300000004</v>
      </c>
      <c r="E726" s="5">
        <f>+IF(FINANCIACION[[#This Row],[$ CAPITAL]]&gt;=0,FINANCIACION[[#This Row],[$ CAPITAL]]+FINANCIACION[[#This Row],[$ INTERESES]],"")</f>
        <v>4369385.2300000004</v>
      </c>
      <c r="F726" s="5">
        <f>+SUMIFS(FINANCIACION[$ CAPITAL],FINANCIACION[Fecha],"&lt;="&amp;FINANCIACION[[#This Row],[Fecha]],FINANCIACION[PRESTAMO],FINANCIACION[[#This Row],[PRESTAMO]])</f>
        <v>-97222000</v>
      </c>
      <c r="G726" s="53"/>
      <c r="H726" s="53"/>
      <c r="I726" s="5">
        <f>+IF(FINANCIACION[[#This Row],[$ CAPITAL]]&gt;0,FINANCIACION[[#This Row],[$ CAPITAL]])</f>
        <v>2778000</v>
      </c>
      <c r="J726" s="33">
        <f>+IF(FINANCIACION[[#This Row],[$ CAPITAL]]&gt;=0,FINANCIACION[[#This Row],[$ CAPITAL]]+FINANCIACION[[#This Row],[$ INTERESES]],0)</f>
        <v>4369385.2300000004</v>
      </c>
    </row>
    <row r="727" spans="1:10" ht="24" hidden="1" customHeight="1" x14ac:dyDescent="0.25">
      <c r="A727" s="109">
        <v>45322</v>
      </c>
      <c r="B727" s="50" t="s">
        <v>1511</v>
      </c>
      <c r="C727" s="5">
        <v>1468400</v>
      </c>
      <c r="D727" s="5">
        <v>80979</v>
      </c>
      <c r="E727" s="5">
        <f>+IF(FINANCIACION[[#This Row],[$ CAPITAL]]&gt;=0,FINANCIACION[[#This Row],[$ CAPITAL]]+FINANCIACION[[#This Row],[$ INTERESES]],"")</f>
        <v>1549379</v>
      </c>
      <c r="F727" s="5">
        <f>+SUMIFS(FINANCIACION[$ CAPITAL],FINANCIACION[Fecha],"&lt;="&amp;FINANCIACION[[#This Row],[Fecha]],FINANCIACION[PRESTAMO],FINANCIACION[[#This Row],[PRESTAMO]])</f>
        <v>-2936800</v>
      </c>
      <c r="G727" s="53"/>
      <c r="H727" s="53"/>
      <c r="I727" s="5">
        <f>+IF(FINANCIACION[[#This Row],[$ CAPITAL]]&gt;0,FINANCIACION[[#This Row],[$ CAPITAL]])</f>
        <v>1468400</v>
      </c>
      <c r="J727" s="33">
        <f>+IF(FINANCIACION[[#This Row],[$ CAPITAL]]&gt;=0,FINANCIACION[[#This Row],[$ CAPITAL]]+FINANCIACION[[#This Row],[$ INTERESES]],0)</f>
        <v>1549379</v>
      </c>
    </row>
    <row r="728" spans="1:10" ht="24" hidden="1" customHeight="1" x14ac:dyDescent="0.25">
      <c r="A728" s="109">
        <v>45301</v>
      </c>
      <c r="B728" s="50" t="s">
        <v>548</v>
      </c>
      <c r="C728" s="5">
        <v>79613625</v>
      </c>
      <c r="D728" s="5"/>
      <c r="E728" s="5">
        <f>+IF(FINANCIACION[[#This Row],[$ CAPITAL]]&gt;=0,FINANCIACION[[#This Row],[$ CAPITAL]]+FINANCIACION[[#This Row],[$ INTERESES]],"")</f>
        <v>79613625</v>
      </c>
      <c r="F728" s="5">
        <f>+SUMIFS(FINANCIACION[$ CAPITAL],FINANCIACION[Fecha],"&lt;="&amp;FINANCIACION[[#This Row],[Fecha]],FINANCIACION[PRESTAMO],FINANCIACION[[#This Row],[PRESTAMO]])</f>
        <v>0</v>
      </c>
      <c r="G728" s="53"/>
      <c r="H728" s="53"/>
      <c r="I728" s="5">
        <f>+IF(FINANCIACION[[#This Row],[$ CAPITAL]]&gt;0,FINANCIACION[[#This Row],[$ CAPITAL]])</f>
        <v>79613625</v>
      </c>
      <c r="J728" s="33">
        <f>+IF(FINANCIACION[[#This Row],[$ CAPITAL]]&gt;=0,FINANCIACION[[#This Row],[$ CAPITAL]]+FINANCIACION[[#This Row],[$ INTERESES]],0)</f>
        <v>79613625</v>
      </c>
    </row>
    <row r="729" spans="1:10" ht="24" hidden="1" customHeight="1" x14ac:dyDescent="0.25">
      <c r="A729" s="109">
        <v>45301</v>
      </c>
      <c r="B729" s="50" t="s">
        <v>548</v>
      </c>
      <c r="C729" s="5">
        <v>5211375</v>
      </c>
      <c r="D729" s="5"/>
      <c r="E729" s="5">
        <f>+IF(FINANCIACION[[#This Row],[$ CAPITAL]]&gt;=0,FINANCIACION[[#This Row],[$ CAPITAL]]+FINANCIACION[[#This Row],[$ INTERESES]],"")</f>
        <v>5211375</v>
      </c>
      <c r="F729" s="5">
        <f>+SUMIFS(FINANCIACION[$ CAPITAL],FINANCIACION[Fecha],"&lt;="&amp;FINANCIACION[[#This Row],[Fecha]],FINANCIACION[PRESTAMO],FINANCIACION[[#This Row],[PRESTAMO]])</f>
        <v>0</v>
      </c>
      <c r="G729" s="53" t="s">
        <v>1534</v>
      </c>
      <c r="H729" s="53"/>
      <c r="I729" s="5">
        <f>+IF(FINANCIACION[[#This Row],[$ CAPITAL]]&gt;0,FINANCIACION[[#This Row],[$ CAPITAL]])</f>
        <v>5211375</v>
      </c>
      <c r="J729" s="33">
        <f>+IF(FINANCIACION[[#This Row],[$ CAPITAL]]&gt;=0,FINANCIACION[[#This Row],[$ CAPITAL]]+FINANCIACION[[#This Row],[$ INTERESES]],0)</f>
        <v>5211375</v>
      </c>
    </row>
    <row r="730" spans="1:10" ht="24" hidden="1" customHeight="1" x14ac:dyDescent="0.25">
      <c r="A730" s="109">
        <v>45309</v>
      </c>
      <c r="B730" s="50" t="s">
        <v>1478</v>
      </c>
      <c r="C730" s="5">
        <v>782488.25</v>
      </c>
      <c r="D730" s="5"/>
      <c r="E730" s="5">
        <f>+IF(FINANCIACION[[#This Row],[$ CAPITAL]]&gt;=0,FINANCIACION[[#This Row],[$ CAPITAL]]+FINANCIACION[[#This Row],[$ INTERESES]],"")</f>
        <v>782488.25</v>
      </c>
      <c r="F730" s="5">
        <f>+SUMIFS(FINANCIACION[$ CAPITAL],FINANCIACION[Fecha],"&lt;="&amp;FINANCIACION[[#This Row],[Fecha]],FINANCIACION[PRESTAMO],FINANCIACION[[#This Row],[PRESTAMO]])</f>
        <v>-19174101.75</v>
      </c>
      <c r="G730" s="53"/>
      <c r="H730" s="53"/>
      <c r="I730" s="5">
        <f>+IF(FINANCIACION[[#This Row],[$ CAPITAL]]&gt;0,FINANCIACION[[#This Row],[$ CAPITAL]])</f>
        <v>782488.25</v>
      </c>
      <c r="J730" s="33">
        <f>+IF(FINANCIACION[[#This Row],[$ CAPITAL]]&gt;=0,FINANCIACION[[#This Row],[$ CAPITAL]]+FINANCIACION[[#This Row],[$ INTERESES]],0)</f>
        <v>782488.25</v>
      </c>
    </row>
    <row r="731" spans="1:10" ht="24" hidden="1" customHeight="1" x14ac:dyDescent="0.25">
      <c r="A731" s="109">
        <v>45316</v>
      </c>
      <c r="B731" s="50" t="s">
        <v>374</v>
      </c>
      <c r="C731" s="5"/>
      <c r="D731" s="5">
        <v>1400000</v>
      </c>
      <c r="E731" s="5">
        <f>+IF(FINANCIACION[[#This Row],[$ CAPITAL]]&gt;=0,FINANCIACION[[#This Row],[$ CAPITAL]]+FINANCIACION[[#This Row],[$ INTERESES]],"")</f>
        <v>1400000</v>
      </c>
      <c r="F731" s="5">
        <f>+SUMIFS(FINANCIACION[$ CAPITAL],FINANCIACION[Fecha],"&lt;="&amp;FINANCIACION[[#This Row],[Fecha]],FINANCIACION[PRESTAMO],FINANCIACION[[#This Row],[PRESTAMO]])</f>
        <v>-140000000</v>
      </c>
      <c r="G731" s="53"/>
      <c r="H731" s="53"/>
      <c r="I731" s="5" t="b">
        <f>+IF(FINANCIACION[[#This Row],[$ CAPITAL]]&gt;0,FINANCIACION[[#This Row],[$ CAPITAL]])</f>
        <v>0</v>
      </c>
      <c r="J731" s="33">
        <f>+IF(FINANCIACION[[#This Row],[$ CAPITAL]]&gt;=0,FINANCIACION[[#This Row],[$ CAPITAL]]+FINANCIACION[[#This Row],[$ INTERESES]],0)</f>
        <v>1400000</v>
      </c>
    </row>
    <row r="732" spans="1:10" ht="24" hidden="1" customHeight="1" x14ac:dyDescent="0.25">
      <c r="A732" s="109">
        <v>45316</v>
      </c>
      <c r="B732" s="50" t="s">
        <v>1480</v>
      </c>
      <c r="C732" s="5">
        <v>1481481.48</v>
      </c>
      <c r="D732" s="5">
        <v>723518.52</v>
      </c>
      <c r="E732" s="5">
        <f>+IF(FINANCIACION[[#This Row],[$ CAPITAL]]&gt;=0,FINANCIACION[[#This Row],[$ CAPITAL]]+FINANCIACION[[#This Row],[$ INTERESES]],"")</f>
        <v>2205000</v>
      </c>
      <c r="F732" s="5">
        <f>+SUMIFS(FINANCIACION[$ CAPITAL],FINANCIACION[Fecha],"&lt;="&amp;FINANCIACION[[#This Row],[Fecha]],FINANCIACION[PRESTAMO],FINANCIACION[[#This Row],[PRESTAMO]])</f>
        <v>-50475578.969999991</v>
      </c>
      <c r="G732" s="53"/>
      <c r="H732" s="53"/>
      <c r="I732" s="5">
        <f>+IF(FINANCIACION[[#This Row],[$ CAPITAL]]&gt;0,FINANCIACION[[#This Row],[$ CAPITAL]])</f>
        <v>1481481.48</v>
      </c>
      <c r="J732" s="33">
        <f>+IF(FINANCIACION[[#This Row],[$ CAPITAL]]&gt;=0,FINANCIACION[[#This Row],[$ CAPITAL]]+FINANCIACION[[#This Row],[$ INTERESES]],0)</f>
        <v>2205000</v>
      </c>
    </row>
    <row r="733" spans="1:10" ht="24" hidden="1" customHeight="1" x14ac:dyDescent="0.25">
      <c r="A733" s="109">
        <v>45317</v>
      </c>
      <c r="B733" s="50" t="s">
        <v>1480</v>
      </c>
      <c r="C733" s="5">
        <v>1481481.48</v>
      </c>
      <c r="D733" s="5">
        <v>662518.52</v>
      </c>
      <c r="E733" s="5">
        <f>+IF(FINANCIACION[[#This Row],[$ CAPITAL]]&gt;=0,FINANCIACION[[#This Row],[$ CAPITAL]]+FINANCIACION[[#This Row],[$ INTERESES]],"")</f>
        <v>2144000</v>
      </c>
      <c r="F733" s="5">
        <f>+SUMIFS(FINANCIACION[$ CAPITAL],FINANCIACION[Fecha],"&lt;="&amp;FINANCIACION[[#This Row],[Fecha]],FINANCIACION[PRESTAMO],FINANCIACION[[#This Row],[PRESTAMO]])</f>
        <v>-48994097.489999995</v>
      </c>
      <c r="G733" s="53"/>
      <c r="H733" s="53"/>
      <c r="I733" s="5">
        <f>+IF(FINANCIACION[[#This Row],[$ CAPITAL]]&gt;0,FINANCIACION[[#This Row],[$ CAPITAL]])</f>
        <v>1481481.48</v>
      </c>
      <c r="J733" s="33">
        <f>+IF(FINANCIACION[[#This Row],[$ CAPITAL]]&gt;=0,FINANCIACION[[#This Row],[$ CAPITAL]]+FINANCIACION[[#This Row],[$ INTERESES]],0)</f>
        <v>2144000</v>
      </c>
    </row>
    <row r="734" spans="1:10" ht="24" hidden="1" customHeight="1" x14ac:dyDescent="0.25">
      <c r="A734" s="109">
        <v>45323</v>
      </c>
      <c r="B734" s="50" t="s">
        <v>1565</v>
      </c>
      <c r="C734" s="5">
        <v>-50000000</v>
      </c>
      <c r="D734" s="5">
        <f>-1547000-580940</f>
        <v>-2127940</v>
      </c>
      <c r="E734" s="5" t="str">
        <f>+IF(FINANCIACION[[#This Row],[$ CAPITAL]]&gt;=0,FINANCIACION[[#This Row],[$ CAPITAL]]+FINANCIACION[[#This Row],[$ INTERESES]],"")</f>
        <v/>
      </c>
      <c r="F734" s="5">
        <f>+SUMIFS(FINANCIACION[$ CAPITAL],FINANCIACION[Fecha],"&lt;="&amp;FINANCIACION[[#This Row],[Fecha]],FINANCIACION[PRESTAMO],FINANCIACION[[#This Row],[PRESTAMO]])</f>
        <v>-50000000</v>
      </c>
      <c r="G734" s="53"/>
      <c r="H734" s="53"/>
      <c r="I734" s="5" t="b">
        <f>+IF(FINANCIACION[[#This Row],[$ CAPITAL]]&gt;0,FINANCIACION[[#This Row],[$ CAPITAL]])</f>
        <v>0</v>
      </c>
      <c r="J734" s="33">
        <f>+IF(FINANCIACION[[#This Row],[$ CAPITAL]]&gt;=0,FINANCIACION[[#This Row],[$ CAPITAL]]+FINANCIACION[[#This Row],[$ INTERESES]],0)</f>
        <v>0</v>
      </c>
    </row>
    <row r="735" spans="1:10" ht="24" hidden="1" customHeight="1" x14ac:dyDescent="0.25">
      <c r="A735" s="109">
        <v>45310</v>
      </c>
      <c r="B735" s="50" t="s">
        <v>1532</v>
      </c>
      <c r="C735" s="5">
        <f>-24518.81*3910</f>
        <v>-95868547.100000009</v>
      </c>
      <c r="D735" s="5"/>
      <c r="E735" s="5" t="str">
        <f>+IF(FINANCIACION[[#This Row],[$ CAPITAL]]&gt;=0,FINANCIACION[[#This Row],[$ CAPITAL]]+FINANCIACION[[#This Row],[$ INTERESES]],"")</f>
        <v/>
      </c>
      <c r="F735" s="5">
        <f>+SUMIFS(FINANCIACION[$ CAPITAL],FINANCIACION[Fecha],"&lt;="&amp;FINANCIACION[[#This Row],[Fecha]],FINANCIACION[PRESTAMO],FINANCIACION[[#This Row],[PRESTAMO]])</f>
        <v>-95868547.100000009</v>
      </c>
      <c r="G735" s="53" t="s">
        <v>1533</v>
      </c>
      <c r="H735" s="53">
        <v>-24518.81</v>
      </c>
      <c r="I735" s="5" t="b">
        <f>+IF(FINANCIACION[[#This Row],[$ CAPITAL]]&gt;0,FINANCIACION[[#This Row],[$ CAPITAL]])</f>
        <v>0</v>
      </c>
      <c r="J735" s="33">
        <f>+IF(FINANCIACION[[#This Row],[$ CAPITAL]]&gt;=0,FINANCIACION[[#This Row],[$ CAPITAL]]+FINANCIACION[[#This Row],[$ INTERESES]],0)</f>
        <v>0</v>
      </c>
    </row>
    <row r="736" spans="1:10" ht="24" customHeight="1" x14ac:dyDescent="0.25">
      <c r="A736" s="109">
        <v>45324</v>
      </c>
      <c r="B736" s="50" t="s">
        <v>372</v>
      </c>
      <c r="C736" s="5"/>
      <c r="D736" s="5">
        <v>300000</v>
      </c>
      <c r="E736" s="5">
        <f>+IF(FINANCIACION[[#This Row],[$ CAPITAL]]&gt;=0,FINANCIACION[[#This Row],[$ CAPITAL]]+FINANCIACION[[#This Row],[$ INTERESES]],"")</f>
        <v>300000</v>
      </c>
      <c r="F736" s="5">
        <f>+SUMIFS(FINANCIACION[$ CAPITAL],FINANCIACION[Fecha],"&lt;="&amp;FINANCIACION[[#This Row],[Fecha]],FINANCIACION[PRESTAMO],FINANCIACION[[#This Row],[PRESTAMO]])</f>
        <v>-30000000</v>
      </c>
      <c r="G736" s="53"/>
      <c r="H736" s="53"/>
      <c r="I736" s="5" t="b">
        <f>+IF(FINANCIACION[[#This Row],[$ CAPITAL]]&gt;0,FINANCIACION[[#This Row],[$ CAPITAL]])</f>
        <v>0</v>
      </c>
      <c r="J736" s="33">
        <f>+IF(FINANCIACION[[#This Row],[$ CAPITAL]]&gt;=0,FINANCIACION[[#This Row],[$ CAPITAL]]+FINANCIACION[[#This Row],[$ INTERESES]],0)</f>
        <v>300000</v>
      </c>
    </row>
    <row r="737" spans="1:10" ht="24" customHeight="1" x14ac:dyDescent="0.25">
      <c r="A737" s="109">
        <v>45322</v>
      </c>
      <c r="B737" s="50" t="s">
        <v>1477</v>
      </c>
      <c r="C737" s="52">
        <v>-16864000</v>
      </c>
      <c r="D737" s="5"/>
      <c r="E737" s="5" t="str">
        <f>+IF(FINANCIACION[[#This Row],[$ CAPITAL]]&gt;=0,FINANCIACION[[#This Row],[$ CAPITAL]]+FINANCIACION[[#This Row],[$ INTERESES]],"")</f>
        <v/>
      </c>
      <c r="F737" s="5">
        <f>+SUMIFS(FINANCIACION[$ CAPITAL],FINANCIACION[Fecha],"&lt;="&amp;FINANCIACION[[#This Row],[Fecha]],FINANCIACION[PRESTAMO],FINANCIACION[[#This Row],[PRESTAMO]])</f>
        <v>-16864000</v>
      </c>
      <c r="G737" s="53"/>
      <c r="H737" s="53"/>
      <c r="I737" s="5" t="b">
        <f>+IF(FINANCIACION[[#This Row],[$ CAPITAL]]&gt;0,FINANCIACION[[#This Row],[$ CAPITAL]])</f>
        <v>0</v>
      </c>
      <c r="J737" s="33">
        <f>+IF(FINANCIACION[[#This Row],[$ CAPITAL]]&gt;=0,FINANCIACION[[#This Row],[$ CAPITAL]]+FINANCIACION[[#This Row],[$ INTERESES]],0)</f>
        <v>0</v>
      </c>
    </row>
    <row r="738" spans="1:10" ht="24" customHeight="1" x14ac:dyDescent="0.25">
      <c r="A738" s="109">
        <v>45322</v>
      </c>
      <c r="B738" s="50" t="s">
        <v>1479</v>
      </c>
      <c r="C738" s="52">
        <v>-707640</v>
      </c>
      <c r="D738" s="5"/>
      <c r="E738" s="5" t="str">
        <f>+IF(FINANCIACION[[#This Row],[$ CAPITAL]]&gt;=0,FINANCIACION[[#This Row],[$ CAPITAL]]+FINANCIACION[[#This Row],[$ INTERESES]],"")</f>
        <v/>
      </c>
      <c r="F738" s="5">
        <f>+SUMIFS(FINANCIACION[$ CAPITAL],FINANCIACION[Fecha],"&lt;="&amp;FINANCIACION[[#This Row],[Fecha]],FINANCIACION[PRESTAMO],FINANCIACION[[#This Row],[PRESTAMO]])</f>
        <v>-707640</v>
      </c>
      <c r="G738" s="53"/>
      <c r="H738" s="53"/>
      <c r="I738" s="5" t="b">
        <f>+IF(FINANCIACION[[#This Row],[$ CAPITAL]]&gt;0,FINANCIACION[[#This Row],[$ CAPITAL]])</f>
        <v>0</v>
      </c>
      <c r="J738" s="33">
        <f>+IF(FINANCIACION[[#This Row],[$ CAPITAL]]&gt;=0,FINANCIACION[[#This Row],[$ CAPITAL]]+FINANCIACION[[#This Row],[$ INTERESES]],0)</f>
        <v>0</v>
      </c>
    </row>
    <row r="739" spans="1:10" ht="24" customHeight="1" x14ac:dyDescent="0.25">
      <c r="A739" s="109">
        <v>45322</v>
      </c>
      <c r="B739" s="50" t="s">
        <v>1478</v>
      </c>
      <c r="C739" s="52">
        <v>-6325215.25</v>
      </c>
      <c r="D739" s="5"/>
      <c r="E739" s="5" t="str">
        <f>+IF(FINANCIACION[[#This Row],[$ CAPITAL]]&gt;=0,FINANCIACION[[#This Row],[$ CAPITAL]]+FINANCIACION[[#This Row],[$ INTERESES]],"")</f>
        <v/>
      </c>
      <c r="F739" s="5">
        <f>+SUMIFS(FINANCIACION[$ CAPITAL],FINANCIACION[Fecha],"&lt;="&amp;FINANCIACION[[#This Row],[Fecha]],FINANCIACION[PRESTAMO],FINANCIACION[[#This Row],[PRESTAMO]])</f>
        <v>-11619746</v>
      </c>
      <c r="G739" s="53"/>
      <c r="H739" s="53"/>
      <c r="I739" s="5" t="b">
        <f>+IF(FINANCIACION[[#This Row],[$ CAPITAL]]&gt;0,FINANCIACION[[#This Row],[$ CAPITAL]])</f>
        <v>0</v>
      </c>
      <c r="J739" s="33">
        <f>+IF(FINANCIACION[[#This Row],[$ CAPITAL]]&gt;=0,FINANCIACION[[#This Row],[$ CAPITAL]]+FINANCIACION[[#This Row],[$ INTERESES]],0)</f>
        <v>0</v>
      </c>
    </row>
  </sheetData>
  <phoneticPr fontId="2" type="noConversion"/>
  <dataValidations xWindow="542" yWindow="371" count="2">
    <dataValidation allowBlank="1" showInputMessage="1" showErrorMessage="1" prompt="Si es una deuda escribelo negativo._x000a__x000a_Si es un abono que sea positivo." sqref="C364 C384 C3:C336" xr:uid="{00000000-0002-0000-0200-000000000000}"/>
    <dataValidation type="date" allowBlank="1" showInputMessage="1" showErrorMessage="1" error="SOLO FECHAS" sqref="A3:A570 A689 A736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B415:B433 B451:B730 B1 B358:B413 B344:B355 B440:B447 B732:B735 B737:B1048576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B356:B357 B731 B448:B450 B434:B439 B414 B2:B343 B736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Q29"/>
  <sheetViews>
    <sheetView topLeftCell="A14" zoomScaleNormal="100" workbookViewId="0">
      <selection activeCell="Q29" sqref="Q27:Q29"/>
    </sheetView>
  </sheetViews>
  <sheetFormatPr baseColWidth="10" defaultColWidth="13.42578125" defaultRowHeight="21.6" customHeight="1" x14ac:dyDescent="0.25"/>
  <cols>
    <col min="1" max="1" width="30.42578125" style="41" customWidth="1"/>
    <col min="2" max="14" width="13.42578125" style="41" hidden="1" customWidth="1"/>
    <col min="15" max="15" width="12.5703125" style="41" customWidth="1"/>
    <col min="16" max="16" width="13.42578125" style="41"/>
    <col min="17" max="17" width="17.28515625" style="41" bestFit="1" customWidth="1"/>
    <col min="18" max="16384" width="13.42578125" style="41"/>
  </cols>
  <sheetData>
    <row r="1" spans="1:17" s="297" customFormat="1" ht="21.6" customHeight="1" x14ac:dyDescent="0.25">
      <c r="A1" s="297" t="s">
        <v>150</v>
      </c>
      <c r="B1" s="297" t="s">
        <v>536</v>
      </c>
      <c r="C1" s="297" t="s">
        <v>535</v>
      </c>
      <c r="D1" s="297" t="s">
        <v>671</v>
      </c>
      <c r="E1" s="297" t="s">
        <v>1463</v>
      </c>
      <c r="F1" s="297" t="s">
        <v>1464</v>
      </c>
      <c r="G1" s="297" t="s">
        <v>1465</v>
      </c>
      <c r="H1" s="297" t="s">
        <v>1466</v>
      </c>
      <c r="I1" s="297" t="s">
        <v>1467</v>
      </c>
      <c r="J1" s="297" t="s">
        <v>1468</v>
      </c>
      <c r="K1" s="297" t="s">
        <v>1469</v>
      </c>
      <c r="L1" s="297" t="s">
        <v>1470</v>
      </c>
      <c r="M1" s="297" t="s">
        <v>1471</v>
      </c>
      <c r="N1" s="297" t="s">
        <v>1472</v>
      </c>
      <c r="O1" s="297" t="s">
        <v>1473</v>
      </c>
      <c r="P1" s="297" t="s">
        <v>1474</v>
      </c>
      <c r="Q1" s="297" t="s">
        <v>1475</v>
      </c>
    </row>
    <row r="2" spans="1:17" ht="21.6" customHeight="1" x14ac:dyDescent="0.25">
      <c r="A2" s="41" t="s">
        <v>369</v>
      </c>
      <c r="B2" s="52">
        <f>-SUMIFS(FINANCIACION[$ CAPITAL],
FINANCIACION[Fecha],"&lt;="&amp;EOMONTH(B$1,0),
FINANCIACION[PRESTAMO],$A2)</f>
        <v>13000000</v>
      </c>
      <c r="C2" s="52">
        <f>-SUMIFS(FINANCIACION[$ CAPITAL],
FINANCIACION[Fecha],"&lt;="&amp;EOMONTH(C$1,0),
FINANCIACION[PRESTAMO],$A2)</f>
        <v>13000000</v>
      </c>
      <c r="D2" s="52">
        <f>-SUMIFS(FINANCIACION[$ CAPITAL],
FINANCIACION[Fecha],"&lt;="&amp;EOMONTH(D$1,0),
FINANCIACION[PRESTAMO],$A2)</f>
        <v>13000000</v>
      </c>
      <c r="E2" s="52">
        <f>-SUMIFS(FINANCIACION[$ CAPITAL],
FINANCIACION[Fecha],"&lt;="&amp;EOMONTH(E$1,0),
FINANCIACION[PRESTAMO],$A2)</f>
        <v>13000000</v>
      </c>
      <c r="F2" s="52">
        <f>-SUMIFS(FINANCIACION[$ CAPITAL],
FINANCIACION[Fecha],"&lt;="&amp;EOMONTH(F$1,0),
FINANCIACION[PRESTAMO],$A2)</f>
        <v>13000000</v>
      </c>
      <c r="G2" s="52">
        <f>-SUMIFS(FINANCIACION[$ CAPITAL],
FINANCIACION[Fecha],"&lt;="&amp;EOMONTH(G$1,0),
FINANCIACION[PRESTAMO],$A2)</f>
        <v>13000000</v>
      </c>
      <c r="H2" s="52">
        <f>-SUMIFS(FINANCIACION[$ CAPITAL],
FINANCIACION[Fecha],"&lt;="&amp;EOMONTH(H$1,0),
FINANCIACION[PRESTAMO],$A2)</f>
        <v>13000000</v>
      </c>
      <c r="I2" s="52">
        <f>-SUMIFS(FINANCIACION[$ CAPITAL],
FINANCIACION[Fecha],"&lt;="&amp;EOMONTH(I$1,0),
FINANCIACION[PRESTAMO],$A2)</f>
        <v>13000000</v>
      </c>
      <c r="J2" s="52">
        <f>-SUMIFS(FINANCIACION[$ CAPITAL],
FINANCIACION[Fecha],"&lt;="&amp;EOMONTH(J$1,0),
FINANCIACION[PRESTAMO],$A2)</f>
        <v>13000000</v>
      </c>
      <c r="K2" s="52">
        <f>-SUMIFS(FINANCIACION[$ CAPITAL],
FINANCIACION[Fecha],"&lt;="&amp;EOMONTH(K$1,0),
FINANCIACION[PRESTAMO],$A2)</f>
        <v>13000000</v>
      </c>
      <c r="L2" s="52">
        <f>-SUMIFS(FINANCIACION[$ CAPITAL],
FINANCIACION[Fecha],"&lt;="&amp;EOMONTH(L$1,0),
FINANCIACION[PRESTAMO],$A2)</f>
        <v>13000000</v>
      </c>
      <c r="M2" s="52">
        <f>-SUMIFS(FINANCIACION[$ CAPITAL],
FINANCIACION[Fecha],"&lt;="&amp;EOMONTH(M$1,0),
FINANCIACION[PRESTAMO],$A2)</f>
        <v>13000000</v>
      </c>
      <c r="N2" s="52">
        <f>-SUMIFS(FINANCIACION[$ CAPITAL],
FINANCIACION[Fecha],"&lt;="&amp;EOMONTH(N$1,0),
FINANCIACION[PRESTAMO],$A2)</f>
        <v>13000000</v>
      </c>
      <c r="O2" s="52">
        <f>-SUMIFS(FINANCIACION[$ CAPITAL],
FINANCIACION[Fecha],"&lt;="&amp;EOMONTH(O$1,0),
FINANCIACION[PRESTAMO],$A2)</f>
        <v>13000000</v>
      </c>
      <c r="P2" s="52">
        <f>-SUMIFS(FINANCIACION[$ CAPITAL],
FINANCIACION[Fecha],"&lt;="&amp;EOMONTH(P$1,0),
FINANCIACION[PRESTAMO],$A2)</f>
        <v>13000000</v>
      </c>
      <c r="Q2" s="52">
        <f>-SUMIFS(FINANCIACION[$ CAPITAL],
FINANCIACION[Fecha],"&lt;="&amp;EOMONTH(Q$1,0),
FINANCIACION[PRESTAMO],$A2)</f>
        <v>13000000</v>
      </c>
    </row>
    <row r="3" spans="1:17" ht="21.6" customHeight="1" x14ac:dyDescent="0.25">
      <c r="A3" s="41" t="s">
        <v>711</v>
      </c>
      <c r="B3" s="52">
        <f>-SUMIFS(FINANCIACION[$ CAPITAL],
FINANCIACION[Fecha],"&lt;="&amp;EOMONTH(B$1,0),
FINANCIACION[PRESTAMO],$A3)</f>
        <v>0</v>
      </c>
      <c r="C3" s="52">
        <f>-SUMIFS(FINANCIACION[$ CAPITAL],
FINANCIACION[Fecha],"&lt;="&amp;EOMONTH(C$1,0),
FINANCIACION[PRESTAMO],$A3)</f>
        <v>0</v>
      </c>
      <c r="D3" s="52">
        <f>-SUMIFS(FINANCIACION[$ CAPITAL],
FINANCIACION[Fecha],"&lt;="&amp;EOMONTH(D$1,0),
FINANCIACION[PRESTAMO],$A3)</f>
        <v>0</v>
      </c>
      <c r="E3" s="52">
        <f>-SUMIFS(FINANCIACION[$ CAPITAL],
FINANCIACION[Fecha],"&lt;="&amp;EOMONTH(E$1,0),
FINANCIACION[PRESTAMO],$A3)</f>
        <v>0</v>
      </c>
      <c r="F3" s="52">
        <f>-SUMIFS(FINANCIACION[$ CAPITAL],
FINANCIACION[Fecha],"&lt;="&amp;EOMONTH(F$1,0),
FINANCIACION[PRESTAMO],$A3)</f>
        <v>0</v>
      </c>
      <c r="G3" s="52">
        <f>-SUMIFS(FINANCIACION[$ CAPITAL],
FINANCIACION[Fecha],"&lt;="&amp;EOMONTH(G$1,0),
FINANCIACION[PRESTAMO],$A3)</f>
        <v>0</v>
      </c>
      <c r="H3" s="52">
        <f>-SUMIFS(FINANCIACION[$ CAPITAL],
FINANCIACION[Fecha],"&lt;="&amp;EOMONTH(H$1,0),
FINANCIACION[PRESTAMO],$A3)</f>
        <v>0</v>
      </c>
      <c r="I3" s="52">
        <f>-SUMIFS(FINANCIACION[$ CAPITAL],
FINANCIACION[Fecha],"&lt;="&amp;EOMONTH(I$1,0),
FINANCIACION[PRESTAMO],$A3)</f>
        <v>0</v>
      </c>
      <c r="J3" s="52">
        <f>-SUMIFS(FINANCIACION[$ CAPITAL],
FINANCIACION[Fecha],"&lt;="&amp;EOMONTH(J$1,0),
FINANCIACION[PRESTAMO],$A3)</f>
        <v>0</v>
      </c>
      <c r="K3" s="52">
        <f>-SUMIFS(FINANCIACION[$ CAPITAL],
FINANCIACION[Fecha],"&lt;="&amp;EOMONTH(K$1,0),
FINANCIACION[PRESTAMO],$A3)</f>
        <v>0</v>
      </c>
      <c r="L3" s="52">
        <f>-SUMIFS(FINANCIACION[$ CAPITAL],
FINANCIACION[Fecha],"&lt;="&amp;EOMONTH(L$1,0),
FINANCIACION[PRESTAMO],$A3)</f>
        <v>0</v>
      </c>
      <c r="M3" s="52">
        <f>-SUMIFS(FINANCIACION[$ CAPITAL],
FINANCIACION[Fecha],"&lt;="&amp;EOMONTH(M$1,0),
FINANCIACION[PRESTAMO],$A3)</f>
        <v>0</v>
      </c>
      <c r="N3" s="52">
        <f>-SUMIFS(FINANCIACION[$ CAPITAL],
FINANCIACION[Fecha],"&lt;="&amp;EOMONTH(N$1,0),
FINANCIACION[PRESTAMO],$A3)</f>
        <v>0</v>
      </c>
      <c r="O3" s="52">
        <f>-SUMIFS(FINANCIACION[$ CAPITAL],
FINANCIACION[Fecha],"&lt;="&amp;EOMONTH(O$1,0),
FINANCIACION[PRESTAMO],$A3)</f>
        <v>0</v>
      </c>
      <c r="P3" s="52">
        <f>-SUMIFS(FINANCIACION[$ CAPITAL],
FINANCIACION[Fecha],"&lt;="&amp;EOMONTH(P$1,0),
FINANCIACION[PRESTAMO],$A3)</f>
        <v>0</v>
      </c>
      <c r="Q3" s="52">
        <f>-SUMIFS(FINANCIACION[$ CAPITAL],
FINANCIACION[Fecha],"&lt;="&amp;EOMONTH(Q$1,0),
FINANCIACION[PRESTAMO],$A3)</f>
        <v>70000000</v>
      </c>
    </row>
    <row r="4" spans="1:17" ht="21.6" customHeight="1" x14ac:dyDescent="0.25">
      <c r="A4" s="41" t="s">
        <v>367</v>
      </c>
      <c r="B4" s="52">
        <f>-SUMIFS(FINANCIACION[$ CAPITAL],
FINANCIACION[Fecha],"&lt;="&amp;EOMONTH(B$1,0),
FINANCIACION[PRESTAMO],$A4)</f>
        <v>75000000</v>
      </c>
      <c r="C4" s="52">
        <f>-SUMIFS(FINANCIACION[$ CAPITAL],
FINANCIACION[Fecha],"&lt;="&amp;EOMONTH(C$1,0),
FINANCIACION[PRESTAMO],$A4)</f>
        <v>75000000</v>
      </c>
      <c r="D4" s="52">
        <f>-SUMIFS(FINANCIACION[$ CAPITAL],
FINANCIACION[Fecha],"&lt;="&amp;EOMONTH(D$1,0),
FINANCIACION[PRESTAMO],$A4)</f>
        <v>75000000</v>
      </c>
      <c r="E4" s="52">
        <f>-SUMIFS(FINANCIACION[$ CAPITAL],
FINANCIACION[Fecha],"&lt;="&amp;EOMONTH(E$1,0),
FINANCIACION[PRESTAMO],$A4)</f>
        <v>75000000</v>
      </c>
      <c r="F4" s="52">
        <f>-SUMIFS(FINANCIACION[$ CAPITAL],
FINANCIACION[Fecha],"&lt;="&amp;EOMONTH(F$1,0),
FINANCIACION[PRESTAMO],$A4)</f>
        <v>75000000</v>
      </c>
      <c r="G4" s="52">
        <f>-SUMIFS(FINANCIACION[$ CAPITAL],
FINANCIACION[Fecha],"&lt;="&amp;EOMONTH(G$1,0),
FINANCIACION[PRESTAMO],$A4)</f>
        <v>75000000</v>
      </c>
      <c r="H4" s="52">
        <f>-SUMIFS(FINANCIACION[$ CAPITAL],
FINANCIACION[Fecha],"&lt;="&amp;EOMONTH(H$1,0),
FINANCIACION[PRESTAMO],$A4)</f>
        <v>75000000</v>
      </c>
      <c r="I4" s="52">
        <f>-SUMIFS(FINANCIACION[$ CAPITAL],
FINANCIACION[Fecha],"&lt;="&amp;EOMONTH(I$1,0),
FINANCIACION[PRESTAMO],$A4)</f>
        <v>75000000</v>
      </c>
      <c r="J4" s="52">
        <f>-SUMIFS(FINANCIACION[$ CAPITAL],
FINANCIACION[Fecha],"&lt;="&amp;EOMONTH(J$1,0),
FINANCIACION[PRESTAMO],$A4)</f>
        <v>75000000</v>
      </c>
      <c r="K4" s="52">
        <f>-SUMIFS(FINANCIACION[$ CAPITAL],
FINANCIACION[Fecha],"&lt;="&amp;EOMONTH(K$1,0),
FINANCIACION[PRESTAMO],$A4)</f>
        <v>75000000</v>
      </c>
      <c r="L4" s="52">
        <f>-SUMIFS(FINANCIACION[$ CAPITAL],
FINANCIACION[Fecha],"&lt;="&amp;EOMONTH(L$1,0),
FINANCIACION[PRESTAMO],$A4)</f>
        <v>75000000</v>
      </c>
      <c r="M4" s="52">
        <f>-SUMIFS(FINANCIACION[$ CAPITAL],
FINANCIACION[Fecha],"&lt;="&amp;EOMONTH(M$1,0),
FINANCIACION[PRESTAMO],$A4)</f>
        <v>75000000</v>
      </c>
      <c r="N4" s="52">
        <f>-SUMIFS(FINANCIACION[$ CAPITAL],
FINANCIACION[Fecha],"&lt;="&amp;EOMONTH(N$1,0),
FINANCIACION[PRESTAMO],$A4)</f>
        <v>75000000</v>
      </c>
      <c r="O4" s="52">
        <f>-SUMIFS(FINANCIACION[$ CAPITAL],
FINANCIACION[Fecha],"&lt;="&amp;EOMONTH(O$1,0),
FINANCIACION[PRESTAMO],$A4)</f>
        <v>75000000</v>
      </c>
      <c r="P4" s="52">
        <f>-SUMIFS(FINANCIACION[$ CAPITAL],
FINANCIACION[Fecha],"&lt;="&amp;EOMONTH(P$1,0),
FINANCIACION[PRESTAMO],$A4)</f>
        <v>75000000</v>
      </c>
      <c r="Q4" s="52">
        <f>-SUMIFS(FINANCIACION[$ CAPITAL],
FINANCIACION[Fecha],"&lt;="&amp;EOMONTH(Q$1,0),
FINANCIACION[PRESTAMO],$A4)</f>
        <v>80000000</v>
      </c>
    </row>
    <row r="5" spans="1:17" ht="21.6" customHeight="1" x14ac:dyDescent="0.25">
      <c r="A5" s="41" t="s">
        <v>371</v>
      </c>
      <c r="B5" s="52">
        <f>-SUMIFS(FINANCIACION[$ CAPITAL],
FINANCIACION[Fecha],"&lt;="&amp;EOMONTH(B$1,0),
FINANCIACION[PRESTAMO],$A5)</f>
        <v>40000000</v>
      </c>
      <c r="C5" s="52">
        <f>-SUMIFS(FINANCIACION[$ CAPITAL],
FINANCIACION[Fecha],"&lt;="&amp;EOMONTH(C$1,0),
FINANCIACION[PRESTAMO],$A5)</f>
        <v>40000000</v>
      </c>
      <c r="D5" s="52">
        <f>-SUMIFS(FINANCIACION[$ CAPITAL],
FINANCIACION[Fecha],"&lt;="&amp;EOMONTH(D$1,0),
FINANCIACION[PRESTAMO],$A5)</f>
        <v>40000000</v>
      </c>
      <c r="E5" s="52">
        <f>-SUMIFS(FINANCIACION[$ CAPITAL],
FINANCIACION[Fecha],"&lt;="&amp;EOMONTH(E$1,0),
FINANCIACION[PRESTAMO],$A5)</f>
        <v>35000000</v>
      </c>
      <c r="F5" s="52">
        <f>-SUMIFS(FINANCIACION[$ CAPITAL],
FINANCIACION[Fecha],"&lt;="&amp;EOMONTH(F$1,0),
FINANCIACION[PRESTAMO],$A5)</f>
        <v>35000000</v>
      </c>
      <c r="G5" s="52">
        <f>-SUMIFS(FINANCIACION[$ CAPITAL],
FINANCIACION[Fecha],"&lt;="&amp;EOMONTH(G$1,0),
FINANCIACION[PRESTAMO],$A5)</f>
        <v>35000000</v>
      </c>
      <c r="H5" s="52">
        <f>-SUMIFS(FINANCIACION[$ CAPITAL],
FINANCIACION[Fecha],"&lt;="&amp;EOMONTH(H$1,0),
FINANCIACION[PRESTAMO],$A5)</f>
        <v>35000000</v>
      </c>
      <c r="I5" s="52">
        <f>-SUMIFS(FINANCIACION[$ CAPITAL],
FINANCIACION[Fecha],"&lt;="&amp;EOMONTH(I$1,0),
FINANCIACION[PRESTAMO],$A5)</f>
        <v>35000000</v>
      </c>
      <c r="J5" s="52">
        <f>-SUMIFS(FINANCIACION[$ CAPITAL],
FINANCIACION[Fecha],"&lt;="&amp;EOMONTH(J$1,0),
FINANCIACION[PRESTAMO],$A5)</f>
        <v>35000000</v>
      </c>
      <c r="K5" s="52">
        <f>-SUMIFS(FINANCIACION[$ CAPITAL],
FINANCIACION[Fecha],"&lt;="&amp;EOMONTH(K$1,0),
FINANCIACION[PRESTAMO],$A5)</f>
        <v>35000000</v>
      </c>
      <c r="L5" s="52">
        <f>-SUMIFS(FINANCIACION[$ CAPITAL],
FINANCIACION[Fecha],"&lt;="&amp;EOMONTH(L$1,0),
FINANCIACION[PRESTAMO],$A5)</f>
        <v>35000000</v>
      </c>
      <c r="M5" s="52">
        <f>-SUMIFS(FINANCIACION[$ CAPITAL],
FINANCIACION[Fecha],"&lt;="&amp;EOMONTH(M$1,0),
FINANCIACION[PRESTAMO],$A5)</f>
        <v>35000000</v>
      </c>
      <c r="N5" s="52">
        <f>-SUMIFS(FINANCIACION[$ CAPITAL],
FINANCIACION[Fecha],"&lt;="&amp;EOMONTH(N$1,0),
FINANCIACION[PRESTAMO],$A5)</f>
        <v>35000000</v>
      </c>
      <c r="O5" s="52">
        <f>-SUMIFS(FINANCIACION[$ CAPITAL],
FINANCIACION[Fecha],"&lt;="&amp;EOMONTH(O$1,0),
FINANCIACION[PRESTAMO],$A5)</f>
        <v>35000000</v>
      </c>
      <c r="P5" s="52">
        <f>-SUMIFS(FINANCIACION[$ CAPITAL],
FINANCIACION[Fecha],"&lt;="&amp;EOMONTH(P$1,0),
FINANCIACION[PRESTAMO],$A5)</f>
        <v>35000000</v>
      </c>
      <c r="Q5" s="52">
        <f>-SUMIFS(FINANCIACION[$ CAPITAL],
FINANCIACION[Fecha],"&lt;="&amp;EOMONTH(Q$1,0),
FINANCIACION[PRESTAMO],$A5)</f>
        <v>35000000</v>
      </c>
    </row>
    <row r="6" spans="1:17" ht="21.6" customHeight="1" x14ac:dyDescent="0.25">
      <c r="A6" s="41" t="s">
        <v>363</v>
      </c>
      <c r="B6" s="52">
        <f>-SUMIFS(FINANCIACION[$ CAPITAL],
FINANCIACION[Fecha],"&lt;="&amp;EOMONTH(B$1,0),
FINANCIACION[PRESTAMO],$A6)</f>
        <v>67269713.491023555</v>
      </c>
      <c r="C6" s="52">
        <f>-SUMIFS(FINANCIACION[$ CAPITAL],
FINANCIACION[Fecha],"&lt;="&amp;EOMONTH(C$1,0),
FINANCIACION[PRESTAMO],$A6)</f>
        <v>67269713.491023555</v>
      </c>
      <c r="D6" s="52">
        <f>-SUMIFS(FINANCIACION[$ CAPITAL],
FINANCIACION[Fecha],"&lt;="&amp;EOMONTH(D$1,0),
FINANCIACION[PRESTAMO],$A6)</f>
        <v>67269713.491023555</v>
      </c>
      <c r="E6" s="52">
        <f>-SUMIFS(FINANCIACION[$ CAPITAL],
FINANCIACION[Fecha],"&lt;="&amp;EOMONTH(E$1,0),
FINANCIACION[PRESTAMO],$A6)</f>
        <v>41855913.484479994</v>
      </c>
      <c r="F6" s="52">
        <f>-SUMIFS(FINANCIACION[$ CAPITAL],
FINANCIACION[Fecha],"&lt;="&amp;EOMONTH(F$1,0),
FINANCIACION[PRESTAMO],$A6)</f>
        <v>41855913.484479994</v>
      </c>
      <c r="G6" s="52">
        <f>-SUMIFS(FINANCIACION[$ CAPITAL],
FINANCIACION[Fecha],"&lt;="&amp;EOMONTH(G$1,0),
FINANCIACION[PRESTAMO],$A6)</f>
        <v>41855913.484479994</v>
      </c>
      <c r="H6" s="52">
        <f>-SUMIFS(FINANCIACION[$ CAPITAL],
FINANCIACION[Fecha],"&lt;="&amp;EOMONTH(H$1,0),
FINANCIACION[PRESTAMO],$A6)</f>
        <v>41855913.484479994</v>
      </c>
      <c r="I6" s="52">
        <f>-SUMIFS(FINANCIACION[$ CAPITAL],
FINANCIACION[Fecha],"&lt;="&amp;EOMONTH(I$1,0),
FINANCIACION[PRESTAMO],$A6)</f>
        <v>41855913.484479994</v>
      </c>
      <c r="J6" s="52">
        <f>-SUMIFS(FINANCIACION[$ CAPITAL],
FINANCIACION[Fecha],"&lt;="&amp;EOMONTH(J$1,0),
FINANCIACION[PRESTAMO],$A6)</f>
        <v>41855913.484479994</v>
      </c>
      <c r="K6" s="52">
        <f>-SUMIFS(FINANCIACION[$ CAPITAL],
FINANCIACION[Fecha],"&lt;="&amp;EOMONTH(K$1,0),
FINANCIACION[PRESTAMO],$A6)</f>
        <v>41855913.484479994</v>
      </c>
      <c r="L6" s="52">
        <f>-SUMIFS(FINANCIACION[$ CAPITAL],
FINANCIACION[Fecha],"&lt;="&amp;EOMONTH(L$1,0),
FINANCIACION[PRESTAMO],$A6)</f>
        <v>41855913.484479994</v>
      </c>
      <c r="M6" s="52">
        <f>-SUMIFS(FINANCIACION[$ CAPITAL],
FINANCIACION[Fecha],"&lt;="&amp;EOMONTH(M$1,0),
FINANCIACION[PRESTAMO],$A6)</f>
        <v>41855913.484479994</v>
      </c>
      <c r="N6" s="52">
        <f>-SUMIFS(FINANCIACION[$ CAPITAL],
FINANCIACION[Fecha],"&lt;="&amp;EOMONTH(N$1,0),
FINANCIACION[PRESTAMO],$A6)</f>
        <v>41855913.484479994</v>
      </c>
      <c r="O6" s="52">
        <f>-SUMIFS(FINANCIACION[$ CAPITAL],
FINANCIACION[Fecha],"&lt;="&amp;EOMONTH(O$1,0),
FINANCIACION[PRESTAMO],$A6)</f>
        <v>41855913.484479994</v>
      </c>
      <c r="P6" s="52">
        <f>-SUMIFS(FINANCIACION[$ CAPITAL],
FINANCIACION[Fecha],"&lt;="&amp;EOMONTH(P$1,0),
FINANCIACION[PRESTAMO],$A6)</f>
        <v>41855913.484479994</v>
      </c>
      <c r="Q6" s="52">
        <f>-SUMIFS(FINANCIACION[$ CAPITAL],
FINANCIACION[Fecha],"&lt;="&amp;EOMONTH(Q$1,0),
FINANCIACION[PRESTAMO],$A6)</f>
        <v>28922953.379624795</v>
      </c>
    </row>
    <row r="7" spans="1:17" ht="21.6" customHeight="1" x14ac:dyDescent="0.25">
      <c r="A7" s="41" t="s">
        <v>372</v>
      </c>
      <c r="B7" s="52">
        <f>-SUMIFS(FINANCIACION[$ CAPITAL],
FINANCIACION[Fecha],"&lt;="&amp;EOMONTH(B$1,0),
FINANCIACION[PRESTAMO],$A7)</f>
        <v>0</v>
      </c>
      <c r="C7" s="52">
        <f>-SUMIFS(FINANCIACION[$ CAPITAL],
FINANCIACION[Fecha],"&lt;="&amp;EOMONTH(C$1,0),
FINANCIACION[PRESTAMO],$A7)</f>
        <v>0</v>
      </c>
      <c r="D7" s="52">
        <f>-SUMIFS(FINANCIACION[$ CAPITAL],
FINANCIACION[Fecha],"&lt;="&amp;EOMONTH(D$1,0),
FINANCIACION[PRESTAMO],$A7)</f>
        <v>0</v>
      </c>
      <c r="E7" s="52">
        <f>-SUMIFS(FINANCIACION[$ CAPITAL],
FINANCIACION[Fecha],"&lt;="&amp;EOMONTH(E$1,0),
FINANCIACION[PRESTAMO],$A7)</f>
        <v>0</v>
      </c>
      <c r="F7" s="52">
        <f>-SUMIFS(FINANCIACION[$ CAPITAL],
FINANCIACION[Fecha],"&lt;="&amp;EOMONTH(F$1,0),
FINANCIACION[PRESTAMO],$A7)</f>
        <v>0</v>
      </c>
      <c r="G7" s="52">
        <f>-SUMIFS(FINANCIACION[$ CAPITAL],
FINANCIACION[Fecha],"&lt;="&amp;EOMONTH(G$1,0),
FINANCIACION[PRESTAMO],$A7)</f>
        <v>0</v>
      </c>
      <c r="H7" s="52">
        <f>-SUMIFS(FINANCIACION[$ CAPITAL],
FINANCIACION[Fecha],"&lt;="&amp;EOMONTH(H$1,0),
FINANCIACION[PRESTAMO],$A7)</f>
        <v>0</v>
      </c>
      <c r="I7" s="52">
        <f>-SUMIFS(FINANCIACION[$ CAPITAL],
FINANCIACION[Fecha],"&lt;="&amp;EOMONTH(I$1,0),
FINANCIACION[PRESTAMO],$A7)</f>
        <v>0</v>
      </c>
      <c r="J7" s="52">
        <f>-SUMIFS(FINANCIACION[$ CAPITAL],
FINANCIACION[Fecha],"&lt;="&amp;EOMONTH(J$1,0),
FINANCIACION[PRESTAMO],$A7)</f>
        <v>0</v>
      </c>
      <c r="K7" s="52">
        <f>-SUMIFS(FINANCIACION[$ CAPITAL],
FINANCIACION[Fecha],"&lt;="&amp;EOMONTH(K$1,0),
FINANCIACION[PRESTAMO],$A7)</f>
        <v>0</v>
      </c>
      <c r="L7" s="52">
        <f>-SUMIFS(FINANCIACION[$ CAPITAL],
FINANCIACION[Fecha],"&lt;="&amp;EOMONTH(L$1,0),
FINANCIACION[PRESTAMO],$A7)</f>
        <v>0</v>
      </c>
      <c r="M7" s="52">
        <f>-SUMIFS(FINANCIACION[$ CAPITAL],
FINANCIACION[Fecha],"&lt;="&amp;EOMONTH(M$1,0),
FINANCIACION[PRESTAMO],$A7)</f>
        <v>0</v>
      </c>
      <c r="N7" s="52">
        <f>-SUMIFS(FINANCIACION[$ CAPITAL],
FINANCIACION[Fecha],"&lt;="&amp;EOMONTH(N$1,0),
FINANCIACION[PRESTAMO],$A7)</f>
        <v>0</v>
      </c>
      <c r="O7" s="52">
        <f>-SUMIFS(FINANCIACION[$ CAPITAL],
FINANCIACION[Fecha],"&lt;="&amp;EOMONTH(O$1,0),
FINANCIACION[PRESTAMO],$A7)</f>
        <v>0</v>
      </c>
      <c r="P7" s="52">
        <f>-SUMIFS(FINANCIACION[$ CAPITAL],
FINANCIACION[Fecha],"&lt;="&amp;EOMONTH(P$1,0),
FINANCIACION[PRESTAMO],$A7)</f>
        <v>0</v>
      </c>
      <c r="Q7" s="52">
        <f>-SUMIFS(FINANCIACION[$ CAPITAL],
FINANCIACION[Fecha],"&lt;="&amp;EOMONTH(Q$1,0),
FINANCIACION[PRESTAMO],$A7)</f>
        <v>30000000</v>
      </c>
    </row>
    <row r="8" spans="1:17" ht="21.6" customHeight="1" x14ac:dyDescent="0.25">
      <c r="A8" s="41" t="s">
        <v>366</v>
      </c>
      <c r="B8" s="52">
        <f>-SUMIFS(FINANCIACION[$ CAPITAL],
FINANCIACION[Fecha],"&lt;="&amp;EOMONTH(B$1,0),
FINANCIACION[PRESTAMO],$A8)</f>
        <v>52764821.029823728</v>
      </c>
      <c r="C8" s="52">
        <f>-SUMIFS(FINANCIACION[$ CAPITAL],
FINANCIACION[Fecha],"&lt;="&amp;EOMONTH(C$1,0),
FINANCIACION[PRESTAMO],$A8)</f>
        <v>52764821.029823728</v>
      </c>
      <c r="D8" s="52">
        <f>-SUMIFS(FINANCIACION[$ CAPITAL],
FINANCIACION[Fecha],"&lt;="&amp;EOMONTH(D$1,0),
FINANCIACION[PRESTAMO],$A8)</f>
        <v>52764821.029823728</v>
      </c>
      <c r="E8" s="52">
        <f>-SUMIFS(FINANCIACION[$ CAPITAL],
FINANCIACION[Fecha],"&lt;="&amp;EOMONTH(E$1,0),
FINANCIACION[PRESTAMO],$A8)</f>
        <v>22969171.199762128</v>
      </c>
      <c r="F8" s="52">
        <f>-SUMIFS(FINANCIACION[$ CAPITAL],
FINANCIACION[Fecha],"&lt;="&amp;EOMONTH(F$1,0),
FINANCIACION[PRESTAMO],$A8)</f>
        <v>22969171.199762128</v>
      </c>
      <c r="G8" s="52">
        <f>-SUMIFS(FINANCIACION[$ CAPITAL],
FINANCIACION[Fecha],"&lt;="&amp;EOMONTH(G$1,0),
FINANCIACION[PRESTAMO],$A8)</f>
        <v>22969171.199762128</v>
      </c>
      <c r="H8" s="52">
        <f>-SUMIFS(FINANCIACION[$ CAPITAL],
FINANCIACION[Fecha],"&lt;="&amp;EOMONTH(H$1,0),
FINANCIACION[PRESTAMO],$A8)</f>
        <v>22969171.199762128</v>
      </c>
      <c r="I8" s="52">
        <f>-SUMIFS(FINANCIACION[$ CAPITAL],
FINANCIACION[Fecha],"&lt;="&amp;EOMONTH(I$1,0),
FINANCIACION[PRESTAMO],$A8)</f>
        <v>22969171.199762128</v>
      </c>
      <c r="J8" s="52">
        <f>-SUMIFS(FINANCIACION[$ CAPITAL],
FINANCIACION[Fecha],"&lt;="&amp;EOMONTH(J$1,0),
FINANCIACION[PRESTAMO],$A8)</f>
        <v>22969171.199762128</v>
      </c>
      <c r="K8" s="52">
        <f>-SUMIFS(FINANCIACION[$ CAPITAL],
FINANCIACION[Fecha],"&lt;="&amp;EOMONTH(K$1,0),
FINANCIACION[PRESTAMO],$A8)</f>
        <v>22969171.199762128</v>
      </c>
      <c r="L8" s="52">
        <f>-SUMIFS(FINANCIACION[$ CAPITAL],
FINANCIACION[Fecha],"&lt;="&amp;EOMONTH(L$1,0),
FINANCIACION[PRESTAMO],$A8)</f>
        <v>22969171.199762128</v>
      </c>
      <c r="M8" s="52">
        <f>-SUMIFS(FINANCIACION[$ CAPITAL],
FINANCIACION[Fecha],"&lt;="&amp;EOMONTH(M$1,0),
FINANCIACION[PRESTAMO],$A8)</f>
        <v>22969171.199762128</v>
      </c>
      <c r="N8" s="52">
        <f>-SUMIFS(FINANCIACION[$ CAPITAL],
FINANCIACION[Fecha],"&lt;="&amp;EOMONTH(N$1,0),
FINANCIACION[PRESTAMO],$A8)</f>
        <v>22969171.199762128</v>
      </c>
      <c r="O8" s="52">
        <f>-SUMIFS(FINANCIACION[$ CAPITAL],
FINANCIACION[Fecha],"&lt;="&amp;EOMONTH(O$1,0),
FINANCIACION[PRESTAMO],$A8)</f>
        <v>22969171.199762128</v>
      </c>
      <c r="P8" s="52">
        <f>-SUMIFS(FINANCIACION[$ CAPITAL],
FINANCIACION[Fecha],"&lt;="&amp;EOMONTH(P$1,0),
FINANCIACION[PRESTAMO],$A8)</f>
        <v>22969171.199762128</v>
      </c>
      <c r="Q8" s="52">
        <f>-SUMIFS(FINANCIACION[$ CAPITAL],
FINANCIACION[Fecha],"&lt;="&amp;EOMONTH(Q$1,0),
FINANCIACION[PRESTAMO],$A8)</f>
        <v>9761408.9522773474</v>
      </c>
    </row>
    <row r="9" spans="1:17" ht="21.6" customHeight="1" x14ac:dyDescent="0.25">
      <c r="A9" s="41" t="s">
        <v>364</v>
      </c>
      <c r="B9" s="52">
        <f>-SUMIFS(FINANCIACION[$ CAPITAL],
FINANCIACION[Fecha],"&lt;="&amp;EOMONTH(B$1,0),
FINANCIACION[PRESTAMO],$A9)</f>
        <v>70056416.72662659</v>
      </c>
      <c r="C9" s="52">
        <f>-SUMIFS(FINANCIACION[$ CAPITAL],
FINANCIACION[Fecha],"&lt;="&amp;EOMONTH(C$1,0),
FINANCIACION[PRESTAMO],$A9)</f>
        <v>70056416.72662659</v>
      </c>
      <c r="D9" s="52">
        <f>-SUMIFS(FINANCIACION[$ CAPITAL],
FINANCIACION[Fecha],"&lt;="&amp;EOMONTH(D$1,0),
FINANCIACION[PRESTAMO],$A9)</f>
        <v>70056416.72662659</v>
      </c>
      <c r="E9" s="52">
        <f>-SUMIFS(FINANCIACION[$ CAPITAL],
FINANCIACION[Fecha],"&lt;="&amp;EOMONTH(E$1,0),
FINANCIACION[PRESTAMO],$A9)</f>
        <v>55651652.132834516</v>
      </c>
      <c r="F9" s="52">
        <f>-SUMIFS(FINANCIACION[$ CAPITAL],
FINANCIACION[Fecha],"&lt;="&amp;EOMONTH(F$1,0),
FINANCIACION[PRESTAMO],$A9)</f>
        <v>55651652.132834516</v>
      </c>
      <c r="G9" s="52">
        <f>-SUMIFS(FINANCIACION[$ CAPITAL],
FINANCIACION[Fecha],"&lt;="&amp;EOMONTH(G$1,0),
FINANCIACION[PRESTAMO],$A9)</f>
        <v>55651652.132834516</v>
      </c>
      <c r="H9" s="52">
        <f>-SUMIFS(FINANCIACION[$ CAPITAL],
FINANCIACION[Fecha],"&lt;="&amp;EOMONTH(H$1,0),
FINANCIACION[PRESTAMO],$A9)</f>
        <v>55651652.132834516</v>
      </c>
      <c r="I9" s="52">
        <f>-SUMIFS(FINANCIACION[$ CAPITAL],
FINANCIACION[Fecha],"&lt;="&amp;EOMONTH(I$1,0),
FINANCIACION[PRESTAMO],$A9)</f>
        <v>55651652.132834516</v>
      </c>
      <c r="J9" s="52">
        <f>-SUMIFS(FINANCIACION[$ CAPITAL],
FINANCIACION[Fecha],"&lt;="&amp;EOMONTH(J$1,0),
FINANCIACION[PRESTAMO],$A9)</f>
        <v>55651652.132834516</v>
      </c>
      <c r="K9" s="52">
        <f>-SUMIFS(FINANCIACION[$ CAPITAL],
FINANCIACION[Fecha],"&lt;="&amp;EOMONTH(K$1,0),
FINANCIACION[PRESTAMO],$A9)</f>
        <v>55651652.132834516</v>
      </c>
      <c r="L9" s="52">
        <f>-SUMIFS(FINANCIACION[$ CAPITAL],
FINANCIACION[Fecha],"&lt;="&amp;EOMONTH(L$1,0),
FINANCIACION[PRESTAMO],$A9)</f>
        <v>55651652.132834516</v>
      </c>
      <c r="M9" s="52">
        <f>-SUMIFS(FINANCIACION[$ CAPITAL],
FINANCIACION[Fecha],"&lt;="&amp;EOMONTH(M$1,0),
FINANCIACION[PRESTAMO],$A9)</f>
        <v>55651652.132834516</v>
      </c>
      <c r="N9" s="52">
        <f>-SUMIFS(FINANCIACION[$ CAPITAL],
FINANCIACION[Fecha],"&lt;="&amp;EOMONTH(N$1,0),
FINANCIACION[PRESTAMO],$A9)</f>
        <v>55651652.132834516</v>
      </c>
      <c r="O9" s="52">
        <f>-SUMIFS(FINANCIACION[$ CAPITAL],
FINANCIACION[Fecha],"&lt;="&amp;EOMONTH(O$1,0),
FINANCIACION[PRESTAMO],$A9)</f>
        <v>55651652.132834516</v>
      </c>
      <c r="P9" s="52">
        <f>-SUMIFS(FINANCIACION[$ CAPITAL],
FINANCIACION[Fecha],"&lt;="&amp;EOMONTH(P$1,0),
FINANCIACION[PRESTAMO],$A9)</f>
        <v>55651652.132834516</v>
      </c>
      <c r="Q9" s="52">
        <f>-SUMIFS(FINANCIACION[$ CAPITAL],
FINANCIACION[Fecha],"&lt;="&amp;EOMONTH(Q$1,0),
FINANCIACION[PRESTAMO],$A9)</f>
        <v>38807298.632562868</v>
      </c>
    </row>
    <row r="10" spans="1:17" ht="21.6" customHeight="1" x14ac:dyDescent="0.25">
      <c r="A10" s="41" t="s">
        <v>374</v>
      </c>
      <c r="B10" s="52">
        <f>-SUMIFS(FINANCIACION[$ CAPITAL],
FINANCIACION[Fecha],"&lt;="&amp;EOMONTH(B$1,0),
FINANCIACION[PRESTAMO],$A10)</f>
        <v>0</v>
      </c>
      <c r="C10" s="52">
        <f>-SUMIFS(FINANCIACION[$ CAPITAL],
FINANCIACION[Fecha],"&lt;="&amp;EOMONTH(C$1,0),
FINANCIACION[PRESTAMO],$A10)</f>
        <v>0</v>
      </c>
      <c r="D10" s="52">
        <f>-SUMIFS(FINANCIACION[$ CAPITAL],
FINANCIACION[Fecha],"&lt;="&amp;EOMONTH(D$1,0),
FINANCIACION[PRESTAMO],$A10)</f>
        <v>0</v>
      </c>
      <c r="E10" s="52">
        <f>-SUMIFS(FINANCIACION[$ CAPITAL],
FINANCIACION[Fecha],"&lt;="&amp;EOMONTH(E$1,0),
FINANCIACION[PRESTAMO],$A10)</f>
        <v>75000000</v>
      </c>
      <c r="F10" s="52">
        <f>-SUMIFS(FINANCIACION[$ CAPITAL],
FINANCIACION[Fecha],"&lt;="&amp;EOMONTH(F$1,0),
FINANCIACION[PRESTAMO],$A10)</f>
        <v>75000000</v>
      </c>
      <c r="G10" s="52">
        <f>-SUMIFS(FINANCIACION[$ CAPITAL],
FINANCIACION[Fecha],"&lt;="&amp;EOMONTH(G$1,0),
FINANCIACION[PRESTAMO],$A10)</f>
        <v>75000000</v>
      </c>
      <c r="H10" s="52">
        <f>-SUMIFS(FINANCIACION[$ CAPITAL],
FINANCIACION[Fecha],"&lt;="&amp;EOMONTH(H$1,0),
FINANCIACION[PRESTAMO],$A10)</f>
        <v>75000000</v>
      </c>
      <c r="I10" s="52">
        <f>-SUMIFS(FINANCIACION[$ CAPITAL],
FINANCIACION[Fecha],"&lt;="&amp;EOMONTH(I$1,0),
FINANCIACION[PRESTAMO],$A10)</f>
        <v>75000000</v>
      </c>
      <c r="J10" s="52">
        <f>-SUMIFS(FINANCIACION[$ CAPITAL],
FINANCIACION[Fecha],"&lt;="&amp;EOMONTH(J$1,0),
FINANCIACION[PRESTAMO],$A10)</f>
        <v>75000000</v>
      </c>
      <c r="K10" s="52">
        <f>-SUMIFS(FINANCIACION[$ CAPITAL],
FINANCIACION[Fecha],"&lt;="&amp;EOMONTH(K$1,0),
FINANCIACION[PRESTAMO],$A10)</f>
        <v>75000000</v>
      </c>
      <c r="L10" s="52">
        <f>-SUMIFS(FINANCIACION[$ CAPITAL],
FINANCIACION[Fecha],"&lt;="&amp;EOMONTH(L$1,0),
FINANCIACION[PRESTAMO],$A10)</f>
        <v>75000000</v>
      </c>
      <c r="M10" s="52">
        <f>-SUMIFS(FINANCIACION[$ CAPITAL],
FINANCIACION[Fecha],"&lt;="&amp;EOMONTH(M$1,0),
FINANCIACION[PRESTAMO],$A10)</f>
        <v>75000000</v>
      </c>
      <c r="N10" s="52">
        <f>-SUMIFS(FINANCIACION[$ CAPITAL],
FINANCIACION[Fecha],"&lt;="&amp;EOMONTH(N$1,0),
FINANCIACION[PRESTAMO],$A10)</f>
        <v>75000000</v>
      </c>
      <c r="O10" s="52">
        <f>-SUMIFS(FINANCIACION[$ CAPITAL],
FINANCIACION[Fecha],"&lt;="&amp;EOMONTH(O$1,0),
FINANCIACION[PRESTAMO],$A10)</f>
        <v>75000000</v>
      </c>
      <c r="P10" s="52">
        <f>-SUMIFS(FINANCIACION[$ CAPITAL],
FINANCIACION[Fecha],"&lt;="&amp;EOMONTH(P$1,0),
FINANCIACION[PRESTAMO],$A10)</f>
        <v>75000000</v>
      </c>
      <c r="Q10" s="52">
        <f>-SUMIFS(FINANCIACION[$ CAPITAL],
FINANCIACION[Fecha],"&lt;="&amp;EOMONTH(Q$1,0),
FINANCIACION[PRESTAMO],$A10)</f>
        <v>140000000</v>
      </c>
    </row>
    <row r="11" spans="1:17" ht="21.6" customHeight="1" x14ac:dyDescent="0.25">
      <c r="A11" s="41" t="s">
        <v>373</v>
      </c>
      <c r="B11" s="52">
        <f>-SUMIFS(FINANCIACION[$ CAPITAL],
FINANCIACION[Fecha],"&lt;="&amp;EOMONTH(B$1,0),
FINANCIACION[PRESTAMO],$A11)</f>
        <v>0</v>
      </c>
      <c r="C11" s="52">
        <f>-SUMIFS(FINANCIACION[$ CAPITAL],
FINANCIACION[Fecha],"&lt;="&amp;EOMONTH(C$1,0),
FINANCIACION[PRESTAMO],$A11)</f>
        <v>0</v>
      </c>
      <c r="D11" s="52">
        <f>-SUMIFS(FINANCIACION[$ CAPITAL],
FINANCIACION[Fecha],"&lt;="&amp;EOMONTH(D$1,0),
FINANCIACION[PRESTAMO],$A11)</f>
        <v>0</v>
      </c>
      <c r="E11" s="52">
        <f>-SUMIFS(FINANCIACION[$ CAPITAL],
FINANCIACION[Fecha],"&lt;="&amp;EOMONTH(E$1,0),
FINANCIACION[PRESTAMO],$A11)</f>
        <v>0</v>
      </c>
      <c r="F11" s="52">
        <f>-SUMIFS(FINANCIACION[$ CAPITAL],
FINANCIACION[Fecha],"&lt;="&amp;EOMONTH(F$1,0),
FINANCIACION[PRESTAMO],$A11)</f>
        <v>0</v>
      </c>
      <c r="G11" s="52">
        <f>-SUMIFS(FINANCIACION[$ CAPITAL],
FINANCIACION[Fecha],"&lt;="&amp;EOMONTH(G$1,0),
FINANCIACION[PRESTAMO],$A11)</f>
        <v>0</v>
      </c>
      <c r="H11" s="52">
        <f>-SUMIFS(FINANCIACION[$ CAPITAL],
FINANCIACION[Fecha],"&lt;="&amp;EOMONTH(H$1,0),
FINANCIACION[PRESTAMO],$A11)</f>
        <v>0</v>
      </c>
      <c r="I11" s="52">
        <f>-SUMIFS(FINANCIACION[$ CAPITAL],
FINANCIACION[Fecha],"&lt;="&amp;EOMONTH(I$1,0),
FINANCIACION[PRESTAMO],$A11)</f>
        <v>0</v>
      </c>
      <c r="J11" s="52">
        <f>-SUMIFS(FINANCIACION[$ CAPITAL],
FINANCIACION[Fecha],"&lt;="&amp;EOMONTH(J$1,0),
FINANCIACION[PRESTAMO],$A11)</f>
        <v>0</v>
      </c>
      <c r="K11" s="52">
        <f>-SUMIFS(FINANCIACION[$ CAPITAL],
FINANCIACION[Fecha],"&lt;="&amp;EOMONTH(K$1,0),
FINANCIACION[PRESTAMO],$A11)</f>
        <v>0</v>
      </c>
      <c r="L11" s="52">
        <f>-SUMIFS(FINANCIACION[$ CAPITAL],
FINANCIACION[Fecha],"&lt;="&amp;EOMONTH(L$1,0),
FINANCIACION[PRESTAMO],$A11)</f>
        <v>0</v>
      </c>
      <c r="M11" s="52">
        <f>-SUMIFS(FINANCIACION[$ CAPITAL],
FINANCIACION[Fecha],"&lt;="&amp;EOMONTH(M$1,0),
FINANCIACION[PRESTAMO],$A11)</f>
        <v>0</v>
      </c>
      <c r="N11" s="52">
        <f>-SUMIFS(FINANCIACION[$ CAPITAL],
FINANCIACION[Fecha],"&lt;="&amp;EOMONTH(N$1,0),
FINANCIACION[PRESTAMO],$A11)</f>
        <v>0</v>
      </c>
      <c r="O11" s="52">
        <f>-SUMIFS(FINANCIACION[$ CAPITAL],
FINANCIACION[Fecha],"&lt;="&amp;EOMONTH(O$1,0),
FINANCIACION[PRESTAMO],$A11)</f>
        <v>0</v>
      </c>
      <c r="P11" s="52">
        <f>-SUMIFS(FINANCIACION[$ CAPITAL],
FINANCIACION[Fecha],"&lt;="&amp;EOMONTH(P$1,0),
FINANCIACION[PRESTAMO],$A11)</f>
        <v>0</v>
      </c>
      <c r="Q11" s="52">
        <f>-SUMIFS(FINANCIACION[$ CAPITAL],
FINANCIACION[Fecha],"&lt;="&amp;EOMONTH(Q$1,0),
FINANCIACION[PRESTAMO],$A11)</f>
        <v>0</v>
      </c>
    </row>
    <row r="12" spans="1:17" ht="21.6" customHeight="1" x14ac:dyDescent="0.25">
      <c r="A12" s="41" t="s">
        <v>368</v>
      </c>
      <c r="B12" s="52">
        <f>-SUMIFS(FINANCIACION[$ CAPITAL],
FINANCIACION[Fecha],"&lt;="&amp;EOMONTH(B$1,0),
FINANCIACION[PRESTAMO],$A12)</f>
        <v>8000000</v>
      </c>
      <c r="C12" s="52">
        <f>-SUMIFS(FINANCIACION[$ CAPITAL],
FINANCIACION[Fecha],"&lt;="&amp;EOMONTH(C$1,0),
FINANCIACION[PRESTAMO],$A12)</f>
        <v>8000000</v>
      </c>
      <c r="D12" s="52">
        <f>-SUMIFS(FINANCIACION[$ CAPITAL],
FINANCIACION[Fecha],"&lt;="&amp;EOMONTH(D$1,0),
FINANCIACION[PRESTAMO],$A12)</f>
        <v>8000000</v>
      </c>
      <c r="E12" s="52">
        <f>-SUMIFS(FINANCIACION[$ CAPITAL],
FINANCIACION[Fecha],"&lt;="&amp;EOMONTH(E$1,0),
FINANCIACION[PRESTAMO],$A12)</f>
        <v>8000000</v>
      </c>
      <c r="F12" s="52">
        <f>-SUMIFS(FINANCIACION[$ CAPITAL],
FINANCIACION[Fecha],"&lt;="&amp;EOMONTH(F$1,0),
FINANCIACION[PRESTAMO],$A12)</f>
        <v>8000000</v>
      </c>
      <c r="G12" s="52">
        <f>-SUMIFS(FINANCIACION[$ CAPITAL],
FINANCIACION[Fecha],"&lt;="&amp;EOMONTH(G$1,0),
FINANCIACION[PRESTAMO],$A12)</f>
        <v>8000000</v>
      </c>
      <c r="H12" s="52">
        <f>-SUMIFS(FINANCIACION[$ CAPITAL],
FINANCIACION[Fecha],"&lt;="&amp;EOMONTH(H$1,0),
FINANCIACION[PRESTAMO],$A12)</f>
        <v>8000000</v>
      </c>
      <c r="I12" s="52">
        <f>-SUMIFS(FINANCIACION[$ CAPITAL],
FINANCIACION[Fecha],"&lt;="&amp;EOMONTH(I$1,0),
FINANCIACION[PRESTAMO],$A12)</f>
        <v>8000000</v>
      </c>
      <c r="J12" s="52">
        <f>-SUMIFS(FINANCIACION[$ CAPITAL],
FINANCIACION[Fecha],"&lt;="&amp;EOMONTH(J$1,0),
FINANCIACION[PRESTAMO],$A12)</f>
        <v>8000000</v>
      </c>
      <c r="K12" s="52">
        <f>-SUMIFS(FINANCIACION[$ CAPITAL],
FINANCIACION[Fecha],"&lt;="&amp;EOMONTH(K$1,0),
FINANCIACION[PRESTAMO],$A12)</f>
        <v>8000000</v>
      </c>
      <c r="L12" s="52">
        <f>-SUMIFS(FINANCIACION[$ CAPITAL],
FINANCIACION[Fecha],"&lt;="&amp;EOMONTH(L$1,0),
FINANCIACION[PRESTAMO],$A12)</f>
        <v>8000000</v>
      </c>
      <c r="M12" s="52">
        <f>-SUMIFS(FINANCIACION[$ CAPITAL],
FINANCIACION[Fecha],"&lt;="&amp;EOMONTH(M$1,0),
FINANCIACION[PRESTAMO],$A12)</f>
        <v>8000000</v>
      </c>
      <c r="N12" s="52">
        <f>-SUMIFS(FINANCIACION[$ CAPITAL],
FINANCIACION[Fecha],"&lt;="&amp;EOMONTH(N$1,0),
FINANCIACION[PRESTAMO],$A12)</f>
        <v>8000000</v>
      </c>
      <c r="O12" s="52">
        <f>-SUMIFS(FINANCIACION[$ CAPITAL],
FINANCIACION[Fecha],"&lt;="&amp;EOMONTH(O$1,0),
FINANCIACION[PRESTAMO],$A12)</f>
        <v>8000000</v>
      </c>
      <c r="P12" s="52">
        <f>-SUMIFS(FINANCIACION[$ CAPITAL],
FINANCIACION[Fecha],"&lt;="&amp;EOMONTH(P$1,0),
FINANCIACION[PRESTAMO],$A12)</f>
        <v>8000000</v>
      </c>
      <c r="Q12" s="52">
        <f>-SUMIFS(FINANCIACION[$ CAPITAL],
FINANCIACION[Fecha],"&lt;="&amp;EOMONTH(Q$1,0),
FINANCIACION[PRESTAMO],$A12)</f>
        <v>8000000</v>
      </c>
    </row>
    <row r="13" spans="1:17" ht="21.6" customHeight="1" x14ac:dyDescent="0.25">
      <c r="A13" s="41" t="s">
        <v>370</v>
      </c>
      <c r="B13" s="52">
        <f>-SUMIFS(FINANCIACION[$ CAPITAL],
FINANCIACION[Fecha],"&lt;="&amp;EOMONTH(B$1,0),
FINANCIACION[PRESTAMO],$A13)</f>
        <v>12000000</v>
      </c>
      <c r="C13" s="52">
        <f>-SUMIFS(FINANCIACION[$ CAPITAL],
FINANCIACION[Fecha],"&lt;="&amp;EOMONTH(C$1,0),
FINANCIACION[PRESTAMO],$A13)</f>
        <v>12000000</v>
      </c>
      <c r="D13" s="52">
        <f>-SUMIFS(FINANCIACION[$ CAPITAL],
FINANCIACION[Fecha],"&lt;="&amp;EOMONTH(D$1,0),
FINANCIACION[PRESTAMO],$A13)</f>
        <v>12000000</v>
      </c>
      <c r="E13" s="52">
        <f>-SUMIFS(FINANCIACION[$ CAPITAL],
FINANCIACION[Fecha],"&lt;="&amp;EOMONTH(E$1,0),
FINANCIACION[PRESTAMO],$A13)</f>
        <v>12000000</v>
      </c>
      <c r="F13" s="52">
        <f>-SUMIFS(FINANCIACION[$ CAPITAL],
FINANCIACION[Fecha],"&lt;="&amp;EOMONTH(F$1,0),
FINANCIACION[PRESTAMO],$A13)</f>
        <v>12000000</v>
      </c>
      <c r="G13" s="52">
        <f>-SUMIFS(FINANCIACION[$ CAPITAL],
FINANCIACION[Fecha],"&lt;="&amp;EOMONTH(G$1,0),
FINANCIACION[PRESTAMO],$A13)</f>
        <v>12000000</v>
      </c>
      <c r="H13" s="52">
        <f>-SUMIFS(FINANCIACION[$ CAPITAL],
FINANCIACION[Fecha],"&lt;="&amp;EOMONTH(H$1,0),
FINANCIACION[PRESTAMO],$A13)</f>
        <v>12000000</v>
      </c>
      <c r="I13" s="52">
        <f>-SUMIFS(FINANCIACION[$ CAPITAL],
FINANCIACION[Fecha],"&lt;="&amp;EOMONTH(I$1,0),
FINANCIACION[PRESTAMO],$A13)</f>
        <v>12000000</v>
      </c>
      <c r="J13" s="52">
        <f>-SUMIFS(FINANCIACION[$ CAPITAL],
FINANCIACION[Fecha],"&lt;="&amp;EOMONTH(J$1,0),
FINANCIACION[PRESTAMO],$A13)</f>
        <v>12000000</v>
      </c>
      <c r="K13" s="52">
        <f>-SUMIFS(FINANCIACION[$ CAPITAL],
FINANCIACION[Fecha],"&lt;="&amp;EOMONTH(K$1,0),
FINANCIACION[PRESTAMO],$A13)</f>
        <v>12000000</v>
      </c>
      <c r="L13" s="52">
        <f>-SUMIFS(FINANCIACION[$ CAPITAL],
FINANCIACION[Fecha],"&lt;="&amp;EOMONTH(L$1,0),
FINANCIACION[PRESTAMO],$A13)</f>
        <v>12000000</v>
      </c>
      <c r="M13" s="52">
        <f>-SUMIFS(FINANCIACION[$ CAPITAL],
FINANCIACION[Fecha],"&lt;="&amp;EOMONTH(M$1,0),
FINANCIACION[PRESTAMO],$A13)</f>
        <v>12000000</v>
      </c>
      <c r="N13" s="52">
        <f>-SUMIFS(FINANCIACION[$ CAPITAL],
FINANCIACION[Fecha],"&lt;="&amp;EOMONTH(N$1,0),
FINANCIACION[PRESTAMO],$A13)</f>
        <v>12000000</v>
      </c>
      <c r="O13" s="52">
        <f>-SUMIFS(FINANCIACION[$ CAPITAL],
FINANCIACION[Fecha],"&lt;="&amp;EOMONTH(O$1,0),
FINANCIACION[PRESTAMO],$A13)</f>
        <v>12000000</v>
      </c>
      <c r="P13" s="52">
        <f>-SUMIFS(FINANCIACION[$ CAPITAL],
FINANCIACION[Fecha],"&lt;="&amp;EOMONTH(P$1,0),
FINANCIACION[PRESTAMO],$A13)</f>
        <v>12000000</v>
      </c>
      <c r="Q13" s="52">
        <f>-SUMIFS(FINANCIACION[$ CAPITAL],
FINANCIACION[Fecha],"&lt;="&amp;EOMONTH(Q$1,0),
FINANCIACION[PRESTAMO],$A13)</f>
        <v>0</v>
      </c>
    </row>
    <row r="14" spans="1:17" ht="21.6" customHeight="1" x14ac:dyDescent="0.25">
      <c r="A14" s="41" t="s">
        <v>140</v>
      </c>
      <c r="B14" s="52">
        <f>-SUMIFS(FINANCIACION[$ CAPITAL],
FINANCIACION[Fecha],"&lt;="&amp;EOMONTH(B$1,0),
FINANCIACION[PRESTAMO],$A14)</f>
        <v>0</v>
      </c>
      <c r="C14" s="52">
        <f>-SUMIFS(FINANCIACION[$ CAPITAL],
FINANCIACION[Fecha],"&lt;="&amp;EOMONTH(C$1,0),
FINANCIACION[PRESTAMO],$A14)</f>
        <v>0</v>
      </c>
      <c r="D14" s="52">
        <f>-SUMIFS(FINANCIACION[$ CAPITAL],
FINANCIACION[Fecha],"&lt;="&amp;EOMONTH(D$1,0),
FINANCIACION[PRESTAMO],$A14)</f>
        <v>0</v>
      </c>
      <c r="E14" s="52">
        <f>-SUMIFS(FINANCIACION[$ CAPITAL],
FINANCIACION[Fecha],"&lt;="&amp;EOMONTH(E$1,0),
FINANCIACION[PRESTAMO],$A14)</f>
        <v>-153582</v>
      </c>
      <c r="F14" s="52">
        <f>-SUMIFS(FINANCIACION[$ CAPITAL],
FINANCIACION[Fecha],"&lt;="&amp;EOMONTH(F$1,0),
FINANCIACION[PRESTAMO],$A14)</f>
        <v>-153582</v>
      </c>
      <c r="G14" s="52">
        <f>-SUMIFS(FINANCIACION[$ CAPITAL],
FINANCIACION[Fecha],"&lt;="&amp;EOMONTH(G$1,0),
FINANCIACION[PRESTAMO],$A14)</f>
        <v>-153582</v>
      </c>
      <c r="H14" s="52">
        <f>-SUMIFS(FINANCIACION[$ CAPITAL],
FINANCIACION[Fecha],"&lt;="&amp;EOMONTH(H$1,0),
FINANCIACION[PRESTAMO],$A14)</f>
        <v>-153582</v>
      </c>
      <c r="I14" s="52">
        <f>-SUMIFS(FINANCIACION[$ CAPITAL],
FINANCIACION[Fecha],"&lt;="&amp;EOMONTH(I$1,0),
FINANCIACION[PRESTAMO],$A14)</f>
        <v>-153582</v>
      </c>
      <c r="J14" s="52">
        <f>-SUMIFS(FINANCIACION[$ CAPITAL],
FINANCIACION[Fecha],"&lt;="&amp;EOMONTH(J$1,0),
FINANCIACION[PRESTAMO],$A14)</f>
        <v>-153582</v>
      </c>
      <c r="K14" s="52">
        <f>-SUMIFS(FINANCIACION[$ CAPITAL],
FINANCIACION[Fecha],"&lt;="&amp;EOMONTH(K$1,0),
FINANCIACION[PRESTAMO],$A14)</f>
        <v>-153582</v>
      </c>
      <c r="L14" s="52">
        <f>-SUMIFS(FINANCIACION[$ CAPITAL],
FINANCIACION[Fecha],"&lt;="&amp;EOMONTH(L$1,0),
FINANCIACION[PRESTAMO],$A14)</f>
        <v>-153582</v>
      </c>
      <c r="M14" s="52">
        <f>-SUMIFS(FINANCIACION[$ CAPITAL],
FINANCIACION[Fecha],"&lt;="&amp;EOMONTH(M$1,0),
FINANCIACION[PRESTAMO],$A14)</f>
        <v>-153582</v>
      </c>
      <c r="N14" s="52">
        <f>-SUMIFS(FINANCIACION[$ CAPITAL],
FINANCIACION[Fecha],"&lt;="&amp;EOMONTH(N$1,0),
FINANCIACION[PRESTAMO],$A14)</f>
        <v>-153582</v>
      </c>
      <c r="O14" s="52">
        <f>-SUMIFS(FINANCIACION[$ CAPITAL],
FINANCIACION[Fecha],"&lt;="&amp;EOMONTH(O$1,0),
FINANCIACION[PRESTAMO],$A14)</f>
        <v>-153582</v>
      </c>
      <c r="P14" s="52">
        <f>-SUMIFS(FINANCIACION[$ CAPITAL],
FINANCIACION[Fecha],"&lt;="&amp;EOMONTH(P$1,0),
FINANCIACION[PRESTAMO],$A14)</f>
        <v>-153582</v>
      </c>
      <c r="Q14" s="52">
        <f>-SUMIFS(FINANCIACION[$ CAPITAL],
FINANCIACION[Fecha],"&lt;="&amp;EOMONTH(Q$1,0),
FINANCIACION[PRESTAMO],$A14)</f>
        <v>0</v>
      </c>
    </row>
    <row r="15" spans="1:17" ht="21.6" customHeight="1" x14ac:dyDescent="0.25">
      <c r="A15" s="41" t="s">
        <v>1511</v>
      </c>
      <c r="B15" s="52">
        <f>-SUMIFS(FINANCIACION[$ CAPITAL],
FINANCIACION[Fecha],"&lt;="&amp;EOMONTH(B$1,0),
FINANCIACION[PRESTAMO],$A15)</f>
        <v>38178400</v>
      </c>
      <c r="C15" s="52">
        <f>-SUMIFS(FINANCIACION[$ CAPITAL],
FINANCIACION[Fecha],"&lt;="&amp;EOMONTH(C$1,0),
FINANCIACION[PRESTAMO],$A15)</f>
        <v>38178400</v>
      </c>
      <c r="D15" s="52">
        <f>-SUMIFS(FINANCIACION[$ CAPITAL],
FINANCIACION[Fecha],"&lt;="&amp;EOMONTH(D$1,0),
FINANCIACION[PRESTAMO],$A15)</f>
        <v>38178400</v>
      </c>
      <c r="E15" s="52">
        <f>-SUMIFS(FINANCIACION[$ CAPITAL],
FINANCIACION[Fecha],"&lt;="&amp;EOMONTH(E$1,0),
FINANCIACION[PRESTAMO],$A15)</f>
        <v>20109720</v>
      </c>
      <c r="F15" s="52">
        <f>-SUMIFS(FINANCIACION[$ CAPITAL],
FINANCIACION[Fecha],"&lt;="&amp;EOMONTH(F$1,0),
FINANCIACION[PRESTAMO],$A15)</f>
        <v>20109720</v>
      </c>
      <c r="G15" s="52">
        <f>-SUMIFS(FINANCIACION[$ CAPITAL],
FINANCIACION[Fecha],"&lt;="&amp;EOMONTH(G$1,0),
FINANCIACION[PRESTAMO],$A15)</f>
        <v>20109720</v>
      </c>
      <c r="H15" s="52">
        <f>-SUMIFS(FINANCIACION[$ CAPITAL],
FINANCIACION[Fecha],"&lt;="&amp;EOMONTH(H$1,0),
FINANCIACION[PRESTAMO],$A15)</f>
        <v>20109720</v>
      </c>
      <c r="I15" s="52">
        <f>-SUMIFS(FINANCIACION[$ CAPITAL],
FINANCIACION[Fecha],"&lt;="&amp;EOMONTH(I$1,0),
FINANCIACION[PRESTAMO],$A15)</f>
        <v>20109720</v>
      </c>
      <c r="J15" s="52">
        <f>-SUMIFS(FINANCIACION[$ CAPITAL],
FINANCIACION[Fecha],"&lt;="&amp;EOMONTH(J$1,0),
FINANCIACION[PRESTAMO],$A15)</f>
        <v>20109720</v>
      </c>
      <c r="K15" s="52">
        <f>-SUMIFS(FINANCIACION[$ CAPITAL],
FINANCIACION[Fecha],"&lt;="&amp;EOMONTH(K$1,0),
FINANCIACION[PRESTAMO],$A15)</f>
        <v>20109720</v>
      </c>
      <c r="L15" s="52">
        <f>-SUMIFS(FINANCIACION[$ CAPITAL],
FINANCIACION[Fecha],"&lt;="&amp;EOMONTH(L$1,0),
FINANCIACION[PRESTAMO],$A15)</f>
        <v>20109720</v>
      </c>
      <c r="M15" s="52">
        <f>-SUMIFS(FINANCIACION[$ CAPITAL],
FINANCIACION[Fecha],"&lt;="&amp;EOMONTH(M$1,0),
FINANCIACION[PRESTAMO],$A15)</f>
        <v>20109720</v>
      </c>
      <c r="N15" s="52">
        <f>-SUMIFS(FINANCIACION[$ CAPITAL],
FINANCIACION[Fecha],"&lt;="&amp;EOMONTH(N$1,0),
FINANCIACION[PRESTAMO],$A15)</f>
        <v>20109720</v>
      </c>
      <c r="O15" s="52">
        <f>-SUMIFS(FINANCIACION[$ CAPITAL],
FINANCIACION[Fecha],"&lt;="&amp;EOMONTH(O$1,0),
FINANCIACION[PRESTAMO],$A15)</f>
        <v>20109720</v>
      </c>
      <c r="P15" s="52">
        <f>-SUMIFS(FINANCIACION[$ CAPITAL],
FINANCIACION[Fecha],"&lt;="&amp;EOMONTH(P$1,0),
FINANCIACION[PRESTAMO],$A15)</f>
        <v>20109720</v>
      </c>
      <c r="Q15" s="52">
        <f>-SUMIFS(FINANCIACION[$ CAPITAL],
FINANCIACION[Fecha],"&lt;="&amp;EOMONTH(Q$1,0),
FINANCIACION[PRESTAMO],$A15)</f>
        <v>2936800</v>
      </c>
    </row>
    <row r="16" spans="1:17" ht="21.6" customHeight="1" x14ac:dyDescent="0.25">
      <c r="A16" s="41" t="s">
        <v>649</v>
      </c>
      <c r="B16" s="52">
        <f>-SUMIFS(FINANCIACION[$ CAPITAL],
FINANCIACION[Fecha],"&lt;="&amp;EOMONTH(B$1,0),
FINANCIACION[PRESTAMO],$A16)</f>
        <v>0</v>
      </c>
      <c r="C16" s="52">
        <f>-SUMIFS(FINANCIACION[$ CAPITAL],
FINANCIACION[Fecha],"&lt;="&amp;EOMONTH(C$1,0),
FINANCIACION[PRESTAMO],$A16)</f>
        <v>0</v>
      </c>
      <c r="D16" s="52">
        <f>-SUMIFS(FINANCIACION[$ CAPITAL],
FINANCIACION[Fecha],"&lt;="&amp;EOMONTH(D$1,0),
FINANCIACION[PRESTAMO],$A16)</f>
        <v>0</v>
      </c>
      <c r="E16" s="52">
        <f>-SUMIFS(FINANCIACION[$ CAPITAL],
FINANCIACION[Fecha],"&lt;="&amp;EOMONTH(E$1,0),
FINANCIACION[PRESTAMO],$A16)</f>
        <v>0</v>
      </c>
      <c r="F16" s="52">
        <f>-SUMIFS(FINANCIACION[$ CAPITAL],
FINANCIACION[Fecha],"&lt;="&amp;EOMONTH(F$1,0),
FINANCIACION[PRESTAMO],$A16)</f>
        <v>0</v>
      </c>
      <c r="G16" s="52">
        <f>-SUMIFS(FINANCIACION[$ CAPITAL],
FINANCIACION[Fecha],"&lt;="&amp;EOMONTH(G$1,0),
FINANCIACION[PRESTAMO],$A16)</f>
        <v>0</v>
      </c>
      <c r="H16" s="52">
        <f>-SUMIFS(FINANCIACION[$ CAPITAL],
FINANCIACION[Fecha],"&lt;="&amp;EOMONTH(H$1,0),
FINANCIACION[PRESTAMO],$A16)</f>
        <v>0</v>
      </c>
      <c r="I16" s="52">
        <f>-SUMIFS(FINANCIACION[$ CAPITAL],
FINANCIACION[Fecha],"&lt;="&amp;EOMONTH(I$1,0),
FINANCIACION[PRESTAMO],$A16)</f>
        <v>0</v>
      </c>
      <c r="J16" s="52">
        <f>-SUMIFS(FINANCIACION[$ CAPITAL],
FINANCIACION[Fecha],"&lt;="&amp;EOMONTH(J$1,0),
FINANCIACION[PRESTAMO],$A16)</f>
        <v>0</v>
      </c>
      <c r="K16" s="52">
        <f>-SUMIFS(FINANCIACION[$ CAPITAL],
FINANCIACION[Fecha],"&lt;="&amp;EOMONTH(K$1,0),
FINANCIACION[PRESTAMO],$A16)</f>
        <v>0</v>
      </c>
      <c r="L16" s="52">
        <f>-SUMIFS(FINANCIACION[$ CAPITAL],
FINANCIACION[Fecha],"&lt;="&amp;EOMONTH(L$1,0),
FINANCIACION[PRESTAMO],$A16)</f>
        <v>0</v>
      </c>
      <c r="M16" s="52">
        <f>-SUMIFS(FINANCIACION[$ CAPITAL],
FINANCIACION[Fecha],"&lt;="&amp;EOMONTH(M$1,0),
FINANCIACION[PRESTAMO],$A16)</f>
        <v>0</v>
      </c>
      <c r="N16" s="52">
        <f>-SUMIFS(FINANCIACION[$ CAPITAL],
FINANCIACION[Fecha],"&lt;="&amp;EOMONTH(N$1,0),
FINANCIACION[PRESTAMO],$A16)</f>
        <v>0</v>
      </c>
      <c r="O16" s="52">
        <f>-SUMIFS(FINANCIACION[$ CAPITAL],
FINANCIACION[Fecha],"&lt;="&amp;EOMONTH(O$1,0),
FINANCIACION[PRESTAMO],$A16)</f>
        <v>0</v>
      </c>
      <c r="P16" s="52">
        <f>-SUMIFS(FINANCIACION[$ CAPITAL],
FINANCIACION[Fecha],"&lt;="&amp;EOMONTH(P$1,0),
FINANCIACION[PRESTAMO],$A16)</f>
        <v>0</v>
      </c>
      <c r="Q16" s="52">
        <f>-SUMIFS(FINANCIACION[$ CAPITAL],
FINANCIACION[Fecha],"&lt;="&amp;EOMONTH(Q$1,0),
FINANCIACION[PRESTAMO],$A16)</f>
        <v>1889477</v>
      </c>
    </row>
    <row r="17" spans="1:17" ht="21.6" customHeight="1" x14ac:dyDescent="0.25">
      <c r="A17" s="41" t="s">
        <v>141</v>
      </c>
      <c r="B17" s="52">
        <f>-SUMIFS(FINANCIACION[$ CAPITAL],
FINANCIACION[Fecha],"&lt;="&amp;EOMONTH(B$1,0),
FINANCIACION[PRESTAMO],$A17)</f>
        <v>0</v>
      </c>
      <c r="C17" s="52">
        <f>-SUMIFS(FINANCIACION[$ CAPITAL],
FINANCIACION[Fecha],"&lt;="&amp;EOMONTH(C$1,0),
FINANCIACION[PRESTAMO],$A17)</f>
        <v>0</v>
      </c>
      <c r="D17" s="52">
        <f>-SUMIFS(FINANCIACION[$ CAPITAL],
FINANCIACION[Fecha],"&lt;="&amp;EOMONTH(D$1,0),
FINANCIACION[PRESTAMO],$A17)</f>
        <v>0</v>
      </c>
      <c r="E17" s="52">
        <f>-SUMIFS(FINANCIACION[$ CAPITAL],
FINANCIACION[Fecha],"&lt;="&amp;EOMONTH(E$1,0),
FINANCIACION[PRESTAMO],$A17)</f>
        <v>0</v>
      </c>
      <c r="F17" s="52">
        <f>-SUMIFS(FINANCIACION[$ CAPITAL],
FINANCIACION[Fecha],"&lt;="&amp;EOMONTH(F$1,0),
FINANCIACION[PRESTAMO],$A17)</f>
        <v>0</v>
      </c>
      <c r="G17" s="52">
        <f>-SUMIFS(FINANCIACION[$ CAPITAL],
FINANCIACION[Fecha],"&lt;="&amp;EOMONTH(G$1,0),
FINANCIACION[PRESTAMO],$A17)</f>
        <v>0</v>
      </c>
      <c r="H17" s="52">
        <f>-SUMIFS(FINANCIACION[$ CAPITAL],
FINANCIACION[Fecha],"&lt;="&amp;EOMONTH(H$1,0),
FINANCIACION[PRESTAMO],$A17)</f>
        <v>0</v>
      </c>
      <c r="I17" s="52">
        <f>-SUMIFS(FINANCIACION[$ CAPITAL],
FINANCIACION[Fecha],"&lt;="&amp;EOMONTH(I$1,0),
FINANCIACION[PRESTAMO],$A17)</f>
        <v>0</v>
      </c>
      <c r="J17" s="52">
        <f>-SUMIFS(FINANCIACION[$ CAPITAL],
FINANCIACION[Fecha],"&lt;="&amp;EOMONTH(J$1,0),
FINANCIACION[PRESTAMO],$A17)</f>
        <v>0</v>
      </c>
      <c r="K17" s="52">
        <f>-SUMIFS(FINANCIACION[$ CAPITAL],
FINANCIACION[Fecha],"&lt;="&amp;EOMONTH(K$1,0),
FINANCIACION[PRESTAMO],$A17)</f>
        <v>0</v>
      </c>
      <c r="L17" s="52">
        <f>-SUMIFS(FINANCIACION[$ CAPITAL],
FINANCIACION[Fecha],"&lt;="&amp;EOMONTH(L$1,0),
FINANCIACION[PRESTAMO],$A17)</f>
        <v>0</v>
      </c>
      <c r="M17" s="52">
        <f>-SUMIFS(FINANCIACION[$ CAPITAL],
FINANCIACION[Fecha],"&lt;="&amp;EOMONTH(M$1,0),
FINANCIACION[PRESTAMO],$A17)</f>
        <v>0</v>
      </c>
      <c r="N17" s="52">
        <f>-SUMIFS(FINANCIACION[$ CAPITAL],
FINANCIACION[Fecha],"&lt;="&amp;EOMONTH(N$1,0),
FINANCIACION[PRESTAMO],$A17)</f>
        <v>0</v>
      </c>
      <c r="O17" s="52">
        <f>-SUMIFS(FINANCIACION[$ CAPITAL],
FINANCIACION[Fecha],"&lt;="&amp;EOMONTH(O$1,0),
FINANCIACION[PRESTAMO],$A17)</f>
        <v>0</v>
      </c>
      <c r="P17" s="52">
        <f>-SUMIFS(FINANCIACION[$ CAPITAL],
FINANCIACION[Fecha],"&lt;="&amp;EOMONTH(P$1,0),
FINANCIACION[PRESTAMO],$A17)</f>
        <v>0</v>
      </c>
      <c r="Q17" s="52">
        <f>-SUMIFS(FINANCIACION[$ CAPITAL],
FINANCIACION[Fecha],"&lt;="&amp;EOMONTH(Q$1,0),
FINANCIACION[PRESTAMO],$A17)</f>
        <v>0</v>
      </c>
    </row>
    <row r="18" spans="1:17" ht="21.6" customHeight="1" x14ac:dyDescent="0.25">
      <c r="A18" s="41" t="s">
        <v>548</v>
      </c>
      <c r="B18" s="52">
        <f>-SUMIFS(FINANCIACION[$ CAPITAL],
FINANCIACION[Fecha],"&lt;="&amp;EOMONTH(B$1,0),
FINANCIACION[PRESTAMO],$A18)</f>
        <v>0</v>
      </c>
      <c r="C18" s="52">
        <f>-SUMIFS(FINANCIACION[$ CAPITAL],
FINANCIACION[Fecha],"&lt;="&amp;EOMONTH(C$1,0),
FINANCIACION[PRESTAMO],$A18)</f>
        <v>0</v>
      </c>
      <c r="D18" s="52">
        <f>-SUMIFS(FINANCIACION[$ CAPITAL],
FINANCIACION[Fecha],"&lt;="&amp;EOMONTH(D$1,0),
FINANCIACION[PRESTAMO],$A18)</f>
        <v>0</v>
      </c>
      <c r="E18" s="52">
        <f>-SUMIFS(FINANCIACION[$ CAPITAL],
FINANCIACION[Fecha],"&lt;="&amp;EOMONTH(E$1,0),
FINANCIACION[PRESTAMO],$A18)</f>
        <v>91260500</v>
      </c>
      <c r="F18" s="52">
        <f>-SUMIFS(FINANCIACION[$ CAPITAL],
FINANCIACION[Fecha],"&lt;="&amp;EOMONTH(F$1,0),
FINANCIACION[PRESTAMO],$A18)</f>
        <v>91260500</v>
      </c>
      <c r="G18" s="52">
        <f>-SUMIFS(FINANCIACION[$ CAPITAL],
FINANCIACION[Fecha],"&lt;="&amp;EOMONTH(G$1,0),
FINANCIACION[PRESTAMO],$A18)</f>
        <v>91260500</v>
      </c>
      <c r="H18" s="52">
        <f>-SUMIFS(FINANCIACION[$ CAPITAL],
FINANCIACION[Fecha],"&lt;="&amp;EOMONTH(H$1,0),
FINANCIACION[PRESTAMO],$A18)</f>
        <v>91260500</v>
      </c>
      <c r="I18" s="52">
        <f>-SUMIFS(FINANCIACION[$ CAPITAL],
FINANCIACION[Fecha],"&lt;="&amp;EOMONTH(I$1,0),
FINANCIACION[PRESTAMO],$A18)</f>
        <v>91260500</v>
      </c>
      <c r="J18" s="52">
        <f>-SUMIFS(FINANCIACION[$ CAPITAL],
FINANCIACION[Fecha],"&lt;="&amp;EOMONTH(J$1,0),
FINANCIACION[PRESTAMO],$A18)</f>
        <v>91260500</v>
      </c>
      <c r="K18" s="52">
        <f>-SUMIFS(FINANCIACION[$ CAPITAL],
FINANCIACION[Fecha],"&lt;="&amp;EOMONTH(K$1,0),
FINANCIACION[PRESTAMO],$A18)</f>
        <v>91260500</v>
      </c>
      <c r="L18" s="52">
        <f>-SUMIFS(FINANCIACION[$ CAPITAL],
FINANCIACION[Fecha],"&lt;="&amp;EOMONTH(L$1,0),
FINANCIACION[PRESTAMO],$A18)</f>
        <v>91260500</v>
      </c>
      <c r="M18" s="52">
        <f>-SUMIFS(FINANCIACION[$ CAPITAL],
FINANCIACION[Fecha],"&lt;="&amp;EOMONTH(M$1,0),
FINANCIACION[PRESTAMO],$A18)</f>
        <v>91260500</v>
      </c>
      <c r="N18" s="52">
        <f>-SUMIFS(FINANCIACION[$ CAPITAL],
FINANCIACION[Fecha],"&lt;="&amp;EOMONTH(N$1,0),
FINANCIACION[PRESTAMO],$A18)</f>
        <v>91260500</v>
      </c>
      <c r="O18" s="52">
        <f>-SUMIFS(FINANCIACION[$ CAPITAL],
FINANCIACION[Fecha],"&lt;="&amp;EOMONTH(O$1,0),
FINANCIACION[PRESTAMO],$A18)</f>
        <v>91260500</v>
      </c>
      <c r="P18" s="52">
        <f>-SUMIFS(FINANCIACION[$ CAPITAL],
FINANCIACION[Fecha],"&lt;="&amp;EOMONTH(P$1,0),
FINANCIACION[PRESTAMO],$A18)</f>
        <v>91260500</v>
      </c>
      <c r="Q18" s="52">
        <f>-SUMIFS(FINANCIACION[$ CAPITAL],
FINANCIACION[Fecha],"&lt;="&amp;EOMONTH(Q$1,0),
FINANCIACION[PRESTAMO],$A18)</f>
        <v>0</v>
      </c>
    </row>
    <row r="19" spans="1:17" ht="21.6" customHeight="1" x14ac:dyDescent="0.25">
      <c r="A19" s="41" t="s">
        <v>647</v>
      </c>
      <c r="B19" s="52">
        <f>-SUMIFS(FINANCIACION[$ CAPITAL],
FINANCIACION[Fecha],"&lt;="&amp;EOMONTH(B$1,0),
FINANCIACION[PRESTAMO],$A19)</f>
        <v>0</v>
      </c>
      <c r="C19" s="52">
        <f>-SUMIFS(FINANCIACION[$ CAPITAL],
FINANCIACION[Fecha],"&lt;="&amp;EOMONTH(C$1,0),
FINANCIACION[PRESTAMO],$A19)</f>
        <v>0</v>
      </c>
      <c r="D19" s="52">
        <f>-SUMIFS(FINANCIACION[$ CAPITAL],
FINANCIACION[Fecha],"&lt;="&amp;EOMONTH(D$1,0),
FINANCIACION[PRESTAMO],$A19)</f>
        <v>0</v>
      </c>
      <c r="E19" s="52">
        <f>-SUMIFS(FINANCIACION[$ CAPITAL],
FINANCIACION[Fecha],"&lt;="&amp;EOMONTH(E$1,0),
FINANCIACION[PRESTAMO],$A19)</f>
        <v>0</v>
      </c>
      <c r="F19" s="52">
        <f>-SUMIFS(FINANCIACION[$ CAPITAL],
FINANCIACION[Fecha],"&lt;="&amp;EOMONTH(F$1,0),
FINANCIACION[PRESTAMO],$A19)</f>
        <v>0</v>
      </c>
      <c r="G19" s="52">
        <f>-SUMIFS(FINANCIACION[$ CAPITAL],
FINANCIACION[Fecha],"&lt;="&amp;EOMONTH(G$1,0),
FINANCIACION[PRESTAMO],$A19)</f>
        <v>0</v>
      </c>
      <c r="H19" s="52">
        <f>-SUMIFS(FINANCIACION[$ CAPITAL],
FINANCIACION[Fecha],"&lt;="&amp;EOMONTH(H$1,0),
FINANCIACION[PRESTAMO],$A19)</f>
        <v>0</v>
      </c>
      <c r="I19" s="52">
        <f>-SUMIFS(FINANCIACION[$ CAPITAL],
FINANCIACION[Fecha],"&lt;="&amp;EOMONTH(I$1,0),
FINANCIACION[PRESTAMO],$A19)</f>
        <v>0</v>
      </c>
      <c r="J19" s="52">
        <f>-SUMIFS(FINANCIACION[$ CAPITAL],
FINANCIACION[Fecha],"&lt;="&amp;EOMONTH(J$1,0),
FINANCIACION[PRESTAMO],$A19)</f>
        <v>0</v>
      </c>
      <c r="K19" s="52">
        <f>-SUMIFS(FINANCIACION[$ CAPITAL],
FINANCIACION[Fecha],"&lt;="&amp;EOMONTH(K$1,0),
FINANCIACION[PRESTAMO],$A19)</f>
        <v>0</v>
      </c>
      <c r="L19" s="52">
        <f>-SUMIFS(FINANCIACION[$ CAPITAL],
FINANCIACION[Fecha],"&lt;="&amp;EOMONTH(L$1,0),
FINANCIACION[PRESTAMO],$A19)</f>
        <v>0</v>
      </c>
      <c r="M19" s="52">
        <f>-SUMIFS(FINANCIACION[$ CAPITAL],
FINANCIACION[Fecha],"&lt;="&amp;EOMONTH(M$1,0),
FINANCIACION[PRESTAMO],$A19)</f>
        <v>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</row>
    <row r="20" spans="1:17" ht="21.6" customHeight="1" x14ac:dyDescent="0.25">
      <c r="A20" s="41" t="s">
        <v>1532</v>
      </c>
      <c r="B20" s="52">
        <f>-SUMIFS(FINANCIACION[$ CAPITAL],
FINANCIACION[Fecha],"&lt;="&amp;EOMONTH(B$1,0),
FINANCIACION[PRESTAMO],$A20)</f>
        <v>0</v>
      </c>
      <c r="C20" s="52">
        <f>-SUMIFS(FINANCIACION[$ CAPITAL],
FINANCIACION[Fecha],"&lt;="&amp;EOMONTH(C$1,0),
FINANCIACION[PRESTAMO],$A20)</f>
        <v>0</v>
      </c>
      <c r="D20" s="52">
        <f>-SUMIFS(FINANCIACION[$ CAPITAL],
FINANCIACION[Fecha],"&lt;="&amp;EOMONTH(D$1,0),
FINANCIACION[PRESTAMO],$A20)</f>
        <v>0</v>
      </c>
      <c r="E20" s="52">
        <f>-SUMIFS(FINANCIACION[$ CAPITAL],
FINANCIACION[Fecha],"&lt;="&amp;EOMONTH(E$1,0),
FINANCIACION[PRESTAMO],$A20)</f>
        <v>0</v>
      </c>
      <c r="F20" s="52">
        <f>-SUMIFS(FINANCIACION[$ CAPITAL],
FINANCIACION[Fecha],"&lt;="&amp;EOMONTH(F$1,0),
FINANCIACION[PRESTAMO],$A20)</f>
        <v>0</v>
      </c>
      <c r="G20" s="52">
        <f>-SUMIFS(FINANCIACION[$ CAPITAL],
FINANCIACION[Fecha],"&lt;="&amp;EOMONTH(G$1,0),
FINANCIACION[PRESTAMO],$A20)</f>
        <v>0</v>
      </c>
      <c r="H20" s="52">
        <f>-SUMIFS(FINANCIACION[$ CAPITAL],
FINANCIACION[Fecha],"&lt;="&amp;EOMONTH(H$1,0),
FINANCIACION[PRESTAMO],$A20)</f>
        <v>0</v>
      </c>
      <c r="I20" s="52">
        <f>-SUMIFS(FINANCIACION[$ CAPITAL],
FINANCIACION[Fecha],"&lt;="&amp;EOMONTH(I$1,0),
FINANCIACION[PRESTAMO],$A20)</f>
        <v>0</v>
      </c>
      <c r="J20" s="52">
        <f>-SUMIFS(FINANCIACION[$ CAPITAL],
FINANCIACION[Fecha],"&lt;="&amp;EOMONTH(J$1,0),
FINANCIACION[PRESTAMO],$A20)</f>
        <v>0</v>
      </c>
      <c r="K20" s="52">
        <f>-SUMIFS(FINANCIACION[$ CAPITAL],
FINANCIACION[Fecha],"&lt;="&amp;EOMONTH(K$1,0),
FINANCIACION[PRESTAMO],$A20)</f>
        <v>0</v>
      </c>
      <c r="L20" s="52">
        <f>-SUMIFS(FINANCIACION[$ CAPITAL],
FINANCIACION[Fecha],"&lt;="&amp;EOMONTH(L$1,0),
FINANCIACION[PRESTAMO],$A20)</f>
        <v>0</v>
      </c>
      <c r="M20" s="52">
        <f>-SUMIFS(FINANCIACION[$ CAPITAL],
FINANCIACION[Fecha],"&lt;="&amp;EOMONTH(M$1,0),
FINANCIACION[PRESTAMO],$A20)</f>
        <v>0</v>
      </c>
      <c r="N20" s="52">
        <f>-SUMIFS(FINANCIACION[$ CAPITAL],
FINANCIACION[Fecha],"&lt;="&amp;EOMONTH(N$1,0),
FINANCIACION[PRESTAMO],$A20)</f>
        <v>0</v>
      </c>
      <c r="O20" s="52">
        <f>-SUMIFS(FINANCIACION[$ CAPITAL],
FINANCIACION[Fecha],"&lt;="&amp;EOMONTH(O$1,0),
FINANCIACION[PRESTAMO],$A20)</f>
        <v>0</v>
      </c>
      <c r="P20" s="52">
        <f>-SUMIFS(FINANCIACION[$ CAPITAL],
FINANCIACION[Fecha],"&lt;="&amp;EOMONTH(P$1,0),
FINANCIACION[PRESTAMO],$A20)</f>
        <v>0</v>
      </c>
      <c r="Q20" s="52">
        <f>-SUMIFS(FINANCIACION[$ CAPITAL],
FINANCIACION[Fecha],"&lt;="&amp;EOMONTH(Q$1,0),
FINANCIACION[PRESTAMO],$A20)</f>
        <v>95868547.100000009</v>
      </c>
    </row>
    <row r="21" spans="1:17" ht="21.6" customHeight="1" x14ac:dyDescent="0.25">
      <c r="A21" s="41" t="s">
        <v>142</v>
      </c>
      <c r="B21" s="52">
        <f>-SUMIFS(FINANCIACION[$ CAPITAL],
FINANCIACION[Fecha],"&lt;="&amp;EOMONTH(B$1,0),
FINANCIACION[PRESTAMO],$A21)</f>
        <v>0</v>
      </c>
      <c r="C21" s="52">
        <f>-SUMIFS(FINANCIACION[$ CAPITAL],
FINANCIACION[Fecha],"&lt;="&amp;EOMONTH(C$1,0),
FINANCIACION[PRESTAMO],$A21)</f>
        <v>0</v>
      </c>
      <c r="D21" s="52">
        <f>-SUMIFS(FINANCIACION[$ CAPITAL],
FINANCIACION[Fecha],"&lt;="&amp;EOMONTH(D$1,0),
FINANCIACION[PRESTAMO],$A21)</f>
        <v>0</v>
      </c>
      <c r="E21" s="52">
        <f>-SUMIFS(FINANCIACION[$ CAPITAL],
FINANCIACION[Fecha],"&lt;="&amp;EOMONTH(E$1,0),
FINANCIACION[PRESTAMO],$A21)</f>
        <v>12081000</v>
      </c>
      <c r="F21" s="52">
        <f>-SUMIFS(FINANCIACION[$ CAPITAL],
FINANCIACION[Fecha],"&lt;="&amp;EOMONTH(F$1,0),
FINANCIACION[PRESTAMO],$A21)</f>
        <v>12081000</v>
      </c>
      <c r="G21" s="52">
        <f>-SUMIFS(FINANCIACION[$ CAPITAL],
FINANCIACION[Fecha],"&lt;="&amp;EOMONTH(G$1,0),
FINANCIACION[PRESTAMO],$A21)</f>
        <v>12081000</v>
      </c>
      <c r="H21" s="52">
        <f>-SUMIFS(FINANCIACION[$ CAPITAL],
FINANCIACION[Fecha],"&lt;="&amp;EOMONTH(H$1,0),
FINANCIACION[PRESTAMO],$A21)</f>
        <v>12081000</v>
      </c>
      <c r="I21" s="52">
        <f>-SUMIFS(FINANCIACION[$ CAPITAL],
FINANCIACION[Fecha],"&lt;="&amp;EOMONTH(I$1,0),
FINANCIACION[PRESTAMO],$A21)</f>
        <v>12081000</v>
      </c>
      <c r="J21" s="52">
        <f>-SUMIFS(FINANCIACION[$ CAPITAL],
FINANCIACION[Fecha],"&lt;="&amp;EOMONTH(J$1,0),
FINANCIACION[PRESTAMO],$A21)</f>
        <v>12081000</v>
      </c>
      <c r="K21" s="52">
        <f>-SUMIFS(FINANCIACION[$ CAPITAL],
FINANCIACION[Fecha],"&lt;="&amp;EOMONTH(K$1,0),
FINANCIACION[PRESTAMO],$A21)</f>
        <v>12081000</v>
      </c>
      <c r="L21" s="52">
        <f>-SUMIFS(FINANCIACION[$ CAPITAL],
FINANCIACION[Fecha],"&lt;="&amp;EOMONTH(L$1,0),
FINANCIACION[PRESTAMO],$A21)</f>
        <v>12081000</v>
      </c>
      <c r="M21" s="52">
        <f>-SUMIFS(FINANCIACION[$ CAPITAL],
FINANCIACION[Fecha],"&lt;="&amp;EOMONTH(M$1,0),
FINANCIACION[PRESTAMO],$A21)</f>
        <v>12081000</v>
      </c>
      <c r="N21" s="52">
        <f>-SUMIFS(FINANCIACION[$ CAPITAL],
FINANCIACION[Fecha],"&lt;="&amp;EOMONTH(N$1,0),
FINANCIACION[PRESTAMO],$A21)</f>
        <v>12081000</v>
      </c>
      <c r="O21" s="52">
        <f>-SUMIFS(FINANCIACION[$ CAPITAL],
FINANCIACION[Fecha],"&lt;="&amp;EOMONTH(O$1,0),
FINANCIACION[PRESTAMO],$A21)</f>
        <v>12081000</v>
      </c>
      <c r="P21" s="52">
        <f>-SUMIFS(FINANCIACION[$ CAPITAL],
FINANCIACION[Fecha],"&lt;="&amp;EOMONTH(P$1,0),
FINANCIACION[PRESTAMO],$A21)</f>
        <v>12081000</v>
      </c>
      <c r="Q21" s="52">
        <f>-SUMIFS(FINANCIACION[$ CAPITAL],
FINANCIACION[Fecha],"&lt;="&amp;EOMONTH(Q$1,0),
FINANCIACION[PRESTAMO],$A21)</f>
        <v>0</v>
      </c>
    </row>
    <row r="22" spans="1:17" ht="21.6" customHeight="1" x14ac:dyDescent="0.25">
      <c r="A22" s="41" t="s">
        <v>1342</v>
      </c>
      <c r="B22" s="52">
        <f>-SUMIFS(FINANCIACION[$ CAPITAL],
FINANCIACION[Fecha],"&lt;="&amp;EOMONTH(B$1,0),
FINANCIACION[PRESTAMO],$A22)</f>
        <v>0</v>
      </c>
      <c r="C22" s="52">
        <f>-SUMIFS(FINANCIACION[$ CAPITAL],
FINANCIACION[Fecha],"&lt;="&amp;EOMONTH(C$1,0),
FINANCIACION[PRESTAMO],$A22)</f>
        <v>0</v>
      </c>
      <c r="D22" s="52">
        <f>-SUMIFS(FINANCIACION[$ CAPITAL],
FINANCIACION[Fecha],"&lt;="&amp;EOMONTH(D$1,0),
FINANCIACION[PRESTAMO],$A22)</f>
        <v>0</v>
      </c>
      <c r="E22" s="52">
        <f>-SUMIFS(FINANCIACION[$ CAPITAL],
FINANCIACION[Fecha],"&lt;="&amp;EOMONTH(E$1,0),
FINANCIACION[PRESTAMO],$A22)</f>
        <v>0</v>
      </c>
      <c r="F22" s="52">
        <f>-SUMIFS(FINANCIACION[$ CAPITAL],
FINANCIACION[Fecha],"&lt;="&amp;EOMONTH(F$1,0),
FINANCIACION[PRESTAMO],$A22)</f>
        <v>0</v>
      </c>
      <c r="G22" s="52">
        <f>-SUMIFS(FINANCIACION[$ CAPITAL],
FINANCIACION[Fecha],"&lt;="&amp;EOMONTH(G$1,0),
FINANCIACION[PRESTAMO],$A22)</f>
        <v>0</v>
      </c>
      <c r="H22" s="52">
        <f>-SUMIFS(FINANCIACION[$ CAPITAL],
FINANCIACION[Fecha],"&lt;="&amp;EOMONTH(H$1,0),
FINANCIACION[PRESTAMO],$A22)</f>
        <v>0</v>
      </c>
      <c r="I22" s="52">
        <f>-SUMIFS(FINANCIACION[$ CAPITAL],
FINANCIACION[Fecha],"&lt;="&amp;EOMONTH(I$1,0),
FINANCIACION[PRESTAMO],$A22)</f>
        <v>0</v>
      </c>
      <c r="J22" s="52">
        <f>-SUMIFS(FINANCIACION[$ CAPITAL],
FINANCIACION[Fecha],"&lt;="&amp;EOMONTH(J$1,0),
FINANCIACION[PRESTAMO],$A22)</f>
        <v>0</v>
      </c>
      <c r="K22" s="52">
        <f>-SUMIFS(FINANCIACION[$ CAPITAL],
FINANCIACION[Fecha],"&lt;="&amp;EOMONTH(K$1,0),
FINANCIACION[PRESTAMO],$A22)</f>
        <v>0</v>
      </c>
      <c r="L22" s="52">
        <f>-SUMIFS(FINANCIACION[$ CAPITAL],
FINANCIACION[Fecha],"&lt;="&amp;EOMONTH(L$1,0),
FINANCIACION[PRESTAMO],$A22)</f>
        <v>0</v>
      </c>
      <c r="M22" s="52">
        <f>-SUMIFS(FINANCIACION[$ CAPITAL],
FINANCIACION[Fecha],"&lt;="&amp;EOMONTH(M$1,0),
FINANCIACION[PRESTAMO],$A22)</f>
        <v>0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0</v>
      </c>
      <c r="P22" s="52">
        <f>-SUMIFS(FINANCIACION[$ CAPITAL],
FINANCIACION[Fecha],"&lt;="&amp;EOMONTH(P$1,0),
FINANCIACION[PRESTAMO],$A22)</f>
        <v>0</v>
      </c>
      <c r="Q22" s="52">
        <f>-SUMIFS(FINANCIACION[$ CAPITAL],
FINANCIACION[Fecha],"&lt;="&amp;EOMONTH(Q$1,0),
FINANCIACION[PRESTAMO],$A22)</f>
        <v>97222000</v>
      </c>
    </row>
    <row r="23" spans="1:17" ht="21.6" customHeight="1" x14ac:dyDescent="0.25">
      <c r="A23" s="41" t="s">
        <v>1565</v>
      </c>
      <c r="B23" s="52">
        <f>-SUMIFS(FINANCIACION[$ CAPITAL],
FINANCIACION[Fecha],"&lt;="&amp;EOMONTH(B$1,0),
FINANCIACION[PRESTAMO],$A23)</f>
        <v>0</v>
      </c>
      <c r="C23" s="52">
        <f>-SUMIFS(FINANCIACION[$ CAPITAL],
FINANCIACION[Fecha],"&lt;="&amp;EOMONTH(C$1,0),
FINANCIACION[PRESTAMO],$A23)</f>
        <v>0</v>
      </c>
      <c r="D23" s="52">
        <f>-SUMIFS(FINANCIACION[$ CAPITAL],
FINANCIACION[Fecha],"&lt;="&amp;EOMONTH(D$1,0),
FINANCIACION[PRESTAMO],$A23)</f>
        <v>0</v>
      </c>
      <c r="E23" s="52">
        <f>-SUMIFS(FINANCIACION[$ CAPITAL],
FINANCIACION[Fecha],"&lt;="&amp;EOMONTH(E$1,0),
FINANCIACION[PRESTAMO],$A23)</f>
        <v>0</v>
      </c>
      <c r="F23" s="52">
        <f>-SUMIFS(FINANCIACION[$ CAPITAL],
FINANCIACION[Fecha],"&lt;="&amp;EOMONTH(F$1,0),
FINANCIACION[PRESTAMO],$A23)</f>
        <v>0</v>
      </c>
      <c r="G23" s="52">
        <f>-SUMIFS(FINANCIACION[$ CAPITAL],
FINANCIACION[Fecha],"&lt;="&amp;EOMONTH(G$1,0),
FINANCIACION[PRESTAMO],$A23)</f>
        <v>0</v>
      </c>
      <c r="H23" s="52">
        <f>-SUMIFS(FINANCIACION[$ CAPITAL],
FINANCIACION[Fecha],"&lt;="&amp;EOMONTH(H$1,0),
FINANCIACION[PRESTAMO],$A23)</f>
        <v>0</v>
      </c>
      <c r="I23" s="52">
        <f>-SUMIFS(FINANCIACION[$ CAPITAL],
FINANCIACION[Fecha],"&lt;="&amp;EOMONTH(I$1,0),
FINANCIACION[PRESTAMO],$A23)</f>
        <v>0</v>
      </c>
      <c r="J23" s="52">
        <f>-SUMIFS(FINANCIACION[$ CAPITAL],
FINANCIACION[Fecha],"&lt;="&amp;EOMONTH(J$1,0),
FINANCIACION[PRESTAMO],$A23)</f>
        <v>0</v>
      </c>
      <c r="K23" s="52">
        <f>-SUMIFS(FINANCIACION[$ CAPITAL],
FINANCIACION[Fecha],"&lt;="&amp;EOMONTH(K$1,0),
FINANCIACION[PRESTAMO],$A23)</f>
        <v>0</v>
      </c>
      <c r="L23" s="52">
        <f>-SUMIFS(FINANCIACION[$ CAPITAL],
FINANCIACION[Fecha],"&lt;="&amp;EOMONTH(L$1,0),
FINANCIACION[PRESTAMO],$A23)</f>
        <v>0</v>
      </c>
      <c r="M23" s="52">
        <f>-SUMIFS(FINANCIACION[$ CAPITAL],
FINANCIACION[Fecha],"&lt;="&amp;EOMONTH(M$1,0),
FINANCIACION[PRESTAMO],$A23)</f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</row>
    <row r="24" spans="1:17" ht="21.6" customHeight="1" x14ac:dyDescent="0.25">
      <c r="A24" s="41" t="s">
        <v>1480</v>
      </c>
      <c r="B24" s="52">
        <f>-SUMIFS(FINANCIACION[$ CAPITAL],
FINANCIACION[Fecha],"&lt;="&amp;EOMONTH(B$1,0),
FINANCIACION[PRESTAMO],$A24)</f>
        <v>82320576.00999999</v>
      </c>
      <c r="C24" s="52">
        <f>-SUMIFS(FINANCIACION[$ CAPITAL],
FINANCIACION[Fecha],"&lt;="&amp;EOMONTH(C$1,0),
FINANCIACION[PRESTAMO],$A24)</f>
        <v>82320576.00999999</v>
      </c>
      <c r="D24" s="52">
        <f>-SUMIFS(FINANCIACION[$ CAPITAL],
FINANCIACION[Fecha],"&lt;="&amp;EOMONTH(D$1,0),
FINANCIACION[PRESTAMO],$A24)</f>
        <v>82320576.00999999</v>
      </c>
      <c r="E24" s="52">
        <f>-SUMIFS(FINANCIACION[$ CAPITAL],
FINANCIACION[Fecha],"&lt;="&amp;EOMONTH(E$1,0),
FINANCIACION[PRESTAMO],$A24)</f>
        <v>68083880.449999988</v>
      </c>
      <c r="F24" s="52">
        <f>-SUMIFS(FINANCIACION[$ CAPITAL],
FINANCIACION[Fecha],"&lt;="&amp;EOMONTH(F$1,0),
FINANCIACION[PRESTAMO],$A24)</f>
        <v>68083880.449999988</v>
      </c>
      <c r="G24" s="52">
        <f>-SUMIFS(FINANCIACION[$ CAPITAL],
FINANCIACION[Fecha],"&lt;="&amp;EOMONTH(G$1,0),
FINANCIACION[PRESTAMO],$A24)</f>
        <v>68083880.449999988</v>
      </c>
      <c r="H24" s="52">
        <f>-SUMIFS(FINANCIACION[$ CAPITAL],
FINANCIACION[Fecha],"&lt;="&amp;EOMONTH(H$1,0),
FINANCIACION[PRESTAMO],$A24)</f>
        <v>68083880.449999988</v>
      </c>
      <c r="I24" s="52">
        <f>-SUMIFS(FINANCIACION[$ CAPITAL],
FINANCIACION[Fecha],"&lt;="&amp;EOMONTH(I$1,0),
FINANCIACION[PRESTAMO],$A24)</f>
        <v>68083880.449999988</v>
      </c>
      <c r="J24" s="52">
        <f>-SUMIFS(FINANCIACION[$ CAPITAL],
FINANCIACION[Fecha],"&lt;="&amp;EOMONTH(J$1,0),
FINANCIACION[PRESTAMO],$A24)</f>
        <v>68083880.449999988</v>
      </c>
      <c r="K24" s="52">
        <f>-SUMIFS(FINANCIACION[$ CAPITAL],
FINANCIACION[Fecha],"&lt;="&amp;EOMONTH(K$1,0),
FINANCIACION[PRESTAMO],$A24)</f>
        <v>68083880.449999988</v>
      </c>
      <c r="L24" s="52">
        <f>-SUMIFS(FINANCIACION[$ CAPITAL],
FINANCIACION[Fecha],"&lt;="&amp;EOMONTH(L$1,0),
FINANCIACION[PRESTAMO],$A24)</f>
        <v>68083880.449999988</v>
      </c>
      <c r="M24" s="52">
        <f>-SUMIFS(FINANCIACION[$ CAPITAL],
FINANCIACION[Fecha],"&lt;="&amp;EOMONTH(M$1,0),
FINANCIACION[PRESTAMO],$A24)</f>
        <v>68083880.449999988</v>
      </c>
      <c r="N24" s="52">
        <f>-SUMIFS(FINANCIACION[$ CAPITAL],
FINANCIACION[Fecha],"&lt;="&amp;EOMONTH(N$1,0),
FINANCIACION[PRESTAMO],$A24)</f>
        <v>68083880.449999988</v>
      </c>
      <c r="O24" s="52">
        <f>-SUMIFS(FINANCIACION[$ CAPITAL],
FINANCIACION[Fecha],"&lt;="&amp;EOMONTH(O$1,0),
FINANCIACION[PRESTAMO],$A24)</f>
        <v>68083880.449999988</v>
      </c>
      <c r="P24" s="52">
        <f>-SUMIFS(FINANCIACION[$ CAPITAL],
FINANCIACION[Fecha],"&lt;="&amp;EOMONTH(P$1,0),
FINANCIACION[PRESTAMO],$A24)</f>
        <v>68083880.449999988</v>
      </c>
      <c r="Q24" s="52">
        <f>-SUMIFS(FINANCIACION[$ CAPITAL],
FINANCIACION[Fecha],"&lt;="&amp;EOMONTH(Q$1,0),
FINANCIACION[PRESTAMO],$A24)</f>
        <v>48994097.489999995</v>
      </c>
    </row>
    <row r="25" spans="1:17" ht="21.6" customHeight="1" x14ac:dyDescent="0.25">
      <c r="A25" s="41" t="s">
        <v>650</v>
      </c>
      <c r="B25" s="52">
        <f>-SUMIFS(FINANCIACION[$ CAPITAL],
FINANCIACION[Fecha],"&lt;="&amp;EOMONTH(B$1,0),
FINANCIACION[PRESTAMO],$A25)</f>
        <v>0</v>
      </c>
      <c r="C25" s="52">
        <f>-SUMIFS(FINANCIACION[$ CAPITAL],
FINANCIACION[Fecha],"&lt;="&amp;EOMONTH(C$1,0),
FINANCIACION[PRESTAMO],$A25)</f>
        <v>0</v>
      </c>
      <c r="D25" s="52">
        <f>-SUMIFS(FINANCIACION[$ CAPITAL],
FINANCIACION[Fecha],"&lt;="&amp;EOMONTH(D$1,0),
FINANCIACION[PRESTAMO],$A25)</f>
        <v>0</v>
      </c>
      <c r="E25" s="52">
        <f>-SUMIFS(FINANCIACION[$ CAPITAL],
FINANCIACION[Fecha],"&lt;="&amp;EOMONTH(E$1,0),
FINANCIACION[PRESTAMO],$A25)</f>
        <v>0</v>
      </c>
      <c r="F25" s="52">
        <f>-SUMIFS(FINANCIACION[$ CAPITAL],
FINANCIACION[Fecha],"&lt;="&amp;EOMONTH(F$1,0),
FINANCIACION[PRESTAMO],$A25)</f>
        <v>0</v>
      </c>
      <c r="G25" s="52">
        <f>-SUMIFS(FINANCIACION[$ CAPITAL],
FINANCIACION[Fecha],"&lt;="&amp;EOMONTH(G$1,0),
FINANCIACION[PRESTAMO],$A25)</f>
        <v>0</v>
      </c>
      <c r="H25" s="52">
        <f>-SUMIFS(FINANCIACION[$ CAPITAL],
FINANCIACION[Fecha],"&lt;="&amp;EOMONTH(H$1,0),
FINANCIACION[PRESTAMO],$A25)</f>
        <v>0</v>
      </c>
      <c r="I25" s="52">
        <f>-SUMIFS(FINANCIACION[$ CAPITAL],
FINANCIACION[Fecha],"&lt;="&amp;EOMONTH(I$1,0),
FINANCIACION[PRESTAMO],$A25)</f>
        <v>0</v>
      </c>
      <c r="J25" s="52">
        <f>-SUMIFS(FINANCIACION[$ CAPITAL],
FINANCIACION[Fecha],"&lt;="&amp;EOMONTH(J$1,0),
FINANCIACION[PRESTAMO],$A25)</f>
        <v>0</v>
      </c>
      <c r="K25" s="52">
        <f>-SUMIFS(FINANCIACION[$ CAPITAL],
FINANCIACION[Fecha],"&lt;="&amp;EOMONTH(K$1,0),
FINANCIACION[PRESTAMO],$A25)</f>
        <v>0</v>
      </c>
      <c r="L25" s="52">
        <f>-SUMIFS(FINANCIACION[$ CAPITAL],
FINANCIACION[Fecha],"&lt;="&amp;EOMONTH(L$1,0),
FINANCIACION[PRESTAMO],$A25)</f>
        <v>0</v>
      </c>
      <c r="M25" s="52">
        <f>-SUMIFS(FINANCIACION[$ CAPITAL],
FINANCIACION[Fecha],"&lt;="&amp;EOMONTH(M$1,0),
FINANCIACION[PRESTAMO],$A25)</f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60000000</v>
      </c>
    </row>
    <row r="26" spans="1:17" ht="21.6" customHeight="1" x14ac:dyDescent="0.25">
      <c r="A26" s="41" t="s">
        <v>365</v>
      </c>
      <c r="B26" s="52">
        <f>-SUMIFS(FINANCIACION[$ CAPITAL],
FINANCIACION[Fecha],"&lt;="&amp;EOMONTH(B$1,0),
FINANCIACION[PRESTAMO],$A26)</f>
        <v>388417656</v>
      </c>
      <c r="C26" s="52">
        <f>-SUMIFS(FINANCIACION[$ CAPITAL],
FINANCIACION[Fecha],"&lt;="&amp;EOMONTH(C$1,0),
FINANCIACION[PRESTAMO],$A26)</f>
        <v>388417656</v>
      </c>
      <c r="D26" s="52">
        <f>-SUMIFS(FINANCIACION[$ CAPITAL],
FINANCIACION[Fecha],"&lt;="&amp;EOMONTH(D$1,0),
FINANCIACION[PRESTAMO],$A26)</f>
        <v>388417656</v>
      </c>
      <c r="E26" s="52">
        <f>-SUMIFS(FINANCIACION[$ CAPITAL],
FINANCIACION[Fecha],"&lt;="&amp;EOMONTH(E$1,0),
FINANCIACION[PRESTAMO],$A26)</f>
        <v>356329990</v>
      </c>
      <c r="F26" s="52">
        <f>-SUMIFS(FINANCIACION[$ CAPITAL],
FINANCIACION[Fecha],"&lt;="&amp;EOMONTH(F$1,0),
FINANCIACION[PRESTAMO],$A26)</f>
        <v>356329990</v>
      </c>
      <c r="G26" s="52">
        <f>-SUMIFS(FINANCIACION[$ CAPITAL],
FINANCIACION[Fecha],"&lt;="&amp;EOMONTH(G$1,0),
FINANCIACION[PRESTAMO],$A26)</f>
        <v>356329990</v>
      </c>
      <c r="H26" s="52">
        <f>-SUMIFS(FINANCIACION[$ CAPITAL],
FINANCIACION[Fecha],"&lt;="&amp;EOMONTH(H$1,0),
FINANCIACION[PRESTAMO],$A26)</f>
        <v>356329990</v>
      </c>
      <c r="I26" s="52">
        <f>-SUMIFS(FINANCIACION[$ CAPITAL],
FINANCIACION[Fecha],"&lt;="&amp;EOMONTH(I$1,0),
FINANCIACION[PRESTAMO],$A26)</f>
        <v>356329990</v>
      </c>
      <c r="J26" s="52">
        <f>-SUMIFS(FINANCIACION[$ CAPITAL],
FINANCIACION[Fecha],"&lt;="&amp;EOMONTH(J$1,0),
FINANCIACION[PRESTAMO],$A26)</f>
        <v>356329990</v>
      </c>
      <c r="K26" s="52">
        <f>-SUMIFS(FINANCIACION[$ CAPITAL],
FINANCIACION[Fecha],"&lt;="&amp;EOMONTH(K$1,0),
FINANCIACION[PRESTAMO],$A26)</f>
        <v>356329990</v>
      </c>
      <c r="L26" s="52">
        <f>-SUMIFS(FINANCIACION[$ CAPITAL],
FINANCIACION[Fecha],"&lt;="&amp;EOMONTH(L$1,0),
FINANCIACION[PRESTAMO],$A26)</f>
        <v>356329990</v>
      </c>
      <c r="M26" s="52">
        <f>-SUMIFS(FINANCIACION[$ CAPITAL],
FINANCIACION[Fecha],"&lt;="&amp;EOMONTH(M$1,0),
FINANCIACION[PRESTAMO],$A26)</f>
        <v>356329990</v>
      </c>
      <c r="N26" s="52">
        <f>-SUMIFS(FINANCIACION[$ CAPITAL],
FINANCIACION[Fecha],"&lt;="&amp;EOMONTH(N$1,0),
FINANCIACION[PRESTAMO],$A26)</f>
        <v>356329990</v>
      </c>
      <c r="O26" s="52">
        <f>-SUMIFS(FINANCIACION[$ CAPITAL],
FINANCIACION[Fecha],"&lt;="&amp;EOMONTH(O$1,0),
FINANCIACION[PRESTAMO],$A26)</f>
        <v>356329990</v>
      </c>
      <c r="P26" s="52">
        <f>-SUMIFS(FINANCIACION[$ CAPITAL],
FINANCIACION[Fecha],"&lt;="&amp;EOMONTH(P$1,0),
FINANCIACION[PRESTAMO],$A26)</f>
        <v>356329990</v>
      </c>
      <c r="Q26" s="52">
        <f>-SUMIFS(FINANCIACION[$ CAPITAL],
FINANCIACION[Fecha],"&lt;="&amp;EOMONTH(Q$1,0),
FINANCIACION[PRESTAMO],$A26)</f>
        <v>338121906</v>
      </c>
    </row>
    <row r="27" spans="1:17" ht="21.6" customHeight="1" x14ac:dyDescent="0.25">
      <c r="A27" s="41" t="s">
        <v>1477</v>
      </c>
      <c r="B27" s="52">
        <f>-SUMIFS(FINANCIACION[$ CAPITAL],
FINANCIACION[Fecha],"&lt;="&amp;EOMONTH(B$1,0),
FINANCIACION[PRESTAMO],$A27)</f>
        <v>30496000</v>
      </c>
      <c r="C27" s="52">
        <f>-SUMIFS(FINANCIACION[$ CAPITAL],
FINANCIACION[Fecha],"&lt;="&amp;EOMONTH(C$1,0),
FINANCIACION[PRESTAMO],$A27)</f>
        <v>30496000</v>
      </c>
      <c r="D27" s="52">
        <f>-SUMIFS(FINANCIACION[$ CAPITAL],
FINANCIACION[Fecha],"&lt;="&amp;EOMONTH(D$1,0),
FINANCIACION[PRESTAMO],$A27)</f>
        <v>30496000</v>
      </c>
      <c r="E27" s="52">
        <f>-SUMIFS(FINANCIACION[$ CAPITAL],
FINANCIACION[Fecha],"&lt;="&amp;EOMONTH(E$1,0),
FINANCIACION[PRESTAMO],$A27)</f>
        <v>7459000</v>
      </c>
      <c r="F27" s="52">
        <f>-SUMIFS(FINANCIACION[$ CAPITAL],
FINANCIACION[Fecha],"&lt;="&amp;EOMONTH(F$1,0),
FINANCIACION[PRESTAMO],$A27)</f>
        <v>7459000</v>
      </c>
      <c r="G27" s="52">
        <f>-SUMIFS(FINANCIACION[$ CAPITAL],
FINANCIACION[Fecha],"&lt;="&amp;EOMONTH(G$1,0),
FINANCIACION[PRESTAMO],$A27)</f>
        <v>7459000</v>
      </c>
      <c r="H27" s="52">
        <f>-SUMIFS(FINANCIACION[$ CAPITAL],
FINANCIACION[Fecha],"&lt;="&amp;EOMONTH(H$1,0),
FINANCIACION[PRESTAMO],$A27)</f>
        <v>7459000</v>
      </c>
      <c r="I27" s="52">
        <f>-SUMIFS(FINANCIACION[$ CAPITAL],
FINANCIACION[Fecha],"&lt;="&amp;EOMONTH(I$1,0),
FINANCIACION[PRESTAMO],$A27)</f>
        <v>7459000</v>
      </c>
      <c r="J27" s="52">
        <f>-SUMIFS(FINANCIACION[$ CAPITAL],
FINANCIACION[Fecha],"&lt;="&amp;EOMONTH(J$1,0),
FINANCIACION[PRESTAMO],$A27)</f>
        <v>7459000</v>
      </c>
      <c r="K27" s="52">
        <f>-SUMIFS(FINANCIACION[$ CAPITAL],
FINANCIACION[Fecha],"&lt;="&amp;EOMONTH(K$1,0),
FINANCIACION[PRESTAMO],$A27)</f>
        <v>7459000</v>
      </c>
      <c r="L27" s="52">
        <f>-SUMIFS(FINANCIACION[$ CAPITAL],
FINANCIACION[Fecha],"&lt;="&amp;EOMONTH(L$1,0),
FINANCIACION[PRESTAMO],$A27)</f>
        <v>7459000</v>
      </c>
      <c r="M27" s="52">
        <f>-SUMIFS(FINANCIACION[$ CAPITAL],
FINANCIACION[Fecha],"&lt;="&amp;EOMONTH(M$1,0),
FINANCIACION[PRESTAMO],$A27)</f>
        <v>7459000</v>
      </c>
      <c r="N27" s="52">
        <f>-SUMIFS(FINANCIACION[$ CAPITAL],
FINANCIACION[Fecha],"&lt;="&amp;EOMONTH(N$1,0),
FINANCIACION[PRESTAMO],$A27)</f>
        <v>7459000</v>
      </c>
      <c r="O27" s="52">
        <f>-SUMIFS(FINANCIACION[$ CAPITAL],
FINANCIACION[Fecha],"&lt;="&amp;EOMONTH(O$1,0),
FINANCIACION[PRESTAMO],$A27)</f>
        <v>7459000</v>
      </c>
      <c r="P27" s="52">
        <f>-SUMIFS(FINANCIACION[$ CAPITAL],
FINANCIACION[Fecha],"&lt;="&amp;EOMONTH(P$1,0),
FINANCIACION[PRESTAMO],$A27)</f>
        <v>7459000</v>
      </c>
      <c r="Q27" s="52">
        <f>-SUMIFS(FINANCIACION[$ CAPITAL],
FINANCIACION[Fecha],"&lt;="&amp;EOMONTH(Q$1,0),
FINANCIACION[PRESTAMO],$A27)</f>
        <v>16864000</v>
      </c>
    </row>
    <row r="28" spans="1:17" ht="21.6" customHeight="1" x14ac:dyDescent="0.25">
      <c r="A28" s="41" t="s">
        <v>1479</v>
      </c>
      <c r="B28" s="52">
        <f>-SUMIFS(FINANCIACION[$ CAPITAL],
FINANCIACION[Fecha],"&lt;="&amp;EOMONTH(B$1,0),
FINANCIACION[PRESTAMO],$A28)</f>
        <v>0</v>
      </c>
      <c r="C28" s="52">
        <f>-SUMIFS(FINANCIACION[$ CAPITAL],
FINANCIACION[Fecha],"&lt;="&amp;EOMONTH(C$1,0),
FINANCIACION[PRESTAMO],$A28)</f>
        <v>0</v>
      </c>
      <c r="D28" s="52">
        <f>-SUMIFS(FINANCIACION[$ CAPITAL],
FINANCIACION[Fecha],"&lt;="&amp;EOMONTH(D$1,0),
FINANCIACION[PRESTAMO],$A28)</f>
        <v>0</v>
      </c>
      <c r="E28" s="52">
        <f>-SUMIFS(FINANCIACION[$ CAPITAL],
FINANCIACION[Fecha],"&lt;="&amp;EOMONTH(E$1,0),
FINANCIACION[PRESTAMO],$A28)</f>
        <v>0</v>
      </c>
      <c r="F28" s="52">
        <f>-SUMIFS(FINANCIACION[$ CAPITAL],
FINANCIACION[Fecha],"&lt;="&amp;EOMONTH(F$1,0),
FINANCIACION[PRESTAMO],$A28)</f>
        <v>0</v>
      </c>
      <c r="G28" s="52">
        <f>-SUMIFS(FINANCIACION[$ CAPITAL],
FINANCIACION[Fecha],"&lt;="&amp;EOMONTH(G$1,0),
FINANCIACION[PRESTAMO],$A28)</f>
        <v>0</v>
      </c>
      <c r="H28" s="52">
        <f>-SUMIFS(FINANCIACION[$ CAPITAL],
FINANCIACION[Fecha],"&lt;="&amp;EOMONTH(H$1,0),
FINANCIACION[PRESTAMO],$A28)</f>
        <v>0</v>
      </c>
      <c r="I28" s="52">
        <f>-SUMIFS(FINANCIACION[$ CAPITAL],
FINANCIACION[Fecha],"&lt;="&amp;EOMONTH(I$1,0),
FINANCIACION[PRESTAMO],$A28)</f>
        <v>0</v>
      </c>
      <c r="J28" s="52">
        <f>-SUMIFS(FINANCIACION[$ CAPITAL],
FINANCIACION[Fecha],"&lt;="&amp;EOMONTH(J$1,0),
FINANCIACION[PRESTAMO],$A28)</f>
        <v>0</v>
      </c>
      <c r="K28" s="52">
        <f>-SUMIFS(FINANCIACION[$ CAPITAL],
FINANCIACION[Fecha],"&lt;="&amp;EOMONTH(K$1,0),
FINANCIACION[PRESTAMO],$A28)</f>
        <v>0</v>
      </c>
      <c r="L28" s="52">
        <f>-SUMIFS(FINANCIACION[$ CAPITAL],
FINANCIACION[Fecha],"&lt;="&amp;EOMONTH(L$1,0),
FINANCIACION[PRESTAMO],$A28)</f>
        <v>0</v>
      </c>
      <c r="M28" s="52">
        <f>-SUMIFS(FINANCIACION[$ CAPITAL],
FINANCIACION[Fecha],"&lt;="&amp;EOMONTH(M$1,0),
FINANCIACION[PRESTAMO],$A28)</f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707640</v>
      </c>
    </row>
    <row r="29" spans="1:17" ht="21.6" customHeight="1" x14ac:dyDescent="0.25">
      <c r="A29" s="41" t="s">
        <v>1478</v>
      </c>
      <c r="B29" s="52">
        <f>-SUMIFS(FINANCIACION[$ CAPITAL],
FINANCIACION[Fecha],"&lt;="&amp;EOMONTH(B$1,0),
FINANCIACION[PRESTAMO],$A29)</f>
        <v>0</v>
      </c>
      <c r="C29" s="52">
        <f>-SUMIFS(FINANCIACION[$ CAPITAL],
FINANCIACION[Fecha],"&lt;="&amp;EOMONTH(C$1,0),
FINANCIACION[PRESTAMO],$A29)</f>
        <v>0</v>
      </c>
      <c r="D29" s="52">
        <f>-SUMIFS(FINANCIACION[$ CAPITAL],
FINANCIACION[Fecha],"&lt;="&amp;EOMONTH(D$1,0),
FINANCIACION[PRESTAMO],$A29)</f>
        <v>0</v>
      </c>
      <c r="E29" s="52">
        <f>-SUMIFS(FINANCIACION[$ CAPITAL],
FINANCIACION[Fecha],"&lt;="&amp;EOMONTH(E$1,0),
FINANCIACION[PRESTAMO],$A29)</f>
        <v>14662059</v>
      </c>
      <c r="F29" s="52">
        <f>-SUMIFS(FINANCIACION[$ CAPITAL],
FINANCIACION[Fecha],"&lt;="&amp;EOMONTH(F$1,0),
FINANCIACION[PRESTAMO],$A29)</f>
        <v>14662059</v>
      </c>
      <c r="G29" s="52">
        <f>-SUMIFS(FINANCIACION[$ CAPITAL],
FINANCIACION[Fecha],"&lt;="&amp;EOMONTH(G$1,0),
FINANCIACION[PRESTAMO],$A29)</f>
        <v>14662059</v>
      </c>
      <c r="H29" s="52">
        <f>-SUMIFS(FINANCIACION[$ CAPITAL],
FINANCIACION[Fecha],"&lt;="&amp;EOMONTH(H$1,0),
FINANCIACION[PRESTAMO],$A29)</f>
        <v>14662059</v>
      </c>
      <c r="I29" s="52">
        <f>-SUMIFS(FINANCIACION[$ CAPITAL],
FINANCIACION[Fecha],"&lt;="&amp;EOMONTH(I$1,0),
FINANCIACION[PRESTAMO],$A29)</f>
        <v>14662059</v>
      </c>
      <c r="J29" s="52">
        <f>-SUMIFS(FINANCIACION[$ CAPITAL],
FINANCIACION[Fecha],"&lt;="&amp;EOMONTH(J$1,0),
FINANCIACION[PRESTAMO],$A29)</f>
        <v>14662059</v>
      </c>
      <c r="K29" s="52">
        <f>-SUMIFS(FINANCIACION[$ CAPITAL],
FINANCIACION[Fecha],"&lt;="&amp;EOMONTH(K$1,0),
FINANCIACION[PRESTAMO],$A29)</f>
        <v>14662059</v>
      </c>
      <c r="L29" s="52">
        <f>-SUMIFS(FINANCIACION[$ CAPITAL],
FINANCIACION[Fecha],"&lt;="&amp;EOMONTH(L$1,0),
FINANCIACION[PRESTAMO],$A29)</f>
        <v>14662059</v>
      </c>
      <c r="M29" s="52">
        <f>-SUMIFS(FINANCIACION[$ CAPITAL],
FINANCIACION[Fecha],"&lt;="&amp;EOMONTH(M$1,0),
FINANCIACION[PRESTAMO],$A29)</f>
        <v>14662059</v>
      </c>
      <c r="N29" s="52">
        <f>-SUMIFS(FINANCIACION[$ CAPITAL],
FINANCIACION[Fecha],"&lt;="&amp;EOMONTH(N$1,0),
FINANCIACION[PRESTAMO],$A29)</f>
        <v>14662059</v>
      </c>
      <c r="O29" s="52">
        <f>-SUMIFS(FINANCIACION[$ CAPITAL],
FINANCIACION[Fecha],"&lt;="&amp;EOMONTH(O$1,0),
FINANCIACION[PRESTAMO],$A29)</f>
        <v>14662059</v>
      </c>
      <c r="P29" s="52">
        <f>-SUMIFS(FINANCIACION[$ CAPITAL],
FINANCIACION[Fecha],"&lt;="&amp;EOMONTH(P$1,0),
FINANCIACION[PRESTAMO],$A29)</f>
        <v>14662059</v>
      </c>
      <c r="Q29" s="52">
        <f>-SUMIFS(FINANCIACION[$ CAPITAL],
FINANCIACION[Fecha],"&lt;="&amp;EOMONTH(Q$1,0),
FINANCIACION[PRESTAMO],$A29)</f>
        <v>11619746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1270"/>
  <sheetViews>
    <sheetView zoomScale="130" zoomScaleNormal="130" workbookViewId="0">
      <selection activeCell="W4" sqref="W4"/>
    </sheetView>
  </sheetViews>
  <sheetFormatPr baseColWidth="10" defaultColWidth="0" defaultRowHeight="15" x14ac:dyDescent="0.25"/>
  <cols>
    <col min="1" max="1" width="13" customWidth="1"/>
    <col min="2" max="4" width="11.42578125" hidden="1" customWidth="1"/>
    <col min="5" max="5" width="17.42578125" style="119" customWidth="1"/>
    <col min="6" max="6" width="27.42578125" customWidth="1"/>
    <col min="7" max="7" width="24.5703125" style="119" customWidth="1"/>
    <col min="8" max="15" width="11.42578125" hidden="1" customWidth="1"/>
    <col min="16" max="16" width="15.5703125" style="101" customWidth="1"/>
    <col min="17" max="17" width="14.5703125" style="101" hidden="1" customWidth="1"/>
    <col min="18" max="18" width="14.5703125" style="113" hidden="1" customWidth="1"/>
    <col min="19" max="19" width="12.42578125" hidden="1" customWidth="1"/>
    <col min="20" max="20" width="16.42578125" style="113" hidden="1" customWidth="1"/>
    <col min="21" max="21" width="11.5703125" hidden="1" customWidth="1"/>
    <col min="22" max="22" width="11.42578125" hidden="1" customWidth="1"/>
    <col min="23" max="23" width="17.5703125" style="115" customWidth="1"/>
    <col min="24" max="28" width="0" hidden="1" customWidth="1"/>
    <col min="29" max="16384" width="11.5703125" hidden="1"/>
  </cols>
  <sheetData>
    <row r="1" spans="1:28" ht="15.75" customHeight="1" x14ac:dyDescent="0.25">
      <c r="A1" s="111" t="s">
        <v>459</v>
      </c>
      <c r="B1" s="111"/>
      <c r="C1" s="111"/>
      <c r="D1" s="111"/>
      <c r="E1" s="118"/>
      <c r="F1" s="111"/>
      <c r="G1" s="118"/>
      <c r="H1" s="111"/>
      <c r="I1" s="111"/>
      <c r="J1" s="111"/>
      <c r="K1" s="111"/>
      <c r="L1" s="111"/>
      <c r="M1" s="111"/>
      <c r="N1" s="111"/>
      <c r="O1" s="111"/>
      <c r="P1" s="112"/>
      <c r="Q1" s="112"/>
      <c r="R1" s="117"/>
      <c r="W1" s="324" t="s">
        <v>436</v>
      </c>
    </row>
    <row r="2" spans="1:28" ht="15" customHeight="1" thickBot="1" x14ac:dyDescent="0.3">
      <c r="A2" s="111" t="s">
        <v>823</v>
      </c>
      <c r="B2" s="111"/>
      <c r="C2" s="111"/>
      <c r="D2" s="111"/>
      <c r="E2" s="118"/>
      <c r="F2" s="111"/>
      <c r="G2" s="118"/>
      <c r="H2" s="111"/>
      <c r="I2" s="111"/>
      <c r="J2" s="111"/>
      <c r="K2" s="111"/>
      <c r="L2" s="111"/>
      <c r="M2" s="111"/>
      <c r="N2" s="111"/>
      <c r="O2" s="111"/>
      <c r="P2" s="112"/>
      <c r="Q2" s="112"/>
      <c r="R2" s="117"/>
      <c r="W2" s="325"/>
    </row>
    <row r="3" spans="1:28" ht="16.5" customHeight="1" x14ac:dyDescent="0.25">
      <c r="A3" s="111" t="s">
        <v>437</v>
      </c>
      <c r="B3" s="111"/>
      <c r="C3" s="111"/>
      <c r="D3" s="111"/>
      <c r="E3" s="118"/>
      <c r="F3" s="111"/>
      <c r="G3" s="118"/>
      <c r="H3" s="111"/>
      <c r="I3" s="111"/>
      <c r="J3" s="111"/>
      <c r="K3" s="111"/>
      <c r="L3" s="111"/>
      <c r="M3" s="111"/>
      <c r="N3" s="111"/>
      <c r="O3" s="111"/>
      <c r="P3" s="112"/>
      <c r="Q3" s="112"/>
      <c r="R3" s="117"/>
      <c r="W3" s="127"/>
    </row>
    <row r="4" spans="1:28" ht="15.75" customHeight="1" thickBot="1" x14ac:dyDescent="0.3">
      <c r="A4" s="114" t="s">
        <v>442</v>
      </c>
      <c r="B4" s="111"/>
      <c r="C4" s="111"/>
      <c r="D4" s="111"/>
      <c r="E4" s="118"/>
      <c r="F4" s="111"/>
      <c r="G4" s="118"/>
      <c r="H4" s="111"/>
      <c r="I4" s="111"/>
      <c r="J4" s="111"/>
      <c r="K4" s="111"/>
      <c r="L4" s="111"/>
      <c r="M4" s="111"/>
      <c r="N4" s="111"/>
      <c r="O4" s="111"/>
      <c r="P4" s="112"/>
      <c r="Q4" s="112"/>
      <c r="R4" s="117"/>
      <c r="W4" s="251">
        <f>+SUMIFS(Tabla2[Total],Tabla2[VENCIDA],"vencida")</f>
        <v>62678888.981199995</v>
      </c>
      <c r="AB4" s="126"/>
    </row>
    <row r="5" spans="1:28" ht="16.5" thickBot="1" x14ac:dyDescent="0.3">
      <c r="A5" s="118" t="s">
        <v>479</v>
      </c>
      <c r="B5" s="111"/>
      <c r="C5" s="111"/>
      <c r="D5" s="111"/>
      <c r="E5" s="118"/>
      <c r="F5" s="111"/>
      <c r="G5" s="118"/>
      <c r="H5" s="114"/>
      <c r="I5" s="114"/>
      <c r="J5" s="114"/>
      <c r="K5" s="114"/>
      <c r="L5" s="114"/>
      <c r="M5" s="111"/>
      <c r="N5" s="111"/>
      <c r="O5" s="111"/>
      <c r="P5" s="112" t="s">
        <v>438</v>
      </c>
      <c r="Q5" s="112"/>
      <c r="R5" s="117"/>
      <c r="W5" s="116">
        <v>45322</v>
      </c>
    </row>
    <row r="6" spans="1:28" x14ac:dyDescent="0.25">
      <c r="A6" t="s">
        <v>4</v>
      </c>
      <c r="B6" t="s">
        <v>135</v>
      </c>
      <c r="C6" t="s">
        <v>5</v>
      </c>
      <c r="D6" t="s">
        <v>100</v>
      </c>
      <c r="E6" s="119" t="s">
        <v>6</v>
      </c>
      <c r="F6" t="s">
        <v>3</v>
      </c>
      <c r="G6" s="119" t="s">
        <v>1</v>
      </c>
      <c r="H6" t="s">
        <v>2</v>
      </c>
      <c r="I6" t="s">
        <v>82</v>
      </c>
      <c r="J6" t="s">
        <v>471</v>
      </c>
      <c r="K6" t="s">
        <v>83</v>
      </c>
      <c r="L6" t="s">
        <v>85</v>
      </c>
      <c r="M6" t="s">
        <v>470</v>
      </c>
      <c r="N6" t="s">
        <v>87</v>
      </c>
      <c r="O6" t="s">
        <v>86</v>
      </c>
      <c r="P6" s="101" t="s">
        <v>84</v>
      </c>
      <c r="Q6" s="101" t="s">
        <v>7</v>
      </c>
      <c r="R6" s="113" t="s">
        <v>324</v>
      </c>
      <c r="S6" s="94" t="s">
        <v>428</v>
      </c>
      <c r="T6" s="113" t="s">
        <v>439</v>
      </c>
      <c r="U6" t="s">
        <v>440</v>
      </c>
      <c r="V6" t="s">
        <v>441</v>
      </c>
      <c r="W6" s="115" t="s">
        <v>443</v>
      </c>
    </row>
    <row r="7" spans="1:28" ht="15.75" x14ac:dyDescent="0.25">
      <c r="A7" s="20">
        <v>30</v>
      </c>
      <c r="B7" s="25">
        <v>2169355.9580000001</v>
      </c>
      <c r="C7" s="25"/>
      <c r="D7" s="56" t="s">
        <v>164</v>
      </c>
      <c r="E7" s="66"/>
      <c r="F7" s="323" t="s">
        <v>18</v>
      </c>
      <c r="G7" s="66">
        <v>45295</v>
      </c>
      <c r="H7" s="35" t="s">
        <v>1492</v>
      </c>
      <c r="I7" s="21">
        <v>1895289</v>
      </c>
      <c r="J7" s="21"/>
      <c r="K7" s="22">
        <v>360104.91000000003</v>
      </c>
      <c r="L7" s="23"/>
      <c r="M7" s="22">
        <v>0</v>
      </c>
      <c r="N7" s="72">
        <v>2.5000000000000001E-2</v>
      </c>
      <c r="O7" s="22">
        <v>47382.225000000006</v>
      </c>
      <c r="P7" s="21">
        <v>2208011.6850000001</v>
      </c>
      <c r="S7" s="101" t="b">
        <f>OR(COUNTIF(Tabla2[[#This Row],[PROVEEDOR]],"*"&amp;'Palabra no opera'!$A$2&amp;"*"))</f>
        <v>0</v>
      </c>
      <c r="T7" s="113">
        <f>+$W$5-Tabla2[[#This Row],[FECHA DE FACTURACIÓN]]</f>
        <v>27</v>
      </c>
      <c r="U7" t="str">
        <f>+IF(Tabla2[[#This Row],[dias de credito]]&gt;=Tabla2[[#This Row],[PLAZO Días]],"venc", "No venc")</f>
        <v>No venc</v>
      </c>
      <c r="V7" t="str">
        <f>+IF(Tabla2[[#This Row],[FECHA DE PAGO]]&gt;0,"pagada","por pagar")</f>
        <v>por pagar</v>
      </c>
      <c r="W7" s="115" t="str">
        <f>+IF(AND(Tabla2[[#This Row],[venc]]="venc",Tabla2[[#This Row],[Columna1]]="por pagar"),"vencida","no")</f>
        <v>no</v>
      </c>
    </row>
    <row r="8" spans="1:28" ht="15.75" x14ac:dyDescent="0.25">
      <c r="A8" s="20">
        <v>30</v>
      </c>
      <c r="B8" s="25">
        <v>2923945.6174999997</v>
      </c>
      <c r="C8" s="25"/>
      <c r="D8" s="56" t="s">
        <v>1538</v>
      </c>
      <c r="E8" s="66"/>
      <c r="F8" s="323" t="s">
        <v>1526</v>
      </c>
      <c r="G8" s="66">
        <v>45287</v>
      </c>
      <c r="H8" s="35" t="s">
        <v>1438</v>
      </c>
      <c r="I8" s="21">
        <v>128442</v>
      </c>
      <c r="J8" s="21"/>
      <c r="K8" s="22">
        <v>24403.98</v>
      </c>
      <c r="L8" s="23"/>
      <c r="M8" s="22">
        <v>0</v>
      </c>
      <c r="N8" s="72">
        <v>0</v>
      </c>
      <c r="O8" s="22">
        <v>0</v>
      </c>
      <c r="P8" s="21">
        <v>152845.98000000001</v>
      </c>
      <c r="S8" s="101" t="b">
        <f>OR(COUNTIF(Tabla2[[#This Row],[PROVEEDOR]],"*"&amp;'Palabra no opera'!$A$2&amp;"*"))</f>
        <v>0</v>
      </c>
      <c r="T8" s="113">
        <f>+$W$5-Tabla2[[#This Row],[FECHA DE FACTURACIÓN]]</f>
        <v>35</v>
      </c>
      <c r="U8" t="str">
        <f>+IF(Tabla2[[#This Row],[dias de credito]]&gt;=Tabla2[[#This Row],[PLAZO Días]],"venc", "No venc")</f>
        <v>venc</v>
      </c>
      <c r="V8" t="str">
        <f>+IF(Tabla2[[#This Row],[FECHA DE PAGO]]&gt;0,"pagada","por pagar")</f>
        <v>por pagar</v>
      </c>
      <c r="W8" s="115" t="str">
        <f>+IF(AND(Tabla2[[#This Row],[venc]]="venc",Tabla2[[#This Row],[Columna1]]="por pagar"),"vencida","no")</f>
        <v>vencida</v>
      </c>
    </row>
    <row r="9" spans="1:28" ht="15.75" x14ac:dyDescent="0.25">
      <c r="A9" s="20">
        <v>30</v>
      </c>
      <c r="B9" s="25">
        <v>2169355.9580000001</v>
      </c>
      <c r="C9" s="25"/>
      <c r="D9" s="56" t="s">
        <v>164</v>
      </c>
      <c r="E9" s="66"/>
      <c r="F9" s="323" t="s">
        <v>18</v>
      </c>
      <c r="G9" s="66">
        <v>45287</v>
      </c>
      <c r="H9" s="35" t="s">
        <v>1440</v>
      </c>
      <c r="I9" s="21">
        <v>6665062</v>
      </c>
      <c r="J9" s="21"/>
      <c r="K9" s="22">
        <v>1266361.78</v>
      </c>
      <c r="L9" s="23"/>
      <c r="M9" s="22">
        <v>0</v>
      </c>
      <c r="N9" s="72">
        <v>2.5000000000000001E-2</v>
      </c>
      <c r="O9" s="22">
        <v>166626.55000000002</v>
      </c>
      <c r="P9" s="21">
        <v>7764797.2300000004</v>
      </c>
      <c r="S9" s="101" t="b">
        <f>OR(COUNTIF(Tabla2[[#This Row],[PROVEEDOR]],"*"&amp;'Palabra no opera'!$A$2&amp;"*"))</f>
        <v>0</v>
      </c>
      <c r="T9" s="113">
        <f>+$W$5-Tabla2[[#This Row],[FECHA DE FACTURACIÓN]]</f>
        <v>35</v>
      </c>
      <c r="U9" t="str">
        <f>+IF(Tabla2[[#This Row],[dias de credito]]&gt;=Tabla2[[#This Row],[PLAZO Días]],"venc", "No venc")</f>
        <v>venc</v>
      </c>
      <c r="V9" t="str">
        <f>+IF(Tabla2[[#This Row],[FECHA DE PAGO]]&gt;0,"pagada","por pagar")</f>
        <v>por pagar</v>
      </c>
      <c r="W9" s="115" t="str">
        <f>+IF(AND(Tabla2[[#This Row],[venc]]="venc",Tabla2[[#This Row],[Columna1]]="por pagar"),"vencida","no")</f>
        <v>vencida</v>
      </c>
    </row>
    <row r="10" spans="1:28" ht="15.75" x14ac:dyDescent="0.25">
      <c r="A10" s="20">
        <v>45</v>
      </c>
      <c r="B10" s="25">
        <v>3535656.6</v>
      </c>
      <c r="C10" s="25"/>
      <c r="D10" s="56" t="s">
        <v>390</v>
      </c>
      <c r="E10" s="66"/>
      <c r="F10" s="323" t="s">
        <v>19</v>
      </c>
      <c r="G10" s="66">
        <v>45275</v>
      </c>
      <c r="H10" s="35" t="s">
        <v>1453</v>
      </c>
      <c r="I10" s="21">
        <v>13252600</v>
      </c>
      <c r="J10" s="21"/>
      <c r="K10" s="22">
        <v>2517994</v>
      </c>
      <c r="L10" s="23"/>
      <c r="M10" s="22">
        <v>0</v>
      </c>
      <c r="N10" s="72">
        <v>0</v>
      </c>
      <c r="O10" s="22">
        <v>0</v>
      </c>
      <c r="P10" s="21">
        <v>15770594</v>
      </c>
      <c r="S10" s="101" t="b">
        <f>OR(COUNTIF(Tabla2[[#This Row],[PROVEEDOR]],"*"&amp;'Palabra no opera'!$A$2&amp;"*"))</f>
        <v>0</v>
      </c>
      <c r="T10" s="113">
        <f>+$W$5-Tabla2[[#This Row],[FECHA DE FACTURACIÓN]]</f>
        <v>47</v>
      </c>
      <c r="U10" t="str">
        <f>+IF(Tabla2[[#This Row],[dias de credito]]&gt;=Tabla2[[#This Row],[PLAZO Días]],"venc", "No venc")</f>
        <v>venc</v>
      </c>
      <c r="V10" t="str">
        <f>+IF(Tabla2[[#This Row],[FECHA DE PAGO]]&gt;0,"pagada","por pagar")</f>
        <v>por pagar</v>
      </c>
      <c r="W10" s="115" t="str">
        <f>+IF(AND(Tabla2[[#This Row],[venc]]="venc",Tabla2[[#This Row],[Columna1]]="por pagar"),"vencida","no")</f>
        <v>vencida</v>
      </c>
    </row>
    <row r="11" spans="1:28" ht="15.75" x14ac:dyDescent="0.25">
      <c r="A11" s="20">
        <v>90</v>
      </c>
      <c r="B11" s="25">
        <v>0</v>
      </c>
      <c r="C11" s="25"/>
      <c r="D11" s="56" t="s">
        <v>1583</v>
      </c>
      <c r="E11" s="66"/>
      <c r="F11" s="323" t="s">
        <v>1267</v>
      </c>
      <c r="G11" s="66">
        <v>45234</v>
      </c>
      <c r="H11" s="35" t="s">
        <v>1371</v>
      </c>
      <c r="I11" s="21">
        <v>10470588</v>
      </c>
      <c r="J11" s="21"/>
      <c r="K11" s="22">
        <v>1989411.72</v>
      </c>
      <c r="L11" s="23"/>
      <c r="M11" s="22">
        <v>0</v>
      </c>
      <c r="N11" s="72">
        <v>2.5000000000000001E-2</v>
      </c>
      <c r="O11" s="22">
        <v>261764.7</v>
      </c>
      <c r="P11" s="21">
        <v>12198235.020000001</v>
      </c>
      <c r="S11" s="101" t="b">
        <f>OR(COUNTIF(Tabla2[[#This Row],[PROVEEDOR]],"*"&amp;'Palabra no opera'!$A$2&amp;"*"))</f>
        <v>0</v>
      </c>
      <c r="T11" s="113">
        <f>+$W$5-Tabla2[[#This Row],[FECHA DE FACTURACIÓN]]</f>
        <v>88</v>
      </c>
      <c r="U11" t="str">
        <f>+IF(Tabla2[[#This Row],[dias de credito]]&gt;=Tabla2[[#This Row],[PLAZO Días]],"venc", "No venc")</f>
        <v>No venc</v>
      </c>
      <c r="V11" t="str">
        <f>+IF(Tabla2[[#This Row],[FECHA DE PAGO]]&gt;0,"pagada","por pagar")</f>
        <v>por pagar</v>
      </c>
      <c r="W11" s="115" t="str">
        <f>+IF(AND(Tabla2[[#This Row],[venc]]="venc",Tabla2[[#This Row],[Columna1]]="por pagar"),"vencida","no")</f>
        <v>no</v>
      </c>
    </row>
    <row r="12" spans="1:28" ht="15.75" x14ac:dyDescent="0.25">
      <c r="A12" s="20">
        <v>30</v>
      </c>
      <c r="B12" s="25">
        <v>-2000</v>
      </c>
      <c r="C12" s="25"/>
      <c r="D12" s="56">
        <v>0</v>
      </c>
      <c r="E12" s="66"/>
      <c r="F12" s="323" t="s">
        <v>881</v>
      </c>
      <c r="G12" s="66">
        <v>45322</v>
      </c>
      <c r="H12" s="35" t="s">
        <v>1576</v>
      </c>
      <c r="I12" s="21">
        <v>358000</v>
      </c>
      <c r="J12" s="21"/>
      <c r="K12" s="22">
        <v>0</v>
      </c>
      <c r="L12" s="23"/>
      <c r="M12" s="22">
        <v>0</v>
      </c>
      <c r="N12" s="72">
        <v>0</v>
      </c>
      <c r="O12" s="22">
        <v>0</v>
      </c>
      <c r="P12" s="21">
        <v>358000</v>
      </c>
      <c r="S12" s="101" t="b">
        <f>OR(COUNTIF(Tabla2[[#This Row],[PROVEEDOR]],"*"&amp;'Palabra no opera'!$A$2&amp;"*"))</f>
        <v>0</v>
      </c>
      <c r="T12" s="113">
        <f>+$W$5-Tabla2[[#This Row],[FECHA DE FACTURACIÓN]]</f>
        <v>0</v>
      </c>
      <c r="U12" t="str">
        <f>+IF(Tabla2[[#This Row],[dias de credito]]&gt;=Tabla2[[#This Row],[PLAZO Días]],"venc", "No venc")</f>
        <v>No venc</v>
      </c>
      <c r="V12" t="str">
        <f>+IF(Tabla2[[#This Row],[FECHA DE PAGO]]&gt;0,"pagada","por pagar")</f>
        <v>por pagar</v>
      </c>
      <c r="W12" s="115" t="str">
        <f>+IF(AND(Tabla2[[#This Row],[venc]]="venc",Tabla2[[#This Row],[Columna1]]="por pagar"),"vencida","no")</f>
        <v>no</v>
      </c>
    </row>
    <row r="13" spans="1:28" ht="15.75" x14ac:dyDescent="0.25">
      <c r="A13" s="20">
        <v>30</v>
      </c>
      <c r="B13" s="25">
        <v>840000</v>
      </c>
      <c r="C13" s="25"/>
      <c r="D13" s="56">
        <v>0</v>
      </c>
      <c r="E13" s="66"/>
      <c r="F13" s="323" t="s">
        <v>318</v>
      </c>
      <c r="G13" s="66">
        <v>45302</v>
      </c>
      <c r="H13" s="35" t="s">
        <v>1501</v>
      </c>
      <c r="I13" s="21">
        <v>492000</v>
      </c>
      <c r="J13" s="21"/>
      <c r="K13" s="22">
        <v>0</v>
      </c>
      <c r="L13" s="23"/>
      <c r="M13" s="22">
        <v>0</v>
      </c>
      <c r="N13" s="72">
        <v>0</v>
      </c>
      <c r="O13" s="22">
        <v>0</v>
      </c>
      <c r="P13" s="21">
        <v>492000</v>
      </c>
      <c r="S13" s="101" t="b">
        <f>OR(COUNTIF(Tabla2[[#This Row],[PROVEEDOR]],"*"&amp;'Palabra no opera'!$A$2&amp;"*"))</f>
        <v>0</v>
      </c>
      <c r="T13" s="113">
        <f>+$W$5-Tabla2[[#This Row],[FECHA DE FACTURACIÓN]]</f>
        <v>20</v>
      </c>
      <c r="U13" t="str">
        <f>+IF(Tabla2[[#This Row],[dias de credito]]&gt;=Tabla2[[#This Row],[PLAZO Días]],"venc", "No venc")</f>
        <v>No venc</v>
      </c>
      <c r="V13" t="str">
        <f>+IF(Tabla2[[#This Row],[FECHA DE PAGO]]&gt;0,"pagada","por pagar")</f>
        <v>por pagar</v>
      </c>
      <c r="W13" s="115" t="str">
        <f>+IF(AND(Tabla2[[#This Row],[venc]]="venc",Tabla2[[#This Row],[Columna1]]="por pagar"),"vencida","no")</f>
        <v>no</v>
      </c>
    </row>
    <row r="14" spans="1:28" ht="15.75" x14ac:dyDescent="0.25">
      <c r="A14" s="20">
        <v>30</v>
      </c>
      <c r="B14" s="25">
        <v>5972000</v>
      </c>
      <c r="C14" s="25"/>
      <c r="D14" s="56">
        <v>0</v>
      </c>
      <c r="E14" s="66"/>
      <c r="F14" s="323" t="s">
        <v>512</v>
      </c>
      <c r="G14" s="66">
        <v>45265</v>
      </c>
      <c r="H14" s="35" t="s">
        <v>1444</v>
      </c>
      <c r="I14" s="21">
        <v>250000</v>
      </c>
      <c r="J14" s="21"/>
      <c r="K14" s="22">
        <v>0</v>
      </c>
      <c r="L14" s="23"/>
      <c r="M14" s="22">
        <v>0</v>
      </c>
      <c r="N14" s="72">
        <v>0</v>
      </c>
      <c r="O14" s="22">
        <v>0</v>
      </c>
      <c r="P14" s="21">
        <v>250000</v>
      </c>
      <c r="S14" s="101" t="b">
        <f>OR(COUNTIF(Tabla2[[#This Row],[PROVEEDOR]],"*"&amp;'Palabra no opera'!$A$2&amp;"*"))</f>
        <v>0</v>
      </c>
      <c r="T14" s="113">
        <f>+$W$5-Tabla2[[#This Row],[FECHA DE FACTURACIÓN]]</f>
        <v>57</v>
      </c>
      <c r="U14" t="str">
        <f>+IF(Tabla2[[#This Row],[dias de credito]]&gt;=Tabla2[[#This Row],[PLAZO Días]],"venc", "No venc")</f>
        <v>venc</v>
      </c>
      <c r="V14" t="str">
        <f>+IF(Tabla2[[#This Row],[FECHA DE PAGO]]&gt;0,"pagada","por pagar")</f>
        <v>por pagar</v>
      </c>
      <c r="W14" s="115" t="str">
        <f>+IF(AND(Tabla2[[#This Row],[venc]]="venc",Tabla2[[#This Row],[Columna1]]="por pagar"),"vencida","no")</f>
        <v>vencida</v>
      </c>
    </row>
    <row r="15" spans="1:28" ht="15.75" x14ac:dyDescent="0.25">
      <c r="A15" s="20">
        <v>30</v>
      </c>
      <c r="B15" s="25">
        <v>5134830.96</v>
      </c>
      <c r="C15" s="25"/>
      <c r="D15" s="56" t="s">
        <v>131</v>
      </c>
      <c r="E15" s="66"/>
      <c r="F15" s="323" t="s">
        <v>20</v>
      </c>
      <c r="G15" s="66">
        <v>45280</v>
      </c>
      <c r="H15" s="35" t="s">
        <v>1407</v>
      </c>
      <c r="I15" s="21">
        <v>2381030</v>
      </c>
      <c r="J15" s="21"/>
      <c r="K15" s="22">
        <v>452395.7</v>
      </c>
      <c r="L15" s="23"/>
      <c r="M15" s="22">
        <v>0</v>
      </c>
      <c r="N15" s="72">
        <v>2.5000000000000001E-2</v>
      </c>
      <c r="O15" s="22">
        <v>59525.75</v>
      </c>
      <c r="P15" s="21">
        <v>2773899.95</v>
      </c>
      <c r="S15" s="101" t="b">
        <f>OR(COUNTIF(Tabla2[[#This Row],[PROVEEDOR]],"*"&amp;'Palabra no opera'!$A$2&amp;"*"))</f>
        <v>0</v>
      </c>
      <c r="T15" s="113">
        <f>+$W$5-Tabla2[[#This Row],[FECHA DE FACTURACIÓN]]</f>
        <v>42</v>
      </c>
      <c r="U15" t="str">
        <f>+IF(Tabla2[[#This Row],[dias de credito]]&gt;=Tabla2[[#This Row],[PLAZO Días]],"venc", "No venc")</f>
        <v>venc</v>
      </c>
      <c r="V15" t="str">
        <f>+IF(Tabla2[[#This Row],[FECHA DE PAGO]]&gt;0,"pagada","por pagar")</f>
        <v>por pagar</v>
      </c>
      <c r="W15" s="115" t="str">
        <f>+IF(AND(Tabla2[[#This Row],[venc]]="venc",Tabla2[[#This Row],[Columna1]]="por pagar"),"vencida","no")</f>
        <v>vencida</v>
      </c>
    </row>
    <row r="16" spans="1:28" ht="15.75" x14ac:dyDescent="0.25">
      <c r="A16" s="20">
        <v>30</v>
      </c>
      <c r="B16" s="25">
        <v>0</v>
      </c>
      <c r="C16" s="25"/>
      <c r="D16" s="56" t="s">
        <v>104</v>
      </c>
      <c r="E16" s="66">
        <v>45322</v>
      </c>
      <c r="F16" s="323" t="s">
        <v>566</v>
      </c>
      <c r="G16" s="66">
        <v>45322</v>
      </c>
      <c r="H16" s="35" t="s">
        <v>519</v>
      </c>
      <c r="I16" s="21">
        <v>15000</v>
      </c>
      <c r="J16" s="21"/>
      <c r="K16" s="22">
        <v>0</v>
      </c>
      <c r="L16" s="23"/>
      <c r="M16" s="22">
        <v>0</v>
      </c>
      <c r="N16" s="72">
        <v>0</v>
      </c>
      <c r="O16" s="22">
        <v>0</v>
      </c>
      <c r="P16" s="21">
        <v>15000</v>
      </c>
      <c r="S16" s="101" t="b">
        <f>OR(COUNTIF(Tabla2[[#This Row],[PROVEEDOR]],"*"&amp;'Palabra no opera'!$A$2&amp;"*"))</f>
        <v>0</v>
      </c>
      <c r="T16" s="113">
        <f>+$W$5-Tabla2[[#This Row],[FECHA DE FACTURACIÓN]]</f>
        <v>0</v>
      </c>
      <c r="U16" t="str">
        <f>+IF(Tabla2[[#This Row],[dias de credito]]&gt;=Tabla2[[#This Row],[PLAZO Días]],"venc", "No venc")</f>
        <v>No venc</v>
      </c>
      <c r="V16" t="str">
        <f>+IF(Tabla2[[#This Row],[FECHA DE PAGO]]&gt;0,"pagada","por pagar")</f>
        <v>pagada</v>
      </c>
      <c r="W16" s="115" t="str">
        <f>+IF(AND(Tabla2[[#This Row],[venc]]="venc",Tabla2[[#This Row],[Columna1]]="por pagar"),"vencida","no")</f>
        <v>no</v>
      </c>
    </row>
    <row r="17" spans="1:23" ht="15.75" x14ac:dyDescent="0.25">
      <c r="A17" s="20">
        <v>30</v>
      </c>
      <c r="B17" s="25">
        <v>0</v>
      </c>
      <c r="C17" s="25"/>
      <c r="D17" s="56" t="s">
        <v>104</v>
      </c>
      <c r="E17" s="66">
        <v>45322</v>
      </c>
      <c r="F17" s="323" t="s">
        <v>566</v>
      </c>
      <c r="G17" s="66">
        <v>45322</v>
      </c>
      <c r="H17" s="35" t="s">
        <v>518</v>
      </c>
      <c r="I17" s="21">
        <v>494350</v>
      </c>
      <c r="J17" s="21"/>
      <c r="K17" s="22">
        <v>0</v>
      </c>
      <c r="L17" s="23"/>
      <c r="M17" s="22">
        <v>0</v>
      </c>
      <c r="N17" s="72">
        <v>0</v>
      </c>
      <c r="O17" s="22">
        <v>0</v>
      </c>
      <c r="P17" s="21">
        <v>494350</v>
      </c>
      <c r="S17" s="101" t="b">
        <f>OR(COUNTIF(Tabla2[[#This Row],[PROVEEDOR]],"*"&amp;'Palabra no opera'!$A$2&amp;"*"))</f>
        <v>0</v>
      </c>
      <c r="T17" s="113">
        <f>+$W$5-Tabla2[[#This Row],[FECHA DE FACTURACIÓN]]</f>
        <v>0</v>
      </c>
      <c r="U17" t="str">
        <f>+IF(Tabla2[[#This Row],[dias de credito]]&gt;=Tabla2[[#This Row],[PLAZO Días]],"venc", "No venc")</f>
        <v>No venc</v>
      </c>
      <c r="V17" t="str">
        <f>+IF(Tabla2[[#This Row],[FECHA DE PAGO]]&gt;0,"pagada","por pagar")</f>
        <v>pagada</v>
      </c>
      <c r="W17" s="115" t="str">
        <f>+IF(AND(Tabla2[[#This Row],[venc]]="venc",Tabla2[[#This Row],[Columna1]]="por pagar"),"vencida","no")</f>
        <v>no</v>
      </c>
    </row>
    <row r="18" spans="1:23" ht="15.75" x14ac:dyDescent="0.25">
      <c r="A18" s="20">
        <v>30</v>
      </c>
      <c r="B18" s="25">
        <v>0</v>
      </c>
      <c r="C18" s="25"/>
      <c r="D18" s="56" t="s">
        <v>104</v>
      </c>
      <c r="E18" s="66">
        <v>45322</v>
      </c>
      <c r="F18" s="323" t="s">
        <v>566</v>
      </c>
      <c r="G18" s="66">
        <v>45322</v>
      </c>
      <c r="H18" s="35" t="s">
        <v>516</v>
      </c>
      <c r="I18" s="21">
        <v>1035500</v>
      </c>
      <c r="J18" s="21"/>
      <c r="K18" s="22">
        <v>0</v>
      </c>
      <c r="L18" s="23"/>
      <c r="M18" s="22">
        <v>0</v>
      </c>
      <c r="N18" s="72">
        <v>0</v>
      </c>
      <c r="O18" s="22">
        <v>0</v>
      </c>
      <c r="P18" s="21">
        <v>1035500</v>
      </c>
      <c r="S18" s="101" t="b">
        <f>OR(COUNTIF(Tabla2[[#This Row],[PROVEEDOR]],"*"&amp;'Palabra no opera'!$A$2&amp;"*"))</f>
        <v>0</v>
      </c>
      <c r="T18" s="113">
        <f>+$W$5-Tabla2[[#This Row],[FECHA DE FACTURACIÓN]]</f>
        <v>0</v>
      </c>
      <c r="U18" t="str">
        <f>+IF(Tabla2[[#This Row],[dias de credito]]&gt;=Tabla2[[#This Row],[PLAZO Días]],"venc", "No venc")</f>
        <v>No venc</v>
      </c>
      <c r="V18" t="str">
        <f>+IF(Tabla2[[#This Row],[FECHA DE PAGO]]&gt;0,"pagada","por pagar")</f>
        <v>pagada</v>
      </c>
      <c r="W18" s="115" t="str">
        <f>+IF(AND(Tabla2[[#This Row],[venc]]="venc",Tabla2[[#This Row],[Columna1]]="por pagar"),"vencida","no")</f>
        <v>no</v>
      </c>
    </row>
    <row r="19" spans="1:23" ht="15.75" x14ac:dyDescent="0.25">
      <c r="A19" s="20">
        <v>30</v>
      </c>
      <c r="B19" s="25">
        <v>0</v>
      </c>
      <c r="C19" s="25"/>
      <c r="D19" s="56" t="s">
        <v>104</v>
      </c>
      <c r="E19" s="66">
        <v>45322</v>
      </c>
      <c r="F19" s="323" t="s">
        <v>566</v>
      </c>
      <c r="G19" s="66">
        <v>45322</v>
      </c>
      <c r="H19" s="35" t="s">
        <v>1585</v>
      </c>
      <c r="I19" s="21">
        <v>2667200</v>
      </c>
      <c r="J19" s="21"/>
      <c r="K19" s="22">
        <v>0</v>
      </c>
      <c r="L19" s="23"/>
      <c r="M19" s="22">
        <v>0</v>
      </c>
      <c r="N19" s="72">
        <v>0</v>
      </c>
      <c r="O19" s="22">
        <v>0</v>
      </c>
      <c r="P19" s="21">
        <v>2667200</v>
      </c>
      <c r="S19" s="101" t="b">
        <f>OR(COUNTIF(Tabla2[[#This Row],[PROVEEDOR]],"*"&amp;'Palabra no opera'!$A$2&amp;"*"))</f>
        <v>0</v>
      </c>
      <c r="T19" s="113">
        <f>+$W$5-Tabla2[[#This Row],[FECHA DE FACTURACIÓN]]</f>
        <v>0</v>
      </c>
      <c r="U19" t="str">
        <f>+IF(Tabla2[[#This Row],[dias de credito]]&gt;=Tabla2[[#This Row],[PLAZO Días]],"venc", "No venc")</f>
        <v>No venc</v>
      </c>
      <c r="V19" t="str">
        <f>+IF(Tabla2[[#This Row],[FECHA DE PAGO]]&gt;0,"pagada","por pagar")</f>
        <v>pagada</v>
      </c>
      <c r="W19" s="115" t="str">
        <f>+IF(AND(Tabla2[[#This Row],[venc]]="venc",Tabla2[[#This Row],[Columna1]]="por pagar"),"vencida","no")</f>
        <v>no</v>
      </c>
    </row>
    <row r="20" spans="1:23" ht="15.75" x14ac:dyDescent="0.25">
      <c r="A20" s="20">
        <v>30</v>
      </c>
      <c r="B20" s="25">
        <v>0</v>
      </c>
      <c r="C20" s="25"/>
      <c r="D20" s="56" t="s">
        <v>104</v>
      </c>
      <c r="E20" s="66">
        <v>45322</v>
      </c>
      <c r="F20" s="323" t="s">
        <v>566</v>
      </c>
      <c r="G20" s="66">
        <v>45322</v>
      </c>
      <c r="H20" s="35" t="s">
        <v>1586</v>
      </c>
      <c r="I20" s="21">
        <v>474600</v>
      </c>
      <c r="J20" s="21"/>
      <c r="K20" s="22">
        <v>0</v>
      </c>
      <c r="L20" s="23"/>
      <c r="M20" s="22">
        <v>0</v>
      </c>
      <c r="N20" s="72">
        <v>0</v>
      </c>
      <c r="O20" s="22">
        <v>0</v>
      </c>
      <c r="P20" s="21">
        <v>474600</v>
      </c>
      <c r="S20" s="101" t="b">
        <f>OR(COUNTIF(Tabla2[[#This Row],[PROVEEDOR]],"*"&amp;'Palabra no opera'!$A$2&amp;"*"))</f>
        <v>0</v>
      </c>
      <c r="T20" s="113">
        <f>+$W$5-Tabla2[[#This Row],[FECHA DE FACTURACIÓN]]</f>
        <v>0</v>
      </c>
      <c r="U20" t="str">
        <f>+IF(Tabla2[[#This Row],[dias de credito]]&gt;=Tabla2[[#This Row],[PLAZO Días]],"venc", "No venc")</f>
        <v>No venc</v>
      </c>
      <c r="V20" t="str">
        <f>+IF(Tabla2[[#This Row],[FECHA DE PAGO]]&gt;0,"pagada","por pagar")</f>
        <v>pagada</v>
      </c>
      <c r="W20" s="115" t="str">
        <f>+IF(AND(Tabla2[[#This Row],[venc]]="venc",Tabla2[[#This Row],[Columna1]]="por pagar"),"vencida","no")</f>
        <v>no</v>
      </c>
    </row>
    <row r="21" spans="1:23" ht="15.75" x14ac:dyDescent="0.25">
      <c r="A21" s="20">
        <v>30</v>
      </c>
      <c r="B21" s="25">
        <v>0</v>
      </c>
      <c r="C21" s="25"/>
      <c r="D21" s="56" t="s">
        <v>104</v>
      </c>
      <c r="E21" s="66">
        <v>45322</v>
      </c>
      <c r="F21" s="323" t="s">
        <v>566</v>
      </c>
      <c r="G21" s="66">
        <v>45322</v>
      </c>
      <c r="H21" s="35" t="s">
        <v>520</v>
      </c>
      <c r="I21" s="21">
        <v>485750</v>
      </c>
      <c r="J21" s="21"/>
      <c r="K21" s="22">
        <v>0</v>
      </c>
      <c r="L21" s="23"/>
      <c r="M21" s="22">
        <v>0</v>
      </c>
      <c r="N21" s="72">
        <v>0</v>
      </c>
      <c r="O21" s="22">
        <v>0</v>
      </c>
      <c r="P21" s="21">
        <v>485750</v>
      </c>
      <c r="S21" s="101" t="b">
        <f>OR(COUNTIF(Tabla2[[#This Row],[PROVEEDOR]],"*"&amp;'Palabra no opera'!$A$2&amp;"*"))</f>
        <v>0</v>
      </c>
      <c r="T21" s="113">
        <f>+$W$5-Tabla2[[#This Row],[FECHA DE FACTURACIÓN]]</f>
        <v>0</v>
      </c>
      <c r="U21" t="str">
        <f>+IF(Tabla2[[#This Row],[dias de credito]]&gt;=Tabla2[[#This Row],[PLAZO Días]],"venc", "No venc")</f>
        <v>No venc</v>
      </c>
      <c r="V21" t="str">
        <f>+IF(Tabla2[[#This Row],[FECHA DE PAGO]]&gt;0,"pagada","por pagar")</f>
        <v>pagada</v>
      </c>
      <c r="W21" s="115" t="str">
        <f>+IF(AND(Tabla2[[#This Row],[venc]]="venc",Tabla2[[#This Row],[Columna1]]="por pagar"),"vencida","no")</f>
        <v>no</v>
      </c>
    </row>
    <row r="22" spans="1:23" ht="15.75" x14ac:dyDescent="0.25">
      <c r="A22" s="20">
        <v>30</v>
      </c>
      <c r="B22" s="25">
        <v>0</v>
      </c>
      <c r="C22" s="25"/>
      <c r="D22" s="56" t="s">
        <v>1561</v>
      </c>
      <c r="E22" s="66">
        <v>45322</v>
      </c>
      <c r="F22" s="323" t="s">
        <v>203</v>
      </c>
      <c r="G22" s="66">
        <v>45309</v>
      </c>
      <c r="H22" s="35" t="s">
        <v>1558</v>
      </c>
      <c r="I22" s="21">
        <v>209750</v>
      </c>
      <c r="J22" s="21"/>
      <c r="K22" s="22">
        <v>0</v>
      </c>
      <c r="L22" s="23"/>
      <c r="M22" s="22">
        <v>0</v>
      </c>
      <c r="N22" s="72">
        <v>0</v>
      </c>
      <c r="O22" s="22">
        <v>0</v>
      </c>
      <c r="P22" s="21">
        <v>209750</v>
      </c>
      <c r="S22" s="101" t="b">
        <f>OR(COUNTIF(Tabla2[[#This Row],[PROVEEDOR]],"*"&amp;'Palabra no opera'!$A$2&amp;"*"))</f>
        <v>0</v>
      </c>
      <c r="T22" s="113">
        <f>+$W$5-Tabla2[[#This Row],[FECHA DE FACTURACIÓN]]</f>
        <v>13</v>
      </c>
      <c r="U22" t="str">
        <f>+IF(Tabla2[[#This Row],[dias de credito]]&gt;=Tabla2[[#This Row],[PLAZO Días]],"venc", "No venc")</f>
        <v>No venc</v>
      </c>
      <c r="V22" t="str">
        <f>+IF(Tabla2[[#This Row],[FECHA DE PAGO]]&gt;0,"pagada","por pagar")</f>
        <v>pagada</v>
      </c>
      <c r="W22" s="115" t="str">
        <f>+IF(AND(Tabla2[[#This Row],[venc]]="venc",Tabla2[[#This Row],[Columna1]]="por pagar"),"vencida","no")</f>
        <v>no</v>
      </c>
    </row>
    <row r="23" spans="1:23" ht="15.75" x14ac:dyDescent="0.25">
      <c r="A23" s="20">
        <v>30</v>
      </c>
      <c r="B23" s="25">
        <v>0</v>
      </c>
      <c r="C23" s="25"/>
      <c r="D23" s="56" t="s">
        <v>1561</v>
      </c>
      <c r="E23" s="66">
        <v>45322</v>
      </c>
      <c r="F23" s="323" t="s">
        <v>203</v>
      </c>
      <c r="G23" s="66">
        <v>45309</v>
      </c>
      <c r="H23" s="35" t="s">
        <v>1559</v>
      </c>
      <c r="I23" s="21">
        <v>380518</v>
      </c>
      <c r="J23" s="21"/>
      <c r="K23" s="22">
        <v>0</v>
      </c>
      <c r="L23" s="23"/>
      <c r="M23" s="22">
        <v>0</v>
      </c>
      <c r="N23" s="72">
        <v>0</v>
      </c>
      <c r="O23" s="22">
        <v>0</v>
      </c>
      <c r="P23" s="21">
        <v>380518</v>
      </c>
      <c r="S23" s="101" t="b">
        <f>OR(COUNTIF(Tabla2[[#This Row],[PROVEEDOR]],"*"&amp;'Palabra no opera'!$A$2&amp;"*"))</f>
        <v>0</v>
      </c>
      <c r="T23" s="113">
        <f>+$W$5-Tabla2[[#This Row],[FECHA DE FACTURACIÓN]]</f>
        <v>13</v>
      </c>
      <c r="U23" t="str">
        <f>+IF(Tabla2[[#This Row],[dias de credito]]&gt;=Tabla2[[#This Row],[PLAZO Días]],"venc", "No venc")</f>
        <v>No venc</v>
      </c>
      <c r="V23" t="str">
        <f>+IF(Tabla2[[#This Row],[FECHA DE PAGO]]&gt;0,"pagada","por pagar")</f>
        <v>pagada</v>
      </c>
      <c r="W23" s="115" t="str">
        <f>+IF(AND(Tabla2[[#This Row],[venc]]="venc",Tabla2[[#This Row],[Columna1]]="por pagar"),"vencida","no")</f>
        <v>no</v>
      </c>
    </row>
    <row r="24" spans="1:23" ht="15.75" x14ac:dyDescent="0.25">
      <c r="A24" s="20">
        <v>30</v>
      </c>
      <c r="B24" s="25">
        <v>0</v>
      </c>
      <c r="C24" s="25"/>
      <c r="D24" s="56" t="s">
        <v>1560</v>
      </c>
      <c r="E24" s="66">
        <v>45322</v>
      </c>
      <c r="F24" s="323" t="s">
        <v>446</v>
      </c>
      <c r="G24" s="66">
        <v>45300</v>
      </c>
      <c r="H24" s="35" t="s">
        <v>1505</v>
      </c>
      <c r="I24" s="21">
        <v>1800000</v>
      </c>
      <c r="J24" s="21"/>
      <c r="K24" s="22">
        <v>342000</v>
      </c>
      <c r="L24" s="23"/>
      <c r="M24" s="22">
        <v>0</v>
      </c>
      <c r="N24" s="72">
        <v>2.5000000000000001E-2</v>
      </c>
      <c r="O24" s="22">
        <v>45000</v>
      </c>
      <c r="P24" s="21">
        <v>2097000</v>
      </c>
      <c r="S24" s="101" t="b">
        <f>OR(COUNTIF(Tabla2[[#This Row],[PROVEEDOR]],"*"&amp;'Palabra no opera'!$A$2&amp;"*"))</f>
        <v>0</v>
      </c>
      <c r="T24" s="113">
        <f>+$W$5-Tabla2[[#This Row],[FECHA DE FACTURACIÓN]]</f>
        <v>22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pagada</v>
      </c>
      <c r="W24" s="115" t="str">
        <f>+IF(AND(Tabla2[[#This Row],[venc]]="venc",Tabla2[[#This Row],[Columna1]]="por pagar"),"vencida","no")</f>
        <v>no</v>
      </c>
    </row>
    <row r="25" spans="1:23" ht="15.75" x14ac:dyDescent="0.25">
      <c r="A25" s="20">
        <v>30</v>
      </c>
      <c r="B25" s="25">
        <v>1499400</v>
      </c>
      <c r="C25" s="25"/>
      <c r="D25" s="56" t="s">
        <v>170</v>
      </c>
      <c r="E25" s="66">
        <v>45322</v>
      </c>
      <c r="F25" s="323" t="s">
        <v>490</v>
      </c>
      <c r="G25" s="66">
        <v>45286</v>
      </c>
      <c r="H25" s="35" t="s">
        <v>1436</v>
      </c>
      <c r="I25" s="21">
        <v>4116710</v>
      </c>
      <c r="J25" s="21">
        <v>316670</v>
      </c>
      <c r="K25" s="22">
        <v>722007.6</v>
      </c>
      <c r="L25" s="23"/>
      <c r="M25" s="22">
        <v>0</v>
      </c>
      <c r="N25" s="72">
        <v>2.5000000000000001E-2</v>
      </c>
      <c r="O25" s="22">
        <v>95001</v>
      </c>
      <c r="P25" s="21">
        <v>4427046.5999999996</v>
      </c>
      <c r="S25" s="101" t="b">
        <f>OR(COUNTIF(Tabla2[[#This Row],[PROVEEDOR]],"*"&amp;'Palabra no opera'!$A$2&amp;"*"))</f>
        <v>0</v>
      </c>
      <c r="T25" s="113">
        <f>+$W$5-Tabla2[[#This Row],[FECHA DE FACTURACIÓN]]</f>
        <v>36</v>
      </c>
      <c r="U25" t="str">
        <f>+IF(Tabla2[[#This Row],[dias de credito]]&gt;=Tabla2[[#This Row],[PLAZO Días]],"venc", "No venc")</f>
        <v>venc</v>
      </c>
      <c r="V25" t="str">
        <f>+IF(Tabla2[[#This Row],[FECHA DE PAGO]]&gt;0,"pagada","por pagar")</f>
        <v>pagada</v>
      </c>
      <c r="W25" s="115" t="str">
        <f>+IF(AND(Tabla2[[#This Row],[venc]]="venc",Tabla2[[#This Row],[Columna1]]="por pagar"),"vencida","no")</f>
        <v>no</v>
      </c>
    </row>
    <row r="26" spans="1:23" ht="15.75" x14ac:dyDescent="0.25">
      <c r="A26" s="20">
        <v>30</v>
      </c>
      <c r="B26" s="25">
        <v>0</v>
      </c>
      <c r="C26" s="25"/>
      <c r="D26" s="56" t="s">
        <v>494</v>
      </c>
      <c r="E26" s="66">
        <v>45322</v>
      </c>
      <c r="F26" s="323" t="s">
        <v>24</v>
      </c>
      <c r="G26" s="66">
        <v>45274</v>
      </c>
      <c r="H26" s="35" t="s">
        <v>1417</v>
      </c>
      <c r="I26" s="21">
        <v>3150000</v>
      </c>
      <c r="J26" s="21"/>
      <c r="K26" s="22">
        <v>598500</v>
      </c>
      <c r="L26" s="23"/>
      <c r="M26" s="22">
        <v>0</v>
      </c>
      <c r="N26" s="72">
        <v>2.5000000000000001E-2</v>
      </c>
      <c r="O26" s="22">
        <v>78750</v>
      </c>
      <c r="P26" s="21">
        <v>3669750</v>
      </c>
      <c r="S26" s="101" t="b">
        <f>OR(COUNTIF(Tabla2[[#This Row],[PROVEEDOR]],"*"&amp;'Palabra no opera'!$A$2&amp;"*"))</f>
        <v>0</v>
      </c>
      <c r="T26" s="113">
        <f>+$W$5-Tabla2[[#This Row],[FECHA DE FACTURACIÓN]]</f>
        <v>48</v>
      </c>
      <c r="U26" t="str">
        <f>+IF(Tabla2[[#This Row],[dias de credito]]&gt;=Tabla2[[#This Row],[PLAZO Días]],"venc", "No venc")</f>
        <v>venc</v>
      </c>
      <c r="V26" t="str">
        <f>+IF(Tabla2[[#This Row],[FECHA DE PAGO]]&gt;0,"pagada","por pagar")</f>
        <v>pagada</v>
      </c>
      <c r="W26" s="115" t="str">
        <f>+IF(AND(Tabla2[[#This Row],[venc]]="venc",Tabla2[[#This Row],[Columna1]]="por pagar"),"vencida","no")</f>
        <v>no</v>
      </c>
    </row>
    <row r="27" spans="1:23" ht="15.75" x14ac:dyDescent="0.25">
      <c r="A27" s="20">
        <v>30</v>
      </c>
      <c r="B27" s="25">
        <v>1499400</v>
      </c>
      <c r="C27" s="25"/>
      <c r="D27" s="56" t="s">
        <v>170</v>
      </c>
      <c r="E27" s="66">
        <v>45322</v>
      </c>
      <c r="F27" s="323" t="s">
        <v>490</v>
      </c>
      <c r="G27" s="66">
        <v>45265</v>
      </c>
      <c r="H27" s="35" t="s">
        <v>1382</v>
      </c>
      <c r="I27" s="21">
        <v>1260000</v>
      </c>
      <c r="J27" s="21"/>
      <c r="K27" s="22">
        <v>239400</v>
      </c>
      <c r="L27" s="23"/>
      <c r="M27" s="22">
        <v>0</v>
      </c>
      <c r="N27" s="72">
        <v>2.5000000000000001E-2</v>
      </c>
      <c r="O27" s="22">
        <v>31500</v>
      </c>
      <c r="P27" s="21">
        <v>1467900</v>
      </c>
      <c r="S27" s="101" t="b">
        <f>OR(COUNTIF(Tabla2[[#This Row],[PROVEEDOR]],"*"&amp;'Palabra no opera'!$A$2&amp;"*"))</f>
        <v>0</v>
      </c>
      <c r="T27" s="113">
        <f>+$W$5-Tabla2[[#This Row],[FECHA DE FACTURACIÓN]]</f>
        <v>57</v>
      </c>
      <c r="U27" t="str">
        <f>+IF(Tabla2[[#This Row],[dias de credito]]&gt;=Tabla2[[#This Row],[PLAZO Días]],"venc", "No venc")</f>
        <v>venc</v>
      </c>
      <c r="V27" t="str">
        <f>+IF(Tabla2[[#This Row],[FECHA DE PAGO]]&gt;0,"pagada","por pagar")</f>
        <v>pagada</v>
      </c>
      <c r="W27" s="115" t="str">
        <f>+IF(AND(Tabla2[[#This Row],[venc]]="venc",Tabla2[[#This Row],[Columna1]]="por pagar"),"vencida","no")</f>
        <v>no</v>
      </c>
    </row>
    <row r="28" spans="1:23" ht="15.75" x14ac:dyDescent="0.25">
      <c r="A28" s="20">
        <v>30</v>
      </c>
      <c r="B28" s="25">
        <v>0</v>
      </c>
      <c r="C28" s="25"/>
      <c r="D28" s="56" t="s">
        <v>1561</v>
      </c>
      <c r="E28" s="66">
        <v>45322</v>
      </c>
      <c r="F28" s="323" t="s">
        <v>93</v>
      </c>
      <c r="G28" s="66">
        <v>45261</v>
      </c>
      <c r="H28" s="35" t="s">
        <v>1528</v>
      </c>
      <c r="I28" s="21">
        <v>229206</v>
      </c>
      <c r="J28" s="21"/>
      <c r="K28" s="22">
        <v>0</v>
      </c>
      <c r="L28" s="23"/>
      <c r="M28" s="22">
        <v>0</v>
      </c>
      <c r="N28" s="72">
        <v>0</v>
      </c>
      <c r="O28" s="22">
        <v>0</v>
      </c>
      <c r="P28" s="21">
        <v>229206</v>
      </c>
      <c r="S28" s="101" t="b">
        <f>OR(COUNTIF(Tabla2[[#This Row],[PROVEEDOR]],"*"&amp;'Palabra no opera'!$A$2&amp;"*"))</f>
        <v>0</v>
      </c>
      <c r="T28" s="113">
        <f>+$W$5-Tabla2[[#This Row],[FECHA DE FACTURACIÓN]]</f>
        <v>61</v>
      </c>
      <c r="U28" t="str">
        <f>+IF(Tabla2[[#This Row],[dias de credito]]&gt;=Tabla2[[#This Row],[PLAZO Días]],"venc", "No venc")</f>
        <v>venc</v>
      </c>
      <c r="V28" t="str">
        <f>+IF(Tabla2[[#This Row],[FECHA DE PAGO]]&gt;0,"pagada","por pagar")</f>
        <v>pagada</v>
      </c>
      <c r="W28" s="115" t="str">
        <f>+IF(AND(Tabla2[[#This Row],[venc]]="venc",Tabla2[[#This Row],[Columna1]]="por pagar"),"vencida","no")</f>
        <v>no</v>
      </c>
    </row>
    <row r="29" spans="1:23" ht="15.75" x14ac:dyDescent="0.25">
      <c r="A29" s="20">
        <v>30</v>
      </c>
      <c r="B29" s="25">
        <v>1499400</v>
      </c>
      <c r="C29" s="25"/>
      <c r="D29" s="56" t="s">
        <v>170</v>
      </c>
      <c r="E29" s="66">
        <v>45322</v>
      </c>
      <c r="F29" s="323" t="s">
        <v>490</v>
      </c>
      <c r="G29" s="66">
        <v>45261</v>
      </c>
      <c r="H29" s="35" t="s">
        <v>1380</v>
      </c>
      <c r="I29" s="21">
        <v>4116710</v>
      </c>
      <c r="J29" s="21">
        <v>316670</v>
      </c>
      <c r="K29" s="22">
        <v>722007.6</v>
      </c>
      <c r="L29" s="23"/>
      <c r="M29" s="22">
        <v>0</v>
      </c>
      <c r="N29" s="72">
        <v>2.5000000000000001E-2</v>
      </c>
      <c r="O29" s="22">
        <v>95001</v>
      </c>
      <c r="P29" s="21">
        <v>4427046.5999999996</v>
      </c>
      <c r="S29" s="101" t="b">
        <f>OR(COUNTIF(Tabla2[[#This Row],[PROVEEDOR]],"*"&amp;'Palabra no opera'!$A$2&amp;"*"))</f>
        <v>0</v>
      </c>
      <c r="T29" s="113">
        <f>+$W$5-Tabla2[[#This Row],[FECHA DE FACTURACIÓN]]</f>
        <v>61</v>
      </c>
      <c r="U29" t="str">
        <f>+IF(Tabla2[[#This Row],[dias de credito]]&gt;=Tabla2[[#This Row],[PLAZO Días]],"venc", "No venc")</f>
        <v>venc</v>
      </c>
      <c r="V29" t="str">
        <f>+IF(Tabla2[[#This Row],[FECHA DE PAGO]]&gt;0,"pagada","por pagar")</f>
        <v>pagada</v>
      </c>
      <c r="W29" s="115" t="str">
        <f>+IF(AND(Tabla2[[#This Row],[venc]]="venc",Tabla2[[#This Row],[Columna1]]="por pagar"),"vencida","no")</f>
        <v>no</v>
      </c>
    </row>
    <row r="30" spans="1:23" ht="15.75" x14ac:dyDescent="0.25">
      <c r="A30" s="20">
        <v>30</v>
      </c>
      <c r="B30" s="25">
        <v>0</v>
      </c>
      <c r="C30" s="25"/>
      <c r="D30" s="56" t="s">
        <v>104</v>
      </c>
      <c r="E30" s="66">
        <v>45321</v>
      </c>
      <c r="F30" s="323" t="s">
        <v>291</v>
      </c>
      <c r="G30" s="66">
        <v>45321</v>
      </c>
      <c r="H30" s="35" t="s">
        <v>1557</v>
      </c>
      <c r="I30" s="21">
        <v>480000</v>
      </c>
      <c r="J30" s="21"/>
      <c r="K30" s="22">
        <v>0</v>
      </c>
      <c r="L30" s="23"/>
      <c r="M30" s="22">
        <v>0</v>
      </c>
      <c r="N30" s="72">
        <v>0</v>
      </c>
      <c r="O30" s="22">
        <v>0</v>
      </c>
      <c r="P30" s="21">
        <v>480000</v>
      </c>
      <c r="S30" s="101" t="b">
        <f>OR(COUNTIF(Tabla2[[#This Row],[PROVEEDOR]],"*"&amp;'Palabra no opera'!$A$2&amp;"*"))</f>
        <v>0</v>
      </c>
      <c r="T30" s="113">
        <f>+$W$5-Tabla2[[#This Row],[FECHA DE FACTURACIÓN]]</f>
        <v>1</v>
      </c>
      <c r="U30" t="str">
        <f>+IF(Tabla2[[#This Row],[dias de credito]]&gt;=Tabla2[[#This Row],[PLAZO Días]],"venc", "No venc")</f>
        <v>No venc</v>
      </c>
      <c r="V30" t="str">
        <f>+IF(Tabla2[[#This Row],[FECHA DE PAGO]]&gt;0,"pagada","por pagar")</f>
        <v>pagada</v>
      </c>
      <c r="W30" s="115" t="str">
        <f>+IF(AND(Tabla2[[#This Row],[venc]]="venc",Tabla2[[#This Row],[Columna1]]="por pagar"),"vencida","no")</f>
        <v>no</v>
      </c>
    </row>
    <row r="31" spans="1:23" ht="15.75" x14ac:dyDescent="0.25">
      <c r="A31" s="20">
        <v>30</v>
      </c>
      <c r="B31" s="25">
        <v>0</v>
      </c>
      <c r="C31" s="25"/>
      <c r="D31" s="56" t="s">
        <v>1233</v>
      </c>
      <c r="E31" s="66">
        <v>45319</v>
      </c>
      <c r="F31" s="323" t="s">
        <v>1234</v>
      </c>
      <c r="G31" s="66">
        <v>45318</v>
      </c>
      <c r="H31" s="35" t="s">
        <v>1555</v>
      </c>
      <c r="I31" s="21">
        <v>808403.5</v>
      </c>
      <c r="J31" s="21"/>
      <c r="K31" s="22">
        <v>153596.66500000001</v>
      </c>
      <c r="L31" s="23"/>
      <c r="M31" s="22">
        <v>0</v>
      </c>
      <c r="N31" s="72">
        <v>0</v>
      </c>
      <c r="O31" s="22">
        <v>0</v>
      </c>
      <c r="P31" s="21">
        <v>962000.16500000004</v>
      </c>
      <c r="S31" s="101" t="b">
        <f>OR(COUNTIF(Tabla2[[#This Row],[PROVEEDOR]],"*"&amp;'Palabra no opera'!$A$2&amp;"*"))</f>
        <v>0</v>
      </c>
      <c r="T31" s="113">
        <f>+$W$5-Tabla2[[#This Row],[FECHA DE FACTURACIÓN]]</f>
        <v>4</v>
      </c>
      <c r="U31" t="str">
        <f>+IF(Tabla2[[#This Row],[dias de credito]]&gt;=Tabla2[[#This Row],[PLAZO Días]],"venc", "No venc")</f>
        <v>No venc</v>
      </c>
      <c r="V31" t="str">
        <f>+IF(Tabla2[[#This Row],[FECHA DE PAGO]]&gt;0,"pagada","por pagar")</f>
        <v>pagada</v>
      </c>
      <c r="W31" s="115" t="str">
        <f>+IF(AND(Tabla2[[#This Row],[venc]]="venc",Tabla2[[#This Row],[Columna1]]="por pagar"),"vencida","no")</f>
        <v>no</v>
      </c>
    </row>
    <row r="32" spans="1:23" ht="15.75" x14ac:dyDescent="0.25">
      <c r="A32" s="20">
        <v>10</v>
      </c>
      <c r="B32" s="25">
        <v>0</v>
      </c>
      <c r="C32" s="25"/>
      <c r="D32" s="56" t="s">
        <v>505</v>
      </c>
      <c r="E32" s="66">
        <v>45317</v>
      </c>
      <c r="F32" s="323" t="s">
        <v>1513</v>
      </c>
      <c r="G32" s="66">
        <v>45308</v>
      </c>
      <c r="H32" s="35" t="s">
        <v>1514</v>
      </c>
      <c r="I32" s="21">
        <v>40441</v>
      </c>
      <c r="J32" s="21"/>
      <c r="K32" s="22">
        <v>7683.79</v>
      </c>
      <c r="L32" s="23"/>
      <c r="M32" s="22">
        <v>0</v>
      </c>
      <c r="N32" s="72">
        <v>3.5000000000000003E-2</v>
      </c>
      <c r="O32" s="22">
        <v>1415.4350000000002</v>
      </c>
      <c r="P32" s="21">
        <v>46709.355000000003</v>
      </c>
      <c r="S32" s="101" t="b">
        <f>OR(COUNTIF(Tabla2[[#This Row],[PROVEEDOR]],"*"&amp;'Palabra no opera'!$A$2&amp;"*"))</f>
        <v>1</v>
      </c>
      <c r="T32" s="113">
        <f>+$W$5-Tabla2[[#This Row],[FECHA DE FACTURACIÓN]]</f>
        <v>14</v>
      </c>
      <c r="U32" t="str">
        <f>+IF(Tabla2[[#This Row],[dias de credito]]&gt;=Tabla2[[#This Row],[PLAZO Días]],"venc", "No venc")</f>
        <v>venc</v>
      </c>
      <c r="V32" t="str">
        <f>+IF(Tabla2[[#This Row],[FECHA DE PAGO]]&gt;0,"pagada","por pagar")</f>
        <v>pagada</v>
      </c>
      <c r="W32" s="115" t="str">
        <f>+IF(AND(Tabla2[[#This Row],[venc]]="venc",Tabla2[[#This Row],[Columna1]]="por pagar"),"vencida","no")</f>
        <v>no</v>
      </c>
    </row>
    <row r="33" spans="1:23" ht="15.75" x14ac:dyDescent="0.25">
      <c r="A33" s="20">
        <v>30</v>
      </c>
      <c r="B33" s="25">
        <v>2923945.6174999997</v>
      </c>
      <c r="C33" s="25"/>
      <c r="D33" s="56" t="s">
        <v>1538</v>
      </c>
      <c r="E33" s="66">
        <v>45317</v>
      </c>
      <c r="F33" s="323" t="s">
        <v>1526</v>
      </c>
      <c r="G33" s="66">
        <v>45282</v>
      </c>
      <c r="H33" s="35" t="s">
        <v>1439</v>
      </c>
      <c r="I33" s="21">
        <v>1308311</v>
      </c>
      <c r="J33" s="21"/>
      <c r="K33" s="22">
        <v>248579.09</v>
      </c>
      <c r="L33" s="23"/>
      <c r="M33" s="22">
        <v>0</v>
      </c>
      <c r="N33" s="72">
        <v>2.5000000000000001E-2</v>
      </c>
      <c r="O33" s="22">
        <v>32707.775000000001</v>
      </c>
      <c r="P33" s="21">
        <v>1524182.3150000002</v>
      </c>
      <c r="S33" s="101" t="b">
        <f>OR(COUNTIF(Tabla2[[#This Row],[PROVEEDOR]],"*"&amp;'Palabra no opera'!$A$2&amp;"*"))</f>
        <v>0</v>
      </c>
      <c r="T33" s="113">
        <f>+$W$5-Tabla2[[#This Row],[FECHA DE FACTURACIÓN]]</f>
        <v>40</v>
      </c>
      <c r="U33" t="str">
        <f>+IF(Tabla2[[#This Row],[dias de credito]]&gt;=Tabla2[[#This Row],[PLAZO Días]],"venc", "No venc")</f>
        <v>venc</v>
      </c>
      <c r="V33" t="str">
        <f>+IF(Tabla2[[#This Row],[FECHA DE PAGO]]&gt;0,"pagada","por pagar")</f>
        <v>pagada</v>
      </c>
      <c r="W33" s="115" t="str">
        <f>+IF(AND(Tabla2[[#This Row],[venc]]="venc",Tabla2[[#This Row],[Columna1]]="por pagar"),"vencida","no")</f>
        <v>no</v>
      </c>
    </row>
    <row r="34" spans="1:23" ht="15.75" x14ac:dyDescent="0.25">
      <c r="A34" s="20">
        <v>30</v>
      </c>
      <c r="B34" s="25">
        <v>2923945.6174999997</v>
      </c>
      <c r="C34" s="25"/>
      <c r="D34" s="56" t="s">
        <v>1538</v>
      </c>
      <c r="E34" s="66">
        <v>45317</v>
      </c>
      <c r="F34" s="323" t="s">
        <v>1526</v>
      </c>
      <c r="G34" s="66">
        <v>45280</v>
      </c>
      <c r="H34" s="35" t="s">
        <v>1437</v>
      </c>
      <c r="I34" s="21">
        <v>616355</v>
      </c>
      <c r="J34" s="21"/>
      <c r="K34" s="22">
        <v>117107.45</v>
      </c>
      <c r="L34" s="23"/>
      <c r="M34" s="22">
        <v>0</v>
      </c>
      <c r="N34" s="72">
        <v>0</v>
      </c>
      <c r="O34" s="22">
        <v>0</v>
      </c>
      <c r="P34" s="21">
        <v>733462.45</v>
      </c>
      <c r="S34" s="101" t="b">
        <f>OR(COUNTIF(Tabla2[[#This Row],[PROVEEDOR]],"*"&amp;'Palabra no opera'!$A$2&amp;"*"))</f>
        <v>0</v>
      </c>
      <c r="T34" s="113">
        <f>+$W$5-Tabla2[[#This Row],[FECHA DE FACTURACIÓN]]</f>
        <v>42</v>
      </c>
      <c r="U34" t="str">
        <f>+IF(Tabla2[[#This Row],[dias de credito]]&gt;=Tabla2[[#This Row],[PLAZO Días]],"venc", "No venc")</f>
        <v>venc</v>
      </c>
      <c r="V34" t="str">
        <f>+IF(Tabla2[[#This Row],[FECHA DE PAGO]]&gt;0,"pagada","por pagar")</f>
        <v>pagada</v>
      </c>
      <c r="W34" s="115" t="str">
        <f>+IF(AND(Tabla2[[#This Row],[venc]]="venc",Tabla2[[#This Row],[Columna1]]="por pagar"),"vencida","no")</f>
        <v>no</v>
      </c>
    </row>
    <row r="35" spans="1:23" ht="15.75" x14ac:dyDescent="0.25">
      <c r="A35" s="20">
        <v>30</v>
      </c>
      <c r="B35" s="25">
        <v>2713769.64</v>
      </c>
      <c r="C35" s="25"/>
      <c r="D35" s="56" t="s">
        <v>445</v>
      </c>
      <c r="E35" s="66">
        <v>45317</v>
      </c>
      <c r="F35" s="323" t="s">
        <v>11</v>
      </c>
      <c r="G35" s="66">
        <v>45280</v>
      </c>
      <c r="H35" s="35" t="s">
        <v>1425</v>
      </c>
      <c r="I35" s="21">
        <v>3882361</v>
      </c>
      <c r="J35" s="21"/>
      <c r="K35" s="22">
        <v>737648.59</v>
      </c>
      <c r="L35" s="23"/>
      <c r="M35" s="22">
        <v>0</v>
      </c>
      <c r="N35" s="72">
        <v>2.5000000000000001E-2</v>
      </c>
      <c r="O35" s="22">
        <v>97059.025000000009</v>
      </c>
      <c r="P35" s="21">
        <v>4522950.5649999995</v>
      </c>
      <c r="S35" s="101" t="b">
        <f>OR(COUNTIF(Tabla2[[#This Row],[PROVEEDOR]],"*"&amp;'Palabra no opera'!$A$2&amp;"*"))</f>
        <v>0</v>
      </c>
      <c r="T35" s="113">
        <f>+$W$5-Tabla2[[#This Row],[FECHA DE FACTURACIÓN]]</f>
        <v>42</v>
      </c>
      <c r="U35" t="str">
        <f>+IF(Tabla2[[#This Row],[dias de credito]]&gt;=Tabla2[[#This Row],[PLAZO Días]],"venc", "No venc")</f>
        <v>venc</v>
      </c>
      <c r="V35" t="str">
        <f>+IF(Tabla2[[#This Row],[FECHA DE PAGO]]&gt;0,"pagada","por pagar")</f>
        <v>pagada</v>
      </c>
      <c r="W35" s="115" t="str">
        <f>+IF(AND(Tabla2[[#This Row],[venc]]="venc",Tabla2[[#This Row],[Columna1]]="por pagar"),"vencida","no")</f>
        <v>no</v>
      </c>
    </row>
    <row r="36" spans="1:23" ht="15.75" x14ac:dyDescent="0.25">
      <c r="A36" s="20">
        <v>30</v>
      </c>
      <c r="B36" s="25">
        <v>2713769.64</v>
      </c>
      <c r="C36" s="25"/>
      <c r="D36" s="56" t="s">
        <v>445</v>
      </c>
      <c r="E36" s="66">
        <v>45317</v>
      </c>
      <c r="F36" s="323" t="s">
        <v>11</v>
      </c>
      <c r="G36" s="66">
        <v>45280</v>
      </c>
      <c r="H36" s="35" t="s">
        <v>1426</v>
      </c>
      <c r="I36" s="21">
        <v>3882361</v>
      </c>
      <c r="J36" s="21"/>
      <c r="K36" s="22">
        <v>737648.59</v>
      </c>
      <c r="L36" s="23"/>
      <c r="M36" s="22">
        <v>0</v>
      </c>
      <c r="N36" s="72">
        <v>2.5000000000000001E-2</v>
      </c>
      <c r="O36" s="22">
        <v>97059.025000000009</v>
      </c>
      <c r="P36" s="21">
        <v>4522950.5649999995</v>
      </c>
      <c r="S36" s="101" t="b">
        <f>OR(COUNTIF(Tabla2[[#This Row],[PROVEEDOR]],"*"&amp;'Palabra no opera'!$A$2&amp;"*"))</f>
        <v>0</v>
      </c>
      <c r="T36" s="113">
        <f>+$W$5-Tabla2[[#This Row],[FECHA DE FACTURACIÓN]]</f>
        <v>42</v>
      </c>
      <c r="U36" t="str">
        <f>+IF(Tabla2[[#This Row],[dias de credito]]&gt;=Tabla2[[#This Row],[PLAZO Días]],"venc", "No venc")</f>
        <v>venc</v>
      </c>
      <c r="V36" t="str">
        <f>+IF(Tabla2[[#This Row],[FECHA DE PAGO]]&gt;0,"pagada","por pagar")</f>
        <v>pagada</v>
      </c>
      <c r="W36" s="115" t="str">
        <f>+IF(AND(Tabla2[[#This Row],[venc]]="venc",Tabla2[[#This Row],[Columna1]]="por pagar"),"vencida","no")</f>
        <v>no</v>
      </c>
    </row>
    <row r="37" spans="1:23" ht="15.75" x14ac:dyDescent="0.25">
      <c r="A37" s="20">
        <v>30</v>
      </c>
      <c r="B37" s="25">
        <v>2169355.9580000001</v>
      </c>
      <c r="C37" s="25"/>
      <c r="D37" s="56" t="s">
        <v>164</v>
      </c>
      <c r="E37" s="66">
        <v>45317</v>
      </c>
      <c r="F37" s="323" t="s">
        <v>18</v>
      </c>
      <c r="G37" s="66">
        <v>45275</v>
      </c>
      <c r="H37" s="35" t="s">
        <v>1408</v>
      </c>
      <c r="I37" s="21">
        <v>5597576</v>
      </c>
      <c r="J37" s="21"/>
      <c r="K37" s="22">
        <v>1063539.44</v>
      </c>
      <c r="L37" s="23"/>
      <c r="M37" s="22">
        <v>0</v>
      </c>
      <c r="N37" s="72">
        <v>2.5000000000000001E-2</v>
      </c>
      <c r="O37" s="22">
        <v>139939.4</v>
      </c>
      <c r="P37" s="21">
        <v>6521176.0399999991</v>
      </c>
      <c r="S37" s="101" t="b">
        <f>OR(COUNTIF(Tabla2[[#This Row],[PROVEEDOR]],"*"&amp;'Palabra no opera'!$A$2&amp;"*"))</f>
        <v>0</v>
      </c>
      <c r="T37" s="113">
        <f>+$W$5-Tabla2[[#This Row],[FECHA DE FACTURACIÓN]]</f>
        <v>47</v>
      </c>
      <c r="U37" t="str">
        <f>+IF(Tabla2[[#This Row],[dias de credito]]&gt;=Tabla2[[#This Row],[PLAZO Días]],"venc", "No venc")</f>
        <v>venc</v>
      </c>
      <c r="V37" t="str">
        <f>+IF(Tabla2[[#This Row],[FECHA DE PAGO]]&gt;0,"pagada","por pagar")</f>
        <v>pagada</v>
      </c>
      <c r="W37" s="115" t="str">
        <f>+IF(AND(Tabla2[[#This Row],[venc]]="venc",Tabla2[[#This Row],[Columna1]]="por pagar"),"vencida","no")</f>
        <v>no</v>
      </c>
    </row>
    <row r="38" spans="1:23" ht="15.75" x14ac:dyDescent="0.25">
      <c r="A38" s="20">
        <v>30</v>
      </c>
      <c r="B38" s="25">
        <v>0</v>
      </c>
      <c r="C38" s="25"/>
      <c r="D38" s="56">
        <v>0</v>
      </c>
      <c r="E38" s="66">
        <v>45317</v>
      </c>
      <c r="F38" s="323" t="s">
        <v>1218</v>
      </c>
      <c r="G38" s="66">
        <v>45274</v>
      </c>
      <c r="H38" s="35" t="s">
        <v>1420</v>
      </c>
      <c r="I38" s="21">
        <v>350000</v>
      </c>
      <c r="J38" s="21"/>
      <c r="K38" s="22">
        <v>0</v>
      </c>
      <c r="L38" s="23"/>
      <c r="M38" s="22">
        <v>0</v>
      </c>
      <c r="N38" s="72">
        <v>0</v>
      </c>
      <c r="O38" s="22">
        <v>0</v>
      </c>
      <c r="P38" s="21">
        <v>350000</v>
      </c>
      <c r="S38" s="101" t="b">
        <f>OR(COUNTIF(Tabla2[[#This Row],[PROVEEDOR]],"*"&amp;'Palabra no opera'!$A$2&amp;"*"))</f>
        <v>0</v>
      </c>
      <c r="T38" s="113">
        <f>+$W$5-Tabla2[[#This Row],[FECHA DE FACTURACIÓN]]</f>
        <v>48</v>
      </c>
      <c r="U38" t="str">
        <f>+IF(Tabla2[[#This Row],[dias de credito]]&gt;=Tabla2[[#This Row],[PLAZO Días]],"venc", "No venc")</f>
        <v>venc</v>
      </c>
      <c r="V38" t="str">
        <f>+IF(Tabla2[[#This Row],[FECHA DE PAGO]]&gt;0,"pagada","por pagar")</f>
        <v>pagada</v>
      </c>
      <c r="W38" s="115" t="str">
        <f>+IF(AND(Tabla2[[#This Row],[venc]]="venc",Tabla2[[#This Row],[Columna1]]="por pagar"),"vencida","no")</f>
        <v>no</v>
      </c>
    </row>
    <row r="39" spans="1:23" ht="15.75" x14ac:dyDescent="0.25">
      <c r="A39" s="20">
        <v>30</v>
      </c>
      <c r="B39" s="25">
        <v>-100999.9886</v>
      </c>
      <c r="C39" s="25"/>
      <c r="D39" s="56" t="s">
        <v>1537</v>
      </c>
      <c r="E39" s="66">
        <v>45317</v>
      </c>
      <c r="F39" s="323" t="s">
        <v>246</v>
      </c>
      <c r="G39" s="66">
        <v>45274</v>
      </c>
      <c r="H39" s="35" t="s">
        <v>1410</v>
      </c>
      <c r="I39" s="21">
        <v>79327</v>
      </c>
      <c r="J39" s="21"/>
      <c r="K39" s="22">
        <v>15072.130000000001</v>
      </c>
      <c r="L39" s="23"/>
      <c r="M39" s="22">
        <v>0</v>
      </c>
      <c r="N39" s="72">
        <v>0</v>
      </c>
      <c r="O39" s="22">
        <v>0</v>
      </c>
      <c r="P39" s="21">
        <v>94399.13</v>
      </c>
      <c r="S39" s="101" t="b">
        <f>OR(COUNTIF(Tabla2[[#This Row],[PROVEEDOR]],"*"&amp;'Palabra no opera'!$A$2&amp;"*"))</f>
        <v>0</v>
      </c>
      <c r="T39" s="113">
        <f>+$W$5-Tabla2[[#This Row],[FECHA DE FACTURACIÓN]]</f>
        <v>48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pagada</v>
      </c>
      <c r="W39" s="115" t="str">
        <f>+IF(AND(Tabla2[[#This Row],[venc]]="venc",Tabla2[[#This Row],[Columna1]]="por pagar"),"vencida","no")</f>
        <v>no</v>
      </c>
    </row>
    <row r="40" spans="1:23" ht="15.75" x14ac:dyDescent="0.25">
      <c r="A40" s="20">
        <v>30</v>
      </c>
      <c r="B40" s="25">
        <v>0</v>
      </c>
      <c r="C40" s="25"/>
      <c r="D40" s="56">
        <v>0</v>
      </c>
      <c r="E40" s="66">
        <v>45317</v>
      </c>
      <c r="F40" s="323" t="s">
        <v>1218</v>
      </c>
      <c r="G40" s="66">
        <v>45273</v>
      </c>
      <c r="H40" s="35" t="s">
        <v>1421</v>
      </c>
      <c r="I40" s="21">
        <v>1355000</v>
      </c>
      <c r="J40" s="21"/>
      <c r="K40" s="22">
        <v>0</v>
      </c>
      <c r="L40" s="23"/>
      <c r="M40" s="22">
        <v>0</v>
      </c>
      <c r="N40" s="72">
        <v>0</v>
      </c>
      <c r="O40" s="22">
        <v>0</v>
      </c>
      <c r="P40" s="21">
        <v>1355000</v>
      </c>
      <c r="S40" s="101" t="b">
        <f>OR(COUNTIF(Tabla2[[#This Row],[PROVEEDOR]],"*"&amp;'Palabra no opera'!$A$2&amp;"*"))</f>
        <v>0</v>
      </c>
      <c r="T40" s="113">
        <f>+$W$5-Tabla2[[#This Row],[FECHA DE FACTURACIÓN]]</f>
        <v>49</v>
      </c>
      <c r="U40" t="str">
        <f>+IF(Tabla2[[#This Row],[dias de credito]]&gt;=Tabla2[[#This Row],[PLAZO Días]],"venc", "No venc")</f>
        <v>venc</v>
      </c>
      <c r="V40" t="str">
        <f>+IF(Tabla2[[#This Row],[FECHA DE PAGO]]&gt;0,"pagada","por pagar")</f>
        <v>pagada</v>
      </c>
      <c r="W40" s="115" t="str">
        <f>+IF(AND(Tabla2[[#This Row],[venc]]="venc",Tabla2[[#This Row],[Columna1]]="por pagar"),"vencida","no")</f>
        <v>no</v>
      </c>
    </row>
    <row r="41" spans="1:23" ht="15.75" x14ac:dyDescent="0.25">
      <c r="A41" s="20">
        <v>30</v>
      </c>
      <c r="B41" s="25">
        <v>-100999.9886</v>
      </c>
      <c r="C41" s="25"/>
      <c r="D41" s="56" t="s">
        <v>1537</v>
      </c>
      <c r="E41" s="66">
        <v>45317</v>
      </c>
      <c r="F41" s="323" t="s">
        <v>246</v>
      </c>
      <c r="G41" s="66">
        <v>45271</v>
      </c>
      <c r="H41" s="35" t="s">
        <v>1378</v>
      </c>
      <c r="I41" s="21">
        <v>866151</v>
      </c>
      <c r="J41" s="21"/>
      <c r="K41" s="22">
        <v>164568.69</v>
      </c>
      <c r="L41" s="23"/>
      <c r="M41" s="22">
        <v>0</v>
      </c>
      <c r="N41" s="72">
        <v>0</v>
      </c>
      <c r="O41" s="22">
        <v>0</v>
      </c>
      <c r="P41" s="21">
        <v>1030719.69</v>
      </c>
      <c r="S41" s="101" t="b">
        <f>OR(COUNTIF(Tabla2[[#This Row],[PROVEEDOR]],"*"&amp;'Palabra no opera'!$A$2&amp;"*"))</f>
        <v>0</v>
      </c>
      <c r="T41" s="113">
        <f>+$W$5-Tabla2[[#This Row],[FECHA DE FACTURACIÓN]]</f>
        <v>51</v>
      </c>
      <c r="U41" t="str">
        <f>+IF(Tabla2[[#This Row],[dias de credito]]&gt;=Tabla2[[#This Row],[PLAZO Días]],"venc", "No venc")</f>
        <v>venc</v>
      </c>
      <c r="V41" t="str">
        <f>+IF(Tabla2[[#This Row],[FECHA DE PAGO]]&gt;0,"pagada","por pagar")</f>
        <v>pagada</v>
      </c>
      <c r="W41" s="115" t="str">
        <f>+IF(AND(Tabla2[[#This Row],[venc]]="venc",Tabla2[[#This Row],[Columna1]]="por pagar"),"vencida","no")</f>
        <v>no</v>
      </c>
    </row>
    <row r="42" spans="1:23" ht="15.75" x14ac:dyDescent="0.25">
      <c r="A42" s="20">
        <v>30</v>
      </c>
      <c r="B42" s="25">
        <v>0</v>
      </c>
      <c r="C42" s="25"/>
      <c r="D42" s="56" t="s">
        <v>104</v>
      </c>
      <c r="E42" s="66">
        <v>45316</v>
      </c>
      <c r="F42" s="323" t="s">
        <v>521</v>
      </c>
      <c r="G42" s="66">
        <v>45315</v>
      </c>
      <c r="H42" s="35" t="s">
        <v>1549</v>
      </c>
      <c r="I42" s="21">
        <v>130000</v>
      </c>
      <c r="J42" s="21"/>
      <c r="K42" s="22">
        <v>0</v>
      </c>
      <c r="L42" s="23"/>
      <c r="M42" s="22">
        <v>0</v>
      </c>
      <c r="N42" s="72">
        <v>0</v>
      </c>
      <c r="O42" s="22">
        <v>0</v>
      </c>
      <c r="P42" s="21">
        <v>130000</v>
      </c>
      <c r="S42" s="101" t="b">
        <f>OR(COUNTIF(Tabla2[[#This Row],[PROVEEDOR]],"*"&amp;'Palabra no opera'!$A$2&amp;"*"))</f>
        <v>0</v>
      </c>
      <c r="T42" s="113">
        <f>+$W$5-Tabla2[[#This Row],[FECHA DE FACTURACIÓN]]</f>
        <v>7</v>
      </c>
      <c r="U42" t="str">
        <f>+IF(Tabla2[[#This Row],[dias de credito]]&gt;=Tabla2[[#This Row],[PLAZO Días]],"venc", "No venc")</f>
        <v>No venc</v>
      </c>
      <c r="V42" t="str">
        <f>+IF(Tabla2[[#This Row],[FECHA DE PAGO]]&gt;0,"pagada","por pagar")</f>
        <v>pagada</v>
      </c>
      <c r="W42" s="115" t="str">
        <f>+IF(AND(Tabla2[[#This Row],[venc]]="venc",Tabla2[[#This Row],[Columna1]]="por pagar"),"vencida","no")</f>
        <v>no</v>
      </c>
    </row>
    <row r="43" spans="1:23" ht="15.75" x14ac:dyDescent="0.25">
      <c r="A43" s="20">
        <v>0</v>
      </c>
      <c r="B43" s="25">
        <v>0</v>
      </c>
      <c r="C43" s="25"/>
      <c r="D43" s="56">
        <v>0</v>
      </c>
      <c r="E43" s="66">
        <v>45316</v>
      </c>
      <c r="F43" s="323" t="s">
        <v>270</v>
      </c>
      <c r="G43" s="66">
        <v>45301</v>
      </c>
      <c r="H43" s="35" t="s">
        <v>1535</v>
      </c>
      <c r="I43" s="21">
        <v>960300</v>
      </c>
      <c r="J43" s="21"/>
      <c r="K43" s="22">
        <v>0</v>
      </c>
      <c r="L43" s="23"/>
      <c r="M43" s="22">
        <v>0</v>
      </c>
      <c r="N43" s="72">
        <v>0</v>
      </c>
      <c r="O43" s="22">
        <v>0</v>
      </c>
      <c r="P43" s="21">
        <v>960300</v>
      </c>
      <c r="S43" s="101" t="b">
        <f>OR(COUNTIF(Tabla2[[#This Row],[PROVEEDOR]],"*"&amp;'Palabra no opera'!$A$2&amp;"*"))</f>
        <v>0</v>
      </c>
      <c r="T43" s="113">
        <f>+$W$5-Tabla2[[#This Row],[FECHA DE FACTURACIÓN]]</f>
        <v>21</v>
      </c>
      <c r="U43" t="str">
        <f>+IF(Tabla2[[#This Row],[dias de credito]]&gt;=Tabla2[[#This Row],[PLAZO Días]],"venc", "No venc")</f>
        <v>venc</v>
      </c>
      <c r="V43" t="str">
        <f>+IF(Tabla2[[#This Row],[FECHA DE PAGO]]&gt;0,"pagada","por pagar")</f>
        <v>pagada</v>
      </c>
      <c r="W43" s="115" t="str">
        <f>+IF(AND(Tabla2[[#This Row],[venc]]="venc",Tabla2[[#This Row],[Columna1]]="por pagar"),"vencida","no")</f>
        <v>no</v>
      </c>
    </row>
    <row r="44" spans="1:23" ht="15.75" x14ac:dyDescent="0.25">
      <c r="A44" s="20">
        <v>30</v>
      </c>
      <c r="B44" s="25">
        <v>0</v>
      </c>
      <c r="C44" s="25"/>
      <c r="D44" s="56" t="s">
        <v>104</v>
      </c>
      <c r="E44" s="66">
        <v>45315</v>
      </c>
      <c r="F44" s="323" t="s">
        <v>299</v>
      </c>
      <c r="G44" s="66">
        <v>45315</v>
      </c>
      <c r="H44" s="35"/>
      <c r="I44" s="21">
        <v>1032800</v>
      </c>
      <c r="J44" s="21"/>
      <c r="K44" s="22">
        <v>0</v>
      </c>
      <c r="L44" s="23"/>
      <c r="M44" s="22">
        <v>0</v>
      </c>
      <c r="N44" s="72">
        <v>0</v>
      </c>
      <c r="O44" s="22">
        <v>0</v>
      </c>
      <c r="P44" s="21">
        <v>1032800</v>
      </c>
      <c r="S44" s="101" t="b">
        <f>OR(COUNTIF(Tabla2[[#This Row],[PROVEEDOR]],"*"&amp;'Palabra no opera'!$A$2&amp;"*"))</f>
        <v>0</v>
      </c>
      <c r="T44" s="113">
        <f>+$W$5-Tabla2[[#This Row],[FECHA DE FACTURACIÓN]]</f>
        <v>7</v>
      </c>
      <c r="U44" t="str">
        <f>+IF(Tabla2[[#This Row],[dias de credito]]&gt;=Tabla2[[#This Row],[PLAZO Días]],"venc", "No venc")</f>
        <v>No venc</v>
      </c>
      <c r="V44" t="str">
        <f>+IF(Tabla2[[#This Row],[FECHA DE PAGO]]&gt;0,"pagada","por pagar")</f>
        <v>pagada</v>
      </c>
      <c r="W44" s="115" t="str">
        <f>+IF(AND(Tabla2[[#This Row],[venc]]="venc",Tabla2[[#This Row],[Columna1]]="por pagar"),"vencida","no")</f>
        <v>no</v>
      </c>
    </row>
    <row r="45" spans="1:23" ht="15.75" x14ac:dyDescent="0.25">
      <c r="A45" s="20">
        <v>30</v>
      </c>
      <c r="B45" s="25">
        <v>0</v>
      </c>
      <c r="C45" s="25"/>
      <c r="D45" s="56">
        <v>0</v>
      </c>
      <c r="E45" s="66">
        <v>45314</v>
      </c>
      <c r="F45" s="323" t="s">
        <v>1546</v>
      </c>
      <c r="G45" s="66">
        <v>45314</v>
      </c>
      <c r="H45" s="35" t="s">
        <v>1547</v>
      </c>
      <c r="I45" s="21">
        <v>72000</v>
      </c>
      <c r="J45" s="21"/>
      <c r="K45" s="22">
        <v>13680</v>
      </c>
      <c r="L45" s="23"/>
      <c r="M45" s="22">
        <v>0</v>
      </c>
      <c r="N45" s="72">
        <v>0</v>
      </c>
      <c r="O45" s="22">
        <v>0</v>
      </c>
      <c r="P45" s="21">
        <v>85680</v>
      </c>
      <c r="S45" s="101" t="b">
        <f>OR(COUNTIF(Tabla2[[#This Row],[PROVEEDOR]],"*"&amp;'Palabra no opera'!$A$2&amp;"*"))</f>
        <v>0</v>
      </c>
      <c r="T45" s="113">
        <f>+$W$5-Tabla2[[#This Row],[FECHA DE FACTURACIÓN]]</f>
        <v>8</v>
      </c>
      <c r="U45" t="str">
        <f>+IF(Tabla2[[#This Row],[dias de credito]]&gt;=Tabla2[[#This Row],[PLAZO Días]],"venc", "No venc")</f>
        <v>No venc</v>
      </c>
      <c r="V45" t="str">
        <f>+IF(Tabla2[[#This Row],[FECHA DE PAGO]]&gt;0,"pagada","por pagar")</f>
        <v>pagada</v>
      </c>
      <c r="W45" s="115" t="str">
        <f>+IF(AND(Tabla2[[#This Row],[venc]]="venc",Tabla2[[#This Row],[Columna1]]="por pagar"),"vencida","no")</f>
        <v>no</v>
      </c>
    </row>
    <row r="46" spans="1:23" ht="15.75" x14ac:dyDescent="0.25">
      <c r="A46" s="20">
        <v>60</v>
      </c>
      <c r="B46" s="25">
        <v>14884783</v>
      </c>
      <c r="C46" s="25"/>
      <c r="D46" s="56" t="s">
        <v>432</v>
      </c>
      <c r="E46" s="66">
        <v>45314</v>
      </c>
      <c r="F46" s="323" t="s">
        <v>76</v>
      </c>
      <c r="G46" s="66">
        <v>45274</v>
      </c>
      <c r="H46" s="35" t="s">
        <v>1411</v>
      </c>
      <c r="I46" s="21">
        <v>10849593</v>
      </c>
      <c r="J46" s="21"/>
      <c r="K46" s="22">
        <v>2061422.67</v>
      </c>
      <c r="L46" s="23"/>
      <c r="M46" s="22">
        <v>12000000</v>
      </c>
      <c r="N46" s="72">
        <v>2.5000000000000001E-2</v>
      </c>
      <c r="O46" s="22">
        <v>271239.82500000001</v>
      </c>
      <c r="P46" s="21">
        <v>639775.84499999997</v>
      </c>
      <c r="S46" s="101" t="b">
        <f>OR(COUNTIF(Tabla2[[#This Row],[PROVEEDOR]],"*"&amp;'Palabra no opera'!$A$2&amp;"*"))</f>
        <v>0</v>
      </c>
      <c r="T46" s="113">
        <f>+$W$5-Tabla2[[#This Row],[FECHA DE FACTURACIÓN]]</f>
        <v>48</v>
      </c>
      <c r="U46" t="str">
        <f>+IF(Tabla2[[#This Row],[dias de credito]]&gt;=Tabla2[[#This Row],[PLAZO Días]],"venc", "No venc")</f>
        <v>No venc</v>
      </c>
      <c r="V46" t="str">
        <f>+IF(Tabla2[[#This Row],[FECHA DE PAGO]]&gt;0,"pagada","por pagar")</f>
        <v>pagada</v>
      </c>
      <c r="W46" s="115" t="str">
        <f>+IF(AND(Tabla2[[#This Row],[venc]]="venc",Tabla2[[#This Row],[Columna1]]="por pagar"),"vencida","no")</f>
        <v>no</v>
      </c>
    </row>
    <row r="47" spans="1:23" ht="15.75" x14ac:dyDescent="0.25">
      <c r="A47" s="20">
        <v>60</v>
      </c>
      <c r="B47" s="25">
        <v>14884783</v>
      </c>
      <c r="C47" s="25"/>
      <c r="D47" s="56" t="s">
        <v>432</v>
      </c>
      <c r="E47" s="66">
        <v>45314</v>
      </c>
      <c r="F47" s="323" t="s">
        <v>76</v>
      </c>
      <c r="G47" s="66">
        <v>45271</v>
      </c>
      <c r="H47" s="35" t="s">
        <v>1412</v>
      </c>
      <c r="I47" s="21">
        <v>3963010</v>
      </c>
      <c r="J47" s="21"/>
      <c r="K47" s="22">
        <v>752971.9</v>
      </c>
      <c r="L47" s="23"/>
      <c r="M47" s="22">
        <v>0</v>
      </c>
      <c r="N47" s="72">
        <v>2.5000000000000001E-2</v>
      </c>
      <c r="O47" s="22">
        <v>99075.25</v>
      </c>
      <c r="P47" s="21">
        <v>4616906.6500000004</v>
      </c>
      <c r="S47" s="101" t="b">
        <f>OR(COUNTIF(Tabla2[[#This Row],[PROVEEDOR]],"*"&amp;'Palabra no opera'!$A$2&amp;"*"))</f>
        <v>0</v>
      </c>
      <c r="T47" s="113">
        <f>+$W$5-Tabla2[[#This Row],[FECHA DE FACTURACIÓN]]</f>
        <v>51</v>
      </c>
      <c r="U47" t="str">
        <f>+IF(Tabla2[[#This Row],[dias de credito]]&gt;=Tabla2[[#This Row],[PLAZO Días]],"venc", "No venc")</f>
        <v>No venc</v>
      </c>
      <c r="V47" t="str">
        <f>+IF(Tabla2[[#This Row],[FECHA DE PAGO]]&gt;0,"pagada","por pagar")</f>
        <v>pagada</v>
      </c>
      <c r="W47" s="115" t="str">
        <f>+IF(AND(Tabla2[[#This Row],[venc]]="venc",Tabla2[[#This Row],[Columna1]]="por pagar"),"vencida","no")</f>
        <v>no</v>
      </c>
    </row>
    <row r="48" spans="1:23" ht="15.75" x14ac:dyDescent="0.25">
      <c r="A48" s="20">
        <v>60</v>
      </c>
      <c r="B48" s="25">
        <v>14884783</v>
      </c>
      <c r="C48" s="25"/>
      <c r="D48" s="56" t="s">
        <v>432</v>
      </c>
      <c r="E48" s="66">
        <v>45314</v>
      </c>
      <c r="F48" s="323" t="s">
        <v>76</v>
      </c>
      <c r="G48" s="66">
        <v>45251</v>
      </c>
      <c r="H48" s="35" t="s">
        <v>1314</v>
      </c>
      <c r="I48" s="21">
        <v>8710860</v>
      </c>
      <c r="J48" s="21"/>
      <c r="K48" s="22">
        <v>1655063.4</v>
      </c>
      <c r="L48" s="23"/>
      <c r="M48" s="22">
        <v>3100000</v>
      </c>
      <c r="N48" s="72">
        <v>2.5000000000000001E-2</v>
      </c>
      <c r="O48" s="22">
        <v>217771.5</v>
      </c>
      <c r="P48" s="21">
        <v>7048151.9000000004</v>
      </c>
      <c r="S48" s="101" t="b">
        <f>OR(COUNTIF(Tabla2[[#This Row],[PROVEEDOR]],"*"&amp;'Palabra no opera'!$A$2&amp;"*"))</f>
        <v>0</v>
      </c>
      <c r="T48" s="113">
        <f>+$W$5-Tabla2[[#This Row],[FECHA DE FACTURACIÓN]]</f>
        <v>71</v>
      </c>
      <c r="U48" t="str">
        <f>+IF(Tabla2[[#This Row],[dias de credito]]&gt;=Tabla2[[#This Row],[PLAZO Días]],"venc", "No venc")</f>
        <v>venc</v>
      </c>
      <c r="V48" t="str">
        <f>+IF(Tabla2[[#This Row],[FECHA DE PAGO]]&gt;0,"pagada","por pagar")</f>
        <v>pagada</v>
      </c>
      <c r="W48" s="115" t="str">
        <f>+IF(AND(Tabla2[[#This Row],[venc]]="venc",Tabla2[[#This Row],[Columna1]]="por pagar"),"vencida","no")</f>
        <v>no</v>
      </c>
    </row>
    <row r="49" spans="1:23" ht="15.75" x14ac:dyDescent="0.25">
      <c r="A49" s="20">
        <v>30</v>
      </c>
      <c r="B49" s="25">
        <v>0</v>
      </c>
      <c r="C49" s="25"/>
      <c r="D49" s="56" t="s">
        <v>209</v>
      </c>
      <c r="E49" s="66">
        <v>45314</v>
      </c>
      <c r="F49" s="323" t="s">
        <v>31</v>
      </c>
      <c r="G49" s="66">
        <v>45247</v>
      </c>
      <c r="H49" s="35" t="s">
        <v>1530</v>
      </c>
      <c r="I49" s="21">
        <v>14553283</v>
      </c>
      <c r="J49" s="21">
        <v>405840</v>
      </c>
      <c r="K49" s="22">
        <v>0</v>
      </c>
      <c r="L49" s="23"/>
      <c r="M49" s="22">
        <v>0</v>
      </c>
      <c r="N49" s="72">
        <v>0</v>
      </c>
      <c r="O49" s="22">
        <v>0</v>
      </c>
      <c r="P49" s="21">
        <v>14147443</v>
      </c>
      <c r="S49" s="101" t="b">
        <f>OR(COUNTIF(Tabla2[[#This Row],[PROVEEDOR]],"*"&amp;'Palabra no opera'!$A$2&amp;"*"))</f>
        <v>0</v>
      </c>
      <c r="T49" s="113">
        <f>+$W$5-Tabla2[[#This Row],[FECHA DE FACTURACIÓN]]</f>
        <v>75</v>
      </c>
      <c r="U49" t="str">
        <f>+IF(Tabla2[[#This Row],[dias de credito]]&gt;=Tabla2[[#This Row],[PLAZO Días]],"venc", "No venc")</f>
        <v>venc</v>
      </c>
      <c r="V49" t="str">
        <f>+IF(Tabla2[[#This Row],[FECHA DE PAGO]]&gt;0,"pagada","por pagar")</f>
        <v>pagada</v>
      </c>
      <c r="W49" s="115" t="str">
        <f>+IF(AND(Tabla2[[#This Row],[venc]]="venc",Tabla2[[#This Row],[Columna1]]="por pagar"),"vencida","no")</f>
        <v>no</v>
      </c>
    </row>
    <row r="50" spans="1:23" ht="15.75" x14ac:dyDescent="0.25">
      <c r="A50" s="20">
        <v>30</v>
      </c>
      <c r="B50" s="25">
        <v>0</v>
      </c>
      <c r="C50" s="25"/>
      <c r="D50" s="56" t="s">
        <v>104</v>
      </c>
      <c r="E50" s="66">
        <v>45311</v>
      </c>
      <c r="F50" s="323" t="s">
        <v>291</v>
      </c>
      <c r="G50" s="66">
        <v>45311</v>
      </c>
      <c r="H50" s="35"/>
      <c r="I50" s="21">
        <v>280000</v>
      </c>
      <c r="J50" s="21"/>
      <c r="K50" s="22">
        <v>0</v>
      </c>
      <c r="L50" s="23"/>
      <c r="M50" s="22">
        <v>0</v>
      </c>
      <c r="N50" s="72">
        <v>0</v>
      </c>
      <c r="O50" s="22">
        <v>0</v>
      </c>
      <c r="P50" s="21">
        <v>280000</v>
      </c>
      <c r="S50" s="101" t="b">
        <f>OR(COUNTIF(Tabla2[[#This Row],[PROVEEDOR]],"*"&amp;'Palabra no opera'!$A$2&amp;"*"))</f>
        <v>0</v>
      </c>
      <c r="T50" s="113">
        <f>+$W$5-Tabla2[[#This Row],[FECHA DE FACTURACIÓN]]</f>
        <v>11</v>
      </c>
      <c r="U50" t="str">
        <f>+IF(Tabla2[[#This Row],[dias de credito]]&gt;=Tabla2[[#This Row],[PLAZO Días]],"venc", "No venc")</f>
        <v>No venc</v>
      </c>
      <c r="V50" t="str">
        <f>+IF(Tabla2[[#This Row],[FECHA DE PAGO]]&gt;0,"pagada","por pagar")</f>
        <v>pagada</v>
      </c>
      <c r="W50" s="115" t="str">
        <f>+IF(AND(Tabla2[[#This Row],[venc]]="venc",Tabla2[[#This Row],[Columna1]]="por pagar"),"vencida","no")</f>
        <v>no</v>
      </c>
    </row>
    <row r="51" spans="1:23" ht="15.75" x14ac:dyDescent="0.25">
      <c r="A51" s="20">
        <v>30</v>
      </c>
      <c r="B51" s="25">
        <v>0</v>
      </c>
      <c r="C51" s="25"/>
      <c r="D51" s="56" t="s">
        <v>104</v>
      </c>
      <c r="E51" s="66">
        <v>45311</v>
      </c>
      <c r="F51" s="323" t="s">
        <v>291</v>
      </c>
      <c r="G51" s="66">
        <v>45311</v>
      </c>
      <c r="H51" s="35" t="s">
        <v>1521</v>
      </c>
      <c r="I51" s="21">
        <v>880000</v>
      </c>
      <c r="J51" s="21"/>
      <c r="K51" s="22">
        <v>0</v>
      </c>
      <c r="L51" s="23"/>
      <c r="M51" s="22">
        <v>0</v>
      </c>
      <c r="N51" s="72">
        <v>0</v>
      </c>
      <c r="O51" s="22">
        <v>0</v>
      </c>
      <c r="P51" s="21">
        <v>880000</v>
      </c>
      <c r="S51" s="101" t="b">
        <f>OR(COUNTIF(Tabla2[[#This Row],[PROVEEDOR]],"*"&amp;'Palabra no opera'!$A$2&amp;"*"))</f>
        <v>0</v>
      </c>
      <c r="T51" s="113">
        <f>+$W$5-Tabla2[[#This Row],[FECHA DE FACTURACIÓN]]</f>
        <v>11</v>
      </c>
      <c r="U51" t="str">
        <f>+IF(Tabla2[[#This Row],[dias de credito]]&gt;=Tabla2[[#This Row],[PLAZO Días]],"venc", "No venc")</f>
        <v>No venc</v>
      </c>
      <c r="V51" t="str">
        <f>+IF(Tabla2[[#This Row],[FECHA DE PAGO]]&gt;0,"pagada","por pagar")</f>
        <v>pagada</v>
      </c>
      <c r="W51" s="115" t="str">
        <f>+IF(AND(Tabla2[[#This Row],[venc]]="venc",Tabla2[[#This Row],[Columna1]]="por pagar"),"vencida","no")</f>
        <v>no</v>
      </c>
    </row>
    <row r="52" spans="1:23" ht="15.75" x14ac:dyDescent="0.25">
      <c r="A52" s="20">
        <v>10</v>
      </c>
      <c r="B52" s="25">
        <v>0</v>
      </c>
      <c r="C52" s="25"/>
      <c r="D52" s="56">
        <v>0</v>
      </c>
      <c r="E52" s="66">
        <v>45310</v>
      </c>
      <c r="F52" s="323" t="s">
        <v>1519</v>
      </c>
      <c r="G52" s="66">
        <v>45310</v>
      </c>
      <c r="H52" s="35" t="s">
        <v>1520</v>
      </c>
      <c r="I52" s="21">
        <v>392000</v>
      </c>
      <c r="J52" s="21"/>
      <c r="K52" s="22">
        <v>0</v>
      </c>
      <c r="L52" s="23"/>
      <c r="M52" s="22">
        <v>0</v>
      </c>
      <c r="N52" s="72">
        <v>0</v>
      </c>
      <c r="O52" s="22">
        <v>0</v>
      </c>
      <c r="P52" s="21">
        <v>392000</v>
      </c>
      <c r="S52" s="101" t="b">
        <f>OR(COUNTIF(Tabla2[[#This Row],[PROVEEDOR]],"*"&amp;'Palabra no opera'!$A$2&amp;"*"))</f>
        <v>0</v>
      </c>
      <c r="T52" s="113">
        <f>+$W$5-Tabla2[[#This Row],[FECHA DE FACTURACIÓN]]</f>
        <v>12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pagada</v>
      </c>
      <c r="W52" s="115" t="str">
        <f>+IF(AND(Tabla2[[#This Row],[venc]]="venc",Tabla2[[#This Row],[Columna1]]="por pagar"),"vencida","no")</f>
        <v>no</v>
      </c>
    </row>
    <row r="53" spans="1:23" ht="15.75" x14ac:dyDescent="0.25">
      <c r="A53" s="20">
        <v>30</v>
      </c>
      <c r="B53" s="25">
        <v>2923945.6174999997</v>
      </c>
      <c r="C53" s="25"/>
      <c r="D53" s="56" t="s">
        <v>1538</v>
      </c>
      <c r="E53" s="66">
        <v>45310</v>
      </c>
      <c r="F53" s="323" t="s">
        <v>1526</v>
      </c>
      <c r="G53" s="66">
        <v>45272</v>
      </c>
      <c r="H53" s="35" t="s">
        <v>1416</v>
      </c>
      <c r="I53" s="21">
        <v>1577674</v>
      </c>
      <c r="J53" s="21"/>
      <c r="K53" s="22">
        <v>299758.06</v>
      </c>
      <c r="L53" s="23"/>
      <c r="M53" s="22">
        <v>0</v>
      </c>
      <c r="N53" s="72">
        <v>2.5000000000000001E-2</v>
      </c>
      <c r="O53" s="22">
        <v>39441.850000000006</v>
      </c>
      <c r="P53" s="21">
        <v>1837990.21</v>
      </c>
      <c r="S53" s="101" t="b">
        <f>OR(COUNTIF(Tabla2[[#This Row],[PROVEEDOR]],"*"&amp;'Palabra no opera'!$A$2&amp;"*"))</f>
        <v>0</v>
      </c>
      <c r="T53" s="113">
        <f>+$W$5-Tabla2[[#This Row],[FECHA DE FACTURACIÓN]]</f>
        <v>50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pagada</v>
      </c>
      <c r="W53" s="115" t="str">
        <f>+IF(AND(Tabla2[[#This Row],[venc]]="venc",Tabla2[[#This Row],[Columna1]]="por pagar"),"vencida","no")</f>
        <v>no</v>
      </c>
    </row>
    <row r="54" spans="1:23" ht="15.75" x14ac:dyDescent="0.25">
      <c r="A54" s="20">
        <v>30</v>
      </c>
      <c r="B54" s="25">
        <v>0</v>
      </c>
      <c r="C54" s="25"/>
      <c r="D54" s="56" t="s">
        <v>209</v>
      </c>
      <c r="E54" s="66">
        <v>45310</v>
      </c>
      <c r="F54" s="323" t="s">
        <v>31</v>
      </c>
      <c r="G54" s="66">
        <v>45250</v>
      </c>
      <c r="H54" s="35" t="s">
        <v>1531</v>
      </c>
      <c r="I54" s="21">
        <v>98075240</v>
      </c>
      <c r="J54" s="21"/>
      <c r="K54" s="22">
        <v>0</v>
      </c>
      <c r="L54" s="23"/>
      <c r="M54" s="22">
        <v>0</v>
      </c>
      <c r="N54" s="72">
        <v>0</v>
      </c>
      <c r="O54" s="22">
        <v>0</v>
      </c>
      <c r="P54" s="21">
        <v>98075240</v>
      </c>
      <c r="S54" s="101" t="b">
        <f>OR(COUNTIF(Tabla2[[#This Row],[PROVEEDOR]],"*"&amp;'Palabra no opera'!$A$2&amp;"*"))</f>
        <v>0</v>
      </c>
      <c r="T54" s="113">
        <f>+$W$5-Tabla2[[#This Row],[FECHA DE FACTURACIÓN]]</f>
        <v>72</v>
      </c>
      <c r="U54" t="str">
        <f>+IF(Tabla2[[#This Row],[dias de credito]]&gt;=Tabla2[[#This Row],[PLAZO Días]],"venc", "No venc")</f>
        <v>venc</v>
      </c>
      <c r="V54" t="str">
        <f>+IF(Tabla2[[#This Row],[FECHA DE PAGO]]&gt;0,"pagada","por pagar")</f>
        <v>pagada</v>
      </c>
      <c r="W54" s="115" t="str">
        <f>+IF(AND(Tabla2[[#This Row],[venc]]="venc",Tabla2[[#This Row],[Columna1]]="por pagar"),"vencida","no")</f>
        <v>no</v>
      </c>
    </row>
    <row r="55" spans="1:23" ht="15.75" x14ac:dyDescent="0.25">
      <c r="A55" s="20">
        <v>30</v>
      </c>
      <c r="B55" s="25">
        <v>0</v>
      </c>
      <c r="C55" s="25"/>
      <c r="D55" s="56" t="s">
        <v>104</v>
      </c>
      <c r="E55" s="66">
        <v>45309</v>
      </c>
      <c r="F55" s="323" t="s">
        <v>521</v>
      </c>
      <c r="G55" s="66">
        <v>45308</v>
      </c>
      <c r="H55" s="35" t="s">
        <v>1522</v>
      </c>
      <c r="I55" s="21">
        <v>5108000</v>
      </c>
      <c r="J55" s="21"/>
      <c r="K55" s="22">
        <v>0</v>
      </c>
      <c r="L55" s="23"/>
      <c r="M55" s="22">
        <v>0</v>
      </c>
      <c r="N55" s="72">
        <v>0</v>
      </c>
      <c r="O55" s="22">
        <v>0</v>
      </c>
      <c r="P55" s="21">
        <v>5108000</v>
      </c>
      <c r="S55" s="101" t="b">
        <f>OR(COUNTIF(Tabla2[[#This Row],[PROVEEDOR]],"*"&amp;'Palabra no opera'!$A$2&amp;"*"))</f>
        <v>0</v>
      </c>
      <c r="T55" s="113">
        <f>+$W$5-Tabla2[[#This Row],[FECHA DE FACTURACIÓN]]</f>
        <v>14</v>
      </c>
      <c r="U55" t="str">
        <f>+IF(Tabla2[[#This Row],[dias de credito]]&gt;=Tabla2[[#This Row],[PLAZO Días]],"venc", "No venc")</f>
        <v>No venc</v>
      </c>
      <c r="V55" t="str">
        <f>+IF(Tabla2[[#This Row],[FECHA DE PAGO]]&gt;0,"pagada","por pagar")</f>
        <v>pagada</v>
      </c>
      <c r="W55" s="115" t="str">
        <f>+IF(AND(Tabla2[[#This Row],[venc]]="venc",Tabla2[[#This Row],[Columna1]]="por pagar"),"vencida","no")</f>
        <v>no</v>
      </c>
    </row>
    <row r="56" spans="1:23" ht="15.75" x14ac:dyDescent="0.25">
      <c r="A56" s="20">
        <v>30</v>
      </c>
      <c r="B56" s="25">
        <v>-2000</v>
      </c>
      <c r="C56" s="25"/>
      <c r="D56" s="56">
        <v>0</v>
      </c>
      <c r="E56" s="66">
        <v>45309</v>
      </c>
      <c r="F56" s="323" t="s">
        <v>881</v>
      </c>
      <c r="G56" s="66">
        <v>45307</v>
      </c>
      <c r="H56" s="35" t="s">
        <v>1503</v>
      </c>
      <c r="I56" s="21">
        <v>281000</v>
      </c>
      <c r="J56" s="21"/>
      <c r="K56" s="22">
        <v>0</v>
      </c>
      <c r="L56" s="23"/>
      <c r="M56" s="22">
        <v>0</v>
      </c>
      <c r="N56" s="72">
        <v>0</v>
      </c>
      <c r="O56" s="22">
        <v>0</v>
      </c>
      <c r="P56" s="21">
        <v>281000</v>
      </c>
      <c r="S56" s="101" t="b">
        <f>OR(COUNTIF(Tabla2[[#This Row],[PROVEEDOR]],"*"&amp;'Palabra no opera'!$A$2&amp;"*"))</f>
        <v>0</v>
      </c>
      <c r="T56" s="113">
        <f>+$W$5-Tabla2[[#This Row],[FECHA DE FACTURACIÓN]]</f>
        <v>15</v>
      </c>
      <c r="U56" t="str">
        <f>+IF(Tabla2[[#This Row],[dias de credito]]&gt;=Tabla2[[#This Row],[PLAZO Días]],"venc", "No venc")</f>
        <v>No venc</v>
      </c>
      <c r="V56" t="str">
        <f>+IF(Tabla2[[#This Row],[FECHA DE PAGO]]&gt;0,"pagada","por pagar")</f>
        <v>pagada</v>
      </c>
      <c r="W56" s="115" t="str">
        <f>+IF(AND(Tabla2[[#This Row],[venc]]="venc",Tabla2[[#This Row],[Columna1]]="por pagar"),"vencida","no")</f>
        <v>no</v>
      </c>
    </row>
    <row r="57" spans="1:23" ht="15.75" x14ac:dyDescent="0.25">
      <c r="A57" s="20">
        <v>10</v>
      </c>
      <c r="B57" s="25">
        <v>0</v>
      </c>
      <c r="C57" s="25"/>
      <c r="D57" s="56" t="s">
        <v>468</v>
      </c>
      <c r="E57" s="66">
        <v>45309</v>
      </c>
      <c r="F57" s="323" t="s">
        <v>469</v>
      </c>
      <c r="G57" s="66">
        <v>45307</v>
      </c>
      <c r="H57" s="35">
        <v>3883</v>
      </c>
      <c r="I57" s="21">
        <v>945000</v>
      </c>
      <c r="J57" s="21"/>
      <c r="K57" s="22">
        <v>179550</v>
      </c>
      <c r="L57" s="23"/>
      <c r="M57" s="22">
        <v>0</v>
      </c>
      <c r="N57" s="72">
        <v>0.04</v>
      </c>
      <c r="O57" s="22">
        <v>37800</v>
      </c>
      <c r="P57" s="21">
        <v>1086750</v>
      </c>
      <c r="S57" s="101" t="b">
        <f>OR(COUNTIF(Tabla2[[#This Row],[PROVEEDOR]],"*"&amp;'Palabra no opera'!$A$2&amp;"*"))</f>
        <v>1</v>
      </c>
      <c r="T57" s="113">
        <f>+$W$5-Tabla2[[#This Row],[FECHA DE FACTURACIÓN]]</f>
        <v>15</v>
      </c>
      <c r="U57" t="str">
        <f>+IF(Tabla2[[#This Row],[dias de credito]]&gt;=Tabla2[[#This Row],[PLAZO Días]],"venc", "No venc")</f>
        <v>venc</v>
      </c>
      <c r="V57" t="str">
        <f>+IF(Tabla2[[#This Row],[FECHA DE PAGO]]&gt;0,"pagada","por pagar")</f>
        <v>pagada</v>
      </c>
      <c r="W57" s="115" t="str">
        <f>+IF(AND(Tabla2[[#This Row],[venc]]="venc",Tabla2[[#This Row],[Columna1]]="por pagar"),"vencida","no")</f>
        <v>no</v>
      </c>
    </row>
    <row r="58" spans="1:23" ht="15.75" x14ac:dyDescent="0.25">
      <c r="A58" s="20">
        <v>30</v>
      </c>
      <c r="B58" s="25">
        <v>2169355.9580000001</v>
      </c>
      <c r="C58" s="25"/>
      <c r="D58" s="56" t="s">
        <v>164</v>
      </c>
      <c r="E58" s="66">
        <v>45309</v>
      </c>
      <c r="F58" s="323" t="s">
        <v>18</v>
      </c>
      <c r="G58" s="66">
        <v>45266</v>
      </c>
      <c r="H58" s="35" t="s">
        <v>1379</v>
      </c>
      <c r="I58" s="21">
        <v>2050362</v>
      </c>
      <c r="J58" s="21"/>
      <c r="K58" s="22">
        <v>389568.78</v>
      </c>
      <c r="L58" s="23"/>
      <c r="M58" s="22">
        <v>0</v>
      </c>
      <c r="N58" s="72">
        <v>2.5000000000000001E-2</v>
      </c>
      <c r="O58" s="22">
        <v>51259.05</v>
      </c>
      <c r="P58" s="21">
        <v>2388671.7300000004</v>
      </c>
      <c r="S58" s="101" t="b">
        <f>OR(COUNTIF(Tabla2[[#This Row],[PROVEEDOR]],"*"&amp;'Palabra no opera'!$A$2&amp;"*"))</f>
        <v>0</v>
      </c>
      <c r="T58" s="113">
        <f>+$W$5-Tabla2[[#This Row],[FECHA DE FACTURACIÓN]]</f>
        <v>56</v>
      </c>
      <c r="U58" t="str">
        <f>+IF(Tabla2[[#This Row],[dias de credito]]&gt;=Tabla2[[#This Row],[PLAZO Días]],"venc", "No venc")</f>
        <v>venc</v>
      </c>
      <c r="V58" t="str">
        <f>+IF(Tabla2[[#This Row],[FECHA DE PAGO]]&gt;0,"pagada","por pagar")</f>
        <v>pagada</v>
      </c>
      <c r="W58" s="115" t="str">
        <f>+IF(AND(Tabla2[[#This Row],[venc]]="venc",Tabla2[[#This Row],[Columna1]]="por pagar"),"vencida","no")</f>
        <v>no</v>
      </c>
    </row>
    <row r="59" spans="1:23" ht="15.75" x14ac:dyDescent="0.25">
      <c r="A59" s="20">
        <v>30</v>
      </c>
      <c r="B59" s="25">
        <v>2169355.9580000001</v>
      </c>
      <c r="C59" s="25"/>
      <c r="D59" s="56" t="s">
        <v>164</v>
      </c>
      <c r="E59" s="66">
        <v>45309</v>
      </c>
      <c r="F59" s="323" t="s">
        <v>18</v>
      </c>
      <c r="G59" s="66">
        <v>45266</v>
      </c>
      <c r="H59" s="35" t="s">
        <v>1409</v>
      </c>
      <c r="I59" s="21">
        <v>1005285</v>
      </c>
      <c r="J59" s="21"/>
      <c r="K59" s="22">
        <v>191004.15</v>
      </c>
      <c r="L59" s="23"/>
      <c r="M59" s="22">
        <v>0</v>
      </c>
      <c r="N59" s="72">
        <v>0</v>
      </c>
      <c r="O59" s="22">
        <v>0</v>
      </c>
      <c r="P59" s="21">
        <v>1196289.1499999999</v>
      </c>
      <c r="S59" s="101" t="b">
        <f>OR(COUNTIF(Tabla2[[#This Row],[PROVEEDOR]],"*"&amp;'Palabra no opera'!$A$2&amp;"*"))</f>
        <v>0</v>
      </c>
      <c r="T59" s="113">
        <f>+$W$5-Tabla2[[#This Row],[FECHA DE FACTURACIÓN]]</f>
        <v>56</v>
      </c>
      <c r="U59" t="str">
        <f>+IF(Tabla2[[#This Row],[dias de credito]]&gt;=Tabla2[[#This Row],[PLAZO Días]],"venc", "No venc")</f>
        <v>venc</v>
      </c>
      <c r="V59" t="str">
        <f>+IF(Tabla2[[#This Row],[FECHA DE PAGO]]&gt;0,"pagada","por pagar")</f>
        <v>pagada</v>
      </c>
      <c r="W59" s="115" t="str">
        <f>+IF(AND(Tabla2[[#This Row],[venc]]="venc",Tabla2[[#This Row],[Columna1]]="por pagar"),"vencida","no")</f>
        <v>no</v>
      </c>
    </row>
    <row r="60" spans="1:23" ht="15.75" x14ac:dyDescent="0.25">
      <c r="A60" s="20">
        <v>0</v>
      </c>
      <c r="B60" s="25">
        <v>0</v>
      </c>
      <c r="C60" s="25"/>
      <c r="D60" s="56" t="s">
        <v>132</v>
      </c>
      <c r="E60" s="66">
        <v>45308</v>
      </c>
      <c r="F60" s="323" t="s">
        <v>602</v>
      </c>
      <c r="G60" s="66">
        <v>45307</v>
      </c>
      <c r="H60" s="35">
        <v>2158</v>
      </c>
      <c r="I60" s="21">
        <v>690000</v>
      </c>
      <c r="J60" s="21"/>
      <c r="K60" s="22">
        <v>0</v>
      </c>
      <c r="L60" s="23"/>
      <c r="M60" s="22">
        <v>0</v>
      </c>
      <c r="N60" s="72">
        <v>0</v>
      </c>
      <c r="O60" s="22">
        <v>0</v>
      </c>
      <c r="P60" s="21">
        <v>690000</v>
      </c>
      <c r="S60" s="101" t="b">
        <f>OR(COUNTIF(Tabla2[[#This Row],[PROVEEDOR]],"*"&amp;'Palabra no opera'!$A$2&amp;"*"))</f>
        <v>1</v>
      </c>
      <c r="T60" s="113">
        <f>+$W$5-Tabla2[[#This Row],[FECHA DE FACTURACIÓN]]</f>
        <v>15</v>
      </c>
      <c r="U60" t="str">
        <f>+IF(Tabla2[[#This Row],[dias de credito]]&gt;=Tabla2[[#This Row],[PLAZO Días]],"venc", "No venc")</f>
        <v>venc</v>
      </c>
      <c r="V60" t="str">
        <f>+IF(Tabla2[[#This Row],[FECHA DE PAGO]]&gt;0,"pagada","por pagar")</f>
        <v>pagada</v>
      </c>
      <c r="W60" s="115" t="str">
        <f>+IF(AND(Tabla2[[#This Row],[venc]]="venc",Tabla2[[#This Row],[Columna1]]="por pagar"),"vencida","no")</f>
        <v>no</v>
      </c>
    </row>
    <row r="61" spans="1:23" ht="15.75" x14ac:dyDescent="0.25">
      <c r="A61" s="20">
        <v>30</v>
      </c>
      <c r="B61" s="25">
        <v>0</v>
      </c>
      <c r="C61" s="25"/>
      <c r="D61" s="56" t="s">
        <v>104</v>
      </c>
      <c r="E61" s="66">
        <v>45308</v>
      </c>
      <c r="F61" s="323" t="s">
        <v>53</v>
      </c>
      <c r="G61" s="66">
        <v>45307</v>
      </c>
      <c r="H61" s="35"/>
      <c r="I61" s="21">
        <v>1562000</v>
      </c>
      <c r="J61" s="21"/>
      <c r="K61" s="22">
        <v>0</v>
      </c>
      <c r="L61" s="23"/>
      <c r="M61" s="22">
        <v>0</v>
      </c>
      <c r="N61" s="72">
        <v>0</v>
      </c>
      <c r="O61" s="22">
        <v>0</v>
      </c>
      <c r="P61" s="21">
        <v>1562000</v>
      </c>
      <c r="S61" s="101" t="b">
        <f>OR(COUNTIF(Tabla2[[#This Row],[PROVEEDOR]],"*"&amp;'Palabra no opera'!$A$2&amp;"*"))</f>
        <v>0</v>
      </c>
      <c r="T61" s="113">
        <f>+$W$5-Tabla2[[#This Row],[FECHA DE FACTURACIÓN]]</f>
        <v>15</v>
      </c>
      <c r="U61" t="str">
        <f>+IF(Tabla2[[#This Row],[dias de credito]]&gt;=Tabla2[[#This Row],[PLAZO Días]],"venc", "No venc")</f>
        <v>No venc</v>
      </c>
      <c r="V61" t="str">
        <f>+IF(Tabla2[[#This Row],[FECHA DE PAGO]]&gt;0,"pagada","por pagar")</f>
        <v>pagada</v>
      </c>
      <c r="W61" s="115" t="str">
        <f>+IF(AND(Tabla2[[#This Row],[venc]]="venc",Tabla2[[#This Row],[Columna1]]="por pagar"),"vencida","no")</f>
        <v>no</v>
      </c>
    </row>
    <row r="62" spans="1:23" ht="15.75" x14ac:dyDescent="0.25">
      <c r="A62" s="20">
        <v>30</v>
      </c>
      <c r="B62" s="25">
        <v>0</v>
      </c>
      <c r="C62" s="25"/>
      <c r="D62" s="56" t="s">
        <v>1561</v>
      </c>
      <c r="E62" s="66">
        <v>45308</v>
      </c>
      <c r="F62" s="323" t="s">
        <v>203</v>
      </c>
      <c r="G62" s="66">
        <v>45307</v>
      </c>
      <c r="H62" s="35" t="s">
        <v>1509</v>
      </c>
      <c r="I62" s="21">
        <v>1974686</v>
      </c>
      <c r="J62" s="21"/>
      <c r="K62" s="22">
        <v>0</v>
      </c>
      <c r="L62" s="23"/>
      <c r="M62" s="22">
        <v>0</v>
      </c>
      <c r="N62" s="72">
        <v>0</v>
      </c>
      <c r="O62" s="22">
        <v>0</v>
      </c>
      <c r="P62" s="21">
        <v>1974686</v>
      </c>
      <c r="S62" s="101" t="b">
        <f>OR(COUNTIF(Tabla2[[#This Row],[PROVEEDOR]],"*"&amp;'Palabra no opera'!$A$2&amp;"*"))</f>
        <v>0</v>
      </c>
      <c r="T62" s="113">
        <f>+$W$5-Tabla2[[#This Row],[FECHA DE FACTURACIÓN]]</f>
        <v>15</v>
      </c>
      <c r="U62" t="str">
        <f>+IF(Tabla2[[#This Row],[dias de credito]]&gt;=Tabla2[[#This Row],[PLAZO Días]],"venc", "No venc")</f>
        <v>No venc</v>
      </c>
      <c r="V62" t="str">
        <f>+IF(Tabla2[[#This Row],[FECHA DE PAGO]]&gt;0,"pagada","por pagar")</f>
        <v>pagada</v>
      </c>
      <c r="W62" s="115" t="str">
        <f>+IF(AND(Tabla2[[#This Row],[venc]]="venc",Tabla2[[#This Row],[Columna1]]="por pagar"),"vencida","no")</f>
        <v>no</v>
      </c>
    </row>
    <row r="63" spans="1:23" ht="15.75" x14ac:dyDescent="0.25">
      <c r="A63" s="20">
        <v>30</v>
      </c>
      <c r="B63" s="25">
        <v>4282200</v>
      </c>
      <c r="C63" s="25"/>
      <c r="D63" s="56" t="s">
        <v>217</v>
      </c>
      <c r="E63" s="66">
        <v>45307</v>
      </c>
      <c r="F63" s="323" t="s">
        <v>312</v>
      </c>
      <c r="G63" s="66">
        <v>45307</v>
      </c>
      <c r="H63" s="35" t="s">
        <v>1498</v>
      </c>
      <c r="I63" s="21">
        <v>215000</v>
      </c>
      <c r="J63" s="21"/>
      <c r="K63" s="22">
        <v>0</v>
      </c>
      <c r="L63" s="23"/>
      <c r="M63" s="22">
        <v>0</v>
      </c>
      <c r="N63" s="72">
        <v>0</v>
      </c>
      <c r="O63" s="22">
        <v>0</v>
      </c>
      <c r="P63" s="21">
        <v>215000</v>
      </c>
      <c r="S63" s="101" t="b">
        <f>OR(COUNTIF(Tabla2[[#This Row],[PROVEEDOR]],"*"&amp;'Palabra no opera'!$A$2&amp;"*"))</f>
        <v>0</v>
      </c>
      <c r="T63" s="113">
        <f>+$W$5-Tabla2[[#This Row],[FECHA DE FACTURACIÓN]]</f>
        <v>15</v>
      </c>
      <c r="U63" t="str">
        <f>+IF(Tabla2[[#This Row],[dias de credito]]&gt;=Tabla2[[#This Row],[PLAZO Días]],"venc", "No venc")</f>
        <v>No venc</v>
      </c>
      <c r="V63" t="str">
        <f>+IF(Tabla2[[#This Row],[FECHA DE PAGO]]&gt;0,"pagada","por pagar")</f>
        <v>pagada</v>
      </c>
      <c r="W63" s="115" t="str">
        <f>+IF(AND(Tabla2[[#This Row],[venc]]="venc",Tabla2[[#This Row],[Columna1]]="por pagar"),"vencida","no")</f>
        <v>no</v>
      </c>
    </row>
    <row r="64" spans="1:23" ht="15.75" x14ac:dyDescent="0.25">
      <c r="A64" s="20">
        <v>30</v>
      </c>
      <c r="B64" s="25">
        <v>0</v>
      </c>
      <c r="C64" s="25"/>
      <c r="D64" s="56" t="s">
        <v>233</v>
      </c>
      <c r="E64" s="66">
        <v>45307</v>
      </c>
      <c r="F64" s="323" t="s">
        <v>413</v>
      </c>
      <c r="G64" s="66">
        <v>45294</v>
      </c>
      <c r="H64" s="35" t="s">
        <v>1491</v>
      </c>
      <c r="I64" s="21">
        <v>3456200</v>
      </c>
      <c r="J64" s="21"/>
      <c r="K64" s="22">
        <v>0</v>
      </c>
      <c r="L64" s="23"/>
      <c r="M64" s="22">
        <v>0</v>
      </c>
      <c r="N64" s="72">
        <v>3.5000000000000003E-2</v>
      </c>
      <c r="O64" s="22">
        <v>120967.00000000001</v>
      </c>
      <c r="P64" s="21">
        <v>3335233</v>
      </c>
      <c r="S64" s="101" t="b">
        <f>OR(COUNTIF(Tabla2[[#This Row],[PROVEEDOR]],"*"&amp;'Palabra no opera'!$A$2&amp;"*"))</f>
        <v>1</v>
      </c>
      <c r="T64" s="113">
        <f>+$W$5-Tabla2[[#This Row],[FECHA DE FACTURACIÓN]]</f>
        <v>28</v>
      </c>
      <c r="U64" t="str">
        <f>+IF(Tabla2[[#This Row],[dias de credito]]&gt;=Tabla2[[#This Row],[PLAZO Días]],"venc", "No venc")</f>
        <v>No venc</v>
      </c>
      <c r="V64" t="str">
        <f>+IF(Tabla2[[#This Row],[FECHA DE PAGO]]&gt;0,"pagada","por pagar")</f>
        <v>pagada</v>
      </c>
      <c r="W64" s="115" t="str">
        <f>+IF(AND(Tabla2[[#This Row],[venc]]="venc",Tabla2[[#This Row],[Columna1]]="por pagar"),"vencida","no")</f>
        <v>no</v>
      </c>
    </row>
    <row r="65" spans="1:23" ht="15.75" x14ac:dyDescent="0.25">
      <c r="A65" s="20">
        <v>30</v>
      </c>
      <c r="B65" s="25">
        <v>0</v>
      </c>
      <c r="C65" s="25"/>
      <c r="D65" s="56" t="s">
        <v>284</v>
      </c>
      <c r="E65" s="66">
        <v>45307</v>
      </c>
      <c r="F65" s="323" t="s">
        <v>401</v>
      </c>
      <c r="G65" s="66">
        <v>45292</v>
      </c>
      <c r="H65" s="35" t="s">
        <v>1483</v>
      </c>
      <c r="I65" s="21">
        <v>992451</v>
      </c>
      <c r="J65" s="21"/>
      <c r="K65" s="22">
        <v>188565.69</v>
      </c>
      <c r="L65" s="23"/>
      <c r="M65" s="22">
        <v>0</v>
      </c>
      <c r="N65" s="72">
        <v>0</v>
      </c>
      <c r="O65" s="22">
        <v>0</v>
      </c>
      <c r="P65" s="21">
        <v>1181016.69</v>
      </c>
      <c r="S65" s="101" t="b">
        <f>OR(COUNTIF(Tabla2[[#This Row],[PROVEEDOR]],"*"&amp;'Palabra no opera'!$A$2&amp;"*"))</f>
        <v>1</v>
      </c>
      <c r="T65" s="113">
        <f>+$W$5-Tabla2[[#This Row],[FECHA DE FACTURACIÓN]]</f>
        <v>30</v>
      </c>
      <c r="U65" t="str">
        <f>+IF(Tabla2[[#This Row],[dias de credito]]&gt;=Tabla2[[#This Row],[PLAZO Días]],"venc", "No venc")</f>
        <v>venc</v>
      </c>
      <c r="V65" t="str">
        <f>+IF(Tabla2[[#This Row],[FECHA DE PAGO]]&gt;0,"pagada","por pagar")</f>
        <v>pagada</v>
      </c>
      <c r="W65" s="115" t="str">
        <f>+IF(AND(Tabla2[[#This Row],[venc]]="venc",Tabla2[[#This Row],[Columna1]]="por pagar"),"vencida","no")</f>
        <v>no</v>
      </c>
    </row>
    <row r="66" spans="1:23" ht="15.75" x14ac:dyDescent="0.25">
      <c r="A66" s="20">
        <v>30</v>
      </c>
      <c r="B66" s="25">
        <v>0</v>
      </c>
      <c r="C66" s="25"/>
      <c r="D66" s="56" t="s">
        <v>1508</v>
      </c>
      <c r="E66" s="66">
        <v>45307</v>
      </c>
      <c r="F66" s="323" t="s">
        <v>406</v>
      </c>
      <c r="G66" s="66">
        <v>45292</v>
      </c>
      <c r="H66" s="35" t="s">
        <v>1485</v>
      </c>
      <c r="I66" s="21">
        <v>2202761</v>
      </c>
      <c r="J66" s="21">
        <v>418942</v>
      </c>
      <c r="K66" s="22">
        <v>0</v>
      </c>
      <c r="L66" s="23"/>
      <c r="M66" s="22">
        <v>0</v>
      </c>
      <c r="N66" s="72">
        <v>0</v>
      </c>
      <c r="O66" s="22">
        <v>0</v>
      </c>
      <c r="P66" s="21">
        <v>1783819</v>
      </c>
      <c r="S66" s="101" t="b">
        <f>OR(COUNTIF(Tabla2[[#This Row],[PROVEEDOR]],"*"&amp;'Palabra no opera'!$A$2&amp;"*"))</f>
        <v>1</v>
      </c>
      <c r="T66" s="113">
        <f>+$W$5-Tabla2[[#This Row],[FECHA DE FACTURACIÓN]]</f>
        <v>30</v>
      </c>
      <c r="U66" t="str">
        <f>+IF(Tabla2[[#This Row],[dias de credito]]&gt;=Tabla2[[#This Row],[PLAZO Días]],"venc", "No venc")</f>
        <v>venc</v>
      </c>
      <c r="V66" t="str">
        <f>+IF(Tabla2[[#This Row],[FECHA DE PAGO]]&gt;0,"pagada","por pagar")</f>
        <v>pagada</v>
      </c>
      <c r="W66" s="115" t="str">
        <f>+IF(AND(Tabla2[[#This Row],[venc]]="venc",Tabla2[[#This Row],[Columna1]]="por pagar"),"vencida","no")</f>
        <v>no</v>
      </c>
    </row>
    <row r="67" spans="1:23" ht="15.75" x14ac:dyDescent="0.25">
      <c r="A67" s="20">
        <v>30</v>
      </c>
      <c r="B67" s="25">
        <v>0</v>
      </c>
      <c r="C67" s="25"/>
      <c r="D67" s="56" t="s">
        <v>300</v>
      </c>
      <c r="E67" s="66">
        <v>45307</v>
      </c>
      <c r="F67" s="323" t="s">
        <v>409</v>
      </c>
      <c r="G67" s="66">
        <v>45292</v>
      </c>
      <c r="H67" s="35" t="s">
        <v>1458</v>
      </c>
      <c r="I67" s="21">
        <v>363203</v>
      </c>
      <c r="J67" s="21">
        <v>10697.52</v>
      </c>
      <c r="K67" s="22">
        <v>0</v>
      </c>
      <c r="L67" s="23"/>
      <c r="M67" s="22">
        <v>0</v>
      </c>
      <c r="N67" s="72">
        <v>0</v>
      </c>
      <c r="O67" s="22">
        <v>0</v>
      </c>
      <c r="P67" s="21">
        <v>352505.48</v>
      </c>
      <c r="S67" s="101" t="b">
        <f>OR(COUNTIF(Tabla2[[#This Row],[PROVEEDOR]],"*"&amp;'Palabra no opera'!$A$2&amp;"*"))</f>
        <v>1</v>
      </c>
      <c r="T67" s="113">
        <f>+$W$5-Tabla2[[#This Row],[FECHA DE FACTURACIÓN]]</f>
        <v>30</v>
      </c>
      <c r="U67" t="str">
        <f>+IF(Tabla2[[#This Row],[dias de credito]]&gt;=Tabla2[[#This Row],[PLAZO Días]],"venc", "No venc")</f>
        <v>venc</v>
      </c>
      <c r="V67" t="str">
        <f>+IF(Tabla2[[#This Row],[FECHA DE PAGO]]&gt;0,"pagada","por pagar")</f>
        <v>pagada</v>
      </c>
      <c r="W67" s="115" t="str">
        <f>+IF(AND(Tabla2[[#This Row],[venc]]="venc",Tabla2[[#This Row],[Columna1]]="por pagar"),"vencida","no")</f>
        <v>no</v>
      </c>
    </row>
    <row r="68" spans="1:23" ht="15.75" x14ac:dyDescent="0.25">
      <c r="A68" s="20">
        <v>30</v>
      </c>
      <c r="B68" s="25">
        <v>0</v>
      </c>
      <c r="C68" s="25"/>
      <c r="D68" s="56" t="s">
        <v>449</v>
      </c>
      <c r="E68" s="66">
        <v>45307</v>
      </c>
      <c r="F68" s="323" t="s">
        <v>415</v>
      </c>
      <c r="G68" s="66">
        <v>45292</v>
      </c>
      <c r="H68" s="35" t="s">
        <v>1490</v>
      </c>
      <c r="I68" s="21">
        <v>1047050</v>
      </c>
      <c r="J68" s="21"/>
      <c r="K68" s="22">
        <v>0</v>
      </c>
      <c r="L68" s="23"/>
      <c r="M68" s="22">
        <v>0</v>
      </c>
      <c r="N68" s="72">
        <v>0</v>
      </c>
      <c r="O68" s="22">
        <v>0</v>
      </c>
      <c r="P68" s="21">
        <v>1047050</v>
      </c>
      <c r="S68" s="101" t="b">
        <f>OR(COUNTIF(Tabla2[[#This Row],[PROVEEDOR]],"*"&amp;'Palabra no opera'!$A$2&amp;"*"))</f>
        <v>1</v>
      </c>
      <c r="T68" s="113">
        <f>+$W$5-Tabla2[[#This Row],[FECHA DE FACTURACIÓN]]</f>
        <v>30</v>
      </c>
      <c r="U68" t="str">
        <f>+IF(Tabla2[[#This Row],[dias de credito]]&gt;=Tabla2[[#This Row],[PLAZO Días]],"venc", "No venc")</f>
        <v>venc</v>
      </c>
      <c r="V68" t="str">
        <f>+IF(Tabla2[[#This Row],[FECHA DE PAGO]]&gt;0,"pagada","por pagar")</f>
        <v>pagada</v>
      </c>
      <c r="W68" s="115" t="str">
        <f>+IF(AND(Tabla2[[#This Row],[venc]]="venc",Tabla2[[#This Row],[Columna1]]="por pagar"),"vencida","no")</f>
        <v>no</v>
      </c>
    </row>
    <row r="69" spans="1:23" ht="15.75" x14ac:dyDescent="0.25">
      <c r="A69" s="20">
        <v>30</v>
      </c>
      <c r="B69" s="25">
        <v>0</v>
      </c>
      <c r="C69" s="25"/>
      <c r="D69" s="56" t="s">
        <v>449</v>
      </c>
      <c r="E69" s="66">
        <v>45307</v>
      </c>
      <c r="F69" s="323" t="s">
        <v>415</v>
      </c>
      <c r="G69" s="66">
        <v>45292</v>
      </c>
      <c r="H69" s="35" t="s">
        <v>1489</v>
      </c>
      <c r="I69" s="21">
        <v>1024255</v>
      </c>
      <c r="J69" s="21"/>
      <c r="K69" s="22">
        <v>0</v>
      </c>
      <c r="L69" s="23"/>
      <c r="M69" s="22">
        <v>0</v>
      </c>
      <c r="N69" s="72">
        <v>0</v>
      </c>
      <c r="O69" s="22">
        <v>0</v>
      </c>
      <c r="P69" s="21">
        <v>1024255</v>
      </c>
      <c r="S69" s="101" t="b">
        <f>OR(COUNTIF(Tabla2[[#This Row],[PROVEEDOR]],"*"&amp;'Palabra no opera'!$A$2&amp;"*"))</f>
        <v>1</v>
      </c>
      <c r="T69" s="113">
        <f>+$W$5-Tabla2[[#This Row],[FECHA DE FACTURACIÓN]]</f>
        <v>30</v>
      </c>
      <c r="U69" t="str">
        <f>+IF(Tabla2[[#This Row],[dias de credito]]&gt;=Tabla2[[#This Row],[PLAZO Días]],"venc", "No venc")</f>
        <v>venc</v>
      </c>
      <c r="V69" t="str">
        <f>+IF(Tabla2[[#This Row],[FECHA DE PAGO]]&gt;0,"pagada","por pagar")</f>
        <v>pagada</v>
      </c>
      <c r="W69" s="115" t="str">
        <f>+IF(AND(Tabla2[[#This Row],[venc]]="venc",Tabla2[[#This Row],[Columna1]]="por pagar"),"vencida","no")</f>
        <v>no</v>
      </c>
    </row>
    <row r="70" spans="1:23" ht="15.75" x14ac:dyDescent="0.25">
      <c r="A70" s="20">
        <v>30</v>
      </c>
      <c r="B70" s="25">
        <v>0</v>
      </c>
      <c r="C70" s="25"/>
      <c r="D70" s="56" t="s">
        <v>174</v>
      </c>
      <c r="E70" s="66">
        <v>45307</v>
      </c>
      <c r="F70" s="323" t="s">
        <v>427</v>
      </c>
      <c r="G70" s="66">
        <v>45292</v>
      </c>
      <c r="H70" s="35" t="s">
        <v>1487</v>
      </c>
      <c r="I70" s="21">
        <v>246493</v>
      </c>
      <c r="J70" s="21"/>
      <c r="K70" s="22">
        <v>46833.67</v>
      </c>
      <c r="L70" s="23"/>
      <c r="M70" s="22">
        <v>0</v>
      </c>
      <c r="N70" s="72">
        <v>3.5000000000000003E-2</v>
      </c>
      <c r="O70" s="22">
        <v>8627.255000000001</v>
      </c>
      <c r="P70" s="21">
        <v>284699.41499999998</v>
      </c>
      <c r="S70" s="101" t="b">
        <f>OR(COUNTIF(Tabla2[[#This Row],[PROVEEDOR]],"*"&amp;'Palabra no opera'!$A$2&amp;"*"))</f>
        <v>1</v>
      </c>
      <c r="T70" s="113">
        <f>+$W$5-Tabla2[[#This Row],[FECHA DE FACTURACIÓN]]</f>
        <v>30</v>
      </c>
      <c r="U70" t="str">
        <f>+IF(Tabla2[[#This Row],[dias de credito]]&gt;=Tabla2[[#This Row],[PLAZO Días]],"venc", "No venc")</f>
        <v>venc</v>
      </c>
      <c r="V70" t="str">
        <f>+IF(Tabla2[[#This Row],[FECHA DE PAGO]]&gt;0,"pagada","por pagar")</f>
        <v>pagada</v>
      </c>
      <c r="W70" s="115" t="str">
        <f>+IF(AND(Tabla2[[#This Row],[venc]]="venc",Tabla2[[#This Row],[Columna1]]="por pagar"),"vencida","no")</f>
        <v>no</v>
      </c>
    </row>
    <row r="71" spans="1:23" ht="15.75" x14ac:dyDescent="0.25">
      <c r="A71" s="20">
        <v>13</v>
      </c>
      <c r="B71" s="25">
        <v>0</v>
      </c>
      <c r="C71" s="25"/>
      <c r="D71" s="56">
        <v>0</v>
      </c>
      <c r="E71" s="66">
        <v>45307</v>
      </c>
      <c r="F71" s="323" t="s">
        <v>422</v>
      </c>
      <c r="G71" s="66">
        <v>45292</v>
      </c>
      <c r="H71" s="35"/>
      <c r="I71" s="21">
        <v>777310</v>
      </c>
      <c r="J71" s="21"/>
      <c r="K71" s="22">
        <v>0</v>
      </c>
      <c r="L71" s="23"/>
      <c r="M71" s="22">
        <v>0</v>
      </c>
      <c r="N71" s="72">
        <v>0</v>
      </c>
      <c r="O71" s="22">
        <v>0</v>
      </c>
      <c r="P71" s="21">
        <v>777310</v>
      </c>
      <c r="S71" s="101" t="b">
        <f>OR(COUNTIF(Tabla2[[#This Row],[PROVEEDOR]],"*"&amp;'Palabra no opera'!$A$2&amp;"*"))</f>
        <v>1</v>
      </c>
      <c r="T71" s="113">
        <f>+$W$5-Tabla2[[#This Row],[FECHA DE FACTURACIÓN]]</f>
        <v>30</v>
      </c>
      <c r="U71" t="str">
        <f>+IF(Tabla2[[#This Row],[dias de credito]]&gt;=Tabla2[[#This Row],[PLAZO Días]],"venc", "No venc")</f>
        <v>venc</v>
      </c>
      <c r="V71" t="str">
        <f>+IF(Tabla2[[#This Row],[FECHA DE PAGO]]&gt;0,"pagada","por pagar")</f>
        <v>pagada</v>
      </c>
      <c r="W71" s="115" t="str">
        <f>+IF(AND(Tabla2[[#This Row],[venc]]="venc",Tabla2[[#This Row],[Columna1]]="por pagar"),"vencida","no")</f>
        <v>no</v>
      </c>
    </row>
    <row r="72" spans="1:23" ht="15.75" x14ac:dyDescent="0.25">
      <c r="A72" s="20">
        <v>30</v>
      </c>
      <c r="B72" s="25">
        <v>3065837.2199999997</v>
      </c>
      <c r="C72" s="25"/>
      <c r="D72" s="56" t="s">
        <v>169</v>
      </c>
      <c r="E72" s="66">
        <v>45307</v>
      </c>
      <c r="F72" s="323" t="s">
        <v>17</v>
      </c>
      <c r="G72" s="66">
        <v>45279</v>
      </c>
      <c r="H72" s="35" t="s">
        <v>1406</v>
      </c>
      <c r="I72" s="21">
        <v>1106631</v>
      </c>
      <c r="J72" s="21"/>
      <c r="K72" s="22">
        <v>210259.89</v>
      </c>
      <c r="L72" s="23"/>
      <c r="M72" s="22">
        <v>0</v>
      </c>
      <c r="N72" s="72">
        <v>0</v>
      </c>
      <c r="O72" s="22">
        <v>0</v>
      </c>
      <c r="P72" s="21">
        <v>1316890.8900000001</v>
      </c>
      <c r="S72" s="101" t="b">
        <f>OR(COUNTIF(Tabla2[[#This Row],[PROVEEDOR]],"*"&amp;'Palabra no opera'!$A$2&amp;"*"))</f>
        <v>0</v>
      </c>
      <c r="T72" s="113">
        <f>+$W$5-Tabla2[[#This Row],[FECHA DE FACTURACIÓN]]</f>
        <v>43</v>
      </c>
      <c r="U72" t="str">
        <f>+IF(Tabla2[[#This Row],[dias de credito]]&gt;=Tabla2[[#This Row],[PLAZO Días]],"venc", "No venc")</f>
        <v>venc</v>
      </c>
      <c r="V72" t="str">
        <f>+IF(Tabla2[[#This Row],[FECHA DE PAGO]]&gt;0,"pagada","por pagar")</f>
        <v>pagada</v>
      </c>
      <c r="W72" s="115" t="str">
        <f>+IF(AND(Tabla2[[#This Row],[venc]]="venc",Tabla2[[#This Row],[Columna1]]="por pagar"),"vencida","no")</f>
        <v>no</v>
      </c>
    </row>
    <row r="73" spans="1:23" ht="15.75" x14ac:dyDescent="0.25">
      <c r="A73" s="20">
        <v>30</v>
      </c>
      <c r="B73" s="25">
        <v>3065837.2199999997</v>
      </c>
      <c r="C73" s="25"/>
      <c r="D73" s="56" t="s">
        <v>169</v>
      </c>
      <c r="E73" s="66">
        <v>45307</v>
      </c>
      <c r="F73" s="323" t="s">
        <v>17</v>
      </c>
      <c r="G73" s="66">
        <v>45231</v>
      </c>
      <c r="H73" s="35" t="s">
        <v>1488</v>
      </c>
      <c r="I73" s="21">
        <v>138397.19</v>
      </c>
      <c r="J73" s="21"/>
      <c r="K73" s="22">
        <v>26295.466100000001</v>
      </c>
      <c r="L73" s="23"/>
      <c r="M73" s="22">
        <v>0</v>
      </c>
      <c r="N73" s="72">
        <v>0</v>
      </c>
      <c r="O73" s="22">
        <v>0</v>
      </c>
      <c r="P73" s="21">
        <v>164692.65609999999</v>
      </c>
      <c r="S73" s="101" t="b">
        <f>OR(COUNTIF(Tabla2[[#This Row],[PROVEEDOR]],"*"&amp;'Palabra no opera'!$A$2&amp;"*"))</f>
        <v>0</v>
      </c>
      <c r="T73" s="113">
        <f>+$W$5-Tabla2[[#This Row],[FECHA DE FACTURACIÓN]]</f>
        <v>91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15" t="str">
        <f>+IF(AND(Tabla2[[#This Row],[venc]]="venc",Tabla2[[#This Row],[Columna1]]="por pagar"),"vencida","no")</f>
        <v>no</v>
      </c>
    </row>
    <row r="74" spans="1:23" ht="15.75" x14ac:dyDescent="0.25">
      <c r="A74" s="20">
        <v>30</v>
      </c>
      <c r="B74" s="25">
        <v>0</v>
      </c>
      <c r="C74" s="25"/>
      <c r="D74" s="56" t="s">
        <v>104</v>
      </c>
      <c r="E74" s="66">
        <v>45306</v>
      </c>
      <c r="F74" s="323" t="s">
        <v>521</v>
      </c>
      <c r="G74" s="66">
        <v>45307</v>
      </c>
      <c r="H74" s="35" t="s">
        <v>1500</v>
      </c>
      <c r="I74" s="21">
        <v>2717000</v>
      </c>
      <c r="J74" s="21"/>
      <c r="K74" s="22">
        <v>0</v>
      </c>
      <c r="L74" s="23"/>
      <c r="M74" s="22">
        <v>0</v>
      </c>
      <c r="N74" s="72">
        <v>0</v>
      </c>
      <c r="O74" s="22">
        <v>0</v>
      </c>
      <c r="P74" s="21">
        <v>2717000</v>
      </c>
      <c r="S74" s="101" t="b">
        <f>OR(COUNTIF(Tabla2[[#This Row],[PROVEEDOR]],"*"&amp;'Palabra no opera'!$A$2&amp;"*"))</f>
        <v>0</v>
      </c>
      <c r="T74" s="113">
        <f>+$W$5-Tabla2[[#This Row],[FECHA DE FACTURACIÓN]]</f>
        <v>15</v>
      </c>
      <c r="U74" t="str">
        <f>+IF(Tabla2[[#This Row],[dias de credito]]&gt;=Tabla2[[#This Row],[PLAZO Días]],"venc", "No venc")</f>
        <v>No venc</v>
      </c>
      <c r="V74" t="str">
        <f>+IF(Tabla2[[#This Row],[FECHA DE PAGO]]&gt;0,"pagada","por pagar")</f>
        <v>pagada</v>
      </c>
      <c r="W74" s="115" t="str">
        <f>+IF(AND(Tabla2[[#This Row],[venc]]="venc",Tabla2[[#This Row],[Columna1]]="por pagar"),"vencida","no")</f>
        <v>no</v>
      </c>
    </row>
    <row r="75" spans="1:23" ht="15.75" x14ac:dyDescent="0.25">
      <c r="A75" s="20">
        <v>30</v>
      </c>
      <c r="B75" s="25">
        <v>0</v>
      </c>
      <c r="C75" s="25"/>
      <c r="D75" s="56" t="s">
        <v>104</v>
      </c>
      <c r="E75" s="66">
        <v>45306</v>
      </c>
      <c r="F75" s="323" t="s">
        <v>566</v>
      </c>
      <c r="G75" s="66">
        <v>45306</v>
      </c>
      <c r="H75" s="35" t="s">
        <v>1506</v>
      </c>
      <c r="I75" s="21">
        <v>462000</v>
      </c>
      <c r="J75" s="21"/>
      <c r="K75" s="22">
        <v>0</v>
      </c>
      <c r="L75" s="23"/>
      <c r="M75" s="22">
        <v>0</v>
      </c>
      <c r="N75" s="72">
        <v>0</v>
      </c>
      <c r="O75" s="22">
        <v>0</v>
      </c>
      <c r="P75" s="21">
        <v>462000</v>
      </c>
      <c r="S75" s="101" t="b">
        <f>OR(COUNTIF(Tabla2[[#This Row],[PROVEEDOR]],"*"&amp;'Palabra no opera'!$A$2&amp;"*"))</f>
        <v>0</v>
      </c>
      <c r="T75" s="113">
        <f>+$W$5-Tabla2[[#This Row],[FECHA DE FACTURACIÓN]]</f>
        <v>16</v>
      </c>
      <c r="U75" t="str">
        <f>+IF(Tabla2[[#This Row],[dias de credito]]&gt;=Tabla2[[#This Row],[PLAZO Días]],"venc", "No venc")</f>
        <v>No venc</v>
      </c>
      <c r="V75" t="str">
        <f>+IF(Tabla2[[#This Row],[FECHA DE PAGO]]&gt;0,"pagada","por pagar")</f>
        <v>pagada</v>
      </c>
      <c r="W75" s="115" t="str">
        <f>+IF(AND(Tabla2[[#This Row],[venc]]="venc",Tabla2[[#This Row],[Columna1]]="por pagar"),"vencida","no")</f>
        <v>no</v>
      </c>
    </row>
    <row r="76" spans="1:23" ht="15.75" x14ac:dyDescent="0.25">
      <c r="A76" s="20">
        <v>30</v>
      </c>
      <c r="B76" s="25">
        <v>0</v>
      </c>
      <c r="C76" s="25"/>
      <c r="D76" s="56" t="s">
        <v>104</v>
      </c>
      <c r="E76" s="66">
        <v>45306</v>
      </c>
      <c r="F76" s="323" t="s">
        <v>299</v>
      </c>
      <c r="G76" s="66">
        <v>45306</v>
      </c>
      <c r="H76" s="35"/>
      <c r="I76" s="21">
        <v>1000000</v>
      </c>
      <c r="J76" s="21"/>
      <c r="K76" s="22">
        <v>0</v>
      </c>
      <c r="L76" s="23"/>
      <c r="M76" s="22">
        <v>0</v>
      </c>
      <c r="N76" s="72">
        <v>0</v>
      </c>
      <c r="O76" s="22">
        <v>0</v>
      </c>
      <c r="P76" s="21">
        <v>1000000</v>
      </c>
      <c r="S76" s="101" t="b">
        <f>OR(COUNTIF(Tabla2[[#This Row],[PROVEEDOR]],"*"&amp;'Palabra no opera'!$A$2&amp;"*"))</f>
        <v>0</v>
      </c>
      <c r="T76" s="113">
        <f>+$W$5-Tabla2[[#This Row],[FECHA DE FACTURACIÓN]]</f>
        <v>16</v>
      </c>
      <c r="U76" t="str">
        <f>+IF(Tabla2[[#This Row],[dias de credito]]&gt;=Tabla2[[#This Row],[PLAZO Días]],"venc", "No venc")</f>
        <v>No venc</v>
      </c>
      <c r="V76" t="str">
        <f>+IF(Tabla2[[#This Row],[FECHA DE PAGO]]&gt;0,"pagada","por pagar")</f>
        <v>pagada</v>
      </c>
      <c r="W76" s="115" t="str">
        <f>+IF(AND(Tabla2[[#This Row],[venc]]="venc",Tabla2[[#This Row],[Columna1]]="por pagar"),"vencida","no")</f>
        <v>no</v>
      </c>
    </row>
    <row r="77" spans="1:23" ht="15.75" x14ac:dyDescent="0.25">
      <c r="A77" s="20">
        <v>30</v>
      </c>
      <c r="B77" s="25">
        <v>0</v>
      </c>
      <c r="C77" s="25"/>
      <c r="D77" s="56" t="s">
        <v>104</v>
      </c>
      <c r="E77" s="66">
        <v>45304</v>
      </c>
      <c r="F77" s="323" t="s">
        <v>291</v>
      </c>
      <c r="G77" s="66">
        <v>45304</v>
      </c>
      <c r="H77" s="35" t="s">
        <v>1504</v>
      </c>
      <c r="I77" s="21">
        <v>720000</v>
      </c>
      <c r="J77" s="21"/>
      <c r="K77" s="22">
        <v>0</v>
      </c>
      <c r="L77" s="23"/>
      <c r="M77" s="22">
        <v>0</v>
      </c>
      <c r="N77" s="72">
        <v>0</v>
      </c>
      <c r="O77" s="22">
        <v>0</v>
      </c>
      <c r="P77" s="21">
        <v>720000</v>
      </c>
      <c r="S77" s="101" t="b">
        <f>OR(COUNTIF(Tabla2[[#This Row],[PROVEEDOR]],"*"&amp;'Palabra no opera'!$A$2&amp;"*"))</f>
        <v>0</v>
      </c>
      <c r="T77" s="113">
        <f>+$W$5-Tabla2[[#This Row],[FECHA DE FACTURACIÓN]]</f>
        <v>18</v>
      </c>
      <c r="U77" t="str">
        <f>+IF(Tabla2[[#This Row],[dias de credito]]&gt;=Tabla2[[#This Row],[PLAZO Días]],"venc", "No venc")</f>
        <v>No venc</v>
      </c>
      <c r="V77" t="str">
        <f>+IF(Tabla2[[#This Row],[FECHA DE PAGO]]&gt;0,"pagada","por pagar")</f>
        <v>pagada</v>
      </c>
      <c r="W77" s="115" t="str">
        <f>+IF(AND(Tabla2[[#This Row],[venc]]="venc",Tabla2[[#This Row],[Columna1]]="por pagar"),"vencida","no")</f>
        <v>no</v>
      </c>
    </row>
    <row r="78" spans="1:23" ht="15.75" x14ac:dyDescent="0.25">
      <c r="A78" s="20">
        <v>30</v>
      </c>
      <c r="B78" s="25">
        <v>0</v>
      </c>
      <c r="C78" s="25"/>
      <c r="D78" s="56" t="s">
        <v>104</v>
      </c>
      <c r="E78" s="66">
        <v>45304</v>
      </c>
      <c r="F78" s="323" t="s">
        <v>506</v>
      </c>
      <c r="G78" s="66">
        <v>45289</v>
      </c>
      <c r="H78" s="35" t="s">
        <v>1443</v>
      </c>
      <c r="I78" s="21">
        <v>759000</v>
      </c>
      <c r="J78" s="21">
        <v>200000</v>
      </c>
      <c r="K78" s="22">
        <v>0</v>
      </c>
      <c r="L78" s="23"/>
      <c r="M78" s="22">
        <v>0</v>
      </c>
      <c r="N78" s="72">
        <v>0</v>
      </c>
      <c r="O78" s="22">
        <v>0</v>
      </c>
      <c r="P78" s="21">
        <v>559000</v>
      </c>
      <c r="S78" s="101" t="b">
        <f>OR(COUNTIF(Tabla2[[#This Row],[PROVEEDOR]],"*"&amp;'Palabra no opera'!$A$2&amp;"*"))</f>
        <v>0</v>
      </c>
      <c r="T78" s="113">
        <f>+$W$5-Tabla2[[#This Row],[FECHA DE FACTURACIÓN]]</f>
        <v>33</v>
      </c>
      <c r="U78" t="str">
        <f>+IF(Tabla2[[#This Row],[dias de credito]]&gt;=Tabla2[[#This Row],[PLAZO Días]],"venc", "No venc")</f>
        <v>venc</v>
      </c>
      <c r="V78" t="str">
        <f>+IF(Tabla2[[#This Row],[FECHA DE PAGO]]&gt;0,"pagada","por pagar")</f>
        <v>pagada</v>
      </c>
      <c r="W78" s="115" t="str">
        <f>+IF(AND(Tabla2[[#This Row],[venc]]="venc",Tabla2[[#This Row],[Columna1]]="por pagar"),"vencida","no")</f>
        <v>no</v>
      </c>
    </row>
    <row r="79" spans="1:23" ht="15.75" x14ac:dyDescent="0.25">
      <c r="A79" s="20">
        <v>30</v>
      </c>
      <c r="B79" s="25">
        <v>0</v>
      </c>
      <c r="C79" s="25"/>
      <c r="D79" s="56" t="s">
        <v>1233</v>
      </c>
      <c r="E79" s="66">
        <v>45303</v>
      </c>
      <c r="F79" s="323" t="s">
        <v>1234</v>
      </c>
      <c r="G79" s="66">
        <v>45302</v>
      </c>
      <c r="H79" s="35" t="s">
        <v>1481</v>
      </c>
      <c r="I79" s="21">
        <v>1297479.67</v>
      </c>
      <c r="J79" s="21"/>
      <c r="K79" s="22">
        <v>246521.1373</v>
      </c>
      <c r="L79" s="23"/>
      <c r="M79" s="22">
        <v>0</v>
      </c>
      <c r="N79" s="72">
        <v>2.5000000000000001E-2</v>
      </c>
      <c r="O79" s="22">
        <v>32436.991750000001</v>
      </c>
      <c r="P79" s="21">
        <v>1511563.8155499999</v>
      </c>
      <c r="S79" s="101" t="b">
        <f>OR(COUNTIF(Tabla2[[#This Row],[PROVEEDOR]],"*"&amp;'Palabra no opera'!$A$2&amp;"*"))</f>
        <v>0</v>
      </c>
      <c r="T79" s="113">
        <f>+$W$5-Tabla2[[#This Row],[FECHA DE FACTURACIÓN]]</f>
        <v>20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15" t="str">
        <f>+IF(AND(Tabla2[[#This Row],[venc]]="venc",Tabla2[[#This Row],[Columna1]]="por pagar"),"vencida","no")</f>
        <v>no</v>
      </c>
    </row>
    <row r="80" spans="1:23" ht="15.75" x14ac:dyDescent="0.25">
      <c r="A80" s="20">
        <v>30</v>
      </c>
      <c r="B80" s="25">
        <v>0</v>
      </c>
      <c r="C80" s="25"/>
      <c r="D80" s="56" t="s">
        <v>505</v>
      </c>
      <c r="E80" s="66">
        <v>45303</v>
      </c>
      <c r="F80" s="323" t="s">
        <v>416</v>
      </c>
      <c r="G80" s="66">
        <v>45292</v>
      </c>
      <c r="H80" s="35" t="s">
        <v>1512</v>
      </c>
      <c r="I80" s="21">
        <v>27605</v>
      </c>
      <c r="J80" s="21"/>
      <c r="K80" s="22">
        <v>5244.95</v>
      </c>
      <c r="L80" s="23"/>
      <c r="M80" s="22">
        <v>0</v>
      </c>
      <c r="N80" s="72">
        <v>0</v>
      </c>
      <c r="O80" s="22">
        <v>0</v>
      </c>
      <c r="P80" s="21">
        <v>32849.949999999997</v>
      </c>
      <c r="S80" s="101" t="b">
        <f>OR(COUNTIF(Tabla2[[#This Row],[PROVEEDOR]],"*"&amp;'Palabra no opera'!$A$2&amp;"*"))</f>
        <v>1</v>
      </c>
      <c r="T80" s="113">
        <f>+$W$5-Tabla2[[#This Row],[FECHA DE FACTURACIÓN]]</f>
        <v>30</v>
      </c>
      <c r="U80" t="str">
        <f>+IF(Tabla2[[#This Row],[dias de credito]]&gt;=Tabla2[[#This Row],[PLAZO Días]],"venc", "No venc")</f>
        <v>venc</v>
      </c>
      <c r="V80" t="str">
        <f>+IF(Tabla2[[#This Row],[FECHA DE PAGO]]&gt;0,"pagada","por pagar")</f>
        <v>pagada</v>
      </c>
      <c r="W80" s="115" t="str">
        <f>+IF(AND(Tabla2[[#This Row],[venc]]="venc",Tabla2[[#This Row],[Columna1]]="por pagar"),"vencida","no")</f>
        <v>no</v>
      </c>
    </row>
    <row r="81" spans="1:23" ht="15.75" x14ac:dyDescent="0.25">
      <c r="A81" s="20">
        <v>30</v>
      </c>
      <c r="B81" s="25">
        <v>0</v>
      </c>
      <c r="C81" s="25"/>
      <c r="D81" s="56" t="s">
        <v>106</v>
      </c>
      <c r="E81" s="66">
        <v>45303</v>
      </c>
      <c r="F81" s="323" t="s">
        <v>421</v>
      </c>
      <c r="G81" s="66">
        <v>45292</v>
      </c>
      <c r="H81" s="35" t="s">
        <v>1482</v>
      </c>
      <c r="I81" s="21">
        <v>458700</v>
      </c>
      <c r="J81" s="21">
        <v>12000</v>
      </c>
      <c r="K81" s="22">
        <v>84873</v>
      </c>
      <c r="L81" s="23"/>
      <c r="M81" s="22">
        <v>0</v>
      </c>
      <c r="N81" s="72">
        <v>0</v>
      </c>
      <c r="O81" s="22">
        <v>0</v>
      </c>
      <c r="P81" s="21">
        <v>531573</v>
      </c>
      <c r="S81" s="101" t="b">
        <f>OR(COUNTIF(Tabla2[[#This Row],[PROVEEDOR]],"*"&amp;'Palabra no opera'!$A$2&amp;"*"))</f>
        <v>1</v>
      </c>
      <c r="T81" s="113">
        <f>+$W$5-Tabla2[[#This Row],[FECHA DE FACTURACIÓN]]</f>
        <v>30</v>
      </c>
      <c r="U81" t="str">
        <f>+IF(Tabla2[[#This Row],[dias de credito]]&gt;=Tabla2[[#This Row],[PLAZO Días]],"venc", "No venc")</f>
        <v>venc</v>
      </c>
      <c r="V81" t="str">
        <f>+IF(Tabla2[[#This Row],[FECHA DE PAGO]]&gt;0,"pagada","por pagar")</f>
        <v>pagada</v>
      </c>
      <c r="W81" s="115" t="str">
        <f>+IF(AND(Tabla2[[#This Row],[venc]]="venc",Tabla2[[#This Row],[Columna1]]="por pagar"),"vencida","no")</f>
        <v>no</v>
      </c>
    </row>
    <row r="82" spans="1:23" ht="15.75" x14ac:dyDescent="0.25">
      <c r="A82" s="20">
        <v>30</v>
      </c>
      <c r="B82" s="25">
        <v>214200</v>
      </c>
      <c r="C82" s="25"/>
      <c r="D82" s="56" t="s">
        <v>177</v>
      </c>
      <c r="E82" s="66">
        <v>45303</v>
      </c>
      <c r="F82" s="323" t="s">
        <v>39</v>
      </c>
      <c r="G82" s="66">
        <v>45272</v>
      </c>
      <c r="H82" s="35" t="s">
        <v>1386</v>
      </c>
      <c r="I82" s="21">
        <v>361000</v>
      </c>
      <c r="J82" s="21"/>
      <c r="K82" s="22">
        <v>68590</v>
      </c>
      <c r="L82" s="23"/>
      <c r="M82" s="22">
        <v>0</v>
      </c>
      <c r="N82" s="72">
        <v>0</v>
      </c>
      <c r="O82" s="22">
        <v>0</v>
      </c>
      <c r="P82" s="21">
        <v>429590</v>
      </c>
      <c r="S82" s="101" t="b">
        <f>OR(COUNTIF(Tabla2[[#This Row],[PROVEEDOR]],"*"&amp;'Palabra no opera'!$A$2&amp;"*"))</f>
        <v>0</v>
      </c>
      <c r="T82" s="113">
        <f>+$W$5-Tabla2[[#This Row],[FECHA DE FACTURACIÓN]]</f>
        <v>50</v>
      </c>
      <c r="U82" t="str">
        <f>+IF(Tabla2[[#This Row],[dias de credito]]&gt;=Tabla2[[#This Row],[PLAZO Días]],"venc", "No venc")</f>
        <v>venc</v>
      </c>
      <c r="V82" t="str">
        <f>+IF(Tabla2[[#This Row],[FECHA DE PAGO]]&gt;0,"pagada","por pagar")</f>
        <v>pagada</v>
      </c>
      <c r="W82" s="115" t="str">
        <f>+IF(AND(Tabla2[[#This Row],[venc]]="venc",Tabla2[[#This Row],[Columna1]]="por pagar"),"vencida","no")</f>
        <v>no</v>
      </c>
    </row>
    <row r="83" spans="1:23" ht="15.75" x14ac:dyDescent="0.25">
      <c r="A83" s="20">
        <v>30</v>
      </c>
      <c r="B83" s="25">
        <v>0</v>
      </c>
      <c r="C83" s="25"/>
      <c r="D83" s="56" t="s">
        <v>104</v>
      </c>
      <c r="E83" s="66">
        <v>45302</v>
      </c>
      <c r="F83" s="323" t="s">
        <v>327</v>
      </c>
      <c r="G83" s="66">
        <v>45267</v>
      </c>
      <c r="H83" s="35" t="s">
        <v>1423</v>
      </c>
      <c r="I83" s="21">
        <v>342000</v>
      </c>
      <c r="J83" s="21"/>
      <c r="K83" s="22">
        <v>0</v>
      </c>
      <c r="L83" s="23"/>
      <c r="M83" s="22">
        <v>0</v>
      </c>
      <c r="N83" s="72">
        <v>0</v>
      </c>
      <c r="O83" s="22">
        <v>0</v>
      </c>
      <c r="P83" s="21">
        <v>342000</v>
      </c>
      <c r="S83" s="101" t="b">
        <f>OR(COUNTIF(Tabla2[[#This Row],[PROVEEDOR]],"*"&amp;'Palabra no opera'!$A$2&amp;"*"))</f>
        <v>0</v>
      </c>
      <c r="T83" s="113">
        <f>+$W$5-Tabla2[[#This Row],[FECHA DE FACTURACIÓN]]</f>
        <v>55</v>
      </c>
      <c r="U83" t="str">
        <f>+IF(Tabla2[[#This Row],[dias de credito]]&gt;=Tabla2[[#This Row],[PLAZO Días]],"venc", "No venc")</f>
        <v>venc</v>
      </c>
      <c r="V83" t="str">
        <f>+IF(Tabla2[[#This Row],[FECHA DE PAGO]]&gt;0,"pagada","por pagar")</f>
        <v>pagada</v>
      </c>
      <c r="W83" s="115" t="str">
        <f>+IF(AND(Tabla2[[#This Row],[venc]]="venc",Tabla2[[#This Row],[Columna1]]="por pagar"),"vencida","no")</f>
        <v>no</v>
      </c>
    </row>
    <row r="84" spans="1:23" ht="15.75" x14ac:dyDescent="0.25">
      <c r="A84" s="20">
        <v>30</v>
      </c>
      <c r="B84" s="25">
        <v>1500000</v>
      </c>
      <c r="C84" s="25"/>
      <c r="D84" s="56" t="s">
        <v>104</v>
      </c>
      <c r="E84" s="66">
        <v>45302</v>
      </c>
      <c r="F84" s="323" t="s">
        <v>273</v>
      </c>
      <c r="G84" s="66">
        <v>45251</v>
      </c>
      <c r="H84" s="35" t="s">
        <v>1325</v>
      </c>
      <c r="I84" s="21">
        <v>600000</v>
      </c>
      <c r="J84" s="21"/>
      <c r="K84" s="22">
        <v>0</v>
      </c>
      <c r="L84" s="23"/>
      <c r="M84" s="22">
        <v>0</v>
      </c>
      <c r="N84" s="72">
        <v>0</v>
      </c>
      <c r="O84" s="22">
        <v>0</v>
      </c>
      <c r="P84" s="21">
        <v>600000</v>
      </c>
      <c r="S84" s="101" t="b">
        <f>OR(COUNTIF(Tabla2[[#This Row],[PROVEEDOR]],"*"&amp;'Palabra no opera'!$A$2&amp;"*"))</f>
        <v>0</v>
      </c>
      <c r="T84" s="113">
        <f>+$W$5-Tabla2[[#This Row],[FECHA DE FACTURACIÓN]]</f>
        <v>71</v>
      </c>
      <c r="U84" t="str">
        <f>+IF(Tabla2[[#This Row],[dias de credito]]&gt;=Tabla2[[#This Row],[PLAZO Días]],"venc", "No venc")</f>
        <v>venc</v>
      </c>
      <c r="V84" t="str">
        <f>+IF(Tabla2[[#This Row],[FECHA DE PAGO]]&gt;0,"pagada","por pagar")</f>
        <v>pagada</v>
      </c>
      <c r="W84" s="115" t="str">
        <f>+IF(AND(Tabla2[[#This Row],[venc]]="venc",Tabla2[[#This Row],[Columna1]]="por pagar"),"vencida","no")</f>
        <v>no</v>
      </c>
    </row>
    <row r="85" spans="1:23" ht="15.75" x14ac:dyDescent="0.25">
      <c r="A85" s="20">
        <v>30</v>
      </c>
      <c r="B85" s="25">
        <v>2713769.64</v>
      </c>
      <c r="C85" s="25"/>
      <c r="D85" s="56" t="s">
        <v>445</v>
      </c>
      <c r="E85" s="66">
        <v>45301</v>
      </c>
      <c r="F85" s="323" t="s">
        <v>11</v>
      </c>
      <c r="G85" s="66">
        <v>45253</v>
      </c>
      <c r="H85" s="35" t="s">
        <v>1293</v>
      </c>
      <c r="I85" s="21">
        <v>8067241</v>
      </c>
      <c r="J85" s="21"/>
      <c r="K85" s="22">
        <v>1532775.79</v>
      </c>
      <c r="L85" s="23"/>
      <c r="M85" s="22">
        <v>0</v>
      </c>
      <c r="N85" s="72">
        <v>2.5000000000000001E-2</v>
      </c>
      <c r="O85" s="22">
        <v>201681.02500000002</v>
      </c>
      <c r="P85" s="21">
        <v>9398335.7649999987</v>
      </c>
      <c r="S85" s="101" t="b">
        <f>OR(COUNTIF(Tabla2[[#This Row],[PROVEEDOR]],"*"&amp;'Palabra no opera'!$A$2&amp;"*"))</f>
        <v>0</v>
      </c>
      <c r="T85" s="113">
        <f>+$W$5-Tabla2[[#This Row],[FECHA DE FACTURACIÓN]]</f>
        <v>69</v>
      </c>
      <c r="U85" t="str">
        <f>+IF(Tabla2[[#This Row],[dias de credito]]&gt;=Tabla2[[#This Row],[PLAZO Días]],"venc", "No venc")</f>
        <v>venc</v>
      </c>
      <c r="V85" t="str">
        <f>+IF(Tabla2[[#This Row],[FECHA DE PAGO]]&gt;0,"pagada","por pagar")</f>
        <v>pagada</v>
      </c>
      <c r="W85" s="115" t="str">
        <f>+IF(AND(Tabla2[[#This Row],[venc]]="venc",Tabla2[[#This Row],[Columna1]]="por pagar"),"vencida","no")</f>
        <v>no</v>
      </c>
    </row>
    <row r="86" spans="1:23" ht="15.75" x14ac:dyDescent="0.25">
      <c r="A86" s="20">
        <v>30</v>
      </c>
      <c r="B86" s="25">
        <v>4282200</v>
      </c>
      <c r="C86" s="25"/>
      <c r="D86" s="56" t="s">
        <v>217</v>
      </c>
      <c r="E86" s="66">
        <v>45300</v>
      </c>
      <c r="F86" s="323" t="s">
        <v>312</v>
      </c>
      <c r="G86" s="66">
        <v>45300</v>
      </c>
      <c r="H86" s="35" t="s">
        <v>1499</v>
      </c>
      <c r="I86" s="21">
        <v>68000</v>
      </c>
      <c r="J86" s="21"/>
      <c r="K86" s="22">
        <v>0</v>
      </c>
      <c r="L86" s="23"/>
      <c r="M86" s="22">
        <v>0</v>
      </c>
      <c r="N86" s="72">
        <v>0</v>
      </c>
      <c r="O86" s="22">
        <v>0</v>
      </c>
      <c r="P86" s="21">
        <v>68000</v>
      </c>
      <c r="S86" s="101" t="b">
        <f>OR(COUNTIF(Tabla2[[#This Row],[PROVEEDOR]],"*"&amp;'Palabra no opera'!$A$2&amp;"*"))</f>
        <v>0</v>
      </c>
      <c r="T86" s="113">
        <f>+$W$5-Tabla2[[#This Row],[FECHA DE FACTURACIÓN]]</f>
        <v>22</v>
      </c>
      <c r="U86" t="str">
        <f>+IF(Tabla2[[#This Row],[dias de credito]]&gt;=Tabla2[[#This Row],[PLAZO Días]],"venc", "No venc")</f>
        <v>No venc</v>
      </c>
      <c r="V86" t="str">
        <f>+IF(Tabla2[[#This Row],[FECHA DE PAGO]]&gt;0,"pagada","por pagar")</f>
        <v>pagada</v>
      </c>
      <c r="W86" s="115" t="str">
        <f>+IF(AND(Tabla2[[#This Row],[venc]]="venc",Tabla2[[#This Row],[Columna1]]="por pagar"),"vencida","no")</f>
        <v>no</v>
      </c>
    </row>
    <row r="87" spans="1:23" ht="15.75" x14ac:dyDescent="0.25">
      <c r="A87" s="20">
        <v>30</v>
      </c>
      <c r="B87" s="25">
        <v>0</v>
      </c>
      <c r="C87" s="25"/>
      <c r="D87" s="56" t="s">
        <v>284</v>
      </c>
      <c r="E87" s="66">
        <v>45300</v>
      </c>
      <c r="F87" s="323" t="s">
        <v>401</v>
      </c>
      <c r="G87" s="66">
        <v>45292</v>
      </c>
      <c r="H87" s="35" t="s">
        <v>1484</v>
      </c>
      <c r="I87" s="21">
        <v>3792544</v>
      </c>
      <c r="J87" s="21"/>
      <c r="K87" s="22">
        <v>720583.36</v>
      </c>
      <c r="L87" s="23"/>
      <c r="M87" s="22">
        <v>0</v>
      </c>
      <c r="N87" s="72">
        <v>0</v>
      </c>
      <c r="O87" s="22">
        <v>0</v>
      </c>
      <c r="P87" s="21">
        <v>4513127.3600000003</v>
      </c>
      <c r="S87" s="101" t="b">
        <f>OR(COUNTIF(Tabla2[[#This Row],[PROVEEDOR]],"*"&amp;'Palabra no opera'!$A$2&amp;"*"))</f>
        <v>1</v>
      </c>
      <c r="T87" s="113">
        <f>+$W$5-Tabla2[[#This Row],[FECHA DE FACTURACIÓN]]</f>
        <v>30</v>
      </c>
      <c r="U87" t="str">
        <f>+IF(Tabla2[[#This Row],[dias de credito]]&gt;=Tabla2[[#This Row],[PLAZO Días]],"venc", "No venc")</f>
        <v>venc</v>
      </c>
      <c r="V87" t="str">
        <f>+IF(Tabla2[[#This Row],[FECHA DE PAGO]]&gt;0,"pagada","por pagar")</f>
        <v>pagada</v>
      </c>
      <c r="W87" s="115" t="str">
        <f>+IF(AND(Tabla2[[#This Row],[venc]]="venc",Tabla2[[#This Row],[Columna1]]="por pagar"),"vencida","no")</f>
        <v>no</v>
      </c>
    </row>
    <row r="88" spans="1:23" ht="15.75" x14ac:dyDescent="0.25">
      <c r="A88" s="20">
        <v>10</v>
      </c>
      <c r="B88" s="25">
        <v>0</v>
      </c>
      <c r="C88" s="25"/>
      <c r="D88" s="56" t="s">
        <v>505</v>
      </c>
      <c r="E88" s="66">
        <v>45300</v>
      </c>
      <c r="F88" s="323" t="s">
        <v>1513</v>
      </c>
      <c r="G88" s="66">
        <v>45292</v>
      </c>
      <c r="H88" s="35" t="s">
        <v>1459</v>
      </c>
      <c r="I88" s="21">
        <v>4394976</v>
      </c>
      <c r="J88" s="21"/>
      <c r="K88" s="22">
        <v>752248</v>
      </c>
      <c r="L88" s="23"/>
      <c r="M88" s="22">
        <v>0</v>
      </c>
      <c r="N88" s="72">
        <v>3.5000000000000003E-2</v>
      </c>
      <c r="O88" s="22">
        <v>138572</v>
      </c>
      <c r="P88" s="21">
        <v>5008652</v>
      </c>
      <c r="S88" s="101" t="b">
        <f>OR(COUNTIF(Tabla2[[#This Row],[PROVEEDOR]],"*"&amp;'Palabra no opera'!$A$2&amp;"*"))</f>
        <v>1</v>
      </c>
      <c r="T88" s="113">
        <f>+$W$5-Tabla2[[#This Row],[FECHA DE FACTURACIÓN]]</f>
        <v>30</v>
      </c>
      <c r="U88" t="str">
        <f>+IF(Tabla2[[#This Row],[dias de credito]]&gt;=Tabla2[[#This Row],[PLAZO Días]],"venc", "No venc")</f>
        <v>venc</v>
      </c>
      <c r="V88" t="str">
        <f>+IF(Tabla2[[#This Row],[FECHA DE PAGO]]&gt;0,"pagada","por pagar")</f>
        <v>pagada</v>
      </c>
      <c r="W88" s="115" t="str">
        <f>+IF(AND(Tabla2[[#This Row],[venc]]="venc",Tabla2[[#This Row],[Columna1]]="por pagar"),"vencida","no")</f>
        <v>no</v>
      </c>
    </row>
    <row r="89" spans="1:23" ht="15.75" x14ac:dyDescent="0.25">
      <c r="A89" s="20">
        <v>10</v>
      </c>
      <c r="B89" s="25">
        <v>0</v>
      </c>
      <c r="C89" s="25"/>
      <c r="D89" s="56" t="s">
        <v>523</v>
      </c>
      <c r="E89" s="66">
        <v>45300</v>
      </c>
      <c r="F89" s="323" t="s">
        <v>522</v>
      </c>
      <c r="G89" s="66">
        <v>45292</v>
      </c>
      <c r="H89" s="35" t="s">
        <v>1460</v>
      </c>
      <c r="I89" s="21">
        <v>5350576</v>
      </c>
      <c r="J89" s="21"/>
      <c r="K89" s="22">
        <v>1016609</v>
      </c>
      <c r="L89" s="23"/>
      <c r="M89" s="22">
        <v>0</v>
      </c>
      <c r="N89" s="72">
        <v>0</v>
      </c>
      <c r="O89" s="22">
        <v>0</v>
      </c>
      <c r="P89" s="21">
        <v>6367185</v>
      </c>
      <c r="S89" s="101" t="b">
        <f>OR(COUNTIF(Tabla2[[#This Row],[PROVEEDOR]],"*"&amp;'Palabra no opera'!$A$2&amp;"*"))</f>
        <v>1</v>
      </c>
      <c r="T89" s="113">
        <f>+$W$5-Tabla2[[#This Row],[FECHA DE FACTURACIÓN]]</f>
        <v>30</v>
      </c>
      <c r="U89" t="str">
        <f>+IF(Tabla2[[#This Row],[dias de credito]]&gt;=Tabla2[[#This Row],[PLAZO Días]],"venc", "No venc")</f>
        <v>venc</v>
      </c>
      <c r="V89" t="str">
        <f>+IF(Tabla2[[#This Row],[FECHA DE PAGO]]&gt;0,"pagada","por pagar")</f>
        <v>pagada</v>
      </c>
      <c r="W89" s="115" t="str">
        <f>+IF(AND(Tabla2[[#This Row],[venc]]="venc",Tabla2[[#This Row],[Columna1]]="por pagar"),"vencida","no")</f>
        <v>no</v>
      </c>
    </row>
    <row r="90" spans="1:23" ht="15.75" x14ac:dyDescent="0.25">
      <c r="A90" s="20">
        <v>30</v>
      </c>
      <c r="B90" s="25">
        <v>0</v>
      </c>
      <c r="C90" s="25"/>
      <c r="D90" s="56" t="s">
        <v>104</v>
      </c>
      <c r="E90" s="66">
        <v>45300</v>
      </c>
      <c r="F90" s="323" t="s">
        <v>308</v>
      </c>
      <c r="G90" s="66">
        <v>45261</v>
      </c>
      <c r="H90" s="35" t="s">
        <v>1446</v>
      </c>
      <c r="I90" s="21">
        <v>866000</v>
      </c>
      <c r="J90" s="21"/>
      <c r="K90" s="22">
        <v>0</v>
      </c>
      <c r="L90" s="23"/>
      <c r="M90" s="22">
        <v>0</v>
      </c>
      <c r="N90" s="72">
        <v>0</v>
      </c>
      <c r="O90" s="22">
        <v>0</v>
      </c>
      <c r="P90" s="21">
        <v>866000</v>
      </c>
      <c r="S90" s="101" t="b">
        <f>OR(COUNTIF(Tabla2[[#This Row],[PROVEEDOR]],"*"&amp;'Palabra no opera'!$A$2&amp;"*"))</f>
        <v>0</v>
      </c>
      <c r="T90" s="113">
        <f>+$W$5-Tabla2[[#This Row],[FECHA DE FACTURACIÓN]]</f>
        <v>61</v>
      </c>
      <c r="U90" t="str">
        <f>+IF(Tabla2[[#This Row],[dias de credito]]&gt;=Tabla2[[#This Row],[PLAZO Días]],"venc", "No venc")</f>
        <v>venc</v>
      </c>
      <c r="V90" t="str">
        <f>+IF(Tabla2[[#This Row],[FECHA DE PAGO]]&gt;0,"pagada","por pagar")</f>
        <v>pagada</v>
      </c>
      <c r="W90" s="115" t="str">
        <f>+IF(AND(Tabla2[[#This Row],[venc]]="venc",Tabla2[[#This Row],[Columna1]]="por pagar"),"vencida","no")</f>
        <v>no</v>
      </c>
    </row>
    <row r="91" spans="1:23" ht="15.75" x14ac:dyDescent="0.25">
      <c r="A91" s="20">
        <v>30</v>
      </c>
      <c r="B91" s="25">
        <v>0</v>
      </c>
      <c r="C91" s="25"/>
      <c r="D91" s="56" t="s">
        <v>104</v>
      </c>
      <c r="E91" s="66">
        <v>45296</v>
      </c>
      <c r="F91" s="323" t="s">
        <v>566</v>
      </c>
      <c r="G91" s="66">
        <v>45296</v>
      </c>
      <c r="H91" s="35" t="s">
        <v>1457</v>
      </c>
      <c r="I91" s="21">
        <v>942000</v>
      </c>
      <c r="J91" s="21"/>
      <c r="K91" s="22">
        <v>0</v>
      </c>
      <c r="L91" s="23"/>
      <c r="M91" s="22">
        <v>0</v>
      </c>
      <c r="N91" s="72">
        <v>0</v>
      </c>
      <c r="O91" s="22">
        <v>0</v>
      </c>
      <c r="P91" s="21">
        <v>942000</v>
      </c>
      <c r="S91" s="101" t="b">
        <f>OR(COUNTIF(Tabla2[[#This Row],[PROVEEDOR]],"*"&amp;'Palabra no opera'!$A$2&amp;"*"))</f>
        <v>0</v>
      </c>
      <c r="T91" s="113">
        <f>+$W$5-Tabla2[[#This Row],[FECHA DE FACTURACIÓN]]</f>
        <v>26</v>
      </c>
      <c r="U91" t="str">
        <f>+IF(Tabla2[[#This Row],[dias de credito]]&gt;=Tabla2[[#This Row],[PLAZO Días]],"venc", "No venc")</f>
        <v>No venc</v>
      </c>
      <c r="V91" t="str">
        <f>+IF(Tabla2[[#This Row],[FECHA DE PAGO]]&gt;0,"pagada","por pagar")</f>
        <v>pagada</v>
      </c>
      <c r="W91" s="115" t="str">
        <f>+IF(AND(Tabla2[[#This Row],[venc]]="venc",Tabla2[[#This Row],[Columna1]]="por pagar"),"vencida","no")</f>
        <v>no</v>
      </c>
    </row>
    <row r="92" spans="1:23" ht="15.75" x14ac:dyDescent="0.25">
      <c r="A92" s="20">
        <v>30</v>
      </c>
      <c r="B92" s="25">
        <v>0</v>
      </c>
      <c r="C92" s="25"/>
      <c r="D92" s="56" t="s">
        <v>104</v>
      </c>
      <c r="E92" s="66">
        <v>45296</v>
      </c>
      <c r="F92" s="323" t="s">
        <v>299</v>
      </c>
      <c r="G92" s="66">
        <v>45296</v>
      </c>
      <c r="H92" s="35"/>
      <c r="I92" s="21">
        <v>1000000</v>
      </c>
      <c r="J92" s="21"/>
      <c r="K92" s="22">
        <v>0</v>
      </c>
      <c r="L92" s="23"/>
      <c r="M92" s="22">
        <v>0</v>
      </c>
      <c r="N92" s="72">
        <v>0</v>
      </c>
      <c r="O92" s="22">
        <v>0</v>
      </c>
      <c r="P92" s="21">
        <v>1000000</v>
      </c>
      <c r="S92" s="101" t="b">
        <f>OR(COUNTIF(Tabla2[[#This Row],[PROVEEDOR]],"*"&amp;'Palabra no opera'!$A$2&amp;"*"))</f>
        <v>0</v>
      </c>
      <c r="T92" s="113">
        <f>+$W$5-Tabla2[[#This Row],[FECHA DE FACTURACIÓN]]</f>
        <v>26</v>
      </c>
      <c r="U92" t="str">
        <f>+IF(Tabla2[[#This Row],[dias de credito]]&gt;=Tabla2[[#This Row],[PLAZO Días]],"venc", "No venc")</f>
        <v>No venc</v>
      </c>
      <c r="V92" t="str">
        <f>+IF(Tabla2[[#This Row],[FECHA DE PAGO]]&gt;0,"pagada","por pagar")</f>
        <v>pagada</v>
      </c>
      <c r="W92" s="115" t="str">
        <f>+IF(AND(Tabla2[[#This Row],[venc]]="venc",Tabla2[[#This Row],[Columna1]]="por pagar"),"vencida","no")</f>
        <v>no</v>
      </c>
    </row>
    <row r="93" spans="1:23" ht="15.75" x14ac:dyDescent="0.25">
      <c r="A93" s="20">
        <v>30</v>
      </c>
      <c r="B93" s="25">
        <v>0</v>
      </c>
      <c r="C93" s="25"/>
      <c r="D93" s="56" t="s">
        <v>104</v>
      </c>
      <c r="E93" s="66">
        <v>45294</v>
      </c>
      <c r="F93" s="323" t="s">
        <v>566</v>
      </c>
      <c r="G93" s="66">
        <v>45294</v>
      </c>
      <c r="H93" s="35" t="s">
        <v>1454</v>
      </c>
      <c r="I93" s="21">
        <v>5000000</v>
      </c>
      <c r="J93" s="21"/>
      <c r="K93" s="22">
        <v>0</v>
      </c>
      <c r="L93" s="23"/>
      <c r="M93" s="22">
        <v>0</v>
      </c>
      <c r="N93" s="72">
        <v>0</v>
      </c>
      <c r="O93" s="22">
        <v>0</v>
      </c>
      <c r="P93" s="21">
        <v>5000000</v>
      </c>
      <c r="S93" s="101" t="b">
        <f>OR(COUNTIF(Tabla2[[#This Row],[PROVEEDOR]],"*"&amp;'Palabra no opera'!$A$2&amp;"*"))</f>
        <v>0</v>
      </c>
      <c r="T93" s="113">
        <f>+$W$5-Tabla2[[#This Row],[FECHA DE FACTURACIÓN]]</f>
        <v>28</v>
      </c>
      <c r="U93" t="str">
        <f>+IF(Tabla2[[#This Row],[dias de credito]]&gt;=Tabla2[[#This Row],[PLAZO Días]],"venc", "No venc")</f>
        <v>No venc</v>
      </c>
      <c r="V93" t="str">
        <f>+IF(Tabla2[[#This Row],[FECHA DE PAGO]]&gt;0,"pagada","por pagar")</f>
        <v>pagada</v>
      </c>
      <c r="W93" s="115" t="str">
        <f>+IF(AND(Tabla2[[#This Row],[venc]]="venc",Tabla2[[#This Row],[Columna1]]="por pagar"),"vencida","no")</f>
        <v>no</v>
      </c>
    </row>
    <row r="94" spans="1:23" ht="15.75" x14ac:dyDescent="0.25">
      <c r="A94" s="20">
        <v>30</v>
      </c>
      <c r="B94" s="25">
        <v>4282200</v>
      </c>
      <c r="C94" s="25"/>
      <c r="D94" s="56" t="s">
        <v>217</v>
      </c>
      <c r="E94" s="66">
        <v>45294</v>
      </c>
      <c r="F94" s="323" t="s">
        <v>312</v>
      </c>
      <c r="G94" s="66">
        <v>45294</v>
      </c>
      <c r="H94" s="35" t="s">
        <v>1497</v>
      </c>
      <c r="I94" s="21">
        <v>45000</v>
      </c>
      <c r="J94" s="21"/>
      <c r="K94" s="22">
        <v>0</v>
      </c>
      <c r="L94" s="23"/>
      <c r="M94" s="22">
        <v>0</v>
      </c>
      <c r="N94" s="72">
        <v>0</v>
      </c>
      <c r="O94" s="22">
        <v>0</v>
      </c>
      <c r="P94" s="21">
        <v>45000</v>
      </c>
      <c r="S94" s="101" t="b">
        <f>OR(COUNTIF(Tabla2[[#This Row],[PROVEEDOR]],"*"&amp;'Palabra no opera'!$A$2&amp;"*"))</f>
        <v>0</v>
      </c>
      <c r="T94" s="113">
        <f>+$W$5-Tabla2[[#This Row],[FECHA DE FACTURACIÓN]]</f>
        <v>28</v>
      </c>
      <c r="U94" t="str">
        <f>+IF(Tabla2[[#This Row],[dias de credito]]&gt;=Tabla2[[#This Row],[PLAZO Días]],"venc", "No venc")</f>
        <v>No venc</v>
      </c>
      <c r="V94" t="str">
        <f>+IF(Tabla2[[#This Row],[FECHA DE PAGO]]&gt;0,"pagada","por pagar")</f>
        <v>pagada</v>
      </c>
      <c r="W94" s="115" t="str">
        <f>+IF(AND(Tabla2[[#This Row],[venc]]="venc",Tabla2[[#This Row],[Columna1]]="por pagar"),"vencida","no")</f>
        <v>no</v>
      </c>
    </row>
    <row r="95" spans="1:23" ht="15.75" x14ac:dyDescent="0.25">
      <c r="A95" s="20">
        <v>30</v>
      </c>
      <c r="B95" s="25">
        <v>840000</v>
      </c>
      <c r="C95" s="25"/>
      <c r="D95" s="56">
        <v>0</v>
      </c>
      <c r="E95" s="66">
        <v>45294</v>
      </c>
      <c r="F95" s="323" t="s">
        <v>318</v>
      </c>
      <c r="G95" s="66">
        <v>45261</v>
      </c>
      <c r="H95" s="35" t="s">
        <v>1434</v>
      </c>
      <c r="I95" s="21">
        <v>1386600</v>
      </c>
      <c r="J95" s="21"/>
      <c r="K95" s="22">
        <v>0</v>
      </c>
      <c r="L95" s="23"/>
      <c r="M95" s="22">
        <v>0</v>
      </c>
      <c r="N95" s="72">
        <v>0</v>
      </c>
      <c r="O95" s="22">
        <v>0</v>
      </c>
      <c r="P95" s="21">
        <v>1386600</v>
      </c>
      <c r="S95" s="101" t="b">
        <f>OR(COUNTIF(Tabla2[[#This Row],[PROVEEDOR]],"*"&amp;'Palabra no opera'!$A$2&amp;"*"))</f>
        <v>0</v>
      </c>
      <c r="T95" s="113">
        <f>+$W$5-Tabla2[[#This Row],[FECHA DE FACTURACIÓN]]</f>
        <v>61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15" t="str">
        <f>+IF(AND(Tabla2[[#This Row],[venc]]="venc",Tabla2[[#This Row],[Columna1]]="por pagar"),"vencida","no")</f>
        <v>no</v>
      </c>
    </row>
    <row r="96" spans="1:23" ht="15.75" x14ac:dyDescent="0.25">
      <c r="A96" s="20">
        <v>30</v>
      </c>
      <c r="B96" s="25">
        <v>0</v>
      </c>
      <c r="C96" s="25"/>
      <c r="D96" s="56" t="s">
        <v>104</v>
      </c>
      <c r="E96" s="66">
        <v>45293</v>
      </c>
      <c r="F96" s="323" t="s">
        <v>53</v>
      </c>
      <c r="G96" s="66">
        <v>45293</v>
      </c>
      <c r="H96" s="35">
        <v>315688</v>
      </c>
      <c r="I96" s="21">
        <v>3555000</v>
      </c>
      <c r="J96" s="21"/>
      <c r="K96" s="22">
        <v>0</v>
      </c>
      <c r="L96" s="23"/>
      <c r="M96" s="22">
        <v>0</v>
      </c>
      <c r="N96" s="72">
        <v>0</v>
      </c>
      <c r="O96" s="22">
        <v>0</v>
      </c>
      <c r="P96" s="21">
        <v>3555000</v>
      </c>
      <c r="S96" s="101" t="b">
        <f>OR(COUNTIF(Tabla2[[#This Row],[PROVEEDOR]],"*"&amp;'Palabra no opera'!$A$2&amp;"*"))</f>
        <v>0</v>
      </c>
      <c r="T96" s="113">
        <f>+$W$5-Tabla2[[#This Row],[FECHA DE FACTURACIÓN]]</f>
        <v>29</v>
      </c>
      <c r="U96" t="str">
        <f>+IF(Tabla2[[#This Row],[dias de credito]]&gt;=Tabla2[[#This Row],[PLAZO Días]],"venc", "No venc")</f>
        <v>No venc</v>
      </c>
      <c r="V96" t="str">
        <f>+IF(Tabla2[[#This Row],[FECHA DE PAGO]]&gt;0,"pagada","por pagar")</f>
        <v>pagada</v>
      </c>
      <c r="W96" s="115" t="str">
        <f>+IF(AND(Tabla2[[#This Row],[venc]]="venc",Tabla2[[#This Row],[Columna1]]="por pagar"),"vencida","no")</f>
        <v>no</v>
      </c>
    </row>
    <row r="97" spans="1:23" ht="15.75" x14ac:dyDescent="0.25">
      <c r="A97" s="20">
        <v>30</v>
      </c>
      <c r="B97" s="25">
        <v>0</v>
      </c>
      <c r="C97" s="25"/>
      <c r="D97" s="56" t="s">
        <v>1561</v>
      </c>
      <c r="E97" s="66">
        <v>45293</v>
      </c>
      <c r="F97" s="323" t="s">
        <v>203</v>
      </c>
      <c r="G97" s="66">
        <v>45293</v>
      </c>
      <c r="H97" s="35" t="s">
        <v>1456</v>
      </c>
      <c r="I97" s="21">
        <v>1690000</v>
      </c>
      <c r="J97" s="21"/>
      <c r="K97" s="22">
        <v>0</v>
      </c>
      <c r="L97" s="23"/>
      <c r="M97" s="22">
        <v>0</v>
      </c>
      <c r="N97" s="72">
        <v>0</v>
      </c>
      <c r="O97" s="22">
        <v>0</v>
      </c>
      <c r="P97" s="21">
        <v>1690000</v>
      </c>
      <c r="S97" s="101" t="b">
        <f>OR(COUNTIF(Tabla2[[#This Row],[PROVEEDOR]],"*"&amp;'Palabra no opera'!$A$2&amp;"*"))</f>
        <v>0</v>
      </c>
      <c r="T97" s="113">
        <f>+$W$5-Tabla2[[#This Row],[FECHA DE FACTURACIÓN]]</f>
        <v>29</v>
      </c>
      <c r="U97" t="str">
        <f>+IF(Tabla2[[#This Row],[dias de credito]]&gt;=Tabla2[[#This Row],[PLAZO Días]],"venc", "No venc")</f>
        <v>No venc</v>
      </c>
      <c r="V97" t="str">
        <f>+IF(Tabla2[[#This Row],[FECHA DE PAGO]]&gt;0,"pagada","por pagar")</f>
        <v>pagada</v>
      </c>
      <c r="W97" s="115" t="str">
        <f>+IF(AND(Tabla2[[#This Row],[venc]]="venc",Tabla2[[#This Row],[Columna1]]="por pagar"),"vencida","no")</f>
        <v>no</v>
      </c>
    </row>
    <row r="98" spans="1:23" ht="15.75" x14ac:dyDescent="0.25">
      <c r="A98" s="20">
        <v>30</v>
      </c>
      <c r="B98" s="25">
        <v>0</v>
      </c>
      <c r="C98" s="25"/>
      <c r="D98" s="56" t="s">
        <v>106</v>
      </c>
      <c r="E98" s="66">
        <v>45293</v>
      </c>
      <c r="F98" s="323" t="s">
        <v>423</v>
      </c>
      <c r="G98" s="66">
        <v>45292</v>
      </c>
      <c r="H98" s="35"/>
      <c r="I98" s="21">
        <v>611127</v>
      </c>
      <c r="J98" s="21"/>
      <c r="K98" s="22">
        <v>0</v>
      </c>
      <c r="L98" s="23"/>
      <c r="M98" s="22">
        <v>0</v>
      </c>
      <c r="N98" s="72">
        <v>0</v>
      </c>
      <c r="O98" s="22">
        <v>0</v>
      </c>
      <c r="P98" s="21">
        <v>611127</v>
      </c>
      <c r="S98" s="101" t="b">
        <f>OR(COUNTIF(Tabla2[[#This Row],[PROVEEDOR]],"*"&amp;'Palabra no opera'!$A$2&amp;"*"))</f>
        <v>1</v>
      </c>
      <c r="T98" s="113">
        <f>+$W$5-Tabla2[[#This Row],[FECHA DE FACTURACIÓN]]</f>
        <v>30</v>
      </c>
      <c r="U98" t="str">
        <f>+IF(Tabla2[[#This Row],[dias de credito]]&gt;=Tabla2[[#This Row],[PLAZO Días]],"venc", "No venc")</f>
        <v>venc</v>
      </c>
      <c r="V98" t="str">
        <f>+IF(Tabla2[[#This Row],[FECHA DE PAGO]]&gt;0,"pagada","por pagar")</f>
        <v>pagada</v>
      </c>
      <c r="W98" s="115" t="str">
        <f>+IF(AND(Tabla2[[#This Row],[venc]]="venc",Tabla2[[#This Row],[Columna1]]="por pagar"),"vencida","no")</f>
        <v>no</v>
      </c>
    </row>
    <row r="99" spans="1:23" ht="15.75" x14ac:dyDescent="0.25">
      <c r="A99" s="20">
        <v>30</v>
      </c>
      <c r="B99" s="25">
        <v>3065837.2199999997</v>
      </c>
      <c r="C99" s="25"/>
      <c r="D99" s="56" t="s">
        <v>169</v>
      </c>
      <c r="E99" s="66">
        <v>45293</v>
      </c>
      <c r="F99" s="323" t="s">
        <v>17</v>
      </c>
      <c r="G99" s="66">
        <v>45274</v>
      </c>
      <c r="H99" s="35" t="s">
        <v>1381</v>
      </c>
      <c r="I99" s="21">
        <v>120904</v>
      </c>
      <c r="J99" s="21"/>
      <c r="K99" s="22">
        <v>22971.760000000002</v>
      </c>
      <c r="L99" s="23"/>
      <c r="M99" s="22">
        <v>0</v>
      </c>
      <c r="N99" s="72">
        <v>0</v>
      </c>
      <c r="O99" s="22">
        <v>0</v>
      </c>
      <c r="P99" s="21">
        <v>143875.76</v>
      </c>
      <c r="S99" s="101" t="b">
        <f>OR(COUNTIF(Tabla2[[#This Row],[PROVEEDOR]],"*"&amp;'Palabra no opera'!$A$2&amp;"*"))</f>
        <v>0</v>
      </c>
      <c r="T99" s="113">
        <f>+$W$5-Tabla2[[#This Row],[FECHA DE FACTURACIÓN]]</f>
        <v>48</v>
      </c>
      <c r="U99" t="str">
        <f>+IF(Tabla2[[#This Row],[dias de credito]]&gt;=Tabla2[[#This Row],[PLAZO Días]],"venc", "No venc")</f>
        <v>venc</v>
      </c>
      <c r="V99" t="str">
        <f>+IF(Tabla2[[#This Row],[FECHA DE PAGO]]&gt;0,"pagada","por pagar")</f>
        <v>pagada</v>
      </c>
      <c r="W99" s="115" t="str">
        <f>+IF(AND(Tabla2[[#This Row],[venc]]="venc",Tabla2[[#This Row],[Columna1]]="por pagar"),"vencida","no")</f>
        <v>no</v>
      </c>
    </row>
    <row r="100" spans="1:23" ht="15.75" x14ac:dyDescent="0.25">
      <c r="A100" s="20">
        <v>30</v>
      </c>
      <c r="B100" s="25">
        <v>3065837.2199999997</v>
      </c>
      <c r="C100" s="25"/>
      <c r="D100" s="56" t="s">
        <v>169</v>
      </c>
      <c r="E100" s="66">
        <v>45293</v>
      </c>
      <c r="F100" s="323" t="s">
        <v>17</v>
      </c>
      <c r="G100" s="66">
        <v>45261</v>
      </c>
      <c r="H100" s="35" t="s">
        <v>1343</v>
      </c>
      <c r="I100" s="21">
        <v>537354</v>
      </c>
      <c r="J100" s="21"/>
      <c r="K100" s="22">
        <v>0</v>
      </c>
      <c r="L100" s="23"/>
      <c r="M100" s="22">
        <v>0</v>
      </c>
      <c r="N100" s="72">
        <v>0</v>
      </c>
      <c r="O100" s="22">
        <v>0</v>
      </c>
      <c r="P100" s="21">
        <v>537354</v>
      </c>
      <c r="S100" s="101" t="b">
        <f>OR(COUNTIF(Tabla2[[#This Row],[PROVEEDOR]],"*"&amp;'Palabra no opera'!$A$2&amp;"*"))</f>
        <v>0</v>
      </c>
      <c r="T100" s="113">
        <f>+$W$5-Tabla2[[#This Row],[FECHA DE FACTURACIÓN]]</f>
        <v>61</v>
      </c>
      <c r="U100" t="str">
        <f>+IF(Tabla2[[#This Row],[dias de credito]]&gt;=Tabla2[[#This Row],[PLAZO Días]],"venc", "No venc")</f>
        <v>venc</v>
      </c>
      <c r="V100" t="str">
        <f>+IF(Tabla2[[#This Row],[FECHA DE PAGO]]&gt;0,"pagada","por pagar")</f>
        <v>pagada</v>
      </c>
      <c r="W100" s="115" t="str">
        <f>+IF(AND(Tabla2[[#This Row],[venc]]="venc",Tabla2[[#This Row],[Columna1]]="por pagar"),"vencida","no")</f>
        <v>no</v>
      </c>
    </row>
    <row r="101" spans="1:23" ht="15.75" x14ac:dyDescent="0.25">
      <c r="A101" s="20">
        <v>30</v>
      </c>
      <c r="B101" s="25">
        <v>0</v>
      </c>
      <c r="C101" s="25"/>
      <c r="D101" s="56" t="s">
        <v>104</v>
      </c>
      <c r="E101" s="66">
        <v>45291</v>
      </c>
      <c r="F101" s="323" t="s">
        <v>521</v>
      </c>
      <c r="G101" s="66">
        <v>45290</v>
      </c>
      <c r="H101" s="35" t="s">
        <v>1448</v>
      </c>
      <c r="I101" s="21">
        <v>690000</v>
      </c>
      <c r="J101" s="21"/>
      <c r="K101" s="22">
        <v>0</v>
      </c>
      <c r="L101" s="23"/>
      <c r="M101" s="22">
        <v>0</v>
      </c>
      <c r="N101" s="72">
        <v>0</v>
      </c>
      <c r="O101" s="22">
        <v>0</v>
      </c>
      <c r="P101" s="21">
        <v>690000</v>
      </c>
      <c r="S101" s="101" t="b">
        <f>OR(COUNTIF(Tabla2[[#This Row],[PROVEEDOR]],"*"&amp;'Palabra no opera'!$A$2&amp;"*"))</f>
        <v>0</v>
      </c>
      <c r="T101" s="113">
        <f>+$W$5-Tabla2[[#This Row],[FECHA DE FACTURACIÓN]]</f>
        <v>32</v>
      </c>
      <c r="U101" t="str">
        <f>+IF(Tabla2[[#This Row],[dias de credito]]&gt;=Tabla2[[#This Row],[PLAZO Días]],"venc", "No venc")</f>
        <v>venc</v>
      </c>
      <c r="V101" t="str">
        <f>+IF(Tabla2[[#This Row],[FECHA DE PAGO]]&gt;0,"pagada","por pagar")</f>
        <v>pagada</v>
      </c>
      <c r="W101" s="115" t="str">
        <f>+IF(AND(Tabla2[[#This Row],[venc]]="venc",Tabla2[[#This Row],[Columna1]]="por pagar"),"vencida","no")</f>
        <v>no</v>
      </c>
    </row>
    <row r="102" spans="1:23" ht="15.75" x14ac:dyDescent="0.25">
      <c r="A102" s="20">
        <v>30</v>
      </c>
      <c r="B102" s="25">
        <v>0</v>
      </c>
      <c r="C102" s="25"/>
      <c r="D102" s="56" t="s">
        <v>104</v>
      </c>
      <c r="E102" s="66">
        <v>45290</v>
      </c>
      <c r="F102" s="323" t="s">
        <v>521</v>
      </c>
      <c r="G102" s="66">
        <v>45289</v>
      </c>
      <c r="H102" s="35" t="s">
        <v>1447</v>
      </c>
      <c r="I102" s="21">
        <v>1345000</v>
      </c>
      <c r="J102" s="21"/>
      <c r="K102" s="22">
        <v>0</v>
      </c>
      <c r="L102" s="23"/>
      <c r="M102" s="22">
        <v>0</v>
      </c>
      <c r="N102" s="72">
        <v>0</v>
      </c>
      <c r="O102" s="22">
        <v>0</v>
      </c>
      <c r="P102" s="21">
        <v>1345000</v>
      </c>
      <c r="S102" s="101" t="b">
        <f>OR(COUNTIF(Tabla2[[#This Row],[PROVEEDOR]],"*"&amp;'Palabra no opera'!$A$2&amp;"*"))</f>
        <v>0</v>
      </c>
      <c r="T102" s="113">
        <f>+$W$5-Tabla2[[#This Row],[FECHA DE FACTURACIÓN]]</f>
        <v>33</v>
      </c>
      <c r="U102" t="str">
        <f>+IF(Tabla2[[#This Row],[dias de credito]]&gt;=Tabla2[[#This Row],[PLAZO Días]],"venc", "No venc")</f>
        <v>venc</v>
      </c>
      <c r="V102" t="str">
        <f>+IF(Tabla2[[#This Row],[FECHA DE PAGO]]&gt;0,"pagada","por pagar")</f>
        <v>pagada</v>
      </c>
      <c r="W102" s="115" t="str">
        <f>+IF(AND(Tabla2[[#This Row],[venc]]="venc",Tabla2[[#This Row],[Columna1]]="por pagar"),"vencida","no")</f>
        <v>no</v>
      </c>
    </row>
    <row r="103" spans="1:23" ht="15.75" x14ac:dyDescent="0.25">
      <c r="A103" s="20">
        <v>30</v>
      </c>
      <c r="B103" s="25">
        <v>0</v>
      </c>
      <c r="C103" s="25"/>
      <c r="D103" s="56">
        <v>0</v>
      </c>
      <c r="E103" s="66">
        <v>45289</v>
      </c>
      <c r="F103" s="323" t="s">
        <v>1449</v>
      </c>
      <c r="G103" s="66">
        <v>45289</v>
      </c>
      <c r="H103" s="35" t="s">
        <v>1450</v>
      </c>
      <c r="I103" s="21">
        <v>1981000</v>
      </c>
      <c r="J103" s="21"/>
      <c r="K103" s="22"/>
      <c r="L103" s="23"/>
      <c r="M103" s="22">
        <v>0</v>
      </c>
      <c r="N103" s="72">
        <v>2.5000000000000001E-2</v>
      </c>
      <c r="O103" s="22">
        <v>49525</v>
      </c>
      <c r="P103" s="21">
        <v>1931475</v>
      </c>
      <c r="S103" s="101" t="b">
        <f>OR(COUNTIF(Tabla2[[#This Row],[PROVEEDOR]],"*"&amp;'Palabra no opera'!$A$2&amp;"*"))</f>
        <v>0</v>
      </c>
      <c r="T103" s="113">
        <f>+$W$5-Tabla2[[#This Row],[FECHA DE FACTURACIÓN]]</f>
        <v>33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15" t="str">
        <f>+IF(AND(Tabla2[[#This Row],[venc]]="venc",Tabla2[[#This Row],[Columna1]]="por pagar"),"vencida","no")</f>
        <v>no</v>
      </c>
    </row>
    <row r="104" spans="1:23" ht="15.75" x14ac:dyDescent="0.25">
      <c r="A104" s="20">
        <v>0</v>
      </c>
      <c r="B104" s="25">
        <v>0</v>
      </c>
      <c r="C104" s="25"/>
      <c r="D104" s="56">
        <v>0</v>
      </c>
      <c r="E104" s="66">
        <v>45289</v>
      </c>
      <c r="F104" s="323" t="s">
        <v>495</v>
      </c>
      <c r="G104" s="66">
        <v>45289</v>
      </c>
      <c r="H104" s="35" t="s">
        <v>1344</v>
      </c>
      <c r="I104" s="21">
        <v>245000</v>
      </c>
      <c r="J104" s="21"/>
      <c r="K104" s="22">
        <v>0</v>
      </c>
      <c r="L104" s="23"/>
      <c r="M104" s="22">
        <v>0</v>
      </c>
      <c r="N104" s="72">
        <v>0</v>
      </c>
      <c r="O104" s="22">
        <v>0</v>
      </c>
      <c r="P104" s="21">
        <v>245000</v>
      </c>
      <c r="S104" s="101" t="b">
        <f>OR(COUNTIF(Tabla2[[#This Row],[PROVEEDOR]],"*"&amp;'Palabra no opera'!$A$2&amp;"*"))</f>
        <v>1</v>
      </c>
      <c r="T104" s="113">
        <f>+$W$5-Tabla2[[#This Row],[FECHA DE FACTURACIÓN]]</f>
        <v>33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15" t="str">
        <f>+IF(AND(Tabla2[[#This Row],[venc]]="venc",Tabla2[[#This Row],[Columna1]]="por pagar"),"vencida","no")</f>
        <v>no</v>
      </c>
    </row>
    <row r="105" spans="1:23" ht="15.75" x14ac:dyDescent="0.25">
      <c r="A105" s="20">
        <v>30</v>
      </c>
      <c r="B105" s="25">
        <v>0</v>
      </c>
      <c r="C105" s="25"/>
      <c r="D105" s="56" t="s">
        <v>104</v>
      </c>
      <c r="E105" s="66">
        <v>45288</v>
      </c>
      <c r="F105" s="323" t="s">
        <v>299</v>
      </c>
      <c r="G105" s="66">
        <v>45288</v>
      </c>
      <c r="H105" s="35"/>
      <c r="I105" s="21">
        <v>1303050</v>
      </c>
      <c r="J105" s="21"/>
      <c r="K105" s="22">
        <v>0</v>
      </c>
      <c r="L105" s="23"/>
      <c r="M105" s="22">
        <v>0</v>
      </c>
      <c r="N105" s="72">
        <v>0</v>
      </c>
      <c r="O105" s="22">
        <v>0</v>
      </c>
      <c r="P105" s="21">
        <v>1303050</v>
      </c>
      <c r="S105" s="101" t="b">
        <f>OR(COUNTIF(Tabla2[[#This Row],[PROVEEDOR]],"*"&amp;'Palabra no opera'!$A$2&amp;"*"))</f>
        <v>0</v>
      </c>
      <c r="T105" s="113">
        <f>+$W$5-Tabla2[[#This Row],[FECHA DE FACTURACIÓN]]</f>
        <v>34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15" t="str">
        <f>+IF(AND(Tabla2[[#This Row],[venc]]="venc",Tabla2[[#This Row],[Columna1]]="por pagar"),"vencida","no")</f>
        <v>no</v>
      </c>
    </row>
    <row r="106" spans="1:23" ht="15.75" x14ac:dyDescent="0.25">
      <c r="A106" s="20">
        <v>30</v>
      </c>
      <c r="B106" s="25">
        <v>-2000</v>
      </c>
      <c r="C106" s="25"/>
      <c r="D106" s="56">
        <v>0</v>
      </c>
      <c r="E106" s="66">
        <v>45288</v>
      </c>
      <c r="F106" s="323" t="s">
        <v>881</v>
      </c>
      <c r="G106" s="66">
        <v>45288</v>
      </c>
      <c r="H106" s="35" t="s">
        <v>1442</v>
      </c>
      <c r="I106" s="21">
        <v>248000</v>
      </c>
      <c r="J106" s="21"/>
      <c r="K106" s="22">
        <v>0</v>
      </c>
      <c r="L106" s="23"/>
      <c r="M106" s="22">
        <v>0</v>
      </c>
      <c r="N106" s="72">
        <v>0</v>
      </c>
      <c r="O106" s="22">
        <v>0</v>
      </c>
      <c r="P106" s="21">
        <v>248000</v>
      </c>
      <c r="S106" s="101" t="b">
        <f>OR(COUNTIF(Tabla2[[#This Row],[PROVEEDOR]],"*"&amp;'Palabra no opera'!$A$2&amp;"*"))</f>
        <v>0</v>
      </c>
      <c r="T106" s="113">
        <f>+$W$5-Tabla2[[#This Row],[FECHA DE FACTURACIÓN]]</f>
        <v>34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15" t="str">
        <f>+IF(AND(Tabla2[[#This Row],[venc]]="venc",Tabla2[[#This Row],[Columna1]]="por pagar"),"vencida","no")</f>
        <v>no</v>
      </c>
    </row>
    <row r="107" spans="1:23" ht="15.75" x14ac:dyDescent="0.25">
      <c r="A107" s="20">
        <v>60</v>
      </c>
      <c r="B107" s="25">
        <v>14884783</v>
      </c>
      <c r="C107" s="25"/>
      <c r="D107" s="56" t="s">
        <v>432</v>
      </c>
      <c r="E107" s="66">
        <v>45288</v>
      </c>
      <c r="F107" s="323" t="s">
        <v>76</v>
      </c>
      <c r="G107" s="66">
        <v>45288</v>
      </c>
      <c r="H107" s="35" t="s">
        <v>1516</v>
      </c>
      <c r="I107" s="21">
        <v>-6400000</v>
      </c>
      <c r="J107" s="21"/>
      <c r="K107" s="22"/>
      <c r="L107" s="23"/>
      <c r="M107" s="22">
        <v>0</v>
      </c>
      <c r="N107" s="72">
        <v>0</v>
      </c>
      <c r="O107" s="22"/>
      <c r="P107" s="21">
        <v>-6400000</v>
      </c>
      <c r="S107" s="101" t="b">
        <f>OR(COUNTIF(Tabla2[[#This Row],[PROVEEDOR]],"*"&amp;'Palabra no opera'!$A$2&amp;"*"))</f>
        <v>0</v>
      </c>
      <c r="T107" s="113">
        <f>+$W$5-Tabla2[[#This Row],[FECHA DE FACTURACIÓN]]</f>
        <v>34</v>
      </c>
      <c r="U107" t="str">
        <f>+IF(Tabla2[[#This Row],[dias de credito]]&gt;=Tabla2[[#This Row],[PLAZO Días]],"venc", "No venc")</f>
        <v>No venc</v>
      </c>
      <c r="V107" t="str">
        <f>+IF(Tabla2[[#This Row],[FECHA DE PAGO]]&gt;0,"pagada","por pagar")</f>
        <v>pagada</v>
      </c>
      <c r="W107" s="115" t="str">
        <f>+IF(AND(Tabla2[[#This Row],[venc]]="venc",Tabla2[[#This Row],[Columna1]]="por pagar"),"vencida","no")</f>
        <v>no</v>
      </c>
    </row>
    <row r="108" spans="1:23" ht="15.75" x14ac:dyDescent="0.25">
      <c r="A108" s="20">
        <v>30</v>
      </c>
      <c r="B108" s="25">
        <v>0</v>
      </c>
      <c r="C108" s="25"/>
      <c r="D108" s="56" t="s">
        <v>1233</v>
      </c>
      <c r="E108" s="66">
        <v>45288</v>
      </c>
      <c r="F108" s="323" t="s">
        <v>1234</v>
      </c>
      <c r="G108" s="66">
        <v>45287</v>
      </c>
      <c r="H108" s="35" t="s">
        <v>1429</v>
      </c>
      <c r="I108" s="21">
        <v>2280672</v>
      </c>
      <c r="J108" s="21"/>
      <c r="K108" s="22">
        <v>433327.68</v>
      </c>
      <c r="L108" s="23"/>
      <c r="M108" s="22">
        <v>0</v>
      </c>
      <c r="N108" s="72">
        <v>2.5000000000000001E-2</v>
      </c>
      <c r="O108" s="22">
        <v>57016.800000000003</v>
      </c>
      <c r="P108" s="21">
        <v>2656982.8800000004</v>
      </c>
      <c r="S108" s="101" t="b">
        <f>OR(COUNTIF(Tabla2[[#This Row],[PROVEEDOR]],"*"&amp;'Palabra no opera'!$A$2&amp;"*"))</f>
        <v>0</v>
      </c>
      <c r="T108" s="113">
        <f>+$W$5-Tabla2[[#This Row],[FECHA DE FACTURACIÓN]]</f>
        <v>35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15" t="str">
        <f>+IF(AND(Tabla2[[#This Row],[venc]]="venc",Tabla2[[#This Row],[Columna1]]="por pagar"),"vencida","no")</f>
        <v>no</v>
      </c>
    </row>
    <row r="109" spans="1:23" ht="15.75" x14ac:dyDescent="0.25">
      <c r="A109" s="20">
        <v>30</v>
      </c>
      <c r="B109" s="25">
        <v>0</v>
      </c>
      <c r="C109" s="25"/>
      <c r="D109" s="56" t="s">
        <v>245</v>
      </c>
      <c r="E109" s="66">
        <v>45288</v>
      </c>
      <c r="F109" s="323" t="s">
        <v>221</v>
      </c>
      <c r="G109" s="66">
        <v>45264</v>
      </c>
      <c r="H109" s="35" t="s">
        <v>1384</v>
      </c>
      <c r="I109" s="21">
        <v>1632998</v>
      </c>
      <c r="J109" s="21"/>
      <c r="K109" s="22">
        <v>310269.62</v>
      </c>
      <c r="L109" s="23"/>
      <c r="M109" s="22">
        <v>0</v>
      </c>
      <c r="N109" s="72">
        <v>0</v>
      </c>
      <c r="O109" s="22">
        <v>0</v>
      </c>
      <c r="P109" s="21">
        <v>1943267.62</v>
      </c>
      <c r="S109" s="101" t="b">
        <f>OR(COUNTIF(Tabla2[[#This Row],[PROVEEDOR]],"*"&amp;'Palabra no opera'!$A$2&amp;"*"))</f>
        <v>0</v>
      </c>
      <c r="T109" s="113">
        <f>+$W$5-Tabla2[[#This Row],[FECHA DE FACTURACIÓN]]</f>
        <v>58</v>
      </c>
      <c r="U109" t="str">
        <f>+IF(Tabla2[[#This Row],[dias de credito]]&gt;=Tabla2[[#This Row],[PLAZO Días]],"venc", "No venc")</f>
        <v>venc</v>
      </c>
      <c r="V109" t="str">
        <f>+IF(Tabla2[[#This Row],[FECHA DE PAGO]]&gt;0,"pagada","por pagar")</f>
        <v>pagada</v>
      </c>
      <c r="W109" s="115" t="str">
        <f>+IF(AND(Tabla2[[#This Row],[venc]]="venc",Tabla2[[#This Row],[Columna1]]="por pagar"),"vencida","no")</f>
        <v>no</v>
      </c>
    </row>
    <row r="110" spans="1:23" ht="15.75" x14ac:dyDescent="0.25">
      <c r="A110" s="20">
        <v>30</v>
      </c>
      <c r="B110" s="25">
        <v>0</v>
      </c>
      <c r="C110" s="25"/>
      <c r="D110" s="56" t="s">
        <v>245</v>
      </c>
      <c r="E110" s="66">
        <v>45288</v>
      </c>
      <c r="F110" s="323" t="s">
        <v>221</v>
      </c>
      <c r="G110" s="66">
        <v>45261</v>
      </c>
      <c r="H110" s="35" t="s">
        <v>1383</v>
      </c>
      <c r="I110" s="21">
        <v>1979981</v>
      </c>
      <c r="J110" s="21"/>
      <c r="K110" s="22">
        <v>376196.39</v>
      </c>
      <c r="L110" s="23"/>
      <c r="M110" s="22">
        <v>0</v>
      </c>
      <c r="N110" s="72">
        <v>0</v>
      </c>
      <c r="O110" s="22">
        <v>0</v>
      </c>
      <c r="P110" s="21">
        <v>2356177.39</v>
      </c>
      <c r="S110" s="101" t="b">
        <f>OR(COUNTIF(Tabla2[[#This Row],[PROVEEDOR]],"*"&amp;'Palabra no opera'!$A$2&amp;"*"))</f>
        <v>0</v>
      </c>
      <c r="T110" s="113">
        <f>+$W$5-Tabla2[[#This Row],[FECHA DE FACTURACIÓN]]</f>
        <v>61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15" t="str">
        <f>+IF(AND(Tabla2[[#This Row],[venc]]="venc",Tabla2[[#This Row],[Columna1]]="por pagar"),"vencida","no")</f>
        <v>no</v>
      </c>
    </row>
    <row r="111" spans="1:23" ht="15.75" x14ac:dyDescent="0.25">
      <c r="A111" s="20">
        <v>30</v>
      </c>
      <c r="B111" s="25">
        <v>0</v>
      </c>
      <c r="C111" s="25"/>
      <c r="D111" s="56" t="s">
        <v>494</v>
      </c>
      <c r="E111" s="66">
        <v>45288</v>
      </c>
      <c r="F111" s="323" t="s">
        <v>24</v>
      </c>
      <c r="G111" s="66">
        <v>45258</v>
      </c>
      <c r="H111" s="35" t="s">
        <v>1311</v>
      </c>
      <c r="I111" s="21">
        <v>898400</v>
      </c>
      <c r="J111" s="21"/>
      <c r="K111" s="22">
        <v>170696</v>
      </c>
      <c r="L111" s="23"/>
      <c r="M111" s="22">
        <v>0</v>
      </c>
      <c r="N111" s="72">
        <v>0</v>
      </c>
      <c r="O111" s="22">
        <v>0</v>
      </c>
      <c r="P111" s="21">
        <v>1069096</v>
      </c>
      <c r="S111" s="101" t="b">
        <f>OR(COUNTIF(Tabla2[[#This Row],[PROVEEDOR]],"*"&amp;'Palabra no opera'!$A$2&amp;"*"))</f>
        <v>0</v>
      </c>
      <c r="T111" s="113">
        <f>+$W$5-Tabla2[[#This Row],[FECHA DE FACTURACIÓN]]</f>
        <v>64</v>
      </c>
      <c r="U111" t="str">
        <f>+IF(Tabla2[[#This Row],[dias de credito]]&gt;=Tabla2[[#This Row],[PLAZO Días]],"venc", "No venc")</f>
        <v>venc</v>
      </c>
      <c r="V111" t="str">
        <f>+IF(Tabla2[[#This Row],[FECHA DE PAGO]]&gt;0,"pagada","por pagar")</f>
        <v>pagada</v>
      </c>
      <c r="W111" s="115" t="str">
        <f>+IF(AND(Tabla2[[#This Row],[venc]]="venc",Tabla2[[#This Row],[Columna1]]="por pagar"),"vencida","no")</f>
        <v>no</v>
      </c>
    </row>
    <row r="112" spans="1:23" ht="15.75" x14ac:dyDescent="0.25">
      <c r="A112" s="20">
        <v>30</v>
      </c>
      <c r="B112" s="25">
        <v>0</v>
      </c>
      <c r="C112" s="25"/>
      <c r="D112" s="56" t="s">
        <v>494</v>
      </c>
      <c r="E112" s="66">
        <v>45288</v>
      </c>
      <c r="F112" s="323" t="s">
        <v>24</v>
      </c>
      <c r="G112" s="66">
        <v>45254</v>
      </c>
      <c r="H112" s="35" t="s">
        <v>1312</v>
      </c>
      <c r="I112" s="21">
        <v>2695200</v>
      </c>
      <c r="J112" s="21"/>
      <c r="K112" s="22">
        <v>512088</v>
      </c>
      <c r="L112" s="23"/>
      <c r="M112" s="22">
        <v>0</v>
      </c>
      <c r="N112" s="72">
        <v>2.5000000000000001E-2</v>
      </c>
      <c r="O112" s="22">
        <v>67380</v>
      </c>
      <c r="P112" s="21">
        <v>3139908</v>
      </c>
      <c r="S112" s="101" t="b">
        <f>OR(COUNTIF(Tabla2[[#This Row],[PROVEEDOR]],"*"&amp;'Palabra no opera'!$A$2&amp;"*"))</f>
        <v>0</v>
      </c>
      <c r="T112" s="113">
        <f>+$W$5-Tabla2[[#This Row],[FECHA DE FACTURACIÓN]]</f>
        <v>68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15" t="str">
        <f>+IF(AND(Tabla2[[#This Row],[venc]]="venc",Tabla2[[#This Row],[Columna1]]="por pagar"),"vencida","no")</f>
        <v>no</v>
      </c>
    </row>
    <row r="113" spans="1:23" ht="15.75" x14ac:dyDescent="0.25">
      <c r="A113" s="20">
        <v>30</v>
      </c>
      <c r="B113" s="25">
        <v>0</v>
      </c>
      <c r="C113" s="25"/>
      <c r="D113" s="56" t="s">
        <v>255</v>
      </c>
      <c r="E113" s="66">
        <v>45288</v>
      </c>
      <c r="F113" s="323" t="s">
        <v>248</v>
      </c>
      <c r="G113" s="66">
        <v>45253</v>
      </c>
      <c r="H113" s="35" t="s">
        <v>1370</v>
      </c>
      <c r="I113" s="21">
        <v>4760520</v>
      </c>
      <c r="J113" s="21">
        <v>2482280</v>
      </c>
      <c r="K113" s="22">
        <v>432865.6</v>
      </c>
      <c r="L113" s="23"/>
      <c r="M113" s="22">
        <v>0</v>
      </c>
      <c r="N113" s="72">
        <v>0</v>
      </c>
      <c r="O113" s="22">
        <v>0</v>
      </c>
      <c r="P113" s="21">
        <v>2711105.5999999996</v>
      </c>
      <c r="S113" s="101" t="b">
        <f>OR(COUNTIF(Tabla2[[#This Row],[PROVEEDOR]],"*"&amp;'Palabra no opera'!$A$2&amp;"*"))</f>
        <v>0</v>
      </c>
      <c r="T113" s="113">
        <f>+$W$5-Tabla2[[#This Row],[FECHA DE FACTURACIÓN]]</f>
        <v>69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15" t="str">
        <f>+IF(AND(Tabla2[[#This Row],[venc]]="venc",Tabla2[[#This Row],[Columna1]]="por pagar"),"vencida","no")</f>
        <v>no</v>
      </c>
    </row>
    <row r="114" spans="1:23" ht="15.75" x14ac:dyDescent="0.25">
      <c r="A114" s="20">
        <v>45</v>
      </c>
      <c r="B114" s="25">
        <v>3535656.6</v>
      </c>
      <c r="C114" s="25"/>
      <c r="D114" s="56" t="s">
        <v>390</v>
      </c>
      <c r="E114" s="66">
        <v>45288</v>
      </c>
      <c r="F114" s="323" t="s">
        <v>19</v>
      </c>
      <c r="G114" s="66">
        <v>45252</v>
      </c>
      <c r="H114" s="35" t="s">
        <v>1299</v>
      </c>
      <c r="I114" s="21">
        <v>2102085</v>
      </c>
      <c r="J114" s="21"/>
      <c r="K114" s="22">
        <v>399396.15</v>
      </c>
      <c r="L114" s="23"/>
      <c r="M114" s="22">
        <v>0</v>
      </c>
      <c r="N114" s="72">
        <v>0</v>
      </c>
      <c r="O114" s="22">
        <v>0</v>
      </c>
      <c r="P114" s="21">
        <v>2501481.15</v>
      </c>
      <c r="S114" s="101" t="b">
        <f>OR(COUNTIF(Tabla2[[#This Row],[PROVEEDOR]],"*"&amp;'Palabra no opera'!$A$2&amp;"*"))</f>
        <v>0</v>
      </c>
      <c r="T114" s="113">
        <f>+$W$5-Tabla2[[#This Row],[FECHA DE FACTURACIÓN]]</f>
        <v>70</v>
      </c>
      <c r="U114" t="str">
        <f>+IF(Tabla2[[#This Row],[dias de credito]]&gt;=Tabla2[[#This Row],[PLAZO Días]],"venc", "No venc")</f>
        <v>venc</v>
      </c>
      <c r="V114" t="str">
        <f>+IF(Tabla2[[#This Row],[FECHA DE PAGO]]&gt;0,"pagada","por pagar")</f>
        <v>pagada</v>
      </c>
      <c r="W114" s="115" t="str">
        <f>+IF(AND(Tabla2[[#This Row],[venc]]="venc",Tabla2[[#This Row],[Columna1]]="por pagar"),"vencida","no")</f>
        <v>no</v>
      </c>
    </row>
    <row r="115" spans="1:23" ht="15.75" x14ac:dyDescent="0.25">
      <c r="A115" s="20">
        <v>30</v>
      </c>
      <c r="B115" s="25">
        <v>0</v>
      </c>
      <c r="C115" s="25"/>
      <c r="D115" s="56" t="s">
        <v>159</v>
      </c>
      <c r="E115" s="66">
        <v>45288</v>
      </c>
      <c r="F115" s="323" t="s">
        <v>994</v>
      </c>
      <c r="G115" s="66">
        <v>45251</v>
      </c>
      <c r="H115" s="35" t="s">
        <v>1307</v>
      </c>
      <c r="I115" s="21">
        <v>756303</v>
      </c>
      <c r="J115" s="21"/>
      <c r="K115" s="22">
        <v>143697.57</v>
      </c>
      <c r="L115" s="23"/>
      <c r="M115" s="22">
        <v>0</v>
      </c>
      <c r="N115" s="72">
        <v>0</v>
      </c>
      <c r="O115" s="22">
        <v>0</v>
      </c>
      <c r="P115" s="21">
        <v>900000.57000000007</v>
      </c>
      <c r="S115" s="101" t="b">
        <f>OR(COUNTIF(Tabla2[[#This Row],[PROVEEDOR]],"*"&amp;'Palabra no opera'!$A$2&amp;"*"))</f>
        <v>0</v>
      </c>
      <c r="T115" s="113">
        <f>+$W$5-Tabla2[[#This Row],[FECHA DE FACTURACIÓN]]</f>
        <v>71</v>
      </c>
      <c r="U115" t="str">
        <f>+IF(Tabla2[[#This Row],[dias de credito]]&gt;=Tabla2[[#This Row],[PLAZO Días]],"venc", "No venc")</f>
        <v>venc</v>
      </c>
      <c r="V115" t="str">
        <f>+IF(Tabla2[[#This Row],[FECHA DE PAGO]]&gt;0,"pagada","por pagar")</f>
        <v>pagada</v>
      </c>
      <c r="W115" s="115" t="str">
        <f>+IF(AND(Tabla2[[#This Row],[venc]]="venc",Tabla2[[#This Row],[Columna1]]="por pagar"),"vencida","no")</f>
        <v>no</v>
      </c>
    </row>
    <row r="116" spans="1:23" ht="15.75" x14ac:dyDescent="0.25">
      <c r="A116" s="20">
        <v>45</v>
      </c>
      <c r="B116" s="25">
        <v>13678360</v>
      </c>
      <c r="C116" s="25"/>
      <c r="D116" s="56" t="s">
        <v>179</v>
      </c>
      <c r="E116" s="66">
        <v>45288</v>
      </c>
      <c r="F116" s="323" t="s">
        <v>10</v>
      </c>
      <c r="G116" s="66">
        <v>45247</v>
      </c>
      <c r="H116" s="35" t="s">
        <v>1295</v>
      </c>
      <c r="I116" s="21">
        <v>2800000</v>
      </c>
      <c r="J116" s="21"/>
      <c r="K116" s="22">
        <v>532000</v>
      </c>
      <c r="L116" s="23"/>
      <c r="M116" s="22">
        <v>0</v>
      </c>
      <c r="N116" s="72">
        <v>2.5000000000000001E-2</v>
      </c>
      <c r="O116" s="22">
        <v>70000</v>
      </c>
      <c r="P116" s="21">
        <v>3262000</v>
      </c>
      <c r="S116" s="101" t="b">
        <f>OR(COUNTIF(Tabla2[[#This Row],[PROVEEDOR]],"*"&amp;'Palabra no opera'!$A$2&amp;"*"))</f>
        <v>0</v>
      </c>
      <c r="T116" s="113">
        <f>+$W$5-Tabla2[[#This Row],[FECHA DE FACTURACIÓN]]</f>
        <v>75</v>
      </c>
      <c r="U116" t="str">
        <f>+IF(Tabla2[[#This Row],[dias de credito]]&gt;=Tabla2[[#This Row],[PLAZO Días]],"venc", "No venc")</f>
        <v>venc</v>
      </c>
      <c r="V116" t="str">
        <f>+IF(Tabla2[[#This Row],[FECHA DE PAGO]]&gt;0,"pagada","por pagar")</f>
        <v>pagada</v>
      </c>
      <c r="W116" s="115" t="str">
        <f>+IF(AND(Tabla2[[#This Row],[venc]]="venc",Tabla2[[#This Row],[Columna1]]="por pagar"),"vencida","no")</f>
        <v>no</v>
      </c>
    </row>
    <row r="117" spans="1:23" ht="15.75" x14ac:dyDescent="0.25">
      <c r="A117" s="20">
        <v>45</v>
      </c>
      <c r="B117" s="25">
        <v>13678360</v>
      </c>
      <c r="C117" s="25"/>
      <c r="D117" s="56" t="s">
        <v>179</v>
      </c>
      <c r="E117" s="66">
        <v>45288</v>
      </c>
      <c r="F117" s="323" t="s">
        <v>10</v>
      </c>
      <c r="G117" s="66">
        <v>45247</v>
      </c>
      <c r="H117" s="35" t="s">
        <v>1296</v>
      </c>
      <c r="I117" s="21">
        <v>380000</v>
      </c>
      <c r="J117" s="21"/>
      <c r="K117" s="22">
        <v>72200</v>
      </c>
      <c r="L117" s="23"/>
      <c r="M117" s="22">
        <v>0</v>
      </c>
      <c r="N117" s="72">
        <v>0</v>
      </c>
      <c r="O117" s="22">
        <v>0</v>
      </c>
      <c r="P117" s="21">
        <v>452200</v>
      </c>
      <c r="S117" s="101" t="b">
        <f>OR(COUNTIF(Tabla2[[#This Row],[PROVEEDOR]],"*"&amp;'Palabra no opera'!$A$2&amp;"*"))</f>
        <v>0</v>
      </c>
      <c r="T117" s="113">
        <f>+$W$5-Tabla2[[#This Row],[FECHA DE FACTURACIÓN]]</f>
        <v>75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15" t="str">
        <f>+IF(AND(Tabla2[[#This Row],[venc]]="venc",Tabla2[[#This Row],[Columna1]]="por pagar"),"vencida","no")</f>
        <v>no</v>
      </c>
    </row>
    <row r="118" spans="1:23" ht="15.75" x14ac:dyDescent="0.25">
      <c r="A118" s="20">
        <v>30</v>
      </c>
      <c r="B118" s="25">
        <v>0</v>
      </c>
      <c r="C118" s="25"/>
      <c r="D118" s="56" t="s">
        <v>167</v>
      </c>
      <c r="E118" s="66">
        <v>45287</v>
      </c>
      <c r="F118" s="323" t="s">
        <v>75</v>
      </c>
      <c r="G118" s="66">
        <v>45286</v>
      </c>
      <c r="H118" s="35" t="s">
        <v>1428</v>
      </c>
      <c r="I118" s="21">
        <v>-6302521</v>
      </c>
      <c r="J118" s="21"/>
      <c r="K118" s="22">
        <v>-1197478.99</v>
      </c>
      <c r="L118" s="23"/>
      <c r="M118" s="22">
        <v>0</v>
      </c>
      <c r="N118" s="72">
        <v>0</v>
      </c>
      <c r="O118" s="22">
        <v>0</v>
      </c>
      <c r="P118" s="21">
        <v>-7499999.9900000002</v>
      </c>
      <c r="S118" s="101" t="b">
        <f>OR(COUNTIF(Tabla2[[#This Row],[PROVEEDOR]],"*"&amp;'Palabra no opera'!$A$2&amp;"*"))</f>
        <v>0</v>
      </c>
      <c r="T118" s="113">
        <f>+$W$5-Tabla2[[#This Row],[FECHA DE FACTURACIÓN]]</f>
        <v>36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15" t="str">
        <f>+IF(AND(Tabla2[[#This Row],[venc]]="venc",Tabla2[[#This Row],[Columna1]]="por pagar"),"vencida","no")</f>
        <v>no</v>
      </c>
    </row>
    <row r="119" spans="1:23" ht="15.75" x14ac:dyDescent="0.25">
      <c r="A119" s="20">
        <v>60</v>
      </c>
      <c r="B119" s="25">
        <v>22881826.27</v>
      </c>
      <c r="C119" s="25"/>
      <c r="D119" s="56" t="s">
        <v>178</v>
      </c>
      <c r="E119" s="66">
        <v>45287</v>
      </c>
      <c r="F119" s="323" t="s">
        <v>9</v>
      </c>
      <c r="G119" s="66">
        <v>45261</v>
      </c>
      <c r="H119" s="35" t="s">
        <v>1424</v>
      </c>
      <c r="I119" s="21">
        <v>159664</v>
      </c>
      <c r="J119" s="21"/>
      <c r="K119" s="22">
        <v>30336.16</v>
      </c>
      <c r="L119" s="23"/>
      <c r="M119" s="22">
        <v>0</v>
      </c>
      <c r="N119" s="72">
        <v>0</v>
      </c>
      <c r="O119" s="22">
        <v>0</v>
      </c>
      <c r="P119" s="21">
        <v>190000.16</v>
      </c>
      <c r="S119" s="101" t="b">
        <f>OR(COUNTIF(Tabla2[[#This Row],[PROVEEDOR]],"*"&amp;'Palabra no opera'!$A$2&amp;"*"))</f>
        <v>0</v>
      </c>
      <c r="T119" s="113">
        <f>+$W$5-Tabla2[[#This Row],[FECHA DE FACTURACIÓN]]</f>
        <v>61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15" t="str">
        <f>+IF(AND(Tabla2[[#This Row],[venc]]="venc",Tabla2[[#This Row],[Columna1]]="por pagar"),"vencida","no")</f>
        <v>no</v>
      </c>
    </row>
    <row r="120" spans="1:23" ht="15.75" x14ac:dyDescent="0.25">
      <c r="A120" s="20">
        <v>30</v>
      </c>
      <c r="B120" s="25">
        <v>1395870</v>
      </c>
      <c r="C120" s="25"/>
      <c r="D120" s="56" t="s">
        <v>472</v>
      </c>
      <c r="E120" s="66">
        <v>45287</v>
      </c>
      <c r="F120" s="323" t="s">
        <v>457</v>
      </c>
      <c r="G120" s="66">
        <v>45252</v>
      </c>
      <c r="H120" s="35" t="s">
        <v>1316</v>
      </c>
      <c r="I120" s="21">
        <v>1071000</v>
      </c>
      <c r="J120" s="21"/>
      <c r="K120" s="22">
        <v>203490</v>
      </c>
      <c r="L120" s="23">
        <v>0.1</v>
      </c>
      <c r="M120" s="22">
        <v>107100</v>
      </c>
      <c r="N120" s="72">
        <v>0</v>
      </c>
      <c r="O120" s="22">
        <v>0</v>
      </c>
      <c r="P120" s="21">
        <v>1167390</v>
      </c>
      <c r="S120" s="101" t="b">
        <f>OR(COUNTIF(Tabla2[[#This Row],[PROVEEDOR]],"*"&amp;'Palabra no opera'!$A$2&amp;"*"))</f>
        <v>0</v>
      </c>
      <c r="T120" s="113">
        <f>+$W$5-Tabla2[[#This Row],[FECHA DE FACTURACIÓN]]</f>
        <v>70</v>
      </c>
      <c r="U120" t="str">
        <f>+IF(Tabla2[[#This Row],[dias de credito]]&gt;=Tabla2[[#This Row],[PLAZO Días]],"venc", "No venc")</f>
        <v>venc</v>
      </c>
      <c r="V120" t="str">
        <f>+IF(Tabla2[[#This Row],[FECHA DE PAGO]]&gt;0,"pagada","por pagar")</f>
        <v>pagada</v>
      </c>
      <c r="W120" s="115" t="str">
        <f>+IF(AND(Tabla2[[#This Row],[venc]]="venc",Tabla2[[#This Row],[Columna1]]="por pagar"),"vencida","no")</f>
        <v>no</v>
      </c>
    </row>
    <row r="121" spans="1:23" ht="15.75" x14ac:dyDescent="0.25">
      <c r="A121" s="20">
        <v>30</v>
      </c>
      <c r="B121" s="25">
        <v>0</v>
      </c>
      <c r="C121" s="25"/>
      <c r="D121" s="56" t="s">
        <v>167</v>
      </c>
      <c r="E121" s="66">
        <v>45287</v>
      </c>
      <c r="F121" s="323" t="s">
        <v>75</v>
      </c>
      <c r="G121" s="66">
        <v>45246</v>
      </c>
      <c r="H121" s="35" t="s">
        <v>1306</v>
      </c>
      <c r="I121" s="21">
        <v>16744527</v>
      </c>
      <c r="J121" s="21"/>
      <c r="K121" s="22">
        <v>3181460.13</v>
      </c>
      <c r="L121" s="23">
        <v>0.05</v>
      </c>
      <c r="M121" s="22">
        <v>837226.35000000009</v>
      </c>
      <c r="N121" s="72">
        <v>2.5000000000000001E-2</v>
      </c>
      <c r="O121" s="22">
        <v>418613.17500000005</v>
      </c>
      <c r="P121" s="21">
        <v>18670147.604999997</v>
      </c>
      <c r="S121" s="101" t="b">
        <f>OR(COUNTIF(Tabla2[[#This Row],[PROVEEDOR]],"*"&amp;'Palabra no opera'!$A$2&amp;"*"))</f>
        <v>0</v>
      </c>
      <c r="T121" s="113">
        <f>+$W$5-Tabla2[[#This Row],[FECHA DE FACTURACIÓN]]</f>
        <v>76</v>
      </c>
      <c r="U121" t="str">
        <f>+IF(Tabla2[[#This Row],[dias de credito]]&gt;=Tabla2[[#This Row],[PLAZO Días]],"venc", "No venc")</f>
        <v>venc</v>
      </c>
      <c r="V121" t="str">
        <f>+IF(Tabla2[[#This Row],[FECHA DE PAGO]]&gt;0,"pagada","por pagar")</f>
        <v>pagada</v>
      </c>
      <c r="W121" s="115" t="str">
        <f>+IF(AND(Tabla2[[#This Row],[venc]]="venc",Tabla2[[#This Row],[Columna1]]="por pagar"),"vencida","no")</f>
        <v>no</v>
      </c>
    </row>
    <row r="122" spans="1:23" ht="15.75" x14ac:dyDescent="0.25">
      <c r="A122" s="20">
        <v>60</v>
      </c>
      <c r="B122" s="25">
        <v>22881826.27</v>
      </c>
      <c r="C122" s="25"/>
      <c r="D122" s="56" t="s">
        <v>178</v>
      </c>
      <c r="E122" s="66">
        <v>45286</v>
      </c>
      <c r="F122" s="323" t="s">
        <v>9</v>
      </c>
      <c r="G122" s="66">
        <v>45281</v>
      </c>
      <c r="H122" s="35" t="s">
        <v>1394</v>
      </c>
      <c r="I122" s="21">
        <v>22815172</v>
      </c>
      <c r="J122" s="21"/>
      <c r="K122" s="22">
        <v>4334882.68</v>
      </c>
      <c r="L122" s="23">
        <v>0.08</v>
      </c>
      <c r="M122" s="22">
        <v>1825213.76</v>
      </c>
      <c r="N122" s="72">
        <v>2.5000000000000001E-2</v>
      </c>
      <c r="O122" s="22">
        <v>570379.30000000005</v>
      </c>
      <c r="P122" s="21">
        <v>24754461.619999997</v>
      </c>
      <c r="S122" s="101" t="b">
        <f>OR(COUNTIF(Tabla2[[#This Row],[PROVEEDOR]],"*"&amp;'Palabra no opera'!$A$2&amp;"*"))</f>
        <v>0</v>
      </c>
      <c r="T122" s="113">
        <f>+$W$5-Tabla2[[#This Row],[FECHA DE FACTURACIÓN]]</f>
        <v>41</v>
      </c>
      <c r="U122" t="str">
        <f>+IF(Tabla2[[#This Row],[dias de credito]]&gt;=Tabla2[[#This Row],[PLAZO Días]],"venc", "No venc")</f>
        <v>No venc</v>
      </c>
      <c r="V122" t="str">
        <f>+IF(Tabla2[[#This Row],[FECHA DE PAGO]]&gt;0,"pagada","por pagar")</f>
        <v>pagada</v>
      </c>
      <c r="W122" s="115" t="str">
        <f>+IF(AND(Tabla2[[#This Row],[venc]]="venc",Tabla2[[#This Row],[Columna1]]="por pagar"),"vencida","no")</f>
        <v>no</v>
      </c>
    </row>
    <row r="123" spans="1:23" ht="15.75" x14ac:dyDescent="0.25">
      <c r="A123" s="20">
        <v>90</v>
      </c>
      <c r="B123" s="25">
        <v>12030261.305</v>
      </c>
      <c r="C123" s="25"/>
      <c r="D123" s="56" t="s">
        <v>161</v>
      </c>
      <c r="E123" s="66">
        <v>45286</v>
      </c>
      <c r="F123" s="323" t="s">
        <v>12</v>
      </c>
      <c r="G123" s="66">
        <v>45254</v>
      </c>
      <c r="H123" s="35" t="s">
        <v>1308</v>
      </c>
      <c r="I123" s="21">
        <v>1260504</v>
      </c>
      <c r="J123" s="21"/>
      <c r="K123" s="22">
        <v>239495.76</v>
      </c>
      <c r="L123" s="23">
        <v>0.05</v>
      </c>
      <c r="M123" s="22">
        <v>63025.200000000004</v>
      </c>
      <c r="N123" s="72">
        <v>2.5000000000000001E-2</v>
      </c>
      <c r="O123" s="22">
        <v>31512.600000000002</v>
      </c>
      <c r="P123" s="21">
        <v>1405461.96</v>
      </c>
      <c r="S123" s="101" t="b">
        <f>OR(COUNTIF(Tabla2[[#This Row],[PROVEEDOR]],"*"&amp;'Palabra no opera'!$A$2&amp;"*"))</f>
        <v>0</v>
      </c>
      <c r="T123" s="113">
        <f>+$W$5-Tabla2[[#This Row],[FECHA DE FACTURACIÓN]]</f>
        <v>68</v>
      </c>
      <c r="U123" t="str">
        <f>+IF(Tabla2[[#This Row],[dias de credito]]&gt;=Tabla2[[#This Row],[PLAZO Días]],"venc", "No venc")</f>
        <v>No venc</v>
      </c>
      <c r="V123" t="str">
        <f>+IF(Tabla2[[#This Row],[FECHA DE PAGO]]&gt;0,"pagada","por pagar")</f>
        <v>pagada</v>
      </c>
      <c r="W123" s="115" t="str">
        <f>+IF(AND(Tabla2[[#This Row],[venc]]="venc",Tabla2[[#This Row],[Columna1]]="por pagar"),"vencida","no")</f>
        <v>no</v>
      </c>
    </row>
    <row r="124" spans="1:23" ht="15.75" x14ac:dyDescent="0.25">
      <c r="A124" s="20">
        <v>90</v>
      </c>
      <c r="B124" s="25">
        <v>12030261.305</v>
      </c>
      <c r="C124" s="25"/>
      <c r="D124" s="56" t="s">
        <v>161</v>
      </c>
      <c r="E124" s="66">
        <v>45286</v>
      </c>
      <c r="F124" s="323" t="s">
        <v>12</v>
      </c>
      <c r="G124" s="66">
        <v>45254</v>
      </c>
      <c r="H124" s="35" t="s">
        <v>1309</v>
      </c>
      <c r="I124" s="21">
        <v>21214285</v>
      </c>
      <c r="J124" s="21"/>
      <c r="K124" s="22">
        <v>4030714.15</v>
      </c>
      <c r="L124" s="23">
        <v>0.05</v>
      </c>
      <c r="M124" s="22">
        <v>1060714.25</v>
      </c>
      <c r="N124" s="72">
        <v>2.5000000000000001E-2</v>
      </c>
      <c r="O124" s="22">
        <v>530357.125</v>
      </c>
      <c r="P124" s="21">
        <v>23653927.774999999</v>
      </c>
      <c r="S124" s="101" t="b">
        <f>OR(COUNTIF(Tabla2[[#This Row],[PROVEEDOR]],"*"&amp;'Palabra no opera'!$A$2&amp;"*"))</f>
        <v>0</v>
      </c>
      <c r="T124" s="113">
        <f>+$W$5-Tabla2[[#This Row],[FECHA DE FACTURACIÓN]]</f>
        <v>68</v>
      </c>
      <c r="U124" t="str">
        <f>+IF(Tabla2[[#This Row],[dias de credito]]&gt;=Tabla2[[#This Row],[PLAZO Días]],"venc", "No venc")</f>
        <v>No venc</v>
      </c>
      <c r="V124" t="str">
        <f>+IF(Tabla2[[#This Row],[FECHA DE PAGO]]&gt;0,"pagada","por pagar")</f>
        <v>pagada</v>
      </c>
      <c r="W124" s="115" t="str">
        <f>+IF(AND(Tabla2[[#This Row],[venc]]="venc",Tabla2[[#This Row],[Columna1]]="por pagar"),"vencida","no")</f>
        <v>no</v>
      </c>
    </row>
    <row r="125" spans="1:23" ht="15.75" x14ac:dyDescent="0.25">
      <c r="A125" s="20">
        <v>90</v>
      </c>
      <c r="B125" s="25">
        <v>12030261.305</v>
      </c>
      <c r="C125" s="25"/>
      <c r="D125" s="56" t="s">
        <v>161</v>
      </c>
      <c r="E125" s="66">
        <v>45286</v>
      </c>
      <c r="F125" s="323" t="s">
        <v>12</v>
      </c>
      <c r="G125" s="66">
        <v>45254</v>
      </c>
      <c r="H125" s="35" t="s">
        <v>1310</v>
      </c>
      <c r="I125" s="21">
        <v>49989</v>
      </c>
      <c r="J125" s="21"/>
      <c r="K125" s="22">
        <v>0</v>
      </c>
      <c r="L125" s="23"/>
      <c r="M125" s="22">
        <v>0</v>
      </c>
      <c r="N125" s="72">
        <v>0</v>
      </c>
      <c r="O125" s="22">
        <v>0</v>
      </c>
      <c r="P125" s="21">
        <v>49989</v>
      </c>
      <c r="S125" s="101" t="b">
        <f>OR(COUNTIF(Tabla2[[#This Row],[PROVEEDOR]],"*"&amp;'Palabra no opera'!$A$2&amp;"*"))</f>
        <v>0</v>
      </c>
      <c r="T125" s="113">
        <f>+$W$5-Tabla2[[#This Row],[FECHA DE FACTURACIÓN]]</f>
        <v>68</v>
      </c>
      <c r="U125" t="str">
        <f>+IF(Tabla2[[#This Row],[dias de credito]]&gt;=Tabla2[[#This Row],[PLAZO Días]],"venc", "No venc")</f>
        <v>No venc</v>
      </c>
      <c r="V125" t="str">
        <f>+IF(Tabla2[[#This Row],[FECHA DE PAGO]]&gt;0,"pagada","por pagar")</f>
        <v>pagada</v>
      </c>
      <c r="W125" s="115" t="str">
        <f>+IF(AND(Tabla2[[#This Row],[venc]]="venc",Tabla2[[#This Row],[Columna1]]="por pagar"),"vencida","no")</f>
        <v>no</v>
      </c>
    </row>
    <row r="126" spans="1:23" ht="15.75" x14ac:dyDescent="0.25">
      <c r="A126" s="20">
        <v>30</v>
      </c>
      <c r="B126" s="25">
        <v>2169355.9580000001</v>
      </c>
      <c r="C126" s="25"/>
      <c r="D126" s="56" t="s">
        <v>164</v>
      </c>
      <c r="E126" s="66">
        <v>45286</v>
      </c>
      <c r="F126" s="323" t="s">
        <v>18</v>
      </c>
      <c r="G126" s="66">
        <v>45254</v>
      </c>
      <c r="H126" s="35" t="s">
        <v>1305</v>
      </c>
      <c r="I126" s="21">
        <v>3212390</v>
      </c>
      <c r="J126" s="21"/>
      <c r="K126" s="22">
        <v>610354.1</v>
      </c>
      <c r="L126" s="23"/>
      <c r="M126" s="22">
        <v>0</v>
      </c>
      <c r="N126" s="72">
        <v>2.5000000000000001E-2</v>
      </c>
      <c r="O126" s="22">
        <v>80309.75</v>
      </c>
      <c r="P126" s="21">
        <v>3742434.35</v>
      </c>
      <c r="S126" s="101" t="b">
        <f>OR(COUNTIF(Tabla2[[#This Row],[PROVEEDOR]],"*"&amp;'Palabra no opera'!$A$2&amp;"*"))</f>
        <v>0</v>
      </c>
      <c r="T126" s="113">
        <f>+$W$5-Tabla2[[#This Row],[FECHA DE FACTURACIÓN]]</f>
        <v>68</v>
      </c>
      <c r="U126" t="str">
        <f>+IF(Tabla2[[#This Row],[dias de credito]]&gt;=Tabla2[[#This Row],[PLAZO Días]],"venc", "No venc")</f>
        <v>venc</v>
      </c>
      <c r="V126" t="str">
        <f>+IF(Tabla2[[#This Row],[FECHA DE PAGO]]&gt;0,"pagada","por pagar")</f>
        <v>pagada</v>
      </c>
      <c r="W126" s="115" t="str">
        <f>+IF(AND(Tabla2[[#This Row],[venc]]="venc",Tabla2[[#This Row],[Columna1]]="por pagar"),"vencida","no")</f>
        <v>no</v>
      </c>
    </row>
    <row r="127" spans="1:23" ht="15.75" x14ac:dyDescent="0.25">
      <c r="A127" s="20">
        <v>30</v>
      </c>
      <c r="B127" s="25">
        <v>2169355.9580000001</v>
      </c>
      <c r="C127" s="25"/>
      <c r="D127" s="56" t="s">
        <v>164</v>
      </c>
      <c r="E127" s="66">
        <v>45286</v>
      </c>
      <c r="F127" s="323" t="s">
        <v>18</v>
      </c>
      <c r="G127" s="66">
        <v>45252</v>
      </c>
      <c r="H127" s="35" t="s">
        <v>1303</v>
      </c>
      <c r="I127" s="21">
        <v>3851267</v>
      </c>
      <c r="J127" s="21"/>
      <c r="K127" s="22">
        <v>731740.73</v>
      </c>
      <c r="L127" s="23"/>
      <c r="M127" s="22">
        <v>0</v>
      </c>
      <c r="N127" s="72">
        <v>2.5000000000000001E-2</v>
      </c>
      <c r="O127" s="22">
        <v>96281.675000000003</v>
      </c>
      <c r="P127" s="21">
        <v>4486726.0550000006</v>
      </c>
      <c r="S127" s="101" t="b">
        <f>OR(COUNTIF(Tabla2[[#This Row],[PROVEEDOR]],"*"&amp;'Palabra no opera'!$A$2&amp;"*"))</f>
        <v>0</v>
      </c>
      <c r="T127" s="113">
        <f>+$W$5-Tabla2[[#This Row],[FECHA DE FACTURACIÓN]]</f>
        <v>70</v>
      </c>
      <c r="U127" t="str">
        <f>+IF(Tabla2[[#This Row],[dias de credito]]&gt;=Tabla2[[#This Row],[PLAZO Días]],"venc", "No venc")</f>
        <v>venc</v>
      </c>
      <c r="V127" t="str">
        <f>+IF(Tabla2[[#This Row],[FECHA DE PAGO]]&gt;0,"pagada","por pagar")</f>
        <v>pagada</v>
      </c>
      <c r="W127" s="115" t="str">
        <f>+IF(AND(Tabla2[[#This Row],[venc]]="venc",Tabla2[[#This Row],[Columna1]]="por pagar"),"vencida","no")</f>
        <v>no</v>
      </c>
    </row>
    <row r="128" spans="1:23" ht="15.75" x14ac:dyDescent="0.25">
      <c r="A128" s="20">
        <v>60</v>
      </c>
      <c r="B128" s="25">
        <v>22881826.27</v>
      </c>
      <c r="C128" s="25"/>
      <c r="D128" s="56" t="s">
        <v>178</v>
      </c>
      <c r="E128" s="66">
        <v>45286</v>
      </c>
      <c r="F128" s="323" t="s">
        <v>9</v>
      </c>
      <c r="G128" s="66">
        <v>45203</v>
      </c>
      <c r="H128" s="35" t="s">
        <v>1395</v>
      </c>
      <c r="I128" s="21">
        <v>67227</v>
      </c>
      <c r="J128" s="21"/>
      <c r="K128" s="22">
        <v>12773.130000000001</v>
      </c>
      <c r="L128" s="23"/>
      <c r="M128" s="22">
        <v>0</v>
      </c>
      <c r="N128" s="72">
        <v>0</v>
      </c>
      <c r="O128" s="22">
        <v>0</v>
      </c>
      <c r="P128" s="21">
        <v>80000.13</v>
      </c>
      <c r="S128" s="101" t="b">
        <f>OR(COUNTIF(Tabla2[[#This Row],[PROVEEDOR]],"*"&amp;'Palabra no opera'!$A$2&amp;"*"))</f>
        <v>0</v>
      </c>
      <c r="T128" s="113">
        <f>+$W$5-Tabla2[[#This Row],[FECHA DE FACTURACIÓN]]</f>
        <v>119</v>
      </c>
      <c r="U128" t="str">
        <f>+IF(Tabla2[[#This Row],[dias de credito]]&gt;=Tabla2[[#This Row],[PLAZO Días]],"venc", "No venc")</f>
        <v>venc</v>
      </c>
      <c r="V128" t="str">
        <f>+IF(Tabla2[[#This Row],[FECHA DE PAGO]]&gt;0,"pagada","por pagar")</f>
        <v>pagada</v>
      </c>
      <c r="W128" s="115" t="str">
        <f>+IF(AND(Tabla2[[#This Row],[venc]]="venc",Tabla2[[#This Row],[Columna1]]="por pagar"),"vencida","no")</f>
        <v>no</v>
      </c>
    </row>
    <row r="129" spans="1:23" ht="15.75" x14ac:dyDescent="0.25">
      <c r="A129" s="20">
        <v>30</v>
      </c>
      <c r="B129" s="25">
        <v>1500000</v>
      </c>
      <c r="C129" s="25"/>
      <c r="D129" s="56" t="s">
        <v>104</v>
      </c>
      <c r="E129" s="66">
        <v>45282</v>
      </c>
      <c r="F129" s="323" t="s">
        <v>273</v>
      </c>
      <c r="G129" s="66">
        <v>45251</v>
      </c>
      <c r="H129" s="35" t="s">
        <v>1325</v>
      </c>
      <c r="I129" s="21">
        <v>6427500</v>
      </c>
      <c r="J129" s="21"/>
      <c r="K129" s="22">
        <v>0</v>
      </c>
      <c r="L129" s="23"/>
      <c r="M129" s="22">
        <v>0</v>
      </c>
      <c r="N129" s="72">
        <v>0</v>
      </c>
      <c r="O129" s="22">
        <v>0</v>
      </c>
      <c r="P129" s="21">
        <v>6427500</v>
      </c>
      <c r="S129" s="101" t="b">
        <f>OR(COUNTIF(Tabla2[[#This Row],[PROVEEDOR]],"*"&amp;'Palabra no opera'!$A$2&amp;"*"))</f>
        <v>0</v>
      </c>
      <c r="T129" s="113">
        <f>+$W$5-Tabla2[[#This Row],[FECHA DE FACTURACIÓN]]</f>
        <v>71</v>
      </c>
      <c r="U129" t="str">
        <f>+IF(Tabla2[[#This Row],[dias de credito]]&gt;=Tabla2[[#This Row],[PLAZO Días]],"venc", "No venc")</f>
        <v>venc</v>
      </c>
      <c r="V129" t="str">
        <f>+IF(Tabla2[[#This Row],[FECHA DE PAGO]]&gt;0,"pagada","por pagar")</f>
        <v>pagada</v>
      </c>
      <c r="W129" s="115" t="str">
        <f>+IF(AND(Tabla2[[#This Row],[venc]]="venc",Tabla2[[#This Row],[Columna1]]="por pagar"),"vencida","no")</f>
        <v>no</v>
      </c>
    </row>
    <row r="130" spans="1:23" ht="15.75" x14ac:dyDescent="0.25">
      <c r="A130" s="20">
        <v>30</v>
      </c>
      <c r="B130" s="25">
        <v>2190013.0175000001</v>
      </c>
      <c r="C130" s="25"/>
      <c r="D130" s="56" t="s">
        <v>180</v>
      </c>
      <c r="E130" s="66">
        <v>45282</v>
      </c>
      <c r="F130" s="323" t="s">
        <v>491</v>
      </c>
      <c r="G130" s="66">
        <v>45251</v>
      </c>
      <c r="H130" s="35" t="s">
        <v>1294</v>
      </c>
      <c r="I130" s="21">
        <v>1411768</v>
      </c>
      <c r="J130" s="21"/>
      <c r="K130" s="22">
        <v>268235.92</v>
      </c>
      <c r="L130" s="23"/>
      <c r="M130" s="22">
        <v>0</v>
      </c>
      <c r="N130" s="72">
        <v>2.5000000000000001E-2</v>
      </c>
      <c r="O130" s="22">
        <v>35294.200000000004</v>
      </c>
      <c r="P130" s="21">
        <v>1644709.72</v>
      </c>
      <c r="S130" s="101" t="b">
        <f>OR(COUNTIF(Tabla2[[#This Row],[PROVEEDOR]],"*"&amp;'Palabra no opera'!$A$2&amp;"*"))</f>
        <v>0</v>
      </c>
      <c r="T130" s="113">
        <f>+$W$5-Tabla2[[#This Row],[FECHA DE FACTURACIÓN]]</f>
        <v>71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15" t="str">
        <f>+IF(AND(Tabla2[[#This Row],[venc]]="venc",Tabla2[[#This Row],[Columna1]]="por pagar"),"vencida","no")</f>
        <v>no</v>
      </c>
    </row>
    <row r="131" spans="1:23" ht="15.75" x14ac:dyDescent="0.25">
      <c r="A131" s="20">
        <v>30</v>
      </c>
      <c r="B131" s="25">
        <v>0</v>
      </c>
      <c r="C131" s="25"/>
      <c r="D131" s="56" t="s">
        <v>449</v>
      </c>
      <c r="E131" s="66">
        <v>45281</v>
      </c>
      <c r="F131" s="323" t="s">
        <v>415</v>
      </c>
      <c r="G131" s="66">
        <v>45280</v>
      </c>
      <c r="H131" s="35" t="s">
        <v>1441</v>
      </c>
      <c r="I131" s="21">
        <v>82000</v>
      </c>
      <c r="J131" s="21"/>
      <c r="K131" s="22">
        <v>0</v>
      </c>
      <c r="L131" s="23"/>
      <c r="M131" s="22">
        <v>0</v>
      </c>
      <c r="N131" s="72">
        <v>0</v>
      </c>
      <c r="O131" s="22">
        <v>0</v>
      </c>
      <c r="P131" s="21">
        <v>82000</v>
      </c>
      <c r="S131" s="101" t="b">
        <f>OR(COUNTIF(Tabla2[[#This Row],[PROVEEDOR]],"*"&amp;'Palabra no opera'!$A$2&amp;"*"))</f>
        <v>1</v>
      </c>
      <c r="T131" s="113">
        <f>+$W$5-Tabla2[[#This Row],[FECHA DE FACTURACIÓN]]</f>
        <v>42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15" t="str">
        <f>+IF(AND(Tabla2[[#This Row],[venc]]="venc",Tabla2[[#This Row],[Columna1]]="por pagar"),"vencida","no")</f>
        <v>no</v>
      </c>
    </row>
    <row r="132" spans="1:23" ht="15.75" x14ac:dyDescent="0.25">
      <c r="A132" s="20">
        <v>30</v>
      </c>
      <c r="B132" s="25">
        <v>0</v>
      </c>
      <c r="C132" s="25"/>
      <c r="D132" s="56" t="s">
        <v>1177</v>
      </c>
      <c r="E132" s="66">
        <v>45281</v>
      </c>
      <c r="F132" s="323" t="s">
        <v>1178</v>
      </c>
      <c r="G132" s="66">
        <v>45274</v>
      </c>
      <c r="H132" s="35" t="s">
        <v>1390</v>
      </c>
      <c r="I132" s="21">
        <v>649719</v>
      </c>
      <c r="J132" s="21"/>
      <c r="K132" s="22">
        <v>123446.61</v>
      </c>
      <c r="L132" s="23">
        <v>0.1</v>
      </c>
      <c r="M132" s="22">
        <v>64971.9</v>
      </c>
      <c r="N132" s="72">
        <v>0</v>
      </c>
      <c r="O132" s="22">
        <v>0</v>
      </c>
      <c r="P132" s="21">
        <v>708193.71</v>
      </c>
      <c r="S132" s="101" t="b">
        <f>OR(COUNTIF(Tabla2[[#This Row],[PROVEEDOR]],"*"&amp;'Palabra no opera'!$A$2&amp;"*"))</f>
        <v>0</v>
      </c>
      <c r="T132" s="113">
        <f>+$W$5-Tabla2[[#This Row],[FECHA DE FACTURACIÓN]]</f>
        <v>48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15" t="str">
        <f>+IF(AND(Tabla2[[#This Row],[venc]]="venc",Tabla2[[#This Row],[Columna1]]="por pagar"),"vencida","no")</f>
        <v>no</v>
      </c>
    </row>
    <row r="133" spans="1:23" ht="15.75" x14ac:dyDescent="0.25">
      <c r="A133" s="20">
        <v>30</v>
      </c>
      <c r="B133" s="25">
        <v>0</v>
      </c>
      <c r="C133" s="25"/>
      <c r="D133" s="56" t="s">
        <v>1177</v>
      </c>
      <c r="E133" s="66">
        <v>45281</v>
      </c>
      <c r="F133" s="323" t="s">
        <v>1178</v>
      </c>
      <c r="G133" s="66">
        <v>45274</v>
      </c>
      <c r="H133" s="35" t="s">
        <v>1391</v>
      </c>
      <c r="I133" s="21">
        <v>-26639</v>
      </c>
      <c r="J133" s="21"/>
      <c r="K133" s="22">
        <v>-5061.41</v>
      </c>
      <c r="L133" s="23"/>
      <c r="M133" s="22">
        <v>0</v>
      </c>
      <c r="N133" s="72">
        <v>0</v>
      </c>
      <c r="O133" s="22">
        <v>0</v>
      </c>
      <c r="P133" s="21">
        <v>-31700.41</v>
      </c>
      <c r="S133" s="101" t="b">
        <f>OR(COUNTIF(Tabla2[[#This Row],[PROVEEDOR]],"*"&amp;'Palabra no opera'!$A$2&amp;"*"))</f>
        <v>0</v>
      </c>
      <c r="T133" s="113">
        <f>+$W$5-Tabla2[[#This Row],[FECHA DE FACTURACIÓN]]</f>
        <v>48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15" t="str">
        <f>+IF(AND(Tabla2[[#This Row],[venc]]="venc",Tabla2[[#This Row],[Columna1]]="por pagar"),"vencida","no")</f>
        <v>no</v>
      </c>
    </row>
    <row r="134" spans="1:23" ht="15.75" x14ac:dyDescent="0.25">
      <c r="A134" s="20">
        <v>30</v>
      </c>
      <c r="B134" s="25">
        <v>5134830.96</v>
      </c>
      <c r="C134" s="25"/>
      <c r="D134" s="56" t="s">
        <v>131</v>
      </c>
      <c r="E134" s="66">
        <v>45281</v>
      </c>
      <c r="F134" s="323" t="s">
        <v>20</v>
      </c>
      <c r="G134" s="66">
        <v>45253</v>
      </c>
      <c r="H134" s="35" t="s">
        <v>1320</v>
      </c>
      <c r="I134" s="21">
        <v>2961970</v>
      </c>
      <c r="J134" s="21"/>
      <c r="K134" s="22">
        <v>562774.30000000005</v>
      </c>
      <c r="L134" s="23"/>
      <c r="M134" s="22">
        <v>0</v>
      </c>
      <c r="N134" s="72">
        <v>2.5000000000000001E-2</v>
      </c>
      <c r="O134" s="22">
        <v>74049.25</v>
      </c>
      <c r="P134" s="21">
        <v>3450695.05</v>
      </c>
      <c r="S134" s="101" t="b">
        <f>OR(COUNTIF(Tabla2[[#This Row],[PROVEEDOR]],"*"&amp;'Palabra no opera'!$A$2&amp;"*"))</f>
        <v>0</v>
      </c>
      <c r="T134" s="113">
        <f>+$W$5-Tabla2[[#This Row],[FECHA DE FACTURACIÓN]]</f>
        <v>69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15" t="str">
        <f>+IF(AND(Tabla2[[#This Row],[venc]]="venc",Tabla2[[#This Row],[Columna1]]="por pagar"),"vencida","no")</f>
        <v>no</v>
      </c>
    </row>
    <row r="135" spans="1:23" ht="15.75" x14ac:dyDescent="0.25">
      <c r="A135" s="20">
        <v>30</v>
      </c>
      <c r="B135" s="25">
        <v>0</v>
      </c>
      <c r="C135" s="25"/>
      <c r="D135" s="56" t="s">
        <v>104</v>
      </c>
      <c r="E135" s="66">
        <v>45281</v>
      </c>
      <c r="F135" s="323" t="s">
        <v>308</v>
      </c>
      <c r="G135" s="66">
        <v>45251</v>
      </c>
      <c r="H135" s="35" t="s">
        <v>1322</v>
      </c>
      <c r="I135" s="21">
        <v>1479000</v>
      </c>
      <c r="J135" s="21"/>
      <c r="K135" s="22">
        <v>0</v>
      </c>
      <c r="L135" s="23"/>
      <c r="M135" s="22">
        <v>0</v>
      </c>
      <c r="N135" s="72">
        <v>0</v>
      </c>
      <c r="O135" s="22">
        <v>0</v>
      </c>
      <c r="P135" s="21">
        <v>1479000</v>
      </c>
      <c r="S135" s="101" t="b">
        <f>OR(COUNTIF(Tabla2[[#This Row],[PROVEEDOR]],"*"&amp;'Palabra no opera'!$A$2&amp;"*"))</f>
        <v>0</v>
      </c>
      <c r="T135" s="113">
        <f>+$W$5-Tabla2[[#This Row],[FECHA DE FACTURACIÓN]]</f>
        <v>71</v>
      </c>
      <c r="U135" t="str">
        <f>+IF(Tabla2[[#This Row],[dias de credito]]&gt;=Tabla2[[#This Row],[PLAZO Días]],"venc", "No venc")</f>
        <v>venc</v>
      </c>
      <c r="V135" t="str">
        <f>+IF(Tabla2[[#This Row],[FECHA DE PAGO]]&gt;0,"pagada","por pagar")</f>
        <v>pagada</v>
      </c>
      <c r="W135" s="115" t="str">
        <f>+IF(AND(Tabla2[[#This Row],[venc]]="venc",Tabla2[[#This Row],[Columna1]]="por pagar"),"vencida","no")</f>
        <v>no</v>
      </c>
    </row>
    <row r="136" spans="1:23" ht="15.75" x14ac:dyDescent="0.25">
      <c r="A136" s="20">
        <v>30</v>
      </c>
      <c r="B136" s="25">
        <v>4202500</v>
      </c>
      <c r="C136" s="25"/>
      <c r="D136" s="56" t="s">
        <v>231</v>
      </c>
      <c r="E136" s="66">
        <v>45281</v>
      </c>
      <c r="F136" s="323" t="s">
        <v>301</v>
      </c>
      <c r="G136" s="66">
        <v>45250</v>
      </c>
      <c r="H136" s="35" t="s">
        <v>1324</v>
      </c>
      <c r="I136" s="21">
        <v>2610000</v>
      </c>
      <c r="J136" s="21"/>
      <c r="K136" s="22">
        <v>0</v>
      </c>
      <c r="L136" s="23"/>
      <c r="M136" s="22">
        <v>0</v>
      </c>
      <c r="N136" s="72">
        <v>0</v>
      </c>
      <c r="O136" s="22">
        <v>0</v>
      </c>
      <c r="P136" s="21">
        <v>2610000</v>
      </c>
      <c r="S136" s="101" t="b">
        <f>OR(COUNTIF(Tabla2[[#This Row],[PROVEEDOR]],"*"&amp;'Palabra no opera'!$A$2&amp;"*"))</f>
        <v>0</v>
      </c>
      <c r="T136" s="113">
        <f>+$W$5-Tabla2[[#This Row],[FECHA DE FACTURACIÓN]]</f>
        <v>72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15" t="str">
        <f>+IF(AND(Tabla2[[#This Row],[venc]]="venc",Tabla2[[#This Row],[Columna1]]="por pagar"),"vencida","no")</f>
        <v>no</v>
      </c>
    </row>
    <row r="137" spans="1:23" ht="15.75" x14ac:dyDescent="0.25">
      <c r="A137" s="20">
        <v>30</v>
      </c>
      <c r="B137" s="25">
        <v>0</v>
      </c>
      <c r="C137" s="25"/>
      <c r="D137" s="56" t="s">
        <v>190</v>
      </c>
      <c r="E137" s="66">
        <v>45281</v>
      </c>
      <c r="F137" s="323" t="s">
        <v>26</v>
      </c>
      <c r="G137" s="66">
        <v>45246</v>
      </c>
      <c r="H137" s="35" t="s">
        <v>1292</v>
      </c>
      <c r="I137" s="21">
        <v>1996000</v>
      </c>
      <c r="J137" s="21"/>
      <c r="K137" s="22">
        <v>379240</v>
      </c>
      <c r="L137" s="23"/>
      <c r="M137" s="22">
        <v>0</v>
      </c>
      <c r="N137" s="72">
        <v>2.5000000000000001E-2</v>
      </c>
      <c r="O137" s="22">
        <v>49900</v>
      </c>
      <c r="P137" s="21">
        <v>2325340</v>
      </c>
      <c r="S137" s="101" t="b">
        <f>OR(COUNTIF(Tabla2[[#This Row],[PROVEEDOR]],"*"&amp;'Palabra no opera'!$A$2&amp;"*"))</f>
        <v>0</v>
      </c>
      <c r="T137" s="113">
        <f>+$W$5-Tabla2[[#This Row],[FECHA DE FACTURACIÓN]]</f>
        <v>76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15" t="str">
        <f>+IF(AND(Tabla2[[#This Row],[venc]]="venc",Tabla2[[#This Row],[Columna1]]="por pagar"),"vencida","no")</f>
        <v>no</v>
      </c>
    </row>
    <row r="138" spans="1:23" ht="15.75" x14ac:dyDescent="0.25">
      <c r="A138" s="20">
        <v>30</v>
      </c>
      <c r="B138" s="25">
        <v>0</v>
      </c>
      <c r="C138" s="25"/>
      <c r="D138" s="56" t="s">
        <v>104</v>
      </c>
      <c r="E138" s="66">
        <v>45280</v>
      </c>
      <c r="F138" s="323" t="s">
        <v>279</v>
      </c>
      <c r="G138" s="66">
        <v>45280</v>
      </c>
      <c r="H138" s="35" t="s">
        <v>1392</v>
      </c>
      <c r="I138" s="21">
        <v>665000</v>
      </c>
      <c r="J138" s="21"/>
      <c r="K138" s="22">
        <v>0</v>
      </c>
      <c r="L138" s="23"/>
      <c r="M138" s="22">
        <v>0</v>
      </c>
      <c r="N138" s="72">
        <v>0</v>
      </c>
      <c r="O138" s="22">
        <v>0</v>
      </c>
      <c r="P138" s="21">
        <v>665000</v>
      </c>
      <c r="S138" s="101" t="b">
        <f>OR(COUNTIF(Tabla2[[#This Row],[PROVEEDOR]],"*"&amp;'Palabra no opera'!$A$2&amp;"*"))</f>
        <v>0</v>
      </c>
      <c r="T138" s="113">
        <f>+$W$5-Tabla2[[#This Row],[FECHA DE FACTURACIÓN]]</f>
        <v>42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15" t="str">
        <f>+IF(AND(Tabla2[[#This Row],[venc]]="venc",Tabla2[[#This Row],[Columna1]]="por pagar"),"vencida","no")</f>
        <v>no</v>
      </c>
    </row>
    <row r="139" spans="1:23" ht="15.75" x14ac:dyDescent="0.25">
      <c r="A139" s="20">
        <v>30</v>
      </c>
      <c r="B139" s="25">
        <v>0</v>
      </c>
      <c r="C139" s="25"/>
      <c r="D139" s="56" t="s">
        <v>104</v>
      </c>
      <c r="E139" s="66">
        <v>45280</v>
      </c>
      <c r="F139" s="323" t="s">
        <v>299</v>
      </c>
      <c r="G139" s="66">
        <v>45280</v>
      </c>
      <c r="H139" s="35"/>
      <c r="I139" s="21">
        <v>1048450</v>
      </c>
      <c r="J139" s="21"/>
      <c r="K139" s="22">
        <v>0</v>
      </c>
      <c r="L139" s="23"/>
      <c r="M139" s="22">
        <v>0</v>
      </c>
      <c r="N139" s="72">
        <v>0</v>
      </c>
      <c r="O139" s="22">
        <v>0</v>
      </c>
      <c r="P139" s="21">
        <v>1048450</v>
      </c>
      <c r="S139" s="101" t="b">
        <f>OR(COUNTIF(Tabla2[[#This Row],[PROVEEDOR]],"*"&amp;'Palabra no opera'!$A$2&amp;"*"))</f>
        <v>0</v>
      </c>
      <c r="T139" s="113">
        <f>+$W$5-Tabla2[[#This Row],[FECHA DE FACTURACIÓN]]</f>
        <v>42</v>
      </c>
      <c r="U139" t="str">
        <f>+IF(Tabla2[[#This Row],[dias de credito]]&gt;=Tabla2[[#This Row],[PLAZO Días]],"venc", "No venc")</f>
        <v>venc</v>
      </c>
      <c r="V139" t="str">
        <f>+IF(Tabla2[[#This Row],[FECHA DE PAGO]]&gt;0,"pagada","por pagar")</f>
        <v>pagada</v>
      </c>
      <c r="W139" s="115" t="str">
        <f>+IF(AND(Tabla2[[#This Row],[venc]]="venc",Tabla2[[#This Row],[Columna1]]="por pagar"),"vencida","no")</f>
        <v>no</v>
      </c>
    </row>
    <row r="140" spans="1:23" ht="15.75" x14ac:dyDescent="0.25">
      <c r="A140" s="20">
        <v>30</v>
      </c>
      <c r="B140" s="25">
        <v>-2000</v>
      </c>
      <c r="C140" s="25"/>
      <c r="D140" s="56">
        <v>0</v>
      </c>
      <c r="E140" s="66">
        <v>45280</v>
      </c>
      <c r="F140" s="323" t="s">
        <v>881</v>
      </c>
      <c r="G140" s="66">
        <v>45278</v>
      </c>
      <c r="H140" s="35" t="s">
        <v>1393</v>
      </c>
      <c r="I140" s="21">
        <v>500000</v>
      </c>
      <c r="J140" s="21"/>
      <c r="K140" s="22">
        <v>0</v>
      </c>
      <c r="L140" s="23"/>
      <c r="M140" s="22">
        <v>0</v>
      </c>
      <c r="N140" s="72">
        <v>0</v>
      </c>
      <c r="O140" s="22">
        <v>0</v>
      </c>
      <c r="P140" s="21">
        <v>500000</v>
      </c>
      <c r="S140" s="101" t="b">
        <f>OR(COUNTIF(Tabla2[[#This Row],[PROVEEDOR]],"*"&amp;'Palabra no opera'!$A$2&amp;"*"))</f>
        <v>0</v>
      </c>
      <c r="T140" s="113">
        <f>+$W$5-Tabla2[[#This Row],[FECHA DE FACTURACIÓN]]</f>
        <v>44</v>
      </c>
      <c r="U140" t="str">
        <f>+IF(Tabla2[[#This Row],[dias de credito]]&gt;=Tabla2[[#This Row],[PLAZO Días]],"venc", "No venc")</f>
        <v>venc</v>
      </c>
      <c r="V140" t="str">
        <f>+IF(Tabla2[[#This Row],[FECHA DE PAGO]]&gt;0,"pagada","por pagar")</f>
        <v>pagada</v>
      </c>
      <c r="W140" s="115" t="str">
        <f>+IF(AND(Tabla2[[#This Row],[venc]]="venc",Tabla2[[#This Row],[Columna1]]="por pagar"),"vencida","no")</f>
        <v>no</v>
      </c>
    </row>
    <row r="141" spans="1:23" ht="15.75" x14ac:dyDescent="0.25">
      <c r="A141" s="20">
        <v>180</v>
      </c>
      <c r="B141" s="25">
        <v>0</v>
      </c>
      <c r="C141" s="25"/>
      <c r="D141" s="56" t="s">
        <v>247</v>
      </c>
      <c r="E141" s="66">
        <v>45280</v>
      </c>
      <c r="F141" s="323" t="s">
        <v>403</v>
      </c>
      <c r="G141" s="66">
        <v>45253</v>
      </c>
      <c r="H141" s="35" t="s">
        <v>1315</v>
      </c>
      <c r="I141" s="21">
        <v>545547</v>
      </c>
      <c r="J141" s="21"/>
      <c r="K141" s="22">
        <v>103653.93000000001</v>
      </c>
      <c r="L141" s="23"/>
      <c r="M141" s="22">
        <v>0</v>
      </c>
      <c r="N141" s="72">
        <v>0</v>
      </c>
      <c r="O141" s="22">
        <v>0</v>
      </c>
      <c r="P141" s="21">
        <v>649200.93000000005</v>
      </c>
      <c r="S141" s="101" t="b">
        <f>OR(COUNTIF(Tabla2[[#This Row],[PROVEEDOR]],"*"&amp;'Palabra no opera'!$A$2&amp;"*"))</f>
        <v>1</v>
      </c>
      <c r="T141" s="113">
        <f>+$W$5-Tabla2[[#This Row],[FECHA DE FACTURACIÓN]]</f>
        <v>69</v>
      </c>
      <c r="U141" t="str">
        <f>+IF(Tabla2[[#This Row],[dias de credito]]&gt;=Tabla2[[#This Row],[PLAZO Días]],"venc", "No venc")</f>
        <v>No venc</v>
      </c>
      <c r="V141" t="str">
        <f>+IF(Tabla2[[#This Row],[FECHA DE PAGO]]&gt;0,"pagada","por pagar")</f>
        <v>pagada</v>
      </c>
      <c r="W141" s="115" t="str">
        <f>+IF(AND(Tabla2[[#This Row],[venc]]="venc",Tabla2[[#This Row],[Columna1]]="por pagar"),"vencida","no")</f>
        <v>no</v>
      </c>
    </row>
    <row r="142" spans="1:23" ht="15.75" x14ac:dyDescent="0.25">
      <c r="A142" s="20">
        <v>30</v>
      </c>
      <c r="B142" s="25">
        <v>1499400</v>
      </c>
      <c r="C142" s="25"/>
      <c r="D142" s="56" t="s">
        <v>170</v>
      </c>
      <c r="E142" s="66">
        <v>45280</v>
      </c>
      <c r="F142" s="323" t="s">
        <v>490</v>
      </c>
      <c r="G142" s="66">
        <v>45251</v>
      </c>
      <c r="H142" s="35" t="s">
        <v>1301</v>
      </c>
      <c r="I142" s="21">
        <v>1008000</v>
      </c>
      <c r="J142" s="21"/>
      <c r="K142" s="22">
        <v>191520</v>
      </c>
      <c r="L142" s="23"/>
      <c r="M142" s="22">
        <v>0</v>
      </c>
      <c r="N142" s="72">
        <v>0</v>
      </c>
      <c r="O142" s="22">
        <v>0</v>
      </c>
      <c r="P142" s="21">
        <v>1199520</v>
      </c>
      <c r="S142" s="101" t="b">
        <f>OR(COUNTIF(Tabla2[[#This Row],[PROVEEDOR]],"*"&amp;'Palabra no opera'!$A$2&amp;"*"))</f>
        <v>0</v>
      </c>
      <c r="T142" s="113">
        <f>+$W$5-Tabla2[[#This Row],[FECHA DE FACTURACIÓN]]</f>
        <v>71</v>
      </c>
      <c r="U142" t="str">
        <f>+IF(Tabla2[[#This Row],[dias de credito]]&gt;=Tabla2[[#This Row],[PLAZO Días]],"venc", "No venc")</f>
        <v>venc</v>
      </c>
      <c r="V142" t="str">
        <f>+IF(Tabla2[[#This Row],[FECHA DE PAGO]]&gt;0,"pagada","por pagar")</f>
        <v>pagada</v>
      </c>
      <c r="W142" s="115" t="str">
        <f>+IF(AND(Tabla2[[#This Row],[venc]]="venc",Tabla2[[#This Row],[Columna1]]="por pagar"),"vencida","no")</f>
        <v>no</v>
      </c>
    </row>
    <row r="143" spans="1:23" ht="15.75" x14ac:dyDescent="0.25">
      <c r="A143" s="20">
        <v>30</v>
      </c>
      <c r="B143" s="25">
        <v>1499400</v>
      </c>
      <c r="C143" s="25"/>
      <c r="D143" s="56" t="s">
        <v>170</v>
      </c>
      <c r="E143" s="66">
        <v>45280</v>
      </c>
      <c r="F143" s="323" t="s">
        <v>490</v>
      </c>
      <c r="G143" s="66">
        <v>45247</v>
      </c>
      <c r="H143" s="35" t="s">
        <v>1300</v>
      </c>
      <c r="I143" s="21">
        <v>763000</v>
      </c>
      <c r="J143" s="21"/>
      <c r="K143" s="22">
        <v>144970</v>
      </c>
      <c r="L143" s="23"/>
      <c r="M143" s="22">
        <v>0</v>
      </c>
      <c r="N143" s="72">
        <v>0</v>
      </c>
      <c r="O143" s="22">
        <v>0</v>
      </c>
      <c r="P143" s="21">
        <v>907970</v>
      </c>
      <c r="S143" s="101" t="b">
        <f>OR(COUNTIF(Tabla2[[#This Row],[PROVEEDOR]],"*"&amp;'Palabra no opera'!$A$2&amp;"*"))</f>
        <v>0</v>
      </c>
      <c r="T143" s="113">
        <f>+$W$5-Tabla2[[#This Row],[FECHA DE FACTURACIÓN]]</f>
        <v>75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15" t="str">
        <f>+IF(AND(Tabla2[[#This Row],[venc]]="venc",Tabla2[[#This Row],[Columna1]]="por pagar"),"vencida","no")</f>
        <v>no</v>
      </c>
    </row>
    <row r="144" spans="1:23" ht="15.75" x14ac:dyDescent="0.25">
      <c r="A144" s="20">
        <v>30</v>
      </c>
      <c r="B144" s="25">
        <v>6857153.040000001</v>
      </c>
      <c r="C144" s="25"/>
      <c r="D144" s="56" t="s">
        <v>309</v>
      </c>
      <c r="E144" s="66">
        <v>45280</v>
      </c>
      <c r="F144" s="323" t="s">
        <v>254</v>
      </c>
      <c r="G144" s="66">
        <v>45246</v>
      </c>
      <c r="H144" s="35" t="s">
        <v>1297</v>
      </c>
      <c r="I144" s="21">
        <v>2491740</v>
      </c>
      <c r="J144" s="21"/>
      <c r="K144" s="22">
        <v>473430.6</v>
      </c>
      <c r="L144" s="23">
        <v>0.05</v>
      </c>
      <c r="M144" s="22">
        <v>124587</v>
      </c>
      <c r="N144" s="72">
        <v>2.5000000000000001E-2</v>
      </c>
      <c r="O144" s="22">
        <v>62293.5</v>
      </c>
      <c r="P144" s="21">
        <v>2778290.1</v>
      </c>
      <c r="S144" s="101" t="b">
        <f>OR(COUNTIF(Tabla2[[#This Row],[PROVEEDOR]],"*"&amp;'Palabra no opera'!$A$2&amp;"*"))</f>
        <v>0</v>
      </c>
      <c r="T144" s="113">
        <f>+$W$5-Tabla2[[#This Row],[FECHA DE FACTURACIÓN]]</f>
        <v>76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15" t="str">
        <f>+IF(AND(Tabla2[[#This Row],[venc]]="venc",Tabla2[[#This Row],[Columna1]]="por pagar"),"vencida","no")</f>
        <v>no</v>
      </c>
    </row>
    <row r="145" spans="1:23" ht="15.75" x14ac:dyDescent="0.25">
      <c r="A145" s="20">
        <v>30</v>
      </c>
      <c r="B145" s="25">
        <v>406756</v>
      </c>
      <c r="C145" s="25"/>
      <c r="D145" s="56" t="s">
        <v>104</v>
      </c>
      <c r="E145" s="66">
        <v>45278</v>
      </c>
      <c r="F145" s="323" t="s">
        <v>568</v>
      </c>
      <c r="G145" s="66">
        <v>45278</v>
      </c>
      <c r="H145" s="35" t="s">
        <v>1563</v>
      </c>
      <c r="I145" s="21">
        <v>418000</v>
      </c>
      <c r="J145" s="21"/>
      <c r="K145" s="22">
        <v>0</v>
      </c>
      <c r="L145" s="23"/>
      <c r="M145" s="22">
        <v>0</v>
      </c>
      <c r="N145" s="72">
        <v>0</v>
      </c>
      <c r="O145" s="22">
        <v>0</v>
      </c>
      <c r="P145" s="21">
        <v>418000</v>
      </c>
      <c r="S145" s="101" t="b">
        <f>OR(COUNTIF(Tabla2[[#This Row],[PROVEEDOR]],"*"&amp;'Palabra no opera'!$A$2&amp;"*"))</f>
        <v>0</v>
      </c>
      <c r="T145" s="113">
        <f>+$W$5-Tabla2[[#This Row],[FECHA DE FACTURACIÓN]]</f>
        <v>44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15" t="str">
        <f>+IF(AND(Tabla2[[#This Row],[venc]]="venc",Tabla2[[#This Row],[Columna1]]="por pagar"),"vencida","no")</f>
        <v>no</v>
      </c>
    </row>
    <row r="146" spans="1:23" ht="15.75" x14ac:dyDescent="0.25">
      <c r="A146" s="20">
        <v>30</v>
      </c>
      <c r="B146" s="25">
        <v>406756</v>
      </c>
      <c r="C146" s="25"/>
      <c r="D146" s="56" t="s">
        <v>104</v>
      </c>
      <c r="E146" s="66">
        <v>45278</v>
      </c>
      <c r="F146" s="323" t="s">
        <v>568</v>
      </c>
      <c r="G146" s="66">
        <v>45278</v>
      </c>
      <c r="H146" s="35" t="s">
        <v>1502</v>
      </c>
      <c r="I146" s="21">
        <v>34500</v>
      </c>
      <c r="J146" s="21"/>
      <c r="K146" s="22">
        <v>0</v>
      </c>
      <c r="L146" s="23"/>
      <c r="M146" s="22">
        <v>0</v>
      </c>
      <c r="N146" s="72">
        <v>0</v>
      </c>
      <c r="O146" s="22">
        <v>0</v>
      </c>
      <c r="P146" s="21">
        <v>34500</v>
      </c>
      <c r="S146" s="101" t="b">
        <f>OR(COUNTIF(Tabla2[[#This Row],[PROVEEDOR]],"*"&amp;'Palabra no opera'!$A$2&amp;"*"))</f>
        <v>0</v>
      </c>
      <c r="T146" s="113">
        <f>+$W$5-Tabla2[[#This Row],[FECHA DE FACTURACIÓN]]</f>
        <v>44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15" t="str">
        <f>+IF(AND(Tabla2[[#This Row],[venc]]="venc",Tabla2[[#This Row],[Columna1]]="por pagar"),"vencida","no")</f>
        <v>no</v>
      </c>
    </row>
    <row r="147" spans="1:23" ht="15.75" x14ac:dyDescent="0.25">
      <c r="A147" s="20">
        <v>30</v>
      </c>
      <c r="B147" s="25">
        <v>0</v>
      </c>
      <c r="C147" s="25"/>
      <c r="D147" s="56">
        <v>0</v>
      </c>
      <c r="E147" s="66">
        <v>45278</v>
      </c>
      <c r="F147" s="323" t="s">
        <v>538</v>
      </c>
      <c r="G147" s="66">
        <v>45278</v>
      </c>
      <c r="H147" s="35" t="s">
        <v>1401</v>
      </c>
      <c r="I147" s="21">
        <v>1000000</v>
      </c>
      <c r="J147" s="21"/>
      <c r="K147" s="22">
        <v>190000</v>
      </c>
      <c r="L147" s="23"/>
      <c r="M147" s="22">
        <v>0</v>
      </c>
      <c r="N147" s="72">
        <v>0</v>
      </c>
      <c r="O147" s="22">
        <v>0</v>
      </c>
      <c r="P147" s="21">
        <v>1190000</v>
      </c>
      <c r="S147" s="101" t="b">
        <f>OR(COUNTIF(Tabla2[[#This Row],[PROVEEDOR]],"*"&amp;'Palabra no opera'!$A$2&amp;"*"))</f>
        <v>0</v>
      </c>
      <c r="T147" s="113">
        <f>+$W$5-Tabla2[[#This Row],[FECHA DE FACTURACIÓN]]</f>
        <v>44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15" t="str">
        <f>+IF(AND(Tabla2[[#This Row],[venc]]="venc",Tabla2[[#This Row],[Columna1]]="por pagar"),"vencida","no")</f>
        <v>no</v>
      </c>
    </row>
    <row r="148" spans="1:23" ht="15.75" x14ac:dyDescent="0.25">
      <c r="A148" s="20">
        <v>30</v>
      </c>
      <c r="B148" s="25">
        <v>0</v>
      </c>
      <c r="C148" s="25"/>
      <c r="D148" s="56" t="s">
        <v>1398</v>
      </c>
      <c r="E148" s="66">
        <v>45278</v>
      </c>
      <c r="F148" s="323" t="s">
        <v>1397</v>
      </c>
      <c r="G148" s="66">
        <v>45278</v>
      </c>
      <c r="H148" s="35" t="s">
        <v>1400</v>
      </c>
      <c r="I148" s="21">
        <v>630252</v>
      </c>
      <c r="J148" s="21"/>
      <c r="K148" s="22">
        <v>119747.88</v>
      </c>
      <c r="L148" s="23"/>
      <c r="M148" s="22">
        <v>0</v>
      </c>
      <c r="N148" s="72">
        <v>0</v>
      </c>
      <c r="O148" s="22">
        <v>0</v>
      </c>
      <c r="P148" s="21">
        <v>749999.88</v>
      </c>
      <c r="S148" s="101" t="b">
        <f>OR(COUNTIF(Tabla2[[#This Row],[PROVEEDOR]],"*"&amp;'Palabra no opera'!$A$2&amp;"*"))</f>
        <v>0</v>
      </c>
      <c r="T148" s="113">
        <f>+$W$5-Tabla2[[#This Row],[FECHA DE FACTURACIÓN]]</f>
        <v>44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15" t="str">
        <f>+IF(AND(Tabla2[[#This Row],[venc]]="venc",Tabla2[[#This Row],[Columna1]]="por pagar"),"vencida","no")</f>
        <v>no</v>
      </c>
    </row>
    <row r="149" spans="1:23" ht="15.75" x14ac:dyDescent="0.25">
      <c r="A149" s="20">
        <v>60</v>
      </c>
      <c r="B149" s="25">
        <v>3708614</v>
      </c>
      <c r="C149" s="25"/>
      <c r="D149" s="56" t="s">
        <v>645</v>
      </c>
      <c r="E149" s="66">
        <v>45278</v>
      </c>
      <c r="F149" s="323" t="s">
        <v>250</v>
      </c>
      <c r="G149" s="66">
        <v>45267</v>
      </c>
      <c r="H149" s="35">
        <v>1854</v>
      </c>
      <c r="I149" s="21">
        <v>344000</v>
      </c>
      <c r="J149" s="21"/>
      <c r="K149" s="22">
        <v>0</v>
      </c>
      <c r="L149" s="23"/>
      <c r="M149" s="22">
        <v>0</v>
      </c>
      <c r="N149" s="72">
        <v>0</v>
      </c>
      <c r="O149" s="22">
        <v>0</v>
      </c>
      <c r="P149" s="21">
        <v>344000</v>
      </c>
      <c r="S149" s="101" t="b">
        <f>OR(COUNTIF(Tabla2[[#This Row],[PROVEEDOR]],"*"&amp;'Palabra no opera'!$A$2&amp;"*"))</f>
        <v>0</v>
      </c>
      <c r="T149" s="113">
        <f>+$W$5-Tabla2[[#This Row],[FECHA DE FACTURACIÓN]]</f>
        <v>55</v>
      </c>
      <c r="U149" t="str">
        <f>+IF(Tabla2[[#This Row],[dias de credito]]&gt;=Tabla2[[#This Row],[PLAZO Días]],"venc", "No venc")</f>
        <v>No venc</v>
      </c>
      <c r="V149" t="str">
        <f>+IF(Tabla2[[#This Row],[FECHA DE PAGO]]&gt;0,"pagada","por pagar")</f>
        <v>pagada</v>
      </c>
      <c r="W149" s="115" t="str">
        <f>+IF(AND(Tabla2[[#This Row],[venc]]="venc",Tabla2[[#This Row],[Columna1]]="por pagar"),"vencida","no")</f>
        <v>no</v>
      </c>
    </row>
    <row r="150" spans="1:23" ht="15.75" x14ac:dyDescent="0.25">
      <c r="A150" s="20">
        <v>60</v>
      </c>
      <c r="B150" s="25">
        <v>3708614</v>
      </c>
      <c r="C150" s="25"/>
      <c r="D150" s="56" t="s">
        <v>645</v>
      </c>
      <c r="E150" s="66">
        <v>45278</v>
      </c>
      <c r="F150" s="323" t="s">
        <v>250</v>
      </c>
      <c r="G150" s="66">
        <v>45267</v>
      </c>
      <c r="H150" s="35">
        <v>1863</v>
      </c>
      <c r="I150" s="21">
        <v>430000</v>
      </c>
      <c r="J150" s="21"/>
      <c r="K150" s="22">
        <v>0</v>
      </c>
      <c r="L150" s="23"/>
      <c r="M150" s="22">
        <v>0</v>
      </c>
      <c r="N150" s="72">
        <v>0</v>
      </c>
      <c r="O150" s="22">
        <v>0</v>
      </c>
      <c r="P150" s="21">
        <v>430000</v>
      </c>
      <c r="S150" s="101" t="b">
        <f>OR(COUNTIF(Tabla2[[#This Row],[PROVEEDOR]],"*"&amp;'Palabra no opera'!$A$2&amp;"*"))</f>
        <v>0</v>
      </c>
      <c r="T150" s="113">
        <f>+$W$5-Tabla2[[#This Row],[FECHA DE FACTURACIÓN]]</f>
        <v>55</v>
      </c>
      <c r="U150" t="str">
        <f>+IF(Tabla2[[#This Row],[dias de credito]]&gt;=Tabla2[[#This Row],[PLAZO Días]],"venc", "No venc")</f>
        <v>No venc</v>
      </c>
      <c r="V150" t="str">
        <f>+IF(Tabla2[[#This Row],[FECHA DE PAGO]]&gt;0,"pagada","por pagar")</f>
        <v>pagada</v>
      </c>
      <c r="W150" s="115" t="str">
        <f>+IF(AND(Tabla2[[#This Row],[venc]]="venc",Tabla2[[#This Row],[Columna1]]="por pagar"),"vencida","no")</f>
        <v>no</v>
      </c>
    </row>
    <row r="151" spans="1:23" ht="15.75" x14ac:dyDescent="0.25">
      <c r="A151" s="20">
        <v>60</v>
      </c>
      <c r="B151" s="25">
        <v>3708614</v>
      </c>
      <c r="C151" s="25"/>
      <c r="D151" s="56" t="s">
        <v>645</v>
      </c>
      <c r="E151" s="66">
        <v>45278</v>
      </c>
      <c r="F151" s="323" t="s">
        <v>250</v>
      </c>
      <c r="G151" s="66">
        <v>45264</v>
      </c>
      <c r="H151" s="35">
        <v>1853</v>
      </c>
      <c r="I151" s="21">
        <v>619200</v>
      </c>
      <c r="J151" s="21"/>
      <c r="K151" s="22">
        <v>0</v>
      </c>
      <c r="L151" s="23"/>
      <c r="M151" s="22">
        <v>0</v>
      </c>
      <c r="N151" s="72">
        <v>0</v>
      </c>
      <c r="O151" s="22">
        <v>0</v>
      </c>
      <c r="P151" s="21">
        <v>619200</v>
      </c>
      <c r="S151" s="101" t="b">
        <f>OR(COUNTIF(Tabla2[[#This Row],[PROVEEDOR]],"*"&amp;'Palabra no opera'!$A$2&amp;"*"))</f>
        <v>0</v>
      </c>
      <c r="T151" s="113">
        <f>+$W$5-Tabla2[[#This Row],[FECHA DE FACTURACIÓN]]</f>
        <v>58</v>
      </c>
      <c r="U151" t="str">
        <f>+IF(Tabla2[[#This Row],[dias de credito]]&gt;=Tabla2[[#This Row],[PLAZO Días]],"venc", "No venc")</f>
        <v>No venc</v>
      </c>
      <c r="V151" t="str">
        <f>+IF(Tabla2[[#This Row],[FECHA DE PAGO]]&gt;0,"pagada","por pagar")</f>
        <v>pagada</v>
      </c>
      <c r="W151" s="115" t="str">
        <f>+IF(AND(Tabla2[[#This Row],[venc]]="venc",Tabla2[[#This Row],[Columna1]]="por pagar"),"vencida","no")</f>
        <v>no</v>
      </c>
    </row>
    <row r="152" spans="1:23" ht="15.75" x14ac:dyDescent="0.25">
      <c r="A152" s="20">
        <v>60</v>
      </c>
      <c r="B152" s="25">
        <v>3708614</v>
      </c>
      <c r="C152" s="25"/>
      <c r="D152" s="56" t="s">
        <v>645</v>
      </c>
      <c r="E152" s="66">
        <v>45278</v>
      </c>
      <c r="F152" s="323" t="s">
        <v>250</v>
      </c>
      <c r="G152" s="66">
        <v>45260</v>
      </c>
      <c r="H152" s="35">
        <v>1835</v>
      </c>
      <c r="I152" s="21">
        <v>172000</v>
      </c>
      <c r="J152" s="21"/>
      <c r="K152" s="22">
        <v>0</v>
      </c>
      <c r="L152" s="23"/>
      <c r="M152" s="22">
        <v>0</v>
      </c>
      <c r="N152" s="72">
        <v>0</v>
      </c>
      <c r="O152" s="22">
        <v>0</v>
      </c>
      <c r="P152" s="21">
        <v>172000</v>
      </c>
      <c r="S152" s="101" t="b">
        <f>OR(COUNTIF(Tabla2[[#This Row],[PROVEEDOR]],"*"&amp;'Palabra no opera'!$A$2&amp;"*"))</f>
        <v>0</v>
      </c>
      <c r="T152" s="113">
        <f>+$W$5-Tabla2[[#This Row],[FECHA DE FACTURACIÓN]]</f>
        <v>62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15" t="str">
        <f>+IF(AND(Tabla2[[#This Row],[venc]]="venc",Tabla2[[#This Row],[Columna1]]="por pagar"),"vencida","no")</f>
        <v>no</v>
      </c>
    </row>
    <row r="153" spans="1:23" ht="15.75" x14ac:dyDescent="0.25">
      <c r="A153" s="20">
        <v>60</v>
      </c>
      <c r="B153" s="25">
        <v>3708614</v>
      </c>
      <c r="C153" s="25"/>
      <c r="D153" s="56" t="s">
        <v>645</v>
      </c>
      <c r="E153" s="66">
        <v>45278</v>
      </c>
      <c r="F153" s="323" t="s">
        <v>250</v>
      </c>
      <c r="G153" s="66">
        <v>45260</v>
      </c>
      <c r="H153" s="35">
        <v>1836</v>
      </c>
      <c r="I153" s="21">
        <v>447200</v>
      </c>
      <c r="J153" s="21"/>
      <c r="K153" s="22">
        <v>0</v>
      </c>
      <c r="L153" s="23"/>
      <c r="M153" s="22">
        <v>0</v>
      </c>
      <c r="N153" s="72">
        <v>0</v>
      </c>
      <c r="O153" s="22">
        <v>0</v>
      </c>
      <c r="P153" s="21">
        <v>447200</v>
      </c>
      <c r="S153" s="101" t="b">
        <f>OR(COUNTIF(Tabla2[[#This Row],[PROVEEDOR]],"*"&amp;'Palabra no opera'!$A$2&amp;"*"))</f>
        <v>0</v>
      </c>
      <c r="T153" s="113">
        <f>+$W$5-Tabla2[[#This Row],[FECHA DE FACTURACIÓN]]</f>
        <v>62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15" t="str">
        <f>+IF(AND(Tabla2[[#This Row],[venc]]="venc",Tabla2[[#This Row],[Columna1]]="por pagar"),"vencida","no")</f>
        <v>no</v>
      </c>
    </row>
    <row r="154" spans="1:23" ht="15.75" x14ac:dyDescent="0.25">
      <c r="A154" s="20">
        <v>60</v>
      </c>
      <c r="B154" s="25">
        <v>3708614</v>
      </c>
      <c r="C154" s="25"/>
      <c r="D154" s="56" t="s">
        <v>645</v>
      </c>
      <c r="E154" s="66">
        <v>45278</v>
      </c>
      <c r="F154" s="323" t="s">
        <v>250</v>
      </c>
      <c r="G154" s="66">
        <v>45260</v>
      </c>
      <c r="H154" s="35">
        <v>1837</v>
      </c>
      <c r="I154" s="21">
        <v>516000</v>
      </c>
      <c r="J154" s="21"/>
      <c r="K154" s="22">
        <v>0</v>
      </c>
      <c r="L154" s="23"/>
      <c r="M154" s="22">
        <v>0</v>
      </c>
      <c r="N154" s="72">
        <v>0</v>
      </c>
      <c r="O154" s="22">
        <v>0</v>
      </c>
      <c r="P154" s="21">
        <v>516000</v>
      </c>
      <c r="S154" s="101" t="b">
        <f>OR(COUNTIF(Tabla2[[#This Row],[PROVEEDOR]],"*"&amp;'Palabra no opera'!$A$2&amp;"*"))</f>
        <v>0</v>
      </c>
      <c r="T154" s="113">
        <f>+$W$5-Tabla2[[#This Row],[FECHA DE FACTURACIÓN]]</f>
        <v>62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15" t="str">
        <f>+IF(AND(Tabla2[[#This Row],[venc]]="venc",Tabla2[[#This Row],[Columna1]]="por pagar"),"vencida","no")</f>
        <v>no</v>
      </c>
    </row>
    <row r="155" spans="1:23" ht="15.75" x14ac:dyDescent="0.25">
      <c r="A155" s="20">
        <v>60</v>
      </c>
      <c r="B155" s="25">
        <v>3708614</v>
      </c>
      <c r="C155" s="25"/>
      <c r="D155" s="56" t="s">
        <v>645</v>
      </c>
      <c r="E155" s="66">
        <v>45278</v>
      </c>
      <c r="F155" s="323" t="s">
        <v>250</v>
      </c>
      <c r="G155" s="66">
        <v>45260</v>
      </c>
      <c r="H155" s="35">
        <v>1841</v>
      </c>
      <c r="I155" s="21">
        <v>1097790</v>
      </c>
      <c r="J155" s="21"/>
      <c r="K155" s="22">
        <v>0</v>
      </c>
      <c r="L155" s="23"/>
      <c r="M155" s="22">
        <v>0</v>
      </c>
      <c r="N155" s="72">
        <v>0</v>
      </c>
      <c r="O155" s="22">
        <v>0</v>
      </c>
      <c r="P155" s="21">
        <v>1097790</v>
      </c>
      <c r="S155" s="101" t="b">
        <f>OR(COUNTIF(Tabla2[[#This Row],[PROVEEDOR]],"*"&amp;'Palabra no opera'!$A$2&amp;"*"))</f>
        <v>0</v>
      </c>
      <c r="T155" s="113">
        <f>+$W$5-Tabla2[[#This Row],[FECHA DE FACTURACIÓN]]</f>
        <v>62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15" t="str">
        <f>+IF(AND(Tabla2[[#This Row],[venc]]="venc",Tabla2[[#This Row],[Columna1]]="por pagar"),"vencida","no")</f>
        <v>no</v>
      </c>
    </row>
    <row r="156" spans="1:23" ht="15.75" x14ac:dyDescent="0.25">
      <c r="A156" s="20">
        <v>60</v>
      </c>
      <c r="B156" s="25">
        <v>3708614</v>
      </c>
      <c r="C156" s="25"/>
      <c r="D156" s="56" t="s">
        <v>645</v>
      </c>
      <c r="E156" s="66">
        <v>45278</v>
      </c>
      <c r="F156" s="323" t="s">
        <v>250</v>
      </c>
      <c r="G156" s="66">
        <v>45260</v>
      </c>
      <c r="H156" s="35">
        <v>1851</v>
      </c>
      <c r="I156" s="21">
        <v>756800</v>
      </c>
      <c r="J156" s="21"/>
      <c r="K156" s="22">
        <v>0</v>
      </c>
      <c r="L156" s="23"/>
      <c r="M156" s="22">
        <v>0</v>
      </c>
      <c r="N156" s="72">
        <v>0</v>
      </c>
      <c r="O156" s="22">
        <v>0</v>
      </c>
      <c r="P156" s="21">
        <v>756800</v>
      </c>
      <c r="S156" s="101" t="b">
        <f>OR(COUNTIF(Tabla2[[#This Row],[PROVEEDOR]],"*"&amp;'Palabra no opera'!$A$2&amp;"*"))</f>
        <v>0</v>
      </c>
      <c r="T156" s="113">
        <f>+$W$5-Tabla2[[#This Row],[FECHA DE FACTURACIÓN]]</f>
        <v>62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15" t="str">
        <f>+IF(AND(Tabla2[[#This Row],[venc]]="venc",Tabla2[[#This Row],[Columna1]]="por pagar"),"vencida","no")</f>
        <v>no</v>
      </c>
    </row>
    <row r="157" spans="1:23" ht="15.75" x14ac:dyDescent="0.25">
      <c r="A157" s="20">
        <v>60</v>
      </c>
      <c r="B157" s="25">
        <v>3708614</v>
      </c>
      <c r="C157" s="25"/>
      <c r="D157" s="56" t="s">
        <v>645</v>
      </c>
      <c r="E157" s="66">
        <v>45278</v>
      </c>
      <c r="F157" s="323" t="s">
        <v>250</v>
      </c>
      <c r="G157" s="66">
        <v>45260</v>
      </c>
      <c r="H157" s="35">
        <v>1850</v>
      </c>
      <c r="I157" s="21">
        <v>1177770</v>
      </c>
      <c r="J157" s="21"/>
      <c r="K157" s="22">
        <v>0</v>
      </c>
      <c r="L157" s="23"/>
      <c r="M157" s="22">
        <v>0</v>
      </c>
      <c r="N157" s="72">
        <v>0</v>
      </c>
      <c r="O157" s="22">
        <v>0</v>
      </c>
      <c r="P157" s="21">
        <v>1177770</v>
      </c>
      <c r="S157" s="101" t="b">
        <f>OR(COUNTIF(Tabla2[[#This Row],[PROVEEDOR]],"*"&amp;'Palabra no opera'!$A$2&amp;"*"))</f>
        <v>0</v>
      </c>
      <c r="T157" s="113">
        <f>+$W$5-Tabla2[[#This Row],[FECHA DE FACTURACIÓN]]</f>
        <v>62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15" t="str">
        <f>+IF(AND(Tabla2[[#This Row],[venc]]="venc",Tabla2[[#This Row],[Columna1]]="por pagar"),"vencida","no")</f>
        <v>no</v>
      </c>
    </row>
    <row r="158" spans="1:23" ht="15.75" x14ac:dyDescent="0.25">
      <c r="A158" s="20">
        <v>30</v>
      </c>
      <c r="B158" s="25">
        <v>3065837.2199999997</v>
      </c>
      <c r="C158" s="25"/>
      <c r="D158" s="56" t="s">
        <v>169</v>
      </c>
      <c r="E158" s="66">
        <v>45278</v>
      </c>
      <c r="F158" s="323" t="s">
        <v>17</v>
      </c>
      <c r="G158" s="66">
        <v>45257</v>
      </c>
      <c r="H158" s="35" t="s">
        <v>1319</v>
      </c>
      <c r="I158" s="21">
        <v>137997.5</v>
      </c>
      <c r="J158" s="21"/>
      <c r="K158" s="22">
        <v>26219.525000000001</v>
      </c>
      <c r="L158" s="23"/>
      <c r="M158" s="22">
        <v>0</v>
      </c>
      <c r="N158" s="72">
        <v>0</v>
      </c>
      <c r="O158" s="22">
        <v>0</v>
      </c>
      <c r="P158" s="21">
        <v>164217.02499999999</v>
      </c>
      <c r="S158" s="101" t="b">
        <f>OR(COUNTIF(Tabla2[[#This Row],[PROVEEDOR]],"*"&amp;'Palabra no opera'!$A$2&amp;"*"))</f>
        <v>0</v>
      </c>
      <c r="T158" s="113">
        <f>+$W$5-Tabla2[[#This Row],[FECHA DE FACTURACIÓN]]</f>
        <v>65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15" t="str">
        <f>+IF(AND(Tabla2[[#This Row],[venc]]="venc",Tabla2[[#This Row],[Columna1]]="por pagar"),"vencida","no")</f>
        <v>no</v>
      </c>
    </row>
    <row r="159" spans="1:23" ht="15.75" x14ac:dyDescent="0.25">
      <c r="A159" s="20">
        <v>60</v>
      </c>
      <c r="B159" s="25">
        <v>3708614</v>
      </c>
      <c r="C159" s="25"/>
      <c r="D159" s="56" t="s">
        <v>645</v>
      </c>
      <c r="E159" s="66">
        <v>45278</v>
      </c>
      <c r="F159" s="323" t="s">
        <v>250</v>
      </c>
      <c r="G159" s="66">
        <v>45252</v>
      </c>
      <c r="H159" s="35">
        <v>1832</v>
      </c>
      <c r="I159" s="21">
        <v>584800</v>
      </c>
      <c r="J159" s="21"/>
      <c r="K159" s="22">
        <v>0</v>
      </c>
      <c r="L159" s="23"/>
      <c r="M159" s="22">
        <v>0</v>
      </c>
      <c r="N159" s="72">
        <v>0</v>
      </c>
      <c r="O159" s="22">
        <v>0</v>
      </c>
      <c r="P159" s="21">
        <v>584800</v>
      </c>
      <c r="S159" s="101" t="b">
        <f>OR(COUNTIF(Tabla2[[#This Row],[PROVEEDOR]],"*"&amp;'Palabra no opera'!$A$2&amp;"*"))</f>
        <v>0</v>
      </c>
      <c r="T159" s="113">
        <f>+$W$5-Tabla2[[#This Row],[FECHA DE FACTURACIÓN]]</f>
        <v>70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15" t="str">
        <f>+IF(AND(Tabla2[[#This Row],[venc]]="venc",Tabla2[[#This Row],[Columna1]]="por pagar"),"vencida","no")</f>
        <v>no</v>
      </c>
    </row>
    <row r="160" spans="1:23" ht="15.75" x14ac:dyDescent="0.25">
      <c r="A160" s="20">
        <v>60</v>
      </c>
      <c r="B160" s="25">
        <v>3708614</v>
      </c>
      <c r="C160" s="25"/>
      <c r="D160" s="56" t="s">
        <v>645</v>
      </c>
      <c r="E160" s="66">
        <v>45278</v>
      </c>
      <c r="F160" s="323" t="s">
        <v>250</v>
      </c>
      <c r="G160" s="66">
        <v>45251</v>
      </c>
      <c r="H160" s="35">
        <v>1831</v>
      </c>
      <c r="I160" s="21">
        <v>602000</v>
      </c>
      <c r="J160" s="21"/>
      <c r="K160" s="22">
        <v>0</v>
      </c>
      <c r="L160" s="23"/>
      <c r="M160" s="22">
        <v>0</v>
      </c>
      <c r="N160" s="72">
        <v>0</v>
      </c>
      <c r="O160" s="22">
        <v>0</v>
      </c>
      <c r="P160" s="21">
        <v>602000</v>
      </c>
      <c r="S160" s="101" t="b">
        <f>OR(COUNTIF(Tabla2[[#This Row],[PROVEEDOR]],"*"&amp;'Palabra no opera'!$A$2&amp;"*"))</f>
        <v>0</v>
      </c>
      <c r="T160" s="113">
        <f>+$W$5-Tabla2[[#This Row],[FECHA DE FACTURACIÓN]]</f>
        <v>71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15" t="str">
        <f>+IF(AND(Tabla2[[#This Row],[venc]]="venc",Tabla2[[#This Row],[Columna1]]="por pagar"),"vencida","no")</f>
        <v>no</v>
      </c>
    </row>
    <row r="161" spans="1:23" ht="15.75" x14ac:dyDescent="0.25">
      <c r="A161" s="20">
        <v>30</v>
      </c>
      <c r="B161" s="25">
        <v>3065837.2199999997</v>
      </c>
      <c r="C161" s="25"/>
      <c r="D161" s="56" t="s">
        <v>169</v>
      </c>
      <c r="E161" s="66">
        <v>45278</v>
      </c>
      <c r="F161" s="323" t="s">
        <v>17</v>
      </c>
      <c r="G161" s="66">
        <v>45247</v>
      </c>
      <c r="H161" s="35" t="s">
        <v>1278</v>
      </c>
      <c r="I161" s="21">
        <v>1350000</v>
      </c>
      <c r="J161" s="21"/>
      <c r="K161" s="22">
        <v>256500</v>
      </c>
      <c r="L161" s="23"/>
      <c r="M161" s="22">
        <v>0</v>
      </c>
      <c r="N161" s="72">
        <v>0</v>
      </c>
      <c r="O161" s="22">
        <v>0</v>
      </c>
      <c r="P161" s="21">
        <v>1606500</v>
      </c>
      <c r="S161" s="101" t="b">
        <f>OR(COUNTIF(Tabla2[[#This Row],[PROVEEDOR]],"*"&amp;'Palabra no opera'!$A$2&amp;"*"))</f>
        <v>0</v>
      </c>
      <c r="T161" s="113">
        <f>+$W$5-Tabla2[[#This Row],[FECHA DE FACTURACIÓN]]</f>
        <v>75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15" t="str">
        <f>+IF(AND(Tabla2[[#This Row],[venc]]="venc",Tabla2[[#This Row],[Columna1]]="por pagar"),"vencida","no")</f>
        <v>no</v>
      </c>
    </row>
    <row r="162" spans="1:23" ht="15.75" x14ac:dyDescent="0.25">
      <c r="A162" s="20">
        <v>30</v>
      </c>
      <c r="B162" s="25">
        <v>2923945.6174999997</v>
      </c>
      <c r="C162" s="25"/>
      <c r="D162" s="56" t="s">
        <v>1538</v>
      </c>
      <c r="E162" s="66">
        <v>45278</v>
      </c>
      <c r="F162" s="323" t="s">
        <v>1526</v>
      </c>
      <c r="G162" s="66">
        <v>45245</v>
      </c>
      <c r="H162" s="35" t="s">
        <v>1318</v>
      </c>
      <c r="I162" s="21">
        <v>3617549</v>
      </c>
      <c r="J162" s="21"/>
      <c r="K162" s="22">
        <v>687334.31</v>
      </c>
      <c r="L162" s="23"/>
      <c r="M162" s="22">
        <v>0</v>
      </c>
      <c r="N162" s="72">
        <v>2.5000000000000001E-2</v>
      </c>
      <c r="O162" s="22">
        <v>90438.725000000006</v>
      </c>
      <c r="P162" s="21">
        <v>4214444.5850000009</v>
      </c>
      <c r="S162" s="101" t="b">
        <f>OR(COUNTIF(Tabla2[[#This Row],[PROVEEDOR]],"*"&amp;'Palabra no opera'!$A$2&amp;"*"))</f>
        <v>0</v>
      </c>
      <c r="T162" s="113">
        <f>+$W$5-Tabla2[[#This Row],[FECHA DE FACTURACIÓN]]</f>
        <v>77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15" t="str">
        <f>+IF(AND(Tabla2[[#This Row],[venc]]="venc",Tabla2[[#This Row],[Columna1]]="por pagar"),"vencida","no")</f>
        <v>no</v>
      </c>
    </row>
    <row r="163" spans="1:23" ht="15.75" x14ac:dyDescent="0.25">
      <c r="A163" s="20">
        <v>30</v>
      </c>
      <c r="B163" s="25">
        <v>2169355.9580000001</v>
      </c>
      <c r="C163" s="25"/>
      <c r="D163" s="56" t="s">
        <v>164</v>
      </c>
      <c r="E163" s="66">
        <v>45278</v>
      </c>
      <c r="F163" s="323" t="s">
        <v>18</v>
      </c>
      <c r="G163" s="66">
        <v>45245</v>
      </c>
      <c r="H163" s="35" t="s">
        <v>1304</v>
      </c>
      <c r="I163" s="21">
        <v>1809303</v>
      </c>
      <c r="J163" s="21"/>
      <c r="K163" s="22">
        <v>343767.57</v>
      </c>
      <c r="L163" s="23"/>
      <c r="M163" s="22">
        <v>0</v>
      </c>
      <c r="N163" s="72">
        <v>2.5000000000000001E-2</v>
      </c>
      <c r="O163" s="22">
        <v>45232.575000000004</v>
      </c>
      <c r="P163" s="21">
        <v>2107837.9949999996</v>
      </c>
      <c r="S163" s="101" t="b">
        <f>OR(COUNTIF(Tabla2[[#This Row],[PROVEEDOR]],"*"&amp;'Palabra no opera'!$A$2&amp;"*"))</f>
        <v>0</v>
      </c>
      <c r="T163" s="113">
        <f>+$W$5-Tabla2[[#This Row],[FECHA DE FACTURACIÓN]]</f>
        <v>77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15" t="str">
        <f>+IF(AND(Tabla2[[#This Row],[venc]]="venc",Tabla2[[#This Row],[Columna1]]="por pagar"),"vencida","no")</f>
        <v>no</v>
      </c>
    </row>
    <row r="164" spans="1:23" ht="15.75" x14ac:dyDescent="0.25">
      <c r="A164" s="20">
        <v>30</v>
      </c>
      <c r="B164" s="25">
        <v>2923945.6174999997</v>
      </c>
      <c r="C164" s="25"/>
      <c r="D164" s="56" t="s">
        <v>1538</v>
      </c>
      <c r="E164" s="66">
        <v>45278</v>
      </c>
      <c r="F164" s="323" t="s">
        <v>1526</v>
      </c>
      <c r="G164" s="66">
        <v>45240</v>
      </c>
      <c r="H164" s="35" t="s">
        <v>1317</v>
      </c>
      <c r="I164" s="21">
        <v>105189</v>
      </c>
      <c r="J164" s="21"/>
      <c r="K164" s="22">
        <v>19985.91</v>
      </c>
      <c r="L164" s="23"/>
      <c r="M164" s="22">
        <v>0</v>
      </c>
      <c r="N164" s="72">
        <v>0</v>
      </c>
      <c r="O164" s="22">
        <v>0</v>
      </c>
      <c r="P164" s="21">
        <v>125174.91</v>
      </c>
      <c r="S164" s="101" t="b">
        <f>OR(COUNTIF(Tabla2[[#This Row],[PROVEEDOR]],"*"&amp;'Palabra no opera'!$A$2&amp;"*"))</f>
        <v>0</v>
      </c>
      <c r="T164" s="113">
        <f>+$W$5-Tabla2[[#This Row],[FECHA DE FACTURACIÓN]]</f>
        <v>82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15" t="str">
        <f>+IF(AND(Tabla2[[#This Row],[venc]]="venc",Tabla2[[#This Row],[Columna1]]="por pagar"),"vencida","no")</f>
        <v>no</v>
      </c>
    </row>
    <row r="165" spans="1:23" ht="15.75" x14ac:dyDescent="0.25">
      <c r="A165" s="20">
        <v>30</v>
      </c>
      <c r="B165" s="25">
        <v>4282200</v>
      </c>
      <c r="C165" s="25"/>
      <c r="D165" s="56" t="s">
        <v>217</v>
      </c>
      <c r="E165" s="66">
        <v>45278</v>
      </c>
      <c r="F165" s="323" t="s">
        <v>312</v>
      </c>
      <c r="G165" s="66">
        <v>45239</v>
      </c>
      <c r="H165" s="35" t="s">
        <v>1321</v>
      </c>
      <c r="I165" s="21">
        <v>606900</v>
      </c>
      <c r="J165" s="21"/>
      <c r="K165" s="22">
        <v>0</v>
      </c>
      <c r="L165" s="23"/>
      <c r="M165" s="22">
        <v>0</v>
      </c>
      <c r="N165" s="72">
        <v>0</v>
      </c>
      <c r="O165" s="22">
        <v>0</v>
      </c>
      <c r="P165" s="21">
        <v>606900</v>
      </c>
      <c r="S165" s="101" t="b">
        <f>OR(COUNTIF(Tabla2[[#This Row],[PROVEEDOR]],"*"&amp;'Palabra no opera'!$A$2&amp;"*"))</f>
        <v>0</v>
      </c>
      <c r="T165" s="113">
        <f>+$W$5-Tabla2[[#This Row],[FECHA DE FACTURACIÓN]]</f>
        <v>83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15" t="str">
        <f>+IF(AND(Tabla2[[#This Row],[venc]]="venc",Tabla2[[#This Row],[Columna1]]="por pagar"),"vencida","no")</f>
        <v>no</v>
      </c>
    </row>
    <row r="166" spans="1:23" ht="15.75" x14ac:dyDescent="0.25">
      <c r="A166" s="20">
        <v>30</v>
      </c>
      <c r="B166" s="25">
        <v>2169355.9580000001</v>
      </c>
      <c r="C166" s="25"/>
      <c r="D166" s="56" t="s">
        <v>164</v>
      </c>
      <c r="E166" s="66">
        <v>45278</v>
      </c>
      <c r="F166" s="323" t="s">
        <v>18</v>
      </c>
      <c r="G166" s="66">
        <v>45239</v>
      </c>
      <c r="H166" s="35" t="s">
        <v>1273</v>
      </c>
      <c r="I166" s="21">
        <v>10721534</v>
      </c>
      <c r="J166" s="21"/>
      <c r="K166" s="22">
        <v>2037091.46</v>
      </c>
      <c r="L166" s="23"/>
      <c r="M166" s="22">
        <v>0</v>
      </c>
      <c r="N166" s="72">
        <v>2.5000000000000001E-2</v>
      </c>
      <c r="O166" s="22">
        <v>268038.35000000003</v>
      </c>
      <c r="P166" s="21">
        <v>12490587.110000001</v>
      </c>
      <c r="S166" s="101" t="b">
        <f>OR(COUNTIF(Tabla2[[#This Row],[PROVEEDOR]],"*"&amp;'Palabra no opera'!$A$2&amp;"*"))</f>
        <v>0</v>
      </c>
      <c r="T166" s="113">
        <f>+$W$5-Tabla2[[#This Row],[FECHA DE FACTURACIÓN]]</f>
        <v>83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15" t="str">
        <f>+IF(AND(Tabla2[[#This Row],[venc]]="venc",Tabla2[[#This Row],[Columna1]]="por pagar"),"vencida","no")</f>
        <v>no</v>
      </c>
    </row>
    <row r="167" spans="1:23" ht="15.75" x14ac:dyDescent="0.25">
      <c r="A167" s="20">
        <v>30</v>
      </c>
      <c r="B167" s="25">
        <v>0</v>
      </c>
      <c r="C167" s="25"/>
      <c r="D167" s="56" t="s">
        <v>159</v>
      </c>
      <c r="E167" s="66">
        <v>45278</v>
      </c>
      <c r="F167" s="323" t="s">
        <v>994</v>
      </c>
      <c r="G167" s="66">
        <v>45239</v>
      </c>
      <c r="H167" s="35" t="s">
        <v>1270</v>
      </c>
      <c r="I167" s="21">
        <v>1593276</v>
      </c>
      <c r="J167" s="21"/>
      <c r="K167" s="22">
        <v>302722.44</v>
      </c>
      <c r="L167" s="23"/>
      <c r="M167" s="22">
        <v>0</v>
      </c>
      <c r="N167" s="72">
        <v>2.5000000000000001E-2</v>
      </c>
      <c r="O167" s="22">
        <v>39831.9</v>
      </c>
      <c r="P167" s="21">
        <v>1856166.54</v>
      </c>
      <c r="S167" s="101" t="b">
        <f>OR(COUNTIF(Tabla2[[#This Row],[PROVEEDOR]],"*"&amp;'Palabra no opera'!$A$2&amp;"*"))</f>
        <v>0</v>
      </c>
      <c r="T167" s="113">
        <f>+$W$5-Tabla2[[#This Row],[FECHA DE FACTURACIÓN]]</f>
        <v>83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15" t="str">
        <f>+IF(AND(Tabla2[[#This Row],[venc]]="venc",Tabla2[[#This Row],[Columna1]]="por pagar"),"vencida","no")</f>
        <v>no</v>
      </c>
    </row>
    <row r="168" spans="1:23" ht="15.75" x14ac:dyDescent="0.25">
      <c r="A168" s="20">
        <v>30</v>
      </c>
      <c r="B168" s="25">
        <v>2169355.9580000001</v>
      </c>
      <c r="C168" s="25"/>
      <c r="D168" s="56" t="s">
        <v>164</v>
      </c>
      <c r="E168" s="66">
        <v>45278</v>
      </c>
      <c r="F168" s="323" t="s">
        <v>18</v>
      </c>
      <c r="G168" s="66">
        <v>45237</v>
      </c>
      <c r="H168" s="35" t="s">
        <v>1271</v>
      </c>
      <c r="I168" s="21">
        <v>2007744</v>
      </c>
      <c r="J168" s="21"/>
      <c r="K168" s="22">
        <v>381471.36</v>
      </c>
      <c r="L168" s="23"/>
      <c r="M168" s="22">
        <v>0</v>
      </c>
      <c r="N168" s="72">
        <v>2.5000000000000001E-2</v>
      </c>
      <c r="O168" s="22">
        <v>50193.600000000006</v>
      </c>
      <c r="P168" s="21">
        <v>2339021.7599999998</v>
      </c>
      <c r="S168" s="101" t="b">
        <f>OR(COUNTIF(Tabla2[[#This Row],[PROVEEDOR]],"*"&amp;'Palabra no opera'!$A$2&amp;"*"))</f>
        <v>0</v>
      </c>
      <c r="T168" s="113">
        <f>+$W$5-Tabla2[[#This Row],[FECHA DE FACTURACIÓN]]</f>
        <v>85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15" t="str">
        <f>+IF(AND(Tabla2[[#This Row],[venc]]="venc",Tabla2[[#This Row],[Columna1]]="por pagar"),"vencida","no")</f>
        <v>no</v>
      </c>
    </row>
    <row r="169" spans="1:23" ht="15.75" x14ac:dyDescent="0.25">
      <c r="A169" s="20">
        <v>30</v>
      </c>
      <c r="B169" s="25">
        <v>0</v>
      </c>
      <c r="C169" s="25"/>
      <c r="D169" s="56" t="s">
        <v>104</v>
      </c>
      <c r="E169" s="66">
        <v>45277</v>
      </c>
      <c r="F169" s="323" t="s">
        <v>279</v>
      </c>
      <c r="G169" s="66">
        <v>45277</v>
      </c>
      <c r="H169" s="35" t="s">
        <v>1168</v>
      </c>
      <c r="I169" s="21">
        <v>400000</v>
      </c>
      <c r="J169" s="21"/>
      <c r="K169" s="22">
        <v>0</v>
      </c>
      <c r="L169" s="23"/>
      <c r="M169" s="22">
        <v>0</v>
      </c>
      <c r="N169" s="72">
        <v>0</v>
      </c>
      <c r="O169" s="22">
        <v>0</v>
      </c>
      <c r="P169" s="21">
        <v>400000</v>
      </c>
      <c r="S169" s="101" t="b">
        <f>OR(COUNTIF(Tabla2[[#This Row],[PROVEEDOR]],"*"&amp;'Palabra no opera'!$A$2&amp;"*"))</f>
        <v>0</v>
      </c>
      <c r="T169" s="113">
        <f>+$W$5-Tabla2[[#This Row],[FECHA DE FACTURACIÓN]]</f>
        <v>45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15" t="str">
        <f>+IF(AND(Tabla2[[#This Row],[venc]]="venc",Tabla2[[#This Row],[Columna1]]="por pagar"),"vencida","no")</f>
        <v>no</v>
      </c>
    </row>
    <row r="170" spans="1:23" ht="15.75" x14ac:dyDescent="0.25">
      <c r="A170" s="20">
        <v>30</v>
      </c>
      <c r="B170" s="25">
        <v>0</v>
      </c>
      <c r="C170" s="25"/>
      <c r="D170" s="56">
        <v>0</v>
      </c>
      <c r="E170" s="66">
        <v>45276</v>
      </c>
      <c r="F170" s="323" t="s">
        <v>538</v>
      </c>
      <c r="G170" s="66">
        <v>45276</v>
      </c>
      <c r="H170" s="35" t="s">
        <v>1402</v>
      </c>
      <c r="I170" s="21">
        <v>516000</v>
      </c>
      <c r="J170" s="21"/>
      <c r="K170" s="22">
        <v>98040</v>
      </c>
      <c r="L170" s="23"/>
      <c r="M170" s="22">
        <v>0</v>
      </c>
      <c r="N170" s="72">
        <v>0</v>
      </c>
      <c r="O170" s="22">
        <v>0</v>
      </c>
      <c r="P170" s="21">
        <v>614040</v>
      </c>
      <c r="S170" s="101" t="b">
        <f>OR(COUNTIF(Tabla2[[#This Row],[PROVEEDOR]],"*"&amp;'Palabra no opera'!$A$2&amp;"*"))</f>
        <v>0</v>
      </c>
      <c r="T170" s="113">
        <f>+$W$5-Tabla2[[#This Row],[FECHA DE FACTURACIÓN]]</f>
        <v>46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15" t="str">
        <f>+IF(AND(Tabla2[[#This Row],[venc]]="venc",Tabla2[[#This Row],[Columna1]]="por pagar"),"vencida","no")</f>
        <v>no</v>
      </c>
    </row>
    <row r="171" spans="1:23" ht="15.75" x14ac:dyDescent="0.25">
      <c r="A171" s="20">
        <v>30</v>
      </c>
      <c r="B171" s="25">
        <v>0</v>
      </c>
      <c r="C171" s="25"/>
      <c r="D171" s="56" t="s">
        <v>104</v>
      </c>
      <c r="E171" s="66">
        <v>45275</v>
      </c>
      <c r="F171" s="323" t="s">
        <v>279</v>
      </c>
      <c r="G171" s="66">
        <v>45275</v>
      </c>
      <c r="H171" s="35" t="s">
        <v>1388</v>
      </c>
      <c r="I171" s="21">
        <v>180000</v>
      </c>
      <c r="J171" s="21"/>
      <c r="K171" s="22">
        <v>0</v>
      </c>
      <c r="L171" s="23"/>
      <c r="M171" s="22">
        <v>0</v>
      </c>
      <c r="N171" s="72">
        <v>0</v>
      </c>
      <c r="O171" s="22">
        <v>0</v>
      </c>
      <c r="P171" s="21">
        <v>180000</v>
      </c>
      <c r="S171" s="101" t="b">
        <f>OR(COUNTIF(Tabla2[[#This Row],[PROVEEDOR]],"*"&amp;'Palabra no opera'!$A$2&amp;"*"))</f>
        <v>0</v>
      </c>
      <c r="T171" s="113">
        <f>+$W$5-Tabla2[[#This Row],[FECHA DE FACTURACIÓN]]</f>
        <v>47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15" t="str">
        <f>+IF(AND(Tabla2[[#This Row],[venc]]="venc",Tabla2[[#This Row],[Columna1]]="por pagar"),"vencida","no")</f>
        <v>no</v>
      </c>
    </row>
    <row r="172" spans="1:23" ht="15.75" x14ac:dyDescent="0.25">
      <c r="A172" s="20">
        <v>13</v>
      </c>
      <c r="B172" s="25">
        <v>0</v>
      </c>
      <c r="C172" s="25"/>
      <c r="D172" s="56">
        <v>0</v>
      </c>
      <c r="E172" s="66">
        <v>45275</v>
      </c>
      <c r="F172" s="323" t="s">
        <v>422</v>
      </c>
      <c r="G172" s="66">
        <v>45261</v>
      </c>
      <c r="H172" s="35"/>
      <c r="I172" s="21">
        <v>777310</v>
      </c>
      <c r="J172" s="21"/>
      <c r="K172" s="22">
        <v>0</v>
      </c>
      <c r="L172" s="23"/>
      <c r="M172" s="22">
        <v>0</v>
      </c>
      <c r="N172" s="72">
        <v>0</v>
      </c>
      <c r="O172" s="22">
        <v>0</v>
      </c>
      <c r="P172" s="21">
        <v>777310</v>
      </c>
      <c r="S172" s="101" t="b">
        <f>OR(COUNTIF(Tabla2[[#This Row],[PROVEEDOR]],"*"&amp;'Palabra no opera'!$A$2&amp;"*"))</f>
        <v>1</v>
      </c>
      <c r="T172" s="113">
        <f>+$W$5-Tabla2[[#This Row],[FECHA DE FACTURACIÓN]]</f>
        <v>61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15" t="str">
        <f>+IF(AND(Tabla2[[#This Row],[venc]]="venc",Tabla2[[#This Row],[Columna1]]="por pagar"),"vencida","no")</f>
        <v>no</v>
      </c>
    </row>
    <row r="173" spans="1:23" ht="15.75" x14ac:dyDescent="0.25">
      <c r="A173" s="20">
        <v>30</v>
      </c>
      <c r="B173" s="25">
        <v>0</v>
      </c>
      <c r="C173" s="25"/>
      <c r="D173" s="56" t="s">
        <v>104</v>
      </c>
      <c r="E173" s="66">
        <v>45274</v>
      </c>
      <c r="F173" s="323" t="s">
        <v>299</v>
      </c>
      <c r="G173" s="66">
        <v>45274</v>
      </c>
      <c r="H173" s="35"/>
      <c r="I173" s="21">
        <v>1300850</v>
      </c>
      <c r="J173" s="21"/>
      <c r="K173" s="22">
        <v>0</v>
      </c>
      <c r="L173" s="23"/>
      <c r="M173" s="22">
        <v>0</v>
      </c>
      <c r="N173" s="72">
        <v>0</v>
      </c>
      <c r="O173" s="22">
        <v>0</v>
      </c>
      <c r="P173" s="21">
        <v>1300850</v>
      </c>
      <c r="S173" s="101" t="b">
        <f>OR(COUNTIF(Tabla2[[#This Row],[PROVEEDOR]],"*"&amp;'Palabra no opera'!$A$2&amp;"*"))</f>
        <v>0</v>
      </c>
      <c r="T173" s="113">
        <f>+$W$5-Tabla2[[#This Row],[FECHA DE FACTURACIÓN]]</f>
        <v>48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15" t="str">
        <f>+IF(AND(Tabla2[[#This Row],[venc]]="venc",Tabla2[[#This Row],[Columna1]]="por pagar"),"vencida","no")</f>
        <v>no</v>
      </c>
    </row>
    <row r="174" spans="1:23" ht="15.75" x14ac:dyDescent="0.25">
      <c r="A174" s="20">
        <v>30</v>
      </c>
      <c r="B174" s="25">
        <v>0</v>
      </c>
      <c r="C174" s="25"/>
      <c r="D174" s="56" t="s">
        <v>104</v>
      </c>
      <c r="E174" s="66">
        <v>45274</v>
      </c>
      <c r="F174" s="323" t="s">
        <v>279</v>
      </c>
      <c r="G174" s="66">
        <v>45253</v>
      </c>
      <c r="H174" s="35" t="s">
        <v>1290</v>
      </c>
      <c r="I174" s="21">
        <v>22500</v>
      </c>
      <c r="J174" s="21"/>
      <c r="K174" s="22">
        <v>0</v>
      </c>
      <c r="L174" s="23"/>
      <c r="M174" s="22">
        <v>0</v>
      </c>
      <c r="N174" s="72">
        <v>0</v>
      </c>
      <c r="O174" s="22">
        <v>0</v>
      </c>
      <c r="P174" s="21">
        <v>22500</v>
      </c>
      <c r="S174" s="101" t="b">
        <f>OR(COUNTIF(Tabla2[[#This Row],[PROVEEDOR]],"*"&amp;'Palabra no opera'!$A$2&amp;"*"))</f>
        <v>0</v>
      </c>
      <c r="T174" s="113">
        <f>+$W$5-Tabla2[[#This Row],[FECHA DE FACTURACIÓN]]</f>
        <v>69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15" t="str">
        <f>+IF(AND(Tabla2[[#This Row],[venc]]="venc",Tabla2[[#This Row],[Columna1]]="por pagar"),"vencida","no")</f>
        <v>no</v>
      </c>
    </row>
    <row r="175" spans="1:23" ht="15.75" x14ac:dyDescent="0.25">
      <c r="A175" s="20">
        <v>30</v>
      </c>
      <c r="B175" s="25">
        <v>0</v>
      </c>
      <c r="C175" s="25"/>
      <c r="D175" s="56" t="s">
        <v>104</v>
      </c>
      <c r="E175" s="66">
        <v>45273</v>
      </c>
      <c r="F175" s="323" t="s">
        <v>304</v>
      </c>
      <c r="G175" s="66">
        <v>45273</v>
      </c>
      <c r="H175" s="35">
        <v>1312</v>
      </c>
      <c r="I175" s="21">
        <v>1172300</v>
      </c>
      <c r="J175" s="21"/>
      <c r="K175" s="22">
        <v>0</v>
      </c>
      <c r="L175" s="23"/>
      <c r="M175" s="22">
        <v>0</v>
      </c>
      <c r="N175" s="72">
        <v>0</v>
      </c>
      <c r="O175" s="22">
        <v>0</v>
      </c>
      <c r="P175" s="21">
        <v>1172300</v>
      </c>
      <c r="S175" s="101" t="b">
        <f>OR(COUNTIF(Tabla2[[#This Row],[PROVEEDOR]],"*"&amp;'Palabra no opera'!$A$2&amp;"*"))</f>
        <v>0</v>
      </c>
      <c r="T175" s="113">
        <f>+$W$5-Tabla2[[#This Row],[FECHA DE FACTURACIÓN]]</f>
        <v>49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15" t="str">
        <f>+IF(AND(Tabla2[[#This Row],[venc]]="venc",Tabla2[[#This Row],[Columna1]]="por pagar"),"vencida","no")</f>
        <v>no</v>
      </c>
    </row>
    <row r="176" spans="1:23" ht="15.75" x14ac:dyDescent="0.25">
      <c r="A176" s="20">
        <v>0</v>
      </c>
      <c r="B176" s="25">
        <v>0</v>
      </c>
      <c r="C176" s="25"/>
      <c r="D176" s="56" t="s">
        <v>500</v>
      </c>
      <c r="E176" s="66">
        <v>45273</v>
      </c>
      <c r="F176" s="323" t="s">
        <v>498</v>
      </c>
      <c r="G176" s="66">
        <v>45273</v>
      </c>
      <c r="H176" s="35" t="s">
        <v>501</v>
      </c>
      <c r="I176" s="21">
        <v>1500000</v>
      </c>
      <c r="J176" s="21"/>
      <c r="K176" s="22">
        <v>0</v>
      </c>
      <c r="L176" s="23"/>
      <c r="M176" s="22">
        <v>0</v>
      </c>
      <c r="N176" s="72">
        <v>0</v>
      </c>
      <c r="O176" s="22">
        <v>0</v>
      </c>
      <c r="P176" s="21">
        <v>1500000</v>
      </c>
      <c r="S176" s="101" t="b">
        <f>OR(COUNTIF(Tabla2[[#This Row],[PROVEEDOR]],"*"&amp;'Palabra no opera'!$A$2&amp;"*"))</f>
        <v>1</v>
      </c>
      <c r="T176" s="113">
        <f>+$W$5-Tabla2[[#This Row],[FECHA DE FACTURACIÓN]]</f>
        <v>49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15" t="str">
        <f>+IF(AND(Tabla2[[#This Row],[venc]]="venc",Tabla2[[#This Row],[Columna1]]="por pagar"),"vencida","no")</f>
        <v>no</v>
      </c>
    </row>
    <row r="177" spans="1:23" ht="15.75" x14ac:dyDescent="0.25">
      <c r="A177" s="20">
        <v>30</v>
      </c>
      <c r="B177" s="25">
        <v>0</v>
      </c>
      <c r="C177" s="25"/>
      <c r="D177" s="56">
        <v>0</v>
      </c>
      <c r="E177" s="66">
        <v>45273</v>
      </c>
      <c r="F177" s="323" t="s">
        <v>234</v>
      </c>
      <c r="G177" s="66">
        <v>45272</v>
      </c>
      <c r="H177" s="35" t="s">
        <v>1372</v>
      </c>
      <c r="I177" s="21">
        <v>1900000</v>
      </c>
      <c r="J177" s="21"/>
      <c r="K177" s="22">
        <v>95000</v>
      </c>
      <c r="L177" s="23"/>
      <c r="M177" s="22">
        <v>0</v>
      </c>
      <c r="N177" s="72">
        <v>2.5000000000000001E-2</v>
      </c>
      <c r="O177" s="22">
        <v>47500</v>
      </c>
      <c r="P177" s="21">
        <v>1947500</v>
      </c>
      <c r="S177" s="101" t="b">
        <f>OR(COUNTIF(Tabla2[[#This Row],[PROVEEDOR]],"*"&amp;'Palabra no opera'!$A$2&amp;"*"))</f>
        <v>0</v>
      </c>
      <c r="T177" s="113">
        <f>+$W$5-Tabla2[[#This Row],[FECHA DE FACTURACIÓN]]</f>
        <v>50</v>
      </c>
      <c r="U177" t="str">
        <f>+IF(Tabla2[[#This Row],[dias de credito]]&gt;=Tabla2[[#This Row],[PLAZO Días]],"venc", "No venc")</f>
        <v>venc</v>
      </c>
      <c r="V177" t="str">
        <f>+IF(Tabla2[[#This Row],[FECHA DE PAGO]]&gt;0,"pagada","por pagar")</f>
        <v>pagada</v>
      </c>
      <c r="W177" s="115" t="str">
        <f>+IF(AND(Tabla2[[#This Row],[venc]]="venc",Tabla2[[#This Row],[Columna1]]="por pagar"),"vencida","no")</f>
        <v>no</v>
      </c>
    </row>
    <row r="178" spans="1:23" ht="15.75" x14ac:dyDescent="0.25">
      <c r="A178" s="20">
        <v>30</v>
      </c>
      <c r="B178" s="25">
        <v>0</v>
      </c>
      <c r="C178" s="25"/>
      <c r="D178" s="56" t="s">
        <v>104</v>
      </c>
      <c r="E178" s="66">
        <v>45273</v>
      </c>
      <c r="F178" s="323" t="s">
        <v>279</v>
      </c>
      <c r="G178" s="66">
        <v>45258</v>
      </c>
      <c r="H178" s="35" t="s">
        <v>1291</v>
      </c>
      <c r="I178" s="21">
        <v>821850</v>
      </c>
      <c r="J178" s="21"/>
      <c r="K178" s="22">
        <v>0</v>
      </c>
      <c r="L178" s="23"/>
      <c r="M178" s="22">
        <v>0</v>
      </c>
      <c r="N178" s="72">
        <v>0</v>
      </c>
      <c r="O178" s="22">
        <v>0</v>
      </c>
      <c r="P178" s="21">
        <v>821850</v>
      </c>
      <c r="S178" s="101" t="b">
        <f>OR(COUNTIF(Tabla2[[#This Row],[PROVEEDOR]],"*"&amp;'Palabra no opera'!$A$2&amp;"*"))</f>
        <v>0</v>
      </c>
      <c r="T178" s="113">
        <f>+$W$5-Tabla2[[#This Row],[FECHA DE FACTURACIÓN]]</f>
        <v>64</v>
      </c>
      <c r="U178" t="str">
        <f>+IF(Tabla2[[#This Row],[dias de credito]]&gt;=Tabla2[[#This Row],[PLAZO Días]],"venc", "No venc")</f>
        <v>venc</v>
      </c>
      <c r="V178" t="str">
        <f>+IF(Tabla2[[#This Row],[FECHA DE PAGO]]&gt;0,"pagada","por pagar")</f>
        <v>pagada</v>
      </c>
      <c r="W178" s="115" t="str">
        <f>+IF(AND(Tabla2[[#This Row],[venc]]="venc",Tabla2[[#This Row],[Columna1]]="por pagar"),"vencida","no")</f>
        <v>no</v>
      </c>
    </row>
    <row r="179" spans="1:23" ht="15.75" x14ac:dyDescent="0.25">
      <c r="A179" s="20">
        <v>30</v>
      </c>
      <c r="B179" s="25">
        <v>5972000</v>
      </c>
      <c r="C179" s="25"/>
      <c r="D179" s="56">
        <v>0</v>
      </c>
      <c r="E179" s="66">
        <v>45273</v>
      </c>
      <c r="F179" s="323" t="s">
        <v>512</v>
      </c>
      <c r="G179" s="66">
        <v>45252</v>
      </c>
      <c r="H179" s="35" t="s">
        <v>1323</v>
      </c>
      <c r="I179" s="21">
        <v>2250000</v>
      </c>
      <c r="J179" s="21"/>
      <c r="K179" s="22">
        <v>0</v>
      </c>
      <c r="L179" s="23"/>
      <c r="M179" s="22">
        <v>0</v>
      </c>
      <c r="N179" s="72">
        <v>0</v>
      </c>
      <c r="O179" s="22">
        <v>0</v>
      </c>
      <c r="P179" s="21">
        <v>2250000</v>
      </c>
      <c r="S179" s="101" t="b">
        <f>OR(COUNTIF(Tabla2[[#This Row],[PROVEEDOR]],"*"&amp;'Palabra no opera'!$A$2&amp;"*"))</f>
        <v>0</v>
      </c>
      <c r="T179" s="113">
        <f>+$W$5-Tabla2[[#This Row],[FECHA DE FACTURACIÓN]]</f>
        <v>70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15" t="str">
        <f>+IF(AND(Tabla2[[#This Row],[venc]]="venc",Tabla2[[#This Row],[Columna1]]="por pagar"),"vencida","no")</f>
        <v>no</v>
      </c>
    </row>
    <row r="180" spans="1:23" ht="15.75" x14ac:dyDescent="0.25">
      <c r="A180" s="20">
        <v>30</v>
      </c>
      <c r="B180" s="25">
        <v>5972000</v>
      </c>
      <c r="C180" s="25"/>
      <c r="D180" s="56">
        <v>0</v>
      </c>
      <c r="E180" s="66">
        <v>45273</v>
      </c>
      <c r="F180" s="323" t="s">
        <v>512</v>
      </c>
      <c r="G180" s="66">
        <v>45240</v>
      </c>
      <c r="H180" s="35" t="s">
        <v>1259</v>
      </c>
      <c r="I180" s="21">
        <v>1991500</v>
      </c>
      <c r="J180" s="21"/>
      <c r="K180" s="22">
        <v>0</v>
      </c>
      <c r="L180" s="23"/>
      <c r="M180" s="22">
        <v>0</v>
      </c>
      <c r="N180" s="72">
        <v>0</v>
      </c>
      <c r="O180" s="22">
        <v>0</v>
      </c>
      <c r="P180" s="21">
        <v>1991500</v>
      </c>
      <c r="S180" s="101" t="b">
        <f>OR(COUNTIF(Tabla2[[#This Row],[PROVEEDOR]],"*"&amp;'Palabra no opera'!$A$2&amp;"*"))</f>
        <v>0</v>
      </c>
      <c r="T180" s="113">
        <f>+$W$5-Tabla2[[#This Row],[FECHA DE FACTURACIÓN]]</f>
        <v>82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15" t="str">
        <f>+IF(AND(Tabla2[[#This Row],[venc]]="venc",Tabla2[[#This Row],[Columna1]]="por pagar"),"vencida","no")</f>
        <v>no</v>
      </c>
    </row>
    <row r="181" spans="1:23" ht="15.75" x14ac:dyDescent="0.25">
      <c r="A181" s="20">
        <v>30</v>
      </c>
      <c r="B181" s="25">
        <v>406756</v>
      </c>
      <c r="C181" s="25"/>
      <c r="D181" s="56" t="s">
        <v>104</v>
      </c>
      <c r="E181" s="66">
        <v>45273</v>
      </c>
      <c r="F181" s="323" t="s">
        <v>568</v>
      </c>
      <c r="G181" s="66">
        <v>45231</v>
      </c>
      <c r="H181" s="35">
        <v>69</v>
      </c>
      <c r="I181" s="21">
        <v>78000</v>
      </c>
      <c r="J181" s="21"/>
      <c r="K181" s="22">
        <v>0</v>
      </c>
      <c r="L181" s="23"/>
      <c r="M181" s="22">
        <v>0</v>
      </c>
      <c r="N181" s="72">
        <v>0</v>
      </c>
      <c r="O181" s="22">
        <v>0</v>
      </c>
      <c r="P181" s="21">
        <v>78000</v>
      </c>
      <c r="S181" s="101" t="b">
        <f>OR(COUNTIF(Tabla2[[#This Row],[PROVEEDOR]],"*"&amp;'Palabra no opera'!$A$2&amp;"*"))</f>
        <v>0</v>
      </c>
      <c r="T181" s="113">
        <f>+$W$5-Tabla2[[#This Row],[FECHA DE FACTURACIÓN]]</f>
        <v>91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15" t="str">
        <f>+IF(AND(Tabla2[[#This Row],[venc]]="venc",Tabla2[[#This Row],[Columna1]]="por pagar"),"vencida","no")</f>
        <v>no</v>
      </c>
    </row>
    <row r="182" spans="1:23" ht="15.75" x14ac:dyDescent="0.25">
      <c r="A182" s="20">
        <v>30</v>
      </c>
      <c r="B182" s="25">
        <v>406756</v>
      </c>
      <c r="C182" s="25"/>
      <c r="D182" s="56" t="s">
        <v>104</v>
      </c>
      <c r="E182" s="66">
        <v>45273</v>
      </c>
      <c r="F182" s="323" t="s">
        <v>568</v>
      </c>
      <c r="G182" s="66">
        <v>45194</v>
      </c>
      <c r="H182" s="35">
        <v>70</v>
      </c>
      <c r="I182" s="21">
        <v>65000</v>
      </c>
      <c r="J182" s="21"/>
      <c r="K182" s="22">
        <v>0</v>
      </c>
      <c r="L182" s="23"/>
      <c r="M182" s="22">
        <v>0</v>
      </c>
      <c r="N182" s="72">
        <v>0</v>
      </c>
      <c r="O182" s="22">
        <v>0</v>
      </c>
      <c r="P182" s="21">
        <v>65000</v>
      </c>
      <c r="S182" s="101" t="b">
        <f>OR(COUNTIF(Tabla2[[#This Row],[PROVEEDOR]],"*"&amp;'Palabra no opera'!$A$2&amp;"*"))</f>
        <v>0</v>
      </c>
      <c r="T182" s="113">
        <f>+$W$5-Tabla2[[#This Row],[FECHA DE FACTURACIÓN]]</f>
        <v>128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15" t="str">
        <f>+IF(AND(Tabla2[[#This Row],[venc]]="venc",Tabla2[[#This Row],[Columna1]]="por pagar"),"vencida","no")</f>
        <v>no</v>
      </c>
    </row>
    <row r="183" spans="1:23" ht="15.75" x14ac:dyDescent="0.25">
      <c r="A183" s="20">
        <v>30</v>
      </c>
      <c r="B183" s="25">
        <v>406756</v>
      </c>
      <c r="C183" s="25"/>
      <c r="D183" s="56" t="s">
        <v>104</v>
      </c>
      <c r="E183" s="66">
        <v>45272</v>
      </c>
      <c r="F183" s="323" t="s">
        <v>568</v>
      </c>
      <c r="G183" s="66">
        <v>45272</v>
      </c>
      <c r="H183" s="35" t="s">
        <v>1431</v>
      </c>
      <c r="I183" s="21">
        <v>195000</v>
      </c>
      <c r="J183" s="21"/>
      <c r="K183" s="22">
        <v>0</v>
      </c>
      <c r="L183" s="23"/>
      <c r="M183" s="22">
        <v>0</v>
      </c>
      <c r="N183" s="72">
        <v>0</v>
      </c>
      <c r="O183" s="22">
        <v>0</v>
      </c>
      <c r="P183" s="21">
        <v>195000</v>
      </c>
      <c r="S183" s="101" t="b">
        <f>OR(COUNTIF(Tabla2[[#This Row],[PROVEEDOR]],"*"&amp;'Palabra no opera'!$A$2&amp;"*"))</f>
        <v>0</v>
      </c>
      <c r="T183" s="113">
        <f>+$W$5-Tabla2[[#This Row],[FECHA DE FACTURACIÓN]]</f>
        <v>50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15" t="str">
        <f>+IF(AND(Tabla2[[#This Row],[venc]]="venc",Tabla2[[#This Row],[Columna1]]="por pagar"),"vencida","no")</f>
        <v>no</v>
      </c>
    </row>
    <row r="184" spans="1:23" ht="15.75" x14ac:dyDescent="0.25">
      <c r="A184" s="20">
        <v>60</v>
      </c>
      <c r="B184" s="25">
        <v>14884783</v>
      </c>
      <c r="C184" s="25"/>
      <c r="D184" s="56" t="s">
        <v>432</v>
      </c>
      <c r="E184" s="66">
        <v>45272</v>
      </c>
      <c r="F184" s="323" t="s">
        <v>76</v>
      </c>
      <c r="G184" s="66">
        <v>45272</v>
      </c>
      <c r="H184" s="35" t="s">
        <v>1518</v>
      </c>
      <c r="I184" s="21">
        <v>-10084034</v>
      </c>
      <c r="J184" s="21"/>
      <c r="K184" s="22">
        <v>-1915966.46</v>
      </c>
      <c r="L184" s="23"/>
      <c r="M184" s="22">
        <v>0</v>
      </c>
      <c r="N184" s="72">
        <v>0</v>
      </c>
      <c r="O184" s="22"/>
      <c r="P184" s="21">
        <v>-12000000.460000001</v>
      </c>
      <c r="S184" s="101" t="b">
        <f>OR(COUNTIF(Tabla2[[#This Row],[PROVEEDOR]],"*"&amp;'Palabra no opera'!$A$2&amp;"*"))</f>
        <v>0</v>
      </c>
      <c r="T184" s="113">
        <f>+$W$5-Tabla2[[#This Row],[FECHA DE FACTURACIÓN]]</f>
        <v>50</v>
      </c>
      <c r="U184" t="str">
        <f>+IF(Tabla2[[#This Row],[dias de credito]]&gt;=Tabla2[[#This Row],[PLAZO Días]],"venc", "No venc")</f>
        <v>No venc</v>
      </c>
      <c r="V184" t="str">
        <f>+IF(Tabla2[[#This Row],[FECHA DE PAGO]]&gt;0,"pagada","por pagar")</f>
        <v>pagada</v>
      </c>
      <c r="W184" s="115" t="str">
        <f>+IF(AND(Tabla2[[#This Row],[venc]]="venc",Tabla2[[#This Row],[Columna1]]="por pagar"),"vencida","no")</f>
        <v>no</v>
      </c>
    </row>
    <row r="185" spans="1:23" ht="15.75" x14ac:dyDescent="0.25">
      <c r="A185" s="20">
        <v>30</v>
      </c>
      <c r="B185" s="25">
        <v>0</v>
      </c>
      <c r="C185" s="25"/>
      <c r="D185" s="56">
        <v>0</v>
      </c>
      <c r="E185" s="66">
        <v>45272</v>
      </c>
      <c r="F185" s="323" t="s">
        <v>588</v>
      </c>
      <c r="G185" s="66">
        <v>45272</v>
      </c>
      <c r="H185" s="35" t="s">
        <v>1396</v>
      </c>
      <c r="I185" s="21">
        <v>275000</v>
      </c>
      <c r="J185" s="21"/>
      <c r="K185" s="22">
        <v>52250</v>
      </c>
      <c r="L185" s="23"/>
      <c r="M185" s="22">
        <v>0</v>
      </c>
      <c r="N185" s="72">
        <v>0</v>
      </c>
      <c r="O185" s="22">
        <v>0</v>
      </c>
      <c r="P185" s="21">
        <v>327250</v>
      </c>
      <c r="S185" s="101" t="b">
        <f>OR(COUNTIF(Tabla2[[#This Row],[PROVEEDOR]],"*"&amp;'Palabra no opera'!$A$2&amp;"*"))</f>
        <v>0</v>
      </c>
      <c r="T185" s="113">
        <f>+$W$5-Tabla2[[#This Row],[FECHA DE FACTURACIÓN]]</f>
        <v>50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15" t="str">
        <f>+IF(AND(Tabla2[[#This Row],[venc]]="venc",Tabla2[[#This Row],[Columna1]]="por pagar"),"vencida","no")</f>
        <v>no</v>
      </c>
    </row>
    <row r="186" spans="1:23" ht="15.75" x14ac:dyDescent="0.25">
      <c r="A186" s="20">
        <v>30</v>
      </c>
      <c r="B186" s="25">
        <v>3065837.2199999997</v>
      </c>
      <c r="C186" s="25"/>
      <c r="D186" s="56" t="s">
        <v>169</v>
      </c>
      <c r="E186" s="66">
        <v>45272</v>
      </c>
      <c r="F186" s="323" t="s">
        <v>17</v>
      </c>
      <c r="G186" s="66">
        <v>45239</v>
      </c>
      <c r="H186" s="35" t="s">
        <v>1277</v>
      </c>
      <c r="I186" s="21">
        <v>1597368</v>
      </c>
      <c r="J186" s="21"/>
      <c r="K186" s="22">
        <v>0</v>
      </c>
      <c r="L186" s="23"/>
      <c r="M186" s="22">
        <v>0</v>
      </c>
      <c r="N186" s="72">
        <v>0</v>
      </c>
      <c r="O186" s="22">
        <v>0</v>
      </c>
      <c r="P186" s="21">
        <v>1597368</v>
      </c>
      <c r="S186" s="101" t="b">
        <f>OR(COUNTIF(Tabla2[[#This Row],[PROVEEDOR]],"*"&amp;'Palabra no opera'!$A$2&amp;"*"))</f>
        <v>0</v>
      </c>
      <c r="T186" s="113">
        <f>+$W$5-Tabla2[[#This Row],[FECHA DE FACTURACIÓN]]</f>
        <v>83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15" t="str">
        <f>+IF(AND(Tabla2[[#This Row],[venc]]="venc",Tabla2[[#This Row],[Columna1]]="por pagar"),"vencida","no")</f>
        <v>no</v>
      </c>
    </row>
    <row r="187" spans="1:23" ht="15.75" x14ac:dyDescent="0.25">
      <c r="A187" s="20">
        <v>30</v>
      </c>
      <c r="B187" s="25">
        <v>2713769.64</v>
      </c>
      <c r="C187" s="25"/>
      <c r="D187" s="56" t="s">
        <v>445</v>
      </c>
      <c r="E187" s="66">
        <v>45272</v>
      </c>
      <c r="F187" s="323" t="s">
        <v>11</v>
      </c>
      <c r="G187" s="66">
        <v>45238</v>
      </c>
      <c r="H187" s="35" t="s">
        <v>1279</v>
      </c>
      <c r="I187" s="21">
        <v>3105888</v>
      </c>
      <c r="J187" s="21"/>
      <c r="K187" s="22">
        <v>590118.72</v>
      </c>
      <c r="L187" s="23"/>
      <c r="M187" s="22">
        <v>0</v>
      </c>
      <c r="N187" s="72">
        <v>2.5000000000000001E-2</v>
      </c>
      <c r="O187" s="22">
        <v>77647.199999999997</v>
      </c>
      <c r="P187" s="21">
        <v>3618359.5199999996</v>
      </c>
      <c r="S187" s="101" t="b">
        <f>OR(COUNTIF(Tabla2[[#This Row],[PROVEEDOR]],"*"&amp;'Palabra no opera'!$A$2&amp;"*"))</f>
        <v>0</v>
      </c>
      <c r="T187" s="113">
        <f>+$W$5-Tabla2[[#This Row],[FECHA DE FACTURACIÓN]]</f>
        <v>84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15" t="str">
        <f>+IF(AND(Tabla2[[#This Row],[venc]]="venc",Tabla2[[#This Row],[Columna1]]="por pagar"),"vencida","no")</f>
        <v>no</v>
      </c>
    </row>
    <row r="188" spans="1:23" ht="15.75" x14ac:dyDescent="0.25">
      <c r="A188" s="20">
        <v>30</v>
      </c>
      <c r="B188" s="25">
        <v>12328400</v>
      </c>
      <c r="C188" s="25"/>
      <c r="D188" s="56" t="s">
        <v>171</v>
      </c>
      <c r="E188" s="66">
        <v>45272</v>
      </c>
      <c r="F188" s="323" t="s">
        <v>485</v>
      </c>
      <c r="G188" s="66">
        <v>45234</v>
      </c>
      <c r="H188" s="35" t="s">
        <v>1268</v>
      </c>
      <c r="I188" s="21">
        <v>4908000</v>
      </c>
      <c r="J188" s="21"/>
      <c r="K188" s="22">
        <v>932520</v>
      </c>
      <c r="L188" s="23"/>
      <c r="M188" s="22">
        <v>0</v>
      </c>
      <c r="N188" s="72">
        <v>0</v>
      </c>
      <c r="O188" s="22">
        <v>0</v>
      </c>
      <c r="P188" s="21">
        <v>5840520</v>
      </c>
      <c r="S188" s="101" t="b">
        <f>OR(COUNTIF(Tabla2[[#This Row],[PROVEEDOR]],"*"&amp;'Palabra no opera'!$A$2&amp;"*"))</f>
        <v>0</v>
      </c>
      <c r="T188" s="113">
        <f>+$W$5-Tabla2[[#This Row],[FECHA DE FACTURACIÓN]]</f>
        <v>88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15" t="str">
        <f>+IF(AND(Tabla2[[#This Row],[venc]]="venc",Tabla2[[#This Row],[Columna1]]="por pagar"),"vencida","no")</f>
        <v>no</v>
      </c>
    </row>
    <row r="189" spans="1:23" ht="15.75" x14ac:dyDescent="0.25">
      <c r="A189" s="20">
        <v>45</v>
      </c>
      <c r="B189" s="25">
        <v>13678360</v>
      </c>
      <c r="C189" s="25"/>
      <c r="D189" s="56" t="s">
        <v>179</v>
      </c>
      <c r="E189" s="66">
        <v>45272</v>
      </c>
      <c r="F189" s="323" t="s">
        <v>10</v>
      </c>
      <c r="G189" s="66">
        <v>45223</v>
      </c>
      <c r="H189" s="35" t="s">
        <v>1228</v>
      </c>
      <c r="I189" s="21">
        <v>4200000</v>
      </c>
      <c r="J189" s="21"/>
      <c r="K189" s="22">
        <v>798000</v>
      </c>
      <c r="L189" s="23"/>
      <c r="M189" s="22">
        <v>0</v>
      </c>
      <c r="N189" s="72">
        <v>2.5000000000000001E-2</v>
      </c>
      <c r="O189" s="22">
        <v>105000</v>
      </c>
      <c r="P189" s="21">
        <v>4893000</v>
      </c>
      <c r="S189" s="101" t="b">
        <f>OR(COUNTIF(Tabla2[[#This Row],[PROVEEDOR]],"*"&amp;'Palabra no opera'!$A$2&amp;"*"))</f>
        <v>0</v>
      </c>
      <c r="T189" s="113">
        <f>+$W$5-Tabla2[[#This Row],[FECHA DE FACTURACIÓN]]</f>
        <v>99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15" t="str">
        <f>+IF(AND(Tabla2[[#This Row],[venc]]="venc",Tabla2[[#This Row],[Columna1]]="por pagar"),"vencida","no")</f>
        <v>no</v>
      </c>
    </row>
    <row r="190" spans="1:23" ht="15.75" x14ac:dyDescent="0.25">
      <c r="A190" s="20">
        <v>30</v>
      </c>
      <c r="B190" s="25">
        <v>0</v>
      </c>
      <c r="C190" s="25"/>
      <c r="D190" s="56" t="s">
        <v>244</v>
      </c>
      <c r="E190" s="66">
        <v>45272</v>
      </c>
      <c r="F190" s="323" t="s">
        <v>213</v>
      </c>
      <c r="G190" s="66">
        <v>45202</v>
      </c>
      <c r="H190" s="35" t="s">
        <v>1144</v>
      </c>
      <c r="I190" s="21">
        <v>6385210</v>
      </c>
      <c r="J190" s="21"/>
      <c r="K190" s="22">
        <v>1213189.8999999999</v>
      </c>
      <c r="L190" s="23"/>
      <c r="M190" s="22">
        <v>0</v>
      </c>
      <c r="N190" s="72">
        <v>2.5000000000000001E-2</v>
      </c>
      <c r="O190" s="22">
        <v>159630.25</v>
      </c>
      <c r="P190" s="21">
        <v>7438769.6500000004</v>
      </c>
      <c r="S190" s="101" t="b">
        <f>OR(COUNTIF(Tabla2[[#This Row],[PROVEEDOR]],"*"&amp;'Palabra no opera'!$A$2&amp;"*"))</f>
        <v>0</v>
      </c>
      <c r="T190" s="113">
        <f>+$W$5-Tabla2[[#This Row],[FECHA DE FACTURACIÓN]]</f>
        <v>120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15" t="str">
        <f>+IF(AND(Tabla2[[#This Row],[venc]]="venc",Tabla2[[#This Row],[Columna1]]="por pagar"),"vencida","no")</f>
        <v>no</v>
      </c>
    </row>
    <row r="191" spans="1:23" ht="15.75" x14ac:dyDescent="0.25">
      <c r="A191" s="20">
        <v>30</v>
      </c>
      <c r="B191" s="25">
        <v>0</v>
      </c>
      <c r="C191" s="25"/>
      <c r="D191" s="56" t="s">
        <v>104</v>
      </c>
      <c r="E191" s="66">
        <v>45271</v>
      </c>
      <c r="F191" s="323" t="s">
        <v>566</v>
      </c>
      <c r="G191" s="66">
        <v>45271</v>
      </c>
      <c r="H191" s="35" t="s">
        <v>1358</v>
      </c>
      <c r="I191" s="21">
        <v>1500000</v>
      </c>
      <c r="J191" s="21"/>
      <c r="K191" s="22">
        <v>0</v>
      </c>
      <c r="L191" s="23"/>
      <c r="M191" s="22">
        <v>0</v>
      </c>
      <c r="N191" s="72">
        <v>0</v>
      </c>
      <c r="O191" s="22">
        <v>0</v>
      </c>
      <c r="P191" s="21">
        <v>1500000</v>
      </c>
      <c r="S191" s="101" t="b">
        <f>OR(COUNTIF(Tabla2[[#This Row],[PROVEEDOR]],"*"&amp;'Palabra no opera'!$A$2&amp;"*"))</f>
        <v>0</v>
      </c>
      <c r="T191" s="113">
        <f>+$W$5-Tabla2[[#This Row],[FECHA DE FACTURACIÓN]]</f>
        <v>51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15" t="str">
        <f>+IF(AND(Tabla2[[#This Row],[venc]]="venc",Tabla2[[#This Row],[Columna1]]="por pagar"),"vencida","no")</f>
        <v>no</v>
      </c>
    </row>
    <row r="192" spans="1:23" ht="15.75" x14ac:dyDescent="0.25">
      <c r="A192" s="20">
        <v>30</v>
      </c>
      <c r="B192" s="25">
        <v>0</v>
      </c>
      <c r="C192" s="25"/>
      <c r="D192" s="56" t="s">
        <v>284</v>
      </c>
      <c r="E192" s="66">
        <v>45271</v>
      </c>
      <c r="F192" s="323" t="s">
        <v>401</v>
      </c>
      <c r="G192" s="66">
        <v>45261</v>
      </c>
      <c r="H192" s="35" t="s">
        <v>1360</v>
      </c>
      <c r="I192" s="21">
        <v>908172</v>
      </c>
      <c r="J192" s="21"/>
      <c r="K192" s="22">
        <v>172552.68</v>
      </c>
      <c r="L192" s="23"/>
      <c r="M192" s="22">
        <v>0</v>
      </c>
      <c r="N192" s="72">
        <v>0</v>
      </c>
      <c r="O192" s="22">
        <v>0</v>
      </c>
      <c r="P192" s="21">
        <v>1080724.68</v>
      </c>
      <c r="S192" s="101" t="b">
        <f>OR(COUNTIF(Tabla2[[#This Row],[PROVEEDOR]],"*"&amp;'Palabra no opera'!$A$2&amp;"*"))</f>
        <v>1</v>
      </c>
      <c r="T192" s="113">
        <f>+$W$5-Tabla2[[#This Row],[FECHA DE FACTURACIÓN]]</f>
        <v>61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15" t="str">
        <f>+IF(AND(Tabla2[[#This Row],[venc]]="venc",Tabla2[[#This Row],[Columna1]]="por pagar"),"vencida","no")</f>
        <v>no</v>
      </c>
    </row>
    <row r="193" spans="1:23" ht="15.75" x14ac:dyDescent="0.25">
      <c r="A193" s="20">
        <v>30</v>
      </c>
      <c r="B193" s="25">
        <v>0</v>
      </c>
      <c r="C193" s="25"/>
      <c r="D193" s="56" t="s">
        <v>284</v>
      </c>
      <c r="E193" s="66">
        <v>45271</v>
      </c>
      <c r="F193" s="323" t="s">
        <v>401</v>
      </c>
      <c r="G193" s="66">
        <v>45261</v>
      </c>
      <c r="H193" s="35" t="s">
        <v>1361</v>
      </c>
      <c r="I193" s="21">
        <v>3792544</v>
      </c>
      <c r="J193" s="21"/>
      <c r="K193" s="22">
        <v>720583.36</v>
      </c>
      <c r="L193" s="23"/>
      <c r="M193" s="22">
        <v>0</v>
      </c>
      <c r="N193" s="72"/>
      <c r="O193" s="22">
        <v>0</v>
      </c>
      <c r="P193" s="21">
        <v>4513127.3600000003</v>
      </c>
      <c r="S193" s="101" t="b">
        <f>OR(COUNTIF(Tabla2[[#This Row],[PROVEEDOR]],"*"&amp;'Palabra no opera'!$A$2&amp;"*"))</f>
        <v>1</v>
      </c>
      <c r="T193" s="113">
        <f>+$W$5-Tabla2[[#This Row],[FECHA DE FACTURACIÓN]]</f>
        <v>61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15" t="str">
        <f>+IF(AND(Tabla2[[#This Row],[venc]]="venc",Tabla2[[#This Row],[Columna1]]="por pagar"),"vencida","no")</f>
        <v>no</v>
      </c>
    </row>
    <row r="194" spans="1:23" ht="15.75" x14ac:dyDescent="0.25">
      <c r="A194" s="20">
        <v>30</v>
      </c>
      <c r="B194" s="25">
        <v>0</v>
      </c>
      <c r="C194" s="25"/>
      <c r="D194" s="56" t="s">
        <v>1508</v>
      </c>
      <c r="E194" s="66">
        <v>45271</v>
      </c>
      <c r="F194" s="323" t="s">
        <v>406</v>
      </c>
      <c r="G194" s="66">
        <v>45261</v>
      </c>
      <c r="H194" s="35" t="s">
        <v>1363</v>
      </c>
      <c r="I194" s="21">
        <v>1840056</v>
      </c>
      <c r="J194" s="21"/>
      <c r="K194" s="22">
        <v>0</v>
      </c>
      <c r="L194" s="23"/>
      <c r="M194" s="22">
        <v>105097</v>
      </c>
      <c r="N194" s="72">
        <v>0</v>
      </c>
      <c r="O194" s="22">
        <v>0</v>
      </c>
      <c r="P194" s="21">
        <v>1734959</v>
      </c>
      <c r="S194" s="101" t="b">
        <f>OR(COUNTIF(Tabla2[[#This Row],[PROVEEDOR]],"*"&amp;'Palabra no opera'!$A$2&amp;"*"))</f>
        <v>1</v>
      </c>
      <c r="T194" s="113">
        <f>+$W$5-Tabla2[[#This Row],[FECHA DE FACTURACIÓN]]</f>
        <v>61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15" t="str">
        <f>+IF(AND(Tabla2[[#This Row],[venc]]="venc",Tabla2[[#This Row],[Columna1]]="por pagar"),"vencida","no")</f>
        <v>no</v>
      </c>
    </row>
    <row r="195" spans="1:23" ht="15.75" x14ac:dyDescent="0.25">
      <c r="A195" s="20">
        <v>30</v>
      </c>
      <c r="B195" s="25">
        <v>0</v>
      </c>
      <c r="C195" s="25"/>
      <c r="D195" s="56" t="s">
        <v>300</v>
      </c>
      <c r="E195" s="66">
        <v>45271</v>
      </c>
      <c r="F195" s="323" t="s">
        <v>409</v>
      </c>
      <c r="G195" s="66">
        <v>45261</v>
      </c>
      <c r="H195" s="35" t="s">
        <v>1368</v>
      </c>
      <c r="I195" s="21">
        <v>318603</v>
      </c>
      <c r="J195" s="21">
        <v>9545</v>
      </c>
      <c r="K195" s="22">
        <v>0</v>
      </c>
      <c r="L195" s="23"/>
      <c r="M195" s="22">
        <v>0</v>
      </c>
      <c r="N195" s="72">
        <v>0</v>
      </c>
      <c r="O195" s="22">
        <v>0</v>
      </c>
      <c r="P195" s="21">
        <v>309058</v>
      </c>
      <c r="S195" s="101" t="b">
        <f>OR(COUNTIF(Tabla2[[#This Row],[PROVEEDOR]],"*"&amp;'Palabra no opera'!$A$2&amp;"*"))</f>
        <v>1</v>
      </c>
      <c r="T195" s="113">
        <f>+$W$5-Tabla2[[#This Row],[FECHA DE FACTURACIÓN]]</f>
        <v>61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15" t="str">
        <f>+IF(AND(Tabla2[[#This Row],[venc]]="venc",Tabla2[[#This Row],[Columna1]]="por pagar"),"vencida","no")</f>
        <v>no</v>
      </c>
    </row>
    <row r="196" spans="1:23" ht="15.75" x14ac:dyDescent="0.25">
      <c r="A196" s="20">
        <v>30</v>
      </c>
      <c r="B196" s="25">
        <v>0</v>
      </c>
      <c r="C196" s="25"/>
      <c r="D196" s="56" t="s">
        <v>449</v>
      </c>
      <c r="E196" s="66">
        <v>45271</v>
      </c>
      <c r="F196" s="323" t="s">
        <v>415</v>
      </c>
      <c r="G196" s="66">
        <v>45261</v>
      </c>
      <c r="H196" s="35" t="s">
        <v>1365</v>
      </c>
      <c r="I196" s="21">
        <v>914023</v>
      </c>
      <c r="J196" s="21"/>
      <c r="K196" s="22">
        <v>0</v>
      </c>
      <c r="L196" s="23"/>
      <c r="M196" s="22">
        <v>0</v>
      </c>
      <c r="N196" s="72">
        <v>0</v>
      </c>
      <c r="O196" s="22">
        <v>0</v>
      </c>
      <c r="P196" s="21">
        <v>914023</v>
      </c>
      <c r="S196" s="101" t="b">
        <f>OR(COUNTIF(Tabla2[[#This Row],[PROVEEDOR]],"*"&amp;'Palabra no opera'!$A$2&amp;"*"))</f>
        <v>1</v>
      </c>
      <c r="T196" s="113">
        <f>+$W$5-Tabla2[[#This Row],[FECHA DE FACTURACIÓN]]</f>
        <v>61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15" t="str">
        <f>+IF(AND(Tabla2[[#This Row],[venc]]="venc",Tabla2[[#This Row],[Columna1]]="por pagar"),"vencida","no")</f>
        <v>no</v>
      </c>
    </row>
    <row r="197" spans="1:23" ht="15.75" x14ac:dyDescent="0.25">
      <c r="A197" s="20">
        <v>30</v>
      </c>
      <c r="B197" s="25">
        <v>0</v>
      </c>
      <c r="C197" s="25"/>
      <c r="D197" s="56" t="s">
        <v>449</v>
      </c>
      <c r="E197" s="66">
        <v>45271</v>
      </c>
      <c r="F197" s="323" t="s">
        <v>415</v>
      </c>
      <c r="G197" s="66">
        <v>45261</v>
      </c>
      <c r="H197" s="35" t="s">
        <v>1366</v>
      </c>
      <c r="I197" s="21">
        <v>934363</v>
      </c>
      <c r="J197" s="21"/>
      <c r="K197" s="22">
        <v>0</v>
      </c>
      <c r="L197" s="23"/>
      <c r="M197" s="22">
        <v>0</v>
      </c>
      <c r="N197" s="72">
        <v>0</v>
      </c>
      <c r="O197" s="22">
        <v>0</v>
      </c>
      <c r="P197" s="21">
        <v>934363</v>
      </c>
      <c r="S197" s="101" t="b">
        <f>OR(COUNTIF(Tabla2[[#This Row],[PROVEEDOR]],"*"&amp;'Palabra no opera'!$A$2&amp;"*"))</f>
        <v>1</v>
      </c>
      <c r="T197" s="113">
        <f>+$W$5-Tabla2[[#This Row],[FECHA DE FACTURACIÓN]]</f>
        <v>61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15" t="str">
        <f>+IF(AND(Tabla2[[#This Row],[venc]]="venc",Tabla2[[#This Row],[Columna1]]="por pagar"),"vencida","no")</f>
        <v>no</v>
      </c>
    </row>
    <row r="198" spans="1:23" ht="15.75" x14ac:dyDescent="0.25">
      <c r="A198" s="20">
        <v>30</v>
      </c>
      <c r="B198" s="25">
        <v>0</v>
      </c>
      <c r="C198" s="25"/>
      <c r="D198" s="56" t="s">
        <v>505</v>
      </c>
      <c r="E198" s="66">
        <v>45271</v>
      </c>
      <c r="F198" s="323" t="s">
        <v>416</v>
      </c>
      <c r="G198" s="66">
        <v>45261</v>
      </c>
      <c r="H198" s="35" t="s">
        <v>1362</v>
      </c>
      <c r="I198" s="21">
        <v>4394976</v>
      </c>
      <c r="J198" s="21"/>
      <c r="K198" s="22">
        <v>752248</v>
      </c>
      <c r="L198" s="23"/>
      <c r="M198" s="22">
        <v>0</v>
      </c>
      <c r="N198" s="72">
        <v>3.5000000000000003E-2</v>
      </c>
      <c r="O198" s="22"/>
      <c r="P198" s="21">
        <v>5147224</v>
      </c>
      <c r="S198" s="101" t="b">
        <f>OR(COUNTIF(Tabla2[[#This Row],[PROVEEDOR]],"*"&amp;'Palabra no opera'!$A$2&amp;"*"))</f>
        <v>1</v>
      </c>
      <c r="T198" s="113">
        <f>+$W$5-Tabla2[[#This Row],[FECHA DE FACTURACIÓN]]</f>
        <v>61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15" t="str">
        <f>+IF(AND(Tabla2[[#This Row],[venc]]="venc",Tabla2[[#This Row],[Columna1]]="por pagar"),"vencida","no")</f>
        <v>no</v>
      </c>
    </row>
    <row r="199" spans="1:23" ht="15.75" x14ac:dyDescent="0.25">
      <c r="A199" s="20">
        <v>30</v>
      </c>
      <c r="B199" s="25">
        <v>0</v>
      </c>
      <c r="C199" s="25"/>
      <c r="D199" s="56" t="s">
        <v>174</v>
      </c>
      <c r="E199" s="66">
        <v>45271</v>
      </c>
      <c r="F199" s="323" t="s">
        <v>427</v>
      </c>
      <c r="G199" s="66">
        <v>45261</v>
      </c>
      <c r="H199" s="35" t="s">
        <v>1364</v>
      </c>
      <c r="I199" s="21">
        <v>243611</v>
      </c>
      <c r="J199" s="21"/>
      <c r="K199" s="22">
        <v>46286.090000000004</v>
      </c>
      <c r="L199" s="23"/>
      <c r="M199" s="22">
        <v>0</v>
      </c>
      <c r="N199" s="72">
        <v>3.5000000000000003E-2</v>
      </c>
      <c r="O199" s="22">
        <v>8526.3850000000002</v>
      </c>
      <c r="P199" s="21">
        <v>281370.70500000002</v>
      </c>
      <c r="S199" s="101" t="b">
        <f>OR(COUNTIF(Tabla2[[#This Row],[PROVEEDOR]],"*"&amp;'Palabra no opera'!$A$2&amp;"*"))</f>
        <v>1</v>
      </c>
      <c r="T199" s="113">
        <f>+$W$5-Tabla2[[#This Row],[FECHA DE FACTURACIÓN]]</f>
        <v>61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15" t="str">
        <f>+IF(AND(Tabla2[[#This Row],[venc]]="venc",Tabla2[[#This Row],[Columna1]]="por pagar"),"vencida","no")</f>
        <v>no</v>
      </c>
    </row>
    <row r="200" spans="1:23" ht="15.75" x14ac:dyDescent="0.25">
      <c r="A200" s="20">
        <v>10</v>
      </c>
      <c r="B200" s="25">
        <v>0</v>
      </c>
      <c r="C200" s="25"/>
      <c r="D200" s="56" t="s">
        <v>523</v>
      </c>
      <c r="E200" s="66">
        <v>45271</v>
      </c>
      <c r="F200" s="323" t="s">
        <v>522</v>
      </c>
      <c r="G200" s="66">
        <v>45261</v>
      </c>
      <c r="H200" s="35" t="s">
        <v>1359</v>
      </c>
      <c r="I200" s="21">
        <v>5350576</v>
      </c>
      <c r="J200" s="21"/>
      <c r="K200" s="22">
        <v>1016609</v>
      </c>
      <c r="L200" s="23"/>
      <c r="M200" s="22">
        <v>0</v>
      </c>
      <c r="N200" s="72">
        <v>0</v>
      </c>
      <c r="O200" s="22">
        <v>0</v>
      </c>
      <c r="P200" s="21">
        <v>6367185</v>
      </c>
      <c r="S200" s="101" t="b">
        <f>OR(COUNTIF(Tabla2[[#This Row],[PROVEEDOR]],"*"&amp;'Palabra no opera'!$A$2&amp;"*"))</f>
        <v>1</v>
      </c>
      <c r="T200" s="113">
        <f>+$W$5-Tabla2[[#This Row],[FECHA DE FACTURACIÓN]]</f>
        <v>61</v>
      </c>
      <c r="U200" t="str">
        <f>+IF(Tabla2[[#This Row],[dias de credito]]&gt;=Tabla2[[#This Row],[PLAZO Días]],"venc", "No venc")</f>
        <v>venc</v>
      </c>
      <c r="V200" t="str">
        <f>+IF(Tabla2[[#This Row],[FECHA DE PAGO]]&gt;0,"pagada","por pagar")</f>
        <v>pagada</v>
      </c>
      <c r="W200" s="115" t="str">
        <f>+IF(AND(Tabla2[[#This Row],[venc]]="venc",Tabla2[[#This Row],[Columna1]]="por pagar"),"vencida","no")</f>
        <v>no</v>
      </c>
    </row>
    <row r="201" spans="1:23" ht="15.75" x14ac:dyDescent="0.25">
      <c r="A201" s="20">
        <v>30</v>
      </c>
      <c r="B201" s="25">
        <v>0</v>
      </c>
      <c r="C201" s="25"/>
      <c r="D201" s="56" t="s">
        <v>104</v>
      </c>
      <c r="E201" s="66">
        <v>45271</v>
      </c>
      <c r="F201" s="323" t="s">
        <v>279</v>
      </c>
      <c r="G201" s="66">
        <v>45259</v>
      </c>
      <c r="H201" s="35" t="s">
        <v>1353</v>
      </c>
      <c r="I201" s="21">
        <v>697800</v>
      </c>
      <c r="J201" s="21"/>
      <c r="K201" s="22">
        <v>0</v>
      </c>
      <c r="L201" s="23"/>
      <c r="M201" s="22">
        <v>0</v>
      </c>
      <c r="N201" s="72">
        <v>0</v>
      </c>
      <c r="O201" s="22">
        <v>0</v>
      </c>
      <c r="P201" s="21">
        <v>697800</v>
      </c>
      <c r="S201" s="101" t="b">
        <f>OR(COUNTIF(Tabla2[[#This Row],[PROVEEDOR]],"*"&amp;'Palabra no opera'!$A$2&amp;"*"))</f>
        <v>0</v>
      </c>
      <c r="T201" s="113">
        <f>+$W$5-Tabla2[[#This Row],[FECHA DE FACTURACIÓN]]</f>
        <v>63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15" t="str">
        <f>+IF(AND(Tabla2[[#This Row],[venc]]="venc",Tabla2[[#This Row],[Columna1]]="por pagar"),"vencida","no")</f>
        <v>no</v>
      </c>
    </row>
    <row r="202" spans="1:23" ht="15.75" x14ac:dyDescent="0.25">
      <c r="A202" s="20">
        <v>30</v>
      </c>
      <c r="B202" s="25">
        <v>0</v>
      </c>
      <c r="C202" s="25"/>
      <c r="D202" s="56" t="s">
        <v>104</v>
      </c>
      <c r="E202" s="66">
        <v>45271</v>
      </c>
      <c r="F202" s="323" t="s">
        <v>279</v>
      </c>
      <c r="G202" s="66">
        <v>45255</v>
      </c>
      <c r="H202" s="35" t="s">
        <v>1352</v>
      </c>
      <c r="I202" s="21">
        <v>71000</v>
      </c>
      <c r="J202" s="21"/>
      <c r="K202" s="22">
        <v>0</v>
      </c>
      <c r="L202" s="23"/>
      <c r="M202" s="22">
        <v>0</v>
      </c>
      <c r="N202" s="72">
        <v>0</v>
      </c>
      <c r="O202" s="22">
        <v>0</v>
      </c>
      <c r="P202" s="21">
        <v>71000</v>
      </c>
      <c r="S202" s="101" t="b">
        <f>OR(COUNTIF(Tabla2[[#This Row],[PROVEEDOR]],"*"&amp;'Palabra no opera'!$A$2&amp;"*"))</f>
        <v>0</v>
      </c>
      <c r="T202" s="113">
        <f>+$W$5-Tabla2[[#This Row],[FECHA DE FACTURACIÓN]]</f>
        <v>67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15" t="str">
        <f>+IF(AND(Tabla2[[#This Row],[venc]]="venc",Tabla2[[#This Row],[Columna1]]="por pagar"),"vencida","no")</f>
        <v>no</v>
      </c>
    </row>
    <row r="203" spans="1:23" ht="15.75" x14ac:dyDescent="0.25">
      <c r="A203" s="20">
        <v>30</v>
      </c>
      <c r="B203" s="25">
        <v>0</v>
      </c>
      <c r="C203" s="25"/>
      <c r="D203" s="56" t="s">
        <v>233</v>
      </c>
      <c r="E203" s="66">
        <v>45271</v>
      </c>
      <c r="F203" s="323" t="s">
        <v>413</v>
      </c>
      <c r="G203" s="66">
        <v>45236</v>
      </c>
      <c r="H203" s="35" t="s">
        <v>1367</v>
      </c>
      <c r="I203" s="21">
        <v>3456200</v>
      </c>
      <c r="J203" s="21"/>
      <c r="K203" s="22">
        <v>0</v>
      </c>
      <c r="L203" s="23"/>
      <c r="M203" s="22">
        <v>0</v>
      </c>
      <c r="N203" s="72">
        <v>3.5000000000000003E-2</v>
      </c>
      <c r="O203" s="22">
        <v>120967.00000000001</v>
      </c>
      <c r="P203" s="21">
        <v>3335233</v>
      </c>
      <c r="S203" s="101" t="b">
        <f>OR(COUNTIF(Tabla2[[#This Row],[PROVEEDOR]],"*"&amp;'Palabra no opera'!$A$2&amp;"*"))</f>
        <v>1</v>
      </c>
      <c r="T203" s="113">
        <f>+$W$5-Tabla2[[#This Row],[FECHA DE FACTURACIÓN]]</f>
        <v>86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15" t="str">
        <f>+IF(AND(Tabla2[[#This Row],[venc]]="venc",Tabla2[[#This Row],[Columna1]]="por pagar"),"vencida","no")</f>
        <v>no</v>
      </c>
    </row>
    <row r="204" spans="1:23" ht="15.75" x14ac:dyDescent="0.25">
      <c r="A204" s="20">
        <v>60</v>
      </c>
      <c r="B204" s="25">
        <v>14884783</v>
      </c>
      <c r="C204" s="25"/>
      <c r="D204" s="56" t="s">
        <v>432</v>
      </c>
      <c r="E204" s="66">
        <v>45271</v>
      </c>
      <c r="F204" s="323" t="s">
        <v>76</v>
      </c>
      <c r="G204" s="66">
        <v>45233</v>
      </c>
      <c r="H204" s="35" t="s">
        <v>1246</v>
      </c>
      <c r="I204" s="21">
        <v>-773410</v>
      </c>
      <c r="J204" s="21"/>
      <c r="K204" s="22">
        <v>-146947.9</v>
      </c>
      <c r="L204" s="23"/>
      <c r="M204" s="22">
        <v>0</v>
      </c>
      <c r="N204" s="72">
        <v>0</v>
      </c>
      <c r="O204" s="22">
        <v>-19335</v>
      </c>
      <c r="P204" s="21">
        <v>-901022.9</v>
      </c>
      <c r="S204" s="101" t="b">
        <f>OR(COUNTIF(Tabla2[[#This Row],[PROVEEDOR]],"*"&amp;'Palabra no opera'!$A$2&amp;"*"))</f>
        <v>0</v>
      </c>
      <c r="T204" s="113">
        <f>+$W$5-Tabla2[[#This Row],[FECHA DE FACTURACIÓN]]</f>
        <v>89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15" t="str">
        <f>+IF(AND(Tabla2[[#This Row],[venc]]="venc",Tabla2[[#This Row],[Columna1]]="por pagar"),"vencida","no")</f>
        <v>no</v>
      </c>
    </row>
    <row r="205" spans="1:23" ht="15.75" x14ac:dyDescent="0.25">
      <c r="A205" s="20">
        <v>60</v>
      </c>
      <c r="B205" s="25">
        <v>14884783</v>
      </c>
      <c r="C205" s="25"/>
      <c r="D205" s="56" t="s">
        <v>432</v>
      </c>
      <c r="E205" s="66">
        <v>45271</v>
      </c>
      <c r="F205" s="323" t="s">
        <v>76</v>
      </c>
      <c r="G205" s="66">
        <v>45233</v>
      </c>
      <c r="H205" s="35" t="s">
        <v>1247</v>
      </c>
      <c r="I205" s="21">
        <v>320106</v>
      </c>
      <c r="J205" s="21"/>
      <c r="K205" s="22">
        <v>60820.14</v>
      </c>
      <c r="L205" s="23"/>
      <c r="M205" s="22">
        <v>0</v>
      </c>
      <c r="N205" s="72">
        <v>0</v>
      </c>
      <c r="O205" s="22">
        <v>0</v>
      </c>
      <c r="P205" s="21">
        <v>380926.14</v>
      </c>
      <c r="S205" s="101" t="b">
        <f>OR(COUNTIF(Tabla2[[#This Row],[PROVEEDOR]],"*"&amp;'Palabra no opera'!$A$2&amp;"*"))</f>
        <v>0</v>
      </c>
      <c r="T205" s="113">
        <f>+$W$5-Tabla2[[#This Row],[FECHA DE FACTURACIÓN]]</f>
        <v>89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15" t="str">
        <f>+IF(AND(Tabla2[[#This Row],[venc]]="venc",Tabla2[[#This Row],[Columna1]]="por pagar"),"vencida","no")</f>
        <v>no</v>
      </c>
    </row>
    <row r="206" spans="1:23" ht="15.75" x14ac:dyDescent="0.25">
      <c r="A206" s="20">
        <v>60</v>
      </c>
      <c r="B206" s="25">
        <v>14884783</v>
      </c>
      <c r="C206" s="25"/>
      <c r="D206" s="56" t="s">
        <v>432</v>
      </c>
      <c r="E206" s="66">
        <v>45271</v>
      </c>
      <c r="F206" s="323" t="s">
        <v>76</v>
      </c>
      <c r="G206" s="66">
        <v>45224</v>
      </c>
      <c r="H206" s="35" t="s">
        <v>1313</v>
      </c>
      <c r="I206" s="21">
        <v>24519811</v>
      </c>
      <c r="J206" s="21"/>
      <c r="K206" s="22">
        <v>4658764.09</v>
      </c>
      <c r="L206" s="23"/>
      <c r="M206" s="22"/>
      <c r="N206" s="72">
        <v>2.5000000000000001E-2</v>
      </c>
      <c r="O206" s="22">
        <v>612995.27500000002</v>
      </c>
      <c r="P206" s="21">
        <v>28565579.815000001</v>
      </c>
      <c r="S206" s="101" t="b">
        <f>OR(COUNTIF(Tabla2[[#This Row],[PROVEEDOR]],"*"&amp;'Palabra no opera'!$A$2&amp;"*"))</f>
        <v>0</v>
      </c>
      <c r="T206" s="113">
        <f>+$W$5-Tabla2[[#This Row],[FECHA DE FACTURACIÓN]]</f>
        <v>98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15" t="str">
        <f>+IF(AND(Tabla2[[#This Row],[venc]]="venc",Tabla2[[#This Row],[Columna1]]="por pagar"),"vencida","no")</f>
        <v>no</v>
      </c>
    </row>
    <row r="207" spans="1:23" ht="15.75" x14ac:dyDescent="0.25">
      <c r="A207" s="20">
        <v>30</v>
      </c>
      <c r="B207" s="25">
        <v>0</v>
      </c>
      <c r="C207" s="25"/>
      <c r="D207" s="56">
        <v>0</v>
      </c>
      <c r="E207" s="66">
        <v>45269</v>
      </c>
      <c r="F207" s="323" t="s">
        <v>420</v>
      </c>
      <c r="G207" s="66">
        <v>45269</v>
      </c>
      <c r="H207" s="35" t="s">
        <v>480</v>
      </c>
      <c r="I207" s="21">
        <v>129083</v>
      </c>
      <c r="J207" s="21"/>
      <c r="K207" s="22">
        <v>0</v>
      </c>
      <c r="L207" s="23"/>
      <c r="M207" s="22">
        <v>0</v>
      </c>
      <c r="N207" s="72">
        <v>0</v>
      </c>
      <c r="O207" s="22">
        <v>0</v>
      </c>
      <c r="P207" s="21">
        <v>129083</v>
      </c>
      <c r="S207" s="101" t="b">
        <f>OR(COUNTIF(Tabla2[[#This Row],[PROVEEDOR]],"*"&amp;'Palabra no opera'!$A$2&amp;"*"))</f>
        <v>1</v>
      </c>
      <c r="T207" s="113">
        <f>+$W$5-Tabla2[[#This Row],[FECHA DE FACTURACIÓN]]</f>
        <v>53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15" t="str">
        <f>+IF(AND(Tabla2[[#This Row],[venc]]="venc",Tabla2[[#This Row],[Columna1]]="por pagar"),"vencida","no")</f>
        <v>no</v>
      </c>
    </row>
    <row r="208" spans="1:23" ht="15.75" x14ac:dyDescent="0.25">
      <c r="A208" s="20">
        <v>30</v>
      </c>
      <c r="B208" s="25">
        <v>0</v>
      </c>
      <c r="C208" s="25"/>
      <c r="D208" s="56" t="s">
        <v>104</v>
      </c>
      <c r="E208" s="66">
        <v>45267</v>
      </c>
      <c r="F208" s="323" t="s">
        <v>299</v>
      </c>
      <c r="G208" s="66">
        <v>45267</v>
      </c>
      <c r="H208" s="35"/>
      <c r="I208" s="21">
        <v>1315000</v>
      </c>
      <c r="J208" s="21"/>
      <c r="K208" s="22">
        <v>0</v>
      </c>
      <c r="L208" s="23"/>
      <c r="M208" s="22">
        <v>0</v>
      </c>
      <c r="N208" s="72">
        <v>0</v>
      </c>
      <c r="O208" s="22">
        <v>0</v>
      </c>
      <c r="P208" s="21">
        <v>1315000</v>
      </c>
      <c r="S208" s="101" t="b">
        <f>OR(COUNTIF(Tabla2[[#This Row],[PROVEEDOR]],"*"&amp;'Palabra no opera'!$A$2&amp;"*"))</f>
        <v>0</v>
      </c>
      <c r="T208" s="113">
        <f>+$W$5-Tabla2[[#This Row],[FECHA DE FACTURACIÓN]]</f>
        <v>55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15" t="str">
        <f>+IF(AND(Tabla2[[#This Row],[venc]]="venc",Tabla2[[#This Row],[Columna1]]="por pagar"),"vencida","no")</f>
        <v>no</v>
      </c>
    </row>
    <row r="209" spans="1:23" ht="15.75" x14ac:dyDescent="0.25">
      <c r="A209" s="20">
        <v>30</v>
      </c>
      <c r="B209" s="25">
        <v>0</v>
      </c>
      <c r="C209" s="25"/>
      <c r="D209" s="56" t="s">
        <v>104</v>
      </c>
      <c r="E209" s="66">
        <v>45267</v>
      </c>
      <c r="F209" s="323" t="s">
        <v>308</v>
      </c>
      <c r="G209" s="66">
        <v>45232</v>
      </c>
      <c r="H209" s="35" t="s">
        <v>1257</v>
      </c>
      <c r="I209" s="21">
        <v>1256500</v>
      </c>
      <c r="J209" s="21"/>
      <c r="K209" s="22">
        <v>0</v>
      </c>
      <c r="L209" s="23"/>
      <c r="M209" s="22">
        <v>0</v>
      </c>
      <c r="N209" s="72">
        <v>0</v>
      </c>
      <c r="O209" s="22">
        <v>0</v>
      </c>
      <c r="P209" s="21">
        <v>1256500</v>
      </c>
      <c r="S209" s="101" t="b">
        <f>OR(COUNTIF(Tabla2[[#This Row],[PROVEEDOR]],"*"&amp;'Palabra no opera'!$A$2&amp;"*"))</f>
        <v>0</v>
      </c>
      <c r="T209" s="113">
        <f>+$W$5-Tabla2[[#This Row],[FECHA DE FACTURACIÓN]]</f>
        <v>90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15" t="str">
        <f>+IF(AND(Tabla2[[#This Row],[venc]]="venc",Tabla2[[#This Row],[Columna1]]="por pagar"),"vencida","no")</f>
        <v>no</v>
      </c>
    </row>
    <row r="210" spans="1:23" ht="15.75" x14ac:dyDescent="0.25">
      <c r="A210" s="20">
        <v>30</v>
      </c>
      <c r="B210" s="25">
        <v>0</v>
      </c>
      <c r="C210" s="25"/>
      <c r="D210" s="56" t="s">
        <v>1266</v>
      </c>
      <c r="E210" s="66">
        <v>45267</v>
      </c>
      <c r="F210" s="323" t="s">
        <v>1265</v>
      </c>
      <c r="G210" s="66">
        <v>45232</v>
      </c>
      <c r="H210" s="35" t="s">
        <v>1269</v>
      </c>
      <c r="I210" s="21">
        <v>1089076</v>
      </c>
      <c r="J210" s="21"/>
      <c r="K210" s="22">
        <v>206924.44</v>
      </c>
      <c r="L210" s="23"/>
      <c r="M210" s="22">
        <v>0</v>
      </c>
      <c r="N210" s="72">
        <v>0</v>
      </c>
      <c r="O210" s="22">
        <v>0</v>
      </c>
      <c r="P210" s="21">
        <v>1296000.44</v>
      </c>
      <c r="S210" s="101" t="b">
        <f>OR(COUNTIF(Tabla2[[#This Row],[PROVEEDOR]],"*"&amp;'Palabra no opera'!$A$2&amp;"*"))</f>
        <v>0</v>
      </c>
      <c r="T210" s="113">
        <f>+$W$5-Tabla2[[#This Row],[FECHA DE FACTURACIÓN]]</f>
        <v>90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15" t="str">
        <f>+IF(AND(Tabla2[[#This Row],[venc]]="venc",Tabla2[[#This Row],[Columna1]]="por pagar"),"vencida","no")</f>
        <v>no</v>
      </c>
    </row>
    <row r="211" spans="1:23" ht="15.75" x14ac:dyDescent="0.25">
      <c r="A211" s="20">
        <v>30</v>
      </c>
      <c r="B211" s="25">
        <v>4202500</v>
      </c>
      <c r="C211" s="25"/>
      <c r="D211" s="56" t="s">
        <v>231</v>
      </c>
      <c r="E211" s="66">
        <v>45267</v>
      </c>
      <c r="F211" s="323" t="s">
        <v>301</v>
      </c>
      <c r="G211" s="66">
        <v>45231</v>
      </c>
      <c r="H211" s="35" t="s">
        <v>1261</v>
      </c>
      <c r="I211" s="21">
        <v>2990000</v>
      </c>
      <c r="J211" s="21"/>
      <c r="K211" s="22">
        <v>0</v>
      </c>
      <c r="L211" s="23"/>
      <c r="M211" s="22">
        <v>0</v>
      </c>
      <c r="N211" s="72">
        <v>0</v>
      </c>
      <c r="O211" s="22">
        <v>0</v>
      </c>
      <c r="P211" s="21">
        <v>2990000</v>
      </c>
      <c r="S211" s="101" t="b">
        <f>OR(COUNTIF(Tabla2[[#This Row],[PROVEEDOR]],"*"&amp;'Palabra no opera'!$A$2&amp;"*"))</f>
        <v>0</v>
      </c>
      <c r="T211" s="113">
        <f>+$W$5-Tabla2[[#This Row],[FECHA DE FACTURACIÓN]]</f>
        <v>91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15" t="str">
        <f>+IF(AND(Tabla2[[#This Row],[venc]]="venc",Tabla2[[#This Row],[Columna1]]="por pagar"),"vencida","no")</f>
        <v>no</v>
      </c>
    </row>
    <row r="212" spans="1:23" ht="15.75" x14ac:dyDescent="0.25">
      <c r="A212" s="20">
        <v>30</v>
      </c>
      <c r="B212" s="25">
        <v>0</v>
      </c>
      <c r="C212" s="25"/>
      <c r="D212" s="56" t="s">
        <v>104</v>
      </c>
      <c r="E212" s="66">
        <v>45266</v>
      </c>
      <c r="F212" s="323" t="s">
        <v>279</v>
      </c>
      <c r="G212" s="66">
        <v>45266</v>
      </c>
      <c r="H212" s="35" t="s">
        <v>1373</v>
      </c>
      <c r="I212" s="21">
        <v>412900</v>
      </c>
      <c r="J212" s="21"/>
      <c r="K212" s="22">
        <v>0</v>
      </c>
      <c r="L212" s="23"/>
      <c r="M212" s="22">
        <v>0</v>
      </c>
      <c r="N212" s="72">
        <v>0</v>
      </c>
      <c r="O212" s="22">
        <v>0</v>
      </c>
      <c r="P212" s="21">
        <v>412900</v>
      </c>
      <c r="S212" s="101" t="b">
        <f>OR(COUNTIF(Tabla2[[#This Row],[PROVEEDOR]],"*"&amp;'Palabra no opera'!$A$2&amp;"*"))</f>
        <v>0</v>
      </c>
      <c r="T212" s="113">
        <f>+$W$5-Tabla2[[#This Row],[FECHA DE FACTURACIÓN]]</f>
        <v>56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15" t="str">
        <f>+IF(AND(Tabla2[[#This Row],[venc]]="venc",Tabla2[[#This Row],[Columna1]]="por pagar"),"vencida","no")</f>
        <v>no</v>
      </c>
    </row>
    <row r="213" spans="1:23" ht="15.75" x14ac:dyDescent="0.25">
      <c r="A213" s="20">
        <v>30</v>
      </c>
      <c r="B213" s="25">
        <v>0</v>
      </c>
      <c r="C213" s="25"/>
      <c r="D213" s="56" t="s">
        <v>104</v>
      </c>
      <c r="E213" s="66">
        <v>45266</v>
      </c>
      <c r="F213" s="323" t="s">
        <v>291</v>
      </c>
      <c r="G213" s="66">
        <v>45266</v>
      </c>
      <c r="H213" s="35" t="s">
        <v>1432</v>
      </c>
      <c r="I213" s="21">
        <v>1200000</v>
      </c>
      <c r="J213" s="21"/>
      <c r="K213" s="22">
        <v>0</v>
      </c>
      <c r="L213" s="23"/>
      <c r="M213" s="22">
        <v>0</v>
      </c>
      <c r="N213" s="72">
        <v>0</v>
      </c>
      <c r="O213" s="22">
        <v>0</v>
      </c>
      <c r="P213" s="21">
        <v>1200000</v>
      </c>
      <c r="S213" s="101" t="b">
        <f>OR(COUNTIF(Tabla2[[#This Row],[PROVEEDOR]],"*"&amp;'Palabra no opera'!$A$2&amp;"*"))</f>
        <v>0</v>
      </c>
      <c r="T213" s="113">
        <f>+$W$5-Tabla2[[#This Row],[FECHA DE FACTURACIÓN]]</f>
        <v>56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15" t="str">
        <f>+IF(AND(Tabla2[[#This Row],[venc]]="venc",Tabla2[[#This Row],[Columna1]]="por pagar"),"vencida","no")</f>
        <v>no</v>
      </c>
    </row>
    <row r="214" spans="1:23" ht="15.75" x14ac:dyDescent="0.25">
      <c r="A214" s="20">
        <v>30</v>
      </c>
      <c r="B214" s="25">
        <v>0</v>
      </c>
      <c r="C214" s="25"/>
      <c r="D214" s="56" t="s">
        <v>104</v>
      </c>
      <c r="E214" s="66">
        <v>45266</v>
      </c>
      <c r="F214" s="323" t="s">
        <v>291</v>
      </c>
      <c r="G214" s="66">
        <v>45266</v>
      </c>
      <c r="H214" s="35" t="s">
        <v>1510</v>
      </c>
      <c r="I214" s="21">
        <v>1810000</v>
      </c>
      <c r="J214" s="21"/>
      <c r="K214" s="22">
        <v>0</v>
      </c>
      <c r="L214" s="23"/>
      <c r="M214" s="22">
        <v>0</v>
      </c>
      <c r="N214" s="72">
        <v>0</v>
      </c>
      <c r="O214" s="22">
        <v>0</v>
      </c>
      <c r="P214" s="21">
        <v>1810000</v>
      </c>
      <c r="S214" s="101" t="b">
        <f>OR(COUNTIF(Tabla2[[#This Row],[PROVEEDOR]],"*"&amp;'Palabra no opera'!$A$2&amp;"*"))</f>
        <v>0</v>
      </c>
      <c r="T214" s="113">
        <f>+$W$5-Tabla2[[#This Row],[FECHA DE FACTURACIÓN]]</f>
        <v>56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15" t="str">
        <f>+IF(AND(Tabla2[[#This Row],[venc]]="venc",Tabla2[[#This Row],[Columna1]]="por pagar"),"vencida","no")</f>
        <v>no</v>
      </c>
    </row>
    <row r="215" spans="1:23" ht="15.75" x14ac:dyDescent="0.25">
      <c r="A215" s="20">
        <v>30</v>
      </c>
      <c r="B215" s="25">
        <v>-2000</v>
      </c>
      <c r="C215" s="25"/>
      <c r="D215" s="56">
        <v>0</v>
      </c>
      <c r="E215" s="66">
        <v>45264</v>
      </c>
      <c r="F215" s="323" t="s">
        <v>881</v>
      </c>
      <c r="G215" s="66">
        <v>45261</v>
      </c>
      <c r="H215" s="35" t="s">
        <v>1345</v>
      </c>
      <c r="I215" s="21">
        <v>534000</v>
      </c>
      <c r="J215" s="21"/>
      <c r="K215" s="22">
        <v>0</v>
      </c>
      <c r="L215" s="23"/>
      <c r="M215" s="22">
        <v>0</v>
      </c>
      <c r="N215" s="72">
        <v>0</v>
      </c>
      <c r="O215" s="22">
        <v>0</v>
      </c>
      <c r="P215" s="21">
        <v>534000</v>
      </c>
      <c r="S215" s="101" t="b">
        <f>OR(COUNTIF(Tabla2[[#This Row],[PROVEEDOR]],"*"&amp;'Palabra no opera'!$A$2&amp;"*"))</f>
        <v>0</v>
      </c>
      <c r="T215" s="113">
        <f>+$W$5-Tabla2[[#This Row],[FECHA DE FACTURACIÓN]]</f>
        <v>61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15" t="str">
        <f>+IF(AND(Tabla2[[#This Row],[venc]]="venc",Tabla2[[#This Row],[Columna1]]="por pagar"),"vencida","no")</f>
        <v>no</v>
      </c>
    </row>
    <row r="216" spans="1:23" ht="15.75" x14ac:dyDescent="0.25">
      <c r="A216" s="20">
        <v>30</v>
      </c>
      <c r="B216" s="25">
        <v>3065837.2199999997</v>
      </c>
      <c r="C216" s="25"/>
      <c r="D216" s="56" t="s">
        <v>169</v>
      </c>
      <c r="E216" s="66">
        <v>45264</v>
      </c>
      <c r="F216" s="323" t="s">
        <v>17</v>
      </c>
      <c r="G216" s="66">
        <v>45233</v>
      </c>
      <c r="H216" s="35" t="s">
        <v>1276</v>
      </c>
      <c r="I216" s="21">
        <v>707408</v>
      </c>
      <c r="J216" s="21"/>
      <c r="K216" s="22">
        <v>134407.51999999999</v>
      </c>
      <c r="L216" s="23"/>
      <c r="M216" s="22">
        <v>0</v>
      </c>
      <c r="N216" s="72">
        <v>0</v>
      </c>
      <c r="O216" s="22">
        <v>0</v>
      </c>
      <c r="P216" s="21">
        <v>841815.52</v>
      </c>
      <c r="S216" s="101" t="b">
        <f>OR(COUNTIF(Tabla2[[#This Row],[PROVEEDOR]],"*"&amp;'Palabra no opera'!$A$2&amp;"*"))</f>
        <v>0</v>
      </c>
      <c r="T216" s="113">
        <f>+$W$5-Tabla2[[#This Row],[FECHA DE FACTURACIÓN]]</f>
        <v>89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15" t="str">
        <f>+IF(AND(Tabla2[[#This Row],[venc]]="venc",Tabla2[[#This Row],[Columna1]]="por pagar"),"vencida","no")</f>
        <v>no</v>
      </c>
    </row>
    <row r="217" spans="1:23" ht="15.75" x14ac:dyDescent="0.25">
      <c r="A217" s="20">
        <v>30</v>
      </c>
      <c r="B217" s="25">
        <v>2169355.9580000001</v>
      </c>
      <c r="C217" s="25"/>
      <c r="D217" s="56" t="s">
        <v>164</v>
      </c>
      <c r="E217" s="66">
        <v>45264</v>
      </c>
      <c r="F217" s="323" t="s">
        <v>18</v>
      </c>
      <c r="G217" s="66">
        <v>45232</v>
      </c>
      <c r="H217" s="35" t="s">
        <v>1272</v>
      </c>
      <c r="I217" s="21">
        <v>2284053</v>
      </c>
      <c r="J217" s="21"/>
      <c r="K217" s="22">
        <v>433970.07</v>
      </c>
      <c r="L217" s="23"/>
      <c r="M217" s="22">
        <v>0</v>
      </c>
      <c r="N217" s="72">
        <v>2.5000000000000001E-2</v>
      </c>
      <c r="O217" s="22">
        <v>57101.325000000004</v>
      </c>
      <c r="P217" s="21">
        <v>2660921.7449999996</v>
      </c>
      <c r="S217" s="101" t="b">
        <f>OR(COUNTIF(Tabla2[[#This Row],[PROVEEDOR]],"*"&amp;'Palabra no opera'!$A$2&amp;"*"))</f>
        <v>0</v>
      </c>
      <c r="T217" s="113">
        <f>+$W$5-Tabla2[[#This Row],[FECHA DE FACTURACIÓN]]</f>
        <v>90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15" t="str">
        <f>+IF(AND(Tabla2[[#This Row],[venc]]="venc",Tabla2[[#This Row],[Columna1]]="por pagar"),"vencida","no")</f>
        <v>no</v>
      </c>
    </row>
    <row r="218" spans="1:23" ht="15.75" x14ac:dyDescent="0.25">
      <c r="A218" s="20">
        <v>60</v>
      </c>
      <c r="B218" s="25">
        <v>5538410</v>
      </c>
      <c r="C218" s="25"/>
      <c r="D218" s="56" t="s">
        <v>625</v>
      </c>
      <c r="E218" s="66">
        <v>45264</v>
      </c>
      <c r="F218" s="323" t="s">
        <v>624</v>
      </c>
      <c r="G218" s="66">
        <v>45225</v>
      </c>
      <c r="H218" s="35" t="s">
        <v>1237</v>
      </c>
      <c r="I218" s="21">
        <v>3110000</v>
      </c>
      <c r="J218" s="21"/>
      <c r="K218" s="22">
        <v>590900</v>
      </c>
      <c r="L218" s="23"/>
      <c r="M218" s="22">
        <v>0</v>
      </c>
      <c r="N218" s="72">
        <v>2.5000000000000001E-2</v>
      </c>
      <c r="O218" s="22">
        <v>77750</v>
      </c>
      <c r="P218" s="21">
        <v>3623150</v>
      </c>
      <c r="S218" s="101" t="b">
        <f>OR(COUNTIF(Tabla2[[#This Row],[PROVEEDOR]],"*"&amp;'Palabra no opera'!$A$2&amp;"*"))</f>
        <v>0</v>
      </c>
      <c r="T218" s="113">
        <f>+$W$5-Tabla2[[#This Row],[FECHA DE FACTURACIÓN]]</f>
        <v>97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15" t="str">
        <f>+IF(AND(Tabla2[[#This Row],[venc]]="venc",Tabla2[[#This Row],[Columna1]]="por pagar"),"vencida","no")</f>
        <v>no</v>
      </c>
    </row>
    <row r="219" spans="1:23" ht="15.75" x14ac:dyDescent="0.25">
      <c r="A219" s="20">
        <v>30</v>
      </c>
      <c r="B219" s="25">
        <v>12328400</v>
      </c>
      <c r="C219" s="25"/>
      <c r="D219" s="56" t="s">
        <v>171</v>
      </c>
      <c r="E219" s="66">
        <v>45264</v>
      </c>
      <c r="F219" s="323" t="s">
        <v>485</v>
      </c>
      <c r="G219" s="66">
        <v>45225</v>
      </c>
      <c r="H219" s="35" t="s">
        <v>1236</v>
      </c>
      <c r="I219" s="21">
        <v>2263000</v>
      </c>
      <c r="J219" s="21"/>
      <c r="K219" s="22">
        <v>429970</v>
      </c>
      <c r="L219" s="23"/>
      <c r="M219" s="22">
        <v>0</v>
      </c>
      <c r="N219" s="72">
        <v>0</v>
      </c>
      <c r="O219" s="22">
        <v>0</v>
      </c>
      <c r="P219" s="21">
        <v>2692970</v>
      </c>
      <c r="S219" s="101" t="b">
        <f>OR(COUNTIF(Tabla2[[#This Row],[PROVEEDOR]],"*"&amp;'Palabra no opera'!$A$2&amp;"*"))</f>
        <v>0</v>
      </c>
      <c r="T219" s="113">
        <f>+$W$5-Tabla2[[#This Row],[FECHA DE FACTURACIÓN]]</f>
        <v>97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15" t="str">
        <f>+IF(AND(Tabla2[[#This Row],[venc]]="venc",Tabla2[[#This Row],[Columna1]]="por pagar"),"vencida","no")</f>
        <v>no</v>
      </c>
    </row>
    <row r="220" spans="1:23" ht="15.75" x14ac:dyDescent="0.25">
      <c r="A220" s="20">
        <v>30</v>
      </c>
      <c r="B220" s="25">
        <v>3436655.6310000001</v>
      </c>
      <c r="C220" s="25"/>
      <c r="D220" s="56" t="s">
        <v>444</v>
      </c>
      <c r="E220" s="66">
        <v>45264</v>
      </c>
      <c r="F220" s="323" t="s">
        <v>32</v>
      </c>
      <c r="G220" s="66">
        <v>45225</v>
      </c>
      <c r="H220" s="35" t="s">
        <v>1222</v>
      </c>
      <c r="I220" s="21">
        <v>2261344</v>
      </c>
      <c r="J220" s="21"/>
      <c r="K220" s="22">
        <v>429655.36</v>
      </c>
      <c r="L220" s="23"/>
      <c r="M220" s="22">
        <v>0</v>
      </c>
      <c r="N220" s="72">
        <v>2.5000000000000001E-2</v>
      </c>
      <c r="O220" s="22">
        <v>56533.600000000006</v>
      </c>
      <c r="P220" s="21">
        <v>2634465.7599999998</v>
      </c>
      <c r="S220" s="101" t="b">
        <f>OR(COUNTIF(Tabla2[[#This Row],[PROVEEDOR]],"*"&amp;'Palabra no opera'!$A$2&amp;"*"))</f>
        <v>0</v>
      </c>
      <c r="T220" s="113">
        <f>+$W$5-Tabla2[[#This Row],[FECHA DE FACTURACIÓN]]</f>
        <v>97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15" t="str">
        <f>+IF(AND(Tabla2[[#This Row],[venc]]="venc",Tabla2[[#This Row],[Columna1]]="por pagar"),"vencida","no")</f>
        <v>no</v>
      </c>
    </row>
    <row r="221" spans="1:23" ht="15.75" x14ac:dyDescent="0.25">
      <c r="A221" s="20">
        <v>30</v>
      </c>
      <c r="B221" s="25">
        <v>2713769.64</v>
      </c>
      <c r="C221" s="25"/>
      <c r="D221" s="56" t="s">
        <v>445</v>
      </c>
      <c r="E221" s="66">
        <v>45264</v>
      </c>
      <c r="F221" s="323" t="s">
        <v>11</v>
      </c>
      <c r="G221" s="66">
        <v>45222</v>
      </c>
      <c r="H221" s="35" t="s">
        <v>1230</v>
      </c>
      <c r="I221" s="21">
        <v>3105888</v>
      </c>
      <c r="J221" s="21"/>
      <c r="K221" s="22">
        <v>590118.72</v>
      </c>
      <c r="L221" s="23"/>
      <c r="M221" s="22">
        <v>0</v>
      </c>
      <c r="N221" s="72">
        <v>2.5000000000000001E-2</v>
      </c>
      <c r="O221" s="22">
        <v>77647.199999999997</v>
      </c>
      <c r="P221" s="21">
        <v>3618359.5199999996</v>
      </c>
      <c r="S221" s="101" t="b">
        <f>OR(COUNTIF(Tabla2[[#This Row],[PROVEEDOR]],"*"&amp;'Palabra no opera'!$A$2&amp;"*"))</f>
        <v>0</v>
      </c>
      <c r="T221" s="113">
        <f>+$W$5-Tabla2[[#This Row],[FECHA DE FACTURACIÓN]]</f>
        <v>100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15" t="str">
        <f>+IF(AND(Tabla2[[#This Row],[venc]]="venc",Tabla2[[#This Row],[Columna1]]="por pagar"),"vencida","no")</f>
        <v>no</v>
      </c>
    </row>
    <row r="222" spans="1:23" ht="15.75" x14ac:dyDescent="0.25">
      <c r="A222" s="20">
        <v>30</v>
      </c>
      <c r="B222" s="25">
        <v>0</v>
      </c>
      <c r="C222" s="25"/>
      <c r="D222" s="56" t="s">
        <v>255</v>
      </c>
      <c r="E222" s="66">
        <v>45264</v>
      </c>
      <c r="F222" s="323" t="s">
        <v>248</v>
      </c>
      <c r="G222" s="66">
        <v>45219</v>
      </c>
      <c r="H222" s="35" t="s">
        <v>1209</v>
      </c>
      <c r="I222" s="21">
        <v>464214</v>
      </c>
      <c r="J222" s="21">
        <v>236214</v>
      </c>
      <c r="K222" s="22">
        <v>43320</v>
      </c>
      <c r="L222" s="23"/>
      <c r="M222" s="22">
        <v>0</v>
      </c>
      <c r="N222" s="72">
        <v>0</v>
      </c>
      <c r="O222" s="22">
        <v>0</v>
      </c>
      <c r="P222" s="21">
        <v>271320</v>
      </c>
      <c r="S222" s="101" t="b">
        <f>OR(COUNTIF(Tabla2[[#This Row],[PROVEEDOR]],"*"&amp;'Palabra no opera'!$A$2&amp;"*"))</f>
        <v>0</v>
      </c>
      <c r="T222" s="113">
        <f>+$W$5-Tabla2[[#This Row],[FECHA DE FACTURACIÓN]]</f>
        <v>103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15" t="str">
        <f>+IF(AND(Tabla2[[#This Row],[venc]]="venc",Tabla2[[#This Row],[Columna1]]="por pagar"),"vencida","no")</f>
        <v>no</v>
      </c>
    </row>
    <row r="223" spans="1:23" ht="15.75" x14ac:dyDescent="0.25">
      <c r="A223" s="20">
        <v>30</v>
      </c>
      <c r="B223" s="25">
        <v>2169355.9580000001</v>
      </c>
      <c r="C223" s="25"/>
      <c r="D223" s="56" t="s">
        <v>164</v>
      </c>
      <c r="E223" s="66">
        <v>45264</v>
      </c>
      <c r="F223" s="323" t="s">
        <v>18</v>
      </c>
      <c r="G223" s="66">
        <v>45219</v>
      </c>
      <c r="H223" s="35" t="s">
        <v>1217</v>
      </c>
      <c r="I223" s="21">
        <v>1633588</v>
      </c>
      <c r="J223" s="21"/>
      <c r="K223" s="22">
        <v>310381.72000000003</v>
      </c>
      <c r="L223" s="23"/>
      <c r="M223" s="22">
        <v>0</v>
      </c>
      <c r="N223" s="72">
        <v>2.5000000000000001E-2</v>
      </c>
      <c r="O223" s="22">
        <v>40839.700000000004</v>
      </c>
      <c r="P223" s="21">
        <v>1903130.02</v>
      </c>
      <c r="S223" s="101" t="b">
        <f>OR(COUNTIF(Tabla2[[#This Row],[PROVEEDOR]],"*"&amp;'Palabra no opera'!$A$2&amp;"*"))</f>
        <v>0</v>
      </c>
      <c r="T223" s="113">
        <f>+$W$5-Tabla2[[#This Row],[FECHA DE FACTURACIÓN]]</f>
        <v>103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15" t="str">
        <f>+IF(AND(Tabla2[[#This Row],[venc]]="venc",Tabla2[[#This Row],[Columna1]]="por pagar"),"vencida","no")</f>
        <v>no</v>
      </c>
    </row>
    <row r="224" spans="1:23" ht="15.75" x14ac:dyDescent="0.25">
      <c r="A224" s="20">
        <v>45</v>
      </c>
      <c r="B224" s="25">
        <v>3535656.6</v>
      </c>
      <c r="C224" s="25"/>
      <c r="D224" s="56" t="s">
        <v>390</v>
      </c>
      <c r="E224" s="66">
        <v>45264</v>
      </c>
      <c r="F224" s="323" t="s">
        <v>19</v>
      </c>
      <c r="G224" s="66">
        <v>45218</v>
      </c>
      <c r="H224" s="35" t="s">
        <v>1224</v>
      </c>
      <c r="I224" s="21">
        <v>1657794</v>
      </c>
      <c r="J224" s="21"/>
      <c r="K224" s="22">
        <v>314980.86</v>
      </c>
      <c r="L224" s="23"/>
      <c r="M224" s="22">
        <v>0</v>
      </c>
      <c r="N224" s="72">
        <v>0</v>
      </c>
      <c r="O224" s="22">
        <v>0</v>
      </c>
      <c r="P224" s="21">
        <v>1972774.8599999999</v>
      </c>
      <c r="S224" s="101" t="b">
        <f>OR(COUNTIF(Tabla2[[#This Row],[PROVEEDOR]],"*"&amp;'Palabra no opera'!$A$2&amp;"*"))</f>
        <v>0</v>
      </c>
      <c r="T224" s="113">
        <f>+$W$5-Tabla2[[#This Row],[FECHA DE FACTURACIÓN]]</f>
        <v>104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15" t="str">
        <f>+IF(AND(Tabla2[[#This Row],[venc]]="venc",Tabla2[[#This Row],[Columna1]]="por pagar"),"vencida","no")</f>
        <v>no</v>
      </c>
    </row>
    <row r="225" spans="1:23" ht="15.75" x14ac:dyDescent="0.25">
      <c r="A225" s="20">
        <v>30</v>
      </c>
      <c r="B225" s="25">
        <v>0</v>
      </c>
      <c r="C225" s="25"/>
      <c r="D225" s="56" t="s">
        <v>255</v>
      </c>
      <c r="E225" s="66">
        <v>45264</v>
      </c>
      <c r="F225" s="323" t="s">
        <v>248</v>
      </c>
      <c r="G225" s="66">
        <v>45217</v>
      </c>
      <c r="H225" s="35" t="s">
        <v>1208</v>
      </c>
      <c r="I225" s="21">
        <v>1976704</v>
      </c>
      <c r="J225" s="21">
        <v>1164940</v>
      </c>
      <c r="K225" s="22">
        <v>154235.16</v>
      </c>
      <c r="L225" s="23"/>
      <c r="M225" s="22">
        <v>0</v>
      </c>
      <c r="N225" s="72">
        <v>0</v>
      </c>
      <c r="O225" s="22">
        <v>0</v>
      </c>
      <c r="P225" s="21">
        <v>965999.16000000015</v>
      </c>
      <c r="S225" s="101" t="b">
        <f>OR(COUNTIF(Tabla2[[#This Row],[PROVEEDOR]],"*"&amp;'Palabra no opera'!$A$2&amp;"*"))</f>
        <v>0</v>
      </c>
      <c r="T225" s="113">
        <f>+$W$5-Tabla2[[#This Row],[FECHA DE FACTURACIÓN]]</f>
        <v>105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15" t="str">
        <f>+IF(AND(Tabla2[[#This Row],[venc]]="venc",Tabla2[[#This Row],[Columna1]]="por pagar"),"vencida","no")</f>
        <v>no</v>
      </c>
    </row>
    <row r="226" spans="1:23" ht="15.75" x14ac:dyDescent="0.25">
      <c r="A226" s="20">
        <v>30</v>
      </c>
      <c r="B226" s="25">
        <v>0</v>
      </c>
      <c r="C226" s="25"/>
      <c r="D226" s="56" t="s">
        <v>255</v>
      </c>
      <c r="E226" s="66">
        <v>45264</v>
      </c>
      <c r="F226" s="323" t="s">
        <v>248</v>
      </c>
      <c r="G226" s="66">
        <v>45211</v>
      </c>
      <c r="H226" s="35" t="s">
        <v>1207</v>
      </c>
      <c r="I226" s="21">
        <v>4607250</v>
      </c>
      <c r="J226" s="21">
        <v>2503486</v>
      </c>
      <c r="K226" s="22">
        <v>399715.16000000003</v>
      </c>
      <c r="L226" s="23"/>
      <c r="M226" s="22">
        <v>0</v>
      </c>
      <c r="N226" s="72">
        <v>0</v>
      </c>
      <c r="O226" s="22">
        <v>0</v>
      </c>
      <c r="P226" s="21">
        <v>2503479.16</v>
      </c>
      <c r="S226" s="101" t="b">
        <f>OR(COUNTIF(Tabla2[[#This Row],[PROVEEDOR]],"*"&amp;'Palabra no opera'!$A$2&amp;"*"))</f>
        <v>0</v>
      </c>
      <c r="T226" s="113">
        <f>+$W$5-Tabla2[[#This Row],[FECHA DE FACTURACIÓN]]</f>
        <v>111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15" t="str">
        <f>+IF(AND(Tabla2[[#This Row],[venc]]="venc",Tabla2[[#This Row],[Columna1]]="por pagar"),"vencida","no")</f>
        <v>no</v>
      </c>
    </row>
    <row r="227" spans="1:23" ht="15.75" x14ac:dyDescent="0.25">
      <c r="A227" s="20">
        <v>30</v>
      </c>
      <c r="B227" s="25">
        <v>6857153.040000001</v>
      </c>
      <c r="C227" s="25"/>
      <c r="D227" s="56" t="s">
        <v>309</v>
      </c>
      <c r="E227" s="66">
        <v>45264</v>
      </c>
      <c r="F227" s="323" t="s">
        <v>254</v>
      </c>
      <c r="G227" s="66">
        <v>45210</v>
      </c>
      <c r="H227" s="35" t="s">
        <v>1226</v>
      </c>
      <c r="I227" s="21">
        <v>7197270</v>
      </c>
      <c r="J227" s="21"/>
      <c r="K227" s="22">
        <v>1367481.3</v>
      </c>
      <c r="L227" s="23"/>
      <c r="M227" s="22">
        <v>0</v>
      </c>
      <c r="N227" s="72">
        <v>2.5000000000000001E-2</v>
      </c>
      <c r="O227" s="22">
        <v>179931.75</v>
      </c>
      <c r="P227" s="21">
        <v>8384819.5500000007</v>
      </c>
      <c r="S227" s="101" t="b">
        <f>OR(COUNTIF(Tabla2[[#This Row],[PROVEEDOR]],"*"&amp;'Palabra no opera'!$A$2&amp;"*"))</f>
        <v>0</v>
      </c>
      <c r="T227" s="113">
        <f>+$W$5-Tabla2[[#This Row],[FECHA DE FACTURACIÓN]]</f>
        <v>112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15" t="str">
        <f>+IF(AND(Tabla2[[#This Row],[venc]]="venc",Tabla2[[#This Row],[Columna1]]="por pagar"),"vencida","no")</f>
        <v>no</v>
      </c>
    </row>
    <row r="228" spans="1:23" ht="15.75" x14ac:dyDescent="0.25">
      <c r="A228" s="20">
        <v>45</v>
      </c>
      <c r="B228" s="25">
        <v>13678360</v>
      </c>
      <c r="C228" s="25"/>
      <c r="D228" s="56" t="s">
        <v>179</v>
      </c>
      <c r="E228" s="66">
        <v>45264</v>
      </c>
      <c r="F228" s="323" t="s">
        <v>10</v>
      </c>
      <c r="G228" s="66">
        <v>45210</v>
      </c>
      <c r="H228" s="35" t="s">
        <v>1227</v>
      </c>
      <c r="I228" s="21">
        <v>2000000</v>
      </c>
      <c r="J228" s="21"/>
      <c r="K228" s="22">
        <v>380000</v>
      </c>
      <c r="L228" s="23"/>
      <c r="M228" s="22">
        <v>0</v>
      </c>
      <c r="N228" s="72">
        <v>2.5000000000000001E-2</v>
      </c>
      <c r="O228" s="22">
        <v>50000</v>
      </c>
      <c r="P228" s="21">
        <v>2330000</v>
      </c>
      <c r="S228" s="101" t="b">
        <f>OR(COUNTIF(Tabla2[[#This Row],[PROVEEDOR]],"*"&amp;'Palabra no opera'!$A$2&amp;"*"))</f>
        <v>0</v>
      </c>
      <c r="T228" s="113">
        <f>+$W$5-Tabla2[[#This Row],[FECHA DE FACTURACIÓN]]</f>
        <v>112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15" t="str">
        <f>+IF(AND(Tabla2[[#This Row],[venc]]="venc",Tabla2[[#This Row],[Columna1]]="por pagar"),"vencida","no")</f>
        <v>no</v>
      </c>
    </row>
    <row r="229" spans="1:23" ht="15.75" x14ac:dyDescent="0.25">
      <c r="A229" s="20">
        <v>30</v>
      </c>
      <c r="B229" s="25">
        <v>5480000</v>
      </c>
      <c r="C229" s="25"/>
      <c r="D229" s="56" t="s">
        <v>104</v>
      </c>
      <c r="E229" s="66">
        <v>45264</v>
      </c>
      <c r="F229" s="323" t="s">
        <v>1197</v>
      </c>
      <c r="G229" s="66">
        <v>45209</v>
      </c>
      <c r="H229" s="35" t="s">
        <v>1198</v>
      </c>
      <c r="I229" s="21">
        <v>4438500</v>
      </c>
      <c r="J229" s="21"/>
      <c r="K229" s="22">
        <v>0</v>
      </c>
      <c r="L229" s="23"/>
      <c r="M229" s="22">
        <v>0</v>
      </c>
      <c r="N229" s="72">
        <v>0</v>
      </c>
      <c r="O229" s="22">
        <v>0</v>
      </c>
      <c r="P229" s="21">
        <v>4438500</v>
      </c>
      <c r="S229" s="101" t="b">
        <f>OR(COUNTIF(Tabla2[[#This Row],[PROVEEDOR]],"*"&amp;'Palabra no opera'!$A$2&amp;"*"))</f>
        <v>0</v>
      </c>
      <c r="T229" s="113">
        <f>+$W$5-Tabla2[[#This Row],[FECHA DE FACTURACIÓN]]</f>
        <v>113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15" t="str">
        <f>+IF(AND(Tabla2[[#This Row],[venc]]="venc",Tabla2[[#This Row],[Columna1]]="por pagar"),"vencida","no")</f>
        <v>no</v>
      </c>
    </row>
    <row r="230" spans="1:23" ht="15.75" x14ac:dyDescent="0.25">
      <c r="A230" s="20">
        <v>60</v>
      </c>
      <c r="B230" s="25">
        <v>5363111.8674999997</v>
      </c>
      <c r="C230" s="25"/>
      <c r="D230" s="56" t="s">
        <v>168</v>
      </c>
      <c r="E230" s="66">
        <v>45264</v>
      </c>
      <c r="F230" s="323" t="s">
        <v>249</v>
      </c>
      <c r="G230" s="66">
        <v>45209</v>
      </c>
      <c r="H230" s="35" t="s">
        <v>1210</v>
      </c>
      <c r="I230" s="21">
        <v>1115966</v>
      </c>
      <c r="J230" s="21"/>
      <c r="K230" s="22">
        <v>212033.54</v>
      </c>
      <c r="L230" s="23"/>
      <c r="M230" s="22">
        <v>0</v>
      </c>
      <c r="N230" s="72">
        <v>0</v>
      </c>
      <c r="O230" s="22">
        <v>0</v>
      </c>
      <c r="P230" s="21">
        <v>1327999.54</v>
      </c>
      <c r="S230" s="101" t="b">
        <f>OR(COUNTIF(Tabla2[[#This Row],[PROVEEDOR]],"*"&amp;'Palabra no opera'!$A$2&amp;"*"))</f>
        <v>0</v>
      </c>
      <c r="T230" s="113">
        <f>+$W$5-Tabla2[[#This Row],[FECHA DE FACTURACIÓN]]</f>
        <v>113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15" t="str">
        <f>+IF(AND(Tabla2[[#This Row],[venc]]="venc",Tabla2[[#This Row],[Columna1]]="por pagar"),"vencida","no")</f>
        <v>no</v>
      </c>
    </row>
    <row r="231" spans="1:23" ht="15.75" x14ac:dyDescent="0.25">
      <c r="A231" s="20">
        <v>30</v>
      </c>
      <c r="B231" s="25">
        <v>2169355.9580000001</v>
      </c>
      <c r="C231" s="25"/>
      <c r="D231" s="56" t="s">
        <v>164</v>
      </c>
      <c r="E231" s="66">
        <v>45264</v>
      </c>
      <c r="F231" s="323" t="s">
        <v>18</v>
      </c>
      <c r="G231" s="66">
        <v>45209</v>
      </c>
      <c r="H231" s="35" t="s">
        <v>1216</v>
      </c>
      <c r="I231" s="21">
        <v>631763</v>
      </c>
      <c r="J231" s="21"/>
      <c r="K231" s="22">
        <v>120034.97</v>
      </c>
      <c r="L231" s="23"/>
      <c r="M231" s="22">
        <v>0</v>
      </c>
      <c r="N231" s="72">
        <v>0</v>
      </c>
      <c r="O231" s="22">
        <v>0</v>
      </c>
      <c r="P231" s="21">
        <v>751797.97</v>
      </c>
      <c r="S231" s="101" t="b">
        <f>OR(COUNTIF(Tabla2[[#This Row],[PROVEEDOR]],"*"&amp;'Palabra no opera'!$A$2&amp;"*"))</f>
        <v>0</v>
      </c>
      <c r="T231" s="113">
        <f>+$W$5-Tabla2[[#This Row],[FECHA DE FACTURACIÓN]]</f>
        <v>113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15" t="str">
        <f>+IF(AND(Tabla2[[#This Row],[venc]]="venc",Tabla2[[#This Row],[Columna1]]="por pagar"),"vencida","no")</f>
        <v>no</v>
      </c>
    </row>
    <row r="232" spans="1:23" ht="15.75" x14ac:dyDescent="0.25">
      <c r="A232" s="20">
        <v>60</v>
      </c>
      <c r="B232" s="25">
        <v>0</v>
      </c>
      <c r="C232" s="25"/>
      <c r="D232" s="56" t="s">
        <v>289</v>
      </c>
      <c r="E232" s="66">
        <v>45262</v>
      </c>
      <c r="F232" s="323" t="s">
        <v>290</v>
      </c>
      <c r="G232" s="66">
        <v>45288</v>
      </c>
      <c r="H232" s="35" t="s">
        <v>29</v>
      </c>
      <c r="I232" s="21">
        <v>500000</v>
      </c>
      <c r="J232" s="21"/>
      <c r="K232" s="22">
        <v>0</v>
      </c>
      <c r="L232" s="23"/>
      <c r="M232" s="22">
        <v>0</v>
      </c>
      <c r="N232" s="72">
        <v>0</v>
      </c>
      <c r="O232" s="22">
        <v>0</v>
      </c>
      <c r="P232" s="21">
        <v>500000</v>
      </c>
      <c r="S232" s="101" t="b">
        <f>OR(COUNTIF(Tabla2[[#This Row],[PROVEEDOR]],"*"&amp;'Palabra no opera'!$A$2&amp;"*"))</f>
        <v>0</v>
      </c>
      <c r="T232" s="113">
        <f>+$W$5-Tabla2[[#This Row],[FECHA DE FACTURACIÓN]]</f>
        <v>34</v>
      </c>
      <c r="U232" t="str">
        <f>+IF(Tabla2[[#This Row],[dias de credito]]&gt;=Tabla2[[#This Row],[PLAZO Días]],"venc", "No venc")</f>
        <v>No venc</v>
      </c>
      <c r="V232" t="str">
        <f>+IF(Tabla2[[#This Row],[FECHA DE PAGO]]&gt;0,"pagada","por pagar")</f>
        <v>pagada</v>
      </c>
      <c r="W232" s="115" t="str">
        <f>+IF(AND(Tabla2[[#This Row],[venc]]="venc",Tabla2[[#This Row],[Columna1]]="por pagar"),"vencida","no")</f>
        <v>no</v>
      </c>
    </row>
    <row r="233" spans="1:23" ht="15.75" x14ac:dyDescent="0.25">
      <c r="A233" s="20">
        <v>30</v>
      </c>
      <c r="B233" s="25">
        <v>0</v>
      </c>
      <c r="C233" s="25"/>
      <c r="D233" s="56" t="s">
        <v>104</v>
      </c>
      <c r="E233" s="66">
        <v>45262</v>
      </c>
      <c r="F233" s="323" t="s">
        <v>279</v>
      </c>
      <c r="G233" s="66">
        <v>45262</v>
      </c>
      <c r="H233" s="35" t="s">
        <v>1168</v>
      </c>
      <c r="I233" s="21">
        <v>200000</v>
      </c>
      <c r="J233" s="21"/>
      <c r="K233" s="22">
        <v>0</v>
      </c>
      <c r="L233" s="23"/>
      <c r="M233" s="22">
        <v>0</v>
      </c>
      <c r="N233" s="72">
        <v>0</v>
      </c>
      <c r="O233" s="22">
        <v>0</v>
      </c>
      <c r="P233" s="21">
        <v>200000</v>
      </c>
      <c r="S233" s="101" t="b">
        <f>OR(COUNTIF(Tabla2[[#This Row],[PROVEEDOR]],"*"&amp;'Palabra no opera'!$A$2&amp;"*"))</f>
        <v>0</v>
      </c>
      <c r="T233" s="113">
        <f>+$W$5-Tabla2[[#This Row],[FECHA DE FACTURACIÓN]]</f>
        <v>60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15" t="str">
        <f>+IF(AND(Tabla2[[#This Row],[venc]]="venc",Tabla2[[#This Row],[Columna1]]="por pagar"),"vencida","no")</f>
        <v>no</v>
      </c>
    </row>
    <row r="234" spans="1:23" ht="15.75" x14ac:dyDescent="0.25">
      <c r="A234" s="20">
        <v>30</v>
      </c>
      <c r="B234" s="25">
        <v>0</v>
      </c>
      <c r="C234" s="25"/>
      <c r="D234" s="56">
        <v>0</v>
      </c>
      <c r="E234" s="66">
        <v>45262</v>
      </c>
      <c r="F234" s="323" t="s">
        <v>420</v>
      </c>
      <c r="G234" s="66">
        <v>45261</v>
      </c>
      <c r="H234" s="35" t="s">
        <v>195</v>
      </c>
      <c r="I234" s="21">
        <v>411454</v>
      </c>
      <c r="J234" s="21"/>
      <c r="K234" s="22">
        <v>0</v>
      </c>
      <c r="L234" s="23"/>
      <c r="M234" s="22">
        <v>0</v>
      </c>
      <c r="N234" s="72">
        <v>0</v>
      </c>
      <c r="O234" s="22">
        <v>0</v>
      </c>
      <c r="P234" s="21">
        <v>411454</v>
      </c>
      <c r="S234" s="101" t="b">
        <f>OR(COUNTIF(Tabla2[[#This Row],[PROVEEDOR]],"*"&amp;'Palabra no opera'!$A$2&amp;"*"))</f>
        <v>1</v>
      </c>
      <c r="T234" s="113">
        <f>+$W$5-Tabla2[[#This Row],[FECHA DE FACTURACIÓN]]</f>
        <v>61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15" t="str">
        <f>+IF(AND(Tabla2[[#This Row],[venc]]="venc",Tabla2[[#This Row],[Columna1]]="por pagar"),"vencida","no")</f>
        <v>no</v>
      </c>
    </row>
    <row r="235" spans="1:23" ht="15.75" x14ac:dyDescent="0.25">
      <c r="A235" s="20">
        <v>30</v>
      </c>
      <c r="B235" s="25">
        <v>0</v>
      </c>
      <c r="C235" s="25"/>
      <c r="D235" s="56" t="s">
        <v>106</v>
      </c>
      <c r="E235" s="66">
        <v>45262</v>
      </c>
      <c r="F235" s="323" t="s">
        <v>423</v>
      </c>
      <c r="G235" s="66">
        <v>45261</v>
      </c>
      <c r="H235" s="35"/>
      <c r="I235" s="21">
        <v>707697</v>
      </c>
      <c r="J235" s="21"/>
      <c r="K235" s="22">
        <v>0</v>
      </c>
      <c r="L235" s="23"/>
      <c r="M235" s="22">
        <v>0</v>
      </c>
      <c r="N235" s="72">
        <v>0</v>
      </c>
      <c r="O235" s="22">
        <v>0</v>
      </c>
      <c r="P235" s="21">
        <v>707697</v>
      </c>
      <c r="S235" s="101" t="b">
        <f>OR(COUNTIF(Tabla2[[#This Row],[PROVEEDOR]],"*"&amp;'Palabra no opera'!$A$2&amp;"*"))</f>
        <v>1</v>
      </c>
      <c r="T235" s="113">
        <f>+$W$5-Tabla2[[#This Row],[FECHA DE FACTURACIÓN]]</f>
        <v>61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15" t="str">
        <f>+IF(AND(Tabla2[[#This Row],[venc]]="venc",Tabla2[[#This Row],[Columna1]]="por pagar"),"vencida","no")</f>
        <v>no</v>
      </c>
    </row>
    <row r="236" spans="1:23" ht="15.75" x14ac:dyDescent="0.25">
      <c r="A236" s="20">
        <v>30</v>
      </c>
      <c r="B236" s="25">
        <v>0</v>
      </c>
      <c r="C236" s="25"/>
      <c r="D236" s="56" t="s">
        <v>104</v>
      </c>
      <c r="E236" s="66">
        <v>45261</v>
      </c>
      <c r="F236" s="323" t="s">
        <v>566</v>
      </c>
      <c r="G236" s="66">
        <v>45261</v>
      </c>
      <c r="H236" s="35" t="s">
        <v>1282</v>
      </c>
      <c r="I236" s="21">
        <v>200000</v>
      </c>
      <c r="J236" s="21"/>
      <c r="K236" s="22">
        <v>0</v>
      </c>
      <c r="L236" s="23"/>
      <c r="M236" s="22">
        <v>0</v>
      </c>
      <c r="N236" s="72">
        <v>0</v>
      </c>
      <c r="O236" s="22">
        <v>0</v>
      </c>
      <c r="P236" s="21">
        <v>200000</v>
      </c>
      <c r="S236" s="101" t="b">
        <f>OR(COUNTIF(Tabla2[[#This Row],[PROVEEDOR]],"*"&amp;'Palabra no opera'!$A$2&amp;"*"))</f>
        <v>0</v>
      </c>
      <c r="T236" s="113">
        <f>+$W$5-Tabla2[[#This Row],[FECHA DE FACTURACIÓN]]</f>
        <v>61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15" t="str">
        <f>+IF(AND(Tabla2[[#This Row],[venc]]="venc",Tabla2[[#This Row],[Columna1]]="por pagar"),"vencida","no")</f>
        <v>no</v>
      </c>
    </row>
    <row r="237" spans="1:23" ht="15.75" x14ac:dyDescent="0.25">
      <c r="A237" s="20">
        <v>30</v>
      </c>
      <c r="B237" s="25">
        <v>0</v>
      </c>
      <c r="C237" s="25"/>
      <c r="D237" s="56" t="s">
        <v>104</v>
      </c>
      <c r="E237" s="66">
        <v>45261</v>
      </c>
      <c r="F237" s="323" t="s">
        <v>299</v>
      </c>
      <c r="G237" s="66">
        <v>45261</v>
      </c>
      <c r="H237" s="35"/>
      <c r="I237" s="21">
        <v>1000000</v>
      </c>
      <c r="J237" s="21"/>
      <c r="K237" s="22">
        <v>0</v>
      </c>
      <c r="L237" s="23"/>
      <c r="M237" s="22">
        <v>0</v>
      </c>
      <c r="N237" s="72">
        <v>0</v>
      </c>
      <c r="O237" s="22">
        <v>0</v>
      </c>
      <c r="P237" s="21">
        <v>1000000</v>
      </c>
      <c r="S237" s="101" t="b">
        <f>OR(COUNTIF(Tabla2[[#This Row],[PROVEEDOR]],"*"&amp;'Palabra no opera'!$A$2&amp;"*"))</f>
        <v>0</v>
      </c>
      <c r="T237" s="113">
        <f>+$W$5-Tabla2[[#This Row],[FECHA DE FACTURACIÓN]]</f>
        <v>61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15" t="str">
        <f>+IF(AND(Tabla2[[#This Row],[venc]]="venc",Tabla2[[#This Row],[Columna1]]="por pagar"),"vencida","no")</f>
        <v>no</v>
      </c>
    </row>
    <row r="238" spans="1:23" ht="15.75" x14ac:dyDescent="0.25">
      <c r="A238" s="20">
        <v>0</v>
      </c>
      <c r="B238" s="25">
        <v>0</v>
      </c>
      <c r="C238" s="25"/>
      <c r="D238" s="56">
        <v>0</v>
      </c>
      <c r="E238" s="66">
        <v>45261</v>
      </c>
      <c r="F238" s="323" t="s">
        <v>495</v>
      </c>
      <c r="G238" s="66">
        <v>45261</v>
      </c>
      <c r="H238" s="35" t="s">
        <v>1344</v>
      </c>
      <c r="I238" s="21">
        <v>300000</v>
      </c>
      <c r="J238" s="21"/>
      <c r="K238" s="22">
        <v>0</v>
      </c>
      <c r="L238" s="23"/>
      <c r="M238" s="22">
        <v>0</v>
      </c>
      <c r="N238" s="72">
        <v>0</v>
      </c>
      <c r="O238" s="22">
        <v>0</v>
      </c>
      <c r="P238" s="21">
        <v>300000</v>
      </c>
      <c r="S238" s="101" t="b">
        <f>OR(COUNTIF(Tabla2[[#This Row],[PROVEEDOR]],"*"&amp;'Palabra no opera'!$A$2&amp;"*"))</f>
        <v>1</v>
      </c>
      <c r="T238" s="113">
        <f>+$W$5-Tabla2[[#This Row],[FECHA DE FACTURACIÓN]]</f>
        <v>61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15" t="str">
        <f>+IF(AND(Tabla2[[#This Row],[venc]]="venc",Tabla2[[#This Row],[Columna1]]="por pagar"),"vencida","no")</f>
        <v>no</v>
      </c>
    </row>
    <row r="239" spans="1:23" ht="15.75" x14ac:dyDescent="0.25">
      <c r="A239" s="20">
        <v>30</v>
      </c>
      <c r="B239" s="25">
        <v>0</v>
      </c>
      <c r="C239" s="25"/>
      <c r="D239" s="56" t="s">
        <v>104</v>
      </c>
      <c r="E239" s="66">
        <v>45261</v>
      </c>
      <c r="F239" s="323" t="s">
        <v>311</v>
      </c>
      <c r="G239" s="66">
        <v>45257</v>
      </c>
      <c r="H239" s="35" t="s">
        <v>1374</v>
      </c>
      <c r="I239" s="21">
        <v>1865344</v>
      </c>
      <c r="J239" s="21"/>
      <c r="K239" s="22">
        <v>0</v>
      </c>
      <c r="L239" s="23"/>
      <c r="M239" s="22">
        <v>0</v>
      </c>
      <c r="N239" s="72">
        <v>0</v>
      </c>
      <c r="O239" s="22">
        <v>0</v>
      </c>
      <c r="P239" s="21">
        <v>1865344</v>
      </c>
      <c r="S239" s="101" t="b">
        <f>OR(COUNTIF(Tabla2[[#This Row],[PROVEEDOR]],"*"&amp;'Palabra no opera'!$A$2&amp;"*"))</f>
        <v>0</v>
      </c>
      <c r="T239" s="113">
        <f>+$W$5-Tabla2[[#This Row],[FECHA DE FACTURACIÓN]]</f>
        <v>65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15" t="str">
        <f>+IF(AND(Tabla2[[#This Row],[venc]]="venc",Tabla2[[#This Row],[Columna1]]="por pagar"),"vencida","no")</f>
        <v>no</v>
      </c>
    </row>
    <row r="240" spans="1:23" ht="15.75" x14ac:dyDescent="0.25">
      <c r="A240" s="20">
        <v>30</v>
      </c>
      <c r="B240" s="25">
        <v>0</v>
      </c>
      <c r="C240" s="25"/>
      <c r="D240" s="56" t="s">
        <v>104</v>
      </c>
      <c r="E240" s="66">
        <v>45260</v>
      </c>
      <c r="F240" s="323" t="s">
        <v>566</v>
      </c>
      <c r="G240" s="66">
        <v>45260</v>
      </c>
      <c r="H240" s="35" t="s">
        <v>516</v>
      </c>
      <c r="I240" s="21">
        <v>556000</v>
      </c>
      <c r="J240" s="21"/>
      <c r="K240" s="22">
        <v>0</v>
      </c>
      <c r="L240" s="23"/>
      <c r="M240" s="22">
        <v>0</v>
      </c>
      <c r="N240" s="72">
        <v>0</v>
      </c>
      <c r="O240" s="22">
        <v>0</v>
      </c>
      <c r="P240" s="21">
        <v>556000</v>
      </c>
      <c r="S240" s="101" t="b">
        <f>OR(COUNTIF(Tabla2[[#This Row],[PROVEEDOR]],"*"&amp;'Palabra no opera'!$A$2&amp;"*"))</f>
        <v>0</v>
      </c>
      <c r="T240" s="113">
        <f>+$W$5-Tabla2[[#This Row],[FECHA DE FACTURACIÓN]]</f>
        <v>62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15" t="str">
        <f>+IF(AND(Tabla2[[#This Row],[venc]]="venc",Tabla2[[#This Row],[Columna1]]="por pagar"),"vencida","no")</f>
        <v>no</v>
      </c>
    </row>
    <row r="241" spans="1:23" ht="15.75" x14ac:dyDescent="0.25">
      <c r="A241" s="20">
        <v>30</v>
      </c>
      <c r="B241" s="25">
        <v>0</v>
      </c>
      <c r="C241" s="25"/>
      <c r="D241" s="56" t="s">
        <v>104</v>
      </c>
      <c r="E241" s="66">
        <v>45260</v>
      </c>
      <c r="F241" s="323" t="s">
        <v>566</v>
      </c>
      <c r="G241" s="66">
        <v>45260</v>
      </c>
      <c r="H241" s="35" t="s">
        <v>545</v>
      </c>
      <c r="I241" s="21">
        <v>32000</v>
      </c>
      <c r="J241" s="21"/>
      <c r="K241" s="22">
        <v>0</v>
      </c>
      <c r="L241" s="23"/>
      <c r="M241" s="22">
        <v>0</v>
      </c>
      <c r="N241" s="72">
        <v>0</v>
      </c>
      <c r="O241" s="22">
        <v>0</v>
      </c>
      <c r="P241" s="21">
        <v>32000</v>
      </c>
      <c r="S241" s="101" t="b">
        <f>OR(COUNTIF(Tabla2[[#This Row],[PROVEEDOR]],"*"&amp;'Palabra no opera'!$A$2&amp;"*"))</f>
        <v>0</v>
      </c>
      <c r="T241" s="113">
        <f>+$W$5-Tabla2[[#This Row],[FECHA DE FACTURACIÓN]]</f>
        <v>62</v>
      </c>
      <c r="U241" t="str">
        <f>+IF(Tabla2[[#This Row],[dias de credito]]&gt;=Tabla2[[#This Row],[PLAZO Días]],"venc", "No venc")</f>
        <v>venc</v>
      </c>
      <c r="V241" t="str">
        <f>+IF(Tabla2[[#This Row],[FECHA DE PAGO]]&gt;0,"pagada","por pagar")</f>
        <v>pagada</v>
      </c>
      <c r="W241" s="115" t="str">
        <f>+IF(AND(Tabla2[[#This Row],[venc]]="venc",Tabla2[[#This Row],[Columna1]]="por pagar"),"vencida","no")</f>
        <v>no</v>
      </c>
    </row>
    <row r="242" spans="1:23" ht="15.75" x14ac:dyDescent="0.25">
      <c r="A242" s="20">
        <v>30</v>
      </c>
      <c r="B242" s="25">
        <v>0</v>
      </c>
      <c r="C242" s="25"/>
      <c r="D242" s="56" t="s">
        <v>104</v>
      </c>
      <c r="E242" s="66">
        <v>45260</v>
      </c>
      <c r="F242" s="323" t="s">
        <v>566</v>
      </c>
      <c r="G242" s="66">
        <v>45260</v>
      </c>
      <c r="H242" s="35" t="s">
        <v>517</v>
      </c>
      <c r="I242" s="21">
        <v>1599800</v>
      </c>
      <c r="J242" s="21"/>
      <c r="K242" s="22">
        <v>0</v>
      </c>
      <c r="L242" s="23"/>
      <c r="M242" s="22">
        <v>0</v>
      </c>
      <c r="N242" s="72">
        <v>0</v>
      </c>
      <c r="O242" s="22">
        <v>0</v>
      </c>
      <c r="P242" s="21">
        <v>1599800</v>
      </c>
      <c r="S242" s="101" t="b">
        <f>OR(COUNTIF(Tabla2[[#This Row],[PROVEEDOR]],"*"&amp;'Palabra no opera'!$A$2&amp;"*"))</f>
        <v>0</v>
      </c>
      <c r="T242" s="113">
        <f>+$W$5-Tabla2[[#This Row],[FECHA DE FACTURACIÓN]]</f>
        <v>62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15" t="str">
        <f>+IF(AND(Tabla2[[#This Row],[venc]]="venc",Tabla2[[#This Row],[Columna1]]="por pagar"),"vencida","no")</f>
        <v>no</v>
      </c>
    </row>
    <row r="243" spans="1:23" ht="15.75" x14ac:dyDescent="0.25">
      <c r="A243" s="20">
        <v>30</v>
      </c>
      <c r="B243" s="25">
        <v>0</v>
      </c>
      <c r="C243" s="25"/>
      <c r="D243" s="56" t="s">
        <v>104</v>
      </c>
      <c r="E243" s="66">
        <v>45260</v>
      </c>
      <c r="F243" s="323" t="s">
        <v>566</v>
      </c>
      <c r="G243" s="66">
        <v>45260</v>
      </c>
      <c r="H243" s="35" t="s">
        <v>519</v>
      </c>
      <c r="I243" s="21">
        <v>313000</v>
      </c>
      <c r="J243" s="21"/>
      <c r="K243" s="22">
        <v>0</v>
      </c>
      <c r="L243" s="23"/>
      <c r="M243" s="22">
        <v>0</v>
      </c>
      <c r="N243" s="72">
        <v>0</v>
      </c>
      <c r="O243" s="22">
        <v>0</v>
      </c>
      <c r="P243" s="21">
        <v>313000</v>
      </c>
      <c r="S243" s="101" t="b">
        <f>OR(COUNTIF(Tabla2[[#This Row],[PROVEEDOR]],"*"&amp;'Palabra no opera'!$A$2&amp;"*"))</f>
        <v>0</v>
      </c>
      <c r="T243" s="113">
        <f>+$W$5-Tabla2[[#This Row],[FECHA DE FACTURACIÓN]]</f>
        <v>62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15" t="str">
        <f>+IF(AND(Tabla2[[#This Row],[venc]]="venc",Tabla2[[#This Row],[Columna1]]="por pagar"),"vencida","no")</f>
        <v>no</v>
      </c>
    </row>
    <row r="244" spans="1:23" ht="15.75" x14ac:dyDescent="0.25">
      <c r="A244" s="20">
        <v>30</v>
      </c>
      <c r="B244" s="25">
        <v>0</v>
      </c>
      <c r="C244" s="25"/>
      <c r="D244" s="56" t="s">
        <v>104</v>
      </c>
      <c r="E244" s="66">
        <v>45260</v>
      </c>
      <c r="F244" s="323" t="s">
        <v>566</v>
      </c>
      <c r="G244" s="66">
        <v>45260</v>
      </c>
      <c r="H244" s="35" t="s">
        <v>518</v>
      </c>
      <c r="I244" s="21">
        <v>452200</v>
      </c>
      <c r="J244" s="21"/>
      <c r="K244" s="22">
        <v>0</v>
      </c>
      <c r="L244" s="23"/>
      <c r="M244" s="22">
        <v>0</v>
      </c>
      <c r="N244" s="72">
        <v>0</v>
      </c>
      <c r="O244" s="22">
        <v>0</v>
      </c>
      <c r="P244" s="21">
        <v>452200</v>
      </c>
      <c r="S244" s="101" t="b">
        <f>OR(COUNTIF(Tabla2[[#This Row],[PROVEEDOR]],"*"&amp;'Palabra no opera'!$A$2&amp;"*"))</f>
        <v>0</v>
      </c>
      <c r="T244" s="113">
        <f>+$W$5-Tabla2[[#This Row],[FECHA DE FACTURACIÓN]]</f>
        <v>62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15" t="str">
        <f>+IF(AND(Tabla2[[#This Row],[venc]]="venc",Tabla2[[#This Row],[Columna1]]="por pagar"),"vencida","no")</f>
        <v>no</v>
      </c>
    </row>
    <row r="245" spans="1:23" ht="15.75" x14ac:dyDescent="0.25">
      <c r="A245" s="20">
        <v>30</v>
      </c>
      <c r="B245" s="25">
        <v>0</v>
      </c>
      <c r="C245" s="25"/>
      <c r="D245" s="56" t="s">
        <v>104</v>
      </c>
      <c r="E245" s="66">
        <v>45260</v>
      </c>
      <c r="F245" s="323" t="s">
        <v>566</v>
      </c>
      <c r="G245" s="66">
        <v>45260</v>
      </c>
      <c r="H245" s="35" t="s">
        <v>520</v>
      </c>
      <c r="I245" s="21">
        <v>269600</v>
      </c>
      <c r="J245" s="21"/>
      <c r="K245" s="22">
        <v>0</v>
      </c>
      <c r="L245" s="23"/>
      <c r="M245" s="22">
        <v>0</v>
      </c>
      <c r="N245" s="72">
        <v>0</v>
      </c>
      <c r="O245" s="22">
        <v>0</v>
      </c>
      <c r="P245" s="21">
        <v>269600</v>
      </c>
      <c r="S245" s="101" t="b">
        <f>OR(COUNTIF(Tabla2[[#This Row],[PROVEEDOR]],"*"&amp;'Palabra no opera'!$A$2&amp;"*"))</f>
        <v>0</v>
      </c>
      <c r="T245" s="113">
        <f>+$W$5-Tabla2[[#This Row],[FECHA DE FACTURACIÓN]]</f>
        <v>62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15" t="str">
        <f>+IF(AND(Tabla2[[#This Row],[venc]]="venc",Tabla2[[#This Row],[Columna1]]="por pagar"),"vencida","no")</f>
        <v>no</v>
      </c>
    </row>
    <row r="246" spans="1:23" ht="15.75" x14ac:dyDescent="0.25">
      <c r="A246" s="20">
        <v>30</v>
      </c>
      <c r="B246" s="25">
        <v>0</v>
      </c>
      <c r="C246" s="25"/>
      <c r="D246" s="56" t="s">
        <v>104</v>
      </c>
      <c r="E246" s="66">
        <v>45259</v>
      </c>
      <c r="F246" s="323" t="s">
        <v>55</v>
      </c>
      <c r="G246" s="66">
        <v>45259</v>
      </c>
      <c r="H246" s="35" t="s">
        <v>1339</v>
      </c>
      <c r="I246" s="21">
        <v>247000</v>
      </c>
      <c r="J246" s="21"/>
      <c r="K246" s="22">
        <v>0</v>
      </c>
      <c r="L246" s="23"/>
      <c r="M246" s="22">
        <v>0</v>
      </c>
      <c r="N246" s="72">
        <v>0</v>
      </c>
      <c r="O246" s="22">
        <v>0</v>
      </c>
      <c r="P246" s="21">
        <v>247000</v>
      </c>
      <c r="S246" s="101" t="b">
        <f>OR(COUNTIF(Tabla2[[#This Row],[PROVEEDOR]],"*"&amp;'Palabra no opera'!$A$2&amp;"*"))</f>
        <v>0</v>
      </c>
      <c r="T246" s="113">
        <f>+$W$5-Tabla2[[#This Row],[FECHA DE FACTURACIÓN]]</f>
        <v>63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15" t="str">
        <f>+IF(AND(Tabla2[[#This Row],[venc]]="venc",Tabla2[[#This Row],[Columna1]]="por pagar"),"vencida","no")</f>
        <v>no</v>
      </c>
    </row>
    <row r="247" spans="1:23" ht="15.75" x14ac:dyDescent="0.25">
      <c r="A247" s="20">
        <v>30</v>
      </c>
      <c r="B247" s="25">
        <v>0</v>
      </c>
      <c r="C247" s="25"/>
      <c r="D247" s="56" t="s">
        <v>104</v>
      </c>
      <c r="E247" s="66">
        <v>45259</v>
      </c>
      <c r="F247" s="323" t="s">
        <v>55</v>
      </c>
      <c r="G247" s="66">
        <v>45259</v>
      </c>
      <c r="H247" s="35" t="s">
        <v>1339</v>
      </c>
      <c r="I247" s="21">
        <v>25180000</v>
      </c>
      <c r="J247" s="21"/>
      <c r="K247" s="22">
        <v>0</v>
      </c>
      <c r="L247" s="23"/>
      <c r="M247" s="22">
        <v>0</v>
      </c>
      <c r="N247" s="72">
        <v>0</v>
      </c>
      <c r="O247" s="22">
        <v>0</v>
      </c>
      <c r="P247" s="21">
        <v>25180000</v>
      </c>
      <c r="S247" s="101" t="b">
        <f>OR(COUNTIF(Tabla2[[#This Row],[PROVEEDOR]],"*"&amp;'Palabra no opera'!$A$2&amp;"*"))</f>
        <v>0</v>
      </c>
      <c r="T247" s="113">
        <f>+$W$5-Tabla2[[#This Row],[FECHA DE FACTURACIÓN]]</f>
        <v>63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15" t="str">
        <f>+IF(AND(Tabla2[[#This Row],[venc]]="venc",Tabla2[[#This Row],[Columna1]]="por pagar"),"vencida","no")</f>
        <v>no</v>
      </c>
    </row>
    <row r="248" spans="1:23" ht="15.75" x14ac:dyDescent="0.25">
      <c r="A248" s="20">
        <v>30</v>
      </c>
      <c r="B248" s="25">
        <v>0</v>
      </c>
      <c r="C248" s="25"/>
      <c r="D248" s="56" t="s">
        <v>104</v>
      </c>
      <c r="E248" s="66">
        <v>45259</v>
      </c>
      <c r="F248" s="323" t="s">
        <v>55</v>
      </c>
      <c r="G248" s="66">
        <v>45259</v>
      </c>
      <c r="H248" s="35" t="s">
        <v>1339</v>
      </c>
      <c r="I248" s="21">
        <v>437000</v>
      </c>
      <c r="J248" s="21"/>
      <c r="K248" s="22">
        <v>0</v>
      </c>
      <c r="L248" s="23"/>
      <c r="M248" s="22">
        <v>0</v>
      </c>
      <c r="N248" s="72">
        <v>0</v>
      </c>
      <c r="O248" s="22">
        <v>0</v>
      </c>
      <c r="P248" s="21">
        <v>437000</v>
      </c>
      <c r="S248" s="101" t="b">
        <f>OR(COUNTIF(Tabla2[[#This Row],[PROVEEDOR]],"*"&amp;'Palabra no opera'!$A$2&amp;"*"))</f>
        <v>0</v>
      </c>
      <c r="T248" s="113">
        <f>+$W$5-Tabla2[[#This Row],[FECHA DE FACTURACIÓN]]</f>
        <v>63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15" t="str">
        <f>+IF(AND(Tabla2[[#This Row],[venc]]="venc",Tabla2[[#This Row],[Columna1]]="por pagar"),"vencida","no")</f>
        <v>no</v>
      </c>
    </row>
    <row r="249" spans="1:23" ht="15.75" x14ac:dyDescent="0.25">
      <c r="A249" s="20">
        <v>30</v>
      </c>
      <c r="B249" s="25">
        <v>0</v>
      </c>
      <c r="C249" s="25"/>
      <c r="D249" s="56" t="s">
        <v>104</v>
      </c>
      <c r="E249" s="66">
        <v>45259</v>
      </c>
      <c r="F249" s="323" t="s">
        <v>55</v>
      </c>
      <c r="G249" s="66">
        <v>45259</v>
      </c>
      <c r="H249" s="35" t="s">
        <v>1339</v>
      </c>
      <c r="I249" s="21">
        <v>2974000</v>
      </c>
      <c r="J249" s="21"/>
      <c r="K249" s="22">
        <v>0</v>
      </c>
      <c r="L249" s="23"/>
      <c r="M249" s="22">
        <v>0</v>
      </c>
      <c r="N249" s="72">
        <v>0</v>
      </c>
      <c r="O249" s="22">
        <v>0</v>
      </c>
      <c r="P249" s="21">
        <v>2974000</v>
      </c>
      <c r="S249" s="101" t="b">
        <f>OR(COUNTIF(Tabla2[[#This Row],[PROVEEDOR]],"*"&amp;'Palabra no opera'!$A$2&amp;"*"))</f>
        <v>0</v>
      </c>
      <c r="T249" s="113">
        <f>+$W$5-Tabla2[[#This Row],[FECHA DE FACTURACIÓN]]</f>
        <v>63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15" t="str">
        <f>+IF(AND(Tabla2[[#This Row],[venc]]="venc",Tabla2[[#This Row],[Columna1]]="por pagar"),"vencida","no")</f>
        <v>no</v>
      </c>
    </row>
    <row r="250" spans="1:23" ht="15.75" x14ac:dyDescent="0.25">
      <c r="A250" s="20">
        <v>30</v>
      </c>
      <c r="B250" s="25">
        <v>0</v>
      </c>
      <c r="C250" s="25"/>
      <c r="D250" s="56" t="s">
        <v>1561</v>
      </c>
      <c r="E250" s="66">
        <v>45259</v>
      </c>
      <c r="F250" s="323" t="s">
        <v>93</v>
      </c>
      <c r="G250" s="66">
        <v>45259</v>
      </c>
      <c r="H250" s="35" t="s">
        <v>1338</v>
      </c>
      <c r="I250" s="21">
        <v>2992242</v>
      </c>
      <c r="J250" s="21"/>
      <c r="K250" s="22">
        <v>0</v>
      </c>
      <c r="L250" s="23"/>
      <c r="M250" s="22">
        <v>0</v>
      </c>
      <c r="N250" s="72">
        <v>0</v>
      </c>
      <c r="O250" s="22">
        <v>0</v>
      </c>
      <c r="P250" s="21">
        <v>2992242</v>
      </c>
      <c r="S250" s="101" t="b">
        <f>OR(COUNTIF(Tabla2[[#This Row],[PROVEEDOR]],"*"&amp;'Palabra no opera'!$A$2&amp;"*"))</f>
        <v>0</v>
      </c>
      <c r="T250" s="113">
        <f>+$W$5-Tabla2[[#This Row],[FECHA DE FACTURACIÓN]]</f>
        <v>63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15" t="str">
        <f>+IF(AND(Tabla2[[#This Row],[venc]]="venc",Tabla2[[#This Row],[Columna1]]="por pagar"),"vencida","no")</f>
        <v>no</v>
      </c>
    </row>
    <row r="251" spans="1:23" ht="15.75" x14ac:dyDescent="0.25">
      <c r="A251" s="20">
        <v>30</v>
      </c>
      <c r="B251" s="25">
        <v>0</v>
      </c>
      <c r="C251" s="25"/>
      <c r="D251" s="56" t="s">
        <v>104</v>
      </c>
      <c r="E251" s="66">
        <v>45257</v>
      </c>
      <c r="F251" s="323" t="s">
        <v>303</v>
      </c>
      <c r="G251" s="66">
        <v>45231</v>
      </c>
      <c r="H251" s="35" t="s">
        <v>1258</v>
      </c>
      <c r="I251" s="21">
        <v>440000</v>
      </c>
      <c r="J251" s="21"/>
      <c r="K251" s="22">
        <v>0</v>
      </c>
      <c r="L251" s="23"/>
      <c r="M251" s="22">
        <v>0</v>
      </c>
      <c r="N251" s="72">
        <v>0</v>
      </c>
      <c r="O251" s="22">
        <v>0</v>
      </c>
      <c r="P251" s="21">
        <v>440000</v>
      </c>
      <c r="S251" s="101" t="b">
        <f>OR(COUNTIF(Tabla2[[#This Row],[PROVEEDOR]],"*"&amp;'Palabra no opera'!$A$2&amp;"*"))</f>
        <v>0</v>
      </c>
      <c r="T251" s="113">
        <f>+$W$5-Tabla2[[#This Row],[FECHA DE FACTURACIÓN]]</f>
        <v>91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15" t="str">
        <f>+IF(AND(Tabla2[[#This Row],[venc]]="venc",Tabla2[[#This Row],[Columna1]]="por pagar"),"vencida","no")</f>
        <v>no</v>
      </c>
    </row>
    <row r="252" spans="1:23" ht="15.75" x14ac:dyDescent="0.25">
      <c r="A252" s="20">
        <v>30</v>
      </c>
      <c r="B252" s="25">
        <v>5134830.96</v>
      </c>
      <c r="C252" s="25"/>
      <c r="D252" s="56" t="s">
        <v>131</v>
      </c>
      <c r="E252" s="66">
        <v>45257</v>
      </c>
      <c r="F252" s="323" t="s">
        <v>20</v>
      </c>
      <c r="G252" s="66">
        <v>45219</v>
      </c>
      <c r="H252" s="35" t="s">
        <v>1221</v>
      </c>
      <c r="I252" s="21">
        <v>1442750</v>
      </c>
      <c r="J252" s="21"/>
      <c r="K252" s="22">
        <v>274122.5</v>
      </c>
      <c r="L252" s="23"/>
      <c r="M252" s="22">
        <v>0</v>
      </c>
      <c r="N252" s="72">
        <v>2.5000000000000001E-2</v>
      </c>
      <c r="O252" s="22">
        <v>36068.75</v>
      </c>
      <c r="P252" s="21">
        <v>1680803.75</v>
      </c>
      <c r="S252" s="101" t="b">
        <f>OR(COUNTIF(Tabla2[[#This Row],[PROVEEDOR]],"*"&amp;'Palabra no opera'!$A$2&amp;"*"))</f>
        <v>0</v>
      </c>
      <c r="T252" s="113">
        <f>+$W$5-Tabla2[[#This Row],[FECHA DE FACTURACIÓN]]</f>
        <v>103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15" t="str">
        <f>+IF(AND(Tabla2[[#This Row],[venc]]="venc",Tabla2[[#This Row],[Columna1]]="por pagar"),"vencida","no")</f>
        <v>no</v>
      </c>
    </row>
    <row r="253" spans="1:23" ht="15.75" x14ac:dyDescent="0.25">
      <c r="A253" s="20">
        <v>30</v>
      </c>
      <c r="B253" s="25">
        <v>1500000</v>
      </c>
      <c r="C253" s="25"/>
      <c r="D253" s="56" t="s">
        <v>104</v>
      </c>
      <c r="E253" s="66">
        <v>45257</v>
      </c>
      <c r="F253" s="323" t="s">
        <v>273</v>
      </c>
      <c r="G253" s="66">
        <v>45218</v>
      </c>
      <c r="H253" s="35" t="s">
        <v>1195</v>
      </c>
      <c r="I253" s="21">
        <v>425000</v>
      </c>
      <c r="J253" s="21"/>
      <c r="K253" s="22">
        <v>0</v>
      </c>
      <c r="L253" s="23"/>
      <c r="M253" s="22">
        <v>0</v>
      </c>
      <c r="N253" s="72">
        <v>0</v>
      </c>
      <c r="O253" s="22">
        <v>0</v>
      </c>
      <c r="P253" s="21">
        <v>425000</v>
      </c>
      <c r="S253" s="101" t="b">
        <f>OR(COUNTIF(Tabla2[[#This Row],[PROVEEDOR]],"*"&amp;'Palabra no opera'!$A$2&amp;"*"))</f>
        <v>0</v>
      </c>
      <c r="T253" s="113">
        <f>+$W$5-Tabla2[[#This Row],[FECHA DE FACTURACIÓN]]</f>
        <v>104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15" t="str">
        <f>+IF(AND(Tabla2[[#This Row],[venc]]="venc",Tabla2[[#This Row],[Columna1]]="por pagar"),"vencida","no")</f>
        <v>no</v>
      </c>
    </row>
    <row r="254" spans="1:23" ht="15.75" x14ac:dyDescent="0.25">
      <c r="A254" s="20">
        <v>30</v>
      </c>
      <c r="B254" s="25">
        <v>0</v>
      </c>
      <c r="C254" s="25"/>
      <c r="D254" s="56" t="s">
        <v>104</v>
      </c>
      <c r="E254" s="66">
        <v>45257</v>
      </c>
      <c r="F254" s="323" t="s">
        <v>279</v>
      </c>
      <c r="G254" s="66">
        <v>45210</v>
      </c>
      <c r="H254" s="35" t="s">
        <v>1199</v>
      </c>
      <c r="I254" s="21">
        <v>3841000</v>
      </c>
      <c r="J254" s="21"/>
      <c r="K254" s="22">
        <v>0</v>
      </c>
      <c r="L254" s="23"/>
      <c r="M254" s="22">
        <v>0</v>
      </c>
      <c r="N254" s="72">
        <v>0</v>
      </c>
      <c r="O254" s="22">
        <v>0</v>
      </c>
      <c r="P254" s="21">
        <v>3841000</v>
      </c>
      <c r="S254" s="101" t="b">
        <f>OR(COUNTIF(Tabla2[[#This Row],[PROVEEDOR]],"*"&amp;'Palabra no opera'!$A$2&amp;"*"))</f>
        <v>0</v>
      </c>
      <c r="T254" s="113">
        <f>+$W$5-Tabla2[[#This Row],[FECHA DE FACTURACIÓN]]</f>
        <v>112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15" t="str">
        <f>+IF(AND(Tabla2[[#This Row],[venc]]="venc",Tabla2[[#This Row],[Columna1]]="por pagar"),"vencida","no")</f>
        <v>no</v>
      </c>
    </row>
    <row r="255" spans="1:23" ht="15.75" x14ac:dyDescent="0.25">
      <c r="A255" s="20">
        <v>30</v>
      </c>
      <c r="B255" s="25">
        <v>0</v>
      </c>
      <c r="C255" s="25"/>
      <c r="D255" s="56">
        <v>0</v>
      </c>
      <c r="E255" s="66">
        <v>45257</v>
      </c>
      <c r="F255" s="323" t="s">
        <v>1218</v>
      </c>
      <c r="G255" s="66">
        <v>45209</v>
      </c>
      <c r="H255" s="35" t="s">
        <v>1202</v>
      </c>
      <c r="I255" s="21">
        <v>2224000</v>
      </c>
      <c r="J255" s="21"/>
      <c r="K255" s="22">
        <v>0</v>
      </c>
      <c r="L255" s="23"/>
      <c r="M255" s="22">
        <v>0</v>
      </c>
      <c r="N255" s="72">
        <v>0</v>
      </c>
      <c r="O255" s="22">
        <v>0</v>
      </c>
      <c r="P255" s="21">
        <v>2224000</v>
      </c>
      <c r="S255" s="101" t="b">
        <f>OR(COUNTIF(Tabla2[[#This Row],[PROVEEDOR]],"*"&amp;'Palabra no opera'!$A$2&amp;"*"))</f>
        <v>0</v>
      </c>
      <c r="T255" s="113">
        <f>+$W$5-Tabla2[[#This Row],[FECHA DE FACTURACIÓN]]</f>
        <v>113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15" t="str">
        <f>+IF(AND(Tabla2[[#This Row],[venc]]="venc",Tabla2[[#This Row],[Columna1]]="por pagar"),"vencida","no")</f>
        <v>no</v>
      </c>
    </row>
    <row r="256" spans="1:23" ht="15.75" x14ac:dyDescent="0.25">
      <c r="A256" s="20">
        <v>30</v>
      </c>
      <c r="B256" s="25">
        <v>5134830.96</v>
      </c>
      <c r="C256" s="25"/>
      <c r="D256" s="56" t="s">
        <v>131</v>
      </c>
      <c r="E256" s="66">
        <v>45257</v>
      </c>
      <c r="F256" s="323" t="s">
        <v>20</v>
      </c>
      <c r="G256" s="66">
        <v>45208</v>
      </c>
      <c r="H256" s="35" t="s">
        <v>1219</v>
      </c>
      <c r="I256" s="21">
        <v>647990</v>
      </c>
      <c r="J256" s="21"/>
      <c r="K256" s="22">
        <v>123118.1</v>
      </c>
      <c r="L256" s="23"/>
      <c r="M256" s="22">
        <v>0</v>
      </c>
      <c r="N256" s="72">
        <v>0</v>
      </c>
      <c r="O256" s="22">
        <v>0</v>
      </c>
      <c r="P256" s="21">
        <v>771108.1</v>
      </c>
      <c r="S256" s="101" t="b">
        <f>OR(COUNTIF(Tabla2[[#This Row],[PROVEEDOR]],"*"&amp;'Palabra no opera'!$A$2&amp;"*"))</f>
        <v>0</v>
      </c>
      <c r="T256" s="113">
        <f>+$W$5-Tabla2[[#This Row],[FECHA DE FACTURACIÓN]]</f>
        <v>114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15" t="str">
        <f>+IF(AND(Tabla2[[#This Row],[venc]]="venc",Tabla2[[#This Row],[Columna1]]="por pagar"),"vencida","no")</f>
        <v>no</v>
      </c>
    </row>
    <row r="257" spans="1:23" ht="15.75" x14ac:dyDescent="0.25">
      <c r="A257" s="20">
        <v>30</v>
      </c>
      <c r="B257" s="25">
        <v>5134830.96</v>
      </c>
      <c r="C257" s="25"/>
      <c r="D257" s="56" t="s">
        <v>131</v>
      </c>
      <c r="E257" s="66">
        <v>45257</v>
      </c>
      <c r="F257" s="323" t="s">
        <v>20</v>
      </c>
      <c r="G257" s="66">
        <v>45208</v>
      </c>
      <c r="H257" s="35" t="s">
        <v>1220</v>
      </c>
      <c r="I257" s="21">
        <v>944000</v>
      </c>
      <c r="J257" s="21"/>
      <c r="K257" s="22">
        <v>179360</v>
      </c>
      <c r="L257" s="23"/>
      <c r="M257" s="22">
        <v>0</v>
      </c>
      <c r="N257" s="72">
        <v>0</v>
      </c>
      <c r="O257" s="22">
        <v>0</v>
      </c>
      <c r="P257" s="21">
        <v>1123360</v>
      </c>
      <c r="S257" s="101" t="b">
        <f>OR(COUNTIF(Tabla2[[#This Row],[PROVEEDOR]],"*"&amp;'Palabra no opera'!$A$2&amp;"*"))</f>
        <v>0</v>
      </c>
      <c r="T257" s="113">
        <f>+$W$5-Tabla2[[#This Row],[FECHA DE FACTURACIÓN]]</f>
        <v>114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15" t="str">
        <f>+IF(AND(Tabla2[[#This Row],[venc]]="venc",Tabla2[[#This Row],[Columna1]]="por pagar"),"vencida","no")</f>
        <v>no</v>
      </c>
    </row>
    <row r="258" spans="1:23" ht="15.75" x14ac:dyDescent="0.25">
      <c r="A258" s="20">
        <v>30</v>
      </c>
      <c r="B258" s="25">
        <v>1499400</v>
      </c>
      <c r="C258" s="25"/>
      <c r="D258" s="56" t="s">
        <v>170</v>
      </c>
      <c r="E258" s="66">
        <v>45257</v>
      </c>
      <c r="F258" s="323" t="s">
        <v>490</v>
      </c>
      <c r="G258" s="66">
        <v>45203</v>
      </c>
      <c r="H258" s="35" t="s">
        <v>1136</v>
      </c>
      <c r="I258" s="21">
        <v>4116710</v>
      </c>
      <c r="J258" s="21">
        <v>316670</v>
      </c>
      <c r="K258" s="22">
        <v>722007.6</v>
      </c>
      <c r="L258" s="23"/>
      <c r="M258" s="22">
        <v>0</v>
      </c>
      <c r="N258" s="72">
        <v>2.5000000000000001E-2</v>
      </c>
      <c r="O258" s="22">
        <v>95001</v>
      </c>
      <c r="P258" s="21">
        <v>4427046.5999999996</v>
      </c>
      <c r="S258" s="101" t="b">
        <f>OR(COUNTIF(Tabla2[[#This Row],[PROVEEDOR]],"*"&amp;'Palabra no opera'!$A$2&amp;"*"))</f>
        <v>0</v>
      </c>
      <c r="T258" s="113">
        <f>+$W$5-Tabla2[[#This Row],[FECHA DE FACTURACIÓN]]</f>
        <v>119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15" t="str">
        <f>+IF(AND(Tabla2[[#This Row],[venc]]="venc",Tabla2[[#This Row],[Columna1]]="por pagar"),"vencida","no")</f>
        <v>no</v>
      </c>
    </row>
    <row r="259" spans="1:23" ht="15.75" x14ac:dyDescent="0.25">
      <c r="A259" s="20">
        <v>30</v>
      </c>
      <c r="B259" s="25">
        <v>1499400</v>
      </c>
      <c r="C259" s="25"/>
      <c r="D259" s="56" t="s">
        <v>170</v>
      </c>
      <c r="E259" s="66">
        <v>45257</v>
      </c>
      <c r="F259" s="323" t="s">
        <v>490</v>
      </c>
      <c r="G259" s="66">
        <v>45200</v>
      </c>
      <c r="H259" s="35" t="s">
        <v>532</v>
      </c>
      <c r="I259" s="21">
        <v>-310017</v>
      </c>
      <c r="J259" s="21"/>
      <c r="K259" s="22">
        <v>-58903.23</v>
      </c>
      <c r="L259" s="23"/>
      <c r="M259" s="22">
        <v>0</v>
      </c>
      <c r="N259" s="72">
        <v>0</v>
      </c>
      <c r="O259" s="22">
        <v>0</v>
      </c>
      <c r="P259" s="21">
        <v>-368920.23</v>
      </c>
      <c r="S259" s="101" t="b">
        <f>OR(COUNTIF(Tabla2[[#This Row],[PROVEEDOR]],"*"&amp;'Palabra no opera'!$A$2&amp;"*"))</f>
        <v>0</v>
      </c>
      <c r="T259" s="113">
        <f>+$W$5-Tabla2[[#This Row],[FECHA DE FACTURACIÓN]]</f>
        <v>122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15" t="str">
        <f>+IF(AND(Tabla2[[#This Row],[venc]]="venc",Tabla2[[#This Row],[Columna1]]="por pagar"),"vencida","no")</f>
        <v>no</v>
      </c>
    </row>
    <row r="260" spans="1:23" ht="15.75" x14ac:dyDescent="0.25">
      <c r="A260" s="20">
        <v>30</v>
      </c>
      <c r="B260" s="25">
        <v>0</v>
      </c>
      <c r="C260" s="25"/>
      <c r="D260" s="56" t="s">
        <v>104</v>
      </c>
      <c r="E260" s="66">
        <v>45253</v>
      </c>
      <c r="F260" s="323" t="s">
        <v>521</v>
      </c>
      <c r="G260" s="66">
        <v>45253</v>
      </c>
      <c r="H260" s="35" t="s">
        <v>1337</v>
      </c>
      <c r="I260" s="21">
        <v>730000</v>
      </c>
      <c r="J260" s="21"/>
      <c r="K260" s="22">
        <v>0</v>
      </c>
      <c r="L260" s="23"/>
      <c r="M260" s="22">
        <v>0</v>
      </c>
      <c r="N260" s="72">
        <v>0</v>
      </c>
      <c r="O260" s="22">
        <v>0</v>
      </c>
      <c r="P260" s="21">
        <v>730000</v>
      </c>
      <c r="S260" s="101" t="b">
        <f>OR(COUNTIF(Tabla2[[#This Row],[PROVEEDOR]],"*"&amp;'Palabra no opera'!$A$2&amp;"*"))</f>
        <v>0</v>
      </c>
      <c r="T260" s="113">
        <f>+$W$5-Tabla2[[#This Row],[FECHA DE FACTURACIÓN]]</f>
        <v>69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15" t="str">
        <f>+IF(AND(Tabla2[[#This Row],[venc]]="venc",Tabla2[[#This Row],[Columna1]]="por pagar"),"vencida","no")</f>
        <v>no</v>
      </c>
    </row>
    <row r="261" spans="1:23" ht="15.75" x14ac:dyDescent="0.25">
      <c r="A261" s="20">
        <v>30</v>
      </c>
      <c r="B261" s="25">
        <v>0</v>
      </c>
      <c r="C261" s="25"/>
      <c r="D261" s="56" t="s">
        <v>1177</v>
      </c>
      <c r="E261" s="66">
        <v>45253</v>
      </c>
      <c r="F261" s="323" t="s">
        <v>1178</v>
      </c>
      <c r="G261" s="66">
        <v>45252</v>
      </c>
      <c r="H261" s="35" t="s">
        <v>1286</v>
      </c>
      <c r="I261" s="21">
        <v>897647</v>
      </c>
      <c r="J261" s="21"/>
      <c r="K261" s="22">
        <v>170552.93</v>
      </c>
      <c r="L261" s="23"/>
      <c r="M261" s="22">
        <v>0</v>
      </c>
      <c r="N261" s="72">
        <v>0</v>
      </c>
      <c r="O261" s="22">
        <v>0</v>
      </c>
      <c r="P261" s="21">
        <v>1068199.93</v>
      </c>
      <c r="S261" s="101" t="b">
        <f>OR(COUNTIF(Tabla2[[#This Row],[PROVEEDOR]],"*"&amp;'Palabra no opera'!$A$2&amp;"*"))</f>
        <v>0</v>
      </c>
      <c r="T261" s="113">
        <f>+$W$5-Tabla2[[#This Row],[FECHA DE FACTURACIÓN]]</f>
        <v>70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15" t="str">
        <f>+IF(AND(Tabla2[[#This Row],[venc]]="venc",Tabla2[[#This Row],[Columna1]]="por pagar"),"vencida","no")</f>
        <v>no</v>
      </c>
    </row>
    <row r="262" spans="1:23" ht="15.75" x14ac:dyDescent="0.25">
      <c r="A262" s="20">
        <v>30</v>
      </c>
      <c r="B262" s="25">
        <v>0</v>
      </c>
      <c r="C262" s="25"/>
      <c r="D262" s="56" t="s">
        <v>1177</v>
      </c>
      <c r="E262" s="66">
        <v>45253</v>
      </c>
      <c r="F262" s="323" t="s">
        <v>1178</v>
      </c>
      <c r="G262" s="66">
        <v>45252</v>
      </c>
      <c r="H262" s="35" t="s">
        <v>1287</v>
      </c>
      <c r="I262" s="21">
        <v>41008</v>
      </c>
      <c r="J262" s="21"/>
      <c r="K262" s="22">
        <v>7791.52</v>
      </c>
      <c r="L262" s="23"/>
      <c r="M262" s="22">
        <v>0</v>
      </c>
      <c r="N262" s="72">
        <v>0</v>
      </c>
      <c r="O262" s="22">
        <v>0</v>
      </c>
      <c r="P262" s="21">
        <v>48799.520000000004</v>
      </c>
      <c r="S262" s="101" t="b">
        <f>OR(COUNTIF(Tabla2[[#This Row],[PROVEEDOR]],"*"&amp;'Palabra no opera'!$A$2&amp;"*"))</f>
        <v>0</v>
      </c>
      <c r="T262" s="113">
        <f>+$W$5-Tabla2[[#This Row],[FECHA DE FACTURACIÓN]]</f>
        <v>70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15" t="str">
        <f>+IF(AND(Tabla2[[#This Row],[venc]]="venc",Tabla2[[#This Row],[Columna1]]="por pagar"),"vencida","no")</f>
        <v>no</v>
      </c>
    </row>
    <row r="263" spans="1:23" ht="15.75" x14ac:dyDescent="0.25">
      <c r="A263" s="20">
        <v>30</v>
      </c>
      <c r="B263" s="25">
        <v>0</v>
      </c>
      <c r="C263" s="25"/>
      <c r="D263" s="56" t="s">
        <v>245</v>
      </c>
      <c r="E263" s="66">
        <v>45253</v>
      </c>
      <c r="F263" s="323" t="s">
        <v>221</v>
      </c>
      <c r="G263" s="66">
        <v>45213</v>
      </c>
      <c r="H263" s="35" t="s">
        <v>1225</v>
      </c>
      <c r="I263" s="21">
        <v>3001258</v>
      </c>
      <c r="J263" s="21"/>
      <c r="K263" s="22">
        <v>570239.02</v>
      </c>
      <c r="L263" s="23"/>
      <c r="M263" s="22">
        <v>0</v>
      </c>
      <c r="N263" s="72">
        <v>0</v>
      </c>
      <c r="O263" s="22">
        <v>0</v>
      </c>
      <c r="P263" s="21">
        <v>3571497.02</v>
      </c>
      <c r="S263" s="101" t="b">
        <f>OR(COUNTIF(Tabla2[[#This Row],[PROVEEDOR]],"*"&amp;'Palabra no opera'!$A$2&amp;"*"))</f>
        <v>0</v>
      </c>
      <c r="T263" s="113">
        <f>+$W$5-Tabla2[[#This Row],[FECHA DE FACTURACIÓN]]</f>
        <v>109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15" t="str">
        <f>+IF(AND(Tabla2[[#This Row],[venc]]="venc",Tabla2[[#This Row],[Columna1]]="por pagar"),"vencida","no")</f>
        <v>no</v>
      </c>
    </row>
    <row r="264" spans="1:23" ht="15.75" x14ac:dyDescent="0.25">
      <c r="A264" s="20">
        <v>60</v>
      </c>
      <c r="B264" s="25">
        <v>14884783</v>
      </c>
      <c r="C264" s="25"/>
      <c r="D264" s="56" t="s">
        <v>432</v>
      </c>
      <c r="E264" s="66">
        <v>45252</v>
      </c>
      <c r="F264" s="323" t="s">
        <v>76</v>
      </c>
      <c r="G264" s="66">
        <v>45252</v>
      </c>
      <c r="H264" s="35" t="s">
        <v>1517</v>
      </c>
      <c r="I264" s="21">
        <v>-2100840</v>
      </c>
      <c r="J264" s="21"/>
      <c r="K264" s="22">
        <v>-399159.6</v>
      </c>
      <c r="L264" s="23"/>
      <c r="M264" s="22">
        <v>0</v>
      </c>
      <c r="N264" s="72">
        <v>0</v>
      </c>
      <c r="O264" s="22">
        <v>0</v>
      </c>
      <c r="P264" s="21">
        <v>-2499999.6</v>
      </c>
      <c r="S264" s="101" t="b">
        <f>OR(COUNTIF(Tabla2[[#This Row],[PROVEEDOR]],"*"&amp;'Palabra no opera'!$A$2&amp;"*"))</f>
        <v>0</v>
      </c>
      <c r="T264" s="113">
        <f>+$W$5-Tabla2[[#This Row],[FECHA DE FACTURACIÓN]]</f>
        <v>70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15" t="str">
        <f>+IF(AND(Tabla2[[#This Row],[venc]]="venc",Tabla2[[#This Row],[Columna1]]="por pagar"),"vencida","no")</f>
        <v>no</v>
      </c>
    </row>
    <row r="265" spans="1:23" ht="15.75" x14ac:dyDescent="0.25">
      <c r="A265" s="20">
        <v>0</v>
      </c>
      <c r="B265" s="25">
        <v>0</v>
      </c>
      <c r="C265" s="25"/>
      <c r="D265" s="56" t="s">
        <v>132</v>
      </c>
      <c r="E265" s="66">
        <v>45251</v>
      </c>
      <c r="F265" s="323" t="s">
        <v>602</v>
      </c>
      <c r="G265" s="66">
        <v>45250</v>
      </c>
      <c r="H265" s="35">
        <v>2077</v>
      </c>
      <c r="I265" s="21">
        <v>600000</v>
      </c>
      <c r="J265" s="21"/>
      <c r="K265" s="22">
        <v>0</v>
      </c>
      <c r="L265" s="23"/>
      <c r="M265" s="22">
        <v>0</v>
      </c>
      <c r="N265" s="72">
        <v>0</v>
      </c>
      <c r="O265" s="22">
        <v>0</v>
      </c>
      <c r="P265" s="21">
        <v>600000</v>
      </c>
      <c r="S265" s="101" t="b">
        <f>OR(COUNTIF(Tabla2[[#This Row],[PROVEEDOR]],"*"&amp;'Palabra no opera'!$A$2&amp;"*"))</f>
        <v>1</v>
      </c>
      <c r="T265" s="113">
        <f>+$W$5-Tabla2[[#This Row],[FECHA DE FACTURACIÓN]]</f>
        <v>72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15" t="str">
        <f>+IF(AND(Tabla2[[#This Row],[venc]]="venc",Tabla2[[#This Row],[Columna1]]="por pagar"),"vencida","no")</f>
        <v>no</v>
      </c>
    </row>
    <row r="266" spans="1:23" ht="15.75" x14ac:dyDescent="0.25">
      <c r="A266" s="20">
        <v>30</v>
      </c>
      <c r="B266" s="25">
        <v>0</v>
      </c>
      <c r="C266" s="25"/>
      <c r="D266" s="56" t="s">
        <v>1561</v>
      </c>
      <c r="E266" s="66">
        <v>45251</v>
      </c>
      <c r="F266" s="323" t="s">
        <v>203</v>
      </c>
      <c r="G266" s="66">
        <v>45247</v>
      </c>
      <c r="H266" s="35" t="s">
        <v>1274</v>
      </c>
      <c r="I266" s="21">
        <v>7880</v>
      </c>
      <c r="J266" s="21"/>
      <c r="K266" s="22">
        <v>0</v>
      </c>
      <c r="L266" s="23"/>
      <c r="M266" s="22">
        <v>0</v>
      </c>
      <c r="N266" s="72">
        <v>0</v>
      </c>
      <c r="O266" s="22">
        <v>0</v>
      </c>
      <c r="P266" s="21">
        <v>7880</v>
      </c>
      <c r="S266" s="101" t="b">
        <f>OR(COUNTIF(Tabla2[[#This Row],[PROVEEDOR]],"*"&amp;'Palabra no opera'!$A$2&amp;"*"))</f>
        <v>0</v>
      </c>
      <c r="T266" s="113">
        <f>+$W$5-Tabla2[[#This Row],[FECHA DE FACTURACIÓN]]</f>
        <v>75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15" t="str">
        <f>+IF(AND(Tabla2[[#This Row],[venc]]="venc",Tabla2[[#This Row],[Columna1]]="por pagar"),"vencida","no")</f>
        <v>no</v>
      </c>
    </row>
    <row r="267" spans="1:23" ht="15.75" x14ac:dyDescent="0.25">
      <c r="A267" s="20">
        <v>30</v>
      </c>
      <c r="B267" s="25">
        <v>0</v>
      </c>
      <c r="C267" s="25"/>
      <c r="D267" s="56" t="s">
        <v>1561</v>
      </c>
      <c r="E267" s="66">
        <v>45251</v>
      </c>
      <c r="F267" s="323" t="s">
        <v>203</v>
      </c>
      <c r="G267" s="66">
        <v>45238</v>
      </c>
      <c r="H267" s="35" t="s">
        <v>1240</v>
      </c>
      <c r="I267" s="21">
        <v>129550</v>
      </c>
      <c r="J267" s="21"/>
      <c r="K267" s="22">
        <v>0</v>
      </c>
      <c r="L267" s="23"/>
      <c r="M267" s="22">
        <v>0</v>
      </c>
      <c r="N267" s="72">
        <v>0</v>
      </c>
      <c r="O267" s="22">
        <v>0</v>
      </c>
      <c r="P267" s="21">
        <v>129550</v>
      </c>
      <c r="S267" s="101" t="b">
        <f>OR(COUNTIF(Tabla2[[#This Row],[PROVEEDOR]],"*"&amp;'Palabra no opera'!$A$2&amp;"*"))</f>
        <v>0</v>
      </c>
      <c r="T267" s="113">
        <f>+$W$5-Tabla2[[#This Row],[FECHA DE FACTURACIÓN]]</f>
        <v>84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15" t="str">
        <f>+IF(AND(Tabla2[[#This Row],[venc]]="venc",Tabla2[[#This Row],[Columna1]]="por pagar"),"vencida","no")</f>
        <v>no</v>
      </c>
    </row>
    <row r="268" spans="1:23" ht="15.75" x14ac:dyDescent="0.25">
      <c r="A268" s="20">
        <v>45</v>
      </c>
      <c r="B268" s="25">
        <v>3074500</v>
      </c>
      <c r="C268" s="25"/>
      <c r="D268" s="56" t="s">
        <v>645</v>
      </c>
      <c r="E268" s="66">
        <v>45251</v>
      </c>
      <c r="F268" s="323" t="s">
        <v>252</v>
      </c>
      <c r="G268" s="66">
        <v>45237</v>
      </c>
      <c r="H268" s="35">
        <v>1827</v>
      </c>
      <c r="I268" s="21">
        <v>1885550</v>
      </c>
      <c r="J268" s="21"/>
      <c r="K268" s="22">
        <v>0</v>
      </c>
      <c r="L268" s="23"/>
      <c r="M268" s="22">
        <v>0</v>
      </c>
      <c r="N268" s="72">
        <v>0</v>
      </c>
      <c r="O268" s="22">
        <v>0</v>
      </c>
      <c r="P268" s="21">
        <v>1885550</v>
      </c>
      <c r="S268" s="101" t="b">
        <f>OR(COUNTIF(Tabla2[[#This Row],[PROVEEDOR]],"*"&amp;'Palabra no opera'!$A$2&amp;"*"))</f>
        <v>0</v>
      </c>
      <c r="T268" s="113">
        <f>+$W$5-Tabla2[[#This Row],[FECHA DE FACTURACIÓN]]</f>
        <v>85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15" t="str">
        <f>+IF(AND(Tabla2[[#This Row],[venc]]="venc",Tabla2[[#This Row],[Columna1]]="por pagar"),"vencida","no")</f>
        <v>no</v>
      </c>
    </row>
    <row r="269" spans="1:23" ht="15.75" x14ac:dyDescent="0.25">
      <c r="A269" s="20">
        <v>60</v>
      </c>
      <c r="B269" s="25">
        <v>3708614</v>
      </c>
      <c r="C269" s="25"/>
      <c r="D269" s="56" t="s">
        <v>645</v>
      </c>
      <c r="E269" s="66">
        <v>45251</v>
      </c>
      <c r="F269" s="323" t="s">
        <v>250</v>
      </c>
      <c r="G269" s="66">
        <v>45233</v>
      </c>
      <c r="H269" s="35">
        <v>1822</v>
      </c>
      <c r="I269" s="21">
        <v>344000</v>
      </c>
      <c r="J269" s="21"/>
      <c r="K269" s="22">
        <v>0</v>
      </c>
      <c r="L269" s="23"/>
      <c r="M269" s="22">
        <v>0</v>
      </c>
      <c r="N269" s="72">
        <v>0</v>
      </c>
      <c r="O269" s="22">
        <v>0</v>
      </c>
      <c r="P269" s="21">
        <v>344000</v>
      </c>
      <c r="S269" s="101" t="b">
        <f>OR(COUNTIF(Tabla2[[#This Row],[PROVEEDOR]],"*"&amp;'Palabra no opera'!$A$2&amp;"*"))</f>
        <v>0</v>
      </c>
      <c r="T269" s="113">
        <f>+$W$5-Tabla2[[#This Row],[FECHA DE FACTURACIÓN]]</f>
        <v>89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15" t="str">
        <f>+IF(AND(Tabla2[[#This Row],[venc]]="venc",Tabla2[[#This Row],[Columna1]]="por pagar"),"vencida","no")</f>
        <v>no</v>
      </c>
    </row>
    <row r="270" spans="1:23" ht="15.75" x14ac:dyDescent="0.25">
      <c r="A270" s="20">
        <v>60</v>
      </c>
      <c r="B270" s="25">
        <v>3708614</v>
      </c>
      <c r="C270" s="25"/>
      <c r="D270" s="56" t="s">
        <v>645</v>
      </c>
      <c r="E270" s="66">
        <v>45251</v>
      </c>
      <c r="F270" s="323" t="s">
        <v>250</v>
      </c>
      <c r="G270" s="66">
        <v>45233</v>
      </c>
      <c r="H270" s="35">
        <v>1826</v>
      </c>
      <c r="I270" s="21">
        <v>395600</v>
      </c>
      <c r="J270" s="21"/>
      <c r="K270" s="22">
        <v>0</v>
      </c>
      <c r="L270" s="23"/>
      <c r="M270" s="22">
        <v>0</v>
      </c>
      <c r="N270" s="72">
        <v>0</v>
      </c>
      <c r="O270" s="22">
        <v>0</v>
      </c>
      <c r="P270" s="21">
        <v>395600</v>
      </c>
      <c r="S270" s="101" t="b">
        <f>OR(COUNTIF(Tabla2[[#This Row],[PROVEEDOR]],"*"&amp;'Palabra no opera'!$A$2&amp;"*"))</f>
        <v>0</v>
      </c>
      <c r="T270" s="113">
        <f>+$W$5-Tabla2[[#This Row],[FECHA DE FACTURACIÓN]]</f>
        <v>89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15" t="str">
        <f>+IF(AND(Tabla2[[#This Row],[venc]]="venc",Tabla2[[#This Row],[Columna1]]="por pagar"),"vencida","no")</f>
        <v>no</v>
      </c>
    </row>
    <row r="271" spans="1:23" ht="15.75" x14ac:dyDescent="0.25">
      <c r="A271" s="20">
        <v>45</v>
      </c>
      <c r="B271" s="25">
        <v>3074500</v>
      </c>
      <c r="C271" s="25"/>
      <c r="D271" s="56" t="s">
        <v>645</v>
      </c>
      <c r="E271" s="66">
        <v>45251</v>
      </c>
      <c r="F271" s="323" t="s">
        <v>252</v>
      </c>
      <c r="G271" s="66">
        <v>45230</v>
      </c>
      <c r="H271" s="35">
        <v>1819</v>
      </c>
      <c r="I271" s="21">
        <v>3074500</v>
      </c>
      <c r="J271" s="21"/>
      <c r="K271" s="22">
        <v>0</v>
      </c>
      <c r="L271" s="23"/>
      <c r="M271" s="22">
        <v>0</v>
      </c>
      <c r="N271" s="72">
        <v>0</v>
      </c>
      <c r="O271" s="22">
        <v>0</v>
      </c>
      <c r="P271" s="21">
        <v>3074500</v>
      </c>
      <c r="S271" s="101" t="b">
        <f>OR(COUNTIF(Tabla2[[#This Row],[PROVEEDOR]],"*"&amp;'Palabra no opera'!$A$2&amp;"*"))</f>
        <v>0</v>
      </c>
      <c r="T271" s="113">
        <f>+$W$5-Tabla2[[#This Row],[FECHA DE FACTURACIÓN]]</f>
        <v>92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15" t="str">
        <f>+IF(AND(Tabla2[[#This Row],[venc]]="venc",Tabla2[[#This Row],[Columna1]]="por pagar"),"vencida","no")</f>
        <v>no</v>
      </c>
    </row>
    <row r="272" spans="1:23" ht="15.75" x14ac:dyDescent="0.25">
      <c r="A272" s="20">
        <v>60</v>
      </c>
      <c r="B272" s="25">
        <v>3708614</v>
      </c>
      <c r="C272" s="25"/>
      <c r="D272" s="56" t="s">
        <v>645</v>
      </c>
      <c r="E272" s="66">
        <v>45251</v>
      </c>
      <c r="F272" s="323" t="s">
        <v>250</v>
      </c>
      <c r="G272" s="66">
        <v>45226</v>
      </c>
      <c r="H272" s="35">
        <v>1814</v>
      </c>
      <c r="I272" s="21">
        <v>430000</v>
      </c>
      <c r="J272" s="21"/>
      <c r="K272" s="22">
        <v>0</v>
      </c>
      <c r="L272" s="23"/>
      <c r="M272" s="22">
        <v>0</v>
      </c>
      <c r="N272" s="72">
        <v>0</v>
      </c>
      <c r="O272" s="22">
        <v>0</v>
      </c>
      <c r="P272" s="21">
        <v>430000</v>
      </c>
      <c r="S272" s="101" t="b">
        <f>OR(COUNTIF(Tabla2[[#This Row],[PROVEEDOR]],"*"&amp;'Palabra no opera'!$A$2&amp;"*"))</f>
        <v>0</v>
      </c>
      <c r="T272" s="113">
        <f>+$W$5-Tabla2[[#This Row],[FECHA DE FACTURACIÓN]]</f>
        <v>96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15" t="str">
        <f>+IF(AND(Tabla2[[#This Row],[venc]]="venc",Tabla2[[#This Row],[Columna1]]="por pagar"),"vencida","no")</f>
        <v>no</v>
      </c>
    </row>
    <row r="273" spans="1:23" ht="15.75" x14ac:dyDescent="0.25">
      <c r="A273" s="20">
        <v>60</v>
      </c>
      <c r="B273" s="25">
        <v>3708614</v>
      </c>
      <c r="C273" s="25"/>
      <c r="D273" s="56" t="s">
        <v>645</v>
      </c>
      <c r="E273" s="66">
        <v>45251</v>
      </c>
      <c r="F273" s="323" t="s">
        <v>250</v>
      </c>
      <c r="G273" s="66">
        <v>45217</v>
      </c>
      <c r="H273" s="35">
        <v>1812</v>
      </c>
      <c r="I273" s="21">
        <v>533200</v>
      </c>
      <c r="J273" s="21"/>
      <c r="K273" s="22">
        <v>0</v>
      </c>
      <c r="L273" s="23"/>
      <c r="M273" s="22">
        <v>0</v>
      </c>
      <c r="N273" s="72">
        <v>0</v>
      </c>
      <c r="O273" s="22">
        <v>0</v>
      </c>
      <c r="P273" s="21">
        <v>533200</v>
      </c>
      <c r="S273" s="101" t="b">
        <f>OR(COUNTIF(Tabla2[[#This Row],[PROVEEDOR]],"*"&amp;'Palabra no opera'!$A$2&amp;"*"))</f>
        <v>0</v>
      </c>
      <c r="T273" s="113">
        <f>+$W$5-Tabla2[[#This Row],[FECHA DE FACTURACIÓN]]</f>
        <v>105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15" t="str">
        <f>+IF(AND(Tabla2[[#This Row],[venc]]="venc",Tabla2[[#This Row],[Columna1]]="por pagar"),"vencida","no")</f>
        <v>no</v>
      </c>
    </row>
    <row r="274" spans="1:23" ht="15.75" x14ac:dyDescent="0.25">
      <c r="A274" s="20">
        <v>30</v>
      </c>
      <c r="B274" s="25">
        <v>2190013.0175000001</v>
      </c>
      <c r="C274" s="25"/>
      <c r="D274" s="56" t="s">
        <v>180</v>
      </c>
      <c r="E274" s="66">
        <v>45251</v>
      </c>
      <c r="F274" s="323" t="s">
        <v>491</v>
      </c>
      <c r="G274" s="66">
        <v>45216</v>
      </c>
      <c r="H274" s="35" t="s">
        <v>1229</v>
      </c>
      <c r="I274" s="21">
        <v>884121</v>
      </c>
      <c r="J274" s="21"/>
      <c r="K274" s="22">
        <v>167982.99</v>
      </c>
      <c r="L274" s="23"/>
      <c r="M274" s="22">
        <v>0</v>
      </c>
      <c r="N274" s="72">
        <v>0</v>
      </c>
      <c r="O274" s="22">
        <v>0</v>
      </c>
      <c r="P274" s="21">
        <v>1052103.99</v>
      </c>
      <c r="S274" s="101" t="b">
        <f>OR(COUNTIF(Tabla2[[#This Row],[PROVEEDOR]],"*"&amp;'Palabra no opera'!$A$2&amp;"*"))</f>
        <v>0</v>
      </c>
      <c r="T274" s="113">
        <f>+$W$5-Tabla2[[#This Row],[FECHA DE FACTURACIÓN]]</f>
        <v>106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15" t="str">
        <f>+IF(AND(Tabla2[[#This Row],[venc]]="venc",Tabla2[[#This Row],[Columna1]]="por pagar"),"vencida","no")</f>
        <v>no</v>
      </c>
    </row>
    <row r="275" spans="1:23" ht="15.75" x14ac:dyDescent="0.25">
      <c r="A275" s="20">
        <v>60</v>
      </c>
      <c r="B275" s="25">
        <v>3708614</v>
      </c>
      <c r="C275" s="25"/>
      <c r="D275" s="56" t="s">
        <v>645</v>
      </c>
      <c r="E275" s="66">
        <v>45251</v>
      </c>
      <c r="F275" s="323" t="s">
        <v>250</v>
      </c>
      <c r="G275" s="66">
        <v>45215</v>
      </c>
      <c r="H275" s="35">
        <v>1805</v>
      </c>
      <c r="I275" s="21">
        <v>619200</v>
      </c>
      <c r="J275" s="21"/>
      <c r="K275" s="22">
        <v>0</v>
      </c>
      <c r="L275" s="23"/>
      <c r="M275" s="22">
        <v>0</v>
      </c>
      <c r="N275" s="72">
        <v>0</v>
      </c>
      <c r="O275" s="22">
        <v>0</v>
      </c>
      <c r="P275" s="21">
        <v>619200</v>
      </c>
      <c r="S275" s="101" t="b">
        <f>OR(COUNTIF(Tabla2[[#This Row],[PROVEEDOR]],"*"&amp;'Palabra no opera'!$A$2&amp;"*"))</f>
        <v>0</v>
      </c>
      <c r="T275" s="113">
        <f>+$W$5-Tabla2[[#This Row],[FECHA DE FACTURACIÓN]]</f>
        <v>107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15" t="str">
        <f>+IF(AND(Tabla2[[#This Row],[venc]]="venc",Tabla2[[#This Row],[Columna1]]="por pagar"),"vencida","no")</f>
        <v>no</v>
      </c>
    </row>
    <row r="276" spans="1:23" ht="15.75" x14ac:dyDescent="0.25">
      <c r="A276" s="20">
        <v>30</v>
      </c>
      <c r="B276" s="25">
        <v>0</v>
      </c>
      <c r="C276" s="25"/>
      <c r="D276" s="56" t="s">
        <v>189</v>
      </c>
      <c r="E276" s="66">
        <v>45251</v>
      </c>
      <c r="F276" s="323" t="s">
        <v>47</v>
      </c>
      <c r="G276" s="66">
        <v>45201</v>
      </c>
      <c r="H276" s="35" t="s">
        <v>1139</v>
      </c>
      <c r="I276" s="21">
        <v>1664650</v>
      </c>
      <c r="J276" s="21"/>
      <c r="K276" s="22">
        <v>316283.5</v>
      </c>
      <c r="L276" s="23"/>
      <c r="M276" s="22">
        <v>0</v>
      </c>
      <c r="N276" s="72">
        <v>2.5000000000000001E-2</v>
      </c>
      <c r="O276" s="22">
        <v>41616.25</v>
      </c>
      <c r="P276" s="21">
        <v>1939317.25</v>
      </c>
      <c r="S276" s="101" t="b">
        <f>OR(COUNTIF(Tabla2[[#This Row],[PROVEEDOR]],"*"&amp;'Palabra no opera'!$A$2&amp;"*"))</f>
        <v>0</v>
      </c>
      <c r="T276" s="113">
        <f>+$W$5-Tabla2[[#This Row],[FECHA DE FACTURACIÓN]]</f>
        <v>121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15" t="str">
        <f>+IF(AND(Tabla2[[#This Row],[venc]]="venc",Tabla2[[#This Row],[Columna1]]="por pagar"),"vencida","no")</f>
        <v>no</v>
      </c>
    </row>
    <row r="277" spans="1:23" ht="15.75" x14ac:dyDescent="0.25">
      <c r="A277" s="20">
        <v>30</v>
      </c>
      <c r="B277" s="25">
        <v>0</v>
      </c>
      <c r="C277" s="25"/>
      <c r="D277" s="56" t="s">
        <v>1561</v>
      </c>
      <c r="E277" s="66">
        <v>45251</v>
      </c>
      <c r="F277" s="323" t="s">
        <v>203</v>
      </c>
      <c r="G277" s="66">
        <v>45198</v>
      </c>
      <c r="H277" s="35" t="s">
        <v>1125</v>
      </c>
      <c r="I277" s="21">
        <v>287350</v>
      </c>
      <c r="J277" s="21"/>
      <c r="K277" s="22">
        <v>0</v>
      </c>
      <c r="L277" s="23"/>
      <c r="M277" s="22">
        <v>0</v>
      </c>
      <c r="N277" s="72">
        <v>0</v>
      </c>
      <c r="O277" s="22">
        <v>0</v>
      </c>
      <c r="P277" s="21">
        <v>287350</v>
      </c>
      <c r="S277" s="101" t="b">
        <f>OR(COUNTIF(Tabla2[[#This Row],[PROVEEDOR]],"*"&amp;'Palabra no opera'!$A$2&amp;"*"))</f>
        <v>0</v>
      </c>
      <c r="T277" s="113">
        <f>+$W$5-Tabla2[[#This Row],[FECHA DE FACTURACIÓN]]</f>
        <v>124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15" t="str">
        <f>+IF(AND(Tabla2[[#This Row],[venc]]="venc",Tabla2[[#This Row],[Columna1]]="por pagar"),"vencida","no")</f>
        <v>no</v>
      </c>
    </row>
    <row r="278" spans="1:23" ht="15.75" x14ac:dyDescent="0.25">
      <c r="A278" s="20">
        <v>30</v>
      </c>
      <c r="B278" s="25">
        <v>0</v>
      </c>
      <c r="C278" s="25"/>
      <c r="D278" s="56" t="s">
        <v>1561</v>
      </c>
      <c r="E278" s="66">
        <v>45251</v>
      </c>
      <c r="F278" s="323" t="s">
        <v>203</v>
      </c>
      <c r="G278" s="66">
        <v>45198</v>
      </c>
      <c r="H278" s="35" t="s">
        <v>1127</v>
      </c>
      <c r="I278" s="21">
        <v>7823</v>
      </c>
      <c r="J278" s="21"/>
      <c r="K278" s="22">
        <v>0</v>
      </c>
      <c r="L278" s="23"/>
      <c r="M278" s="22">
        <v>0</v>
      </c>
      <c r="N278" s="72">
        <v>0</v>
      </c>
      <c r="O278" s="22">
        <v>0</v>
      </c>
      <c r="P278" s="21">
        <v>7823</v>
      </c>
      <c r="S278" s="101" t="b">
        <f>OR(COUNTIF(Tabla2[[#This Row],[PROVEEDOR]],"*"&amp;'Palabra no opera'!$A$2&amp;"*"))</f>
        <v>0</v>
      </c>
      <c r="T278" s="113">
        <f>+$W$5-Tabla2[[#This Row],[FECHA DE FACTURACIÓN]]</f>
        <v>124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15" t="str">
        <f>+IF(AND(Tabla2[[#This Row],[venc]]="venc",Tabla2[[#This Row],[Columna1]]="por pagar"),"vencida","no")</f>
        <v>no</v>
      </c>
    </row>
    <row r="279" spans="1:23" ht="15.75" x14ac:dyDescent="0.25">
      <c r="A279" s="20">
        <v>45</v>
      </c>
      <c r="B279" s="25">
        <v>3535656.6</v>
      </c>
      <c r="C279" s="25"/>
      <c r="D279" s="56" t="s">
        <v>390</v>
      </c>
      <c r="E279" s="66">
        <v>45251</v>
      </c>
      <c r="F279" s="323" t="s">
        <v>19</v>
      </c>
      <c r="G279" s="66">
        <v>45198</v>
      </c>
      <c r="H279" s="35" t="s">
        <v>1119</v>
      </c>
      <c r="I279" s="21">
        <v>814720</v>
      </c>
      <c r="J279" s="21"/>
      <c r="K279" s="22">
        <v>154796.79999999999</v>
      </c>
      <c r="L279" s="23"/>
      <c r="M279" s="22">
        <v>0</v>
      </c>
      <c r="N279" s="72">
        <v>0</v>
      </c>
      <c r="O279" s="22">
        <v>0</v>
      </c>
      <c r="P279" s="21">
        <v>969516.8</v>
      </c>
      <c r="S279" s="101" t="b">
        <f>OR(COUNTIF(Tabla2[[#This Row],[PROVEEDOR]],"*"&amp;'Palabra no opera'!$A$2&amp;"*"))</f>
        <v>0</v>
      </c>
      <c r="T279" s="113">
        <f>+$W$5-Tabla2[[#This Row],[FECHA DE FACTURACIÓN]]</f>
        <v>124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15" t="str">
        <f>+IF(AND(Tabla2[[#This Row],[venc]]="venc",Tabla2[[#This Row],[Columna1]]="por pagar"),"vencida","no")</f>
        <v>no</v>
      </c>
    </row>
    <row r="280" spans="1:23" ht="15.75" x14ac:dyDescent="0.25">
      <c r="A280" s="20">
        <v>30</v>
      </c>
      <c r="B280" s="25">
        <v>0</v>
      </c>
      <c r="C280" s="25"/>
      <c r="D280" s="56" t="s">
        <v>241</v>
      </c>
      <c r="E280" s="66">
        <v>45251</v>
      </c>
      <c r="F280" s="323" t="s">
        <v>220</v>
      </c>
      <c r="G280" s="66">
        <v>45197</v>
      </c>
      <c r="H280" s="35" t="s">
        <v>1137</v>
      </c>
      <c r="I280" s="21">
        <v>2637500</v>
      </c>
      <c r="J280" s="21"/>
      <c r="K280" s="22">
        <v>501125</v>
      </c>
      <c r="L280" s="23"/>
      <c r="M280" s="22">
        <v>0</v>
      </c>
      <c r="N280" s="72">
        <v>2.5000000000000001E-2</v>
      </c>
      <c r="O280" s="22">
        <v>65937.5</v>
      </c>
      <c r="P280" s="21">
        <v>3072687.5</v>
      </c>
      <c r="S280" s="101" t="b">
        <f>OR(COUNTIF(Tabla2[[#This Row],[PROVEEDOR]],"*"&amp;'Palabra no opera'!$A$2&amp;"*"))</f>
        <v>0</v>
      </c>
      <c r="T280" s="113">
        <f>+$W$5-Tabla2[[#This Row],[FECHA DE FACTURACIÓN]]</f>
        <v>125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15" t="str">
        <f>+IF(AND(Tabla2[[#This Row],[venc]]="venc",Tabla2[[#This Row],[Columna1]]="por pagar"),"vencida","no")</f>
        <v>no</v>
      </c>
    </row>
    <row r="281" spans="1:23" ht="15.75" x14ac:dyDescent="0.25">
      <c r="A281" s="20">
        <v>45</v>
      </c>
      <c r="B281" s="25">
        <v>3535656.6</v>
      </c>
      <c r="C281" s="25"/>
      <c r="D281" s="56" t="s">
        <v>390</v>
      </c>
      <c r="E281" s="66">
        <v>45251</v>
      </c>
      <c r="F281" s="323" t="s">
        <v>19</v>
      </c>
      <c r="G281" s="66">
        <v>45197</v>
      </c>
      <c r="H281" s="35" t="s">
        <v>1121</v>
      </c>
      <c r="I281" s="21">
        <v>12678160</v>
      </c>
      <c r="J281" s="21"/>
      <c r="K281" s="22">
        <v>2408850.4</v>
      </c>
      <c r="L281" s="23"/>
      <c r="M281" s="22">
        <v>0</v>
      </c>
      <c r="N281" s="72">
        <v>0</v>
      </c>
      <c r="O281" s="22">
        <v>0</v>
      </c>
      <c r="P281" s="21">
        <v>15087010.4</v>
      </c>
      <c r="S281" s="101" t="b">
        <f>OR(COUNTIF(Tabla2[[#This Row],[PROVEEDOR]],"*"&amp;'Palabra no opera'!$A$2&amp;"*"))</f>
        <v>0</v>
      </c>
      <c r="T281" s="113">
        <f>+$W$5-Tabla2[[#This Row],[FECHA DE FACTURACIÓN]]</f>
        <v>125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15" t="str">
        <f>+IF(AND(Tabla2[[#This Row],[venc]]="venc",Tabla2[[#This Row],[Columna1]]="por pagar"),"vencida","no")</f>
        <v>no</v>
      </c>
    </row>
    <row r="282" spans="1:23" ht="15.75" x14ac:dyDescent="0.25">
      <c r="A282" s="20">
        <v>30</v>
      </c>
      <c r="B282" s="25">
        <v>0</v>
      </c>
      <c r="C282" s="25"/>
      <c r="D282" s="56" t="s">
        <v>189</v>
      </c>
      <c r="E282" s="66">
        <v>45251</v>
      </c>
      <c r="F282" s="323" t="s">
        <v>47</v>
      </c>
      <c r="G282" s="66">
        <v>45196</v>
      </c>
      <c r="H282" s="35" t="s">
        <v>1138</v>
      </c>
      <c r="I282" s="21">
        <v>3669700</v>
      </c>
      <c r="J282" s="21"/>
      <c r="K282" s="22">
        <v>697243</v>
      </c>
      <c r="L282" s="23"/>
      <c r="M282" s="22">
        <v>0</v>
      </c>
      <c r="N282" s="72">
        <v>2.5000000000000001E-2</v>
      </c>
      <c r="O282" s="22">
        <v>91742.5</v>
      </c>
      <c r="P282" s="21">
        <v>4275200.5</v>
      </c>
      <c r="S282" s="101" t="b">
        <f>OR(COUNTIF(Tabla2[[#This Row],[PROVEEDOR]],"*"&amp;'Palabra no opera'!$A$2&amp;"*"))</f>
        <v>0</v>
      </c>
      <c r="T282" s="113">
        <f>+$W$5-Tabla2[[#This Row],[FECHA DE FACTURACIÓN]]</f>
        <v>126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15" t="str">
        <f>+IF(AND(Tabla2[[#This Row],[venc]]="venc",Tabla2[[#This Row],[Columna1]]="por pagar"),"vencida","no")</f>
        <v>no</v>
      </c>
    </row>
    <row r="283" spans="1:23" ht="15.75" x14ac:dyDescent="0.25">
      <c r="A283" s="20">
        <v>30</v>
      </c>
      <c r="B283" s="25">
        <v>0</v>
      </c>
      <c r="C283" s="25"/>
      <c r="D283" s="56" t="s">
        <v>241</v>
      </c>
      <c r="E283" s="66">
        <v>45251</v>
      </c>
      <c r="F283" s="323" t="s">
        <v>296</v>
      </c>
      <c r="G283" s="66">
        <v>45195</v>
      </c>
      <c r="H283" s="35" t="s">
        <v>1153</v>
      </c>
      <c r="I283" s="21">
        <v>4316750</v>
      </c>
      <c r="J283" s="21">
        <v>319000</v>
      </c>
      <c r="K283" s="22">
        <v>0</v>
      </c>
      <c r="L283" s="23"/>
      <c r="M283" s="22">
        <v>0</v>
      </c>
      <c r="N283" s="72">
        <v>0</v>
      </c>
      <c r="O283" s="22">
        <v>0</v>
      </c>
      <c r="P283" s="21">
        <v>3997750</v>
      </c>
      <c r="S283" s="101" t="b">
        <f>OR(COUNTIF(Tabla2[[#This Row],[PROVEEDOR]],"*"&amp;'Palabra no opera'!$A$2&amp;"*"))</f>
        <v>0</v>
      </c>
      <c r="T283" s="113">
        <f>+$W$5-Tabla2[[#This Row],[FECHA DE FACTURACIÓN]]</f>
        <v>127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15" t="str">
        <f>+IF(AND(Tabla2[[#This Row],[venc]]="venc",Tabla2[[#This Row],[Columna1]]="por pagar"),"vencida","no")</f>
        <v>no</v>
      </c>
    </row>
    <row r="284" spans="1:23" ht="15.75" x14ac:dyDescent="0.25">
      <c r="A284" s="20">
        <v>30</v>
      </c>
      <c r="B284" s="25">
        <v>0</v>
      </c>
      <c r="C284" s="25"/>
      <c r="D284" s="56" t="s">
        <v>1561</v>
      </c>
      <c r="E284" s="66">
        <v>45251</v>
      </c>
      <c r="F284" s="323" t="s">
        <v>203</v>
      </c>
      <c r="G284" s="66">
        <v>45190</v>
      </c>
      <c r="H284" s="35">
        <v>677</v>
      </c>
      <c r="I284" s="21">
        <v>329080</v>
      </c>
      <c r="J284" s="21"/>
      <c r="K284" s="22">
        <v>0</v>
      </c>
      <c r="L284" s="23"/>
      <c r="M284" s="22">
        <v>0</v>
      </c>
      <c r="N284" s="72">
        <v>0</v>
      </c>
      <c r="O284" s="22">
        <v>0</v>
      </c>
      <c r="P284" s="21">
        <v>329080</v>
      </c>
      <c r="S284" s="101" t="b">
        <f>OR(COUNTIF(Tabla2[[#This Row],[PROVEEDOR]],"*"&amp;'Palabra no opera'!$A$2&amp;"*"))</f>
        <v>0</v>
      </c>
      <c r="T284" s="113">
        <f>+$W$5-Tabla2[[#This Row],[FECHA DE FACTURACIÓN]]</f>
        <v>132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15" t="str">
        <f>+IF(AND(Tabla2[[#This Row],[venc]]="venc",Tabla2[[#This Row],[Columna1]]="por pagar"),"vencida","no")</f>
        <v>no</v>
      </c>
    </row>
    <row r="285" spans="1:23" ht="15.75" x14ac:dyDescent="0.25">
      <c r="A285" s="20">
        <v>30</v>
      </c>
      <c r="B285" s="25">
        <v>0</v>
      </c>
      <c r="C285" s="25"/>
      <c r="D285" s="56" t="s">
        <v>1561</v>
      </c>
      <c r="E285" s="66">
        <v>45251</v>
      </c>
      <c r="F285" s="323" t="s">
        <v>203</v>
      </c>
      <c r="G285" s="66">
        <v>45190</v>
      </c>
      <c r="H285" s="35">
        <v>673</v>
      </c>
      <c r="I285" s="21">
        <v>64581</v>
      </c>
      <c r="J285" s="21"/>
      <c r="K285" s="22">
        <v>0</v>
      </c>
      <c r="L285" s="23"/>
      <c r="M285" s="22">
        <v>0</v>
      </c>
      <c r="N285" s="72">
        <v>0</v>
      </c>
      <c r="O285" s="22">
        <v>0</v>
      </c>
      <c r="P285" s="21">
        <v>64581</v>
      </c>
      <c r="S285" s="101" t="b">
        <f>OR(COUNTIF(Tabla2[[#This Row],[PROVEEDOR]],"*"&amp;'Palabra no opera'!$A$2&amp;"*"))</f>
        <v>0</v>
      </c>
      <c r="T285" s="113">
        <f>+$W$5-Tabla2[[#This Row],[FECHA DE FACTURACIÓN]]</f>
        <v>132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15" t="str">
        <f>+IF(AND(Tabla2[[#This Row],[venc]]="venc",Tabla2[[#This Row],[Columna1]]="por pagar"),"vencida","no")</f>
        <v>no</v>
      </c>
    </row>
    <row r="286" spans="1:23" ht="15.75" x14ac:dyDescent="0.25">
      <c r="A286" s="20">
        <v>30</v>
      </c>
      <c r="B286" s="25">
        <v>0</v>
      </c>
      <c r="C286" s="25"/>
      <c r="D286" s="56" t="s">
        <v>1561</v>
      </c>
      <c r="E286" s="66">
        <v>45251</v>
      </c>
      <c r="F286" s="323" t="s">
        <v>203</v>
      </c>
      <c r="G286" s="66">
        <v>45190</v>
      </c>
      <c r="H286" s="35">
        <v>674</v>
      </c>
      <c r="I286" s="21">
        <v>169907</v>
      </c>
      <c r="J286" s="21"/>
      <c r="K286" s="22">
        <v>0</v>
      </c>
      <c r="L286" s="23"/>
      <c r="M286" s="22">
        <v>0</v>
      </c>
      <c r="N286" s="72">
        <v>0</v>
      </c>
      <c r="O286" s="22">
        <v>0</v>
      </c>
      <c r="P286" s="21">
        <v>169907</v>
      </c>
      <c r="S286" s="101" t="b">
        <f>OR(COUNTIF(Tabla2[[#This Row],[PROVEEDOR]],"*"&amp;'Palabra no opera'!$A$2&amp;"*"))</f>
        <v>0</v>
      </c>
      <c r="T286" s="113">
        <f>+$W$5-Tabla2[[#This Row],[FECHA DE FACTURACIÓN]]</f>
        <v>132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15" t="str">
        <f>+IF(AND(Tabla2[[#This Row],[venc]]="venc",Tabla2[[#This Row],[Columna1]]="por pagar"),"vencida","no")</f>
        <v>no</v>
      </c>
    </row>
    <row r="287" spans="1:23" ht="15.75" x14ac:dyDescent="0.25">
      <c r="A287" s="20">
        <v>60</v>
      </c>
      <c r="B287" s="25">
        <v>0</v>
      </c>
      <c r="C287" s="25"/>
      <c r="D287" s="56">
        <v>0</v>
      </c>
      <c r="E287" s="66">
        <v>45251</v>
      </c>
      <c r="F287" s="323" t="s">
        <v>484</v>
      </c>
      <c r="G287" s="66">
        <v>45169</v>
      </c>
      <c r="H287" s="35" t="s">
        <v>1067</v>
      </c>
      <c r="I287" s="21">
        <v>2318282</v>
      </c>
      <c r="J287" s="21"/>
      <c r="K287" s="22">
        <v>440473.58</v>
      </c>
      <c r="L287" s="23"/>
      <c r="M287" s="22">
        <v>0</v>
      </c>
      <c r="N287" s="72">
        <v>0</v>
      </c>
      <c r="O287" s="22">
        <v>0</v>
      </c>
      <c r="P287" s="21">
        <v>2758755.58</v>
      </c>
      <c r="S287" s="101" t="b">
        <f>OR(COUNTIF(Tabla2[[#This Row],[PROVEEDOR]],"*"&amp;'Palabra no opera'!$A$2&amp;"*"))</f>
        <v>1</v>
      </c>
      <c r="T287" s="113">
        <f>+$W$5-Tabla2[[#This Row],[FECHA DE FACTURACIÓN]]</f>
        <v>153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15" t="str">
        <f>+IF(AND(Tabla2[[#This Row],[venc]]="venc",Tabla2[[#This Row],[Columna1]]="por pagar"),"vencida","no")</f>
        <v>no</v>
      </c>
    </row>
    <row r="288" spans="1:23" ht="15.75" x14ac:dyDescent="0.25">
      <c r="A288" s="20">
        <v>30</v>
      </c>
      <c r="B288" s="25">
        <v>0</v>
      </c>
      <c r="C288" s="25"/>
      <c r="D288" s="56" t="s">
        <v>104</v>
      </c>
      <c r="E288" s="66">
        <v>45250</v>
      </c>
      <c r="F288" s="323" t="s">
        <v>279</v>
      </c>
      <c r="G288" s="66">
        <v>45250</v>
      </c>
      <c r="H288" s="35" t="s">
        <v>1331</v>
      </c>
      <c r="I288" s="21">
        <v>190000</v>
      </c>
      <c r="J288" s="21"/>
      <c r="K288" s="22">
        <v>0</v>
      </c>
      <c r="L288" s="23"/>
      <c r="M288" s="22">
        <v>0</v>
      </c>
      <c r="N288" s="72">
        <v>0</v>
      </c>
      <c r="O288" s="22">
        <v>0</v>
      </c>
      <c r="P288" s="21">
        <v>190000</v>
      </c>
      <c r="S288" s="101" t="b">
        <f>OR(COUNTIF(Tabla2[[#This Row],[PROVEEDOR]],"*"&amp;'Palabra no opera'!$A$2&amp;"*"))</f>
        <v>0</v>
      </c>
      <c r="T288" s="113">
        <f>+$W$5-Tabla2[[#This Row],[FECHA DE FACTURACIÓN]]</f>
        <v>72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15" t="str">
        <f>+IF(AND(Tabla2[[#This Row],[venc]]="venc",Tabla2[[#This Row],[Columna1]]="por pagar"),"vencida","no")</f>
        <v>no</v>
      </c>
    </row>
    <row r="289" spans="1:23" ht="15.75" x14ac:dyDescent="0.25">
      <c r="A289" s="20">
        <v>0</v>
      </c>
      <c r="B289" s="25">
        <v>0</v>
      </c>
      <c r="C289" s="25"/>
      <c r="D289" s="56" t="s">
        <v>1173</v>
      </c>
      <c r="E289" s="66">
        <v>45250</v>
      </c>
      <c r="F289" s="323" t="s">
        <v>1172</v>
      </c>
      <c r="G289" s="66">
        <v>45250</v>
      </c>
      <c r="H289" s="35" t="s">
        <v>1253</v>
      </c>
      <c r="I289" s="21">
        <v>1964150</v>
      </c>
      <c r="J289" s="21"/>
      <c r="K289" s="22">
        <v>373188.5</v>
      </c>
      <c r="L289" s="23"/>
      <c r="M289" s="22">
        <v>0</v>
      </c>
      <c r="N289" s="72">
        <v>0.04</v>
      </c>
      <c r="O289" s="22">
        <v>78566</v>
      </c>
      <c r="P289" s="21">
        <v>2258772.5</v>
      </c>
      <c r="S289" s="101" t="b">
        <f>OR(COUNTIF(Tabla2[[#This Row],[PROVEEDOR]],"*"&amp;'Palabra no opera'!$A$2&amp;"*"))</f>
        <v>0</v>
      </c>
      <c r="T289" s="113">
        <f>+$W$5-Tabla2[[#This Row],[FECHA DE FACTURACIÓN]]</f>
        <v>72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15" t="str">
        <f>+IF(AND(Tabla2[[#This Row],[venc]]="venc",Tabla2[[#This Row],[Columna1]]="por pagar"),"vencida","no")</f>
        <v>no</v>
      </c>
    </row>
    <row r="290" spans="1:23" ht="15.75" x14ac:dyDescent="0.25">
      <c r="A290" s="20">
        <v>0</v>
      </c>
      <c r="B290" s="25">
        <v>0</v>
      </c>
      <c r="C290" s="25"/>
      <c r="D290" s="56" t="s">
        <v>1173</v>
      </c>
      <c r="E290" s="66">
        <v>45250</v>
      </c>
      <c r="F290" s="323" t="s">
        <v>1172</v>
      </c>
      <c r="G290" s="66">
        <v>45250</v>
      </c>
      <c r="H290" s="35" t="s">
        <v>1254</v>
      </c>
      <c r="I290" s="21">
        <v>1276200</v>
      </c>
      <c r="J290" s="21"/>
      <c r="K290" s="22">
        <v>242478</v>
      </c>
      <c r="L290" s="23"/>
      <c r="M290" s="22">
        <v>0</v>
      </c>
      <c r="N290" s="72">
        <v>0.04</v>
      </c>
      <c r="O290" s="22">
        <v>51048</v>
      </c>
      <c r="P290" s="21">
        <v>1467630</v>
      </c>
      <c r="S290" s="101" t="b">
        <f>OR(COUNTIF(Tabla2[[#This Row],[PROVEEDOR]],"*"&amp;'Palabra no opera'!$A$2&amp;"*"))</f>
        <v>0</v>
      </c>
      <c r="T290" s="113">
        <f>+$W$5-Tabla2[[#This Row],[FECHA DE FACTURACIÓN]]</f>
        <v>72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15" t="str">
        <f>+IF(AND(Tabla2[[#This Row],[venc]]="venc",Tabla2[[#This Row],[Columna1]]="por pagar"),"vencida","no")</f>
        <v>no</v>
      </c>
    </row>
    <row r="291" spans="1:23" ht="15.75" x14ac:dyDescent="0.25">
      <c r="A291" s="20">
        <v>30</v>
      </c>
      <c r="B291" s="25">
        <v>0</v>
      </c>
      <c r="C291" s="25"/>
      <c r="D291" s="56" t="s">
        <v>233</v>
      </c>
      <c r="E291" s="66">
        <v>45250</v>
      </c>
      <c r="F291" s="323" t="s">
        <v>413</v>
      </c>
      <c r="G291" s="66">
        <v>45250</v>
      </c>
      <c r="H291" s="35" t="s">
        <v>1280</v>
      </c>
      <c r="I291" s="21">
        <v>3456200</v>
      </c>
      <c r="J291" s="21"/>
      <c r="K291" s="22">
        <v>0</v>
      </c>
      <c r="L291" s="23"/>
      <c r="M291" s="22">
        <v>0</v>
      </c>
      <c r="N291" s="72">
        <v>3.5000000000000003E-2</v>
      </c>
      <c r="O291" s="22">
        <v>120967.00000000001</v>
      </c>
      <c r="P291" s="21">
        <v>3335233</v>
      </c>
      <c r="S291" s="101" t="b">
        <f>OR(COUNTIF(Tabla2[[#This Row],[PROVEEDOR]],"*"&amp;'Palabra no opera'!$A$2&amp;"*"))</f>
        <v>1</v>
      </c>
      <c r="T291" s="113">
        <f>+$W$5-Tabla2[[#This Row],[FECHA DE FACTURACIÓN]]</f>
        <v>72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15" t="str">
        <f>+IF(AND(Tabla2[[#This Row],[venc]]="venc",Tabla2[[#This Row],[Columna1]]="por pagar"),"vencida","no")</f>
        <v>no</v>
      </c>
    </row>
    <row r="292" spans="1:23" ht="15.75" x14ac:dyDescent="0.25">
      <c r="A292" s="20">
        <v>180</v>
      </c>
      <c r="B292" s="25">
        <v>0</v>
      </c>
      <c r="C292" s="25"/>
      <c r="D292" s="56" t="s">
        <v>247</v>
      </c>
      <c r="E292" s="66">
        <v>45250</v>
      </c>
      <c r="F292" s="323" t="s">
        <v>403</v>
      </c>
      <c r="G292" s="66">
        <v>45231</v>
      </c>
      <c r="H292" s="35" t="s">
        <v>1285</v>
      </c>
      <c r="I292" s="21">
        <v>442906</v>
      </c>
      <c r="J292" s="21"/>
      <c r="K292" s="22">
        <v>84152.14</v>
      </c>
      <c r="L292" s="23"/>
      <c r="M292" s="22">
        <v>0</v>
      </c>
      <c r="N292" s="72">
        <v>0</v>
      </c>
      <c r="O292" s="22">
        <v>0</v>
      </c>
      <c r="P292" s="21">
        <v>527058.14</v>
      </c>
      <c r="S292" s="101" t="b">
        <f>OR(COUNTIF(Tabla2[[#This Row],[PROVEEDOR]],"*"&amp;'Palabra no opera'!$A$2&amp;"*"))</f>
        <v>1</v>
      </c>
      <c r="T292" s="113">
        <f>+$W$5-Tabla2[[#This Row],[FECHA DE FACTURACIÓN]]</f>
        <v>91</v>
      </c>
      <c r="U292" t="str">
        <f>+IF(Tabla2[[#This Row],[dias de credito]]&gt;=Tabla2[[#This Row],[PLAZO Días]],"venc", "No venc")</f>
        <v>No venc</v>
      </c>
      <c r="V292" t="str">
        <f>+IF(Tabla2[[#This Row],[FECHA DE PAGO]]&gt;0,"pagada","por pagar")</f>
        <v>pagada</v>
      </c>
      <c r="W292" s="115" t="str">
        <f>+IF(AND(Tabla2[[#This Row],[venc]]="venc",Tabla2[[#This Row],[Columna1]]="por pagar"),"vencida","no")</f>
        <v>no</v>
      </c>
    </row>
    <row r="293" spans="1:23" ht="15.75" x14ac:dyDescent="0.25">
      <c r="A293" s="20">
        <v>30</v>
      </c>
      <c r="B293" s="25">
        <v>0</v>
      </c>
      <c r="C293" s="25"/>
      <c r="D293" s="56" t="s">
        <v>449</v>
      </c>
      <c r="E293" s="66">
        <v>45250</v>
      </c>
      <c r="F293" s="323" t="s">
        <v>415</v>
      </c>
      <c r="G293" s="66">
        <v>45231</v>
      </c>
      <c r="H293" s="35" t="s">
        <v>1255</v>
      </c>
      <c r="I293" s="21">
        <v>934363</v>
      </c>
      <c r="J293" s="21"/>
      <c r="K293" s="22">
        <v>0</v>
      </c>
      <c r="L293" s="23"/>
      <c r="M293" s="22">
        <v>0</v>
      </c>
      <c r="N293" s="72">
        <v>0</v>
      </c>
      <c r="O293" s="22">
        <v>0</v>
      </c>
      <c r="P293" s="21">
        <v>934363</v>
      </c>
      <c r="S293" s="101" t="b">
        <f>OR(COUNTIF(Tabla2[[#This Row],[PROVEEDOR]],"*"&amp;'Palabra no opera'!$A$2&amp;"*"))</f>
        <v>1</v>
      </c>
      <c r="T293" s="113">
        <f>+$W$5-Tabla2[[#This Row],[FECHA DE FACTURACIÓN]]</f>
        <v>91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15" t="str">
        <f>+IF(AND(Tabla2[[#This Row],[venc]]="venc",Tabla2[[#This Row],[Columna1]]="por pagar"),"vencida","no")</f>
        <v>no</v>
      </c>
    </row>
    <row r="294" spans="1:23" ht="15.75" x14ac:dyDescent="0.25">
      <c r="A294" s="20">
        <v>30</v>
      </c>
      <c r="B294" s="25">
        <v>0</v>
      </c>
      <c r="C294" s="25"/>
      <c r="D294" s="56" t="s">
        <v>449</v>
      </c>
      <c r="E294" s="66">
        <v>45250</v>
      </c>
      <c r="F294" s="323" t="s">
        <v>415</v>
      </c>
      <c r="G294" s="66">
        <v>45231</v>
      </c>
      <c r="H294" s="35" t="s">
        <v>1256</v>
      </c>
      <c r="I294" s="21">
        <v>914023</v>
      </c>
      <c r="J294" s="21"/>
      <c r="K294" s="22">
        <v>0</v>
      </c>
      <c r="L294" s="23"/>
      <c r="M294" s="22">
        <v>0</v>
      </c>
      <c r="N294" s="72">
        <v>0</v>
      </c>
      <c r="O294" s="22">
        <v>0</v>
      </c>
      <c r="P294" s="21">
        <v>914023</v>
      </c>
      <c r="S294" s="101" t="b">
        <f>OR(COUNTIF(Tabla2[[#This Row],[PROVEEDOR]],"*"&amp;'Palabra no opera'!$A$2&amp;"*"))</f>
        <v>1</v>
      </c>
      <c r="T294" s="113">
        <f>+$W$5-Tabla2[[#This Row],[FECHA DE FACTURACIÓN]]</f>
        <v>91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15" t="str">
        <f>+IF(AND(Tabla2[[#This Row],[venc]]="venc",Tabla2[[#This Row],[Columna1]]="por pagar"),"vencida","no")</f>
        <v>no</v>
      </c>
    </row>
    <row r="295" spans="1:23" ht="15.75" x14ac:dyDescent="0.25">
      <c r="A295" s="20">
        <v>30</v>
      </c>
      <c r="B295" s="25">
        <v>0</v>
      </c>
      <c r="C295" s="25"/>
      <c r="D295" s="56" t="s">
        <v>505</v>
      </c>
      <c r="E295" s="66">
        <v>45250</v>
      </c>
      <c r="F295" s="323" t="s">
        <v>416</v>
      </c>
      <c r="G295" s="66">
        <v>45231</v>
      </c>
      <c r="H295" s="35" t="s">
        <v>1283</v>
      </c>
      <c r="I295" s="21">
        <v>3935776</v>
      </c>
      <c r="J295" s="21"/>
      <c r="K295" s="22">
        <v>665000</v>
      </c>
      <c r="L295" s="23"/>
      <c r="M295" s="22">
        <v>0</v>
      </c>
      <c r="N295" s="72">
        <v>3.5000000000000003E-2</v>
      </c>
      <c r="O295" s="22"/>
      <c r="P295" s="21">
        <v>4600776</v>
      </c>
      <c r="S295" s="101" t="b">
        <f>OR(COUNTIF(Tabla2[[#This Row],[PROVEEDOR]],"*"&amp;'Palabra no opera'!$A$2&amp;"*"))</f>
        <v>1</v>
      </c>
      <c r="T295" s="113">
        <f>+$W$5-Tabla2[[#This Row],[FECHA DE FACTURACIÓN]]</f>
        <v>91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15" t="str">
        <f>+IF(AND(Tabla2[[#This Row],[venc]]="venc",Tabla2[[#This Row],[Columna1]]="por pagar"),"vencida","no")</f>
        <v>no</v>
      </c>
    </row>
    <row r="296" spans="1:23" ht="15.75" x14ac:dyDescent="0.25">
      <c r="A296" s="20">
        <v>0</v>
      </c>
      <c r="B296" s="25">
        <v>0</v>
      </c>
      <c r="C296" s="25"/>
      <c r="D296" s="56">
        <v>0</v>
      </c>
      <c r="E296" s="66">
        <v>45250</v>
      </c>
      <c r="F296" s="323" t="s">
        <v>270</v>
      </c>
      <c r="G296" s="66">
        <v>45218</v>
      </c>
      <c r="H296" s="35" t="s">
        <v>936</v>
      </c>
      <c r="I296" s="21">
        <v>445473</v>
      </c>
      <c r="J296" s="21"/>
      <c r="K296" s="22">
        <v>0</v>
      </c>
      <c r="L296" s="23"/>
      <c r="M296" s="22">
        <v>0</v>
      </c>
      <c r="N296" s="72">
        <v>0</v>
      </c>
      <c r="O296" s="22">
        <v>0</v>
      </c>
      <c r="P296" s="21">
        <v>445473</v>
      </c>
      <c r="S296" s="101" t="b">
        <f>OR(COUNTIF(Tabla2[[#This Row],[PROVEEDOR]],"*"&amp;'Palabra no opera'!$A$2&amp;"*"))</f>
        <v>0</v>
      </c>
      <c r="T296" s="113">
        <f>+$W$5-Tabla2[[#This Row],[FECHA DE FACTURACIÓN]]</f>
        <v>104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15" t="str">
        <f>+IF(AND(Tabla2[[#This Row],[venc]]="venc",Tabla2[[#This Row],[Columna1]]="por pagar"),"vencida","no")</f>
        <v>no</v>
      </c>
    </row>
    <row r="297" spans="1:23" ht="15.75" x14ac:dyDescent="0.25">
      <c r="A297" s="20">
        <v>0</v>
      </c>
      <c r="B297" s="25">
        <v>0</v>
      </c>
      <c r="C297" s="25"/>
      <c r="D297" s="56" t="s">
        <v>1173</v>
      </c>
      <c r="E297" s="66">
        <v>45250</v>
      </c>
      <c r="F297" s="323" t="s">
        <v>1172</v>
      </c>
      <c r="G297" s="66">
        <v>45210</v>
      </c>
      <c r="H297" s="35" t="s">
        <v>1252</v>
      </c>
      <c r="I297" s="21">
        <v>-1168669</v>
      </c>
      <c r="J297" s="21"/>
      <c r="K297" s="22">
        <v>0</v>
      </c>
      <c r="L297" s="23"/>
      <c r="M297" s="22">
        <v>0</v>
      </c>
      <c r="N297" s="72">
        <v>0</v>
      </c>
      <c r="O297" s="22">
        <v>0</v>
      </c>
      <c r="P297" s="21">
        <v>-1168669</v>
      </c>
      <c r="S297" s="101" t="b">
        <f>OR(COUNTIF(Tabla2[[#This Row],[PROVEEDOR]],"*"&amp;'Palabra no opera'!$A$2&amp;"*"))</f>
        <v>0</v>
      </c>
      <c r="T297" s="113">
        <f>+$W$5-Tabla2[[#This Row],[FECHA DE FACTURACIÓN]]</f>
        <v>112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15" t="str">
        <f>+IF(AND(Tabla2[[#This Row],[venc]]="venc",Tabla2[[#This Row],[Columna1]]="por pagar"),"vencida","no")</f>
        <v>no</v>
      </c>
    </row>
    <row r="298" spans="1:23" ht="15.75" x14ac:dyDescent="0.25">
      <c r="A298" s="20">
        <v>0</v>
      </c>
      <c r="B298" s="25">
        <v>0</v>
      </c>
      <c r="C298" s="25"/>
      <c r="D298" s="56" t="s">
        <v>1173</v>
      </c>
      <c r="E298" s="66">
        <v>45250</v>
      </c>
      <c r="F298" s="323" t="s">
        <v>1172</v>
      </c>
      <c r="G298" s="66">
        <v>45210</v>
      </c>
      <c r="H298" s="35" t="s">
        <v>1251</v>
      </c>
      <c r="I298" s="21">
        <v>-759339</v>
      </c>
      <c r="J298" s="21"/>
      <c r="K298" s="22">
        <v>0</v>
      </c>
      <c r="L298" s="23"/>
      <c r="M298" s="22">
        <v>0</v>
      </c>
      <c r="N298" s="72">
        <v>0</v>
      </c>
      <c r="O298" s="22">
        <v>0</v>
      </c>
      <c r="P298" s="21">
        <v>-759339</v>
      </c>
      <c r="S298" s="101" t="b">
        <f>OR(COUNTIF(Tabla2[[#This Row],[PROVEEDOR]],"*"&amp;'Palabra no opera'!$A$2&amp;"*"))</f>
        <v>0</v>
      </c>
      <c r="T298" s="113">
        <f>+$W$5-Tabla2[[#This Row],[FECHA DE FACTURACIÓN]]</f>
        <v>112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15" t="str">
        <f>+IF(AND(Tabla2[[#This Row],[venc]]="venc",Tabla2[[#This Row],[Columna1]]="por pagar"),"vencida","no")</f>
        <v>no</v>
      </c>
    </row>
    <row r="299" spans="1:23" ht="15.75" x14ac:dyDescent="0.25">
      <c r="A299" s="20">
        <v>30</v>
      </c>
      <c r="B299" s="25">
        <v>0</v>
      </c>
      <c r="C299" s="25"/>
      <c r="D299" s="56" t="s">
        <v>104</v>
      </c>
      <c r="E299" s="66">
        <v>45247</v>
      </c>
      <c r="F299" s="323" t="s">
        <v>279</v>
      </c>
      <c r="G299" s="66">
        <v>45247</v>
      </c>
      <c r="H299" s="35" t="s">
        <v>1282</v>
      </c>
      <c r="I299" s="21">
        <v>200000</v>
      </c>
      <c r="J299" s="21"/>
      <c r="K299" s="22">
        <v>0</v>
      </c>
      <c r="L299" s="23"/>
      <c r="M299" s="22">
        <v>0</v>
      </c>
      <c r="N299" s="72">
        <v>0</v>
      </c>
      <c r="O299" s="22">
        <v>0</v>
      </c>
      <c r="P299" s="21">
        <v>200000</v>
      </c>
      <c r="S299" s="101" t="b">
        <f>OR(COUNTIF(Tabla2[[#This Row],[PROVEEDOR]],"*"&amp;'Palabra no opera'!$A$2&amp;"*"))</f>
        <v>0</v>
      </c>
      <c r="T299" s="113">
        <f>+$W$5-Tabla2[[#This Row],[FECHA DE FACTURACIÓN]]</f>
        <v>75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15" t="str">
        <f>+IF(AND(Tabla2[[#This Row],[venc]]="venc",Tabla2[[#This Row],[Columna1]]="por pagar"),"vencida","no")</f>
        <v>no</v>
      </c>
    </row>
    <row r="300" spans="1:23" ht="15.75" x14ac:dyDescent="0.25">
      <c r="A300" s="20">
        <v>30</v>
      </c>
      <c r="B300" s="25">
        <v>0</v>
      </c>
      <c r="C300" s="25"/>
      <c r="D300" s="56" t="s">
        <v>104</v>
      </c>
      <c r="E300" s="66">
        <v>45247</v>
      </c>
      <c r="F300" s="323" t="s">
        <v>279</v>
      </c>
      <c r="G300" s="66">
        <v>45247</v>
      </c>
      <c r="H300" s="35" t="s">
        <v>1168</v>
      </c>
      <c r="I300" s="21">
        <v>200000</v>
      </c>
      <c r="J300" s="21"/>
      <c r="K300" s="22">
        <v>0</v>
      </c>
      <c r="L300" s="23"/>
      <c r="M300" s="22">
        <v>0</v>
      </c>
      <c r="N300" s="72">
        <v>0</v>
      </c>
      <c r="O300" s="22">
        <v>0</v>
      </c>
      <c r="P300" s="21">
        <v>200000</v>
      </c>
      <c r="S300" s="101" t="b">
        <f>OR(COUNTIF(Tabla2[[#This Row],[PROVEEDOR]],"*"&amp;'Palabra no opera'!$A$2&amp;"*"))</f>
        <v>0</v>
      </c>
      <c r="T300" s="113">
        <f>+$W$5-Tabla2[[#This Row],[FECHA DE FACTURACIÓN]]</f>
        <v>75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15" t="str">
        <f>+IF(AND(Tabla2[[#This Row],[venc]]="venc",Tabla2[[#This Row],[Columna1]]="por pagar"),"vencida","no")</f>
        <v>no</v>
      </c>
    </row>
    <row r="301" spans="1:23" ht="15.75" x14ac:dyDescent="0.25">
      <c r="A301" s="20">
        <v>30</v>
      </c>
      <c r="B301" s="25">
        <v>0</v>
      </c>
      <c r="C301" s="25"/>
      <c r="D301" s="56">
        <v>0</v>
      </c>
      <c r="E301" s="66">
        <v>45247</v>
      </c>
      <c r="F301" s="323" t="s">
        <v>907</v>
      </c>
      <c r="G301" s="66">
        <v>45247</v>
      </c>
      <c r="H301" s="35" t="s">
        <v>1330</v>
      </c>
      <c r="I301" s="21">
        <v>438000</v>
      </c>
      <c r="J301" s="21"/>
      <c r="K301" s="22">
        <v>0</v>
      </c>
      <c r="L301" s="23"/>
      <c r="M301" s="22">
        <v>0</v>
      </c>
      <c r="N301" s="72">
        <v>0</v>
      </c>
      <c r="O301" s="22">
        <v>0</v>
      </c>
      <c r="P301" s="21">
        <v>438000</v>
      </c>
      <c r="S301" s="101" t="b">
        <f>OR(COUNTIF(Tabla2[[#This Row],[PROVEEDOR]],"*"&amp;'Palabra no opera'!$A$2&amp;"*"))</f>
        <v>0</v>
      </c>
      <c r="T301" s="113">
        <f>+$W$5-Tabla2[[#This Row],[FECHA DE FACTURACIÓN]]</f>
        <v>75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15" t="str">
        <f>+IF(AND(Tabla2[[#This Row],[venc]]="venc",Tabla2[[#This Row],[Columna1]]="por pagar"),"vencida","no")</f>
        <v>no</v>
      </c>
    </row>
    <row r="302" spans="1:23" ht="15.75" x14ac:dyDescent="0.25">
      <c r="A302" s="20">
        <v>30</v>
      </c>
      <c r="B302" s="25">
        <v>0</v>
      </c>
      <c r="C302" s="25"/>
      <c r="D302" s="56" t="s">
        <v>104</v>
      </c>
      <c r="E302" s="66">
        <v>45247</v>
      </c>
      <c r="F302" s="323" t="s">
        <v>299</v>
      </c>
      <c r="G302" s="66">
        <v>45247</v>
      </c>
      <c r="H302" s="35"/>
      <c r="I302" s="21">
        <v>1000000</v>
      </c>
      <c r="J302" s="21"/>
      <c r="K302" s="22">
        <v>0</v>
      </c>
      <c r="L302" s="23"/>
      <c r="M302" s="22">
        <v>0</v>
      </c>
      <c r="N302" s="72">
        <v>0</v>
      </c>
      <c r="O302" s="22">
        <v>0</v>
      </c>
      <c r="P302" s="21">
        <v>1000000</v>
      </c>
      <c r="S302" s="101" t="b">
        <f>OR(COUNTIF(Tabla2[[#This Row],[PROVEEDOR]],"*"&amp;'Palabra no opera'!$A$2&amp;"*"))</f>
        <v>0</v>
      </c>
      <c r="T302" s="113">
        <f>+$W$5-Tabla2[[#This Row],[FECHA DE FACTURACIÓN]]</f>
        <v>75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15" t="str">
        <f>+IF(AND(Tabla2[[#This Row],[venc]]="venc",Tabla2[[#This Row],[Columna1]]="por pagar"),"vencida","no")</f>
        <v>no</v>
      </c>
    </row>
    <row r="303" spans="1:23" ht="15.75" x14ac:dyDescent="0.25">
      <c r="A303" s="20">
        <v>30</v>
      </c>
      <c r="B303" s="25">
        <v>-2000</v>
      </c>
      <c r="C303" s="25"/>
      <c r="D303" s="56">
        <v>0</v>
      </c>
      <c r="E303" s="66">
        <v>45247</v>
      </c>
      <c r="F303" s="323" t="s">
        <v>881</v>
      </c>
      <c r="G303" s="66">
        <v>45247</v>
      </c>
      <c r="H303" s="35"/>
      <c r="I303" s="21">
        <v>417000</v>
      </c>
      <c r="J303" s="21"/>
      <c r="K303" s="22">
        <v>0</v>
      </c>
      <c r="L303" s="23"/>
      <c r="M303" s="22">
        <v>0</v>
      </c>
      <c r="N303" s="72">
        <v>0</v>
      </c>
      <c r="O303" s="22">
        <v>0</v>
      </c>
      <c r="P303" s="21">
        <v>417000</v>
      </c>
      <c r="S303" s="101" t="b">
        <f>OR(COUNTIF(Tabla2[[#This Row],[PROVEEDOR]],"*"&amp;'Palabra no opera'!$A$2&amp;"*"))</f>
        <v>0</v>
      </c>
      <c r="T303" s="113">
        <f>+$W$5-Tabla2[[#This Row],[FECHA DE FACTURACIÓN]]</f>
        <v>75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15" t="str">
        <f>+IF(AND(Tabla2[[#This Row],[venc]]="venc",Tabla2[[#This Row],[Columna1]]="por pagar"),"vencida","no")</f>
        <v>no</v>
      </c>
    </row>
    <row r="304" spans="1:23" ht="15.75" x14ac:dyDescent="0.25">
      <c r="A304" s="20">
        <v>30</v>
      </c>
      <c r="B304" s="25">
        <v>3065837.2199999997</v>
      </c>
      <c r="C304" s="25"/>
      <c r="D304" s="56" t="s">
        <v>169</v>
      </c>
      <c r="E304" s="66">
        <v>45247</v>
      </c>
      <c r="F304" s="323" t="s">
        <v>17</v>
      </c>
      <c r="G304" s="66">
        <v>45212</v>
      </c>
      <c r="H304" s="35" t="s">
        <v>1232</v>
      </c>
      <c r="I304" s="21">
        <v>267442</v>
      </c>
      <c r="J304" s="21"/>
      <c r="K304" s="22">
        <v>50813.98</v>
      </c>
      <c r="L304" s="23"/>
      <c r="M304" s="22">
        <v>0</v>
      </c>
      <c r="N304" s="72">
        <v>0</v>
      </c>
      <c r="O304" s="22">
        <v>0</v>
      </c>
      <c r="P304" s="21">
        <v>318255.98</v>
      </c>
      <c r="S304" s="101" t="b">
        <f>OR(COUNTIF(Tabla2[[#This Row],[PROVEEDOR]],"*"&amp;'Palabra no opera'!$A$2&amp;"*"))</f>
        <v>0</v>
      </c>
      <c r="T304" s="113">
        <f>+$W$5-Tabla2[[#This Row],[FECHA DE FACTURACIÓN]]</f>
        <v>110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15" t="str">
        <f>+IF(AND(Tabla2[[#This Row],[venc]]="venc",Tabla2[[#This Row],[Columna1]]="por pagar"),"vencida","no")</f>
        <v>no</v>
      </c>
    </row>
    <row r="305" spans="1:23" ht="15.75" x14ac:dyDescent="0.25">
      <c r="A305" s="20">
        <v>30</v>
      </c>
      <c r="B305" s="25">
        <v>0</v>
      </c>
      <c r="C305" s="25"/>
      <c r="D305" s="56" t="s">
        <v>104</v>
      </c>
      <c r="E305" s="66">
        <v>45247</v>
      </c>
      <c r="F305" s="323" t="s">
        <v>308</v>
      </c>
      <c r="G305" s="66">
        <v>45211</v>
      </c>
      <c r="H305" s="35" t="s">
        <v>1204</v>
      </c>
      <c r="I305" s="21">
        <v>534000</v>
      </c>
      <c r="J305" s="21"/>
      <c r="K305" s="22">
        <v>0</v>
      </c>
      <c r="L305" s="23"/>
      <c r="M305" s="22">
        <v>0</v>
      </c>
      <c r="N305" s="72">
        <v>0</v>
      </c>
      <c r="O305" s="22">
        <v>0</v>
      </c>
      <c r="P305" s="21">
        <v>534000</v>
      </c>
      <c r="S305" s="101" t="b">
        <f>OR(COUNTIF(Tabla2[[#This Row],[PROVEEDOR]],"*"&amp;'Palabra no opera'!$A$2&amp;"*"))</f>
        <v>0</v>
      </c>
      <c r="T305" s="113">
        <f>+$W$5-Tabla2[[#This Row],[FECHA DE FACTURACIÓN]]</f>
        <v>111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15" t="str">
        <f>+IF(AND(Tabla2[[#This Row],[venc]]="venc",Tabla2[[#This Row],[Columna1]]="por pagar"),"vencida","no")</f>
        <v>no</v>
      </c>
    </row>
    <row r="306" spans="1:23" ht="15.75" x14ac:dyDescent="0.25">
      <c r="A306" s="20">
        <v>30</v>
      </c>
      <c r="B306" s="25">
        <v>3436655.6310000001</v>
      </c>
      <c r="C306" s="25"/>
      <c r="D306" s="56" t="s">
        <v>444</v>
      </c>
      <c r="E306" s="66">
        <v>45247</v>
      </c>
      <c r="F306" s="323" t="s">
        <v>32</v>
      </c>
      <c r="G306" s="66">
        <v>45210</v>
      </c>
      <c r="H306" s="35" t="s">
        <v>1223</v>
      </c>
      <c r="I306" s="21">
        <v>3224873</v>
      </c>
      <c r="J306" s="21"/>
      <c r="K306" s="22">
        <v>612725.87</v>
      </c>
      <c r="L306" s="23"/>
      <c r="M306" s="22">
        <v>0</v>
      </c>
      <c r="N306" s="72">
        <v>2.5000000000000001E-2</v>
      </c>
      <c r="O306" s="22">
        <v>80621.825000000012</v>
      </c>
      <c r="P306" s="21">
        <v>3756977.0449999999</v>
      </c>
      <c r="S306" s="101" t="b">
        <f>OR(COUNTIF(Tabla2[[#This Row],[PROVEEDOR]],"*"&amp;'Palabra no opera'!$A$2&amp;"*"))</f>
        <v>0</v>
      </c>
      <c r="T306" s="113">
        <f>+$W$5-Tabla2[[#This Row],[FECHA DE FACTURACIÓN]]</f>
        <v>112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15" t="str">
        <f>+IF(AND(Tabla2[[#This Row],[venc]]="venc",Tabla2[[#This Row],[Columna1]]="por pagar"),"vencida","no")</f>
        <v>no</v>
      </c>
    </row>
    <row r="307" spans="1:23" ht="15.75" x14ac:dyDescent="0.25">
      <c r="A307" s="20">
        <v>30</v>
      </c>
      <c r="B307" s="25">
        <v>1500000</v>
      </c>
      <c r="C307" s="25"/>
      <c r="D307" s="56" t="s">
        <v>104</v>
      </c>
      <c r="E307" s="66">
        <v>45247</v>
      </c>
      <c r="F307" s="323" t="s">
        <v>273</v>
      </c>
      <c r="G307" s="66">
        <v>45180</v>
      </c>
      <c r="H307" s="35" t="s">
        <v>1147</v>
      </c>
      <c r="I307" s="21">
        <v>2720000</v>
      </c>
      <c r="J307" s="21"/>
      <c r="K307" s="22">
        <v>0</v>
      </c>
      <c r="L307" s="23"/>
      <c r="M307" s="22">
        <v>0</v>
      </c>
      <c r="N307" s="72">
        <v>0</v>
      </c>
      <c r="O307" s="22">
        <v>0</v>
      </c>
      <c r="P307" s="21">
        <v>2720000</v>
      </c>
      <c r="S307" s="101" t="b">
        <f>OR(COUNTIF(Tabla2[[#This Row],[PROVEEDOR]],"*"&amp;'Palabra no opera'!$A$2&amp;"*"))</f>
        <v>0</v>
      </c>
      <c r="T307" s="113">
        <f>+$W$5-Tabla2[[#This Row],[FECHA DE FACTURACIÓN]]</f>
        <v>142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15" t="str">
        <f>+IF(AND(Tabla2[[#This Row],[venc]]="venc",Tabla2[[#This Row],[Columna1]]="por pagar"),"vencida","no")</f>
        <v>no</v>
      </c>
    </row>
    <row r="308" spans="1:23" ht="15.75" x14ac:dyDescent="0.25">
      <c r="A308" s="20">
        <v>60</v>
      </c>
      <c r="B308" s="25">
        <v>0</v>
      </c>
      <c r="C308" s="25"/>
      <c r="D308" s="56">
        <v>0</v>
      </c>
      <c r="E308" s="66">
        <v>45247</v>
      </c>
      <c r="F308" s="323" t="s">
        <v>484</v>
      </c>
      <c r="G308" s="66">
        <v>45169</v>
      </c>
      <c r="H308" s="35" t="s">
        <v>1066</v>
      </c>
      <c r="I308" s="21">
        <v>4550503</v>
      </c>
      <c r="J308" s="21"/>
      <c r="K308" s="22">
        <v>864595.57000000007</v>
      </c>
      <c r="L308" s="23"/>
      <c r="M308" s="22">
        <v>0</v>
      </c>
      <c r="N308" s="72">
        <v>0</v>
      </c>
      <c r="O308" s="22">
        <v>0</v>
      </c>
      <c r="P308" s="21">
        <v>5415098.5700000003</v>
      </c>
      <c r="S308" s="101" t="b">
        <f>OR(COUNTIF(Tabla2[[#This Row],[PROVEEDOR]],"*"&amp;'Palabra no opera'!$A$2&amp;"*"))</f>
        <v>1</v>
      </c>
      <c r="T308" s="113">
        <f>+$W$5-Tabla2[[#This Row],[FECHA DE FACTURACIÓN]]</f>
        <v>153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15" t="str">
        <f>+IF(AND(Tabla2[[#This Row],[venc]]="venc",Tabla2[[#This Row],[Columna1]]="por pagar"),"vencida","no")</f>
        <v>no</v>
      </c>
    </row>
    <row r="309" spans="1:23" ht="15.75" x14ac:dyDescent="0.25">
      <c r="A309" s="20">
        <v>30</v>
      </c>
      <c r="B309" s="25">
        <v>496505</v>
      </c>
      <c r="C309" s="25"/>
      <c r="D309" s="56">
        <v>0</v>
      </c>
      <c r="E309" s="66">
        <v>45246</v>
      </c>
      <c r="F309" s="323" t="s">
        <v>1170</v>
      </c>
      <c r="G309" s="66">
        <v>45246</v>
      </c>
      <c r="H309" s="35" t="s">
        <v>1281</v>
      </c>
      <c r="I309" s="21">
        <v>258800</v>
      </c>
      <c r="J309" s="21"/>
      <c r="K309" s="22">
        <v>0</v>
      </c>
      <c r="L309" s="23"/>
      <c r="M309" s="22">
        <v>0</v>
      </c>
      <c r="N309" s="72">
        <v>0</v>
      </c>
      <c r="O309" s="22">
        <v>0</v>
      </c>
      <c r="P309" s="21">
        <v>258800</v>
      </c>
      <c r="S309" s="101" t="b">
        <f>OR(COUNTIF(Tabla2[[#This Row],[PROVEEDOR]],"*"&amp;'Palabra no opera'!$A$2&amp;"*"))</f>
        <v>0</v>
      </c>
      <c r="T309" s="113">
        <f>+$W$5-Tabla2[[#This Row],[FECHA DE FACTURACIÓN]]</f>
        <v>76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15" t="str">
        <f>+IF(AND(Tabla2[[#This Row],[venc]]="venc",Tabla2[[#This Row],[Columna1]]="por pagar"),"vencida","no")</f>
        <v>no</v>
      </c>
    </row>
    <row r="310" spans="1:23" ht="15.75" x14ac:dyDescent="0.25">
      <c r="A310" s="20">
        <v>30</v>
      </c>
      <c r="B310" s="25">
        <v>0</v>
      </c>
      <c r="C310" s="25"/>
      <c r="D310" s="56" t="s">
        <v>104</v>
      </c>
      <c r="E310" s="66">
        <v>45246</v>
      </c>
      <c r="F310" s="323" t="s">
        <v>521</v>
      </c>
      <c r="G310" s="66">
        <v>45245</v>
      </c>
      <c r="H310" s="35" t="s">
        <v>1336</v>
      </c>
      <c r="I310" s="21">
        <v>4811000</v>
      </c>
      <c r="J310" s="21"/>
      <c r="K310" s="22">
        <v>0</v>
      </c>
      <c r="L310" s="23"/>
      <c r="M310" s="22">
        <v>0</v>
      </c>
      <c r="N310" s="72">
        <v>0</v>
      </c>
      <c r="O310" s="22">
        <v>0</v>
      </c>
      <c r="P310" s="21">
        <v>4811000</v>
      </c>
      <c r="S310" s="101" t="b">
        <f>OR(COUNTIF(Tabla2[[#This Row],[PROVEEDOR]],"*"&amp;'Palabra no opera'!$A$2&amp;"*"))</f>
        <v>0</v>
      </c>
      <c r="T310" s="113">
        <f>+$W$5-Tabla2[[#This Row],[FECHA DE FACTURACIÓN]]</f>
        <v>77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15" t="str">
        <f>+IF(AND(Tabla2[[#This Row],[venc]]="venc",Tabla2[[#This Row],[Columna1]]="por pagar"),"vencida","no")</f>
        <v>no</v>
      </c>
    </row>
    <row r="311" spans="1:23" ht="15.75" x14ac:dyDescent="0.25">
      <c r="A311" s="20">
        <v>30</v>
      </c>
      <c r="B311" s="25">
        <v>0</v>
      </c>
      <c r="C311" s="25"/>
      <c r="D311" s="56" t="s">
        <v>1508</v>
      </c>
      <c r="E311" s="66">
        <v>45246</v>
      </c>
      <c r="F311" s="323" t="s">
        <v>406</v>
      </c>
      <c r="G311" s="66">
        <v>45232</v>
      </c>
      <c r="H311" s="35" t="s">
        <v>1250</v>
      </c>
      <c r="I311" s="21">
        <v>1840056</v>
      </c>
      <c r="J311" s="21"/>
      <c r="K311" s="22">
        <v>0</v>
      </c>
      <c r="L311" s="23"/>
      <c r="M311" s="22">
        <v>105097</v>
      </c>
      <c r="N311" s="72">
        <v>0</v>
      </c>
      <c r="O311" s="22">
        <v>0</v>
      </c>
      <c r="P311" s="21">
        <v>1734959</v>
      </c>
      <c r="S311" s="101" t="b">
        <f>OR(COUNTIF(Tabla2[[#This Row],[PROVEEDOR]],"*"&amp;'Palabra no opera'!$A$2&amp;"*"))</f>
        <v>1</v>
      </c>
      <c r="T311" s="113">
        <f>+$W$5-Tabla2[[#This Row],[FECHA DE FACTURACIÓN]]</f>
        <v>90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15" t="str">
        <f>+IF(AND(Tabla2[[#This Row],[venc]]="venc",Tabla2[[#This Row],[Columna1]]="por pagar"),"vencida","no")</f>
        <v>no</v>
      </c>
    </row>
    <row r="312" spans="1:23" ht="15.75" x14ac:dyDescent="0.25">
      <c r="A312" s="20">
        <v>30</v>
      </c>
      <c r="B312" s="25">
        <v>0</v>
      </c>
      <c r="C312" s="25"/>
      <c r="D312" s="56" t="s">
        <v>300</v>
      </c>
      <c r="E312" s="66">
        <v>45246</v>
      </c>
      <c r="F312" s="323" t="s">
        <v>409</v>
      </c>
      <c r="G312" s="66">
        <v>45231</v>
      </c>
      <c r="H312" s="35" t="s">
        <v>1249</v>
      </c>
      <c r="I312" s="21">
        <v>318603</v>
      </c>
      <c r="J312" s="21">
        <v>9545</v>
      </c>
      <c r="K312" s="22">
        <v>0</v>
      </c>
      <c r="L312" s="23"/>
      <c r="M312" s="22">
        <v>0</v>
      </c>
      <c r="N312" s="72">
        <v>0</v>
      </c>
      <c r="O312" s="22">
        <v>0</v>
      </c>
      <c r="P312" s="21">
        <v>309058</v>
      </c>
      <c r="S312" s="101" t="b">
        <f>OR(COUNTIF(Tabla2[[#This Row],[PROVEEDOR]],"*"&amp;'Palabra no opera'!$A$2&amp;"*"))</f>
        <v>1</v>
      </c>
      <c r="T312" s="113">
        <f>+$W$5-Tabla2[[#This Row],[FECHA DE FACTURACIÓN]]</f>
        <v>91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15" t="str">
        <f>+IF(AND(Tabla2[[#This Row],[venc]]="venc",Tabla2[[#This Row],[Columna1]]="por pagar"),"vencida","no")</f>
        <v>no</v>
      </c>
    </row>
    <row r="313" spans="1:23" ht="15.75" x14ac:dyDescent="0.25">
      <c r="A313" s="20">
        <v>30</v>
      </c>
      <c r="B313" s="25">
        <v>0</v>
      </c>
      <c r="C313" s="25"/>
      <c r="D313" s="56" t="s">
        <v>174</v>
      </c>
      <c r="E313" s="66">
        <v>45246</v>
      </c>
      <c r="F313" s="323" t="s">
        <v>427</v>
      </c>
      <c r="G313" s="66">
        <v>45231</v>
      </c>
      <c r="H313" s="35" t="s">
        <v>1248</v>
      </c>
      <c r="I313" s="21">
        <v>243611</v>
      </c>
      <c r="J313" s="21"/>
      <c r="K313" s="22">
        <v>46286.090000000004</v>
      </c>
      <c r="L313" s="23"/>
      <c r="M313" s="22">
        <v>0</v>
      </c>
      <c r="N313" s="72">
        <v>3.5000000000000003E-2</v>
      </c>
      <c r="O313" s="22">
        <v>8526.3850000000002</v>
      </c>
      <c r="P313" s="21">
        <v>281370.70500000002</v>
      </c>
      <c r="S313" s="101" t="b">
        <f>OR(COUNTIF(Tabla2[[#This Row],[PROVEEDOR]],"*"&amp;'Palabra no opera'!$A$2&amp;"*"))</f>
        <v>1</v>
      </c>
      <c r="T313" s="113">
        <f>+$W$5-Tabla2[[#This Row],[FECHA DE FACTURACIÓN]]</f>
        <v>91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15" t="str">
        <f>+IF(AND(Tabla2[[#This Row],[venc]]="venc",Tabla2[[#This Row],[Columna1]]="por pagar"),"vencida","no")</f>
        <v>no</v>
      </c>
    </row>
    <row r="314" spans="1:23" ht="15.75" x14ac:dyDescent="0.25">
      <c r="A314" s="20">
        <v>60</v>
      </c>
      <c r="B314" s="25">
        <v>14884783</v>
      </c>
      <c r="C314" s="25"/>
      <c r="D314" s="56" t="s">
        <v>432</v>
      </c>
      <c r="E314" s="66">
        <v>45246</v>
      </c>
      <c r="F314" s="323" t="s">
        <v>76</v>
      </c>
      <c r="G314" s="66">
        <v>45218</v>
      </c>
      <c r="H314" s="35" t="s">
        <v>1214</v>
      </c>
      <c r="I314" s="21">
        <v>5488200</v>
      </c>
      <c r="J314" s="21"/>
      <c r="K314" s="22">
        <v>1042758</v>
      </c>
      <c r="L314" s="23"/>
      <c r="M314" s="22">
        <v>0</v>
      </c>
      <c r="N314" s="72">
        <v>2.5000000000000001E-2</v>
      </c>
      <c r="O314" s="22">
        <v>137205</v>
      </c>
      <c r="P314" s="21">
        <v>6393753</v>
      </c>
      <c r="S314" s="101" t="b">
        <f>OR(COUNTIF(Tabla2[[#This Row],[PROVEEDOR]],"*"&amp;'Palabra no opera'!$A$2&amp;"*"))</f>
        <v>0</v>
      </c>
      <c r="T314" s="113">
        <f>+$W$5-Tabla2[[#This Row],[FECHA DE FACTURACIÓN]]</f>
        <v>104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15" t="str">
        <f>+IF(AND(Tabla2[[#This Row],[venc]]="venc",Tabla2[[#This Row],[Columna1]]="por pagar"),"vencida","no")</f>
        <v>no</v>
      </c>
    </row>
    <row r="315" spans="1:23" ht="15.75" x14ac:dyDescent="0.25">
      <c r="A315" s="20">
        <v>60</v>
      </c>
      <c r="B315" s="25">
        <v>14884783</v>
      </c>
      <c r="C315" s="25"/>
      <c r="D315" s="56" t="s">
        <v>432</v>
      </c>
      <c r="E315" s="66">
        <v>45246</v>
      </c>
      <c r="F315" s="323" t="s">
        <v>76</v>
      </c>
      <c r="G315" s="66">
        <v>45218</v>
      </c>
      <c r="H315" s="35" t="s">
        <v>1215</v>
      </c>
      <c r="I315" s="21">
        <v>1478700</v>
      </c>
      <c r="J315" s="21"/>
      <c r="K315" s="22">
        <v>280953</v>
      </c>
      <c r="L315" s="23"/>
      <c r="M315" s="22">
        <v>0</v>
      </c>
      <c r="N315" s="72">
        <v>2.5000000000000001E-2</v>
      </c>
      <c r="O315" s="22">
        <v>36967.5</v>
      </c>
      <c r="P315" s="21">
        <v>1722685.5</v>
      </c>
      <c r="S315" s="101" t="b">
        <f>OR(COUNTIF(Tabla2[[#This Row],[PROVEEDOR]],"*"&amp;'Palabra no opera'!$A$2&amp;"*"))</f>
        <v>0</v>
      </c>
      <c r="T315" s="113">
        <f>+$W$5-Tabla2[[#This Row],[FECHA DE FACTURACIÓN]]</f>
        <v>104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15" t="str">
        <f>+IF(AND(Tabla2[[#This Row],[venc]]="venc",Tabla2[[#This Row],[Columna1]]="por pagar"),"vencida","no")</f>
        <v>no</v>
      </c>
    </row>
    <row r="316" spans="1:23" ht="15.75" x14ac:dyDescent="0.25">
      <c r="A316" s="20">
        <v>45</v>
      </c>
      <c r="B316" s="25">
        <v>3535656.6</v>
      </c>
      <c r="C316" s="25"/>
      <c r="D316" s="56" t="s">
        <v>390</v>
      </c>
      <c r="E316" s="66">
        <v>45246</v>
      </c>
      <c r="F316" s="323" t="s">
        <v>19</v>
      </c>
      <c r="G316" s="66">
        <v>45197</v>
      </c>
      <c r="H316" s="35" t="s">
        <v>1122</v>
      </c>
      <c r="I316" s="21">
        <v>13085520</v>
      </c>
      <c r="J316" s="21"/>
      <c r="K316" s="22">
        <v>2486248.7999999998</v>
      </c>
      <c r="L316" s="23"/>
      <c r="M316" s="22">
        <v>0</v>
      </c>
      <c r="N316" s="72">
        <v>0</v>
      </c>
      <c r="O316" s="22">
        <v>0</v>
      </c>
      <c r="P316" s="21">
        <v>15571768.800000001</v>
      </c>
      <c r="S316" s="101" t="b">
        <f>OR(COUNTIF(Tabla2[[#This Row],[PROVEEDOR]],"*"&amp;'Palabra no opera'!$A$2&amp;"*"))</f>
        <v>0</v>
      </c>
      <c r="T316" s="113">
        <f>+$W$5-Tabla2[[#This Row],[FECHA DE FACTURACIÓN]]</f>
        <v>125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15" t="str">
        <f>+IF(AND(Tabla2[[#This Row],[venc]]="venc",Tabla2[[#This Row],[Columna1]]="por pagar"),"vencida","no")</f>
        <v>no</v>
      </c>
    </row>
    <row r="317" spans="1:23" ht="15.75" x14ac:dyDescent="0.25">
      <c r="A317" s="20">
        <v>30</v>
      </c>
      <c r="B317" s="25">
        <v>1426700.52</v>
      </c>
      <c r="C317" s="25"/>
      <c r="D317" s="56" t="s">
        <v>159</v>
      </c>
      <c r="E317" s="66">
        <v>45246</v>
      </c>
      <c r="F317" s="323" t="s">
        <v>151</v>
      </c>
      <c r="G317" s="66">
        <v>45184</v>
      </c>
      <c r="H317" s="35" t="s">
        <v>1106</v>
      </c>
      <c r="I317" s="21">
        <v>483193</v>
      </c>
      <c r="J317" s="21"/>
      <c r="K317" s="22">
        <v>91806.67</v>
      </c>
      <c r="L317" s="23"/>
      <c r="M317" s="22">
        <v>0</v>
      </c>
      <c r="N317" s="72">
        <v>0</v>
      </c>
      <c r="O317" s="22">
        <v>0</v>
      </c>
      <c r="P317" s="21">
        <v>574999.67000000004</v>
      </c>
      <c r="S317" s="101" t="b">
        <f>OR(COUNTIF(Tabla2[[#This Row],[PROVEEDOR]],"*"&amp;'Palabra no opera'!$A$2&amp;"*"))</f>
        <v>0</v>
      </c>
      <c r="T317" s="113">
        <f>+$W$5-Tabla2[[#This Row],[FECHA DE FACTURACIÓN]]</f>
        <v>138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15" t="str">
        <f>+IF(AND(Tabla2[[#This Row],[venc]]="venc",Tabla2[[#This Row],[Columna1]]="por pagar"),"vencida","no")</f>
        <v>no</v>
      </c>
    </row>
    <row r="318" spans="1:23" ht="15.75" x14ac:dyDescent="0.25">
      <c r="A318" s="20">
        <v>30</v>
      </c>
      <c r="B318" s="25">
        <v>1426700.52</v>
      </c>
      <c r="C318" s="25"/>
      <c r="D318" s="56" t="s">
        <v>159</v>
      </c>
      <c r="E318" s="66">
        <v>45246</v>
      </c>
      <c r="F318" s="323" t="s">
        <v>151</v>
      </c>
      <c r="G318" s="66">
        <v>45184</v>
      </c>
      <c r="H318" s="35" t="s">
        <v>1107</v>
      </c>
      <c r="I318" s="21">
        <v>-210084</v>
      </c>
      <c r="J318" s="21"/>
      <c r="K318" s="22">
        <v>-39915.96</v>
      </c>
      <c r="L318" s="23"/>
      <c r="M318" s="22">
        <v>0</v>
      </c>
      <c r="N318" s="72">
        <v>0</v>
      </c>
      <c r="O318" s="22">
        <v>0</v>
      </c>
      <c r="P318" s="21">
        <v>-249999.96</v>
      </c>
      <c r="S318" s="101" t="b">
        <f>OR(COUNTIF(Tabla2[[#This Row],[PROVEEDOR]],"*"&amp;'Palabra no opera'!$A$2&amp;"*"))</f>
        <v>0</v>
      </c>
      <c r="T318" s="113">
        <f>+$W$5-Tabla2[[#This Row],[FECHA DE FACTURACIÓN]]</f>
        <v>138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15" t="str">
        <f>+IF(AND(Tabla2[[#This Row],[venc]]="venc",Tabla2[[#This Row],[Columna1]]="por pagar"),"vencida","no")</f>
        <v>no</v>
      </c>
    </row>
    <row r="319" spans="1:23" ht="15.75" x14ac:dyDescent="0.25">
      <c r="A319" s="20">
        <v>30</v>
      </c>
      <c r="B319" s="25">
        <v>0</v>
      </c>
      <c r="C319" s="25"/>
      <c r="D319" s="56" t="s">
        <v>159</v>
      </c>
      <c r="E319" s="66">
        <v>45246</v>
      </c>
      <c r="F319" s="323" t="s">
        <v>994</v>
      </c>
      <c r="G319" s="66">
        <v>45178</v>
      </c>
      <c r="H319" s="35" t="s">
        <v>1114</v>
      </c>
      <c r="I319" s="21">
        <v>1157983</v>
      </c>
      <c r="J319" s="21"/>
      <c r="K319" s="22">
        <v>220016.77</v>
      </c>
      <c r="L319" s="23"/>
      <c r="M319" s="22">
        <v>0</v>
      </c>
      <c r="N319" s="72">
        <v>2.5000000000000001E-2</v>
      </c>
      <c r="O319" s="22">
        <v>28949.575000000001</v>
      </c>
      <c r="P319" s="21">
        <v>1349050.1950000001</v>
      </c>
      <c r="S319" s="101" t="b">
        <f>OR(COUNTIF(Tabla2[[#This Row],[PROVEEDOR]],"*"&amp;'Palabra no opera'!$A$2&amp;"*"))</f>
        <v>0</v>
      </c>
      <c r="T319" s="113">
        <f>+$W$5-Tabla2[[#This Row],[FECHA DE FACTURACIÓN]]</f>
        <v>144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15" t="str">
        <f>+IF(AND(Tabla2[[#This Row],[venc]]="venc",Tabla2[[#This Row],[Columna1]]="por pagar"),"vencida","no")</f>
        <v>no</v>
      </c>
    </row>
    <row r="320" spans="1:23" ht="15.75" x14ac:dyDescent="0.25">
      <c r="A320" s="20">
        <v>30</v>
      </c>
      <c r="B320" s="25">
        <v>1426700.52</v>
      </c>
      <c r="C320" s="25"/>
      <c r="D320" s="56" t="s">
        <v>159</v>
      </c>
      <c r="E320" s="66">
        <v>45246</v>
      </c>
      <c r="F320" s="323" t="s">
        <v>151</v>
      </c>
      <c r="G320" s="66">
        <v>45177</v>
      </c>
      <c r="H320" s="35" t="s">
        <v>1105</v>
      </c>
      <c r="I320" s="21">
        <v>3048739</v>
      </c>
      <c r="J320" s="21"/>
      <c r="K320" s="22">
        <v>579260.41</v>
      </c>
      <c r="L320" s="23"/>
      <c r="M320" s="22">
        <v>0</v>
      </c>
      <c r="N320" s="72">
        <v>2.5000000000000001E-2</v>
      </c>
      <c r="O320" s="22">
        <v>76218.475000000006</v>
      </c>
      <c r="P320" s="21">
        <v>3551780.9350000001</v>
      </c>
      <c r="S320" s="101" t="b">
        <f>OR(COUNTIF(Tabla2[[#This Row],[PROVEEDOR]],"*"&amp;'Palabra no opera'!$A$2&amp;"*"))</f>
        <v>0</v>
      </c>
      <c r="T320" s="113">
        <f>+$W$5-Tabla2[[#This Row],[FECHA DE FACTURACIÓN]]</f>
        <v>145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15" t="str">
        <f>+IF(AND(Tabla2[[#This Row],[venc]]="venc",Tabla2[[#This Row],[Columna1]]="por pagar"),"vencida","no")</f>
        <v>no</v>
      </c>
    </row>
    <row r="321" spans="1:23" ht="15.75" x14ac:dyDescent="0.25">
      <c r="A321" s="20">
        <v>30</v>
      </c>
      <c r="B321" s="25">
        <v>1426700.52</v>
      </c>
      <c r="C321" s="25"/>
      <c r="D321" s="56" t="s">
        <v>159</v>
      </c>
      <c r="E321" s="66">
        <v>45246</v>
      </c>
      <c r="F321" s="323" t="s">
        <v>151</v>
      </c>
      <c r="G321" s="66">
        <v>45156</v>
      </c>
      <c r="H321" s="35" t="s">
        <v>541</v>
      </c>
      <c r="I321" s="21">
        <v>-537815</v>
      </c>
      <c r="J321" s="21"/>
      <c r="K321" s="22">
        <v>-102184.85</v>
      </c>
      <c r="L321" s="23"/>
      <c r="M321" s="22">
        <v>0</v>
      </c>
      <c r="N321" s="72">
        <v>0</v>
      </c>
      <c r="O321" s="22">
        <v>0</v>
      </c>
      <c r="P321" s="21">
        <v>-639999.85</v>
      </c>
      <c r="S321" s="101" t="b">
        <f>OR(COUNTIF(Tabla2[[#This Row],[PROVEEDOR]],"*"&amp;'Palabra no opera'!$A$2&amp;"*"))</f>
        <v>0</v>
      </c>
      <c r="T321" s="113">
        <f>+$W$5-Tabla2[[#This Row],[FECHA DE FACTURACIÓN]]</f>
        <v>166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15" t="str">
        <f>+IF(AND(Tabla2[[#This Row],[venc]]="venc",Tabla2[[#This Row],[Columna1]]="por pagar"),"vencida","no")</f>
        <v>no</v>
      </c>
    </row>
    <row r="322" spans="1:23" ht="15.75" x14ac:dyDescent="0.25">
      <c r="A322" s="20">
        <v>30</v>
      </c>
      <c r="B322" s="25">
        <v>0</v>
      </c>
      <c r="C322" s="25"/>
      <c r="D322" s="56" t="s">
        <v>104</v>
      </c>
      <c r="E322" s="66">
        <v>45245</v>
      </c>
      <c r="F322" s="323" t="s">
        <v>279</v>
      </c>
      <c r="G322" s="66">
        <v>45245</v>
      </c>
      <c r="H322" s="35" t="s">
        <v>1332</v>
      </c>
      <c r="I322" s="21">
        <v>600000</v>
      </c>
      <c r="J322" s="21"/>
      <c r="K322" s="22">
        <v>0</v>
      </c>
      <c r="L322" s="23"/>
      <c r="M322" s="22">
        <v>0</v>
      </c>
      <c r="N322" s="72">
        <v>0</v>
      </c>
      <c r="O322" s="22">
        <v>0</v>
      </c>
      <c r="P322" s="21">
        <v>600000</v>
      </c>
      <c r="S322" s="101" t="b">
        <f>OR(COUNTIF(Tabla2[[#This Row],[PROVEEDOR]],"*"&amp;'Palabra no opera'!$A$2&amp;"*"))</f>
        <v>0</v>
      </c>
      <c r="T322" s="113">
        <f>+$W$5-Tabla2[[#This Row],[FECHA DE FACTURACIÓN]]</f>
        <v>77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15" t="str">
        <f>+IF(AND(Tabla2[[#This Row],[venc]]="venc",Tabla2[[#This Row],[Columna1]]="por pagar"),"vencida","no")</f>
        <v>no</v>
      </c>
    </row>
    <row r="323" spans="1:23" ht="15.75" x14ac:dyDescent="0.25">
      <c r="A323" s="20">
        <v>30</v>
      </c>
      <c r="B323" s="25">
        <v>0</v>
      </c>
      <c r="C323" s="25"/>
      <c r="D323" s="56" t="s">
        <v>104</v>
      </c>
      <c r="E323" s="66">
        <v>45245</v>
      </c>
      <c r="F323" s="323" t="s">
        <v>291</v>
      </c>
      <c r="G323" s="66">
        <v>45245</v>
      </c>
      <c r="H323" s="35" t="s">
        <v>1329</v>
      </c>
      <c r="I323" s="21">
        <v>460000</v>
      </c>
      <c r="J323" s="21"/>
      <c r="K323" s="22">
        <v>0</v>
      </c>
      <c r="L323" s="23"/>
      <c r="M323" s="22">
        <v>0</v>
      </c>
      <c r="N323" s="72">
        <v>0</v>
      </c>
      <c r="O323" s="22">
        <v>0</v>
      </c>
      <c r="P323" s="21">
        <v>460000</v>
      </c>
      <c r="S323" s="101" t="b">
        <f>OR(COUNTIF(Tabla2[[#This Row],[PROVEEDOR]],"*"&amp;'Palabra no opera'!$A$2&amp;"*"))</f>
        <v>0</v>
      </c>
      <c r="T323" s="113">
        <f>+$W$5-Tabla2[[#This Row],[FECHA DE FACTURACIÓN]]</f>
        <v>77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15" t="str">
        <f>+IF(AND(Tabla2[[#This Row],[venc]]="venc",Tabla2[[#This Row],[Columna1]]="por pagar"),"vencida","no")</f>
        <v>no</v>
      </c>
    </row>
    <row r="324" spans="1:23" ht="15.75" x14ac:dyDescent="0.25">
      <c r="A324" s="20">
        <v>13</v>
      </c>
      <c r="B324" s="25">
        <v>0</v>
      </c>
      <c r="C324" s="25"/>
      <c r="D324" s="56">
        <v>0</v>
      </c>
      <c r="E324" s="66">
        <v>45245</v>
      </c>
      <c r="F324" s="323" t="s">
        <v>422</v>
      </c>
      <c r="G324" s="66">
        <v>45231</v>
      </c>
      <c r="H324" s="35"/>
      <c r="I324" s="21">
        <v>959182</v>
      </c>
      <c r="J324" s="21"/>
      <c r="K324" s="22">
        <v>0</v>
      </c>
      <c r="L324" s="23"/>
      <c r="M324" s="22">
        <v>0</v>
      </c>
      <c r="N324" s="72">
        <v>0</v>
      </c>
      <c r="O324" s="22">
        <v>0</v>
      </c>
      <c r="P324" s="21">
        <v>959182</v>
      </c>
      <c r="S324" s="101" t="b">
        <f>OR(COUNTIF(Tabla2[[#This Row],[PROVEEDOR]],"*"&amp;'Palabra no opera'!$A$2&amp;"*"))</f>
        <v>1</v>
      </c>
      <c r="T324" s="113">
        <f>+$W$5-Tabla2[[#This Row],[FECHA DE FACTURACIÓN]]</f>
        <v>91</v>
      </c>
      <c r="U324" t="str">
        <f>+IF(Tabla2[[#This Row],[dias de credito]]&gt;=Tabla2[[#This Row],[PLAZO Días]],"venc", "No venc")</f>
        <v>venc</v>
      </c>
      <c r="V324" t="str">
        <f>+IF(Tabla2[[#This Row],[FECHA DE PAGO]]&gt;0,"pagada","por pagar")</f>
        <v>pagada</v>
      </c>
      <c r="W324" s="115" t="str">
        <f>+IF(AND(Tabla2[[#This Row],[venc]]="venc",Tabla2[[#This Row],[Columna1]]="por pagar"),"vencida","no")</f>
        <v>no</v>
      </c>
    </row>
    <row r="325" spans="1:23" ht="15.75" x14ac:dyDescent="0.25">
      <c r="A325" s="20">
        <v>30</v>
      </c>
      <c r="B325" s="25">
        <v>0</v>
      </c>
      <c r="C325" s="25"/>
      <c r="D325" s="56" t="s">
        <v>104</v>
      </c>
      <c r="E325" s="66">
        <v>45244</v>
      </c>
      <c r="F325" s="323" t="s">
        <v>53</v>
      </c>
      <c r="G325" s="66">
        <v>45244</v>
      </c>
      <c r="H325" s="35">
        <v>310278</v>
      </c>
      <c r="I325" s="21">
        <v>2296000</v>
      </c>
      <c r="J325" s="21"/>
      <c r="K325" s="22">
        <v>0</v>
      </c>
      <c r="L325" s="23"/>
      <c r="M325" s="22">
        <v>0</v>
      </c>
      <c r="N325" s="72">
        <v>0</v>
      </c>
      <c r="O325" s="22">
        <v>0</v>
      </c>
      <c r="P325" s="21">
        <v>2296000</v>
      </c>
      <c r="S325" s="101" t="b">
        <f>OR(COUNTIF(Tabla2[[#This Row],[PROVEEDOR]],"*"&amp;'Palabra no opera'!$A$2&amp;"*"))</f>
        <v>0</v>
      </c>
      <c r="T325" s="113">
        <f>+$W$5-Tabla2[[#This Row],[FECHA DE FACTURACIÓN]]</f>
        <v>78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15" t="str">
        <f>+IF(AND(Tabla2[[#This Row],[venc]]="venc",Tabla2[[#This Row],[Columna1]]="por pagar"),"vencida","no")</f>
        <v>no</v>
      </c>
    </row>
    <row r="326" spans="1:23" ht="15.75" x14ac:dyDescent="0.25">
      <c r="A326" s="20">
        <v>30</v>
      </c>
      <c r="B326" s="25">
        <v>0</v>
      </c>
      <c r="C326" s="25"/>
      <c r="D326" s="56" t="s">
        <v>104</v>
      </c>
      <c r="E326" s="66">
        <v>45244</v>
      </c>
      <c r="F326" s="323" t="s">
        <v>53</v>
      </c>
      <c r="G326" s="66">
        <v>45244</v>
      </c>
      <c r="H326" s="35">
        <v>310278</v>
      </c>
      <c r="I326" s="21">
        <v>1036000</v>
      </c>
      <c r="J326" s="21"/>
      <c r="K326" s="22">
        <v>0</v>
      </c>
      <c r="L326" s="23"/>
      <c r="M326" s="22">
        <v>0</v>
      </c>
      <c r="N326" s="72">
        <v>0</v>
      </c>
      <c r="O326" s="22">
        <v>0</v>
      </c>
      <c r="P326" s="21">
        <v>1036000</v>
      </c>
      <c r="S326" s="101" t="b">
        <f>OR(COUNTIF(Tabla2[[#This Row],[PROVEEDOR]],"*"&amp;'Palabra no opera'!$A$2&amp;"*"))</f>
        <v>0</v>
      </c>
      <c r="T326" s="113">
        <f>+$W$5-Tabla2[[#This Row],[FECHA DE FACTURACIÓN]]</f>
        <v>78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15" t="str">
        <f>+IF(AND(Tabla2[[#This Row],[venc]]="venc",Tabla2[[#This Row],[Columna1]]="por pagar"),"vencida","no")</f>
        <v>no</v>
      </c>
    </row>
    <row r="327" spans="1:23" ht="15.75" x14ac:dyDescent="0.25">
      <c r="A327" s="20">
        <v>30</v>
      </c>
      <c r="B327" s="25">
        <v>0</v>
      </c>
      <c r="C327" s="25"/>
      <c r="D327" s="56" t="s">
        <v>1561</v>
      </c>
      <c r="E327" s="66">
        <v>45244</v>
      </c>
      <c r="F327" s="323" t="s">
        <v>203</v>
      </c>
      <c r="G327" s="66">
        <v>45244</v>
      </c>
      <c r="H327" s="35" t="s">
        <v>1275</v>
      </c>
      <c r="I327" s="21">
        <v>2313921</v>
      </c>
      <c r="J327" s="21"/>
      <c r="K327" s="22">
        <v>0</v>
      </c>
      <c r="L327" s="23"/>
      <c r="M327" s="22">
        <v>0</v>
      </c>
      <c r="N327" s="72">
        <v>0</v>
      </c>
      <c r="O327" s="22">
        <v>0</v>
      </c>
      <c r="P327" s="21">
        <v>2313921</v>
      </c>
      <c r="S327" s="101" t="b">
        <f>OR(COUNTIF(Tabla2[[#This Row],[PROVEEDOR]],"*"&amp;'Palabra no opera'!$A$2&amp;"*"))</f>
        <v>0</v>
      </c>
      <c r="T327" s="113">
        <f>+$W$5-Tabla2[[#This Row],[FECHA DE FACTURACIÓN]]</f>
        <v>78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15" t="str">
        <f>+IF(AND(Tabla2[[#This Row],[venc]]="venc",Tabla2[[#This Row],[Columna1]]="por pagar"),"vencida","no")</f>
        <v>no</v>
      </c>
    </row>
    <row r="328" spans="1:23" ht="15.75" x14ac:dyDescent="0.25">
      <c r="A328" s="20">
        <v>30</v>
      </c>
      <c r="B328" s="25">
        <v>0</v>
      </c>
      <c r="C328" s="25"/>
      <c r="D328" s="56" t="s">
        <v>1233</v>
      </c>
      <c r="E328" s="66">
        <v>45244</v>
      </c>
      <c r="F328" s="323" t="s">
        <v>1234</v>
      </c>
      <c r="G328" s="66">
        <v>45244</v>
      </c>
      <c r="H328" s="35" t="s">
        <v>1298</v>
      </c>
      <c r="I328" s="21">
        <v>502938</v>
      </c>
      <c r="J328" s="21"/>
      <c r="K328" s="22">
        <v>95558.22</v>
      </c>
      <c r="L328" s="23"/>
      <c r="M328" s="22">
        <v>0</v>
      </c>
      <c r="N328" s="72">
        <v>0</v>
      </c>
      <c r="O328" s="22">
        <v>0</v>
      </c>
      <c r="P328" s="21">
        <v>598496.22</v>
      </c>
      <c r="S328" s="101" t="b">
        <f>OR(COUNTIF(Tabla2[[#This Row],[PROVEEDOR]],"*"&amp;'Palabra no opera'!$A$2&amp;"*"))</f>
        <v>0</v>
      </c>
      <c r="T328" s="113">
        <f>+$W$5-Tabla2[[#This Row],[FECHA DE FACTURACIÓN]]</f>
        <v>78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15" t="str">
        <f>+IF(AND(Tabla2[[#This Row],[venc]]="venc",Tabla2[[#This Row],[Columna1]]="por pagar"),"vencida","no")</f>
        <v>no</v>
      </c>
    </row>
    <row r="329" spans="1:23" ht="15.75" x14ac:dyDescent="0.25">
      <c r="A329" s="20">
        <v>30</v>
      </c>
      <c r="B329" s="25">
        <v>4202500</v>
      </c>
      <c r="C329" s="25"/>
      <c r="D329" s="56" t="s">
        <v>231</v>
      </c>
      <c r="E329" s="66">
        <v>45244</v>
      </c>
      <c r="F329" s="323" t="s">
        <v>301</v>
      </c>
      <c r="G329" s="66">
        <v>45210</v>
      </c>
      <c r="H329" s="35" t="s">
        <v>1203</v>
      </c>
      <c r="I329" s="21">
        <v>986500</v>
      </c>
      <c r="J329" s="21"/>
      <c r="K329" s="22">
        <v>0</v>
      </c>
      <c r="L329" s="23"/>
      <c r="M329" s="22">
        <v>0</v>
      </c>
      <c r="N329" s="72">
        <v>0</v>
      </c>
      <c r="O329" s="22">
        <v>0</v>
      </c>
      <c r="P329" s="21">
        <v>986500</v>
      </c>
      <c r="S329" s="101" t="b">
        <f>OR(COUNTIF(Tabla2[[#This Row],[PROVEEDOR]],"*"&amp;'Palabra no opera'!$A$2&amp;"*"))</f>
        <v>0</v>
      </c>
      <c r="T329" s="113">
        <f>+$W$5-Tabla2[[#This Row],[FECHA DE FACTURACIÓN]]</f>
        <v>112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15" t="str">
        <f>+IF(AND(Tabla2[[#This Row],[venc]]="venc",Tabla2[[#This Row],[Columna1]]="por pagar"),"vencida","no")</f>
        <v>no</v>
      </c>
    </row>
    <row r="330" spans="1:23" ht="15.75" x14ac:dyDescent="0.25">
      <c r="A330" s="20">
        <v>30</v>
      </c>
      <c r="B330" s="25">
        <v>2923945.6174999997</v>
      </c>
      <c r="C330" s="25"/>
      <c r="D330" s="56" t="s">
        <v>1538</v>
      </c>
      <c r="E330" s="66">
        <v>45244</v>
      </c>
      <c r="F330" s="323" t="s">
        <v>1526</v>
      </c>
      <c r="G330" s="66">
        <v>45203</v>
      </c>
      <c r="H330" s="35" t="s">
        <v>1206</v>
      </c>
      <c r="I330" s="21">
        <v>168068</v>
      </c>
      <c r="J330" s="21"/>
      <c r="K330" s="22">
        <v>31932.920000000002</v>
      </c>
      <c r="L330" s="23"/>
      <c r="M330" s="22">
        <v>0</v>
      </c>
      <c r="N330" s="72">
        <v>0</v>
      </c>
      <c r="O330" s="22">
        <v>0</v>
      </c>
      <c r="P330" s="21">
        <v>200000.92</v>
      </c>
      <c r="S330" s="101" t="b">
        <f>OR(COUNTIF(Tabla2[[#This Row],[PROVEEDOR]],"*"&amp;'Palabra no opera'!$A$2&amp;"*"))</f>
        <v>0</v>
      </c>
      <c r="T330" s="113">
        <f>+$W$5-Tabla2[[#This Row],[FECHA DE FACTURACIÓN]]</f>
        <v>119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15" t="str">
        <f>+IF(AND(Tabla2[[#This Row],[venc]]="venc",Tabla2[[#This Row],[Columna1]]="por pagar"),"vencida","no")</f>
        <v>no</v>
      </c>
    </row>
    <row r="331" spans="1:23" ht="15.75" x14ac:dyDescent="0.25">
      <c r="A331" s="20">
        <v>30</v>
      </c>
      <c r="B331" s="25">
        <v>2923945.6174999997</v>
      </c>
      <c r="C331" s="25"/>
      <c r="D331" s="56" t="s">
        <v>1538</v>
      </c>
      <c r="E331" s="66">
        <v>45244</v>
      </c>
      <c r="F331" s="323" t="s">
        <v>1526</v>
      </c>
      <c r="G331" s="66">
        <v>45196</v>
      </c>
      <c r="H331" s="35" t="s">
        <v>1142</v>
      </c>
      <c r="I331" s="21">
        <v>2740335</v>
      </c>
      <c r="J331" s="21"/>
      <c r="K331" s="22">
        <v>520663.65</v>
      </c>
      <c r="L331" s="23"/>
      <c r="M331" s="22">
        <v>0</v>
      </c>
      <c r="N331" s="72">
        <v>2.5000000000000001E-2</v>
      </c>
      <c r="O331" s="22">
        <v>68508.375</v>
      </c>
      <c r="P331" s="21">
        <v>3192490.2749999999</v>
      </c>
      <c r="S331" s="101" t="b">
        <f>OR(COUNTIF(Tabla2[[#This Row],[PROVEEDOR]],"*"&amp;'Palabra no opera'!$A$2&amp;"*"))</f>
        <v>0</v>
      </c>
      <c r="T331" s="113">
        <f>+$W$5-Tabla2[[#This Row],[FECHA DE FACTURACIÓN]]</f>
        <v>126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15" t="str">
        <f>+IF(AND(Tabla2[[#This Row],[venc]]="venc",Tabla2[[#This Row],[Columna1]]="por pagar"),"vencida","no")</f>
        <v>no</v>
      </c>
    </row>
    <row r="332" spans="1:23" ht="15.75" x14ac:dyDescent="0.25">
      <c r="A332" s="20">
        <v>30</v>
      </c>
      <c r="B332" s="25">
        <v>840000</v>
      </c>
      <c r="C332" s="25"/>
      <c r="D332" s="56">
        <v>0</v>
      </c>
      <c r="E332" s="66">
        <v>45240</v>
      </c>
      <c r="F332" s="323" t="s">
        <v>318</v>
      </c>
      <c r="G332" s="66">
        <v>45231</v>
      </c>
      <c r="H332" s="35" t="s">
        <v>1284</v>
      </c>
      <c r="I332" s="21">
        <v>1128000</v>
      </c>
      <c r="J332" s="21"/>
      <c r="K332" s="22">
        <v>0</v>
      </c>
      <c r="L332" s="23"/>
      <c r="M332" s="22">
        <v>0</v>
      </c>
      <c r="N332" s="72">
        <v>0</v>
      </c>
      <c r="O332" s="22">
        <v>0</v>
      </c>
      <c r="P332" s="21">
        <v>1128000</v>
      </c>
      <c r="S332" s="101" t="b">
        <f>OR(COUNTIF(Tabla2[[#This Row],[PROVEEDOR]],"*"&amp;'Palabra no opera'!$A$2&amp;"*"))</f>
        <v>0</v>
      </c>
      <c r="T332" s="113">
        <f>+$W$5-Tabla2[[#This Row],[FECHA DE FACTURACIÓN]]</f>
        <v>91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15" t="str">
        <f>+IF(AND(Tabla2[[#This Row],[venc]]="venc",Tabla2[[#This Row],[Columna1]]="por pagar"),"vencida","no")</f>
        <v>no</v>
      </c>
    </row>
    <row r="333" spans="1:23" ht="15.75" x14ac:dyDescent="0.25">
      <c r="A333" s="20">
        <v>30</v>
      </c>
      <c r="B333" s="25">
        <v>0</v>
      </c>
      <c r="C333" s="25"/>
      <c r="D333" s="56" t="s">
        <v>284</v>
      </c>
      <c r="E333" s="66">
        <v>45240</v>
      </c>
      <c r="F333" s="323" t="s">
        <v>401</v>
      </c>
      <c r="G333" s="66">
        <v>45231</v>
      </c>
      <c r="H333" s="35" t="s">
        <v>1243</v>
      </c>
      <c r="I333" s="21">
        <v>908172</v>
      </c>
      <c r="J333" s="21"/>
      <c r="K333" s="22">
        <v>172552.68</v>
      </c>
      <c r="L333" s="23"/>
      <c r="M333" s="22">
        <v>0</v>
      </c>
      <c r="N333" s="72">
        <v>0</v>
      </c>
      <c r="O333" s="22">
        <v>0</v>
      </c>
      <c r="P333" s="21">
        <v>1080724.68</v>
      </c>
      <c r="S333" s="101" t="b">
        <f>OR(COUNTIF(Tabla2[[#This Row],[PROVEEDOR]],"*"&amp;'Palabra no opera'!$A$2&amp;"*"))</f>
        <v>1</v>
      </c>
      <c r="T333" s="113">
        <f>+$W$5-Tabla2[[#This Row],[FECHA DE FACTURACIÓN]]</f>
        <v>91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15" t="str">
        <f>+IF(AND(Tabla2[[#This Row],[venc]]="venc",Tabla2[[#This Row],[Columna1]]="por pagar"),"vencida","no")</f>
        <v>no</v>
      </c>
    </row>
    <row r="334" spans="1:23" ht="15.75" x14ac:dyDescent="0.25">
      <c r="A334" s="20">
        <v>30</v>
      </c>
      <c r="B334" s="25">
        <v>0</v>
      </c>
      <c r="C334" s="25"/>
      <c r="D334" s="56" t="s">
        <v>284</v>
      </c>
      <c r="E334" s="66">
        <v>45240</v>
      </c>
      <c r="F334" s="323" t="s">
        <v>401</v>
      </c>
      <c r="G334" s="66">
        <v>45231</v>
      </c>
      <c r="H334" s="35" t="s">
        <v>1244</v>
      </c>
      <c r="I334" s="21">
        <v>3792544</v>
      </c>
      <c r="J334" s="21"/>
      <c r="K334" s="22">
        <v>720583.36</v>
      </c>
      <c r="L334" s="23"/>
      <c r="M334" s="22">
        <v>0</v>
      </c>
      <c r="N334" s="72"/>
      <c r="O334" s="22">
        <v>0</v>
      </c>
      <c r="P334" s="21">
        <v>4513127.3600000003</v>
      </c>
      <c r="S334" s="101" t="b">
        <f>OR(COUNTIF(Tabla2[[#This Row],[PROVEEDOR]],"*"&amp;'Palabra no opera'!$A$2&amp;"*"))</f>
        <v>1</v>
      </c>
      <c r="T334" s="113">
        <f>+$W$5-Tabla2[[#This Row],[FECHA DE FACTURACIÓN]]</f>
        <v>91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15" t="str">
        <f>+IF(AND(Tabla2[[#This Row],[venc]]="venc",Tabla2[[#This Row],[Columna1]]="por pagar"),"vencida","no")</f>
        <v>no</v>
      </c>
    </row>
    <row r="335" spans="1:23" ht="15.75" x14ac:dyDescent="0.25">
      <c r="A335" s="20">
        <v>10</v>
      </c>
      <c r="B335" s="25">
        <v>0</v>
      </c>
      <c r="C335" s="25"/>
      <c r="D335" s="56" t="s">
        <v>523</v>
      </c>
      <c r="E335" s="66">
        <v>45240</v>
      </c>
      <c r="F335" s="323" t="s">
        <v>522</v>
      </c>
      <c r="G335" s="66">
        <v>45231</v>
      </c>
      <c r="H335" s="35" t="s">
        <v>1242</v>
      </c>
      <c r="I335" s="21">
        <v>5350576</v>
      </c>
      <c r="J335" s="21"/>
      <c r="K335" s="22">
        <v>1016609</v>
      </c>
      <c r="L335" s="23"/>
      <c r="M335" s="22">
        <v>0</v>
      </c>
      <c r="N335" s="72">
        <v>0</v>
      </c>
      <c r="O335" s="22">
        <v>0</v>
      </c>
      <c r="P335" s="21">
        <v>6367185</v>
      </c>
      <c r="S335" s="101" t="b">
        <f>OR(COUNTIF(Tabla2[[#This Row],[PROVEEDOR]],"*"&amp;'Palabra no opera'!$A$2&amp;"*"))</f>
        <v>1</v>
      </c>
      <c r="T335" s="113">
        <f>+$W$5-Tabla2[[#This Row],[FECHA DE FACTURACIÓN]]</f>
        <v>91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15" t="str">
        <f>+IF(AND(Tabla2[[#This Row],[venc]]="venc",Tabla2[[#This Row],[Columna1]]="por pagar"),"vencida","no")</f>
        <v>no</v>
      </c>
    </row>
    <row r="336" spans="1:23" ht="15.75" x14ac:dyDescent="0.25">
      <c r="A336" s="20">
        <v>30</v>
      </c>
      <c r="B336" s="25">
        <v>0</v>
      </c>
      <c r="C336" s="25"/>
      <c r="D336" s="56">
        <v>0</v>
      </c>
      <c r="E336" s="66">
        <v>45239</v>
      </c>
      <c r="F336" s="323" t="s">
        <v>420</v>
      </c>
      <c r="G336" s="66">
        <v>45239</v>
      </c>
      <c r="H336" s="35" t="s">
        <v>1241</v>
      </c>
      <c r="I336" s="21">
        <v>1482303</v>
      </c>
      <c r="J336" s="21"/>
      <c r="K336" s="22">
        <v>0</v>
      </c>
      <c r="L336" s="23"/>
      <c r="M336" s="22">
        <v>0</v>
      </c>
      <c r="N336" s="72">
        <v>0</v>
      </c>
      <c r="O336" s="22">
        <v>0</v>
      </c>
      <c r="P336" s="21">
        <v>1482303</v>
      </c>
      <c r="S336" s="101" t="b">
        <f>OR(COUNTIF(Tabla2[[#This Row],[PROVEEDOR]],"*"&amp;'Palabra no opera'!$A$2&amp;"*"))</f>
        <v>1</v>
      </c>
      <c r="T336" s="113">
        <f>+$W$5-Tabla2[[#This Row],[FECHA DE FACTURACIÓN]]</f>
        <v>83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15" t="str">
        <f>+IF(AND(Tabla2[[#This Row],[venc]]="venc",Tabla2[[#This Row],[Columna1]]="por pagar"),"vencida","no")</f>
        <v>no</v>
      </c>
    </row>
    <row r="337" spans="1:23" ht="15.75" x14ac:dyDescent="0.25">
      <c r="A337" s="20">
        <v>30</v>
      </c>
      <c r="B337" s="25">
        <v>0</v>
      </c>
      <c r="C337" s="25"/>
      <c r="D337" s="56" t="s">
        <v>104</v>
      </c>
      <c r="E337" s="66">
        <v>45239</v>
      </c>
      <c r="F337" s="323" t="s">
        <v>521</v>
      </c>
      <c r="G337" s="66">
        <v>45238</v>
      </c>
      <c r="H337" s="35" t="s">
        <v>1335</v>
      </c>
      <c r="I337" s="21">
        <v>2128000</v>
      </c>
      <c r="J337" s="21"/>
      <c r="K337" s="22">
        <v>0</v>
      </c>
      <c r="L337" s="23"/>
      <c r="M337" s="22">
        <v>0</v>
      </c>
      <c r="N337" s="72">
        <v>0</v>
      </c>
      <c r="O337" s="22">
        <v>0</v>
      </c>
      <c r="P337" s="21">
        <v>2128000</v>
      </c>
      <c r="S337" s="101" t="b">
        <f>OR(COUNTIF(Tabla2[[#This Row],[PROVEEDOR]],"*"&amp;'Palabra no opera'!$A$2&amp;"*"))</f>
        <v>0</v>
      </c>
      <c r="T337" s="113">
        <f>+$W$5-Tabla2[[#This Row],[FECHA DE FACTURACIÓN]]</f>
        <v>84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15" t="str">
        <f>+IF(AND(Tabla2[[#This Row],[venc]]="venc",Tabla2[[#This Row],[Columna1]]="por pagar"),"vencida","no")</f>
        <v>no</v>
      </c>
    </row>
    <row r="338" spans="1:23" ht="15.75" x14ac:dyDescent="0.25">
      <c r="A338" s="20">
        <v>30</v>
      </c>
      <c r="B338" s="25">
        <v>0</v>
      </c>
      <c r="C338" s="25"/>
      <c r="D338" s="56">
        <v>0</v>
      </c>
      <c r="E338" s="66">
        <v>45239</v>
      </c>
      <c r="F338" s="323" t="s">
        <v>420</v>
      </c>
      <c r="G338" s="66">
        <v>45231</v>
      </c>
      <c r="H338" s="35" t="s">
        <v>480</v>
      </c>
      <c r="I338" s="21">
        <v>129083</v>
      </c>
      <c r="J338" s="21"/>
      <c r="K338" s="22">
        <v>0</v>
      </c>
      <c r="L338" s="23"/>
      <c r="M338" s="22">
        <v>0</v>
      </c>
      <c r="N338" s="72">
        <v>0</v>
      </c>
      <c r="O338" s="22">
        <v>0</v>
      </c>
      <c r="P338" s="21">
        <v>129083</v>
      </c>
      <c r="S338" s="101" t="b">
        <f>OR(COUNTIF(Tabla2[[#This Row],[PROVEEDOR]],"*"&amp;'Palabra no opera'!$A$2&amp;"*"))</f>
        <v>1</v>
      </c>
      <c r="T338" s="113">
        <f>+$W$5-Tabla2[[#This Row],[FECHA DE FACTURACIÓN]]</f>
        <v>91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15" t="str">
        <f>+IF(AND(Tabla2[[#This Row],[venc]]="venc",Tabla2[[#This Row],[Columna1]]="por pagar"),"vencida","no")</f>
        <v>no</v>
      </c>
    </row>
    <row r="339" spans="1:23" ht="15.75" x14ac:dyDescent="0.25">
      <c r="A339" s="20">
        <v>30</v>
      </c>
      <c r="B339" s="25">
        <v>2169355.9580000001</v>
      </c>
      <c r="C339" s="25"/>
      <c r="D339" s="56" t="s">
        <v>164</v>
      </c>
      <c r="E339" s="66">
        <v>45239</v>
      </c>
      <c r="F339" s="323" t="s">
        <v>18</v>
      </c>
      <c r="G339" s="66">
        <v>45203</v>
      </c>
      <c r="H339" s="35" t="s">
        <v>1140</v>
      </c>
      <c r="I339" s="21">
        <v>3099280</v>
      </c>
      <c r="J339" s="21"/>
      <c r="K339" s="22">
        <v>588863.19999999995</v>
      </c>
      <c r="L339" s="23"/>
      <c r="M339" s="22">
        <v>0</v>
      </c>
      <c r="N339" s="72">
        <v>2.5000000000000001E-2</v>
      </c>
      <c r="O339" s="22">
        <v>77482</v>
      </c>
      <c r="P339" s="21">
        <v>3610661.2</v>
      </c>
      <c r="S339" s="101" t="b">
        <f>OR(COUNTIF(Tabla2[[#This Row],[PROVEEDOR]],"*"&amp;'Palabra no opera'!$A$2&amp;"*"))</f>
        <v>0</v>
      </c>
      <c r="T339" s="113">
        <f>+$W$5-Tabla2[[#This Row],[FECHA DE FACTURACIÓN]]</f>
        <v>119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15" t="str">
        <f>+IF(AND(Tabla2[[#This Row],[venc]]="venc",Tabla2[[#This Row],[Columna1]]="por pagar"),"vencida","no")</f>
        <v>no</v>
      </c>
    </row>
    <row r="340" spans="1:23" ht="15.75" x14ac:dyDescent="0.25">
      <c r="A340" s="20">
        <v>30</v>
      </c>
      <c r="B340" s="25">
        <v>2169355.9580000001</v>
      </c>
      <c r="C340" s="25"/>
      <c r="D340" s="56" t="s">
        <v>164</v>
      </c>
      <c r="E340" s="66">
        <v>45239</v>
      </c>
      <c r="F340" s="323" t="s">
        <v>18</v>
      </c>
      <c r="G340" s="66">
        <v>45198</v>
      </c>
      <c r="H340" s="35" t="s">
        <v>1141</v>
      </c>
      <c r="I340" s="21">
        <v>2031499</v>
      </c>
      <c r="J340" s="21"/>
      <c r="K340" s="22">
        <v>385984.81</v>
      </c>
      <c r="L340" s="23"/>
      <c r="M340" s="22">
        <v>0</v>
      </c>
      <c r="N340" s="72">
        <v>2.5000000000000001E-2</v>
      </c>
      <c r="O340" s="22">
        <v>50787.475000000006</v>
      </c>
      <c r="P340" s="21">
        <v>2366696.335</v>
      </c>
      <c r="S340" s="101" t="b">
        <f>OR(COUNTIF(Tabla2[[#This Row],[PROVEEDOR]],"*"&amp;'Palabra no opera'!$A$2&amp;"*"))</f>
        <v>0</v>
      </c>
      <c r="T340" s="113">
        <f>+$W$5-Tabla2[[#This Row],[FECHA DE FACTURACIÓN]]</f>
        <v>124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15" t="str">
        <f>+IF(AND(Tabla2[[#This Row],[venc]]="venc",Tabla2[[#This Row],[Columna1]]="por pagar"),"vencida","no")</f>
        <v>no</v>
      </c>
    </row>
    <row r="341" spans="1:23" ht="15.75" x14ac:dyDescent="0.25">
      <c r="A341" s="20">
        <v>30</v>
      </c>
      <c r="B341" s="25">
        <v>2169355.9580000001</v>
      </c>
      <c r="C341" s="25"/>
      <c r="D341" s="56" t="s">
        <v>164</v>
      </c>
      <c r="E341" s="66">
        <v>45239</v>
      </c>
      <c r="F341" s="323" t="s">
        <v>18</v>
      </c>
      <c r="G341" s="66">
        <v>45190</v>
      </c>
      <c r="H341" s="35" t="s">
        <v>1116</v>
      </c>
      <c r="I341" s="21">
        <v>804018</v>
      </c>
      <c r="J341" s="21"/>
      <c r="K341" s="22">
        <v>152763.42000000001</v>
      </c>
      <c r="L341" s="23"/>
      <c r="M341" s="22">
        <v>0</v>
      </c>
      <c r="N341" s="72">
        <v>0</v>
      </c>
      <c r="O341" s="22">
        <v>0</v>
      </c>
      <c r="P341" s="21">
        <v>956781.42</v>
      </c>
      <c r="S341" s="101" t="b">
        <f>OR(COUNTIF(Tabla2[[#This Row],[PROVEEDOR]],"*"&amp;'Palabra no opera'!$A$2&amp;"*"))</f>
        <v>0</v>
      </c>
      <c r="T341" s="113">
        <f>+$W$5-Tabla2[[#This Row],[FECHA DE FACTURACIÓN]]</f>
        <v>132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15" t="str">
        <f>+IF(AND(Tabla2[[#This Row],[venc]]="venc",Tabla2[[#This Row],[Columna1]]="por pagar"),"vencida","no")</f>
        <v>no</v>
      </c>
    </row>
    <row r="342" spans="1:23" ht="15.75" x14ac:dyDescent="0.25">
      <c r="A342" s="20">
        <v>45</v>
      </c>
      <c r="B342" s="25">
        <v>13678360</v>
      </c>
      <c r="C342" s="25"/>
      <c r="D342" s="56" t="s">
        <v>179</v>
      </c>
      <c r="E342" s="66">
        <v>45239</v>
      </c>
      <c r="F342" s="323" t="s">
        <v>10</v>
      </c>
      <c r="G342" s="66">
        <v>45184</v>
      </c>
      <c r="H342" s="35" t="s">
        <v>1108</v>
      </c>
      <c r="I342" s="21">
        <v>2520000</v>
      </c>
      <c r="J342" s="21"/>
      <c r="K342" s="22">
        <v>478800</v>
      </c>
      <c r="L342" s="23"/>
      <c r="M342" s="22">
        <v>0</v>
      </c>
      <c r="N342" s="72">
        <v>2.5000000000000001E-2</v>
      </c>
      <c r="O342" s="22">
        <v>63000</v>
      </c>
      <c r="P342" s="21">
        <v>2935800</v>
      </c>
      <c r="S342" s="101" t="b">
        <f>OR(COUNTIF(Tabla2[[#This Row],[PROVEEDOR]],"*"&amp;'Palabra no opera'!$A$2&amp;"*"))</f>
        <v>0</v>
      </c>
      <c r="T342" s="113">
        <f>+$W$5-Tabla2[[#This Row],[FECHA DE FACTURACIÓN]]</f>
        <v>138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15" t="str">
        <f>+IF(AND(Tabla2[[#This Row],[venc]]="venc",Tabla2[[#This Row],[Columna1]]="por pagar"),"vencida","no")</f>
        <v>no</v>
      </c>
    </row>
    <row r="343" spans="1:23" ht="15.75" x14ac:dyDescent="0.25">
      <c r="A343" s="20">
        <v>30</v>
      </c>
      <c r="B343" s="25">
        <v>680000</v>
      </c>
      <c r="C343" s="25"/>
      <c r="D343" s="56" t="s">
        <v>159</v>
      </c>
      <c r="E343" s="66">
        <v>45239</v>
      </c>
      <c r="F343" s="323" t="s">
        <v>317</v>
      </c>
      <c r="G343" s="66">
        <v>45177</v>
      </c>
      <c r="H343" s="35">
        <v>550829</v>
      </c>
      <c r="I343" s="21">
        <v>130000</v>
      </c>
      <c r="J343" s="21"/>
      <c r="K343" s="22">
        <v>0</v>
      </c>
      <c r="L343" s="23"/>
      <c r="M343" s="22">
        <v>0</v>
      </c>
      <c r="N343" s="72">
        <v>0</v>
      </c>
      <c r="O343" s="22">
        <v>0</v>
      </c>
      <c r="P343" s="21">
        <v>130000</v>
      </c>
      <c r="S343" s="101" t="b">
        <f>OR(COUNTIF(Tabla2[[#This Row],[PROVEEDOR]],"*"&amp;'Palabra no opera'!$A$2&amp;"*"))</f>
        <v>0</v>
      </c>
      <c r="T343" s="113">
        <f>+$W$5-Tabla2[[#This Row],[FECHA DE FACTURACIÓN]]</f>
        <v>145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15" t="str">
        <f>+IF(AND(Tabla2[[#This Row],[venc]]="venc",Tabla2[[#This Row],[Columna1]]="por pagar"),"vencida","no")</f>
        <v>no</v>
      </c>
    </row>
    <row r="344" spans="1:23" ht="15.75" x14ac:dyDescent="0.25">
      <c r="A344" s="20">
        <v>30</v>
      </c>
      <c r="B344" s="25">
        <v>680000</v>
      </c>
      <c r="C344" s="25"/>
      <c r="D344" s="56" t="s">
        <v>159</v>
      </c>
      <c r="E344" s="66">
        <v>45239</v>
      </c>
      <c r="F344" s="323" t="s">
        <v>317</v>
      </c>
      <c r="G344" s="66">
        <v>45140</v>
      </c>
      <c r="H344" s="35">
        <v>328151</v>
      </c>
      <c r="I344" s="21">
        <v>780000</v>
      </c>
      <c r="J344" s="21"/>
      <c r="K344" s="22">
        <v>0</v>
      </c>
      <c r="L344" s="23"/>
      <c r="M344" s="22">
        <v>0</v>
      </c>
      <c r="N344" s="72">
        <v>0</v>
      </c>
      <c r="O344" s="22">
        <v>0</v>
      </c>
      <c r="P344" s="21">
        <v>780000</v>
      </c>
      <c r="S344" s="101" t="b">
        <f>OR(COUNTIF(Tabla2[[#This Row],[PROVEEDOR]],"*"&amp;'Palabra no opera'!$A$2&amp;"*"))</f>
        <v>0</v>
      </c>
      <c r="T344" s="113">
        <f>+$W$5-Tabla2[[#This Row],[FECHA DE FACTURACIÓN]]</f>
        <v>182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15" t="str">
        <f>+IF(AND(Tabla2[[#This Row],[venc]]="venc",Tabla2[[#This Row],[Columna1]]="por pagar"),"vencida","no")</f>
        <v>no</v>
      </c>
    </row>
    <row r="345" spans="1:23" ht="15.75" x14ac:dyDescent="0.25">
      <c r="A345" s="20">
        <v>30</v>
      </c>
      <c r="B345" s="25">
        <v>0</v>
      </c>
      <c r="C345" s="25"/>
      <c r="D345" s="56" t="s">
        <v>104</v>
      </c>
      <c r="E345" s="66">
        <v>45237</v>
      </c>
      <c r="F345" s="323" t="s">
        <v>299</v>
      </c>
      <c r="G345" s="66">
        <v>45237</v>
      </c>
      <c r="H345" s="35"/>
      <c r="I345" s="21">
        <v>1000000</v>
      </c>
      <c r="J345" s="21"/>
      <c r="K345" s="22">
        <v>0</v>
      </c>
      <c r="L345" s="23"/>
      <c r="M345" s="22">
        <v>0</v>
      </c>
      <c r="N345" s="72">
        <v>0</v>
      </c>
      <c r="O345" s="22">
        <v>0</v>
      </c>
      <c r="P345" s="21">
        <v>1000000</v>
      </c>
      <c r="S345" s="101" t="b">
        <f>OR(COUNTIF(Tabla2[[#This Row],[PROVEEDOR]],"*"&amp;'Palabra no opera'!$A$2&amp;"*"))</f>
        <v>0</v>
      </c>
      <c r="T345" s="113">
        <f>+$W$5-Tabla2[[#This Row],[FECHA DE FACTURACIÓN]]</f>
        <v>85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15" t="str">
        <f>+IF(AND(Tabla2[[#This Row],[venc]]="venc",Tabla2[[#This Row],[Columna1]]="por pagar"),"vencida","no")</f>
        <v>no</v>
      </c>
    </row>
    <row r="346" spans="1:23" ht="15.75" x14ac:dyDescent="0.25">
      <c r="A346" s="20">
        <v>30</v>
      </c>
      <c r="B346" s="25">
        <v>5972000</v>
      </c>
      <c r="C346" s="25"/>
      <c r="D346" s="56">
        <v>0</v>
      </c>
      <c r="E346" s="66">
        <v>45237</v>
      </c>
      <c r="F346" s="323" t="s">
        <v>512</v>
      </c>
      <c r="G346" s="66">
        <v>45237</v>
      </c>
      <c r="H346" s="35" t="s">
        <v>1291</v>
      </c>
      <c r="I346" s="21">
        <v>400000</v>
      </c>
      <c r="J346" s="21"/>
      <c r="K346" s="22">
        <v>0</v>
      </c>
      <c r="L346" s="23"/>
      <c r="M346" s="22">
        <v>0</v>
      </c>
      <c r="N346" s="72">
        <v>0</v>
      </c>
      <c r="O346" s="22">
        <v>0</v>
      </c>
      <c r="P346" s="21">
        <v>400000</v>
      </c>
      <c r="S346" s="101" t="b">
        <f>OR(COUNTIF(Tabla2[[#This Row],[PROVEEDOR]],"*"&amp;'Palabra no opera'!$A$2&amp;"*"))</f>
        <v>0</v>
      </c>
      <c r="T346" s="113">
        <f>+$W$5-Tabla2[[#This Row],[FECHA DE FACTURACIÓN]]</f>
        <v>85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15" t="str">
        <f>+IF(AND(Tabla2[[#This Row],[venc]]="venc",Tabla2[[#This Row],[Columna1]]="por pagar"),"vencida","no")</f>
        <v>no</v>
      </c>
    </row>
    <row r="347" spans="1:23" ht="15.75" x14ac:dyDescent="0.25">
      <c r="A347" s="20">
        <v>30</v>
      </c>
      <c r="B347" s="25">
        <v>0</v>
      </c>
      <c r="C347" s="25"/>
      <c r="D347" s="56" t="s">
        <v>1212</v>
      </c>
      <c r="E347" s="66">
        <v>45237</v>
      </c>
      <c r="F347" s="323" t="s">
        <v>1211</v>
      </c>
      <c r="G347" s="66">
        <v>45205</v>
      </c>
      <c r="H347" s="35" t="s">
        <v>1213</v>
      </c>
      <c r="I347" s="21">
        <v>757984</v>
      </c>
      <c r="J347" s="21"/>
      <c r="K347" s="22">
        <v>144016.95999999999</v>
      </c>
      <c r="L347" s="23"/>
      <c r="M347" s="22">
        <v>0</v>
      </c>
      <c r="N347" s="72">
        <v>0</v>
      </c>
      <c r="O347" s="22">
        <v>0</v>
      </c>
      <c r="P347" s="21">
        <v>902000.96</v>
      </c>
      <c r="S347" s="101" t="b">
        <f>OR(COUNTIF(Tabla2[[#This Row],[PROVEEDOR]],"*"&amp;'Palabra no opera'!$A$2&amp;"*"))</f>
        <v>0</v>
      </c>
      <c r="T347" s="113">
        <f>+$W$5-Tabla2[[#This Row],[FECHA DE FACTURACIÓN]]</f>
        <v>117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15" t="str">
        <f>+IF(AND(Tabla2[[#This Row],[venc]]="venc",Tabla2[[#This Row],[Columna1]]="por pagar"),"vencida","no")</f>
        <v>no</v>
      </c>
    </row>
    <row r="348" spans="1:23" ht="15.75" x14ac:dyDescent="0.25">
      <c r="A348" s="20">
        <v>30</v>
      </c>
      <c r="B348" s="25">
        <v>5972000</v>
      </c>
      <c r="C348" s="25"/>
      <c r="D348" s="56">
        <v>0</v>
      </c>
      <c r="E348" s="66">
        <v>45237</v>
      </c>
      <c r="F348" s="323" t="s">
        <v>512</v>
      </c>
      <c r="G348" s="66">
        <v>45198</v>
      </c>
      <c r="H348" s="35">
        <v>5729</v>
      </c>
      <c r="I348" s="21">
        <v>1740000</v>
      </c>
      <c r="J348" s="21"/>
      <c r="K348" s="22">
        <v>0</v>
      </c>
      <c r="L348" s="23"/>
      <c r="M348" s="22">
        <v>0</v>
      </c>
      <c r="N348" s="72">
        <v>0</v>
      </c>
      <c r="O348" s="22">
        <v>0</v>
      </c>
      <c r="P348" s="21">
        <v>1740000</v>
      </c>
      <c r="S348" s="101" t="b">
        <f>OR(COUNTIF(Tabla2[[#This Row],[PROVEEDOR]],"*"&amp;'Palabra no opera'!$A$2&amp;"*"))</f>
        <v>0</v>
      </c>
      <c r="T348" s="113">
        <f>+$W$5-Tabla2[[#This Row],[FECHA DE FACTURACIÓN]]</f>
        <v>124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15" t="str">
        <f>+IF(AND(Tabla2[[#This Row],[venc]]="venc",Tabla2[[#This Row],[Columna1]]="por pagar"),"vencida","no")</f>
        <v>no</v>
      </c>
    </row>
    <row r="349" spans="1:23" ht="15.75" x14ac:dyDescent="0.25">
      <c r="A349" s="20">
        <v>45</v>
      </c>
      <c r="B349" s="25">
        <v>3535656.6</v>
      </c>
      <c r="C349" s="25"/>
      <c r="D349" s="56" t="s">
        <v>390</v>
      </c>
      <c r="E349" s="66">
        <v>45237</v>
      </c>
      <c r="F349" s="323" t="s">
        <v>19</v>
      </c>
      <c r="G349" s="66">
        <v>45197</v>
      </c>
      <c r="H349" s="35" t="s">
        <v>1120</v>
      </c>
      <c r="I349" s="21">
        <v>6110400</v>
      </c>
      <c r="J349" s="21"/>
      <c r="K349" s="22">
        <v>1160976</v>
      </c>
      <c r="L349" s="23"/>
      <c r="M349" s="22">
        <v>0</v>
      </c>
      <c r="N349" s="72">
        <v>0</v>
      </c>
      <c r="O349" s="22">
        <v>0</v>
      </c>
      <c r="P349" s="21">
        <v>7271376</v>
      </c>
      <c r="S349" s="101" t="b">
        <f>OR(COUNTIF(Tabla2[[#This Row],[PROVEEDOR]],"*"&amp;'Palabra no opera'!$A$2&amp;"*"))</f>
        <v>0</v>
      </c>
      <c r="T349" s="113">
        <f>+$W$5-Tabla2[[#This Row],[FECHA DE FACTURACIÓN]]</f>
        <v>125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15" t="str">
        <f>+IF(AND(Tabla2[[#This Row],[venc]]="venc",Tabla2[[#This Row],[Columna1]]="por pagar"),"vencida","no")</f>
        <v>no</v>
      </c>
    </row>
    <row r="350" spans="1:23" ht="15.75" x14ac:dyDescent="0.25">
      <c r="A350" s="20">
        <v>30</v>
      </c>
      <c r="B350" s="25">
        <v>2713769.64</v>
      </c>
      <c r="C350" s="25"/>
      <c r="D350" s="56" t="s">
        <v>445</v>
      </c>
      <c r="E350" s="66">
        <v>45237</v>
      </c>
      <c r="F350" s="323" t="s">
        <v>11</v>
      </c>
      <c r="G350" s="66">
        <v>45197</v>
      </c>
      <c r="H350" s="35" t="s">
        <v>1134</v>
      </c>
      <c r="I350" s="21">
        <v>2329416</v>
      </c>
      <c r="J350" s="21"/>
      <c r="K350" s="22">
        <v>442589.04</v>
      </c>
      <c r="L350" s="23"/>
      <c r="M350" s="22">
        <v>0</v>
      </c>
      <c r="N350" s="72">
        <v>2.5000000000000001E-2</v>
      </c>
      <c r="O350" s="22">
        <v>58235.4</v>
      </c>
      <c r="P350" s="21">
        <v>2713769.64</v>
      </c>
      <c r="S350" s="101" t="b">
        <f>OR(COUNTIF(Tabla2[[#This Row],[PROVEEDOR]],"*"&amp;'Palabra no opera'!$A$2&amp;"*"))</f>
        <v>0</v>
      </c>
      <c r="T350" s="113">
        <f>+$W$5-Tabla2[[#This Row],[FECHA DE FACTURACIÓN]]</f>
        <v>125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15" t="str">
        <f>+IF(AND(Tabla2[[#This Row],[venc]]="venc",Tabla2[[#This Row],[Columna1]]="por pagar"),"vencida","no")</f>
        <v>no</v>
      </c>
    </row>
    <row r="351" spans="1:23" ht="15.75" x14ac:dyDescent="0.25">
      <c r="A351" s="20">
        <v>30</v>
      </c>
      <c r="B351" s="25">
        <v>5972000</v>
      </c>
      <c r="C351" s="25"/>
      <c r="D351" s="56">
        <v>0</v>
      </c>
      <c r="E351" s="66">
        <v>45237</v>
      </c>
      <c r="F351" s="323" t="s">
        <v>512</v>
      </c>
      <c r="G351" s="66">
        <v>45190</v>
      </c>
      <c r="H351" s="35">
        <v>5470</v>
      </c>
      <c r="I351" s="21">
        <v>375000</v>
      </c>
      <c r="J351" s="21"/>
      <c r="K351" s="22">
        <v>0</v>
      </c>
      <c r="L351" s="23"/>
      <c r="M351" s="22">
        <v>0</v>
      </c>
      <c r="N351" s="72">
        <v>0</v>
      </c>
      <c r="O351" s="22">
        <v>0</v>
      </c>
      <c r="P351" s="21">
        <v>375000</v>
      </c>
      <c r="S351" s="101" t="b">
        <f>OR(COUNTIF(Tabla2[[#This Row],[PROVEEDOR]],"*"&amp;'Palabra no opera'!$A$2&amp;"*"))</f>
        <v>0</v>
      </c>
      <c r="T351" s="113">
        <f>+$W$5-Tabla2[[#This Row],[FECHA DE FACTURACIÓN]]</f>
        <v>132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15" t="str">
        <f>+IF(AND(Tabla2[[#This Row],[venc]]="venc",Tabla2[[#This Row],[Columna1]]="por pagar"),"vencida","no")</f>
        <v>no</v>
      </c>
    </row>
    <row r="352" spans="1:23" ht="15.75" x14ac:dyDescent="0.25">
      <c r="A352" s="20">
        <v>30</v>
      </c>
      <c r="B352" s="25">
        <v>2713769.64</v>
      </c>
      <c r="C352" s="25"/>
      <c r="D352" s="56" t="s">
        <v>445</v>
      </c>
      <c r="E352" s="66">
        <v>45237</v>
      </c>
      <c r="F352" s="323" t="s">
        <v>11</v>
      </c>
      <c r="G352" s="66">
        <v>45188</v>
      </c>
      <c r="H352" s="35" t="s">
        <v>1111</v>
      </c>
      <c r="I352" s="21">
        <v>2631937</v>
      </c>
      <c r="J352" s="21"/>
      <c r="K352" s="22">
        <v>500068.03</v>
      </c>
      <c r="L352" s="23"/>
      <c r="M352" s="22">
        <v>0</v>
      </c>
      <c r="N352" s="72">
        <v>2.5000000000000001E-2</v>
      </c>
      <c r="O352" s="22">
        <v>65798.425000000003</v>
      </c>
      <c r="P352" s="21">
        <v>3066206.6050000004</v>
      </c>
      <c r="S352" s="101" t="b">
        <f>OR(COUNTIF(Tabla2[[#This Row],[PROVEEDOR]],"*"&amp;'Palabra no opera'!$A$2&amp;"*"))</f>
        <v>0</v>
      </c>
      <c r="T352" s="113">
        <f>+$W$5-Tabla2[[#This Row],[FECHA DE FACTURACIÓN]]</f>
        <v>134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15" t="str">
        <f>+IF(AND(Tabla2[[#This Row],[venc]]="venc",Tabla2[[#This Row],[Columna1]]="por pagar"),"vencida","no")</f>
        <v>no</v>
      </c>
    </row>
    <row r="353" spans="1:23" ht="15.75" x14ac:dyDescent="0.25">
      <c r="A353" s="20">
        <v>30</v>
      </c>
      <c r="B353" s="25">
        <v>1500000</v>
      </c>
      <c r="C353" s="25"/>
      <c r="D353" s="56" t="s">
        <v>104</v>
      </c>
      <c r="E353" s="66">
        <v>45237</v>
      </c>
      <c r="F353" s="323" t="s">
        <v>273</v>
      </c>
      <c r="G353" s="66">
        <v>45187</v>
      </c>
      <c r="H353" s="35" t="s">
        <v>1146</v>
      </c>
      <c r="I353" s="21">
        <v>1242500</v>
      </c>
      <c r="J353" s="21"/>
      <c r="K353" s="22">
        <v>0</v>
      </c>
      <c r="L353" s="23"/>
      <c r="M353" s="22">
        <v>0</v>
      </c>
      <c r="N353" s="72">
        <v>0</v>
      </c>
      <c r="O353" s="22">
        <v>0</v>
      </c>
      <c r="P353" s="21">
        <v>1242500</v>
      </c>
      <c r="S353" s="101" t="b">
        <f>OR(COUNTIF(Tabla2[[#This Row],[PROVEEDOR]],"*"&amp;'Palabra no opera'!$A$2&amp;"*"))</f>
        <v>0</v>
      </c>
      <c r="T353" s="113">
        <f>+$W$5-Tabla2[[#This Row],[FECHA DE FACTURACIÓN]]</f>
        <v>135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15" t="str">
        <f>+IF(AND(Tabla2[[#This Row],[venc]]="venc",Tabla2[[#This Row],[Columna1]]="por pagar"),"vencida","no")</f>
        <v>no</v>
      </c>
    </row>
    <row r="354" spans="1:23" ht="15.75" x14ac:dyDescent="0.25">
      <c r="A354" s="20">
        <v>30</v>
      </c>
      <c r="B354" s="25">
        <v>0</v>
      </c>
      <c r="C354" s="25"/>
      <c r="D354" s="56">
        <v>0</v>
      </c>
      <c r="E354" s="66">
        <v>45237</v>
      </c>
      <c r="F354" s="323" t="s">
        <v>515</v>
      </c>
      <c r="G354" s="66">
        <v>45184</v>
      </c>
      <c r="H354" s="35" t="s">
        <v>1148</v>
      </c>
      <c r="I354" s="21">
        <v>1958700</v>
      </c>
      <c r="J354" s="21">
        <v>0</v>
      </c>
      <c r="K354" s="22">
        <v>0</v>
      </c>
      <c r="L354" s="23">
        <v>0.1</v>
      </c>
      <c r="M354" s="22">
        <v>195870</v>
      </c>
      <c r="N354" s="72">
        <v>0</v>
      </c>
      <c r="O354" s="22">
        <v>0</v>
      </c>
      <c r="P354" s="21">
        <v>1762830</v>
      </c>
      <c r="S354" s="101" t="b">
        <f>OR(COUNTIF(Tabla2[[#This Row],[PROVEEDOR]],"*"&amp;'Palabra no opera'!$A$2&amp;"*"))</f>
        <v>0</v>
      </c>
      <c r="T354" s="113">
        <f>+$W$5-Tabla2[[#This Row],[FECHA DE FACTURACIÓN]]</f>
        <v>138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15" t="str">
        <f>+IF(AND(Tabla2[[#This Row],[venc]]="venc",Tabla2[[#This Row],[Columna1]]="por pagar"),"vencida","no")</f>
        <v>no</v>
      </c>
    </row>
    <row r="355" spans="1:23" ht="15.75" x14ac:dyDescent="0.25">
      <c r="A355" s="20">
        <v>45</v>
      </c>
      <c r="B355" s="25">
        <v>3535656.6</v>
      </c>
      <c r="C355" s="25"/>
      <c r="D355" s="56" t="s">
        <v>390</v>
      </c>
      <c r="E355" s="66">
        <v>45237</v>
      </c>
      <c r="F355" s="323" t="s">
        <v>19</v>
      </c>
      <c r="G355" s="66">
        <v>45177</v>
      </c>
      <c r="H355" s="35" t="s">
        <v>1102</v>
      </c>
      <c r="I355" s="21">
        <v>723695</v>
      </c>
      <c r="J355" s="21"/>
      <c r="K355" s="22">
        <v>137502.04999999999</v>
      </c>
      <c r="L355" s="23"/>
      <c r="M355" s="22">
        <v>0</v>
      </c>
      <c r="N355" s="72">
        <v>0</v>
      </c>
      <c r="O355" s="22">
        <v>0</v>
      </c>
      <c r="P355" s="21">
        <v>861197.05</v>
      </c>
      <c r="S355" s="101" t="b">
        <f>OR(COUNTIF(Tabla2[[#This Row],[PROVEEDOR]],"*"&amp;'Palabra no opera'!$A$2&amp;"*"))</f>
        <v>0</v>
      </c>
      <c r="T355" s="113">
        <f>+$W$5-Tabla2[[#This Row],[FECHA DE FACTURACIÓN]]</f>
        <v>145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15" t="str">
        <f>+IF(AND(Tabla2[[#This Row],[venc]]="venc",Tabla2[[#This Row],[Columna1]]="por pagar"),"vencida","no")</f>
        <v>no</v>
      </c>
    </row>
    <row r="356" spans="1:23" ht="15.75" x14ac:dyDescent="0.25">
      <c r="A356" s="20">
        <v>30</v>
      </c>
      <c r="B356" s="25">
        <v>5972000</v>
      </c>
      <c r="C356" s="25"/>
      <c r="D356" s="56">
        <v>0</v>
      </c>
      <c r="E356" s="66">
        <v>45237</v>
      </c>
      <c r="F356" s="323" t="s">
        <v>512</v>
      </c>
      <c r="G356" s="66">
        <v>45170</v>
      </c>
      <c r="H356" s="35">
        <v>4847</v>
      </c>
      <c r="I356" s="21">
        <v>450000</v>
      </c>
      <c r="J356" s="21"/>
      <c r="K356" s="22">
        <v>0</v>
      </c>
      <c r="L356" s="23"/>
      <c r="M356" s="22">
        <v>0</v>
      </c>
      <c r="N356" s="72">
        <v>0</v>
      </c>
      <c r="O356" s="22">
        <v>0</v>
      </c>
      <c r="P356" s="21">
        <v>450000</v>
      </c>
      <c r="S356" s="101" t="b">
        <f>OR(COUNTIF(Tabla2[[#This Row],[PROVEEDOR]],"*"&amp;'Palabra no opera'!$A$2&amp;"*"))</f>
        <v>0</v>
      </c>
      <c r="T356" s="113">
        <f>+$W$5-Tabla2[[#This Row],[FECHA DE FACTURACIÓN]]</f>
        <v>152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15" t="str">
        <f>+IF(AND(Tabla2[[#This Row],[venc]]="venc",Tabla2[[#This Row],[Columna1]]="por pagar"),"vencida","no")</f>
        <v>no</v>
      </c>
    </row>
    <row r="357" spans="1:23" ht="15.75" x14ac:dyDescent="0.25">
      <c r="A357" s="20">
        <v>30</v>
      </c>
      <c r="B357" s="25">
        <v>0</v>
      </c>
      <c r="C357" s="25"/>
      <c r="D357" s="56" t="s">
        <v>104</v>
      </c>
      <c r="E357" s="66">
        <v>45234</v>
      </c>
      <c r="F357" s="323" t="s">
        <v>291</v>
      </c>
      <c r="G357" s="66">
        <v>45234</v>
      </c>
      <c r="H357" s="35" t="s">
        <v>1262</v>
      </c>
      <c r="I357" s="21">
        <v>520000</v>
      </c>
      <c r="J357" s="21"/>
      <c r="K357" s="22">
        <v>0</v>
      </c>
      <c r="L357" s="23"/>
      <c r="M357" s="22">
        <v>0</v>
      </c>
      <c r="N357" s="72">
        <v>0</v>
      </c>
      <c r="O357" s="22">
        <v>0</v>
      </c>
      <c r="P357" s="21">
        <v>520000</v>
      </c>
      <c r="S357" s="101" t="b">
        <f>OR(COUNTIF(Tabla2[[#This Row],[PROVEEDOR]],"*"&amp;'Palabra no opera'!$A$2&amp;"*"))</f>
        <v>0</v>
      </c>
      <c r="T357" s="113">
        <f>+$W$5-Tabla2[[#This Row],[FECHA DE FACTURACIÓN]]</f>
        <v>88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15" t="str">
        <f>+IF(AND(Tabla2[[#This Row],[venc]]="venc",Tabla2[[#This Row],[Columna1]]="por pagar"),"vencida","no")</f>
        <v>no</v>
      </c>
    </row>
    <row r="358" spans="1:23" ht="15.75" x14ac:dyDescent="0.25">
      <c r="A358" s="20">
        <v>30</v>
      </c>
      <c r="B358" s="25">
        <v>0</v>
      </c>
      <c r="C358" s="25"/>
      <c r="D358" s="56">
        <v>0</v>
      </c>
      <c r="E358" s="66">
        <v>45234</v>
      </c>
      <c r="F358" s="323" t="s">
        <v>420</v>
      </c>
      <c r="G358" s="66">
        <v>45231</v>
      </c>
      <c r="H358" s="35" t="s">
        <v>195</v>
      </c>
      <c r="I358" s="21">
        <v>411454</v>
      </c>
      <c r="J358" s="21"/>
      <c r="K358" s="22">
        <v>0</v>
      </c>
      <c r="L358" s="23"/>
      <c r="M358" s="22">
        <v>0</v>
      </c>
      <c r="N358" s="72">
        <v>0</v>
      </c>
      <c r="O358" s="22">
        <v>0</v>
      </c>
      <c r="P358" s="21">
        <v>411454</v>
      </c>
      <c r="S358" s="101" t="b">
        <f>OR(COUNTIF(Tabla2[[#This Row],[PROVEEDOR]],"*"&amp;'Palabra no opera'!$A$2&amp;"*"))</f>
        <v>1</v>
      </c>
      <c r="T358" s="113">
        <f>+$W$5-Tabla2[[#This Row],[FECHA DE FACTURACIÓN]]</f>
        <v>91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15" t="str">
        <f>+IF(AND(Tabla2[[#This Row],[venc]]="venc",Tabla2[[#This Row],[Columna1]]="por pagar"),"vencida","no")</f>
        <v>no</v>
      </c>
    </row>
    <row r="359" spans="1:23" ht="15.75" x14ac:dyDescent="0.25">
      <c r="A359" s="20">
        <v>30</v>
      </c>
      <c r="B359" s="25">
        <v>-2000</v>
      </c>
      <c r="C359" s="25"/>
      <c r="D359" s="56">
        <v>0</v>
      </c>
      <c r="E359" s="66">
        <v>45233</v>
      </c>
      <c r="F359" s="323" t="s">
        <v>881</v>
      </c>
      <c r="G359" s="66">
        <v>45233</v>
      </c>
      <c r="H359" s="35"/>
      <c r="I359" s="21">
        <v>389000</v>
      </c>
      <c r="J359" s="21"/>
      <c r="K359" s="22">
        <v>0</v>
      </c>
      <c r="L359" s="23"/>
      <c r="M359" s="22">
        <v>0</v>
      </c>
      <c r="N359" s="72">
        <v>0</v>
      </c>
      <c r="O359" s="22">
        <v>0</v>
      </c>
      <c r="P359" s="21">
        <v>389000</v>
      </c>
      <c r="S359" s="101" t="b">
        <f>OR(COUNTIF(Tabla2[[#This Row],[PROVEEDOR]],"*"&amp;'Palabra no opera'!$A$2&amp;"*"))</f>
        <v>0</v>
      </c>
      <c r="T359" s="113">
        <f>+$W$5-Tabla2[[#This Row],[FECHA DE FACTURACIÓN]]</f>
        <v>89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15" t="str">
        <f>+IF(AND(Tabla2[[#This Row],[venc]]="venc",Tabla2[[#This Row],[Columna1]]="por pagar"),"vencida","no")</f>
        <v>no</v>
      </c>
    </row>
    <row r="360" spans="1:23" ht="15.75" x14ac:dyDescent="0.25">
      <c r="A360" s="20">
        <v>30</v>
      </c>
      <c r="B360" s="25">
        <v>0</v>
      </c>
      <c r="C360" s="25"/>
      <c r="D360" s="56" t="s">
        <v>104</v>
      </c>
      <c r="E360" s="66">
        <v>45233</v>
      </c>
      <c r="F360" s="323" t="s">
        <v>521</v>
      </c>
      <c r="G360" s="66">
        <v>45232</v>
      </c>
      <c r="H360" s="35" t="s">
        <v>1334</v>
      </c>
      <c r="I360" s="21">
        <v>2700000</v>
      </c>
      <c r="J360" s="21"/>
      <c r="K360" s="22">
        <v>0</v>
      </c>
      <c r="L360" s="23"/>
      <c r="M360" s="22">
        <v>0</v>
      </c>
      <c r="N360" s="72">
        <v>0</v>
      </c>
      <c r="O360" s="22">
        <v>0</v>
      </c>
      <c r="P360" s="21">
        <v>2700000</v>
      </c>
      <c r="S360" s="101" t="b">
        <f>OR(COUNTIF(Tabla2[[#This Row],[PROVEEDOR]],"*"&amp;'Palabra no opera'!$A$2&amp;"*"))</f>
        <v>0</v>
      </c>
      <c r="T360" s="113">
        <f>+$W$5-Tabla2[[#This Row],[FECHA DE FACTURACIÓN]]</f>
        <v>90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15" t="str">
        <f>+IF(AND(Tabla2[[#This Row],[venc]]="venc",Tabla2[[#This Row],[Columna1]]="por pagar"),"vencida","no")</f>
        <v>no</v>
      </c>
    </row>
    <row r="361" spans="1:23" ht="15.75" x14ac:dyDescent="0.25">
      <c r="A361" s="20">
        <v>30</v>
      </c>
      <c r="B361" s="25">
        <v>0</v>
      </c>
      <c r="C361" s="25"/>
      <c r="D361" s="56" t="s">
        <v>104</v>
      </c>
      <c r="E361" s="66">
        <v>45232</v>
      </c>
      <c r="F361" s="323" t="s">
        <v>299</v>
      </c>
      <c r="G361" s="66">
        <v>45232</v>
      </c>
      <c r="H361" s="35"/>
      <c r="I361" s="21">
        <v>1000000</v>
      </c>
      <c r="J361" s="21"/>
      <c r="K361" s="22">
        <v>0</v>
      </c>
      <c r="L361" s="23"/>
      <c r="M361" s="22">
        <v>0</v>
      </c>
      <c r="N361" s="72">
        <v>0</v>
      </c>
      <c r="O361" s="22">
        <v>0</v>
      </c>
      <c r="P361" s="21">
        <v>1000000</v>
      </c>
      <c r="S361" s="101" t="b">
        <f>OR(COUNTIF(Tabla2[[#This Row],[PROVEEDOR]],"*"&amp;'Palabra no opera'!$A$2&amp;"*"))</f>
        <v>0</v>
      </c>
      <c r="T361" s="113">
        <f>+$W$5-Tabla2[[#This Row],[FECHA DE FACTURACIÓN]]</f>
        <v>90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15" t="str">
        <f>+IF(AND(Tabla2[[#This Row],[venc]]="venc",Tabla2[[#This Row],[Columna1]]="por pagar"),"vencida","no")</f>
        <v>no</v>
      </c>
    </row>
    <row r="362" spans="1:23" ht="15.75" x14ac:dyDescent="0.25">
      <c r="A362" s="20">
        <v>30</v>
      </c>
      <c r="B362" s="25">
        <v>0</v>
      </c>
      <c r="C362" s="25"/>
      <c r="D362" s="56" t="s">
        <v>104</v>
      </c>
      <c r="E362" s="66">
        <v>45232</v>
      </c>
      <c r="F362" s="323" t="s">
        <v>521</v>
      </c>
      <c r="G362" s="66">
        <v>45231</v>
      </c>
      <c r="H362" s="35" t="s">
        <v>1333</v>
      </c>
      <c r="I362" s="21">
        <v>5136000</v>
      </c>
      <c r="J362" s="21"/>
      <c r="K362" s="22">
        <v>0</v>
      </c>
      <c r="L362" s="23"/>
      <c r="M362" s="22">
        <v>0</v>
      </c>
      <c r="N362" s="72">
        <v>0</v>
      </c>
      <c r="O362" s="22">
        <v>0</v>
      </c>
      <c r="P362" s="21">
        <v>5136000</v>
      </c>
      <c r="S362" s="101" t="b">
        <f>OR(COUNTIF(Tabla2[[#This Row],[PROVEEDOR]],"*"&amp;'Palabra no opera'!$A$2&amp;"*"))</f>
        <v>0</v>
      </c>
      <c r="T362" s="113">
        <f>+$W$5-Tabla2[[#This Row],[FECHA DE FACTURACIÓN]]</f>
        <v>91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15" t="str">
        <f>+IF(AND(Tabla2[[#This Row],[venc]]="venc",Tabla2[[#This Row],[Columna1]]="por pagar"),"vencida","no")</f>
        <v>no</v>
      </c>
    </row>
    <row r="363" spans="1:23" ht="15.75" x14ac:dyDescent="0.25">
      <c r="A363" s="20">
        <v>30</v>
      </c>
      <c r="B363" s="25">
        <v>0</v>
      </c>
      <c r="C363" s="25"/>
      <c r="D363" s="56" t="s">
        <v>106</v>
      </c>
      <c r="E363" s="66">
        <v>45232</v>
      </c>
      <c r="F363" s="323" t="s">
        <v>423</v>
      </c>
      <c r="G363" s="66">
        <v>45231</v>
      </c>
      <c r="H363" s="35"/>
      <c r="I363" s="21">
        <v>620524</v>
      </c>
      <c r="J363" s="21"/>
      <c r="K363" s="22">
        <v>0</v>
      </c>
      <c r="L363" s="23"/>
      <c r="M363" s="22">
        <v>0</v>
      </c>
      <c r="N363" s="72">
        <v>0</v>
      </c>
      <c r="O363" s="22">
        <v>0</v>
      </c>
      <c r="P363" s="21">
        <v>620524</v>
      </c>
      <c r="S363" s="101" t="b">
        <f>OR(COUNTIF(Tabla2[[#This Row],[PROVEEDOR]],"*"&amp;'Palabra no opera'!$A$2&amp;"*"))</f>
        <v>1</v>
      </c>
      <c r="T363" s="113">
        <f>+$W$5-Tabla2[[#This Row],[FECHA DE FACTURACIÓN]]</f>
        <v>91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15" t="str">
        <f>+IF(AND(Tabla2[[#This Row],[venc]]="venc",Tabla2[[#This Row],[Columna1]]="por pagar"),"vencida","no")</f>
        <v>no</v>
      </c>
    </row>
    <row r="364" spans="1:23" ht="15.75" x14ac:dyDescent="0.25">
      <c r="A364" s="20">
        <v>30</v>
      </c>
      <c r="B364" s="25">
        <v>0</v>
      </c>
      <c r="C364" s="25"/>
      <c r="D364" s="56" t="s">
        <v>245</v>
      </c>
      <c r="E364" s="66">
        <v>45232</v>
      </c>
      <c r="F364" s="323" t="s">
        <v>221</v>
      </c>
      <c r="G364" s="66">
        <v>45196</v>
      </c>
      <c r="H364" s="35" t="s">
        <v>1135</v>
      </c>
      <c r="I364" s="21">
        <v>893952</v>
      </c>
      <c r="J364" s="21"/>
      <c r="K364" s="22">
        <v>169850.88</v>
      </c>
      <c r="L364" s="23"/>
      <c r="M364" s="22">
        <v>0</v>
      </c>
      <c r="N364" s="72">
        <v>0</v>
      </c>
      <c r="O364" s="22">
        <v>0</v>
      </c>
      <c r="P364" s="21">
        <v>1063802.8799999999</v>
      </c>
      <c r="S364" s="101" t="b">
        <f>OR(COUNTIF(Tabla2[[#This Row],[PROVEEDOR]],"*"&amp;'Palabra no opera'!$A$2&amp;"*"))</f>
        <v>0</v>
      </c>
      <c r="T364" s="113">
        <f>+$W$5-Tabla2[[#This Row],[FECHA DE FACTURACIÓN]]</f>
        <v>126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15" t="str">
        <f>+IF(AND(Tabla2[[#This Row],[venc]]="venc",Tabla2[[#This Row],[Columna1]]="por pagar"),"vencida","no")</f>
        <v>no</v>
      </c>
    </row>
    <row r="365" spans="1:23" ht="15.75" x14ac:dyDescent="0.25">
      <c r="A365" s="20">
        <v>30</v>
      </c>
      <c r="B365" s="25">
        <v>0</v>
      </c>
      <c r="C365" s="25"/>
      <c r="D365" s="56" t="s">
        <v>494</v>
      </c>
      <c r="E365" s="66">
        <v>45232</v>
      </c>
      <c r="F365" s="323" t="s">
        <v>24</v>
      </c>
      <c r="G365" s="66">
        <v>45194</v>
      </c>
      <c r="H365" s="35" t="s">
        <v>1101</v>
      </c>
      <c r="I365" s="21">
        <v>5600000</v>
      </c>
      <c r="J365" s="21"/>
      <c r="K365" s="22">
        <v>1064000</v>
      </c>
      <c r="L365" s="23"/>
      <c r="M365" s="22">
        <v>0</v>
      </c>
      <c r="N365" s="72">
        <v>2.5000000000000001E-2</v>
      </c>
      <c r="O365" s="22">
        <v>140000</v>
      </c>
      <c r="P365" s="21">
        <v>6524000</v>
      </c>
      <c r="S365" s="101" t="b">
        <f>OR(COUNTIF(Tabla2[[#This Row],[PROVEEDOR]],"*"&amp;'Palabra no opera'!$A$2&amp;"*"))</f>
        <v>0</v>
      </c>
      <c r="T365" s="113">
        <f>+$W$5-Tabla2[[#This Row],[FECHA DE FACTURACIÓN]]</f>
        <v>128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15" t="str">
        <f>+IF(AND(Tabla2[[#This Row],[venc]]="venc",Tabla2[[#This Row],[Columna1]]="por pagar"),"vencida","no")</f>
        <v>no</v>
      </c>
    </row>
    <row r="366" spans="1:23" ht="15.75" x14ac:dyDescent="0.25">
      <c r="A366" s="20">
        <v>30</v>
      </c>
      <c r="B366" s="25">
        <v>0</v>
      </c>
      <c r="C366" s="25"/>
      <c r="D366" s="56" t="s">
        <v>494</v>
      </c>
      <c r="E366" s="66">
        <v>45232</v>
      </c>
      <c r="F366" s="323" t="s">
        <v>24</v>
      </c>
      <c r="G366" s="66">
        <v>45187</v>
      </c>
      <c r="H366" s="35" t="s">
        <v>1143</v>
      </c>
      <c r="I366" s="21">
        <v>-354192</v>
      </c>
      <c r="J366" s="21"/>
      <c r="K366" s="22">
        <v>-67296.479999999996</v>
      </c>
      <c r="L366" s="23"/>
      <c r="M366" s="22">
        <v>0</v>
      </c>
      <c r="N366" s="72">
        <v>0</v>
      </c>
      <c r="O366" s="22">
        <v>0</v>
      </c>
      <c r="P366" s="21">
        <v>-421488.48</v>
      </c>
      <c r="S366" s="101" t="b">
        <f>OR(COUNTIF(Tabla2[[#This Row],[PROVEEDOR]],"*"&amp;'Palabra no opera'!$A$2&amp;"*"))</f>
        <v>0</v>
      </c>
      <c r="T366" s="113">
        <f>+$W$5-Tabla2[[#This Row],[FECHA DE FACTURACIÓN]]</f>
        <v>135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15" t="str">
        <f>+IF(AND(Tabla2[[#This Row],[venc]]="venc",Tabla2[[#This Row],[Columna1]]="por pagar"),"vencida","no")</f>
        <v>no</v>
      </c>
    </row>
    <row r="367" spans="1:23" ht="15.75" x14ac:dyDescent="0.25">
      <c r="A367" s="20">
        <v>30</v>
      </c>
      <c r="B367" s="25">
        <v>0</v>
      </c>
      <c r="C367" s="25"/>
      <c r="D367" s="56" t="s">
        <v>494</v>
      </c>
      <c r="E367" s="66">
        <v>45232</v>
      </c>
      <c r="F367" s="323" t="s">
        <v>24</v>
      </c>
      <c r="G367" s="66">
        <v>45185</v>
      </c>
      <c r="H367" s="35" t="s">
        <v>1100</v>
      </c>
      <c r="I367" s="21">
        <v>4376000</v>
      </c>
      <c r="J367" s="21"/>
      <c r="K367" s="22">
        <v>831440</v>
      </c>
      <c r="L367" s="23"/>
      <c r="M367" s="22">
        <v>0</v>
      </c>
      <c r="N367" s="72">
        <v>2.5000000000000001E-2</v>
      </c>
      <c r="O367" s="22">
        <v>109400</v>
      </c>
      <c r="P367" s="21">
        <v>5098040</v>
      </c>
      <c r="S367" s="101" t="b">
        <f>OR(COUNTIF(Tabla2[[#This Row],[PROVEEDOR]],"*"&amp;'Palabra no opera'!$A$2&amp;"*"))</f>
        <v>0</v>
      </c>
      <c r="T367" s="113">
        <f>+$W$5-Tabla2[[#This Row],[FECHA DE FACTURACIÓN]]</f>
        <v>137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15" t="str">
        <f>+IF(AND(Tabla2[[#This Row],[venc]]="venc",Tabla2[[#This Row],[Columna1]]="por pagar"),"vencida","no")</f>
        <v>no</v>
      </c>
    </row>
    <row r="368" spans="1:23" ht="15.75" x14ac:dyDescent="0.25">
      <c r="A368" s="20">
        <v>30</v>
      </c>
      <c r="B368" s="25">
        <v>0</v>
      </c>
      <c r="C368" s="25"/>
      <c r="D368" s="56" t="s">
        <v>245</v>
      </c>
      <c r="E368" s="66">
        <v>45232</v>
      </c>
      <c r="F368" s="323" t="s">
        <v>221</v>
      </c>
      <c r="G368" s="66">
        <v>45184</v>
      </c>
      <c r="H368" s="35" t="s">
        <v>1103</v>
      </c>
      <c r="I368" s="21">
        <v>174783</v>
      </c>
      <c r="J368" s="21"/>
      <c r="K368" s="22">
        <v>33208.769999999997</v>
      </c>
      <c r="L368" s="23"/>
      <c r="M368" s="22">
        <v>0</v>
      </c>
      <c r="N368" s="72">
        <v>0</v>
      </c>
      <c r="O368" s="22">
        <v>0</v>
      </c>
      <c r="P368" s="21">
        <v>207991.77</v>
      </c>
      <c r="S368" s="101" t="b">
        <f>OR(COUNTIF(Tabla2[[#This Row],[PROVEEDOR]],"*"&amp;'Palabra no opera'!$A$2&amp;"*"))</f>
        <v>0</v>
      </c>
      <c r="T368" s="113">
        <f>+$W$5-Tabla2[[#This Row],[FECHA DE FACTURACIÓN]]</f>
        <v>138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15" t="str">
        <f>+IF(AND(Tabla2[[#This Row],[venc]]="venc",Tabla2[[#This Row],[Columna1]]="por pagar"),"vencida","no")</f>
        <v>no</v>
      </c>
    </row>
    <row r="369" spans="1:23" ht="15.75" x14ac:dyDescent="0.25">
      <c r="A369" s="20">
        <v>30</v>
      </c>
      <c r="B369" s="25">
        <v>0</v>
      </c>
      <c r="C369" s="25"/>
      <c r="D369" s="56" t="s">
        <v>494</v>
      </c>
      <c r="E369" s="66">
        <v>45232</v>
      </c>
      <c r="F369" s="323" t="s">
        <v>24</v>
      </c>
      <c r="G369" s="66">
        <v>45174</v>
      </c>
      <c r="H369" s="35" t="s">
        <v>1101</v>
      </c>
      <c r="I369" s="21">
        <v>444528</v>
      </c>
      <c r="J369" s="21"/>
      <c r="K369" s="22">
        <v>84460.32</v>
      </c>
      <c r="L369" s="23"/>
      <c r="M369" s="22">
        <v>0</v>
      </c>
      <c r="N369" s="72">
        <v>0</v>
      </c>
      <c r="O369" s="22">
        <v>0</v>
      </c>
      <c r="P369" s="21">
        <v>528988.32000000007</v>
      </c>
      <c r="S369" s="101" t="b">
        <f>OR(COUNTIF(Tabla2[[#This Row],[PROVEEDOR]],"*"&amp;'Palabra no opera'!$A$2&amp;"*"))</f>
        <v>0</v>
      </c>
      <c r="T369" s="113">
        <f>+$W$5-Tabla2[[#This Row],[FECHA DE FACTURACIÓN]]</f>
        <v>148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15" t="str">
        <f>+IF(AND(Tabla2[[#This Row],[venc]]="venc",Tabla2[[#This Row],[Columna1]]="por pagar"),"vencida","no")</f>
        <v>no</v>
      </c>
    </row>
    <row r="370" spans="1:23" ht="15.75" x14ac:dyDescent="0.25">
      <c r="A370" s="20">
        <v>30</v>
      </c>
      <c r="B370" s="25">
        <v>609280</v>
      </c>
      <c r="C370" s="25"/>
      <c r="D370" s="56" t="s">
        <v>232</v>
      </c>
      <c r="E370" s="66">
        <v>45232</v>
      </c>
      <c r="F370" s="323" t="s">
        <v>33</v>
      </c>
      <c r="G370" s="66">
        <v>45167</v>
      </c>
      <c r="H370" s="35" t="s">
        <v>1070</v>
      </c>
      <c r="I370" s="21">
        <v>6926500</v>
      </c>
      <c r="J370" s="21"/>
      <c r="K370" s="22">
        <v>1316035</v>
      </c>
      <c r="L370" s="23"/>
      <c r="M370" s="22">
        <v>0</v>
      </c>
      <c r="N370" s="72">
        <v>2.5000000000000001E-2</v>
      </c>
      <c r="O370" s="22">
        <v>173162.5</v>
      </c>
      <c r="P370" s="21">
        <v>8069372.5</v>
      </c>
      <c r="S370" s="101" t="b">
        <f>OR(COUNTIF(Tabla2[[#This Row],[PROVEEDOR]],"*"&amp;'Palabra no opera'!$A$2&amp;"*"))</f>
        <v>0</v>
      </c>
      <c r="T370" s="113">
        <f>+$W$5-Tabla2[[#This Row],[FECHA DE FACTURACIÓN]]</f>
        <v>155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15" t="str">
        <f>+IF(AND(Tabla2[[#This Row],[venc]]="venc",Tabla2[[#This Row],[Columna1]]="por pagar"),"vencida","no")</f>
        <v>no</v>
      </c>
    </row>
    <row r="371" spans="1:23" ht="15.75" x14ac:dyDescent="0.25">
      <c r="A371" s="20">
        <v>30</v>
      </c>
      <c r="B371" s="25">
        <v>0</v>
      </c>
      <c r="C371" s="25"/>
      <c r="D371" s="56" t="s">
        <v>494</v>
      </c>
      <c r="E371" s="66">
        <v>45232</v>
      </c>
      <c r="F371" s="323" t="s">
        <v>24</v>
      </c>
      <c r="G371" s="66">
        <v>45162</v>
      </c>
      <c r="H371" s="35" t="s">
        <v>1048</v>
      </c>
      <c r="I371" s="21">
        <v>798720</v>
      </c>
      <c r="J371" s="21"/>
      <c r="K371" s="22">
        <v>151756.79999999999</v>
      </c>
      <c r="L371" s="23"/>
      <c r="M371" s="22">
        <v>0</v>
      </c>
      <c r="N371" s="72">
        <v>0</v>
      </c>
      <c r="O371" s="22">
        <v>0</v>
      </c>
      <c r="P371" s="21">
        <v>950476.80000000005</v>
      </c>
      <c r="S371" s="101" t="b">
        <f>OR(COUNTIF(Tabla2[[#This Row],[PROVEEDOR]],"*"&amp;'Palabra no opera'!$A$2&amp;"*"))</f>
        <v>0</v>
      </c>
      <c r="T371" s="113">
        <f>+$W$5-Tabla2[[#This Row],[FECHA DE FACTURACIÓN]]</f>
        <v>160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15" t="str">
        <f>+IF(AND(Tabla2[[#This Row],[venc]]="venc",Tabla2[[#This Row],[Columna1]]="por pagar"),"vencida","no")</f>
        <v>no</v>
      </c>
    </row>
    <row r="372" spans="1:23" ht="15.75" x14ac:dyDescent="0.25">
      <c r="A372" s="20">
        <v>90</v>
      </c>
      <c r="B372" s="25">
        <v>12030261.305</v>
      </c>
      <c r="C372" s="25"/>
      <c r="D372" s="56" t="s">
        <v>161</v>
      </c>
      <c r="E372" s="66">
        <v>45232</v>
      </c>
      <c r="F372" s="323" t="s">
        <v>12</v>
      </c>
      <c r="G372" s="66">
        <v>45155</v>
      </c>
      <c r="H372" s="35" t="s">
        <v>1049</v>
      </c>
      <c r="I372" s="21">
        <v>5567234</v>
      </c>
      <c r="J372" s="21"/>
      <c r="K372" s="22">
        <v>1057774.46</v>
      </c>
      <c r="L372" s="23"/>
      <c r="M372" s="22">
        <v>0</v>
      </c>
      <c r="N372" s="72">
        <v>2.5000000000000001E-2</v>
      </c>
      <c r="O372" s="22">
        <v>139180.85</v>
      </c>
      <c r="P372" s="21">
        <v>6485827.6100000003</v>
      </c>
      <c r="S372" s="101" t="b">
        <f>OR(COUNTIF(Tabla2[[#This Row],[PROVEEDOR]],"*"&amp;'Palabra no opera'!$A$2&amp;"*"))</f>
        <v>0</v>
      </c>
      <c r="T372" s="113">
        <f>+$W$5-Tabla2[[#This Row],[FECHA DE FACTURACIÓN]]</f>
        <v>167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15" t="str">
        <f>+IF(AND(Tabla2[[#This Row],[venc]]="venc",Tabla2[[#This Row],[Columna1]]="por pagar"),"vencida","no")</f>
        <v>no</v>
      </c>
    </row>
    <row r="373" spans="1:23" ht="15.75" x14ac:dyDescent="0.25">
      <c r="A373" s="20">
        <v>90</v>
      </c>
      <c r="B373" s="25">
        <v>12030261.305</v>
      </c>
      <c r="C373" s="25"/>
      <c r="D373" s="56" t="s">
        <v>161</v>
      </c>
      <c r="E373" s="66">
        <v>45232</v>
      </c>
      <c r="F373" s="323" t="s">
        <v>12</v>
      </c>
      <c r="G373" s="66">
        <v>45152</v>
      </c>
      <c r="H373" s="35" t="s">
        <v>1021</v>
      </c>
      <c r="I373" s="21">
        <v>-436975</v>
      </c>
      <c r="J373" s="21"/>
      <c r="K373" s="22">
        <v>-83025.25</v>
      </c>
      <c r="L373" s="23"/>
      <c r="M373" s="22">
        <v>0</v>
      </c>
      <c r="N373" s="72">
        <v>0</v>
      </c>
      <c r="O373" s="22">
        <v>0</v>
      </c>
      <c r="P373" s="21">
        <v>-520000.25</v>
      </c>
      <c r="S373" s="101" t="b">
        <f>OR(COUNTIF(Tabla2[[#This Row],[PROVEEDOR]],"*"&amp;'Palabra no opera'!$A$2&amp;"*"))</f>
        <v>0</v>
      </c>
      <c r="T373" s="113">
        <f>+$W$5-Tabla2[[#This Row],[FECHA DE FACTURACIÓN]]</f>
        <v>170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15" t="str">
        <f>+IF(AND(Tabla2[[#This Row],[venc]]="venc",Tabla2[[#This Row],[Columna1]]="por pagar"),"vencida","no")</f>
        <v>no</v>
      </c>
    </row>
    <row r="374" spans="1:23" ht="15.75" x14ac:dyDescent="0.25">
      <c r="A374" s="20">
        <v>30</v>
      </c>
      <c r="B374" s="25">
        <v>609280</v>
      </c>
      <c r="C374" s="25"/>
      <c r="D374" s="56" t="s">
        <v>232</v>
      </c>
      <c r="E374" s="66">
        <v>45232</v>
      </c>
      <c r="F374" s="323" t="s">
        <v>33</v>
      </c>
      <c r="G374" s="66">
        <v>45146</v>
      </c>
      <c r="H374" s="35" t="s">
        <v>1019</v>
      </c>
      <c r="I374" s="21">
        <v>4565000</v>
      </c>
      <c r="J374" s="21"/>
      <c r="K374" s="22">
        <v>867350</v>
      </c>
      <c r="L374" s="23"/>
      <c r="M374" s="22">
        <v>0</v>
      </c>
      <c r="N374" s="72">
        <v>2.5000000000000001E-2</v>
      </c>
      <c r="O374" s="22">
        <v>114125</v>
      </c>
      <c r="P374" s="21">
        <v>5318225</v>
      </c>
      <c r="S374" s="101" t="b">
        <f>OR(COUNTIF(Tabla2[[#This Row],[PROVEEDOR]],"*"&amp;'Palabra no opera'!$A$2&amp;"*"))</f>
        <v>0</v>
      </c>
      <c r="T374" s="113">
        <f>+$W$5-Tabla2[[#This Row],[FECHA DE FACTURACIÓN]]</f>
        <v>176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15" t="str">
        <f>+IF(AND(Tabla2[[#This Row],[venc]]="venc",Tabla2[[#This Row],[Columna1]]="por pagar"),"vencida","no")</f>
        <v>no</v>
      </c>
    </row>
    <row r="375" spans="1:23" ht="15.75" x14ac:dyDescent="0.25">
      <c r="A375" s="20">
        <v>30</v>
      </c>
      <c r="B375" s="25">
        <v>0</v>
      </c>
      <c r="C375" s="25"/>
      <c r="D375" s="56" t="s">
        <v>494</v>
      </c>
      <c r="E375" s="66">
        <v>45232</v>
      </c>
      <c r="F375" s="323" t="s">
        <v>24</v>
      </c>
      <c r="G375" s="66">
        <v>44998</v>
      </c>
      <c r="H375" s="35" t="s">
        <v>532</v>
      </c>
      <c r="I375" s="21">
        <v>-1680672</v>
      </c>
      <c r="J375" s="21"/>
      <c r="K375" s="22">
        <v>-319327.68</v>
      </c>
      <c r="L375" s="23"/>
      <c r="M375" s="22">
        <v>0</v>
      </c>
      <c r="N375" s="72">
        <v>0</v>
      </c>
      <c r="O375" s="22">
        <v>0</v>
      </c>
      <c r="P375" s="21">
        <v>-1999999.68</v>
      </c>
      <c r="S375" s="101" t="b">
        <f>OR(COUNTIF(Tabla2[[#This Row],[PROVEEDOR]],"*"&amp;'Palabra no opera'!$A$2&amp;"*"))</f>
        <v>0</v>
      </c>
      <c r="T375" s="113">
        <f>+$W$5-Tabla2[[#This Row],[FECHA DE FACTURACIÓN]]</f>
        <v>324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15" t="str">
        <f>+IF(AND(Tabla2[[#This Row],[venc]]="venc",Tabla2[[#This Row],[Columna1]]="por pagar"),"vencida","no")</f>
        <v>no</v>
      </c>
    </row>
    <row r="376" spans="1:23" ht="15.75" x14ac:dyDescent="0.25">
      <c r="A376" s="20">
        <v>30</v>
      </c>
      <c r="B376" s="25">
        <v>0</v>
      </c>
      <c r="C376" s="25"/>
      <c r="D376" s="56" t="s">
        <v>104</v>
      </c>
      <c r="E376" s="66">
        <v>45231</v>
      </c>
      <c r="F376" s="323" t="s">
        <v>279</v>
      </c>
      <c r="G376" s="66">
        <v>45231</v>
      </c>
      <c r="H376" s="35" t="s">
        <v>1260</v>
      </c>
      <c r="I376" s="21">
        <v>420000</v>
      </c>
      <c r="J376" s="21"/>
      <c r="K376" s="22">
        <v>0</v>
      </c>
      <c r="L376" s="23"/>
      <c r="M376" s="22">
        <v>0</v>
      </c>
      <c r="N376" s="72">
        <v>0</v>
      </c>
      <c r="O376" s="22">
        <v>0</v>
      </c>
      <c r="P376" s="21">
        <v>420000</v>
      </c>
      <c r="S376" s="101" t="b">
        <f>OR(COUNTIF(Tabla2[[#This Row],[PROVEEDOR]],"*"&amp;'Palabra no opera'!$A$2&amp;"*"))</f>
        <v>0</v>
      </c>
      <c r="T376" s="113">
        <f>+$W$5-Tabla2[[#This Row],[FECHA DE FACTURACIÓN]]</f>
        <v>91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15" t="str">
        <f>+IF(AND(Tabla2[[#This Row],[venc]]="venc",Tabla2[[#This Row],[Columna1]]="por pagar"),"vencida","no")</f>
        <v>no</v>
      </c>
    </row>
    <row r="377" spans="1:23" ht="15.75" x14ac:dyDescent="0.25">
      <c r="A377" s="20">
        <v>30</v>
      </c>
      <c r="B377" s="25">
        <v>0</v>
      </c>
      <c r="C377" s="25"/>
      <c r="D377" s="56" t="s">
        <v>104</v>
      </c>
      <c r="E377" s="66">
        <v>45231</v>
      </c>
      <c r="F377" s="323" t="s">
        <v>279</v>
      </c>
      <c r="G377" s="66">
        <v>45231</v>
      </c>
      <c r="H377" s="35" t="s">
        <v>1263</v>
      </c>
      <c r="I377" s="21">
        <v>120000</v>
      </c>
      <c r="J377" s="21"/>
      <c r="K377" s="22">
        <v>0</v>
      </c>
      <c r="L377" s="23"/>
      <c r="M377" s="22">
        <v>0</v>
      </c>
      <c r="N377" s="72">
        <v>0</v>
      </c>
      <c r="O377" s="22">
        <v>0</v>
      </c>
      <c r="P377" s="21">
        <v>120000</v>
      </c>
      <c r="S377" s="101" t="b">
        <f>OR(COUNTIF(Tabla2[[#This Row],[PROVEEDOR]],"*"&amp;'Palabra no opera'!$A$2&amp;"*"))</f>
        <v>0</v>
      </c>
      <c r="T377" s="113">
        <f>+$W$5-Tabla2[[#This Row],[FECHA DE FACTURACIÓN]]</f>
        <v>91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15" t="str">
        <f>+IF(AND(Tabla2[[#This Row],[venc]]="venc",Tabla2[[#This Row],[Columna1]]="por pagar"),"vencida","no")</f>
        <v>no</v>
      </c>
    </row>
    <row r="378" spans="1:23" ht="15.75" x14ac:dyDescent="0.25">
      <c r="A378" s="20">
        <v>30</v>
      </c>
      <c r="B378" s="25">
        <v>0</v>
      </c>
      <c r="C378" s="25"/>
      <c r="D378" s="56" t="s">
        <v>104</v>
      </c>
      <c r="E378" s="66">
        <v>45231</v>
      </c>
      <c r="F378" s="323" t="s">
        <v>291</v>
      </c>
      <c r="G378" s="66">
        <v>45231</v>
      </c>
      <c r="H378" s="35" t="s">
        <v>1264</v>
      </c>
      <c r="I378" s="21">
        <v>810000</v>
      </c>
      <c r="J378" s="21"/>
      <c r="K378" s="22">
        <v>0</v>
      </c>
      <c r="L378" s="23"/>
      <c r="M378" s="22">
        <v>0</v>
      </c>
      <c r="N378" s="72">
        <v>0</v>
      </c>
      <c r="O378" s="22">
        <v>0</v>
      </c>
      <c r="P378" s="21">
        <v>810000</v>
      </c>
      <c r="S378" s="101" t="b">
        <f>OR(COUNTIF(Tabla2[[#This Row],[PROVEEDOR]],"*"&amp;'Palabra no opera'!$A$2&amp;"*"))</f>
        <v>0</v>
      </c>
      <c r="T378" s="113">
        <f>+$W$5-Tabla2[[#This Row],[FECHA DE FACTURACIÓN]]</f>
        <v>91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15" t="str">
        <f>+IF(AND(Tabla2[[#This Row],[venc]]="venc",Tabla2[[#This Row],[Columna1]]="por pagar"),"vencida","no")</f>
        <v>no</v>
      </c>
    </row>
    <row r="379" spans="1:23" ht="15.75" x14ac:dyDescent="0.25">
      <c r="A379" s="20">
        <v>30</v>
      </c>
      <c r="B379" s="25">
        <v>0</v>
      </c>
      <c r="C379" s="25"/>
      <c r="D379" s="56" t="s">
        <v>104</v>
      </c>
      <c r="E379" s="66">
        <v>45231</v>
      </c>
      <c r="F379" s="323" t="s">
        <v>311</v>
      </c>
      <c r="G379" s="66">
        <v>45231</v>
      </c>
      <c r="H379" s="35" t="s">
        <v>1328</v>
      </c>
      <c r="I379" s="21">
        <v>1234000</v>
      </c>
      <c r="J379" s="21"/>
      <c r="K379" s="22">
        <v>0</v>
      </c>
      <c r="L379" s="23"/>
      <c r="M379" s="22">
        <v>0</v>
      </c>
      <c r="N379" s="72">
        <v>0</v>
      </c>
      <c r="O379" s="22">
        <v>0</v>
      </c>
      <c r="P379" s="21">
        <v>1234000</v>
      </c>
      <c r="S379" s="101" t="b">
        <f>OR(COUNTIF(Tabla2[[#This Row],[PROVEEDOR]],"*"&amp;'Palabra no opera'!$A$2&amp;"*"))</f>
        <v>0</v>
      </c>
      <c r="T379" s="113">
        <f>+$W$5-Tabla2[[#This Row],[FECHA DE FACTURACIÓN]]</f>
        <v>91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15" t="str">
        <f>+IF(AND(Tabla2[[#This Row],[venc]]="venc",Tabla2[[#This Row],[Columna1]]="por pagar"),"vencida","no")</f>
        <v>no</v>
      </c>
    </row>
    <row r="380" spans="1:23" ht="15.75" x14ac:dyDescent="0.25">
      <c r="A380" s="20">
        <v>30</v>
      </c>
      <c r="B380" s="25">
        <v>4282200</v>
      </c>
      <c r="C380" s="25"/>
      <c r="D380" s="56" t="s">
        <v>217</v>
      </c>
      <c r="E380" s="66">
        <v>45231</v>
      </c>
      <c r="F380" s="323" t="s">
        <v>312</v>
      </c>
      <c r="G380" s="66">
        <v>45231</v>
      </c>
      <c r="H380" s="35" t="s">
        <v>1326</v>
      </c>
      <c r="I380" s="21">
        <v>45000</v>
      </c>
      <c r="J380" s="21"/>
      <c r="K380" s="22">
        <v>0</v>
      </c>
      <c r="L380" s="23"/>
      <c r="M380" s="22">
        <v>0</v>
      </c>
      <c r="N380" s="72">
        <v>0</v>
      </c>
      <c r="O380" s="22">
        <v>0</v>
      </c>
      <c r="P380" s="21">
        <v>45000</v>
      </c>
      <c r="S380" s="101" t="b">
        <f>OR(COUNTIF(Tabla2[[#This Row],[PROVEEDOR]],"*"&amp;'Palabra no opera'!$A$2&amp;"*"))</f>
        <v>0</v>
      </c>
      <c r="T380" s="113">
        <f>+$W$5-Tabla2[[#This Row],[FECHA DE FACTURACIÓN]]</f>
        <v>91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15" t="str">
        <f>+IF(AND(Tabla2[[#This Row],[venc]]="venc",Tabla2[[#This Row],[Columna1]]="por pagar"),"vencida","no")</f>
        <v>no</v>
      </c>
    </row>
    <row r="381" spans="1:23" ht="15.75" x14ac:dyDescent="0.25">
      <c r="A381" s="20">
        <v>30</v>
      </c>
      <c r="B381" s="25">
        <v>4282200</v>
      </c>
      <c r="C381" s="25"/>
      <c r="D381" s="56" t="s">
        <v>217</v>
      </c>
      <c r="E381" s="66">
        <v>45231</v>
      </c>
      <c r="F381" s="323" t="s">
        <v>312</v>
      </c>
      <c r="G381" s="66">
        <v>45231</v>
      </c>
      <c r="H381" s="35" t="s">
        <v>1327</v>
      </c>
      <c r="I381" s="21">
        <v>39000</v>
      </c>
      <c r="J381" s="21"/>
      <c r="K381" s="22">
        <v>0</v>
      </c>
      <c r="L381" s="23"/>
      <c r="M381" s="22">
        <v>0</v>
      </c>
      <c r="N381" s="72">
        <v>0</v>
      </c>
      <c r="O381" s="22">
        <v>0</v>
      </c>
      <c r="P381" s="21">
        <v>39000</v>
      </c>
      <c r="S381" s="101" t="b">
        <f>OR(COUNTIF(Tabla2[[#This Row],[PROVEEDOR]],"*"&amp;'Palabra no opera'!$A$2&amp;"*"))</f>
        <v>0</v>
      </c>
      <c r="T381" s="113">
        <f>+$W$5-Tabla2[[#This Row],[FECHA DE FACTURACIÓN]]</f>
        <v>91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15" t="str">
        <f>+IF(AND(Tabla2[[#This Row],[venc]]="venc",Tabla2[[#This Row],[Columna1]]="por pagar"),"vencida","no")</f>
        <v>no</v>
      </c>
    </row>
    <row r="382" spans="1:23" ht="15.75" x14ac:dyDescent="0.25">
      <c r="A382" s="20">
        <v>30</v>
      </c>
      <c r="B382" s="25">
        <v>0</v>
      </c>
      <c r="C382" s="25"/>
      <c r="D382" s="56" t="s">
        <v>104</v>
      </c>
      <c r="E382" s="66">
        <v>45230</v>
      </c>
      <c r="F382" s="323" t="s">
        <v>279</v>
      </c>
      <c r="G382" s="66">
        <v>45230</v>
      </c>
      <c r="H382" s="35" t="s">
        <v>517</v>
      </c>
      <c r="I382" s="21">
        <v>1574050</v>
      </c>
      <c r="J382" s="21"/>
      <c r="K382" s="22">
        <v>0</v>
      </c>
      <c r="L382" s="23"/>
      <c r="M382" s="22">
        <v>0</v>
      </c>
      <c r="N382" s="72">
        <v>0</v>
      </c>
      <c r="O382" s="22">
        <v>0</v>
      </c>
      <c r="P382" s="21">
        <v>1574050</v>
      </c>
      <c r="S382" s="101" t="b">
        <f>OR(COUNTIF(Tabla2[[#This Row],[PROVEEDOR]],"*"&amp;'Palabra no opera'!$A$2&amp;"*"))</f>
        <v>0</v>
      </c>
      <c r="T382" s="113">
        <f>+$W$5-Tabla2[[#This Row],[FECHA DE FACTURACIÓN]]</f>
        <v>92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15" t="str">
        <f>+IF(AND(Tabla2[[#This Row],[venc]]="venc",Tabla2[[#This Row],[Columna1]]="por pagar"),"vencida","no")</f>
        <v>no</v>
      </c>
    </row>
    <row r="383" spans="1:23" ht="15.75" x14ac:dyDescent="0.25">
      <c r="A383" s="20">
        <v>30</v>
      </c>
      <c r="B383" s="25">
        <v>0</v>
      </c>
      <c r="C383" s="25"/>
      <c r="D383" s="56" t="s">
        <v>104</v>
      </c>
      <c r="E383" s="66">
        <v>45230</v>
      </c>
      <c r="F383" s="323" t="s">
        <v>279</v>
      </c>
      <c r="G383" s="66">
        <v>45230</v>
      </c>
      <c r="H383" s="35" t="s">
        <v>516</v>
      </c>
      <c r="I383" s="21">
        <v>267000</v>
      </c>
      <c r="J383" s="21"/>
      <c r="K383" s="22">
        <v>0</v>
      </c>
      <c r="L383" s="23"/>
      <c r="M383" s="22">
        <v>0</v>
      </c>
      <c r="N383" s="72">
        <v>0</v>
      </c>
      <c r="O383" s="22">
        <v>0</v>
      </c>
      <c r="P383" s="21">
        <v>267000</v>
      </c>
      <c r="S383" s="101" t="b">
        <f>OR(COUNTIF(Tabla2[[#This Row],[PROVEEDOR]],"*"&amp;'Palabra no opera'!$A$2&amp;"*"))</f>
        <v>0</v>
      </c>
      <c r="T383" s="113">
        <f>+$W$5-Tabla2[[#This Row],[FECHA DE FACTURACIÓN]]</f>
        <v>92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15" t="str">
        <f>+IF(AND(Tabla2[[#This Row],[venc]]="venc",Tabla2[[#This Row],[Columna1]]="por pagar"),"vencida","no")</f>
        <v>no</v>
      </c>
    </row>
    <row r="384" spans="1:23" ht="15.75" x14ac:dyDescent="0.25">
      <c r="A384" s="20">
        <v>30</v>
      </c>
      <c r="B384" s="25">
        <v>0</v>
      </c>
      <c r="C384" s="25"/>
      <c r="D384" s="56" t="s">
        <v>104</v>
      </c>
      <c r="E384" s="66">
        <v>45230</v>
      </c>
      <c r="F384" s="323" t="s">
        <v>279</v>
      </c>
      <c r="G384" s="66">
        <v>45230</v>
      </c>
      <c r="H384" s="35" t="s">
        <v>518</v>
      </c>
      <c r="I384" s="21">
        <v>144000</v>
      </c>
      <c r="J384" s="21"/>
      <c r="K384" s="22">
        <v>0</v>
      </c>
      <c r="L384" s="23"/>
      <c r="M384" s="22">
        <v>0</v>
      </c>
      <c r="N384" s="72">
        <v>0</v>
      </c>
      <c r="O384" s="22">
        <v>0</v>
      </c>
      <c r="P384" s="21">
        <v>144000</v>
      </c>
      <c r="S384" s="101" t="b">
        <f>OR(COUNTIF(Tabla2[[#This Row],[PROVEEDOR]],"*"&amp;'Palabra no opera'!$A$2&amp;"*"))</f>
        <v>0</v>
      </c>
      <c r="T384" s="113">
        <f>+$W$5-Tabla2[[#This Row],[FECHA DE FACTURACIÓN]]</f>
        <v>92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15" t="str">
        <f>+IF(AND(Tabla2[[#This Row],[venc]]="venc",Tabla2[[#This Row],[Columna1]]="por pagar"),"vencida","no")</f>
        <v>no</v>
      </c>
    </row>
    <row r="385" spans="1:23" ht="15.75" x14ac:dyDescent="0.25">
      <c r="A385" s="20">
        <v>30</v>
      </c>
      <c r="B385" s="25">
        <v>0</v>
      </c>
      <c r="C385" s="25"/>
      <c r="D385" s="56" t="s">
        <v>104</v>
      </c>
      <c r="E385" s="66">
        <v>45230</v>
      </c>
      <c r="F385" s="323" t="s">
        <v>279</v>
      </c>
      <c r="G385" s="66">
        <v>45230</v>
      </c>
      <c r="H385" s="35" t="s">
        <v>520</v>
      </c>
      <c r="I385" s="21">
        <v>160000</v>
      </c>
      <c r="J385" s="21"/>
      <c r="K385" s="22">
        <v>0</v>
      </c>
      <c r="L385" s="23"/>
      <c r="M385" s="22">
        <v>0</v>
      </c>
      <c r="N385" s="72">
        <v>0</v>
      </c>
      <c r="O385" s="22">
        <v>0</v>
      </c>
      <c r="P385" s="21">
        <v>160000</v>
      </c>
      <c r="S385" s="101" t="b">
        <f>OR(COUNTIF(Tabla2[[#This Row],[PROVEEDOR]],"*"&amp;'Palabra no opera'!$A$2&amp;"*"))</f>
        <v>0</v>
      </c>
      <c r="T385" s="113">
        <f>+$W$5-Tabla2[[#This Row],[FECHA DE FACTURACIÓN]]</f>
        <v>92</v>
      </c>
      <c r="U385" t="str">
        <f>+IF(Tabla2[[#This Row],[dias de credito]]&gt;=Tabla2[[#This Row],[PLAZO Días]],"venc", "No venc")</f>
        <v>venc</v>
      </c>
      <c r="V385" t="str">
        <f>+IF(Tabla2[[#This Row],[FECHA DE PAGO]]&gt;0,"pagada","por pagar")</f>
        <v>pagada</v>
      </c>
      <c r="W385" s="115" t="str">
        <f>+IF(AND(Tabla2[[#This Row],[venc]]="venc",Tabla2[[#This Row],[Columna1]]="por pagar"),"vencida","no")</f>
        <v>no</v>
      </c>
    </row>
    <row r="386" spans="1:23" ht="15.75" x14ac:dyDescent="0.25">
      <c r="A386" s="20">
        <v>30</v>
      </c>
      <c r="B386" s="25">
        <v>0</v>
      </c>
      <c r="C386" s="25"/>
      <c r="D386" s="56" t="s">
        <v>104</v>
      </c>
      <c r="E386" s="66">
        <v>45230</v>
      </c>
      <c r="F386" s="323" t="s">
        <v>279</v>
      </c>
      <c r="G386" s="66">
        <v>45230</v>
      </c>
      <c r="H386" s="35" t="s">
        <v>519</v>
      </c>
      <c r="I386" s="21">
        <v>157900</v>
      </c>
      <c r="J386" s="21"/>
      <c r="K386" s="22">
        <v>0</v>
      </c>
      <c r="L386" s="23"/>
      <c r="M386" s="22">
        <v>0</v>
      </c>
      <c r="N386" s="72">
        <v>0</v>
      </c>
      <c r="O386" s="22">
        <v>0</v>
      </c>
      <c r="P386" s="21">
        <v>157900</v>
      </c>
      <c r="S386" s="101" t="b">
        <f>OR(COUNTIF(Tabla2[[#This Row],[PROVEEDOR]],"*"&amp;'Palabra no opera'!$A$2&amp;"*"))</f>
        <v>0</v>
      </c>
      <c r="T386" s="113">
        <f>+$W$5-Tabla2[[#This Row],[FECHA DE FACTURACIÓN]]</f>
        <v>92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15" t="str">
        <f>+IF(AND(Tabla2[[#This Row],[venc]]="venc",Tabla2[[#This Row],[Columna1]]="por pagar"),"vencida","no")</f>
        <v>no</v>
      </c>
    </row>
    <row r="387" spans="1:23" ht="15.75" x14ac:dyDescent="0.25">
      <c r="A387" s="20">
        <v>30</v>
      </c>
      <c r="B387" s="25">
        <v>0</v>
      </c>
      <c r="C387" s="25"/>
      <c r="D387" s="56" t="s">
        <v>104</v>
      </c>
      <c r="E387" s="66">
        <v>45230</v>
      </c>
      <c r="F387" s="323" t="s">
        <v>279</v>
      </c>
      <c r="G387" s="66">
        <v>45230</v>
      </c>
      <c r="H387" s="35" t="s">
        <v>545</v>
      </c>
      <c r="I387" s="21">
        <v>0</v>
      </c>
      <c r="J387" s="21"/>
      <c r="K387" s="22">
        <v>0</v>
      </c>
      <c r="L387" s="23"/>
      <c r="M387" s="22">
        <v>0</v>
      </c>
      <c r="N387" s="72">
        <v>0</v>
      </c>
      <c r="O387" s="22">
        <v>0</v>
      </c>
      <c r="P387" s="21">
        <v>0</v>
      </c>
      <c r="S387" s="101" t="b">
        <f>OR(COUNTIF(Tabla2[[#This Row],[PROVEEDOR]],"*"&amp;'Palabra no opera'!$A$2&amp;"*"))</f>
        <v>0</v>
      </c>
      <c r="T387" s="113">
        <f>+$W$5-Tabla2[[#This Row],[FECHA DE FACTURACIÓN]]</f>
        <v>92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15" t="str">
        <f>+IF(AND(Tabla2[[#This Row],[venc]]="venc",Tabla2[[#This Row],[Columna1]]="por pagar"),"vencida","no")</f>
        <v>no</v>
      </c>
    </row>
    <row r="388" spans="1:23" ht="15.75" x14ac:dyDescent="0.25">
      <c r="A388" s="20">
        <v>30</v>
      </c>
      <c r="B388" s="25">
        <v>0</v>
      </c>
      <c r="C388" s="25"/>
      <c r="D388" s="56" t="s">
        <v>104</v>
      </c>
      <c r="E388" s="66">
        <v>45230</v>
      </c>
      <c r="F388" s="323" t="s">
        <v>53</v>
      </c>
      <c r="G388" s="66">
        <v>45230</v>
      </c>
      <c r="H388" s="35">
        <v>313196</v>
      </c>
      <c r="I388" s="21">
        <v>2262000</v>
      </c>
      <c r="J388" s="21"/>
      <c r="K388" s="22">
        <v>0</v>
      </c>
      <c r="L388" s="23"/>
      <c r="M388" s="22">
        <v>0</v>
      </c>
      <c r="N388" s="72">
        <v>0</v>
      </c>
      <c r="O388" s="22">
        <v>0</v>
      </c>
      <c r="P388" s="21">
        <v>2262000</v>
      </c>
      <c r="S388" s="101" t="b">
        <f>OR(COUNTIF(Tabla2[[#This Row],[PROVEEDOR]],"*"&amp;'Palabra no opera'!$A$2&amp;"*"))</f>
        <v>0</v>
      </c>
      <c r="T388" s="113">
        <f>+$W$5-Tabla2[[#This Row],[FECHA DE FACTURACIÓN]]</f>
        <v>92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15" t="str">
        <f>+IF(AND(Tabla2[[#This Row],[venc]]="venc",Tabla2[[#This Row],[Columna1]]="por pagar"),"vencida","no")</f>
        <v>no</v>
      </c>
    </row>
    <row r="389" spans="1:23" ht="15.75" x14ac:dyDescent="0.25">
      <c r="A389" s="20">
        <v>30</v>
      </c>
      <c r="B389" s="25">
        <v>0</v>
      </c>
      <c r="C389" s="25"/>
      <c r="D389" s="56" t="s">
        <v>1561</v>
      </c>
      <c r="E389" s="66">
        <v>45230</v>
      </c>
      <c r="F389" s="323" t="s">
        <v>203</v>
      </c>
      <c r="G389" s="66">
        <v>45230</v>
      </c>
      <c r="H389" s="35" t="s">
        <v>1239</v>
      </c>
      <c r="I389" s="21">
        <v>1790000</v>
      </c>
      <c r="J389" s="21"/>
      <c r="K389" s="22">
        <v>0</v>
      </c>
      <c r="L389" s="23"/>
      <c r="M389" s="22">
        <v>0</v>
      </c>
      <c r="N389" s="72">
        <v>0</v>
      </c>
      <c r="O389" s="22">
        <v>0</v>
      </c>
      <c r="P389" s="21">
        <v>1790000</v>
      </c>
      <c r="S389" s="101" t="b">
        <f>OR(COUNTIF(Tabla2[[#This Row],[PROVEEDOR]],"*"&amp;'Palabra no opera'!$A$2&amp;"*"))</f>
        <v>0</v>
      </c>
      <c r="T389" s="113">
        <f>+$W$5-Tabla2[[#This Row],[FECHA DE FACTURACIÓN]]</f>
        <v>92</v>
      </c>
      <c r="U389" t="str">
        <f>+IF(Tabla2[[#This Row],[dias de credito]]&gt;=Tabla2[[#This Row],[PLAZO Días]],"venc", "No venc")</f>
        <v>venc</v>
      </c>
      <c r="V389" t="str">
        <f>+IF(Tabla2[[#This Row],[FECHA DE PAGO]]&gt;0,"pagada","por pagar")</f>
        <v>pagada</v>
      </c>
      <c r="W389" s="115" t="str">
        <f>+IF(AND(Tabla2[[#This Row],[venc]]="venc",Tabla2[[#This Row],[Columna1]]="por pagar"),"vencida","no")</f>
        <v>no</v>
      </c>
    </row>
    <row r="390" spans="1:23" ht="15.75" x14ac:dyDescent="0.25">
      <c r="A390" s="20">
        <v>60</v>
      </c>
      <c r="B390" s="25">
        <v>14884783</v>
      </c>
      <c r="C390" s="25"/>
      <c r="D390" s="56" t="s">
        <v>432</v>
      </c>
      <c r="E390" s="66">
        <v>45229</v>
      </c>
      <c r="F390" s="323" t="s">
        <v>76</v>
      </c>
      <c r="G390" s="66">
        <v>45229</v>
      </c>
      <c r="H390" s="35" t="s">
        <v>1245</v>
      </c>
      <c r="I390" s="21">
        <v>-7563025</v>
      </c>
      <c r="J390" s="21"/>
      <c r="K390" s="22">
        <v>-1436974.75</v>
      </c>
      <c r="L390" s="23"/>
      <c r="M390" s="22">
        <v>0</v>
      </c>
      <c r="N390" s="72">
        <v>0</v>
      </c>
      <c r="O390" s="22">
        <v>0</v>
      </c>
      <c r="P390" s="21">
        <v>-8999999.75</v>
      </c>
      <c r="S390" s="101" t="b">
        <f>OR(COUNTIF(Tabla2[[#This Row],[PROVEEDOR]],"*"&amp;'Palabra no opera'!$A$2&amp;"*"))</f>
        <v>0</v>
      </c>
      <c r="T390" s="113">
        <f>+$W$5-Tabla2[[#This Row],[FECHA DE FACTURACIÓN]]</f>
        <v>93</v>
      </c>
      <c r="U390" t="str">
        <f>+IF(Tabla2[[#This Row],[dias de credito]]&gt;=Tabla2[[#This Row],[PLAZO Días]],"venc", "No venc")</f>
        <v>venc</v>
      </c>
      <c r="V390" t="str">
        <f>+IF(Tabla2[[#This Row],[FECHA DE PAGO]]&gt;0,"pagada","por pagar")</f>
        <v>pagada</v>
      </c>
      <c r="W390" s="115" t="str">
        <f>+IF(AND(Tabla2[[#This Row],[venc]]="venc",Tabla2[[#This Row],[Columna1]]="por pagar"),"vencida","no")</f>
        <v>no</v>
      </c>
    </row>
    <row r="391" spans="1:23" ht="15.75" x14ac:dyDescent="0.25">
      <c r="A391" s="20">
        <v>30</v>
      </c>
      <c r="B391" s="25">
        <v>0</v>
      </c>
      <c r="C391" s="25"/>
      <c r="D391" s="56" t="s">
        <v>104</v>
      </c>
      <c r="E391" s="66">
        <v>45226</v>
      </c>
      <c r="F391" s="323" t="s">
        <v>279</v>
      </c>
      <c r="G391" s="66">
        <v>45226</v>
      </c>
      <c r="H391" s="35" t="s">
        <v>1168</v>
      </c>
      <c r="I391" s="21">
        <v>200000</v>
      </c>
      <c r="J391" s="21"/>
      <c r="K391" s="22">
        <v>0</v>
      </c>
      <c r="L391" s="23"/>
      <c r="M391" s="22">
        <v>0</v>
      </c>
      <c r="N391" s="72">
        <v>0</v>
      </c>
      <c r="O391" s="22">
        <v>0</v>
      </c>
      <c r="P391" s="21">
        <v>200000</v>
      </c>
      <c r="S391" s="101" t="b">
        <f>OR(COUNTIF(Tabla2[[#This Row],[PROVEEDOR]],"*"&amp;'Palabra no opera'!$A$2&amp;"*"))</f>
        <v>0</v>
      </c>
      <c r="T391" s="113">
        <f>+$W$5-Tabla2[[#This Row],[FECHA DE FACTURACIÓN]]</f>
        <v>96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15" t="str">
        <f>+IF(AND(Tabla2[[#This Row],[venc]]="venc",Tabla2[[#This Row],[Columna1]]="por pagar"),"vencida","no")</f>
        <v>no</v>
      </c>
    </row>
    <row r="392" spans="1:23" ht="15.75" x14ac:dyDescent="0.25">
      <c r="A392" s="20">
        <v>30</v>
      </c>
      <c r="B392" s="25">
        <v>0</v>
      </c>
      <c r="C392" s="25"/>
      <c r="D392" s="56" t="s">
        <v>1233</v>
      </c>
      <c r="E392" s="66">
        <v>45226</v>
      </c>
      <c r="F392" s="323" t="s">
        <v>1234</v>
      </c>
      <c r="G392" s="66">
        <v>45226</v>
      </c>
      <c r="H392" s="35" t="s">
        <v>1235</v>
      </c>
      <c r="I392" s="21">
        <v>702352</v>
      </c>
      <c r="J392" s="21"/>
      <c r="K392" s="22">
        <v>133446.88</v>
      </c>
      <c r="L392" s="23"/>
      <c r="M392" s="22">
        <v>0</v>
      </c>
      <c r="N392" s="72">
        <v>0</v>
      </c>
      <c r="O392" s="22">
        <v>0</v>
      </c>
      <c r="P392" s="21">
        <v>835798.88</v>
      </c>
      <c r="S392" s="101" t="b">
        <f>OR(COUNTIF(Tabla2[[#This Row],[PROVEEDOR]],"*"&amp;'Palabra no opera'!$A$2&amp;"*"))</f>
        <v>0</v>
      </c>
      <c r="T392" s="113">
        <f>+$W$5-Tabla2[[#This Row],[FECHA DE FACTURACIÓN]]</f>
        <v>96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15" t="str">
        <f>+IF(AND(Tabla2[[#This Row],[venc]]="venc",Tabla2[[#This Row],[Columna1]]="por pagar"),"vencida","no")</f>
        <v>no</v>
      </c>
    </row>
    <row r="393" spans="1:23" ht="15.75" x14ac:dyDescent="0.25">
      <c r="A393" s="20">
        <v>60</v>
      </c>
      <c r="B393" s="25">
        <v>22881826.27</v>
      </c>
      <c r="C393" s="25"/>
      <c r="D393" s="56" t="s">
        <v>178</v>
      </c>
      <c r="E393" s="66">
        <v>45225</v>
      </c>
      <c r="F393" s="323" t="s">
        <v>9</v>
      </c>
      <c r="G393" s="66">
        <v>45203</v>
      </c>
      <c r="H393" s="35" t="s">
        <v>1133</v>
      </c>
      <c r="I393" s="21">
        <v>-159664</v>
      </c>
      <c r="J393" s="21"/>
      <c r="K393" s="22">
        <v>-30336.16</v>
      </c>
      <c r="L393" s="23"/>
      <c r="M393" s="22">
        <v>0</v>
      </c>
      <c r="N393" s="72">
        <v>0</v>
      </c>
      <c r="O393" s="22">
        <v>0</v>
      </c>
      <c r="P393" s="21">
        <v>-190000.16</v>
      </c>
      <c r="S393" s="101" t="b">
        <f>OR(COUNTIF(Tabla2[[#This Row],[PROVEEDOR]],"*"&amp;'Palabra no opera'!$A$2&amp;"*"))</f>
        <v>0</v>
      </c>
      <c r="T393" s="113">
        <f>+$W$5-Tabla2[[#This Row],[FECHA DE FACTURACIÓN]]</f>
        <v>119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15" t="str">
        <f>+IF(AND(Tabla2[[#This Row],[venc]]="venc",Tabla2[[#This Row],[Columna1]]="por pagar"),"vencida","no")</f>
        <v>no</v>
      </c>
    </row>
    <row r="394" spans="1:23" ht="15.75" x14ac:dyDescent="0.25">
      <c r="A394" s="20">
        <v>60</v>
      </c>
      <c r="B394" s="25">
        <v>22881826.27</v>
      </c>
      <c r="C394" s="25"/>
      <c r="D394" s="56" t="s">
        <v>178</v>
      </c>
      <c r="E394" s="66">
        <v>45225</v>
      </c>
      <c r="F394" s="323" t="s">
        <v>9</v>
      </c>
      <c r="G394" s="66">
        <v>45162</v>
      </c>
      <c r="H394" s="35" t="s">
        <v>1065</v>
      </c>
      <c r="I394" s="21">
        <v>62709092</v>
      </c>
      <c r="J394" s="21"/>
      <c r="K394" s="22">
        <v>11914727.48</v>
      </c>
      <c r="L394" s="23"/>
      <c r="M394" s="22">
        <v>0</v>
      </c>
      <c r="N394" s="72">
        <v>2.5000000000000001E-2</v>
      </c>
      <c r="O394" s="22">
        <v>1567727.3</v>
      </c>
      <c r="P394" s="21">
        <v>73056092.180000007</v>
      </c>
      <c r="S394" s="101" t="b">
        <f>OR(COUNTIF(Tabla2[[#This Row],[PROVEEDOR]],"*"&amp;'Palabra no opera'!$A$2&amp;"*"))</f>
        <v>0</v>
      </c>
      <c r="T394" s="113">
        <f>+$W$5-Tabla2[[#This Row],[FECHA DE FACTURACIÓN]]</f>
        <v>160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15" t="str">
        <f>+IF(AND(Tabla2[[#This Row],[venc]]="venc",Tabla2[[#This Row],[Columna1]]="por pagar"),"vencida","no")</f>
        <v>no</v>
      </c>
    </row>
    <row r="395" spans="1:23" ht="15.75" x14ac:dyDescent="0.25">
      <c r="A395" s="20">
        <v>60</v>
      </c>
      <c r="B395" s="25">
        <v>22881826.27</v>
      </c>
      <c r="C395" s="25"/>
      <c r="D395" s="56" t="s">
        <v>178</v>
      </c>
      <c r="E395" s="66">
        <v>45225</v>
      </c>
      <c r="F395" s="323" t="s">
        <v>9</v>
      </c>
      <c r="G395" s="66">
        <v>45156</v>
      </c>
      <c r="H395" s="35" t="s">
        <v>1032</v>
      </c>
      <c r="I395" s="21">
        <v>-18933650</v>
      </c>
      <c r="J395" s="21"/>
      <c r="K395" s="22">
        <v>-3597393.5</v>
      </c>
      <c r="L395" s="23"/>
      <c r="M395" s="22">
        <v>0</v>
      </c>
      <c r="N395" s="72">
        <v>0</v>
      </c>
      <c r="O395" s="22"/>
      <c r="P395" s="21">
        <v>-22531043.5</v>
      </c>
      <c r="S395" s="101" t="b">
        <f>OR(COUNTIF(Tabla2[[#This Row],[PROVEEDOR]],"*"&amp;'Palabra no opera'!$A$2&amp;"*"))</f>
        <v>0</v>
      </c>
      <c r="T395" s="113">
        <f>+$W$5-Tabla2[[#This Row],[FECHA DE FACTURACIÓN]]</f>
        <v>166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15" t="str">
        <f>+IF(AND(Tabla2[[#This Row],[venc]]="venc",Tabla2[[#This Row],[Columna1]]="por pagar"),"vencida","no")</f>
        <v>no</v>
      </c>
    </row>
    <row r="396" spans="1:23" ht="15.75" x14ac:dyDescent="0.25">
      <c r="A396" s="20">
        <v>30</v>
      </c>
      <c r="B396" s="25">
        <v>0</v>
      </c>
      <c r="C396" s="25"/>
      <c r="D396" s="56" t="s">
        <v>104</v>
      </c>
      <c r="E396" s="66">
        <v>45224</v>
      </c>
      <c r="F396" s="323" t="s">
        <v>299</v>
      </c>
      <c r="G396" s="66">
        <v>45224</v>
      </c>
      <c r="H396" s="35"/>
      <c r="I396" s="21">
        <v>800000</v>
      </c>
      <c r="J396" s="21"/>
      <c r="K396" s="22">
        <v>0</v>
      </c>
      <c r="L396" s="23"/>
      <c r="M396" s="22">
        <v>0</v>
      </c>
      <c r="N396" s="72">
        <v>0</v>
      </c>
      <c r="O396" s="22">
        <v>0</v>
      </c>
      <c r="P396" s="21">
        <v>800000</v>
      </c>
      <c r="S396" s="101" t="b">
        <f>OR(COUNTIF(Tabla2[[#This Row],[PROVEEDOR]],"*"&amp;'Palabra no opera'!$A$2&amp;"*"))</f>
        <v>0</v>
      </c>
      <c r="T396" s="113">
        <f>+$W$5-Tabla2[[#This Row],[FECHA DE FACTURACIÓN]]</f>
        <v>98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15" t="str">
        <f>+IF(AND(Tabla2[[#This Row],[venc]]="venc",Tabla2[[#This Row],[Columna1]]="por pagar"),"vencida","no")</f>
        <v>no</v>
      </c>
    </row>
    <row r="397" spans="1:23" ht="15.75" x14ac:dyDescent="0.25">
      <c r="A397" s="20">
        <v>60</v>
      </c>
      <c r="B397" s="25">
        <v>14884783</v>
      </c>
      <c r="C397" s="25"/>
      <c r="D397" s="56" t="s">
        <v>432</v>
      </c>
      <c r="E397" s="66">
        <v>45224</v>
      </c>
      <c r="F397" s="323" t="s">
        <v>76</v>
      </c>
      <c r="G397" s="66">
        <v>45224</v>
      </c>
      <c r="H397" s="35" t="s">
        <v>1188</v>
      </c>
      <c r="I397" s="21">
        <v>166386.6</v>
      </c>
      <c r="J397" s="21"/>
      <c r="K397" s="22">
        <v>31613.454000000002</v>
      </c>
      <c r="L397" s="23"/>
      <c r="M397" s="22">
        <v>0</v>
      </c>
      <c r="N397" s="72">
        <v>0</v>
      </c>
      <c r="O397" s="22">
        <v>0</v>
      </c>
      <c r="P397" s="21">
        <v>198000.054</v>
      </c>
      <c r="S397" s="101" t="b">
        <f>OR(COUNTIF(Tabla2[[#This Row],[PROVEEDOR]],"*"&amp;'Palabra no opera'!$A$2&amp;"*"))</f>
        <v>0</v>
      </c>
      <c r="T397" s="113">
        <f>+$W$5-Tabla2[[#This Row],[FECHA DE FACTURACIÓN]]</f>
        <v>98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15" t="str">
        <f>+IF(AND(Tabla2[[#This Row],[venc]]="venc",Tabla2[[#This Row],[Columna1]]="por pagar"),"vencida","no")</f>
        <v>no</v>
      </c>
    </row>
    <row r="398" spans="1:23" ht="15.75" x14ac:dyDescent="0.25">
      <c r="A398" s="20">
        <v>30</v>
      </c>
      <c r="B398" s="25">
        <v>5134830.96</v>
      </c>
      <c r="C398" s="25"/>
      <c r="D398" s="56" t="s">
        <v>131</v>
      </c>
      <c r="E398" s="66">
        <v>45224</v>
      </c>
      <c r="F398" s="323" t="s">
        <v>20</v>
      </c>
      <c r="G398" s="66">
        <v>45168</v>
      </c>
      <c r="H398" s="35" t="s">
        <v>1071</v>
      </c>
      <c r="I398" s="21">
        <v>876780</v>
      </c>
      <c r="J398" s="21"/>
      <c r="K398" s="22">
        <v>166588.20000000001</v>
      </c>
      <c r="L398" s="23"/>
      <c r="M398" s="22">
        <v>0</v>
      </c>
      <c r="N398" s="72">
        <v>0</v>
      </c>
      <c r="O398" s="22">
        <v>0</v>
      </c>
      <c r="P398" s="21">
        <v>1043368.2</v>
      </c>
      <c r="S398" s="101" t="b">
        <f>OR(COUNTIF(Tabla2[[#This Row],[PROVEEDOR]],"*"&amp;'Palabra no opera'!$A$2&amp;"*"))</f>
        <v>0</v>
      </c>
      <c r="T398" s="113">
        <f>+$W$5-Tabla2[[#This Row],[FECHA DE FACTURACIÓN]]</f>
        <v>154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15" t="str">
        <f>+IF(AND(Tabla2[[#This Row],[venc]]="venc",Tabla2[[#This Row],[Columna1]]="por pagar"),"vencida","no")</f>
        <v>no</v>
      </c>
    </row>
    <row r="399" spans="1:23" ht="15.75" x14ac:dyDescent="0.25">
      <c r="A399" s="20">
        <v>60</v>
      </c>
      <c r="B399" s="25">
        <v>5538410</v>
      </c>
      <c r="C399" s="25"/>
      <c r="D399" s="56" t="s">
        <v>625</v>
      </c>
      <c r="E399" s="66">
        <v>45224</v>
      </c>
      <c r="F399" s="323" t="s">
        <v>624</v>
      </c>
      <c r="G399" s="66">
        <v>45155</v>
      </c>
      <c r="H399" s="35" t="s">
        <v>1047</v>
      </c>
      <c r="I399" s="21">
        <v>3384000</v>
      </c>
      <c r="J399" s="21"/>
      <c r="K399" s="22">
        <v>642960</v>
      </c>
      <c r="L399" s="23"/>
      <c r="M399" s="22">
        <v>0</v>
      </c>
      <c r="N399" s="72">
        <v>2.5000000000000001E-2</v>
      </c>
      <c r="O399" s="22">
        <v>84600</v>
      </c>
      <c r="P399" s="21">
        <v>3942360</v>
      </c>
      <c r="S399" s="101" t="b">
        <f>OR(COUNTIF(Tabla2[[#This Row],[PROVEEDOR]],"*"&amp;'Palabra no opera'!$A$2&amp;"*"))</f>
        <v>0</v>
      </c>
      <c r="T399" s="113">
        <f>+$W$5-Tabla2[[#This Row],[FECHA DE FACTURACIÓN]]</f>
        <v>167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15" t="str">
        <f>+IF(AND(Tabla2[[#This Row],[venc]]="venc",Tabla2[[#This Row],[Columna1]]="por pagar"),"vencida","no")</f>
        <v>no</v>
      </c>
    </row>
    <row r="400" spans="1:23" ht="15.75" x14ac:dyDescent="0.25">
      <c r="A400" s="20">
        <v>30</v>
      </c>
      <c r="B400" s="25">
        <v>0</v>
      </c>
      <c r="C400" s="25"/>
      <c r="D400" s="56" t="s">
        <v>449</v>
      </c>
      <c r="E400" s="66">
        <v>45223</v>
      </c>
      <c r="F400" s="323" t="s">
        <v>415</v>
      </c>
      <c r="G400" s="66">
        <v>45200</v>
      </c>
      <c r="H400" s="35" t="s">
        <v>1181</v>
      </c>
      <c r="I400" s="21">
        <v>934363</v>
      </c>
      <c r="J400" s="21"/>
      <c r="K400" s="22">
        <v>0</v>
      </c>
      <c r="L400" s="23"/>
      <c r="M400" s="22">
        <v>0</v>
      </c>
      <c r="N400" s="72">
        <v>0</v>
      </c>
      <c r="O400" s="22">
        <v>0</v>
      </c>
      <c r="P400" s="21">
        <v>934363</v>
      </c>
      <c r="S400" s="101" t="b">
        <f>OR(COUNTIF(Tabla2[[#This Row],[PROVEEDOR]],"*"&amp;'Palabra no opera'!$A$2&amp;"*"))</f>
        <v>1</v>
      </c>
      <c r="T400" s="113">
        <f>+$W$5-Tabla2[[#This Row],[FECHA DE FACTURACIÓN]]</f>
        <v>122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15" t="str">
        <f>+IF(AND(Tabla2[[#This Row],[venc]]="venc",Tabla2[[#This Row],[Columna1]]="por pagar"),"vencida","no")</f>
        <v>no</v>
      </c>
    </row>
    <row r="401" spans="1:23" ht="15.75" x14ac:dyDescent="0.25">
      <c r="A401" s="20">
        <v>30</v>
      </c>
      <c r="B401" s="25">
        <v>0</v>
      </c>
      <c r="C401" s="25"/>
      <c r="D401" s="56" t="s">
        <v>449</v>
      </c>
      <c r="E401" s="66">
        <v>45223</v>
      </c>
      <c r="F401" s="323" t="s">
        <v>415</v>
      </c>
      <c r="G401" s="66">
        <v>45200</v>
      </c>
      <c r="H401" s="35" t="s">
        <v>1182</v>
      </c>
      <c r="I401" s="21">
        <v>914023</v>
      </c>
      <c r="J401" s="21"/>
      <c r="K401" s="22">
        <v>0</v>
      </c>
      <c r="L401" s="23"/>
      <c r="M401" s="22">
        <v>0</v>
      </c>
      <c r="N401" s="72">
        <v>0</v>
      </c>
      <c r="O401" s="22">
        <v>0</v>
      </c>
      <c r="P401" s="21">
        <v>914023</v>
      </c>
      <c r="S401" s="101" t="b">
        <f>OR(COUNTIF(Tabla2[[#This Row],[PROVEEDOR]],"*"&amp;'Palabra no opera'!$A$2&amp;"*"))</f>
        <v>1</v>
      </c>
      <c r="T401" s="113">
        <f>+$W$5-Tabla2[[#This Row],[FECHA DE FACTURACIÓN]]</f>
        <v>122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15" t="str">
        <f>+IF(AND(Tabla2[[#This Row],[venc]]="venc",Tabla2[[#This Row],[Columna1]]="por pagar"),"vencida","no")</f>
        <v>no</v>
      </c>
    </row>
    <row r="402" spans="1:23" ht="15.75" x14ac:dyDescent="0.25">
      <c r="A402" s="20">
        <v>30</v>
      </c>
      <c r="B402" s="25">
        <v>0</v>
      </c>
      <c r="C402" s="25"/>
      <c r="D402" s="56" t="s">
        <v>104</v>
      </c>
      <c r="E402" s="66">
        <v>45222</v>
      </c>
      <c r="F402" s="323" t="s">
        <v>279</v>
      </c>
      <c r="G402" s="66">
        <v>45222</v>
      </c>
      <c r="H402" s="35" t="s">
        <v>1184</v>
      </c>
      <c r="I402" s="21">
        <v>628650</v>
      </c>
      <c r="J402" s="21"/>
      <c r="K402" s="22">
        <v>0</v>
      </c>
      <c r="L402" s="23"/>
      <c r="M402" s="22">
        <v>0</v>
      </c>
      <c r="N402" s="72">
        <v>0</v>
      </c>
      <c r="O402" s="22">
        <v>0</v>
      </c>
      <c r="P402" s="21">
        <v>628650</v>
      </c>
      <c r="S402" s="101" t="b">
        <f>OR(COUNTIF(Tabla2[[#This Row],[PROVEEDOR]],"*"&amp;'Palabra no opera'!$A$2&amp;"*"))</f>
        <v>0</v>
      </c>
      <c r="T402" s="113">
        <f>+$W$5-Tabla2[[#This Row],[FECHA DE FACTURACIÓN]]</f>
        <v>100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15" t="str">
        <f>+IF(AND(Tabla2[[#This Row],[venc]]="venc",Tabla2[[#This Row],[Columna1]]="por pagar"),"vencida","no")</f>
        <v>no</v>
      </c>
    </row>
    <row r="403" spans="1:23" ht="15.75" x14ac:dyDescent="0.25">
      <c r="A403" s="20">
        <v>30</v>
      </c>
      <c r="B403" s="25">
        <v>0</v>
      </c>
      <c r="C403" s="25"/>
      <c r="D403" s="56" t="s">
        <v>104</v>
      </c>
      <c r="E403" s="66">
        <v>45222</v>
      </c>
      <c r="F403" s="323" t="s">
        <v>279</v>
      </c>
      <c r="G403" s="66">
        <v>45222</v>
      </c>
      <c r="H403" s="35" t="s">
        <v>1185</v>
      </c>
      <c r="I403" s="21">
        <v>172600</v>
      </c>
      <c r="J403" s="21"/>
      <c r="K403" s="22">
        <v>0</v>
      </c>
      <c r="L403" s="23"/>
      <c r="M403" s="22">
        <v>0</v>
      </c>
      <c r="N403" s="72">
        <v>0</v>
      </c>
      <c r="O403" s="22">
        <v>0</v>
      </c>
      <c r="P403" s="21">
        <v>172600</v>
      </c>
      <c r="S403" s="101" t="b">
        <f>OR(COUNTIF(Tabla2[[#This Row],[PROVEEDOR]],"*"&amp;'Palabra no opera'!$A$2&amp;"*"))</f>
        <v>0</v>
      </c>
      <c r="T403" s="113">
        <f>+$W$5-Tabla2[[#This Row],[FECHA DE FACTURACIÓN]]</f>
        <v>100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15" t="str">
        <f>+IF(AND(Tabla2[[#This Row],[venc]]="venc",Tabla2[[#This Row],[Columna1]]="por pagar"),"vencida","no")</f>
        <v>no</v>
      </c>
    </row>
    <row r="404" spans="1:23" ht="15.75" x14ac:dyDescent="0.25">
      <c r="A404" s="20">
        <v>30</v>
      </c>
      <c r="B404" s="25">
        <v>0</v>
      </c>
      <c r="C404" s="25"/>
      <c r="D404" s="56" t="s">
        <v>104</v>
      </c>
      <c r="E404" s="66">
        <v>45222</v>
      </c>
      <c r="F404" s="323" t="s">
        <v>279</v>
      </c>
      <c r="G404" s="66">
        <v>45222</v>
      </c>
      <c r="H404" s="35" t="s">
        <v>1186</v>
      </c>
      <c r="I404" s="21">
        <v>2000000</v>
      </c>
      <c r="J404" s="21"/>
      <c r="K404" s="22">
        <v>0</v>
      </c>
      <c r="L404" s="23"/>
      <c r="M404" s="22">
        <v>0</v>
      </c>
      <c r="N404" s="72">
        <v>0</v>
      </c>
      <c r="O404" s="22">
        <v>0</v>
      </c>
      <c r="P404" s="21">
        <v>2000000</v>
      </c>
      <c r="S404" s="101" t="b">
        <f>OR(COUNTIF(Tabla2[[#This Row],[PROVEEDOR]],"*"&amp;'Palabra no opera'!$A$2&amp;"*"))</f>
        <v>0</v>
      </c>
      <c r="T404" s="113">
        <f>+$W$5-Tabla2[[#This Row],[FECHA DE FACTURACIÓN]]</f>
        <v>100</v>
      </c>
      <c r="U404" t="str">
        <f>+IF(Tabla2[[#This Row],[dias de credito]]&gt;=Tabla2[[#This Row],[PLAZO Días]],"venc", "No venc")</f>
        <v>venc</v>
      </c>
      <c r="V404" t="str">
        <f>+IF(Tabla2[[#This Row],[FECHA DE PAGO]]&gt;0,"pagada","por pagar")</f>
        <v>pagada</v>
      </c>
      <c r="W404" s="115" t="str">
        <f>+IF(AND(Tabla2[[#This Row],[venc]]="venc",Tabla2[[#This Row],[Columna1]]="por pagar"),"vencida","no")</f>
        <v>no</v>
      </c>
    </row>
    <row r="405" spans="1:23" ht="15.75" x14ac:dyDescent="0.25">
      <c r="A405" s="20">
        <v>30</v>
      </c>
      <c r="B405" s="25">
        <v>0</v>
      </c>
      <c r="C405" s="25"/>
      <c r="D405" s="56" t="s">
        <v>104</v>
      </c>
      <c r="E405" s="66">
        <v>45222</v>
      </c>
      <c r="F405" s="323" t="s">
        <v>279</v>
      </c>
      <c r="G405" s="66">
        <v>45222</v>
      </c>
      <c r="H405" s="35" t="s">
        <v>1189</v>
      </c>
      <c r="I405" s="21">
        <v>245000</v>
      </c>
      <c r="J405" s="21"/>
      <c r="K405" s="22">
        <v>0</v>
      </c>
      <c r="L405" s="23"/>
      <c r="M405" s="22">
        <v>0</v>
      </c>
      <c r="N405" s="72">
        <v>0</v>
      </c>
      <c r="O405" s="22">
        <v>0</v>
      </c>
      <c r="P405" s="21">
        <v>245000</v>
      </c>
      <c r="S405" s="101" t="b">
        <f>OR(COUNTIF(Tabla2[[#This Row],[PROVEEDOR]],"*"&amp;'Palabra no opera'!$A$2&amp;"*"))</f>
        <v>0</v>
      </c>
      <c r="T405" s="113">
        <f>+$W$5-Tabla2[[#This Row],[FECHA DE FACTURACIÓN]]</f>
        <v>100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15" t="str">
        <f>+IF(AND(Tabla2[[#This Row],[venc]]="venc",Tabla2[[#This Row],[Columna1]]="por pagar"),"vencida","no")</f>
        <v>no</v>
      </c>
    </row>
    <row r="406" spans="1:23" ht="15.75" x14ac:dyDescent="0.25">
      <c r="A406" s="20">
        <v>30</v>
      </c>
      <c r="B406" s="25">
        <v>0</v>
      </c>
      <c r="C406" s="25"/>
      <c r="D406" s="56" t="s">
        <v>104</v>
      </c>
      <c r="E406" s="66">
        <v>45222</v>
      </c>
      <c r="F406" s="323" t="s">
        <v>279</v>
      </c>
      <c r="G406" s="66">
        <v>45222</v>
      </c>
      <c r="H406" s="35" t="s">
        <v>1190</v>
      </c>
      <c r="I406" s="21">
        <v>621000</v>
      </c>
      <c r="J406" s="21"/>
      <c r="K406" s="22">
        <v>0</v>
      </c>
      <c r="L406" s="23"/>
      <c r="M406" s="22">
        <v>0</v>
      </c>
      <c r="N406" s="72">
        <v>0</v>
      </c>
      <c r="O406" s="22">
        <v>0</v>
      </c>
      <c r="P406" s="21">
        <v>621000</v>
      </c>
      <c r="S406" s="101" t="b">
        <f>OR(COUNTIF(Tabla2[[#This Row],[PROVEEDOR]],"*"&amp;'Palabra no opera'!$A$2&amp;"*"))</f>
        <v>0</v>
      </c>
      <c r="T406" s="113">
        <f>+$W$5-Tabla2[[#This Row],[FECHA DE FACTURACIÓN]]</f>
        <v>100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15" t="str">
        <f>+IF(AND(Tabla2[[#This Row],[venc]]="venc",Tabla2[[#This Row],[Columna1]]="por pagar"),"vencida","no")</f>
        <v>no</v>
      </c>
    </row>
    <row r="407" spans="1:23" ht="15.75" x14ac:dyDescent="0.25">
      <c r="A407" s="20">
        <v>30</v>
      </c>
      <c r="B407" s="25">
        <v>0</v>
      </c>
      <c r="C407" s="25"/>
      <c r="D407" s="56" t="s">
        <v>104</v>
      </c>
      <c r="E407" s="66">
        <v>45222</v>
      </c>
      <c r="F407" s="323" t="s">
        <v>279</v>
      </c>
      <c r="G407" s="66">
        <v>45222</v>
      </c>
      <c r="H407" s="35" t="s">
        <v>1191</v>
      </c>
      <c r="I407" s="21">
        <v>1200000</v>
      </c>
      <c r="J407" s="21"/>
      <c r="K407" s="22">
        <v>0</v>
      </c>
      <c r="L407" s="23"/>
      <c r="M407" s="22">
        <v>0</v>
      </c>
      <c r="N407" s="72">
        <v>0</v>
      </c>
      <c r="O407" s="22">
        <v>0</v>
      </c>
      <c r="P407" s="21">
        <v>1200000</v>
      </c>
      <c r="S407" s="101" t="b">
        <f>OR(COUNTIF(Tabla2[[#This Row],[PROVEEDOR]],"*"&amp;'Palabra no opera'!$A$2&amp;"*"))</f>
        <v>0</v>
      </c>
      <c r="T407" s="113">
        <f>+$W$5-Tabla2[[#This Row],[FECHA DE FACTURACIÓN]]</f>
        <v>100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15" t="str">
        <f>+IF(AND(Tabla2[[#This Row],[venc]]="venc",Tabla2[[#This Row],[Columna1]]="por pagar"),"vencida","no")</f>
        <v>no</v>
      </c>
    </row>
    <row r="408" spans="1:23" ht="15.75" x14ac:dyDescent="0.25">
      <c r="A408" s="20">
        <v>30</v>
      </c>
      <c r="B408" s="25">
        <v>0</v>
      </c>
      <c r="C408" s="25"/>
      <c r="D408" s="56" t="s">
        <v>1177</v>
      </c>
      <c r="E408" s="66">
        <v>45222</v>
      </c>
      <c r="F408" s="323" t="s">
        <v>1178</v>
      </c>
      <c r="G408" s="66">
        <v>45220</v>
      </c>
      <c r="H408" s="35" t="s">
        <v>1179</v>
      </c>
      <c r="I408" s="21">
        <v>973672</v>
      </c>
      <c r="J408" s="21"/>
      <c r="K408" s="22">
        <v>178538</v>
      </c>
      <c r="L408" s="23"/>
      <c r="M408" s="22">
        <v>0</v>
      </c>
      <c r="N408" s="72">
        <v>0</v>
      </c>
      <c r="O408" s="22">
        <v>0</v>
      </c>
      <c r="P408" s="21">
        <v>1152210</v>
      </c>
      <c r="S408" s="101" t="b">
        <f>OR(COUNTIF(Tabla2[[#This Row],[PROVEEDOR]],"*"&amp;'Palabra no opera'!$A$2&amp;"*"))</f>
        <v>0</v>
      </c>
      <c r="T408" s="113">
        <f>+$W$5-Tabla2[[#This Row],[FECHA DE FACTURACIÓN]]</f>
        <v>102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15" t="str">
        <f>+IF(AND(Tabla2[[#This Row],[venc]]="venc",Tabla2[[#This Row],[Columna1]]="por pagar"),"vencida","no")</f>
        <v>no</v>
      </c>
    </row>
    <row r="409" spans="1:23" ht="15.75" x14ac:dyDescent="0.25">
      <c r="A409" s="20">
        <v>30</v>
      </c>
      <c r="B409" s="25">
        <v>0</v>
      </c>
      <c r="C409" s="25"/>
      <c r="D409" s="56" t="s">
        <v>430</v>
      </c>
      <c r="E409" s="66">
        <v>45222</v>
      </c>
      <c r="F409" s="323" t="s">
        <v>287</v>
      </c>
      <c r="G409" s="66">
        <v>45219</v>
      </c>
      <c r="H409" s="35" t="s">
        <v>1183</v>
      </c>
      <c r="I409" s="21">
        <v>2074832</v>
      </c>
      <c r="J409" s="21"/>
      <c r="K409" s="22">
        <v>0</v>
      </c>
      <c r="L409" s="23"/>
      <c r="M409" s="22">
        <v>0</v>
      </c>
      <c r="N409" s="72">
        <v>0</v>
      </c>
      <c r="O409" s="22">
        <v>0</v>
      </c>
      <c r="P409" s="21">
        <v>2074832</v>
      </c>
      <c r="S409" s="101" t="b">
        <f>OR(COUNTIF(Tabla2[[#This Row],[PROVEEDOR]],"*"&amp;'Palabra no opera'!$A$2&amp;"*"))</f>
        <v>0</v>
      </c>
      <c r="T409" s="113">
        <f>+$W$5-Tabla2[[#This Row],[FECHA DE FACTURACIÓN]]</f>
        <v>103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15" t="str">
        <f>+IF(AND(Tabla2[[#This Row],[venc]]="venc",Tabla2[[#This Row],[Columna1]]="por pagar"),"vencida","no")</f>
        <v>no</v>
      </c>
    </row>
    <row r="410" spans="1:23" ht="15.75" x14ac:dyDescent="0.25">
      <c r="A410" s="20">
        <v>30</v>
      </c>
      <c r="B410" s="25">
        <v>0</v>
      </c>
      <c r="C410" s="25"/>
      <c r="D410" s="56" t="s">
        <v>233</v>
      </c>
      <c r="E410" s="66">
        <v>45222</v>
      </c>
      <c r="F410" s="323" t="s">
        <v>413</v>
      </c>
      <c r="G410" s="66">
        <v>45219</v>
      </c>
      <c r="H410" s="35" t="s">
        <v>1180</v>
      </c>
      <c r="I410" s="21">
        <v>3456200</v>
      </c>
      <c r="J410" s="21"/>
      <c r="K410" s="22">
        <v>0</v>
      </c>
      <c r="L410" s="23"/>
      <c r="M410" s="22">
        <v>0</v>
      </c>
      <c r="N410" s="72">
        <v>3.5000000000000003E-2</v>
      </c>
      <c r="O410" s="22">
        <v>120967.00000000001</v>
      </c>
      <c r="P410" s="21">
        <v>3335233</v>
      </c>
      <c r="S410" s="101" t="b">
        <f>OR(COUNTIF(Tabla2[[#This Row],[PROVEEDOR]],"*"&amp;'Palabra no opera'!$A$2&amp;"*"))</f>
        <v>1</v>
      </c>
      <c r="T410" s="113">
        <f>+$W$5-Tabla2[[#This Row],[FECHA DE FACTURACIÓN]]</f>
        <v>103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15" t="str">
        <f>+IF(AND(Tabla2[[#This Row],[venc]]="venc",Tabla2[[#This Row],[Columna1]]="por pagar"),"vencida","no")</f>
        <v>no</v>
      </c>
    </row>
    <row r="411" spans="1:23" ht="15.75" x14ac:dyDescent="0.25">
      <c r="A411" s="20">
        <v>30</v>
      </c>
      <c r="B411" s="25">
        <v>2190013.0175000001</v>
      </c>
      <c r="C411" s="25"/>
      <c r="D411" s="56" t="s">
        <v>180</v>
      </c>
      <c r="E411" s="66">
        <v>45222</v>
      </c>
      <c r="F411" s="323" t="s">
        <v>491</v>
      </c>
      <c r="G411" s="66">
        <v>45187</v>
      </c>
      <c r="H411" s="35" t="s">
        <v>1110</v>
      </c>
      <c r="I411" s="21">
        <v>2762184</v>
      </c>
      <c r="J411" s="21"/>
      <c r="K411" s="22">
        <v>524814.96</v>
      </c>
      <c r="L411" s="23"/>
      <c r="M411" s="22">
        <v>0</v>
      </c>
      <c r="N411" s="72">
        <v>2.5000000000000001E-2</v>
      </c>
      <c r="O411" s="22">
        <v>69054.600000000006</v>
      </c>
      <c r="P411" s="21">
        <v>3217944.36</v>
      </c>
      <c r="S411" s="101" t="b">
        <f>OR(COUNTIF(Tabla2[[#This Row],[PROVEEDOR]],"*"&amp;'Palabra no opera'!$A$2&amp;"*"))</f>
        <v>0</v>
      </c>
      <c r="T411" s="113">
        <f>+$W$5-Tabla2[[#This Row],[FECHA DE FACTURACIÓN]]</f>
        <v>135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15" t="str">
        <f>+IF(AND(Tabla2[[#This Row],[venc]]="venc",Tabla2[[#This Row],[Columna1]]="por pagar"),"vencida","no")</f>
        <v>no</v>
      </c>
    </row>
    <row r="412" spans="1:23" ht="15.75" x14ac:dyDescent="0.25">
      <c r="A412" s="20">
        <v>30</v>
      </c>
      <c r="B412" s="25">
        <v>0</v>
      </c>
      <c r="C412" s="25"/>
      <c r="D412" s="56" t="s">
        <v>104</v>
      </c>
      <c r="E412" s="66">
        <v>45220</v>
      </c>
      <c r="F412" s="323" t="s">
        <v>279</v>
      </c>
      <c r="G412" s="66">
        <v>45220</v>
      </c>
      <c r="H412" s="35" t="s">
        <v>1168</v>
      </c>
      <c r="I412" s="21">
        <v>200000</v>
      </c>
      <c r="J412" s="21"/>
      <c r="K412" s="22">
        <v>0</v>
      </c>
      <c r="L412" s="23"/>
      <c r="M412" s="22">
        <v>0</v>
      </c>
      <c r="N412" s="72">
        <v>0</v>
      </c>
      <c r="O412" s="22">
        <v>0</v>
      </c>
      <c r="P412" s="21">
        <v>200000</v>
      </c>
      <c r="S412" s="101" t="b">
        <f>OR(COUNTIF(Tabla2[[#This Row],[PROVEEDOR]],"*"&amp;'Palabra no opera'!$A$2&amp;"*"))</f>
        <v>0</v>
      </c>
      <c r="T412" s="113">
        <f>+$W$5-Tabla2[[#This Row],[FECHA DE FACTURACIÓN]]</f>
        <v>102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15" t="str">
        <f>+IF(AND(Tabla2[[#This Row],[venc]]="venc",Tabla2[[#This Row],[Columna1]]="por pagar"),"vencida","no")</f>
        <v>no</v>
      </c>
    </row>
    <row r="413" spans="1:23" ht="15.75" x14ac:dyDescent="0.25">
      <c r="A413" s="20">
        <v>30</v>
      </c>
      <c r="B413" s="25">
        <v>0</v>
      </c>
      <c r="C413" s="25"/>
      <c r="D413" s="56" t="s">
        <v>104</v>
      </c>
      <c r="E413" s="66">
        <v>45220</v>
      </c>
      <c r="F413" s="323" t="s">
        <v>291</v>
      </c>
      <c r="G413" s="66">
        <v>45220</v>
      </c>
      <c r="H413" s="35" t="s">
        <v>1201</v>
      </c>
      <c r="I413" s="21">
        <v>680000</v>
      </c>
      <c r="J413" s="21"/>
      <c r="K413" s="22">
        <v>0</v>
      </c>
      <c r="L413" s="23"/>
      <c r="M413" s="22">
        <v>0</v>
      </c>
      <c r="N413" s="72">
        <v>0</v>
      </c>
      <c r="O413" s="22">
        <v>0</v>
      </c>
      <c r="P413" s="21">
        <v>680000</v>
      </c>
      <c r="S413" s="101" t="b">
        <f>OR(COUNTIF(Tabla2[[#This Row],[PROVEEDOR]],"*"&amp;'Palabra no opera'!$A$2&amp;"*"))</f>
        <v>0</v>
      </c>
      <c r="T413" s="113">
        <f>+$W$5-Tabla2[[#This Row],[FECHA DE FACTURACIÓN]]</f>
        <v>102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15" t="str">
        <f>+IF(AND(Tabla2[[#This Row],[venc]]="venc",Tabla2[[#This Row],[Columna1]]="por pagar"),"vencida","no")</f>
        <v>no</v>
      </c>
    </row>
    <row r="414" spans="1:23" ht="15.75" x14ac:dyDescent="0.25">
      <c r="A414" s="20">
        <v>30</v>
      </c>
      <c r="B414" s="25">
        <v>0</v>
      </c>
      <c r="C414" s="25"/>
      <c r="D414" s="56" t="s">
        <v>1508</v>
      </c>
      <c r="E414" s="66">
        <v>45219</v>
      </c>
      <c r="F414" s="323" t="s">
        <v>406</v>
      </c>
      <c r="G414" s="66">
        <v>45219</v>
      </c>
      <c r="H414" s="35" t="s">
        <v>1176</v>
      </c>
      <c r="I414" s="21">
        <v>196317</v>
      </c>
      <c r="J414" s="21"/>
      <c r="K414" s="22">
        <v>0</v>
      </c>
      <c r="L414" s="23"/>
      <c r="M414" s="22">
        <v>0</v>
      </c>
      <c r="N414" s="72">
        <v>0</v>
      </c>
      <c r="O414" s="22">
        <v>0</v>
      </c>
      <c r="P414" s="21">
        <v>196317</v>
      </c>
      <c r="S414" s="101" t="b">
        <f>OR(COUNTIF(Tabla2[[#This Row],[PROVEEDOR]],"*"&amp;'Palabra no opera'!$A$2&amp;"*"))</f>
        <v>1</v>
      </c>
      <c r="T414" s="113">
        <f>+$W$5-Tabla2[[#This Row],[FECHA DE FACTURACIÓN]]</f>
        <v>103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15" t="str">
        <f>+IF(AND(Tabla2[[#This Row],[venc]]="venc",Tabla2[[#This Row],[Columna1]]="por pagar"),"vencida","no")</f>
        <v>no</v>
      </c>
    </row>
    <row r="415" spans="1:23" ht="15.75" x14ac:dyDescent="0.25">
      <c r="A415" s="20">
        <v>30</v>
      </c>
      <c r="B415" s="25">
        <v>-2000</v>
      </c>
      <c r="C415" s="25"/>
      <c r="D415" s="56">
        <v>0</v>
      </c>
      <c r="E415" s="66">
        <v>45219</v>
      </c>
      <c r="F415" s="323" t="s">
        <v>881</v>
      </c>
      <c r="G415" s="66">
        <v>45217</v>
      </c>
      <c r="H415" s="35"/>
      <c r="I415" s="21">
        <v>478000</v>
      </c>
      <c r="J415" s="21"/>
      <c r="K415" s="22">
        <v>0</v>
      </c>
      <c r="L415" s="23"/>
      <c r="M415" s="22">
        <v>0</v>
      </c>
      <c r="N415" s="72">
        <v>0</v>
      </c>
      <c r="O415" s="22">
        <v>0</v>
      </c>
      <c r="P415" s="21">
        <v>478000</v>
      </c>
      <c r="S415" s="101" t="b">
        <f>OR(COUNTIF(Tabla2[[#This Row],[PROVEEDOR]],"*"&amp;'Palabra no opera'!$A$2&amp;"*"))</f>
        <v>0</v>
      </c>
      <c r="T415" s="113">
        <f>+$W$5-Tabla2[[#This Row],[FECHA DE FACTURACIÓN]]</f>
        <v>105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15" t="str">
        <f>+IF(AND(Tabla2[[#This Row],[venc]]="venc",Tabla2[[#This Row],[Columna1]]="por pagar"),"vencida","no")</f>
        <v>no</v>
      </c>
    </row>
    <row r="416" spans="1:23" ht="15.75" x14ac:dyDescent="0.25">
      <c r="A416" s="20">
        <v>45</v>
      </c>
      <c r="B416" s="25">
        <v>3535656.6</v>
      </c>
      <c r="C416" s="25"/>
      <c r="D416" s="56" t="s">
        <v>390</v>
      </c>
      <c r="E416" s="66">
        <v>45219</v>
      </c>
      <c r="F416" s="323" t="s">
        <v>19</v>
      </c>
      <c r="G416" s="66">
        <v>45197</v>
      </c>
      <c r="H416" s="35" t="s">
        <v>1099</v>
      </c>
      <c r="I416" s="21">
        <v>-5882353</v>
      </c>
      <c r="J416" s="21"/>
      <c r="K416" s="22">
        <v>-1117647.07</v>
      </c>
      <c r="L416" s="23"/>
      <c r="M416" s="22">
        <v>0</v>
      </c>
      <c r="N416" s="72">
        <v>0</v>
      </c>
      <c r="O416" s="22">
        <v>0</v>
      </c>
      <c r="P416" s="21">
        <v>-7000000.0700000003</v>
      </c>
      <c r="S416" s="101" t="b">
        <f>OR(COUNTIF(Tabla2[[#This Row],[PROVEEDOR]],"*"&amp;'Palabra no opera'!$A$2&amp;"*"))</f>
        <v>0</v>
      </c>
      <c r="T416" s="113">
        <f>+$W$5-Tabla2[[#This Row],[FECHA DE FACTURACIÓN]]</f>
        <v>125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15" t="str">
        <f>+IF(AND(Tabla2[[#This Row],[venc]]="venc",Tabla2[[#This Row],[Columna1]]="por pagar"),"vencida","no")</f>
        <v>no</v>
      </c>
    </row>
    <row r="417" spans="1:23" ht="15.75" x14ac:dyDescent="0.25">
      <c r="A417" s="20">
        <v>45</v>
      </c>
      <c r="B417" s="25">
        <v>3535656.6</v>
      </c>
      <c r="C417" s="25"/>
      <c r="D417" s="56" t="s">
        <v>390</v>
      </c>
      <c r="E417" s="66">
        <v>45219</v>
      </c>
      <c r="F417" s="323" t="s">
        <v>19</v>
      </c>
      <c r="G417" s="66">
        <v>45167</v>
      </c>
      <c r="H417" s="35" t="s">
        <v>1068</v>
      </c>
      <c r="I417" s="21">
        <v>13296150</v>
      </c>
      <c r="J417" s="21"/>
      <c r="K417" s="22">
        <v>2526268.5</v>
      </c>
      <c r="L417" s="23"/>
      <c r="M417" s="22">
        <v>0</v>
      </c>
      <c r="N417" s="72">
        <v>0</v>
      </c>
      <c r="O417" s="22">
        <v>0</v>
      </c>
      <c r="P417" s="21">
        <v>15822418.5</v>
      </c>
      <c r="S417" s="101" t="b">
        <f>OR(COUNTIF(Tabla2[[#This Row],[PROVEEDOR]],"*"&amp;'Palabra no opera'!$A$2&amp;"*"))</f>
        <v>0</v>
      </c>
      <c r="T417" s="113">
        <f>+$W$5-Tabla2[[#This Row],[FECHA DE FACTURACIÓN]]</f>
        <v>155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15" t="str">
        <f>+IF(AND(Tabla2[[#This Row],[venc]]="venc",Tabla2[[#This Row],[Columna1]]="por pagar"),"vencida","no")</f>
        <v>no</v>
      </c>
    </row>
    <row r="418" spans="1:23" ht="15.75" x14ac:dyDescent="0.25">
      <c r="A418" s="20">
        <v>30</v>
      </c>
      <c r="B418" s="25">
        <v>0</v>
      </c>
      <c r="C418" s="25"/>
      <c r="D418" s="56" t="s">
        <v>104</v>
      </c>
      <c r="E418" s="66">
        <v>45218</v>
      </c>
      <c r="F418" s="323" t="s">
        <v>299</v>
      </c>
      <c r="G418" s="66">
        <v>45218</v>
      </c>
      <c r="H418" s="35"/>
      <c r="I418" s="21">
        <v>1000000</v>
      </c>
      <c r="J418" s="21"/>
      <c r="K418" s="22">
        <v>0</v>
      </c>
      <c r="L418" s="23"/>
      <c r="M418" s="22">
        <v>0</v>
      </c>
      <c r="N418" s="72">
        <v>0</v>
      </c>
      <c r="O418" s="22">
        <v>0</v>
      </c>
      <c r="P418" s="21">
        <v>1000000</v>
      </c>
      <c r="S418" s="101" t="b">
        <f>OR(COUNTIF(Tabla2[[#This Row],[PROVEEDOR]],"*"&amp;'Palabra no opera'!$A$2&amp;"*"))</f>
        <v>0</v>
      </c>
      <c r="T418" s="113">
        <f>+$W$5-Tabla2[[#This Row],[FECHA DE FACTURACIÓN]]</f>
        <v>104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15" t="str">
        <f>+IF(AND(Tabla2[[#This Row],[venc]]="venc",Tabla2[[#This Row],[Columna1]]="por pagar"),"vencida","no")</f>
        <v>no</v>
      </c>
    </row>
    <row r="419" spans="1:23" ht="15.75" x14ac:dyDescent="0.25">
      <c r="A419" s="20">
        <v>30</v>
      </c>
      <c r="B419" s="25">
        <v>0</v>
      </c>
      <c r="C419" s="25"/>
      <c r="D419" s="56" t="s">
        <v>104</v>
      </c>
      <c r="E419" s="66">
        <v>45218</v>
      </c>
      <c r="F419" s="323" t="s">
        <v>521</v>
      </c>
      <c r="G419" s="66">
        <v>45217</v>
      </c>
      <c r="H419" s="35" t="s">
        <v>1192</v>
      </c>
      <c r="I419" s="21">
        <v>6764000</v>
      </c>
      <c r="J419" s="21"/>
      <c r="K419" s="22">
        <v>0</v>
      </c>
      <c r="L419" s="23"/>
      <c r="M419" s="22">
        <v>0</v>
      </c>
      <c r="N419" s="72">
        <v>0</v>
      </c>
      <c r="O419" s="22">
        <v>0</v>
      </c>
      <c r="P419" s="21">
        <v>6764000</v>
      </c>
      <c r="S419" s="101" t="b">
        <f>OR(COUNTIF(Tabla2[[#This Row],[PROVEEDOR]],"*"&amp;'Palabra no opera'!$A$2&amp;"*"))</f>
        <v>0</v>
      </c>
      <c r="T419" s="113">
        <f>+$W$5-Tabla2[[#This Row],[FECHA DE FACTURACIÓN]]</f>
        <v>105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15" t="str">
        <f>+IF(AND(Tabla2[[#This Row],[venc]]="venc",Tabla2[[#This Row],[Columna1]]="por pagar"),"vencida","no")</f>
        <v>no</v>
      </c>
    </row>
    <row r="420" spans="1:23" ht="15.75" x14ac:dyDescent="0.25">
      <c r="A420" s="20">
        <v>30</v>
      </c>
      <c r="B420" s="25">
        <v>0</v>
      </c>
      <c r="C420" s="25"/>
      <c r="D420" s="56" t="s">
        <v>1508</v>
      </c>
      <c r="E420" s="66">
        <v>45218</v>
      </c>
      <c r="F420" s="323" t="s">
        <v>406</v>
      </c>
      <c r="G420" s="66">
        <v>45201</v>
      </c>
      <c r="H420" s="35" t="s">
        <v>1165</v>
      </c>
      <c r="I420" s="21">
        <v>1840056</v>
      </c>
      <c r="J420" s="21"/>
      <c r="K420" s="22">
        <v>0</v>
      </c>
      <c r="L420" s="23"/>
      <c r="M420" s="22">
        <v>105097</v>
      </c>
      <c r="N420" s="72">
        <v>0</v>
      </c>
      <c r="O420" s="22">
        <v>0</v>
      </c>
      <c r="P420" s="21">
        <v>1734959</v>
      </c>
      <c r="S420" s="101" t="b">
        <f>OR(COUNTIF(Tabla2[[#This Row],[PROVEEDOR]],"*"&amp;'Palabra no opera'!$A$2&amp;"*"))</f>
        <v>1</v>
      </c>
      <c r="T420" s="113">
        <f>+$W$5-Tabla2[[#This Row],[FECHA DE FACTURACIÓN]]</f>
        <v>121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15" t="str">
        <f>+IF(AND(Tabla2[[#This Row],[venc]]="venc",Tabla2[[#This Row],[Columna1]]="por pagar"),"vencida","no")</f>
        <v>no</v>
      </c>
    </row>
    <row r="421" spans="1:23" ht="15.75" x14ac:dyDescent="0.25">
      <c r="A421" s="20">
        <v>30</v>
      </c>
      <c r="B421" s="25">
        <v>0</v>
      </c>
      <c r="C421" s="25"/>
      <c r="D421" s="56" t="s">
        <v>300</v>
      </c>
      <c r="E421" s="66">
        <v>45218</v>
      </c>
      <c r="F421" s="323" t="s">
        <v>409</v>
      </c>
      <c r="G421" s="66">
        <v>45200</v>
      </c>
      <c r="H421" s="35" t="s">
        <v>1164</v>
      </c>
      <c r="I421" s="21">
        <v>318603</v>
      </c>
      <c r="J421" s="21">
        <v>9545</v>
      </c>
      <c r="K421" s="22">
        <v>0</v>
      </c>
      <c r="L421" s="23"/>
      <c r="M421" s="22">
        <v>0</v>
      </c>
      <c r="N421" s="72">
        <v>0</v>
      </c>
      <c r="O421" s="22">
        <v>0</v>
      </c>
      <c r="P421" s="21">
        <v>309058</v>
      </c>
      <c r="S421" s="101" t="b">
        <f>OR(COUNTIF(Tabla2[[#This Row],[PROVEEDOR]],"*"&amp;'Palabra no opera'!$A$2&amp;"*"))</f>
        <v>1</v>
      </c>
      <c r="T421" s="113">
        <f>+$W$5-Tabla2[[#This Row],[FECHA DE FACTURACIÓN]]</f>
        <v>122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15" t="str">
        <f>+IF(AND(Tabla2[[#This Row],[venc]]="venc",Tabla2[[#This Row],[Columna1]]="por pagar"),"vencida","no")</f>
        <v>no</v>
      </c>
    </row>
    <row r="422" spans="1:23" ht="15.75" x14ac:dyDescent="0.25">
      <c r="A422" s="20">
        <v>30</v>
      </c>
      <c r="B422" s="25">
        <v>0</v>
      </c>
      <c r="C422" s="25"/>
      <c r="D422" s="56" t="s">
        <v>505</v>
      </c>
      <c r="E422" s="66">
        <v>45218</v>
      </c>
      <c r="F422" s="323" t="s">
        <v>416</v>
      </c>
      <c r="G422" s="66">
        <v>45200</v>
      </c>
      <c r="H422" s="35" t="s">
        <v>1175</v>
      </c>
      <c r="I422" s="21">
        <v>3935776</v>
      </c>
      <c r="J422" s="21"/>
      <c r="K422" s="22">
        <v>665000</v>
      </c>
      <c r="L422" s="23"/>
      <c r="M422" s="22">
        <v>0</v>
      </c>
      <c r="N422" s="72">
        <v>3.5000000000000003E-2</v>
      </c>
      <c r="O422" s="22"/>
      <c r="P422" s="21">
        <v>4600776</v>
      </c>
      <c r="S422" s="101" t="b">
        <f>OR(COUNTIF(Tabla2[[#This Row],[PROVEEDOR]],"*"&amp;'Palabra no opera'!$A$2&amp;"*"))</f>
        <v>1</v>
      </c>
      <c r="T422" s="113">
        <f>+$W$5-Tabla2[[#This Row],[FECHA DE FACTURACIÓN]]</f>
        <v>122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15" t="str">
        <f>+IF(AND(Tabla2[[#This Row],[venc]]="venc",Tabla2[[#This Row],[Columna1]]="por pagar"),"vencida","no")</f>
        <v>no</v>
      </c>
    </row>
    <row r="423" spans="1:23" ht="15.75" x14ac:dyDescent="0.25">
      <c r="A423" s="20">
        <v>30</v>
      </c>
      <c r="B423" s="25">
        <v>0</v>
      </c>
      <c r="C423" s="25"/>
      <c r="D423" s="56" t="s">
        <v>174</v>
      </c>
      <c r="E423" s="66">
        <v>45218</v>
      </c>
      <c r="F423" s="323" t="s">
        <v>427</v>
      </c>
      <c r="G423" s="66">
        <v>45200</v>
      </c>
      <c r="H423" s="35" t="s">
        <v>1166</v>
      </c>
      <c r="I423" s="21">
        <v>243611</v>
      </c>
      <c r="J423" s="21"/>
      <c r="K423" s="22">
        <v>46286.090000000004</v>
      </c>
      <c r="L423" s="23"/>
      <c r="M423" s="22">
        <v>0</v>
      </c>
      <c r="N423" s="72">
        <v>3.5000000000000003E-2</v>
      </c>
      <c r="O423" s="22">
        <v>8526.3850000000002</v>
      </c>
      <c r="P423" s="21">
        <v>281370.70500000002</v>
      </c>
      <c r="S423" s="101" t="b">
        <f>OR(COUNTIF(Tabla2[[#This Row],[PROVEEDOR]],"*"&amp;'Palabra no opera'!$A$2&amp;"*"))</f>
        <v>1</v>
      </c>
      <c r="T423" s="113">
        <f>+$W$5-Tabla2[[#This Row],[FECHA DE FACTURACIÓN]]</f>
        <v>122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15" t="str">
        <f>+IF(AND(Tabla2[[#This Row],[venc]]="venc",Tabla2[[#This Row],[Columna1]]="por pagar"),"vencida","no")</f>
        <v>no</v>
      </c>
    </row>
    <row r="424" spans="1:23" ht="15.75" x14ac:dyDescent="0.25">
      <c r="A424" s="20">
        <v>10</v>
      </c>
      <c r="B424" s="25">
        <v>0</v>
      </c>
      <c r="C424" s="25"/>
      <c r="D424" s="56" t="s">
        <v>523</v>
      </c>
      <c r="E424" s="66">
        <v>45218</v>
      </c>
      <c r="F424" s="323" t="s">
        <v>522</v>
      </c>
      <c r="G424" s="66">
        <v>45200</v>
      </c>
      <c r="H424" s="35" t="s">
        <v>1163</v>
      </c>
      <c r="I424" s="21">
        <v>5350576</v>
      </c>
      <c r="J424" s="21"/>
      <c r="K424" s="22">
        <v>1016609</v>
      </c>
      <c r="L424" s="23"/>
      <c r="M424" s="22">
        <v>0</v>
      </c>
      <c r="N424" s="72">
        <v>0</v>
      </c>
      <c r="O424" s="22">
        <v>0</v>
      </c>
      <c r="P424" s="21">
        <v>6367185</v>
      </c>
      <c r="S424" s="101" t="b">
        <f>OR(COUNTIF(Tabla2[[#This Row],[PROVEEDOR]],"*"&amp;'Palabra no opera'!$A$2&amp;"*"))</f>
        <v>1</v>
      </c>
      <c r="T424" s="113">
        <f>+$W$5-Tabla2[[#This Row],[FECHA DE FACTURACIÓN]]</f>
        <v>122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15" t="str">
        <f>+IF(AND(Tabla2[[#This Row],[venc]]="venc",Tabla2[[#This Row],[Columna1]]="por pagar"),"vencida","no")</f>
        <v>no</v>
      </c>
    </row>
    <row r="425" spans="1:23" ht="15.75" x14ac:dyDescent="0.25">
      <c r="A425" s="20">
        <v>30</v>
      </c>
      <c r="B425" s="25">
        <v>-100999.9886</v>
      </c>
      <c r="C425" s="25"/>
      <c r="D425" s="56" t="s">
        <v>1537</v>
      </c>
      <c r="E425" s="66">
        <v>45218</v>
      </c>
      <c r="F425" s="323" t="s">
        <v>246</v>
      </c>
      <c r="G425" s="66">
        <v>45169</v>
      </c>
      <c r="H425" s="35" t="s">
        <v>1074</v>
      </c>
      <c r="I425" s="21">
        <v>1181915</v>
      </c>
      <c r="J425" s="21"/>
      <c r="K425" s="22">
        <v>224563.85</v>
      </c>
      <c r="L425" s="23"/>
      <c r="M425" s="22">
        <v>0</v>
      </c>
      <c r="N425" s="72">
        <v>2.5000000000000001E-2</v>
      </c>
      <c r="O425" s="22">
        <v>29547.875</v>
      </c>
      <c r="P425" s="21">
        <v>1376930.9750000001</v>
      </c>
      <c r="S425" s="101" t="b">
        <f>OR(COUNTIF(Tabla2[[#This Row],[PROVEEDOR]],"*"&amp;'Palabra no opera'!$A$2&amp;"*"))</f>
        <v>0</v>
      </c>
      <c r="T425" s="113">
        <f>+$W$5-Tabla2[[#This Row],[FECHA DE FACTURACIÓN]]</f>
        <v>153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15" t="str">
        <f>+IF(AND(Tabla2[[#This Row],[venc]]="venc",Tabla2[[#This Row],[Columna1]]="por pagar"),"vencida","no")</f>
        <v>no</v>
      </c>
    </row>
    <row r="426" spans="1:23" ht="15.75" x14ac:dyDescent="0.25">
      <c r="A426" s="20">
        <v>30</v>
      </c>
      <c r="B426" s="25">
        <v>8306450</v>
      </c>
      <c r="C426" s="25"/>
      <c r="D426" s="56" t="s">
        <v>755</v>
      </c>
      <c r="E426" s="66">
        <v>45218</v>
      </c>
      <c r="F426" s="323" t="s">
        <v>754</v>
      </c>
      <c r="G426" s="66">
        <v>45154</v>
      </c>
      <c r="H426" s="35" t="s">
        <v>1054</v>
      </c>
      <c r="I426" s="21">
        <v>6870000</v>
      </c>
      <c r="J426" s="21"/>
      <c r="K426" s="22">
        <v>1305300</v>
      </c>
      <c r="L426" s="23"/>
      <c r="M426" s="22">
        <v>0</v>
      </c>
      <c r="N426" s="72">
        <v>2.5000000000000001E-2</v>
      </c>
      <c r="O426" s="22">
        <v>171750</v>
      </c>
      <c r="P426" s="21">
        <v>8003550</v>
      </c>
      <c r="S426" s="101" t="b">
        <f>OR(COUNTIF(Tabla2[[#This Row],[PROVEEDOR]],"*"&amp;'Palabra no opera'!$A$2&amp;"*"))</f>
        <v>0</v>
      </c>
      <c r="T426" s="113">
        <f>+$W$5-Tabla2[[#This Row],[FECHA DE FACTURACIÓN]]</f>
        <v>168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15" t="str">
        <f>+IF(AND(Tabla2[[#This Row],[venc]]="venc",Tabla2[[#This Row],[Columna1]]="por pagar"),"vencida","no")</f>
        <v>no</v>
      </c>
    </row>
    <row r="427" spans="1:23" ht="15.75" x14ac:dyDescent="0.25">
      <c r="A427" s="20">
        <v>30</v>
      </c>
      <c r="B427" s="25">
        <v>0</v>
      </c>
      <c r="C427" s="25"/>
      <c r="D427" s="56" t="s">
        <v>755</v>
      </c>
      <c r="E427" s="66">
        <v>45218</v>
      </c>
      <c r="F427" s="323" t="s">
        <v>770</v>
      </c>
      <c r="G427" s="66">
        <v>45153</v>
      </c>
      <c r="H427" s="35">
        <v>31505</v>
      </c>
      <c r="I427" s="21">
        <v>116000</v>
      </c>
      <c r="J427" s="21"/>
      <c r="K427" s="22">
        <v>0</v>
      </c>
      <c r="L427" s="23"/>
      <c r="M427" s="22">
        <v>0</v>
      </c>
      <c r="N427" s="72">
        <v>0</v>
      </c>
      <c r="O427" s="22">
        <v>0</v>
      </c>
      <c r="P427" s="21">
        <v>116000</v>
      </c>
      <c r="S427" s="101" t="b">
        <f>OR(COUNTIF(Tabla2[[#This Row],[PROVEEDOR]],"*"&amp;'Palabra no opera'!$A$2&amp;"*"))</f>
        <v>0</v>
      </c>
      <c r="T427" s="113">
        <f>+$W$5-Tabla2[[#This Row],[FECHA DE FACTURACIÓN]]</f>
        <v>169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15" t="str">
        <f>+IF(AND(Tabla2[[#This Row],[venc]]="venc",Tabla2[[#This Row],[Columna1]]="por pagar"),"vencida","no")</f>
        <v>no</v>
      </c>
    </row>
    <row r="428" spans="1:23" ht="15.75" x14ac:dyDescent="0.25">
      <c r="A428" s="20">
        <v>30</v>
      </c>
      <c r="B428" s="25">
        <v>1500000</v>
      </c>
      <c r="C428" s="25"/>
      <c r="D428" s="56" t="s">
        <v>104</v>
      </c>
      <c r="E428" s="66">
        <v>45217</v>
      </c>
      <c r="F428" s="323" t="s">
        <v>273</v>
      </c>
      <c r="G428" s="66">
        <v>45140</v>
      </c>
      <c r="H428" s="35" t="s">
        <v>991</v>
      </c>
      <c r="I428" s="21">
        <v>3496000</v>
      </c>
      <c r="J428" s="21"/>
      <c r="K428" s="22">
        <v>0</v>
      </c>
      <c r="L428" s="23"/>
      <c r="M428" s="22">
        <v>0</v>
      </c>
      <c r="N428" s="72">
        <v>0</v>
      </c>
      <c r="O428" s="22">
        <v>0</v>
      </c>
      <c r="P428" s="21">
        <v>3496000</v>
      </c>
      <c r="S428" s="101" t="b">
        <f>OR(COUNTIF(Tabla2[[#This Row],[PROVEEDOR]],"*"&amp;'Palabra no opera'!$A$2&amp;"*"))</f>
        <v>0</v>
      </c>
      <c r="T428" s="113">
        <f>+$W$5-Tabla2[[#This Row],[FECHA DE FACTURACIÓN]]</f>
        <v>182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15" t="str">
        <f>+IF(AND(Tabla2[[#This Row],[venc]]="venc",Tabla2[[#This Row],[Columna1]]="por pagar"),"vencida","no")</f>
        <v>no</v>
      </c>
    </row>
    <row r="429" spans="1:23" ht="15.75" x14ac:dyDescent="0.25">
      <c r="A429" s="20">
        <v>30</v>
      </c>
      <c r="B429" s="25">
        <v>0</v>
      </c>
      <c r="C429" s="25"/>
      <c r="D429" s="56" t="s">
        <v>104</v>
      </c>
      <c r="E429" s="66">
        <v>45213</v>
      </c>
      <c r="F429" s="323" t="s">
        <v>521</v>
      </c>
      <c r="G429" s="66">
        <v>45212</v>
      </c>
      <c r="H429" s="35" t="s">
        <v>1193</v>
      </c>
      <c r="I429" s="21">
        <v>2740000</v>
      </c>
      <c r="J429" s="21"/>
      <c r="K429" s="22">
        <v>0</v>
      </c>
      <c r="L429" s="23"/>
      <c r="M429" s="22">
        <v>0</v>
      </c>
      <c r="N429" s="72">
        <v>0</v>
      </c>
      <c r="O429" s="22">
        <v>0</v>
      </c>
      <c r="P429" s="21">
        <v>2740000</v>
      </c>
      <c r="S429" s="101" t="b">
        <f>OR(COUNTIF(Tabla2[[#This Row],[PROVEEDOR]],"*"&amp;'Palabra no opera'!$A$2&amp;"*"))</f>
        <v>0</v>
      </c>
      <c r="T429" s="113">
        <f>+$W$5-Tabla2[[#This Row],[FECHA DE FACTURACIÓN]]</f>
        <v>110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15" t="str">
        <f>+IF(AND(Tabla2[[#This Row],[venc]]="venc",Tabla2[[#This Row],[Columna1]]="por pagar"),"vencida","no")</f>
        <v>no</v>
      </c>
    </row>
    <row r="430" spans="1:23" ht="15.75" x14ac:dyDescent="0.25">
      <c r="A430" s="20">
        <v>30</v>
      </c>
      <c r="B430" s="25">
        <v>0</v>
      </c>
      <c r="C430" s="25"/>
      <c r="D430" s="56" t="s">
        <v>104</v>
      </c>
      <c r="E430" s="66">
        <v>45211</v>
      </c>
      <c r="F430" s="323" t="s">
        <v>279</v>
      </c>
      <c r="G430" s="66">
        <v>45211</v>
      </c>
      <c r="H430" s="35" t="s">
        <v>1174</v>
      </c>
      <c r="I430" s="21">
        <v>280331</v>
      </c>
      <c r="J430" s="21"/>
      <c r="K430" s="22">
        <v>0</v>
      </c>
      <c r="L430" s="23"/>
      <c r="M430" s="22">
        <v>0</v>
      </c>
      <c r="N430" s="72">
        <v>0</v>
      </c>
      <c r="O430" s="22">
        <v>0</v>
      </c>
      <c r="P430" s="21">
        <v>280331</v>
      </c>
      <c r="S430" s="101" t="b">
        <f>OR(COUNTIF(Tabla2[[#This Row],[PROVEEDOR]],"*"&amp;'Palabra no opera'!$A$2&amp;"*"))</f>
        <v>0</v>
      </c>
      <c r="T430" s="113">
        <f>+$W$5-Tabla2[[#This Row],[FECHA DE FACTURACIÓN]]</f>
        <v>111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15" t="str">
        <f>+IF(AND(Tabla2[[#This Row],[venc]]="venc",Tabla2[[#This Row],[Columna1]]="por pagar"),"vencida","no")</f>
        <v>no</v>
      </c>
    </row>
    <row r="431" spans="1:23" ht="15.75" x14ac:dyDescent="0.25">
      <c r="A431" s="20">
        <v>30</v>
      </c>
      <c r="B431" s="25">
        <v>0</v>
      </c>
      <c r="C431" s="25"/>
      <c r="D431" s="56" t="s">
        <v>104</v>
      </c>
      <c r="E431" s="66">
        <v>45211</v>
      </c>
      <c r="F431" s="323" t="s">
        <v>303</v>
      </c>
      <c r="G431" s="66">
        <v>45211</v>
      </c>
      <c r="H431" s="35" t="s">
        <v>1187</v>
      </c>
      <c r="I431" s="21">
        <v>550000</v>
      </c>
      <c r="J431" s="21"/>
      <c r="K431" s="22">
        <v>0</v>
      </c>
      <c r="L431" s="23"/>
      <c r="M431" s="22">
        <v>0</v>
      </c>
      <c r="N431" s="72">
        <v>0</v>
      </c>
      <c r="O431" s="22">
        <v>0</v>
      </c>
      <c r="P431" s="21">
        <v>550000</v>
      </c>
      <c r="S431" s="101" t="b">
        <f>OR(COUNTIF(Tabla2[[#This Row],[PROVEEDOR]],"*"&amp;'Palabra no opera'!$A$2&amp;"*"))</f>
        <v>0</v>
      </c>
      <c r="T431" s="113">
        <f>+$W$5-Tabla2[[#This Row],[FECHA DE FACTURACIÓN]]</f>
        <v>111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15" t="str">
        <f>+IF(AND(Tabla2[[#This Row],[venc]]="venc",Tabla2[[#This Row],[Columna1]]="por pagar"),"vencida","no")</f>
        <v>no</v>
      </c>
    </row>
    <row r="432" spans="1:23" ht="15.75" x14ac:dyDescent="0.25">
      <c r="A432" s="20">
        <v>30</v>
      </c>
      <c r="B432" s="25">
        <v>0</v>
      </c>
      <c r="C432" s="25"/>
      <c r="D432" s="56" t="s">
        <v>104</v>
      </c>
      <c r="E432" s="66">
        <v>45210</v>
      </c>
      <c r="F432" s="323" t="s">
        <v>279</v>
      </c>
      <c r="G432" s="66">
        <v>45210</v>
      </c>
      <c r="H432" s="35" t="s">
        <v>1196</v>
      </c>
      <c r="I432" s="21">
        <v>180000</v>
      </c>
      <c r="J432" s="21"/>
      <c r="K432" s="22">
        <v>0</v>
      </c>
      <c r="L432" s="23"/>
      <c r="M432" s="22">
        <v>0</v>
      </c>
      <c r="N432" s="72">
        <v>0</v>
      </c>
      <c r="O432" s="22">
        <v>0</v>
      </c>
      <c r="P432" s="21">
        <v>180000</v>
      </c>
      <c r="S432" s="101" t="b">
        <f>OR(COUNTIF(Tabla2[[#This Row],[PROVEEDOR]],"*"&amp;'Palabra no opera'!$A$2&amp;"*"))</f>
        <v>0</v>
      </c>
      <c r="T432" s="113">
        <f>+$W$5-Tabla2[[#This Row],[FECHA DE FACTURACIÓN]]</f>
        <v>112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15" t="str">
        <f>+IF(AND(Tabla2[[#This Row],[venc]]="venc",Tabla2[[#This Row],[Columna1]]="por pagar"),"vencida","no")</f>
        <v>no</v>
      </c>
    </row>
    <row r="433" spans="1:23" ht="15.75" x14ac:dyDescent="0.25">
      <c r="A433" s="20">
        <v>30</v>
      </c>
      <c r="B433" s="25">
        <v>0</v>
      </c>
      <c r="C433" s="25"/>
      <c r="D433" s="56" t="s">
        <v>104</v>
      </c>
      <c r="E433" s="66">
        <v>45209</v>
      </c>
      <c r="F433" s="323" t="s">
        <v>291</v>
      </c>
      <c r="G433" s="66">
        <v>45209</v>
      </c>
      <c r="H433" s="35" t="s">
        <v>1200</v>
      </c>
      <c r="I433" s="21">
        <v>1380000</v>
      </c>
      <c r="J433" s="21"/>
      <c r="K433" s="22">
        <v>0</v>
      </c>
      <c r="L433" s="23"/>
      <c r="M433" s="22">
        <v>0</v>
      </c>
      <c r="N433" s="72">
        <v>0</v>
      </c>
      <c r="O433" s="22">
        <v>0</v>
      </c>
      <c r="P433" s="21">
        <v>1380000</v>
      </c>
      <c r="S433" s="101" t="b">
        <f>OR(COUNTIF(Tabla2[[#This Row],[PROVEEDOR]],"*"&amp;'Palabra no opera'!$A$2&amp;"*"))</f>
        <v>0</v>
      </c>
      <c r="T433" s="113">
        <f>+$W$5-Tabla2[[#This Row],[FECHA DE FACTURACIÓN]]</f>
        <v>113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15" t="str">
        <f>+IF(AND(Tabla2[[#This Row],[venc]]="venc",Tabla2[[#This Row],[Columna1]]="por pagar"),"vencida","no")</f>
        <v>no</v>
      </c>
    </row>
    <row r="434" spans="1:23" ht="15.75" x14ac:dyDescent="0.25">
      <c r="A434" s="20">
        <v>30</v>
      </c>
      <c r="B434" s="25">
        <v>0</v>
      </c>
      <c r="C434" s="25"/>
      <c r="D434" s="56" t="s">
        <v>284</v>
      </c>
      <c r="E434" s="66">
        <v>45209</v>
      </c>
      <c r="F434" s="323" t="s">
        <v>401</v>
      </c>
      <c r="G434" s="66">
        <v>45200</v>
      </c>
      <c r="H434" s="35" t="s">
        <v>1128</v>
      </c>
      <c r="I434" s="21">
        <v>3792544</v>
      </c>
      <c r="J434" s="21"/>
      <c r="K434" s="22">
        <v>720583.36</v>
      </c>
      <c r="L434" s="23"/>
      <c r="M434" s="22">
        <v>0</v>
      </c>
      <c r="N434" s="72">
        <v>0</v>
      </c>
      <c r="O434" s="22">
        <v>0</v>
      </c>
      <c r="P434" s="21">
        <v>4513127.3600000003</v>
      </c>
      <c r="S434" s="101" t="b">
        <f>OR(COUNTIF(Tabla2[[#This Row],[PROVEEDOR]],"*"&amp;'Palabra no opera'!$A$2&amp;"*"))</f>
        <v>1</v>
      </c>
      <c r="T434" s="113">
        <f>+$W$5-Tabla2[[#This Row],[FECHA DE FACTURACIÓN]]</f>
        <v>122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15" t="str">
        <f>+IF(AND(Tabla2[[#This Row],[venc]]="venc",Tabla2[[#This Row],[Columna1]]="por pagar"),"vencida","no")</f>
        <v>no</v>
      </c>
    </row>
    <row r="435" spans="1:23" ht="15.75" x14ac:dyDescent="0.25">
      <c r="A435" s="20">
        <v>30</v>
      </c>
      <c r="B435" s="25">
        <v>0</v>
      </c>
      <c r="C435" s="25"/>
      <c r="D435" s="56" t="s">
        <v>284</v>
      </c>
      <c r="E435" s="66">
        <v>45209</v>
      </c>
      <c r="F435" s="323" t="s">
        <v>401</v>
      </c>
      <c r="G435" s="66">
        <v>45200</v>
      </c>
      <c r="H435" s="35" t="s">
        <v>1131</v>
      </c>
      <c r="I435" s="21">
        <v>908172</v>
      </c>
      <c r="J435" s="21"/>
      <c r="K435" s="22">
        <v>172552.68</v>
      </c>
      <c r="L435" s="23"/>
      <c r="M435" s="22">
        <v>0</v>
      </c>
      <c r="N435" s="72">
        <v>0</v>
      </c>
      <c r="O435" s="22">
        <v>0</v>
      </c>
      <c r="P435" s="21">
        <v>1080724.68</v>
      </c>
      <c r="S435" s="101" t="b">
        <f>OR(COUNTIF(Tabla2[[#This Row],[PROVEEDOR]],"*"&amp;'Palabra no opera'!$A$2&amp;"*"))</f>
        <v>1</v>
      </c>
      <c r="T435" s="113">
        <f>+$W$5-Tabla2[[#This Row],[FECHA DE FACTURACIÓN]]</f>
        <v>122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15" t="str">
        <f>+IF(AND(Tabla2[[#This Row],[venc]]="venc",Tabla2[[#This Row],[Columna1]]="por pagar"),"vencida","no")</f>
        <v>no</v>
      </c>
    </row>
    <row r="436" spans="1:23" ht="15.75" x14ac:dyDescent="0.25">
      <c r="A436" s="20">
        <v>30</v>
      </c>
      <c r="B436" s="25">
        <v>0</v>
      </c>
      <c r="C436" s="25"/>
      <c r="D436" s="56" t="s">
        <v>284</v>
      </c>
      <c r="E436" s="66">
        <v>45209</v>
      </c>
      <c r="F436" s="323" t="s">
        <v>401</v>
      </c>
      <c r="G436" s="66">
        <v>45200</v>
      </c>
      <c r="H436" s="35" t="s">
        <v>1132</v>
      </c>
      <c r="I436" s="21">
        <v>20226</v>
      </c>
      <c r="J436" s="21"/>
      <c r="K436" s="22">
        <v>3842.94</v>
      </c>
      <c r="L436" s="23"/>
      <c r="M436" s="22">
        <v>0</v>
      </c>
      <c r="N436" s="72">
        <v>0</v>
      </c>
      <c r="O436" s="22">
        <v>0</v>
      </c>
      <c r="P436" s="21">
        <v>24068.94</v>
      </c>
      <c r="S436" s="101" t="b">
        <f>OR(COUNTIF(Tabla2[[#This Row],[PROVEEDOR]],"*"&amp;'Palabra no opera'!$A$2&amp;"*"))</f>
        <v>1</v>
      </c>
      <c r="T436" s="113">
        <f>+$W$5-Tabla2[[#This Row],[FECHA DE FACTURACIÓN]]</f>
        <v>122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15" t="str">
        <f>+IF(AND(Tabla2[[#This Row],[venc]]="venc",Tabla2[[#This Row],[Columna1]]="por pagar"),"vencida","no")</f>
        <v>no</v>
      </c>
    </row>
    <row r="437" spans="1:23" ht="15.75" x14ac:dyDescent="0.25">
      <c r="A437" s="20">
        <v>30</v>
      </c>
      <c r="B437" s="25">
        <v>0</v>
      </c>
      <c r="C437" s="25"/>
      <c r="D437" s="56" t="s">
        <v>104</v>
      </c>
      <c r="E437" s="66">
        <v>45209</v>
      </c>
      <c r="F437" s="323" t="s">
        <v>308</v>
      </c>
      <c r="G437" s="66">
        <v>45181</v>
      </c>
      <c r="H437" s="35" t="s">
        <v>1154</v>
      </c>
      <c r="I437" s="21">
        <v>1068000</v>
      </c>
      <c r="J437" s="21"/>
      <c r="K437" s="22">
        <v>0</v>
      </c>
      <c r="L437" s="23"/>
      <c r="M437" s="22">
        <v>0</v>
      </c>
      <c r="N437" s="72">
        <v>0</v>
      </c>
      <c r="O437" s="22">
        <v>0</v>
      </c>
      <c r="P437" s="21">
        <v>1068000</v>
      </c>
      <c r="S437" s="101" t="b">
        <f>OR(COUNTIF(Tabla2[[#This Row],[PROVEEDOR]],"*"&amp;'Palabra no opera'!$A$2&amp;"*"))</f>
        <v>0</v>
      </c>
      <c r="T437" s="113">
        <f>+$W$5-Tabla2[[#This Row],[FECHA DE FACTURACIÓN]]</f>
        <v>141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15" t="str">
        <f>+IF(AND(Tabla2[[#This Row],[venc]]="venc",Tabla2[[#This Row],[Columna1]]="por pagar"),"vencida","no")</f>
        <v>no</v>
      </c>
    </row>
    <row r="438" spans="1:23" ht="15.75" x14ac:dyDescent="0.25">
      <c r="A438" s="20">
        <v>30</v>
      </c>
      <c r="B438" s="25">
        <v>0</v>
      </c>
      <c r="C438" s="25"/>
      <c r="D438" s="56" t="s">
        <v>104</v>
      </c>
      <c r="E438" s="66">
        <v>45208</v>
      </c>
      <c r="F438" s="323" t="s">
        <v>299</v>
      </c>
      <c r="G438" s="66">
        <v>45208</v>
      </c>
      <c r="H438" s="35"/>
      <c r="I438" s="21">
        <v>1000000</v>
      </c>
      <c r="J438" s="21"/>
      <c r="K438" s="22">
        <v>0</v>
      </c>
      <c r="L438" s="23"/>
      <c r="M438" s="22">
        <v>0</v>
      </c>
      <c r="N438" s="72">
        <v>0</v>
      </c>
      <c r="O438" s="22">
        <v>0</v>
      </c>
      <c r="P438" s="21">
        <v>1000000</v>
      </c>
      <c r="S438" s="101" t="b">
        <f>OR(COUNTIF(Tabla2[[#This Row],[PROVEEDOR]],"*"&amp;'Palabra no opera'!$A$2&amp;"*"))</f>
        <v>0</v>
      </c>
      <c r="T438" s="113">
        <f>+$W$5-Tabla2[[#This Row],[FECHA DE FACTURACIÓN]]</f>
        <v>114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15" t="str">
        <f>+IF(AND(Tabla2[[#This Row],[venc]]="venc",Tabla2[[#This Row],[Columna1]]="por pagar"),"vencida","no")</f>
        <v>no</v>
      </c>
    </row>
    <row r="439" spans="1:23" ht="15.75" x14ac:dyDescent="0.25">
      <c r="A439" s="20">
        <v>30</v>
      </c>
      <c r="B439" s="25">
        <v>0</v>
      </c>
      <c r="C439" s="25"/>
      <c r="D439" s="56">
        <v>0</v>
      </c>
      <c r="E439" s="66">
        <v>45208</v>
      </c>
      <c r="F439" s="323" t="s">
        <v>588</v>
      </c>
      <c r="G439" s="66">
        <v>45208</v>
      </c>
      <c r="H439" s="35" t="s">
        <v>1231</v>
      </c>
      <c r="I439" s="21">
        <v>416500</v>
      </c>
      <c r="J439" s="21"/>
      <c r="K439" s="22">
        <v>79135</v>
      </c>
      <c r="L439" s="23"/>
      <c r="M439" s="22">
        <v>0</v>
      </c>
      <c r="N439" s="72">
        <v>0</v>
      </c>
      <c r="O439" s="22">
        <v>0</v>
      </c>
      <c r="P439" s="21">
        <v>495635</v>
      </c>
      <c r="S439" s="101" t="b">
        <f>OR(COUNTIF(Tabla2[[#This Row],[PROVEEDOR]],"*"&amp;'Palabra no opera'!$A$2&amp;"*"))</f>
        <v>0</v>
      </c>
      <c r="T439" s="113">
        <f>+$W$5-Tabla2[[#This Row],[FECHA DE FACTURACIÓN]]</f>
        <v>114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15" t="str">
        <f>+IF(AND(Tabla2[[#This Row],[venc]]="venc",Tabla2[[#This Row],[Columna1]]="por pagar"),"vencida","no")</f>
        <v>no</v>
      </c>
    </row>
    <row r="440" spans="1:23" ht="15.75" x14ac:dyDescent="0.25">
      <c r="A440" s="20">
        <v>30</v>
      </c>
      <c r="B440" s="25">
        <v>2169355.9580000001</v>
      </c>
      <c r="C440" s="25"/>
      <c r="D440" s="56" t="s">
        <v>164</v>
      </c>
      <c r="E440" s="66">
        <v>45208</v>
      </c>
      <c r="F440" s="323" t="s">
        <v>18</v>
      </c>
      <c r="G440" s="66">
        <v>45175</v>
      </c>
      <c r="H440" s="35" t="s">
        <v>1115</v>
      </c>
      <c r="I440" s="21">
        <v>884468</v>
      </c>
      <c r="J440" s="21"/>
      <c r="K440" s="22">
        <v>168048.92</v>
      </c>
      <c r="L440" s="23"/>
      <c r="M440" s="22">
        <v>0</v>
      </c>
      <c r="N440" s="72">
        <v>0</v>
      </c>
      <c r="O440" s="22">
        <v>0</v>
      </c>
      <c r="P440" s="21">
        <v>1052516.92</v>
      </c>
      <c r="S440" s="101" t="b">
        <f>OR(COUNTIF(Tabla2[[#This Row],[PROVEEDOR]],"*"&amp;'Palabra no opera'!$A$2&amp;"*"))</f>
        <v>0</v>
      </c>
      <c r="T440" s="113">
        <f>+$W$5-Tabla2[[#This Row],[FECHA DE FACTURACIÓN]]</f>
        <v>147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15" t="str">
        <f>+IF(AND(Tabla2[[#This Row],[venc]]="venc",Tabla2[[#This Row],[Columna1]]="por pagar"),"vencida","no")</f>
        <v>no</v>
      </c>
    </row>
    <row r="441" spans="1:23" ht="15.75" x14ac:dyDescent="0.25">
      <c r="A441" s="20">
        <v>30</v>
      </c>
      <c r="B441" s="25">
        <v>3065837.2199999997</v>
      </c>
      <c r="C441" s="25"/>
      <c r="D441" s="56" t="s">
        <v>169</v>
      </c>
      <c r="E441" s="66">
        <v>45208</v>
      </c>
      <c r="F441" s="323" t="s">
        <v>17</v>
      </c>
      <c r="G441" s="66">
        <v>45174</v>
      </c>
      <c r="H441" s="35" t="s">
        <v>1194</v>
      </c>
      <c r="I441" s="21">
        <v>1053062</v>
      </c>
      <c r="J441" s="21"/>
      <c r="K441" s="22">
        <v>200081.78</v>
      </c>
      <c r="L441" s="23"/>
      <c r="M441" s="22">
        <v>0</v>
      </c>
      <c r="N441" s="72">
        <v>0</v>
      </c>
      <c r="O441" s="22">
        <v>0</v>
      </c>
      <c r="P441" s="21">
        <v>1253143.78</v>
      </c>
      <c r="S441" s="101" t="b">
        <f>OR(COUNTIF(Tabla2[[#This Row],[PROVEEDOR]],"*"&amp;'Palabra no opera'!$A$2&amp;"*"))</f>
        <v>0</v>
      </c>
      <c r="T441" s="113">
        <f>+$W$5-Tabla2[[#This Row],[FECHA DE FACTURACIÓN]]</f>
        <v>148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15" t="str">
        <f>+IF(AND(Tabla2[[#This Row],[venc]]="venc",Tabla2[[#This Row],[Columna1]]="por pagar"),"vencida","no")</f>
        <v>no</v>
      </c>
    </row>
    <row r="442" spans="1:23" ht="15.75" x14ac:dyDescent="0.25">
      <c r="A442" s="20">
        <v>30</v>
      </c>
      <c r="B442" s="25">
        <v>2190013.0175000001</v>
      </c>
      <c r="C442" s="25"/>
      <c r="D442" s="56" t="s">
        <v>180</v>
      </c>
      <c r="E442" s="66">
        <v>45208</v>
      </c>
      <c r="F442" s="323" t="s">
        <v>491</v>
      </c>
      <c r="G442" s="66">
        <v>45174</v>
      </c>
      <c r="H442" s="35" t="s">
        <v>1109</v>
      </c>
      <c r="I442" s="21">
        <v>1928576</v>
      </c>
      <c r="J442" s="21"/>
      <c r="K442" s="22">
        <v>366429.44</v>
      </c>
      <c r="L442" s="23"/>
      <c r="M442" s="22">
        <v>0</v>
      </c>
      <c r="N442" s="72">
        <v>2.5000000000000001E-2</v>
      </c>
      <c r="O442" s="22">
        <v>48214.400000000001</v>
      </c>
      <c r="P442" s="21">
        <v>2246791.04</v>
      </c>
      <c r="S442" s="101" t="b">
        <f>OR(COUNTIF(Tabla2[[#This Row],[PROVEEDOR]],"*"&amp;'Palabra no opera'!$A$2&amp;"*"))</f>
        <v>0</v>
      </c>
      <c r="T442" s="113">
        <f>+$W$5-Tabla2[[#This Row],[FECHA DE FACTURACIÓN]]</f>
        <v>148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15" t="str">
        <f>+IF(AND(Tabla2[[#This Row],[venc]]="venc",Tabla2[[#This Row],[Columna1]]="por pagar"),"vencida","no")</f>
        <v>no</v>
      </c>
    </row>
    <row r="443" spans="1:23" ht="15.75" x14ac:dyDescent="0.25">
      <c r="A443" s="20">
        <v>30</v>
      </c>
      <c r="B443" s="25">
        <v>3065837.2199999997</v>
      </c>
      <c r="C443" s="25"/>
      <c r="D443" s="56" t="s">
        <v>169</v>
      </c>
      <c r="E443" s="66">
        <v>45208</v>
      </c>
      <c r="F443" s="323" t="s">
        <v>17</v>
      </c>
      <c r="G443" s="66">
        <v>45173</v>
      </c>
      <c r="H443" s="35" t="s">
        <v>1123</v>
      </c>
      <c r="I443" s="21">
        <v>787465</v>
      </c>
      <c r="J443" s="21"/>
      <c r="K443" s="22">
        <v>0</v>
      </c>
      <c r="L443" s="23"/>
      <c r="M443" s="22">
        <v>0</v>
      </c>
      <c r="N443" s="72">
        <v>0</v>
      </c>
      <c r="O443" s="22">
        <v>0</v>
      </c>
      <c r="P443" s="21">
        <v>787465</v>
      </c>
      <c r="S443" s="101" t="b">
        <f>OR(COUNTIF(Tabla2[[#This Row],[PROVEEDOR]],"*"&amp;'Palabra no opera'!$A$2&amp;"*"))</f>
        <v>0</v>
      </c>
      <c r="T443" s="113">
        <f>+$W$5-Tabla2[[#This Row],[FECHA DE FACTURACIÓN]]</f>
        <v>149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15" t="str">
        <f>+IF(AND(Tabla2[[#This Row],[venc]]="venc",Tabla2[[#This Row],[Columna1]]="por pagar"),"vencida","no")</f>
        <v>no</v>
      </c>
    </row>
    <row r="444" spans="1:23" ht="15.75" x14ac:dyDescent="0.25">
      <c r="A444" s="20">
        <v>30</v>
      </c>
      <c r="B444" s="25">
        <v>2169355.9580000001</v>
      </c>
      <c r="C444" s="25"/>
      <c r="D444" s="56" t="s">
        <v>164</v>
      </c>
      <c r="E444" s="66">
        <v>45208</v>
      </c>
      <c r="F444" s="323" t="s">
        <v>18</v>
      </c>
      <c r="G444" s="66">
        <v>45169</v>
      </c>
      <c r="H444" s="35" t="s">
        <v>1072</v>
      </c>
      <c r="I444" s="21">
        <v>825295</v>
      </c>
      <c r="J444" s="21"/>
      <c r="K444" s="22">
        <v>156806.04999999999</v>
      </c>
      <c r="L444" s="23"/>
      <c r="M444" s="22">
        <v>0</v>
      </c>
      <c r="N444" s="72">
        <v>0</v>
      </c>
      <c r="O444" s="22">
        <v>0</v>
      </c>
      <c r="P444" s="21">
        <v>982101.05</v>
      </c>
      <c r="S444" s="101" t="b">
        <f>OR(COUNTIF(Tabla2[[#This Row],[PROVEEDOR]],"*"&amp;'Palabra no opera'!$A$2&amp;"*"))</f>
        <v>0</v>
      </c>
      <c r="T444" s="113">
        <f>+$W$5-Tabla2[[#This Row],[FECHA DE FACTURACIÓN]]</f>
        <v>153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15" t="str">
        <f>+IF(AND(Tabla2[[#This Row],[venc]]="venc",Tabla2[[#This Row],[Columna1]]="por pagar"),"vencida","no")</f>
        <v>no</v>
      </c>
    </row>
    <row r="445" spans="1:23" ht="15.75" x14ac:dyDescent="0.25">
      <c r="A445" s="20">
        <v>30</v>
      </c>
      <c r="B445" s="25">
        <v>2169355.9580000001</v>
      </c>
      <c r="C445" s="25"/>
      <c r="D445" s="56" t="s">
        <v>164</v>
      </c>
      <c r="E445" s="66">
        <v>45208</v>
      </c>
      <c r="F445" s="323" t="s">
        <v>18</v>
      </c>
      <c r="G445" s="66">
        <v>45168</v>
      </c>
      <c r="H445" s="35" t="s">
        <v>1073</v>
      </c>
      <c r="I445" s="21">
        <v>1507927</v>
      </c>
      <c r="J445" s="21"/>
      <c r="K445" s="22">
        <v>286506.13</v>
      </c>
      <c r="L445" s="23"/>
      <c r="M445" s="22">
        <v>0</v>
      </c>
      <c r="N445" s="72">
        <v>2.5000000000000001E-2</v>
      </c>
      <c r="O445" s="22">
        <v>37698.175000000003</v>
      </c>
      <c r="P445" s="21">
        <v>1756734.9549999998</v>
      </c>
      <c r="S445" s="101" t="b">
        <f>OR(COUNTIF(Tabla2[[#This Row],[PROVEEDOR]],"*"&amp;'Palabra no opera'!$A$2&amp;"*"))</f>
        <v>0</v>
      </c>
      <c r="T445" s="113">
        <f>+$W$5-Tabla2[[#This Row],[FECHA DE FACTURACIÓN]]</f>
        <v>154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15" t="str">
        <f>+IF(AND(Tabla2[[#This Row],[venc]]="venc",Tabla2[[#This Row],[Columna1]]="por pagar"),"vencida","no")</f>
        <v>no</v>
      </c>
    </row>
    <row r="446" spans="1:23" ht="15.75" x14ac:dyDescent="0.25">
      <c r="A446" s="20">
        <v>30</v>
      </c>
      <c r="B446" s="25">
        <v>0</v>
      </c>
      <c r="C446" s="25"/>
      <c r="D446" s="56" t="s">
        <v>190</v>
      </c>
      <c r="E446" s="66">
        <v>45208</v>
      </c>
      <c r="F446" s="323" t="s">
        <v>26</v>
      </c>
      <c r="G446" s="66">
        <v>45166</v>
      </c>
      <c r="H446" s="35" t="s">
        <v>1064</v>
      </c>
      <c r="I446" s="21">
        <v>1230000</v>
      </c>
      <c r="J446" s="21"/>
      <c r="K446" s="22">
        <v>233700</v>
      </c>
      <c r="L446" s="23"/>
      <c r="M446" s="22">
        <v>0</v>
      </c>
      <c r="N446" s="72">
        <v>2.5000000000000001E-2</v>
      </c>
      <c r="O446" s="22">
        <v>30750</v>
      </c>
      <c r="P446" s="21">
        <v>1432950</v>
      </c>
      <c r="S446" s="101" t="b">
        <f>OR(COUNTIF(Tabla2[[#This Row],[PROVEEDOR]],"*"&amp;'Palabra no opera'!$A$2&amp;"*"))</f>
        <v>0</v>
      </c>
      <c r="T446" s="113">
        <f>+$W$5-Tabla2[[#This Row],[FECHA DE FACTURACIÓN]]</f>
        <v>156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15" t="str">
        <f>+IF(AND(Tabla2[[#This Row],[venc]]="venc",Tabla2[[#This Row],[Columna1]]="por pagar"),"vencida","no")</f>
        <v>no</v>
      </c>
    </row>
    <row r="447" spans="1:23" ht="15.75" x14ac:dyDescent="0.25">
      <c r="A447" s="20">
        <v>30</v>
      </c>
      <c r="B447" s="25">
        <v>2169355.9580000001</v>
      </c>
      <c r="C447" s="25"/>
      <c r="D447" s="56" t="s">
        <v>164</v>
      </c>
      <c r="E447" s="66">
        <v>45208</v>
      </c>
      <c r="F447" s="323" t="s">
        <v>18</v>
      </c>
      <c r="G447" s="66">
        <v>45161</v>
      </c>
      <c r="H447" s="35" t="s">
        <v>1052</v>
      </c>
      <c r="I447" s="21">
        <v>1809303</v>
      </c>
      <c r="J447" s="21"/>
      <c r="K447" s="22">
        <v>343767.57</v>
      </c>
      <c r="L447" s="23"/>
      <c r="M447" s="22">
        <v>0</v>
      </c>
      <c r="N447" s="72">
        <v>2.5000000000000001E-2</v>
      </c>
      <c r="O447" s="22">
        <v>45232.575000000004</v>
      </c>
      <c r="P447" s="21">
        <v>2107837.9949999996</v>
      </c>
      <c r="S447" s="101" t="b">
        <f>OR(COUNTIF(Tabla2[[#This Row],[PROVEEDOR]],"*"&amp;'Palabra no opera'!$A$2&amp;"*"))</f>
        <v>0</v>
      </c>
      <c r="T447" s="113">
        <f>+$W$5-Tabla2[[#This Row],[FECHA DE FACTURACIÓN]]</f>
        <v>161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15" t="str">
        <f>+IF(AND(Tabla2[[#This Row],[venc]]="venc",Tabla2[[#This Row],[Columna1]]="por pagar"),"vencida","no")</f>
        <v>no</v>
      </c>
    </row>
    <row r="448" spans="1:23" ht="15.75" x14ac:dyDescent="0.25">
      <c r="A448" s="20">
        <v>30</v>
      </c>
      <c r="B448" s="25">
        <v>2713769.64</v>
      </c>
      <c r="C448" s="25"/>
      <c r="D448" s="56" t="s">
        <v>445</v>
      </c>
      <c r="E448" s="66">
        <v>45208</v>
      </c>
      <c r="F448" s="323" t="s">
        <v>11</v>
      </c>
      <c r="G448" s="66">
        <v>45160</v>
      </c>
      <c r="H448" s="35" t="s">
        <v>1060</v>
      </c>
      <c r="I448" s="21">
        <v>776472</v>
      </c>
      <c r="J448" s="21"/>
      <c r="K448" s="22">
        <v>147529.68</v>
      </c>
      <c r="L448" s="23"/>
      <c r="M448" s="22">
        <v>0</v>
      </c>
      <c r="N448" s="72">
        <v>0</v>
      </c>
      <c r="O448" s="22">
        <v>0</v>
      </c>
      <c r="P448" s="21">
        <v>924001.67999999993</v>
      </c>
      <c r="S448" s="101" t="b">
        <f>OR(COUNTIF(Tabla2[[#This Row],[PROVEEDOR]],"*"&amp;'Palabra no opera'!$A$2&amp;"*"))</f>
        <v>0</v>
      </c>
      <c r="T448" s="113">
        <f>+$W$5-Tabla2[[#This Row],[FECHA DE FACTURACIÓN]]</f>
        <v>162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15" t="str">
        <f>+IF(AND(Tabla2[[#This Row],[venc]]="venc",Tabla2[[#This Row],[Columna1]]="por pagar"),"vencida","no")</f>
        <v>no</v>
      </c>
    </row>
    <row r="449" spans="1:23" ht="15.75" x14ac:dyDescent="0.25">
      <c r="A449" s="20">
        <v>30</v>
      </c>
      <c r="B449" s="25">
        <v>2713769.64</v>
      </c>
      <c r="C449" s="25"/>
      <c r="D449" s="56" t="s">
        <v>445</v>
      </c>
      <c r="E449" s="66">
        <v>45208</v>
      </c>
      <c r="F449" s="323" t="s">
        <v>11</v>
      </c>
      <c r="G449" s="66">
        <v>45155</v>
      </c>
      <c r="H449" s="35" t="s">
        <v>1061</v>
      </c>
      <c r="I449" s="21">
        <v>4658832</v>
      </c>
      <c r="J449" s="21"/>
      <c r="K449" s="22">
        <v>885178.08</v>
      </c>
      <c r="L449" s="23"/>
      <c r="M449" s="22">
        <v>0</v>
      </c>
      <c r="N449" s="72">
        <v>2.5000000000000001E-2</v>
      </c>
      <c r="O449" s="22">
        <v>116470.8</v>
      </c>
      <c r="P449" s="21">
        <v>5427539.2800000003</v>
      </c>
      <c r="S449" s="101" t="b">
        <f>OR(COUNTIF(Tabla2[[#This Row],[PROVEEDOR]],"*"&amp;'Palabra no opera'!$A$2&amp;"*"))</f>
        <v>0</v>
      </c>
      <c r="T449" s="113">
        <f>+$W$5-Tabla2[[#This Row],[FECHA DE FACTURACIÓN]]</f>
        <v>167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15" t="str">
        <f>+IF(AND(Tabla2[[#This Row],[venc]]="venc",Tabla2[[#This Row],[Columna1]]="por pagar"),"vencida","no")</f>
        <v>no</v>
      </c>
    </row>
    <row r="450" spans="1:23" ht="15.75" x14ac:dyDescent="0.25">
      <c r="A450" s="20">
        <v>45</v>
      </c>
      <c r="B450" s="25">
        <v>13678360</v>
      </c>
      <c r="C450" s="25"/>
      <c r="D450" s="56" t="s">
        <v>179</v>
      </c>
      <c r="E450" s="66">
        <v>45208</v>
      </c>
      <c r="F450" s="323" t="s">
        <v>10</v>
      </c>
      <c r="G450" s="66">
        <v>45154</v>
      </c>
      <c r="H450" s="35" t="s">
        <v>1058</v>
      </c>
      <c r="I450" s="21">
        <v>3900000</v>
      </c>
      <c r="J450" s="21"/>
      <c r="K450" s="22">
        <v>741000</v>
      </c>
      <c r="L450" s="23"/>
      <c r="M450" s="22">
        <v>0</v>
      </c>
      <c r="N450" s="72">
        <v>2.5000000000000001E-2</v>
      </c>
      <c r="O450" s="22">
        <v>97500</v>
      </c>
      <c r="P450" s="21">
        <v>4543500</v>
      </c>
      <c r="S450" s="101" t="b">
        <f>OR(COUNTIF(Tabla2[[#This Row],[PROVEEDOR]],"*"&amp;'Palabra no opera'!$A$2&amp;"*"))</f>
        <v>0</v>
      </c>
      <c r="T450" s="113">
        <f>+$W$5-Tabla2[[#This Row],[FECHA DE FACTURACIÓN]]</f>
        <v>168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15" t="str">
        <f>+IF(AND(Tabla2[[#This Row],[venc]]="venc",Tabla2[[#This Row],[Columna1]]="por pagar"),"vencida","no")</f>
        <v>no</v>
      </c>
    </row>
    <row r="451" spans="1:23" ht="15.75" x14ac:dyDescent="0.25">
      <c r="A451" s="20">
        <v>30</v>
      </c>
      <c r="B451" s="25">
        <v>2169355.9580000001</v>
      </c>
      <c r="C451" s="25"/>
      <c r="D451" s="56" t="s">
        <v>164</v>
      </c>
      <c r="E451" s="66">
        <v>45208</v>
      </c>
      <c r="F451" s="323" t="s">
        <v>18</v>
      </c>
      <c r="G451" s="66">
        <v>45153</v>
      </c>
      <c r="H451" s="35" t="s">
        <v>1051</v>
      </c>
      <c r="I451" s="21">
        <v>3257262</v>
      </c>
      <c r="J451" s="21"/>
      <c r="K451" s="22">
        <v>618879.78</v>
      </c>
      <c r="L451" s="23"/>
      <c r="M451" s="22">
        <v>0</v>
      </c>
      <c r="N451" s="72">
        <v>2.5000000000000001E-2</v>
      </c>
      <c r="O451" s="22">
        <v>81431.55</v>
      </c>
      <c r="P451" s="21">
        <v>3794710.2300000004</v>
      </c>
      <c r="S451" s="101" t="b">
        <f>OR(COUNTIF(Tabla2[[#This Row],[PROVEEDOR]],"*"&amp;'Palabra no opera'!$A$2&amp;"*"))</f>
        <v>0</v>
      </c>
      <c r="T451" s="113">
        <f>+$W$5-Tabla2[[#This Row],[FECHA DE FACTURACIÓN]]</f>
        <v>169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15" t="str">
        <f>+IF(AND(Tabla2[[#This Row],[venc]]="venc",Tabla2[[#This Row],[Columna1]]="por pagar"),"vencida","no")</f>
        <v>no</v>
      </c>
    </row>
    <row r="452" spans="1:23" ht="15.75" x14ac:dyDescent="0.25">
      <c r="A452" s="20">
        <v>30</v>
      </c>
      <c r="B452" s="25">
        <v>0</v>
      </c>
      <c r="C452" s="25"/>
      <c r="D452" s="56" t="s">
        <v>159</v>
      </c>
      <c r="E452" s="66">
        <v>45208</v>
      </c>
      <c r="F452" s="323" t="s">
        <v>994</v>
      </c>
      <c r="G452" s="66">
        <v>45153</v>
      </c>
      <c r="H452" s="35" t="s">
        <v>1050</v>
      </c>
      <c r="I452" s="21">
        <v>327731</v>
      </c>
      <c r="J452" s="21"/>
      <c r="K452" s="22">
        <v>62268.89</v>
      </c>
      <c r="L452" s="23"/>
      <c r="M452" s="22">
        <v>0</v>
      </c>
      <c r="N452" s="72">
        <v>0</v>
      </c>
      <c r="O452" s="22">
        <v>0</v>
      </c>
      <c r="P452" s="21">
        <v>389999.89</v>
      </c>
      <c r="S452" s="101" t="b">
        <f>OR(COUNTIF(Tabla2[[#This Row],[PROVEEDOR]],"*"&amp;'Palabra no opera'!$A$2&amp;"*"))</f>
        <v>0</v>
      </c>
      <c r="T452" s="113">
        <f>+$W$5-Tabla2[[#This Row],[FECHA DE FACTURACIÓN]]</f>
        <v>169</v>
      </c>
      <c r="U452" t="str">
        <f>+IF(Tabla2[[#This Row],[dias de credito]]&gt;=Tabla2[[#This Row],[PLAZO Días]],"venc", "No venc")</f>
        <v>venc</v>
      </c>
      <c r="V452" t="str">
        <f>+IF(Tabla2[[#This Row],[FECHA DE PAGO]]&gt;0,"pagada","por pagar")</f>
        <v>pagada</v>
      </c>
      <c r="W452" s="115" t="str">
        <f>+IF(AND(Tabla2[[#This Row],[venc]]="venc",Tabla2[[#This Row],[Columna1]]="por pagar"),"vencida","no")</f>
        <v>no</v>
      </c>
    </row>
    <row r="453" spans="1:23" ht="15.75" x14ac:dyDescent="0.25">
      <c r="A453" s="20">
        <v>45</v>
      </c>
      <c r="B453" s="25">
        <v>13678360</v>
      </c>
      <c r="C453" s="25"/>
      <c r="D453" s="56" t="s">
        <v>179</v>
      </c>
      <c r="E453" s="66">
        <v>45208</v>
      </c>
      <c r="F453" s="323" t="s">
        <v>10</v>
      </c>
      <c r="G453" s="66">
        <v>45153</v>
      </c>
      <c r="H453" s="35" t="s">
        <v>1059</v>
      </c>
      <c r="I453" s="21">
        <v>768000</v>
      </c>
      <c r="J453" s="21"/>
      <c r="K453" s="22">
        <v>145920</v>
      </c>
      <c r="L453" s="23"/>
      <c r="M453" s="22">
        <v>0</v>
      </c>
      <c r="N453" s="72">
        <v>0</v>
      </c>
      <c r="O453" s="22">
        <v>0</v>
      </c>
      <c r="P453" s="21">
        <v>913920</v>
      </c>
      <c r="S453" s="101" t="b">
        <f>OR(COUNTIF(Tabla2[[#This Row],[PROVEEDOR]],"*"&amp;'Palabra no opera'!$A$2&amp;"*"))</f>
        <v>0</v>
      </c>
      <c r="T453" s="113">
        <f>+$W$5-Tabla2[[#This Row],[FECHA DE FACTURACIÓN]]</f>
        <v>169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15" t="str">
        <f>+IF(AND(Tabla2[[#This Row],[venc]]="venc",Tabla2[[#This Row],[Columna1]]="por pagar"),"vencida","no")</f>
        <v>no</v>
      </c>
    </row>
    <row r="454" spans="1:23" ht="15.75" x14ac:dyDescent="0.25">
      <c r="A454" s="20">
        <v>30</v>
      </c>
      <c r="B454" s="25">
        <v>2169355.9580000001</v>
      </c>
      <c r="C454" s="25"/>
      <c r="D454" s="56" t="s">
        <v>164</v>
      </c>
      <c r="E454" s="66">
        <v>45208</v>
      </c>
      <c r="F454" s="323" t="s">
        <v>18</v>
      </c>
      <c r="G454" s="66">
        <v>45146</v>
      </c>
      <c r="H454" s="35" t="s">
        <v>1015</v>
      </c>
      <c r="I454" s="21">
        <v>2539374</v>
      </c>
      <c r="J454" s="21"/>
      <c r="K454" s="22">
        <v>482481.06</v>
      </c>
      <c r="L454" s="23"/>
      <c r="M454" s="22">
        <v>0</v>
      </c>
      <c r="N454" s="72">
        <v>2.5000000000000001E-2</v>
      </c>
      <c r="O454" s="22">
        <v>63484.350000000006</v>
      </c>
      <c r="P454" s="21">
        <v>2958370.71</v>
      </c>
      <c r="S454" s="101" t="b">
        <f>OR(COUNTIF(Tabla2[[#This Row],[PROVEEDOR]],"*"&amp;'Palabra no opera'!$A$2&amp;"*"))</f>
        <v>0</v>
      </c>
      <c r="T454" s="113">
        <f>+$W$5-Tabla2[[#This Row],[FECHA DE FACTURACIÓN]]</f>
        <v>176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15" t="str">
        <f>+IF(AND(Tabla2[[#This Row],[venc]]="venc",Tabla2[[#This Row],[Columna1]]="por pagar"),"vencida","no")</f>
        <v>no</v>
      </c>
    </row>
    <row r="455" spans="1:23" ht="15.75" x14ac:dyDescent="0.25">
      <c r="A455" s="20">
        <v>45</v>
      </c>
      <c r="B455" s="25">
        <v>13678360</v>
      </c>
      <c r="C455" s="25"/>
      <c r="D455" s="56" t="s">
        <v>179</v>
      </c>
      <c r="E455" s="66">
        <v>45208</v>
      </c>
      <c r="F455" s="323" t="s">
        <v>10</v>
      </c>
      <c r="G455" s="66">
        <v>45142</v>
      </c>
      <c r="H455" s="35" t="s">
        <v>1003</v>
      </c>
      <c r="I455" s="21">
        <v>1250000</v>
      </c>
      <c r="J455" s="21"/>
      <c r="K455" s="22">
        <v>237500</v>
      </c>
      <c r="L455" s="23"/>
      <c r="M455" s="22">
        <v>0</v>
      </c>
      <c r="N455" s="72">
        <v>2.5000000000000001E-2</v>
      </c>
      <c r="O455" s="22">
        <v>31250</v>
      </c>
      <c r="P455" s="21">
        <v>1456250</v>
      </c>
      <c r="S455" s="101" t="b">
        <f>OR(COUNTIF(Tabla2[[#This Row],[PROVEEDOR]],"*"&amp;'Palabra no opera'!$A$2&amp;"*"))</f>
        <v>0</v>
      </c>
      <c r="T455" s="113">
        <f>+$W$5-Tabla2[[#This Row],[FECHA DE FACTURACIÓN]]</f>
        <v>180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15" t="str">
        <f>+IF(AND(Tabla2[[#This Row],[venc]]="venc",Tabla2[[#This Row],[Columna1]]="por pagar"),"vencida","no")</f>
        <v>no</v>
      </c>
    </row>
    <row r="456" spans="1:23" ht="15.75" x14ac:dyDescent="0.25">
      <c r="A456" s="20">
        <v>30</v>
      </c>
      <c r="B456" s="25">
        <v>2713769.64</v>
      </c>
      <c r="C456" s="25"/>
      <c r="D456" s="56" t="s">
        <v>445</v>
      </c>
      <c r="E456" s="66">
        <v>45208</v>
      </c>
      <c r="F456" s="323" t="s">
        <v>11</v>
      </c>
      <c r="G456" s="66">
        <v>45141</v>
      </c>
      <c r="H456" s="35" t="s">
        <v>1002</v>
      </c>
      <c r="I456" s="21">
        <v>2420172</v>
      </c>
      <c r="J456" s="21"/>
      <c r="K456" s="22">
        <v>459832.68</v>
      </c>
      <c r="L456" s="23"/>
      <c r="M456" s="22">
        <v>0</v>
      </c>
      <c r="N456" s="72">
        <v>2.5000000000000001E-2</v>
      </c>
      <c r="O456" s="22">
        <v>60504.3</v>
      </c>
      <c r="P456" s="21">
        <v>2819500.3800000004</v>
      </c>
      <c r="S456" s="101" t="b">
        <f>OR(COUNTIF(Tabla2[[#This Row],[PROVEEDOR]],"*"&amp;'Palabra no opera'!$A$2&amp;"*"))</f>
        <v>0</v>
      </c>
      <c r="T456" s="113">
        <f>+$W$5-Tabla2[[#This Row],[FECHA DE FACTURACIÓN]]</f>
        <v>181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15" t="str">
        <f>+IF(AND(Tabla2[[#This Row],[venc]]="venc",Tabla2[[#This Row],[Columna1]]="por pagar"),"vencida","no")</f>
        <v>no</v>
      </c>
    </row>
    <row r="457" spans="1:23" ht="15.75" x14ac:dyDescent="0.25">
      <c r="A457" s="20">
        <v>30</v>
      </c>
      <c r="B457" s="25">
        <v>0</v>
      </c>
      <c r="C457" s="25"/>
      <c r="D457" s="56" t="s">
        <v>159</v>
      </c>
      <c r="E457" s="66">
        <v>45208</v>
      </c>
      <c r="F457" s="323" t="s">
        <v>994</v>
      </c>
      <c r="G457" s="66">
        <v>45140</v>
      </c>
      <c r="H457" s="35" t="s">
        <v>996</v>
      </c>
      <c r="I457" s="21">
        <v>3115967</v>
      </c>
      <c r="J457" s="21"/>
      <c r="K457" s="22">
        <v>592033.73</v>
      </c>
      <c r="L457" s="23"/>
      <c r="M457" s="22">
        <v>0</v>
      </c>
      <c r="N457" s="72">
        <v>2.5000000000000001E-2</v>
      </c>
      <c r="O457" s="22">
        <v>77899.175000000003</v>
      </c>
      <c r="P457" s="21">
        <v>3630101.5550000002</v>
      </c>
      <c r="S457" s="101" t="b">
        <f>OR(COUNTIF(Tabla2[[#This Row],[PROVEEDOR]],"*"&amp;'Palabra no opera'!$A$2&amp;"*"))</f>
        <v>0</v>
      </c>
      <c r="T457" s="113">
        <f>+$W$5-Tabla2[[#This Row],[FECHA DE FACTURACIÓN]]</f>
        <v>182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15" t="str">
        <f>+IF(AND(Tabla2[[#This Row],[venc]]="venc",Tabla2[[#This Row],[Columna1]]="por pagar"),"vencida","no")</f>
        <v>no</v>
      </c>
    </row>
    <row r="458" spans="1:23" ht="15.75" x14ac:dyDescent="0.25">
      <c r="A458" s="20">
        <v>30</v>
      </c>
      <c r="B458" s="25">
        <v>1345520</v>
      </c>
      <c r="C458" s="25"/>
      <c r="D458" s="56" t="s">
        <v>267</v>
      </c>
      <c r="E458" s="66">
        <v>45208</v>
      </c>
      <c r="F458" s="323" t="s">
        <v>268</v>
      </c>
      <c r="G458" s="66">
        <v>45139</v>
      </c>
      <c r="H458" s="35" t="s">
        <v>990</v>
      </c>
      <c r="I458" s="21">
        <v>4057000</v>
      </c>
      <c r="J458" s="21"/>
      <c r="K458" s="22">
        <v>0</v>
      </c>
      <c r="L458" s="23"/>
      <c r="M458" s="22">
        <v>0</v>
      </c>
      <c r="N458" s="72">
        <v>0</v>
      </c>
      <c r="O458" s="22">
        <v>0</v>
      </c>
      <c r="P458" s="21">
        <v>4057000</v>
      </c>
      <c r="S458" s="101" t="b">
        <f>OR(COUNTIF(Tabla2[[#This Row],[PROVEEDOR]],"*"&amp;'Palabra no opera'!$A$2&amp;"*"))</f>
        <v>0</v>
      </c>
      <c r="T458" s="113">
        <f>+$W$5-Tabla2[[#This Row],[FECHA DE FACTURACIÓN]]</f>
        <v>183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15" t="str">
        <f>+IF(AND(Tabla2[[#This Row],[venc]]="venc",Tabla2[[#This Row],[Columna1]]="por pagar"),"vencida","no")</f>
        <v>no</v>
      </c>
    </row>
    <row r="459" spans="1:23" ht="15.75" x14ac:dyDescent="0.25">
      <c r="A459" s="20">
        <v>30</v>
      </c>
      <c r="B459" s="25">
        <v>0</v>
      </c>
      <c r="C459" s="25"/>
      <c r="D459" s="56" t="s">
        <v>167</v>
      </c>
      <c r="E459" s="66">
        <v>45208</v>
      </c>
      <c r="F459" s="323" t="s">
        <v>75</v>
      </c>
      <c r="G459" s="66">
        <v>45135</v>
      </c>
      <c r="H459" s="35" t="s">
        <v>997</v>
      </c>
      <c r="I459" s="21">
        <v>5771424</v>
      </c>
      <c r="J459" s="21"/>
      <c r="K459" s="22">
        <v>1096570.56</v>
      </c>
      <c r="L459" s="23"/>
      <c r="M459" s="22">
        <v>0</v>
      </c>
      <c r="N459" s="72">
        <v>2.5000000000000001E-2</v>
      </c>
      <c r="O459" s="22">
        <v>144285.6</v>
      </c>
      <c r="P459" s="21">
        <v>6723708.9600000009</v>
      </c>
      <c r="S459" s="101" t="b">
        <f>OR(COUNTIF(Tabla2[[#This Row],[PROVEEDOR]],"*"&amp;'Palabra no opera'!$A$2&amp;"*"))</f>
        <v>0</v>
      </c>
      <c r="T459" s="113">
        <f>+$W$5-Tabla2[[#This Row],[FECHA DE FACTURACIÓN]]</f>
        <v>187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15" t="str">
        <f>+IF(AND(Tabla2[[#This Row],[venc]]="venc",Tabla2[[#This Row],[Columna1]]="por pagar"),"vencida","no")</f>
        <v>no</v>
      </c>
    </row>
    <row r="460" spans="1:23" ht="15.75" x14ac:dyDescent="0.25">
      <c r="A460" s="20">
        <v>30</v>
      </c>
      <c r="B460" s="25">
        <v>840000</v>
      </c>
      <c r="C460" s="25"/>
      <c r="D460" s="56">
        <v>0</v>
      </c>
      <c r="E460" s="66">
        <v>45207</v>
      </c>
      <c r="F460" s="323" t="s">
        <v>318</v>
      </c>
      <c r="G460" s="66">
        <v>45191</v>
      </c>
      <c r="H460" s="35" t="s">
        <v>1157</v>
      </c>
      <c r="I460" s="21">
        <v>546000</v>
      </c>
      <c r="J460" s="21"/>
      <c r="K460" s="22">
        <v>0</v>
      </c>
      <c r="L460" s="23"/>
      <c r="M460" s="22">
        <v>0</v>
      </c>
      <c r="N460" s="72">
        <v>0</v>
      </c>
      <c r="O460" s="22">
        <v>0</v>
      </c>
      <c r="P460" s="21">
        <v>546000</v>
      </c>
      <c r="S460" s="101" t="b">
        <f>OR(COUNTIF(Tabla2[[#This Row],[PROVEEDOR]],"*"&amp;'Palabra no opera'!$A$2&amp;"*"))</f>
        <v>0</v>
      </c>
      <c r="T460" s="113">
        <f>+$W$5-Tabla2[[#This Row],[FECHA DE FACTURACIÓN]]</f>
        <v>131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15" t="str">
        <f>+IF(AND(Tabla2[[#This Row],[venc]]="venc",Tabla2[[#This Row],[Columna1]]="por pagar"),"vencida","no")</f>
        <v>no</v>
      </c>
    </row>
    <row r="461" spans="1:23" ht="15.75" x14ac:dyDescent="0.25">
      <c r="A461" s="20">
        <v>30</v>
      </c>
      <c r="B461" s="25">
        <v>4202500</v>
      </c>
      <c r="C461" s="25"/>
      <c r="D461" s="56" t="s">
        <v>231</v>
      </c>
      <c r="E461" s="66">
        <v>45206</v>
      </c>
      <c r="F461" s="323" t="s">
        <v>301</v>
      </c>
      <c r="G461" s="66">
        <v>45149</v>
      </c>
      <c r="H461" s="35">
        <v>1863</v>
      </c>
      <c r="I461" s="21">
        <v>1515000</v>
      </c>
      <c r="J461" s="21"/>
      <c r="K461" s="22">
        <v>0</v>
      </c>
      <c r="L461" s="23"/>
      <c r="M461" s="22">
        <v>0</v>
      </c>
      <c r="N461" s="72">
        <v>0</v>
      </c>
      <c r="O461" s="22">
        <v>0</v>
      </c>
      <c r="P461" s="21">
        <v>1515000</v>
      </c>
      <c r="S461" s="101" t="b">
        <f>OR(COUNTIF(Tabla2[[#This Row],[PROVEEDOR]],"*"&amp;'Palabra no opera'!$A$2&amp;"*"))</f>
        <v>0</v>
      </c>
      <c r="T461" s="113">
        <f>+$W$5-Tabla2[[#This Row],[FECHA DE FACTURACIÓN]]</f>
        <v>173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15" t="str">
        <f>+IF(AND(Tabla2[[#This Row],[venc]]="venc",Tabla2[[#This Row],[Columna1]]="por pagar"),"vencida","no")</f>
        <v>no</v>
      </c>
    </row>
    <row r="462" spans="1:23" ht="15.75" x14ac:dyDescent="0.25">
      <c r="A462" s="20">
        <v>30</v>
      </c>
      <c r="B462" s="25">
        <v>0</v>
      </c>
      <c r="C462" s="25"/>
      <c r="D462" s="56">
        <v>0</v>
      </c>
      <c r="E462" s="66">
        <v>45205</v>
      </c>
      <c r="F462" s="323" t="s">
        <v>420</v>
      </c>
      <c r="G462" s="66">
        <v>45200</v>
      </c>
      <c r="H462" s="35" t="s">
        <v>195</v>
      </c>
      <c r="I462" s="21">
        <v>411454</v>
      </c>
      <c r="J462" s="21"/>
      <c r="K462" s="22">
        <v>0</v>
      </c>
      <c r="L462" s="23"/>
      <c r="M462" s="22">
        <v>0</v>
      </c>
      <c r="N462" s="72">
        <v>0</v>
      </c>
      <c r="O462" s="22">
        <v>0</v>
      </c>
      <c r="P462" s="21">
        <v>411454</v>
      </c>
      <c r="S462" s="101" t="b">
        <f>OR(COUNTIF(Tabla2[[#This Row],[PROVEEDOR]],"*"&amp;'Palabra no opera'!$A$2&amp;"*"))</f>
        <v>1</v>
      </c>
      <c r="T462" s="113">
        <f>+$W$5-Tabla2[[#This Row],[FECHA DE FACTURACIÓN]]</f>
        <v>122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15" t="str">
        <f>+IF(AND(Tabla2[[#This Row],[venc]]="venc",Tabla2[[#This Row],[Columna1]]="por pagar"),"vencida","no")</f>
        <v>no</v>
      </c>
    </row>
    <row r="463" spans="1:23" ht="15.75" x14ac:dyDescent="0.25">
      <c r="A463" s="20">
        <v>60</v>
      </c>
      <c r="B463" s="25">
        <v>3708614</v>
      </c>
      <c r="C463" s="25"/>
      <c r="D463" s="56" t="s">
        <v>645</v>
      </c>
      <c r="E463" s="66">
        <v>45205</v>
      </c>
      <c r="F463" s="323" t="s">
        <v>250</v>
      </c>
      <c r="G463" s="66">
        <v>45190</v>
      </c>
      <c r="H463" s="35">
        <v>1794</v>
      </c>
      <c r="I463" s="21">
        <v>252000</v>
      </c>
      <c r="J463" s="21"/>
      <c r="K463" s="22">
        <v>0</v>
      </c>
      <c r="L463" s="23"/>
      <c r="M463" s="22">
        <v>0</v>
      </c>
      <c r="N463" s="72">
        <v>0</v>
      </c>
      <c r="O463" s="22">
        <v>0</v>
      </c>
      <c r="P463" s="21">
        <v>252000</v>
      </c>
      <c r="S463" s="101" t="b">
        <f>OR(COUNTIF(Tabla2[[#This Row],[PROVEEDOR]],"*"&amp;'Palabra no opera'!$A$2&amp;"*"))</f>
        <v>0</v>
      </c>
      <c r="T463" s="113">
        <f>+$W$5-Tabla2[[#This Row],[FECHA DE FACTURACIÓN]]</f>
        <v>132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15" t="str">
        <f>+IF(AND(Tabla2[[#This Row],[venc]]="venc",Tabla2[[#This Row],[Columna1]]="por pagar"),"vencida","no")</f>
        <v>no</v>
      </c>
    </row>
    <row r="464" spans="1:23" ht="15.75" x14ac:dyDescent="0.25">
      <c r="A464" s="20">
        <v>45</v>
      </c>
      <c r="B464" s="25">
        <v>3074500</v>
      </c>
      <c r="C464" s="25"/>
      <c r="D464" s="56" t="s">
        <v>645</v>
      </c>
      <c r="E464" s="66">
        <v>45205</v>
      </c>
      <c r="F464" s="323" t="s">
        <v>252</v>
      </c>
      <c r="G464" s="66">
        <v>45189</v>
      </c>
      <c r="H464" s="35">
        <v>1793</v>
      </c>
      <c r="I464" s="21">
        <v>2793000</v>
      </c>
      <c r="J464" s="21"/>
      <c r="K464" s="22">
        <v>0</v>
      </c>
      <c r="L464" s="23"/>
      <c r="M464" s="22">
        <v>0</v>
      </c>
      <c r="N464" s="72">
        <v>0</v>
      </c>
      <c r="O464" s="22">
        <v>0</v>
      </c>
      <c r="P464" s="21">
        <v>2793000</v>
      </c>
      <c r="S464" s="101" t="b">
        <f>OR(COUNTIF(Tabla2[[#This Row],[PROVEEDOR]],"*"&amp;'Palabra no opera'!$A$2&amp;"*"))</f>
        <v>0</v>
      </c>
      <c r="T464" s="113">
        <f>+$W$5-Tabla2[[#This Row],[FECHA DE FACTURACIÓN]]</f>
        <v>133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15" t="str">
        <f>+IF(AND(Tabla2[[#This Row],[venc]]="venc",Tabla2[[#This Row],[Columna1]]="por pagar"),"vencida","no")</f>
        <v>no</v>
      </c>
    </row>
    <row r="465" spans="1:23" ht="15.75" x14ac:dyDescent="0.25">
      <c r="A465" s="20">
        <v>45</v>
      </c>
      <c r="B465" s="25">
        <v>3074500</v>
      </c>
      <c r="C465" s="25"/>
      <c r="D465" s="56" t="s">
        <v>645</v>
      </c>
      <c r="E465" s="66">
        <v>45205</v>
      </c>
      <c r="F465" s="323" t="s">
        <v>252</v>
      </c>
      <c r="G465" s="66">
        <v>45188</v>
      </c>
      <c r="H465" s="35">
        <v>1795</v>
      </c>
      <c r="I465" s="21">
        <v>1407000</v>
      </c>
      <c r="J465" s="21"/>
      <c r="K465" s="22">
        <v>0</v>
      </c>
      <c r="L465" s="23"/>
      <c r="M465" s="22">
        <v>0</v>
      </c>
      <c r="N465" s="72">
        <v>0</v>
      </c>
      <c r="O465" s="22">
        <v>0</v>
      </c>
      <c r="P465" s="21">
        <v>1407000</v>
      </c>
      <c r="S465" s="101" t="b">
        <f>OR(COUNTIF(Tabla2[[#This Row],[PROVEEDOR]],"*"&amp;'Palabra no opera'!$A$2&amp;"*"))</f>
        <v>0</v>
      </c>
      <c r="T465" s="113">
        <f>+$W$5-Tabla2[[#This Row],[FECHA DE FACTURACIÓN]]</f>
        <v>134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15" t="str">
        <f>+IF(AND(Tabla2[[#This Row],[venc]]="venc",Tabla2[[#This Row],[Columna1]]="por pagar"),"vencida","no")</f>
        <v>no</v>
      </c>
    </row>
    <row r="466" spans="1:23" ht="15.75" x14ac:dyDescent="0.25">
      <c r="A466" s="20">
        <v>45</v>
      </c>
      <c r="B466" s="25">
        <v>3074500</v>
      </c>
      <c r="C466" s="25"/>
      <c r="D466" s="56" t="s">
        <v>645</v>
      </c>
      <c r="E466" s="66">
        <v>45205</v>
      </c>
      <c r="F466" s="323" t="s">
        <v>252</v>
      </c>
      <c r="G466" s="66">
        <v>45176</v>
      </c>
      <c r="H466" s="35">
        <v>1776</v>
      </c>
      <c r="I466" s="21">
        <v>1501080</v>
      </c>
      <c r="J466" s="21"/>
      <c r="K466" s="22">
        <v>0</v>
      </c>
      <c r="L466" s="23"/>
      <c r="M466" s="22">
        <v>0</v>
      </c>
      <c r="N466" s="72">
        <v>0</v>
      </c>
      <c r="O466" s="22">
        <v>0</v>
      </c>
      <c r="P466" s="21">
        <v>1501080</v>
      </c>
      <c r="S466" s="101" t="b">
        <f>OR(COUNTIF(Tabla2[[#This Row],[PROVEEDOR]],"*"&amp;'Palabra no opera'!$A$2&amp;"*"))</f>
        <v>0</v>
      </c>
      <c r="T466" s="113">
        <f>+$W$5-Tabla2[[#This Row],[FECHA DE FACTURACIÓN]]</f>
        <v>146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15" t="str">
        <f>+IF(AND(Tabla2[[#This Row],[venc]]="venc",Tabla2[[#This Row],[Columna1]]="por pagar"),"vencida","no")</f>
        <v>no</v>
      </c>
    </row>
    <row r="467" spans="1:23" ht="15.75" x14ac:dyDescent="0.25">
      <c r="A467" s="20">
        <v>30</v>
      </c>
      <c r="B467" s="25">
        <v>0</v>
      </c>
      <c r="C467" s="25"/>
      <c r="D467" s="56" t="s">
        <v>104</v>
      </c>
      <c r="E467" s="66">
        <v>45205</v>
      </c>
      <c r="F467" s="323" t="s">
        <v>308</v>
      </c>
      <c r="G467" s="66">
        <v>45174</v>
      </c>
      <c r="H467" s="35" t="s">
        <v>1076</v>
      </c>
      <c r="I467" s="21">
        <v>452000</v>
      </c>
      <c r="J467" s="21"/>
      <c r="K467" s="22">
        <v>0</v>
      </c>
      <c r="L467" s="23"/>
      <c r="M467" s="22">
        <v>0</v>
      </c>
      <c r="N467" s="72">
        <v>0</v>
      </c>
      <c r="O467" s="22">
        <v>0</v>
      </c>
      <c r="P467" s="21">
        <v>452000</v>
      </c>
      <c r="S467" s="101" t="b">
        <f>OR(COUNTIF(Tabla2[[#This Row],[PROVEEDOR]],"*"&amp;'Palabra no opera'!$A$2&amp;"*"))</f>
        <v>0</v>
      </c>
      <c r="T467" s="113">
        <f>+$W$5-Tabla2[[#This Row],[FECHA DE FACTURACIÓN]]</f>
        <v>148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15" t="str">
        <f>+IF(AND(Tabla2[[#This Row],[venc]]="venc",Tabla2[[#This Row],[Columna1]]="por pagar"),"vencida","no")</f>
        <v>no</v>
      </c>
    </row>
    <row r="468" spans="1:23" ht="15.75" x14ac:dyDescent="0.25">
      <c r="A468" s="20">
        <v>30</v>
      </c>
      <c r="B468" s="25">
        <v>0</v>
      </c>
      <c r="C468" s="25"/>
      <c r="D468" s="56" t="s">
        <v>104</v>
      </c>
      <c r="E468" s="66">
        <v>45205</v>
      </c>
      <c r="F468" s="323" t="s">
        <v>308</v>
      </c>
      <c r="G468" s="66">
        <v>45169</v>
      </c>
      <c r="H468" s="35" t="s">
        <v>1077</v>
      </c>
      <c r="I468" s="21">
        <v>447500</v>
      </c>
      <c r="J468" s="21"/>
      <c r="K468" s="22">
        <v>0</v>
      </c>
      <c r="L468" s="23"/>
      <c r="M468" s="22">
        <v>0</v>
      </c>
      <c r="N468" s="72">
        <v>0</v>
      </c>
      <c r="O468" s="22">
        <v>0</v>
      </c>
      <c r="P468" s="21">
        <v>447500</v>
      </c>
      <c r="S468" s="101" t="b">
        <f>OR(COUNTIF(Tabla2[[#This Row],[PROVEEDOR]],"*"&amp;'Palabra no opera'!$A$2&amp;"*"))</f>
        <v>0</v>
      </c>
      <c r="T468" s="113">
        <f>+$W$5-Tabla2[[#This Row],[FECHA DE FACTURACIÓN]]</f>
        <v>153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15" t="str">
        <f>+IF(AND(Tabla2[[#This Row],[venc]]="venc",Tabla2[[#This Row],[Columna1]]="por pagar"),"vencida","no")</f>
        <v>no</v>
      </c>
    </row>
    <row r="469" spans="1:23" ht="15.75" x14ac:dyDescent="0.25">
      <c r="A469" s="20">
        <v>60</v>
      </c>
      <c r="B469" s="25">
        <v>3708614</v>
      </c>
      <c r="C469" s="25"/>
      <c r="D469" s="56" t="s">
        <v>645</v>
      </c>
      <c r="E469" s="66">
        <v>45205</v>
      </c>
      <c r="F469" s="323" t="s">
        <v>250</v>
      </c>
      <c r="G469" s="66">
        <v>45169</v>
      </c>
      <c r="H469" s="35">
        <v>1770</v>
      </c>
      <c r="I469" s="21">
        <v>1024800</v>
      </c>
      <c r="J469" s="21"/>
      <c r="K469" s="22">
        <v>0</v>
      </c>
      <c r="L469" s="23"/>
      <c r="M469" s="22">
        <v>0</v>
      </c>
      <c r="N469" s="72">
        <v>0</v>
      </c>
      <c r="O469" s="22">
        <v>0</v>
      </c>
      <c r="P469" s="21">
        <v>1024800</v>
      </c>
      <c r="S469" s="101" t="b">
        <f>OR(COUNTIF(Tabla2[[#This Row],[PROVEEDOR]],"*"&amp;'Palabra no opera'!$A$2&amp;"*"))</f>
        <v>0</v>
      </c>
      <c r="T469" s="113">
        <f>+$W$5-Tabla2[[#This Row],[FECHA DE FACTURACIÓN]]</f>
        <v>153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15" t="str">
        <f>+IF(AND(Tabla2[[#This Row],[venc]]="venc",Tabla2[[#This Row],[Columna1]]="por pagar"),"vencida","no")</f>
        <v>no</v>
      </c>
    </row>
    <row r="470" spans="1:23" ht="15.75" x14ac:dyDescent="0.25">
      <c r="A470" s="20">
        <v>45</v>
      </c>
      <c r="B470" s="25">
        <v>0</v>
      </c>
      <c r="C470" s="25"/>
      <c r="D470" s="56" t="s">
        <v>645</v>
      </c>
      <c r="E470" s="66">
        <v>45205</v>
      </c>
      <c r="F470" s="323" t="s">
        <v>257</v>
      </c>
      <c r="G470" s="66">
        <v>45169</v>
      </c>
      <c r="H470" s="35">
        <v>1772</v>
      </c>
      <c r="I470" s="21">
        <v>5107410</v>
      </c>
      <c r="J470" s="21"/>
      <c r="K470" s="22">
        <v>0</v>
      </c>
      <c r="L470" s="23"/>
      <c r="M470" s="22">
        <v>0</v>
      </c>
      <c r="N470" s="72">
        <v>0</v>
      </c>
      <c r="O470" s="22">
        <v>0</v>
      </c>
      <c r="P470" s="21">
        <v>5107410</v>
      </c>
      <c r="S470" s="101" t="b">
        <f>OR(COUNTIF(Tabla2[[#This Row],[PROVEEDOR]],"*"&amp;'Palabra no opera'!$A$2&amp;"*"))</f>
        <v>0</v>
      </c>
      <c r="T470" s="113">
        <f>+$W$5-Tabla2[[#This Row],[FECHA DE FACTURACIÓN]]</f>
        <v>153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15" t="str">
        <f>+IF(AND(Tabla2[[#This Row],[venc]]="venc",Tabla2[[#This Row],[Columna1]]="por pagar"),"vencida","no")</f>
        <v>no</v>
      </c>
    </row>
    <row r="471" spans="1:23" ht="15.75" x14ac:dyDescent="0.25">
      <c r="A471" s="20">
        <v>45</v>
      </c>
      <c r="B471" s="25">
        <v>3074500</v>
      </c>
      <c r="C471" s="25"/>
      <c r="D471" s="56" t="s">
        <v>645</v>
      </c>
      <c r="E471" s="66">
        <v>45205</v>
      </c>
      <c r="F471" s="323" t="s">
        <v>252</v>
      </c>
      <c r="G471" s="66">
        <v>45169</v>
      </c>
      <c r="H471" s="35">
        <v>1771</v>
      </c>
      <c r="I471" s="21">
        <v>2793000</v>
      </c>
      <c r="J471" s="21"/>
      <c r="K471" s="22">
        <v>0</v>
      </c>
      <c r="L471" s="23"/>
      <c r="M471" s="22">
        <v>0</v>
      </c>
      <c r="N471" s="72">
        <v>0</v>
      </c>
      <c r="O471" s="22">
        <v>0</v>
      </c>
      <c r="P471" s="21">
        <v>2793000</v>
      </c>
      <c r="S471" s="101" t="b">
        <f>OR(COUNTIF(Tabla2[[#This Row],[PROVEEDOR]],"*"&amp;'Palabra no opera'!$A$2&amp;"*"))</f>
        <v>0</v>
      </c>
      <c r="T471" s="113">
        <f>+$W$5-Tabla2[[#This Row],[FECHA DE FACTURACIÓN]]</f>
        <v>153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15" t="str">
        <f>+IF(AND(Tabla2[[#This Row],[venc]]="venc",Tabla2[[#This Row],[Columna1]]="por pagar"),"vencida","no")</f>
        <v>no</v>
      </c>
    </row>
    <row r="472" spans="1:23" ht="15.75" x14ac:dyDescent="0.25">
      <c r="A472" s="20">
        <v>45</v>
      </c>
      <c r="B472" s="25">
        <v>3074500</v>
      </c>
      <c r="C472" s="25"/>
      <c r="D472" s="56" t="s">
        <v>645</v>
      </c>
      <c r="E472" s="66">
        <v>45205</v>
      </c>
      <c r="F472" s="323" t="s">
        <v>252</v>
      </c>
      <c r="G472" s="66">
        <v>45169</v>
      </c>
      <c r="H472" s="35">
        <v>1773</v>
      </c>
      <c r="I472" s="21">
        <v>1512420</v>
      </c>
      <c r="J472" s="21"/>
      <c r="K472" s="22">
        <v>0</v>
      </c>
      <c r="L472" s="23"/>
      <c r="M472" s="22">
        <v>0</v>
      </c>
      <c r="N472" s="72">
        <v>0</v>
      </c>
      <c r="O472" s="22">
        <v>0</v>
      </c>
      <c r="P472" s="21">
        <v>1512420</v>
      </c>
      <c r="S472" s="101" t="b">
        <f>OR(COUNTIF(Tabla2[[#This Row],[PROVEEDOR]],"*"&amp;'Palabra no opera'!$A$2&amp;"*"))</f>
        <v>0</v>
      </c>
      <c r="T472" s="113">
        <f>+$W$5-Tabla2[[#This Row],[FECHA DE FACTURACIÓN]]</f>
        <v>153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15" t="str">
        <f>+IF(AND(Tabla2[[#This Row],[venc]]="venc",Tabla2[[#This Row],[Columna1]]="por pagar"),"vencida","no")</f>
        <v>no</v>
      </c>
    </row>
    <row r="473" spans="1:23" ht="15.75" x14ac:dyDescent="0.25">
      <c r="A473" s="20">
        <v>30</v>
      </c>
      <c r="B473" s="25">
        <v>496505</v>
      </c>
      <c r="C473" s="25"/>
      <c r="D473" s="56">
        <v>0</v>
      </c>
      <c r="E473" s="66">
        <v>45203</v>
      </c>
      <c r="F473" s="323" t="s">
        <v>1170</v>
      </c>
      <c r="G473" s="66">
        <v>45203</v>
      </c>
      <c r="H473" s="35" t="s">
        <v>1171</v>
      </c>
      <c r="I473" s="21">
        <v>833450</v>
      </c>
      <c r="J473" s="21"/>
      <c r="K473" s="22">
        <v>0</v>
      </c>
      <c r="L473" s="23"/>
      <c r="M473" s="22">
        <v>0</v>
      </c>
      <c r="N473" s="72">
        <v>0</v>
      </c>
      <c r="O473" s="22">
        <v>0</v>
      </c>
      <c r="P473" s="21">
        <v>833450</v>
      </c>
      <c r="S473" s="101" t="b">
        <f>OR(COUNTIF(Tabla2[[#This Row],[PROVEEDOR]],"*"&amp;'Palabra no opera'!$A$2&amp;"*"))</f>
        <v>0</v>
      </c>
      <c r="T473" s="113">
        <f>+$W$5-Tabla2[[#This Row],[FECHA DE FACTURACIÓN]]</f>
        <v>119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15" t="str">
        <f>+IF(AND(Tabla2[[#This Row],[venc]]="venc",Tabla2[[#This Row],[Columna1]]="por pagar"),"vencida","no")</f>
        <v>no</v>
      </c>
    </row>
    <row r="474" spans="1:23" ht="15.75" x14ac:dyDescent="0.25">
      <c r="A474" s="20">
        <v>30</v>
      </c>
      <c r="B474" s="25">
        <v>0</v>
      </c>
      <c r="C474" s="25"/>
      <c r="D474" s="56">
        <v>0</v>
      </c>
      <c r="E474" s="66">
        <v>45203</v>
      </c>
      <c r="F474" s="323" t="s">
        <v>420</v>
      </c>
      <c r="G474" s="66">
        <v>45200</v>
      </c>
      <c r="H474" s="35" t="s">
        <v>480</v>
      </c>
      <c r="I474" s="21">
        <v>129083</v>
      </c>
      <c r="J474" s="21"/>
      <c r="K474" s="22">
        <v>0</v>
      </c>
      <c r="L474" s="23"/>
      <c r="M474" s="22">
        <v>0</v>
      </c>
      <c r="N474" s="72">
        <v>0</v>
      </c>
      <c r="O474" s="22">
        <v>0</v>
      </c>
      <c r="P474" s="21">
        <v>129083</v>
      </c>
      <c r="S474" s="101" t="b">
        <f>OR(COUNTIF(Tabla2[[#This Row],[PROVEEDOR]],"*"&amp;'Palabra no opera'!$A$2&amp;"*"))</f>
        <v>1</v>
      </c>
      <c r="T474" s="113">
        <f>+$W$5-Tabla2[[#This Row],[FECHA DE FACTURACIÓN]]</f>
        <v>122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15" t="str">
        <f>+IF(AND(Tabla2[[#This Row],[venc]]="venc",Tabla2[[#This Row],[Columna1]]="por pagar"),"vencida","no")</f>
        <v>no</v>
      </c>
    </row>
    <row r="475" spans="1:23" ht="15.75" x14ac:dyDescent="0.25">
      <c r="A475" s="20">
        <v>30</v>
      </c>
      <c r="B475" s="25">
        <v>0</v>
      </c>
      <c r="C475" s="25"/>
      <c r="D475" s="56" t="s">
        <v>260</v>
      </c>
      <c r="E475" s="66">
        <v>45203</v>
      </c>
      <c r="F475" s="323" t="s">
        <v>38</v>
      </c>
      <c r="G475" s="66">
        <v>45147</v>
      </c>
      <c r="H475" s="35">
        <v>90276</v>
      </c>
      <c r="I475" s="21">
        <v>3715930</v>
      </c>
      <c r="J475" s="21"/>
      <c r="K475" s="22">
        <v>0</v>
      </c>
      <c r="L475" s="23"/>
      <c r="M475" s="22">
        <v>0</v>
      </c>
      <c r="N475" s="72">
        <v>0</v>
      </c>
      <c r="O475" s="22">
        <v>0</v>
      </c>
      <c r="P475" s="21">
        <v>3715930</v>
      </c>
      <c r="S475" s="101" t="b">
        <f>OR(COUNTIF(Tabla2[[#This Row],[PROVEEDOR]],"*"&amp;'Palabra no opera'!$A$2&amp;"*"))</f>
        <v>0</v>
      </c>
      <c r="T475" s="113">
        <f>+$W$5-Tabla2[[#This Row],[FECHA DE FACTURACIÓN]]</f>
        <v>175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15" t="str">
        <f>+IF(AND(Tabla2[[#This Row],[venc]]="venc",Tabla2[[#This Row],[Columna1]]="por pagar"),"vencida","no")</f>
        <v>no</v>
      </c>
    </row>
    <row r="476" spans="1:23" ht="15.75" x14ac:dyDescent="0.25">
      <c r="A476" s="20">
        <v>30</v>
      </c>
      <c r="B476" s="25">
        <v>0</v>
      </c>
      <c r="C476" s="25"/>
      <c r="D476" s="56" t="s">
        <v>260</v>
      </c>
      <c r="E476" s="66">
        <v>45203</v>
      </c>
      <c r="F476" s="323" t="s">
        <v>38</v>
      </c>
      <c r="G476" s="66">
        <v>45147</v>
      </c>
      <c r="H476" s="35">
        <v>90700</v>
      </c>
      <c r="I476" s="21">
        <v>3433190.84</v>
      </c>
      <c r="J476" s="21"/>
      <c r="K476" s="22">
        <v>0</v>
      </c>
      <c r="L476" s="23"/>
      <c r="M476" s="22">
        <v>0</v>
      </c>
      <c r="N476" s="72">
        <v>0</v>
      </c>
      <c r="O476" s="22">
        <v>0</v>
      </c>
      <c r="P476" s="21">
        <v>3433190.84</v>
      </c>
      <c r="S476" s="101" t="b">
        <f>OR(COUNTIF(Tabla2[[#This Row],[PROVEEDOR]],"*"&amp;'Palabra no opera'!$A$2&amp;"*"))</f>
        <v>0</v>
      </c>
      <c r="T476" s="113">
        <f>+$W$5-Tabla2[[#This Row],[FECHA DE FACTURACIÓN]]</f>
        <v>175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15" t="str">
        <f>+IF(AND(Tabla2[[#This Row],[venc]]="venc",Tabla2[[#This Row],[Columna1]]="por pagar"),"vencida","no")</f>
        <v>no</v>
      </c>
    </row>
    <row r="477" spans="1:23" ht="15.75" x14ac:dyDescent="0.25">
      <c r="A477" s="20">
        <v>30</v>
      </c>
      <c r="B477" s="25">
        <v>0</v>
      </c>
      <c r="C477" s="25"/>
      <c r="D477" s="56" t="s">
        <v>260</v>
      </c>
      <c r="E477" s="66">
        <v>45203</v>
      </c>
      <c r="F477" s="323" t="s">
        <v>38</v>
      </c>
      <c r="G477" s="66">
        <v>45145</v>
      </c>
      <c r="H477" s="35">
        <v>90105</v>
      </c>
      <c r="I477" s="21">
        <v>2208124.6799999997</v>
      </c>
      <c r="J477" s="21"/>
      <c r="K477" s="22">
        <v>0</v>
      </c>
      <c r="L477" s="23"/>
      <c r="M477" s="22">
        <v>0</v>
      </c>
      <c r="N477" s="72">
        <v>0</v>
      </c>
      <c r="O477" s="22">
        <v>0</v>
      </c>
      <c r="P477" s="21">
        <v>2208124.6799999997</v>
      </c>
      <c r="S477" s="101" t="b">
        <f>OR(COUNTIF(Tabla2[[#This Row],[PROVEEDOR]],"*"&amp;'Palabra no opera'!$A$2&amp;"*"))</f>
        <v>0</v>
      </c>
      <c r="T477" s="113">
        <f>+$W$5-Tabla2[[#This Row],[FECHA DE FACTURACIÓN]]</f>
        <v>177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15" t="str">
        <f>+IF(AND(Tabla2[[#This Row],[venc]]="venc",Tabla2[[#This Row],[Columna1]]="por pagar"),"vencida","no")</f>
        <v>no</v>
      </c>
    </row>
    <row r="478" spans="1:23" ht="15.75" x14ac:dyDescent="0.25">
      <c r="A478" s="20">
        <v>30</v>
      </c>
      <c r="B478" s="25">
        <v>380979.69</v>
      </c>
      <c r="C478" s="25"/>
      <c r="D478" s="56" t="s">
        <v>255</v>
      </c>
      <c r="E478" s="66">
        <v>45203</v>
      </c>
      <c r="F478" s="323" t="s">
        <v>393</v>
      </c>
      <c r="G478" s="66">
        <v>45134</v>
      </c>
      <c r="H478" s="35" t="s">
        <v>999</v>
      </c>
      <c r="I478" s="21">
        <v>2187560</v>
      </c>
      <c r="J478" s="21"/>
      <c r="K478" s="22">
        <v>415636.4</v>
      </c>
      <c r="L478" s="23"/>
      <c r="M478" s="22">
        <v>0</v>
      </c>
      <c r="N478" s="72">
        <v>0</v>
      </c>
      <c r="O478" s="22">
        <v>0</v>
      </c>
      <c r="P478" s="21">
        <v>2603196.4</v>
      </c>
      <c r="S478" s="101" t="b">
        <f>OR(COUNTIF(Tabla2[[#This Row],[PROVEEDOR]],"*"&amp;'Palabra no opera'!$A$2&amp;"*"))</f>
        <v>1</v>
      </c>
      <c r="T478" s="113">
        <f>+$W$5-Tabla2[[#This Row],[FECHA DE FACTURACIÓN]]</f>
        <v>188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15" t="str">
        <f>+IF(AND(Tabla2[[#This Row],[venc]]="venc",Tabla2[[#This Row],[Columna1]]="por pagar"),"vencida","no")</f>
        <v>no</v>
      </c>
    </row>
    <row r="479" spans="1:23" ht="15.75" x14ac:dyDescent="0.25">
      <c r="A479" s="20">
        <v>30</v>
      </c>
      <c r="B479" s="25">
        <v>380979.69</v>
      </c>
      <c r="C479" s="25"/>
      <c r="D479" s="56" t="s">
        <v>255</v>
      </c>
      <c r="E479" s="66">
        <v>45203</v>
      </c>
      <c r="F479" s="323" t="s">
        <v>393</v>
      </c>
      <c r="G479" s="66">
        <v>45126</v>
      </c>
      <c r="H479" s="35" t="s">
        <v>982</v>
      </c>
      <c r="I479" s="21">
        <v>4343040</v>
      </c>
      <c r="J479" s="21"/>
      <c r="K479" s="22">
        <v>825177.59999999998</v>
      </c>
      <c r="L479" s="23"/>
      <c r="M479" s="22">
        <v>0</v>
      </c>
      <c r="N479" s="72">
        <v>0</v>
      </c>
      <c r="O479" s="22">
        <v>0</v>
      </c>
      <c r="P479" s="21">
        <v>5168217.5999999996</v>
      </c>
      <c r="S479" s="101" t="b">
        <f>OR(COUNTIF(Tabla2[[#This Row],[PROVEEDOR]],"*"&amp;'Palabra no opera'!$A$2&amp;"*"))</f>
        <v>1</v>
      </c>
      <c r="T479" s="113">
        <f>+$W$5-Tabla2[[#This Row],[FECHA DE FACTURACIÓN]]</f>
        <v>196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15" t="str">
        <f>+IF(AND(Tabla2[[#This Row],[venc]]="venc",Tabla2[[#This Row],[Columna1]]="por pagar"),"vencida","no")</f>
        <v>no</v>
      </c>
    </row>
    <row r="480" spans="1:23" ht="15.75" x14ac:dyDescent="0.25">
      <c r="A480" s="20">
        <v>30</v>
      </c>
      <c r="B480" s="25">
        <v>0</v>
      </c>
      <c r="C480" s="25"/>
      <c r="D480" s="56" t="s">
        <v>104</v>
      </c>
      <c r="E480" s="66">
        <v>45202</v>
      </c>
      <c r="F480" s="323" t="s">
        <v>279</v>
      </c>
      <c r="G480" s="66">
        <v>45202</v>
      </c>
      <c r="H480" s="35" t="s">
        <v>1149</v>
      </c>
      <c r="I480" s="21">
        <v>150000</v>
      </c>
      <c r="J480" s="21"/>
      <c r="K480" s="22">
        <v>0</v>
      </c>
      <c r="L480" s="23"/>
      <c r="M480" s="22">
        <v>0</v>
      </c>
      <c r="N480" s="72">
        <v>0</v>
      </c>
      <c r="O480" s="22">
        <v>0</v>
      </c>
      <c r="P480" s="21">
        <v>150000</v>
      </c>
      <c r="S480" s="101" t="b">
        <f>OR(COUNTIF(Tabla2[[#This Row],[PROVEEDOR]],"*"&amp;'Palabra no opera'!$A$2&amp;"*"))</f>
        <v>0</v>
      </c>
      <c r="T480" s="113">
        <f>+$W$5-Tabla2[[#This Row],[FECHA DE FACTURACIÓN]]</f>
        <v>120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15" t="str">
        <f>+IF(AND(Tabla2[[#This Row],[venc]]="venc",Tabla2[[#This Row],[Columna1]]="por pagar"),"vencida","no")</f>
        <v>no</v>
      </c>
    </row>
    <row r="481" spans="1:23" ht="15.75" x14ac:dyDescent="0.25">
      <c r="A481" s="20">
        <v>30</v>
      </c>
      <c r="B481" s="25">
        <v>0</v>
      </c>
      <c r="C481" s="25"/>
      <c r="D481" s="56" t="s">
        <v>104</v>
      </c>
      <c r="E481" s="66">
        <v>45202</v>
      </c>
      <c r="F481" s="323" t="s">
        <v>279</v>
      </c>
      <c r="G481" s="66">
        <v>45202</v>
      </c>
      <c r="H481" s="35" t="s">
        <v>1169</v>
      </c>
      <c r="I481" s="21">
        <v>210000</v>
      </c>
      <c r="J481" s="21"/>
      <c r="K481" s="22">
        <v>0</v>
      </c>
      <c r="L481" s="23"/>
      <c r="M481" s="22">
        <v>0</v>
      </c>
      <c r="N481" s="72">
        <v>0</v>
      </c>
      <c r="O481" s="22">
        <v>0</v>
      </c>
      <c r="P481" s="21">
        <v>210000</v>
      </c>
      <c r="S481" s="101" t="b">
        <f>OR(COUNTIF(Tabla2[[#This Row],[PROVEEDOR]],"*"&amp;'Palabra no opera'!$A$2&amp;"*"))</f>
        <v>0</v>
      </c>
      <c r="T481" s="113">
        <f>+$W$5-Tabla2[[#This Row],[FECHA DE FACTURACIÓN]]</f>
        <v>120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15" t="str">
        <f>+IF(AND(Tabla2[[#This Row],[venc]]="venc",Tabla2[[#This Row],[Columna1]]="por pagar"),"vencida","no")</f>
        <v>no</v>
      </c>
    </row>
    <row r="482" spans="1:23" ht="15.75" x14ac:dyDescent="0.25">
      <c r="A482" s="20">
        <v>30</v>
      </c>
      <c r="B482" s="25">
        <v>-2000</v>
      </c>
      <c r="C482" s="25"/>
      <c r="D482" s="56">
        <v>0</v>
      </c>
      <c r="E482" s="66">
        <v>45202</v>
      </c>
      <c r="F482" s="323" t="s">
        <v>881</v>
      </c>
      <c r="G482" s="66">
        <v>45202</v>
      </c>
      <c r="H482" s="35"/>
      <c r="I482" s="21">
        <v>392000</v>
      </c>
      <c r="J482" s="21"/>
      <c r="K482" s="22">
        <v>0</v>
      </c>
      <c r="L482" s="23"/>
      <c r="M482" s="22">
        <v>0</v>
      </c>
      <c r="N482" s="72">
        <v>0</v>
      </c>
      <c r="O482" s="22">
        <v>0</v>
      </c>
      <c r="P482" s="21">
        <v>392000</v>
      </c>
      <c r="S482" s="101" t="b">
        <f>OR(COUNTIF(Tabla2[[#This Row],[PROVEEDOR]],"*"&amp;'Palabra no opera'!$A$2&amp;"*"))</f>
        <v>0</v>
      </c>
      <c r="T482" s="113">
        <f>+$W$5-Tabla2[[#This Row],[FECHA DE FACTURACIÓN]]</f>
        <v>120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15" t="str">
        <f>+IF(AND(Tabla2[[#This Row],[venc]]="venc",Tabla2[[#This Row],[Columna1]]="por pagar"),"vencida","no")</f>
        <v>no</v>
      </c>
    </row>
    <row r="483" spans="1:23" ht="15.75" x14ac:dyDescent="0.25">
      <c r="A483" s="20">
        <v>30</v>
      </c>
      <c r="B483" s="25">
        <v>0</v>
      </c>
      <c r="C483" s="25"/>
      <c r="D483" s="56" t="s">
        <v>104</v>
      </c>
      <c r="E483" s="66">
        <v>45202</v>
      </c>
      <c r="F483" s="323" t="s">
        <v>311</v>
      </c>
      <c r="G483" s="66">
        <v>45201</v>
      </c>
      <c r="H483" s="35" t="s">
        <v>1205</v>
      </c>
      <c r="I483" s="21">
        <v>1921000</v>
      </c>
      <c r="J483" s="21"/>
      <c r="K483" s="22">
        <v>0</v>
      </c>
      <c r="L483" s="23"/>
      <c r="M483" s="22">
        <v>0</v>
      </c>
      <c r="N483" s="72">
        <v>0</v>
      </c>
      <c r="O483" s="22">
        <v>0</v>
      </c>
      <c r="P483" s="21">
        <v>1921000</v>
      </c>
      <c r="S483" s="101" t="b">
        <f>OR(COUNTIF(Tabla2[[#This Row],[PROVEEDOR]],"*"&amp;'Palabra no opera'!$A$2&amp;"*"))</f>
        <v>0</v>
      </c>
      <c r="T483" s="113">
        <f>+$W$5-Tabla2[[#This Row],[FECHA DE FACTURACIÓN]]</f>
        <v>121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15" t="str">
        <f>+IF(AND(Tabla2[[#This Row],[venc]]="venc",Tabla2[[#This Row],[Columna1]]="por pagar"),"vencida","no")</f>
        <v>no</v>
      </c>
    </row>
    <row r="484" spans="1:23" ht="15.75" x14ac:dyDescent="0.25">
      <c r="A484" s="20">
        <v>30</v>
      </c>
      <c r="B484" s="25">
        <v>0</v>
      </c>
      <c r="C484" s="25"/>
      <c r="D484" s="56" t="s">
        <v>104</v>
      </c>
      <c r="E484" s="66">
        <v>45201</v>
      </c>
      <c r="F484" s="323" t="s">
        <v>279</v>
      </c>
      <c r="G484" s="66">
        <v>45201</v>
      </c>
      <c r="H484" s="35" t="s">
        <v>1167</v>
      </c>
      <c r="I484" s="21">
        <v>150000</v>
      </c>
      <c r="J484" s="21"/>
      <c r="K484" s="22">
        <v>0</v>
      </c>
      <c r="L484" s="23"/>
      <c r="M484" s="22">
        <v>0</v>
      </c>
      <c r="N484" s="72">
        <v>0</v>
      </c>
      <c r="O484" s="22">
        <v>0</v>
      </c>
      <c r="P484" s="21">
        <v>150000</v>
      </c>
      <c r="S484" s="101" t="b">
        <f>OR(COUNTIF(Tabla2[[#This Row],[PROVEEDOR]],"*"&amp;'Palabra no opera'!$A$2&amp;"*"))</f>
        <v>0</v>
      </c>
      <c r="T484" s="113">
        <f>+$W$5-Tabla2[[#This Row],[FECHA DE FACTURACIÓN]]</f>
        <v>121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15" t="str">
        <f>+IF(AND(Tabla2[[#This Row],[venc]]="venc",Tabla2[[#This Row],[Columna1]]="por pagar"),"vencida","no")</f>
        <v>no</v>
      </c>
    </row>
    <row r="485" spans="1:23" ht="15.75" x14ac:dyDescent="0.25">
      <c r="A485" s="20">
        <v>30</v>
      </c>
      <c r="B485" s="25">
        <v>0</v>
      </c>
      <c r="C485" s="25"/>
      <c r="D485" s="56" t="s">
        <v>104</v>
      </c>
      <c r="E485" s="66">
        <v>45201</v>
      </c>
      <c r="F485" s="323" t="s">
        <v>279</v>
      </c>
      <c r="G485" s="66">
        <v>45201</v>
      </c>
      <c r="H485" s="35" t="s">
        <v>1168</v>
      </c>
      <c r="I485" s="21">
        <v>588000</v>
      </c>
      <c r="J485" s="21"/>
      <c r="K485" s="22">
        <v>0</v>
      </c>
      <c r="L485" s="23"/>
      <c r="M485" s="22">
        <v>0</v>
      </c>
      <c r="N485" s="72">
        <v>0</v>
      </c>
      <c r="O485" s="22">
        <v>0</v>
      </c>
      <c r="P485" s="21">
        <v>588000</v>
      </c>
      <c r="S485" s="101" t="b">
        <f>OR(COUNTIF(Tabla2[[#This Row],[PROVEEDOR]],"*"&amp;'Palabra no opera'!$A$2&amp;"*"))</f>
        <v>0</v>
      </c>
      <c r="T485" s="113">
        <f>+$W$5-Tabla2[[#This Row],[FECHA DE FACTURACIÓN]]</f>
        <v>121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15" t="str">
        <f>+IF(AND(Tabla2[[#This Row],[venc]]="venc",Tabla2[[#This Row],[Columna1]]="por pagar"),"vencida","no")</f>
        <v>no</v>
      </c>
    </row>
    <row r="486" spans="1:23" ht="15.75" x14ac:dyDescent="0.25">
      <c r="A486" s="20">
        <v>30</v>
      </c>
      <c r="B486" s="25">
        <v>0</v>
      </c>
      <c r="C486" s="25"/>
      <c r="D486" s="56" t="s">
        <v>104</v>
      </c>
      <c r="E486" s="66">
        <v>45201</v>
      </c>
      <c r="F486" s="323" t="s">
        <v>299</v>
      </c>
      <c r="G486" s="66">
        <v>45201</v>
      </c>
      <c r="H486" s="35"/>
      <c r="I486" s="21">
        <v>1031000</v>
      </c>
      <c r="J486" s="21"/>
      <c r="K486" s="22">
        <v>0</v>
      </c>
      <c r="L486" s="23"/>
      <c r="M486" s="22">
        <v>0</v>
      </c>
      <c r="N486" s="72">
        <v>0</v>
      </c>
      <c r="O486" s="22">
        <v>0</v>
      </c>
      <c r="P486" s="21">
        <v>1031000</v>
      </c>
      <c r="S486" s="101" t="b">
        <f>OR(COUNTIF(Tabla2[[#This Row],[PROVEEDOR]],"*"&amp;'Palabra no opera'!$A$2&amp;"*"))</f>
        <v>0</v>
      </c>
      <c r="T486" s="113">
        <f>+$W$5-Tabla2[[#This Row],[FECHA DE FACTURACIÓN]]</f>
        <v>121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15" t="str">
        <f>+IF(AND(Tabla2[[#This Row],[venc]]="venc",Tabla2[[#This Row],[Columna1]]="por pagar"),"vencida","no")</f>
        <v>no</v>
      </c>
    </row>
    <row r="487" spans="1:23" ht="15.75" x14ac:dyDescent="0.25">
      <c r="A487" s="20">
        <v>30</v>
      </c>
      <c r="B487" s="25">
        <v>1395870</v>
      </c>
      <c r="C487" s="25"/>
      <c r="D487" s="56" t="s">
        <v>472</v>
      </c>
      <c r="E487" s="66">
        <v>45201</v>
      </c>
      <c r="F487" s="323" t="s">
        <v>457</v>
      </c>
      <c r="G487" s="66">
        <v>45170</v>
      </c>
      <c r="H487" s="35" t="s">
        <v>1113</v>
      </c>
      <c r="I487" s="21">
        <v>1796000</v>
      </c>
      <c r="J487" s="21"/>
      <c r="K487" s="22">
        <v>341240</v>
      </c>
      <c r="L487" s="23">
        <v>0.1</v>
      </c>
      <c r="M487" s="22">
        <v>179600</v>
      </c>
      <c r="N487" s="72">
        <v>2.5000000000000001E-2</v>
      </c>
      <c r="O487" s="22">
        <v>44900</v>
      </c>
      <c r="P487" s="21">
        <v>1912740</v>
      </c>
      <c r="S487" s="101" t="b">
        <f>OR(COUNTIF(Tabla2[[#This Row],[PROVEEDOR]],"*"&amp;'Palabra no opera'!$A$2&amp;"*"))</f>
        <v>0</v>
      </c>
      <c r="T487" s="113">
        <f>+$W$5-Tabla2[[#This Row],[FECHA DE FACTURACIÓN]]</f>
        <v>152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15" t="str">
        <f>+IF(AND(Tabla2[[#This Row],[venc]]="venc",Tabla2[[#This Row],[Columna1]]="por pagar"),"vencida","no")</f>
        <v>no</v>
      </c>
    </row>
    <row r="488" spans="1:23" ht="15.75" x14ac:dyDescent="0.25">
      <c r="A488" s="20">
        <v>30</v>
      </c>
      <c r="B488" s="25">
        <v>0</v>
      </c>
      <c r="C488" s="25"/>
      <c r="D488" s="56" t="s">
        <v>245</v>
      </c>
      <c r="E488" s="66">
        <v>45201</v>
      </c>
      <c r="F488" s="323" t="s">
        <v>221</v>
      </c>
      <c r="G488" s="66">
        <v>45169</v>
      </c>
      <c r="H488" s="35" t="s">
        <v>1104</v>
      </c>
      <c r="I488" s="21">
        <v>-1748011</v>
      </c>
      <c r="J488" s="21"/>
      <c r="K488" s="22">
        <v>-332122.09000000003</v>
      </c>
      <c r="L488" s="23"/>
      <c r="M488" s="22">
        <v>0</v>
      </c>
      <c r="N488" s="72">
        <v>0</v>
      </c>
      <c r="O488" s="22">
        <v>0</v>
      </c>
      <c r="P488" s="21">
        <v>-2080133.09</v>
      </c>
      <c r="S488" s="101" t="b">
        <f>OR(COUNTIF(Tabla2[[#This Row],[PROVEEDOR]],"*"&amp;'Palabra no opera'!$A$2&amp;"*"))</f>
        <v>0</v>
      </c>
      <c r="T488" s="113">
        <f>+$W$5-Tabla2[[#This Row],[FECHA DE FACTURACIÓN]]</f>
        <v>153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15" t="str">
        <f>+IF(AND(Tabla2[[#This Row],[venc]]="venc",Tabla2[[#This Row],[Columna1]]="por pagar"),"vencida","no")</f>
        <v>no</v>
      </c>
    </row>
    <row r="489" spans="1:23" ht="15.75" x14ac:dyDescent="0.25">
      <c r="A489" s="20">
        <v>30</v>
      </c>
      <c r="B489" s="25">
        <v>0</v>
      </c>
      <c r="C489" s="25"/>
      <c r="D489" s="56" t="s">
        <v>245</v>
      </c>
      <c r="E489" s="66">
        <v>45201</v>
      </c>
      <c r="F489" s="323" t="s">
        <v>221</v>
      </c>
      <c r="G489" s="66">
        <v>45164</v>
      </c>
      <c r="H489" s="35" t="s">
        <v>1053</v>
      </c>
      <c r="I489" s="21">
        <v>6502674</v>
      </c>
      <c r="J489" s="21"/>
      <c r="K489" s="22">
        <v>1235508.06</v>
      </c>
      <c r="L489" s="23"/>
      <c r="M489" s="22">
        <v>0</v>
      </c>
      <c r="N489" s="72">
        <v>0</v>
      </c>
      <c r="O489" s="22">
        <v>0</v>
      </c>
      <c r="P489" s="21">
        <v>7738182.0600000005</v>
      </c>
      <c r="S489" s="101" t="b">
        <f>OR(COUNTIF(Tabla2[[#This Row],[PROVEEDOR]],"*"&amp;'Palabra no opera'!$A$2&amp;"*"))</f>
        <v>0</v>
      </c>
      <c r="T489" s="113">
        <f>+$W$5-Tabla2[[#This Row],[FECHA DE FACTURACIÓN]]</f>
        <v>158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15" t="str">
        <f>+IF(AND(Tabla2[[#This Row],[venc]]="venc",Tabla2[[#This Row],[Columna1]]="por pagar"),"vencida","no")</f>
        <v>no</v>
      </c>
    </row>
    <row r="490" spans="1:23" ht="15.75" x14ac:dyDescent="0.25">
      <c r="A490" s="20">
        <v>30</v>
      </c>
      <c r="B490" s="25">
        <v>214200</v>
      </c>
      <c r="C490" s="25"/>
      <c r="D490" s="56" t="s">
        <v>177</v>
      </c>
      <c r="E490" s="66">
        <v>45201</v>
      </c>
      <c r="F490" s="323" t="s">
        <v>39</v>
      </c>
      <c r="G490" s="66">
        <v>45162</v>
      </c>
      <c r="H490" s="35" t="s">
        <v>1056</v>
      </c>
      <c r="I490" s="21">
        <v>8000000</v>
      </c>
      <c r="J490" s="21"/>
      <c r="K490" s="22">
        <v>1520000</v>
      </c>
      <c r="L490" s="23"/>
      <c r="M490" s="22">
        <v>0</v>
      </c>
      <c r="N490" s="72">
        <v>2.5000000000000001E-2</v>
      </c>
      <c r="O490" s="22">
        <v>200000</v>
      </c>
      <c r="P490" s="21">
        <v>9320000</v>
      </c>
      <c r="S490" s="101" t="b">
        <f>OR(COUNTIF(Tabla2[[#This Row],[PROVEEDOR]],"*"&amp;'Palabra no opera'!$A$2&amp;"*"))</f>
        <v>0</v>
      </c>
      <c r="T490" s="113">
        <f>+$W$5-Tabla2[[#This Row],[FECHA DE FACTURACIÓN]]</f>
        <v>160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15" t="str">
        <f>+IF(AND(Tabla2[[#This Row],[venc]]="venc",Tabla2[[#This Row],[Columna1]]="por pagar"),"vencida","no")</f>
        <v>no</v>
      </c>
    </row>
    <row r="491" spans="1:23" ht="15.75" x14ac:dyDescent="0.25">
      <c r="A491" s="20">
        <v>30</v>
      </c>
      <c r="B491" s="25">
        <v>214200</v>
      </c>
      <c r="C491" s="25"/>
      <c r="D491" s="56" t="s">
        <v>177</v>
      </c>
      <c r="E491" s="66">
        <v>45201</v>
      </c>
      <c r="F491" s="323" t="s">
        <v>39</v>
      </c>
      <c r="G491" s="66">
        <v>45160</v>
      </c>
      <c r="H491" s="35" t="s">
        <v>1057</v>
      </c>
      <c r="I491" s="21">
        <v>376000</v>
      </c>
      <c r="J491" s="21"/>
      <c r="K491" s="22">
        <v>71440</v>
      </c>
      <c r="L491" s="23"/>
      <c r="M491" s="22">
        <v>0</v>
      </c>
      <c r="N491" s="72">
        <v>0</v>
      </c>
      <c r="O491" s="22">
        <v>0</v>
      </c>
      <c r="P491" s="21">
        <v>447440</v>
      </c>
      <c r="S491" s="101" t="b">
        <f>OR(COUNTIF(Tabla2[[#This Row],[PROVEEDOR]],"*"&amp;'Palabra no opera'!$A$2&amp;"*"))</f>
        <v>0</v>
      </c>
      <c r="T491" s="113">
        <f>+$W$5-Tabla2[[#This Row],[FECHA DE FACTURACIÓN]]</f>
        <v>162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15" t="str">
        <f>+IF(AND(Tabla2[[#This Row],[venc]]="venc",Tabla2[[#This Row],[Columna1]]="por pagar"),"vencida","no")</f>
        <v>no</v>
      </c>
    </row>
    <row r="492" spans="1:23" ht="15.75" x14ac:dyDescent="0.25">
      <c r="A492" s="20">
        <v>60</v>
      </c>
      <c r="B492" s="25">
        <v>5363111.8674999997</v>
      </c>
      <c r="C492" s="25"/>
      <c r="D492" s="56" t="s">
        <v>168</v>
      </c>
      <c r="E492" s="66">
        <v>45201</v>
      </c>
      <c r="F492" s="323" t="s">
        <v>249</v>
      </c>
      <c r="G492" s="66">
        <v>45139</v>
      </c>
      <c r="H492" s="35" t="s">
        <v>1016</v>
      </c>
      <c r="I492" s="21">
        <v>779495</v>
      </c>
      <c r="J492" s="21"/>
      <c r="K492" s="22">
        <v>148104.04999999999</v>
      </c>
      <c r="L492" s="23"/>
      <c r="M492" s="22">
        <v>0</v>
      </c>
      <c r="N492" s="72">
        <v>0</v>
      </c>
      <c r="O492" s="22">
        <v>0</v>
      </c>
      <c r="P492" s="21">
        <v>927599.05</v>
      </c>
      <c r="S492" s="101" t="b">
        <f>OR(COUNTIF(Tabla2[[#This Row],[PROVEEDOR]],"*"&amp;'Palabra no opera'!$A$2&amp;"*"))</f>
        <v>0</v>
      </c>
      <c r="T492" s="113">
        <f>+$W$5-Tabla2[[#This Row],[FECHA DE FACTURACIÓN]]</f>
        <v>183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15" t="str">
        <f>+IF(AND(Tabla2[[#This Row],[venc]]="venc",Tabla2[[#This Row],[Columna1]]="por pagar"),"vencida","no")</f>
        <v>no</v>
      </c>
    </row>
    <row r="493" spans="1:23" ht="15.75" x14ac:dyDescent="0.25">
      <c r="A493" s="20">
        <v>45</v>
      </c>
      <c r="B493" s="25">
        <v>13678360</v>
      </c>
      <c r="C493" s="25"/>
      <c r="D493" s="56" t="s">
        <v>179</v>
      </c>
      <c r="E493" s="66">
        <v>45201</v>
      </c>
      <c r="F493" s="323" t="s">
        <v>10</v>
      </c>
      <c r="G493" s="66">
        <v>45135</v>
      </c>
      <c r="H493" s="35" t="s">
        <v>988</v>
      </c>
      <c r="I493" s="21">
        <v>4200000</v>
      </c>
      <c r="J493" s="21"/>
      <c r="K493" s="22">
        <v>798000</v>
      </c>
      <c r="L493" s="23"/>
      <c r="M493" s="22">
        <v>0</v>
      </c>
      <c r="N493" s="72">
        <v>2.5000000000000001E-2</v>
      </c>
      <c r="O493" s="22">
        <v>105000</v>
      </c>
      <c r="P493" s="21">
        <v>4893000</v>
      </c>
      <c r="S493" s="101" t="b">
        <f>OR(COUNTIF(Tabla2[[#This Row],[PROVEEDOR]],"*"&amp;'Palabra no opera'!$A$2&amp;"*"))</f>
        <v>0</v>
      </c>
      <c r="T493" s="113">
        <f>+$W$5-Tabla2[[#This Row],[FECHA DE FACTURACIÓN]]</f>
        <v>187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15" t="str">
        <f>+IF(AND(Tabla2[[#This Row],[venc]]="venc",Tabla2[[#This Row],[Columna1]]="por pagar"),"vencida","no")</f>
        <v>no</v>
      </c>
    </row>
    <row r="494" spans="1:23" ht="15.75" x14ac:dyDescent="0.25">
      <c r="A494" s="20">
        <v>30</v>
      </c>
      <c r="B494" s="25">
        <v>0</v>
      </c>
      <c r="C494" s="25"/>
      <c r="D494" s="56" t="s">
        <v>104</v>
      </c>
      <c r="E494" s="66">
        <v>45201</v>
      </c>
      <c r="F494" s="323" t="s">
        <v>279</v>
      </c>
      <c r="G494" s="66">
        <v>45117</v>
      </c>
      <c r="H494" s="35" t="s">
        <v>936</v>
      </c>
      <c r="I494" s="21">
        <v>1117000</v>
      </c>
      <c r="J494" s="21"/>
      <c r="K494" s="22">
        <v>0</v>
      </c>
      <c r="L494" s="23"/>
      <c r="M494" s="22">
        <v>0</v>
      </c>
      <c r="N494" s="72">
        <v>0</v>
      </c>
      <c r="O494" s="22">
        <v>0</v>
      </c>
      <c r="P494" s="21">
        <v>1117000</v>
      </c>
      <c r="S494" s="101" t="b">
        <f>OR(COUNTIF(Tabla2[[#This Row],[PROVEEDOR]],"*"&amp;'Palabra no opera'!$A$2&amp;"*"))</f>
        <v>0</v>
      </c>
      <c r="T494" s="113">
        <f>+$W$5-Tabla2[[#This Row],[FECHA DE FACTURACIÓN]]</f>
        <v>205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15" t="str">
        <f>+IF(AND(Tabla2[[#This Row],[venc]]="venc",Tabla2[[#This Row],[Columna1]]="por pagar"),"vencida","no")</f>
        <v>no</v>
      </c>
    </row>
    <row r="495" spans="1:23" ht="15.75" x14ac:dyDescent="0.25">
      <c r="A495" s="20">
        <v>30</v>
      </c>
      <c r="B495" s="25">
        <v>5480000</v>
      </c>
      <c r="C495" s="25"/>
      <c r="D495" s="56" t="s">
        <v>104</v>
      </c>
      <c r="E495" s="66">
        <v>45201</v>
      </c>
      <c r="F495" s="323" t="s">
        <v>285</v>
      </c>
      <c r="G495" s="66">
        <v>45117</v>
      </c>
      <c r="H495" s="35">
        <v>8943</v>
      </c>
      <c r="I495" s="21">
        <v>3668500</v>
      </c>
      <c r="J495" s="21"/>
      <c r="K495" s="22">
        <v>0</v>
      </c>
      <c r="L495" s="23"/>
      <c r="M495" s="22">
        <v>0</v>
      </c>
      <c r="N495" s="72">
        <v>0</v>
      </c>
      <c r="O495" s="22">
        <v>0</v>
      </c>
      <c r="P495" s="21">
        <v>3668500</v>
      </c>
      <c r="S495" s="101" t="b">
        <f>OR(COUNTIF(Tabla2[[#This Row],[PROVEEDOR]],"*"&amp;'Palabra no opera'!$A$2&amp;"*"))</f>
        <v>0</v>
      </c>
      <c r="T495" s="113">
        <f>+$W$5-Tabla2[[#This Row],[FECHA DE FACTURACIÓN]]</f>
        <v>205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15" t="str">
        <f>+IF(AND(Tabla2[[#This Row],[venc]]="venc",Tabla2[[#This Row],[Columna1]]="por pagar"),"vencida","no")</f>
        <v>no</v>
      </c>
    </row>
    <row r="496" spans="1:23" ht="15.75" x14ac:dyDescent="0.25">
      <c r="A496" s="20">
        <v>60</v>
      </c>
      <c r="B496" s="25">
        <v>5538410</v>
      </c>
      <c r="C496" s="25"/>
      <c r="D496" s="56" t="s">
        <v>625</v>
      </c>
      <c r="E496" s="66">
        <v>45201</v>
      </c>
      <c r="F496" s="323" t="s">
        <v>624</v>
      </c>
      <c r="G496" s="66">
        <v>45114</v>
      </c>
      <c r="H496" s="35" t="s">
        <v>955</v>
      </c>
      <c r="I496" s="21">
        <v>1519000</v>
      </c>
      <c r="J496" s="21"/>
      <c r="K496" s="22">
        <v>288610</v>
      </c>
      <c r="L496" s="23"/>
      <c r="M496" s="22">
        <v>0</v>
      </c>
      <c r="N496" s="72">
        <v>2.5000000000000001E-2</v>
      </c>
      <c r="O496" s="22">
        <v>37975</v>
      </c>
      <c r="P496" s="21">
        <v>1769635</v>
      </c>
      <c r="S496" s="101" t="b">
        <f>OR(COUNTIF(Tabla2[[#This Row],[PROVEEDOR]],"*"&amp;'Palabra no opera'!$A$2&amp;"*"))</f>
        <v>0</v>
      </c>
      <c r="T496" s="113">
        <f>+$W$5-Tabla2[[#This Row],[FECHA DE FACTURACIÓN]]</f>
        <v>208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15" t="str">
        <f>+IF(AND(Tabla2[[#This Row],[venc]]="venc",Tabla2[[#This Row],[Columna1]]="por pagar"),"vencida","no")</f>
        <v>no</v>
      </c>
    </row>
    <row r="497" spans="1:23" ht="15.75" x14ac:dyDescent="0.25">
      <c r="A497" s="20">
        <v>30</v>
      </c>
      <c r="B497" s="25">
        <v>0</v>
      </c>
      <c r="C497" s="25"/>
      <c r="D497" s="56" t="s">
        <v>104</v>
      </c>
      <c r="E497" s="66">
        <v>45199</v>
      </c>
      <c r="F497" s="323" t="s">
        <v>279</v>
      </c>
      <c r="G497" s="66">
        <v>45199</v>
      </c>
      <c r="H497" s="35" t="s">
        <v>516</v>
      </c>
      <c r="I497" s="21">
        <v>512100</v>
      </c>
      <c r="J497" s="21"/>
      <c r="K497" s="22">
        <v>0</v>
      </c>
      <c r="L497" s="23"/>
      <c r="M497" s="22">
        <v>0</v>
      </c>
      <c r="N497" s="72">
        <v>0</v>
      </c>
      <c r="O497" s="22">
        <v>0</v>
      </c>
      <c r="P497" s="21">
        <v>512100</v>
      </c>
      <c r="S497" s="101" t="b">
        <f>OR(COUNTIF(Tabla2[[#This Row],[PROVEEDOR]],"*"&amp;'Palabra no opera'!$A$2&amp;"*"))</f>
        <v>0</v>
      </c>
      <c r="T497" s="113">
        <f>+$W$5-Tabla2[[#This Row],[FECHA DE FACTURACIÓN]]</f>
        <v>123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15" t="str">
        <f>+IF(AND(Tabla2[[#This Row],[venc]]="venc",Tabla2[[#This Row],[Columna1]]="por pagar"),"vencida","no")</f>
        <v>no</v>
      </c>
    </row>
    <row r="498" spans="1:23" ht="15.75" x14ac:dyDescent="0.25">
      <c r="A498" s="20">
        <v>30</v>
      </c>
      <c r="B498" s="25">
        <v>0</v>
      </c>
      <c r="C498" s="25"/>
      <c r="D498" s="56" t="s">
        <v>104</v>
      </c>
      <c r="E498" s="66">
        <v>45199</v>
      </c>
      <c r="F498" s="323" t="s">
        <v>279</v>
      </c>
      <c r="G498" s="66">
        <v>45199</v>
      </c>
      <c r="H498" s="35" t="s">
        <v>517</v>
      </c>
      <c r="I498" s="21">
        <v>2566850</v>
      </c>
      <c r="J498" s="21"/>
      <c r="K498" s="22">
        <v>0</v>
      </c>
      <c r="L498" s="23"/>
      <c r="M498" s="22">
        <v>0</v>
      </c>
      <c r="N498" s="72">
        <v>0</v>
      </c>
      <c r="O498" s="22">
        <v>0</v>
      </c>
      <c r="P498" s="21">
        <v>2566850</v>
      </c>
      <c r="S498" s="101" t="b">
        <f>OR(COUNTIF(Tabla2[[#This Row],[PROVEEDOR]],"*"&amp;'Palabra no opera'!$A$2&amp;"*"))</f>
        <v>0</v>
      </c>
      <c r="T498" s="113">
        <f>+$W$5-Tabla2[[#This Row],[FECHA DE FACTURACIÓN]]</f>
        <v>123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15" t="str">
        <f>+IF(AND(Tabla2[[#This Row],[venc]]="venc",Tabla2[[#This Row],[Columna1]]="por pagar"),"vencida","no")</f>
        <v>no</v>
      </c>
    </row>
    <row r="499" spans="1:23" ht="15.75" x14ac:dyDescent="0.25">
      <c r="A499" s="20">
        <v>30</v>
      </c>
      <c r="B499" s="25">
        <v>0</v>
      </c>
      <c r="C499" s="25"/>
      <c r="D499" s="56" t="s">
        <v>104</v>
      </c>
      <c r="E499" s="66">
        <v>45199</v>
      </c>
      <c r="F499" s="323" t="s">
        <v>279</v>
      </c>
      <c r="G499" s="66">
        <v>45199</v>
      </c>
      <c r="H499" s="35" t="s">
        <v>520</v>
      </c>
      <c r="I499" s="21">
        <v>284873</v>
      </c>
      <c r="J499" s="21"/>
      <c r="K499" s="22">
        <v>0</v>
      </c>
      <c r="L499" s="23"/>
      <c r="M499" s="22">
        <v>0</v>
      </c>
      <c r="N499" s="72">
        <v>0</v>
      </c>
      <c r="O499" s="22">
        <v>0</v>
      </c>
      <c r="P499" s="21">
        <v>284873</v>
      </c>
      <c r="S499" s="101" t="b">
        <f>OR(COUNTIF(Tabla2[[#This Row],[PROVEEDOR]],"*"&amp;'Palabra no opera'!$A$2&amp;"*"))</f>
        <v>0</v>
      </c>
      <c r="T499" s="113">
        <f>+$W$5-Tabla2[[#This Row],[FECHA DE FACTURACIÓN]]</f>
        <v>123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15" t="str">
        <f>+IF(AND(Tabla2[[#This Row],[venc]]="venc",Tabla2[[#This Row],[Columna1]]="por pagar"),"vencida","no")</f>
        <v>no</v>
      </c>
    </row>
    <row r="500" spans="1:23" ht="15.75" x14ac:dyDescent="0.25">
      <c r="A500" s="20">
        <v>30</v>
      </c>
      <c r="B500" s="25">
        <v>0</v>
      </c>
      <c r="C500" s="25"/>
      <c r="D500" s="56" t="s">
        <v>104</v>
      </c>
      <c r="E500" s="66">
        <v>45199</v>
      </c>
      <c r="F500" s="323" t="s">
        <v>279</v>
      </c>
      <c r="G500" s="66">
        <v>45199</v>
      </c>
      <c r="H500" s="35" t="s">
        <v>518</v>
      </c>
      <c r="I500" s="21">
        <v>135500</v>
      </c>
      <c r="J500" s="21"/>
      <c r="K500" s="22">
        <v>0</v>
      </c>
      <c r="L500" s="23"/>
      <c r="M500" s="22">
        <v>0</v>
      </c>
      <c r="N500" s="72">
        <v>0</v>
      </c>
      <c r="O500" s="22">
        <v>0</v>
      </c>
      <c r="P500" s="21">
        <v>135500</v>
      </c>
      <c r="S500" s="101" t="b">
        <f>OR(COUNTIF(Tabla2[[#This Row],[PROVEEDOR]],"*"&amp;'Palabra no opera'!$A$2&amp;"*"))</f>
        <v>0</v>
      </c>
      <c r="T500" s="113">
        <f>+$W$5-Tabla2[[#This Row],[FECHA DE FACTURACIÓN]]</f>
        <v>123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15" t="str">
        <f>+IF(AND(Tabla2[[#This Row],[venc]]="venc",Tabla2[[#This Row],[Columna1]]="por pagar"),"vencida","no")</f>
        <v>no</v>
      </c>
    </row>
    <row r="501" spans="1:23" ht="15.75" x14ac:dyDescent="0.25">
      <c r="A501" s="20">
        <v>30</v>
      </c>
      <c r="B501" s="25">
        <v>0</v>
      </c>
      <c r="C501" s="25"/>
      <c r="D501" s="56" t="s">
        <v>104</v>
      </c>
      <c r="E501" s="66">
        <v>45199</v>
      </c>
      <c r="F501" s="323" t="s">
        <v>279</v>
      </c>
      <c r="G501" s="66">
        <v>45199</v>
      </c>
      <c r="H501" s="35" t="s">
        <v>519</v>
      </c>
      <c r="I501" s="21">
        <v>19000</v>
      </c>
      <c r="J501" s="21"/>
      <c r="K501" s="22">
        <v>0</v>
      </c>
      <c r="L501" s="23"/>
      <c r="M501" s="22">
        <v>0</v>
      </c>
      <c r="N501" s="72">
        <v>0</v>
      </c>
      <c r="O501" s="22">
        <v>0</v>
      </c>
      <c r="P501" s="21">
        <v>19000</v>
      </c>
      <c r="S501" s="101" t="b">
        <f>OR(COUNTIF(Tabla2[[#This Row],[PROVEEDOR]],"*"&amp;'Palabra no opera'!$A$2&amp;"*"))</f>
        <v>0</v>
      </c>
      <c r="T501" s="113">
        <f>+$W$5-Tabla2[[#This Row],[FECHA DE FACTURACIÓN]]</f>
        <v>123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15" t="str">
        <f>+IF(AND(Tabla2[[#This Row],[venc]]="venc",Tabla2[[#This Row],[Columna1]]="por pagar"),"vencida","no")</f>
        <v>no</v>
      </c>
    </row>
    <row r="502" spans="1:23" ht="15.75" x14ac:dyDescent="0.25">
      <c r="A502" s="20">
        <v>30</v>
      </c>
      <c r="B502" s="25">
        <v>0</v>
      </c>
      <c r="C502" s="25"/>
      <c r="D502" s="56" t="s">
        <v>104</v>
      </c>
      <c r="E502" s="66">
        <v>45199</v>
      </c>
      <c r="F502" s="323" t="s">
        <v>279</v>
      </c>
      <c r="G502" s="66">
        <v>45199</v>
      </c>
      <c r="H502" s="35" t="s">
        <v>545</v>
      </c>
      <c r="I502" s="21">
        <v>0</v>
      </c>
      <c r="J502" s="21"/>
      <c r="K502" s="22">
        <v>0</v>
      </c>
      <c r="L502" s="23"/>
      <c r="M502" s="22">
        <v>0</v>
      </c>
      <c r="N502" s="72">
        <v>0</v>
      </c>
      <c r="O502" s="22">
        <v>0</v>
      </c>
      <c r="P502" s="21">
        <v>0</v>
      </c>
      <c r="S502" s="101" t="b">
        <f>OR(COUNTIF(Tabla2[[#This Row],[PROVEEDOR]],"*"&amp;'Palabra no opera'!$A$2&amp;"*"))</f>
        <v>0</v>
      </c>
      <c r="T502" s="113">
        <f>+$W$5-Tabla2[[#This Row],[FECHA DE FACTURACIÓN]]</f>
        <v>123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15" t="str">
        <f>+IF(AND(Tabla2[[#This Row],[venc]]="venc",Tabla2[[#This Row],[Columna1]]="por pagar"),"vencida","no")</f>
        <v>no</v>
      </c>
    </row>
    <row r="503" spans="1:23" ht="15.75" x14ac:dyDescent="0.25">
      <c r="A503" s="20">
        <v>30</v>
      </c>
      <c r="B503" s="25">
        <v>5972000</v>
      </c>
      <c r="C503" s="25"/>
      <c r="D503" s="56">
        <v>0</v>
      </c>
      <c r="E503" s="66">
        <v>45198</v>
      </c>
      <c r="F503" s="323" t="s">
        <v>512</v>
      </c>
      <c r="G503" s="66">
        <v>45147</v>
      </c>
      <c r="H503" s="35">
        <v>3979</v>
      </c>
      <c r="I503" s="21">
        <v>2142000</v>
      </c>
      <c r="J503" s="21"/>
      <c r="K503" s="22">
        <v>0</v>
      </c>
      <c r="L503" s="23"/>
      <c r="M503" s="22">
        <v>0</v>
      </c>
      <c r="N503" s="72">
        <v>0</v>
      </c>
      <c r="O503" s="22">
        <v>0</v>
      </c>
      <c r="P503" s="21">
        <v>2142000</v>
      </c>
      <c r="S503" s="101" t="b">
        <f>OR(COUNTIF(Tabla2[[#This Row],[PROVEEDOR]],"*"&amp;'Palabra no opera'!$A$2&amp;"*"))</f>
        <v>0</v>
      </c>
      <c r="T503" s="113">
        <f>+$W$5-Tabla2[[#This Row],[FECHA DE FACTURACIÓN]]</f>
        <v>175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15" t="str">
        <f>+IF(AND(Tabla2[[#This Row],[venc]]="venc",Tabla2[[#This Row],[Columna1]]="por pagar"),"vencida","no")</f>
        <v>no</v>
      </c>
    </row>
    <row r="504" spans="1:23" ht="15.75" x14ac:dyDescent="0.25">
      <c r="A504" s="20">
        <v>45</v>
      </c>
      <c r="B504" s="25">
        <v>3535656.6</v>
      </c>
      <c r="C504" s="25"/>
      <c r="D504" s="56" t="s">
        <v>390</v>
      </c>
      <c r="E504" s="66">
        <v>45197</v>
      </c>
      <c r="F504" s="323" t="s">
        <v>19</v>
      </c>
      <c r="G504" s="66">
        <v>45146</v>
      </c>
      <c r="H504" s="35" t="s">
        <v>1017</v>
      </c>
      <c r="I504" s="21">
        <v>4162770</v>
      </c>
      <c r="J504" s="21"/>
      <c r="K504" s="22">
        <v>790926.3</v>
      </c>
      <c r="L504" s="23"/>
      <c r="M504" s="22">
        <v>0</v>
      </c>
      <c r="N504" s="72">
        <v>0</v>
      </c>
      <c r="O504" s="22">
        <v>0</v>
      </c>
      <c r="P504" s="21">
        <v>4953696.3</v>
      </c>
      <c r="S504" s="101" t="b">
        <f>OR(COUNTIF(Tabla2[[#This Row],[PROVEEDOR]],"*"&amp;'Palabra no opera'!$A$2&amp;"*"))</f>
        <v>0</v>
      </c>
      <c r="T504" s="113">
        <f>+$W$5-Tabla2[[#This Row],[FECHA DE FACTURACIÓN]]</f>
        <v>176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15" t="str">
        <f>+IF(AND(Tabla2[[#This Row],[venc]]="venc",Tabla2[[#This Row],[Columna1]]="por pagar"),"vencida","no")</f>
        <v>no</v>
      </c>
    </row>
    <row r="505" spans="1:23" ht="15.75" x14ac:dyDescent="0.25">
      <c r="A505" s="20">
        <v>45</v>
      </c>
      <c r="B505" s="25">
        <v>3535656.6</v>
      </c>
      <c r="C505" s="25"/>
      <c r="D505" s="56" t="s">
        <v>390</v>
      </c>
      <c r="E505" s="66">
        <v>45197</v>
      </c>
      <c r="F505" s="323" t="s">
        <v>19</v>
      </c>
      <c r="G505" s="66">
        <v>45142</v>
      </c>
      <c r="H505" s="35" t="s">
        <v>1018</v>
      </c>
      <c r="I505" s="21">
        <v>7543977</v>
      </c>
      <c r="J505" s="21"/>
      <c r="K505" s="22">
        <v>1433355.6300000001</v>
      </c>
      <c r="L505" s="23"/>
      <c r="M505" s="22">
        <v>0</v>
      </c>
      <c r="N505" s="72">
        <v>0</v>
      </c>
      <c r="O505" s="22">
        <v>0</v>
      </c>
      <c r="P505" s="21">
        <v>8977332.6300000008</v>
      </c>
      <c r="S505" s="101" t="b">
        <f>OR(COUNTIF(Tabla2[[#This Row],[PROVEEDOR]],"*"&amp;'Palabra no opera'!$A$2&amp;"*"))</f>
        <v>0</v>
      </c>
      <c r="T505" s="113">
        <f>+$W$5-Tabla2[[#This Row],[FECHA DE FACTURACIÓN]]</f>
        <v>180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15" t="str">
        <f>+IF(AND(Tabla2[[#This Row],[venc]]="venc",Tabla2[[#This Row],[Columna1]]="por pagar"),"vencida","no")</f>
        <v>no</v>
      </c>
    </row>
    <row r="506" spans="1:23" ht="15.75" x14ac:dyDescent="0.25">
      <c r="A506" s="20">
        <v>30</v>
      </c>
      <c r="B506" s="25">
        <v>0</v>
      </c>
      <c r="C506" s="25"/>
      <c r="D506" s="56" t="s">
        <v>104</v>
      </c>
      <c r="E506" s="66">
        <v>45195</v>
      </c>
      <c r="F506" s="323" t="s">
        <v>275</v>
      </c>
      <c r="G506" s="66">
        <v>45195</v>
      </c>
      <c r="H506" s="35" t="s">
        <v>1150</v>
      </c>
      <c r="I506" s="21">
        <v>320000</v>
      </c>
      <c r="J506" s="21"/>
      <c r="K506" s="22">
        <v>0</v>
      </c>
      <c r="L506" s="23"/>
      <c r="M506" s="22">
        <v>0</v>
      </c>
      <c r="N506" s="72">
        <v>0</v>
      </c>
      <c r="O506" s="22">
        <v>0</v>
      </c>
      <c r="P506" s="21">
        <v>320000</v>
      </c>
      <c r="S506" s="101" t="b">
        <f>OR(COUNTIF(Tabla2[[#This Row],[PROVEEDOR]],"*"&amp;'Palabra no opera'!$A$2&amp;"*"))</f>
        <v>0</v>
      </c>
      <c r="T506" s="113">
        <f>+$W$5-Tabla2[[#This Row],[FECHA DE FACTURACIÓN]]</f>
        <v>127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15" t="str">
        <f>+IF(AND(Tabla2[[#This Row],[venc]]="venc",Tabla2[[#This Row],[Columna1]]="por pagar"),"vencida","no")</f>
        <v>no</v>
      </c>
    </row>
    <row r="507" spans="1:23" ht="15.75" x14ac:dyDescent="0.25">
      <c r="A507" s="20">
        <v>30</v>
      </c>
      <c r="B507" s="25">
        <v>0</v>
      </c>
      <c r="C507" s="25"/>
      <c r="D507" s="56" t="s">
        <v>104</v>
      </c>
      <c r="E507" s="66">
        <v>45195</v>
      </c>
      <c r="F507" s="323" t="s">
        <v>279</v>
      </c>
      <c r="G507" s="66">
        <v>45195</v>
      </c>
      <c r="H507" s="35" t="s">
        <v>1151</v>
      </c>
      <c r="I507" s="21">
        <v>708000</v>
      </c>
      <c r="J507" s="21"/>
      <c r="K507" s="22">
        <v>0</v>
      </c>
      <c r="L507" s="23"/>
      <c r="M507" s="22">
        <v>0</v>
      </c>
      <c r="N507" s="72">
        <v>0</v>
      </c>
      <c r="O507" s="22">
        <v>0</v>
      </c>
      <c r="P507" s="21">
        <v>708000</v>
      </c>
      <c r="S507" s="101" t="b">
        <f>OR(COUNTIF(Tabla2[[#This Row],[PROVEEDOR]],"*"&amp;'Palabra no opera'!$A$2&amp;"*"))</f>
        <v>0</v>
      </c>
      <c r="T507" s="113">
        <f>+$W$5-Tabla2[[#This Row],[FECHA DE FACTURACIÓN]]</f>
        <v>127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15" t="str">
        <f>+IF(AND(Tabla2[[#This Row],[venc]]="venc",Tabla2[[#This Row],[Columna1]]="por pagar"),"vencida","no")</f>
        <v>no</v>
      </c>
    </row>
    <row r="508" spans="1:23" ht="15.75" x14ac:dyDescent="0.25">
      <c r="A508" s="20">
        <v>30</v>
      </c>
      <c r="B508" s="25">
        <v>380979.69</v>
      </c>
      <c r="C508" s="25"/>
      <c r="D508" s="56" t="s">
        <v>255</v>
      </c>
      <c r="E508" s="66">
        <v>45195</v>
      </c>
      <c r="F508" s="323" t="s">
        <v>393</v>
      </c>
      <c r="G508" s="66">
        <v>45134</v>
      </c>
      <c r="H508" s="35" t="s">
        <v>1000</v>
      </c>
      <c r="I508" s="21">
        <v>2187560</v>
      </c>
      <c r="J508" s="21"/>
      <c r="K508" s="22">
        <v>415636.4</v>
      </c>
      <c r="L508" s="23"/>
      <c r="M508" s="22">
        <v>0</v>
      </c>
      <c r="N508" s="72">
        <v>0</v>
      </c>
      <c r="O508" s="22">
        <v>0</v>
      </c>
      <c r="P508" s="21">
        <v>2603196.4</v>
      </c>
      <c r="S508" s="101" t="b">
        <f>OR(COUNTIF(Tabla2[[#This Row],[PROVEEDOR]],"*"&amp;'Palabra no opera'!$A$2&amp;"*"))</f>
        <v>1</v>
      </c>
      <c r="T508" s="113">
        <f>+$W$5-Tabla2[[#This Row],[FECHA DE FACTURACIÓN]]</f>
        <v>188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15" t="str">
        <f>+IF(AND(Tabla2[[#This Row],[venc]]="venc",Tabla2[[#This Row],[Columna1]]="por pagar"),"vencida","no")</f>
        <v>no</v>
      </c>
    </row>
    <row r="509" spans="1:23" ht="15.75" x14ac:dyDescent="0.25">
      <c r="A509" s="20">
        <v>30</v>
      </c>
      <c r="B509" s="25">
        <v>-100999.9886</v>
      </c>
      <c r="C509" s="25"/>
      <c r="D509" s="56" t="s">
        <v>1537</v>
      </c>
      <c r="E509" s="66">
        <v>45195</v>
      </c>
      <c r="F509" s="323" t="s">
        <v>246</v>
      </c>
      <c r="G509" s="66">
        <v>45132</v>
      </c>
      <c r="H509" s="35" t="s">
        <v>983</v>
      </c>
      <c r="I509" s="21">
        <v>887394</v>
      </c>
      <c r="J509" s="21"/>
      <c r="K509" s="22">
        <v>168604.86000000002</v>
      </c>
      <c r="L509" s="23"/>
      <c r="M509" s="22">
        <v>0</v>
      </c>
      <c r="N509" s="72">
        <v>0</v>
      </c>
      <c r="O509" s="22">
        <v>0</v>
      </c>
      <c r="P509" s="21">
        <v>1055998.8600000001</v>
      </c>
      <c r="S509" s="101" t="b">
        <f>OR(COUNTIF(Tabla2[[#This Row],[PROVEEDOR]],"*"&amp;'Palabra no opera'!$A$2&amp;"*"))</f>
        <v>0</v>
      </c>
      <c r="T509" s="113">
        <f>+$W$5-Tabla2[[#This Row],[FECHA DE FACTURACIÓN]]</f>
        <v>190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15" t="str">
        <f>+IF(AND(Tabla2[[#This Row],[venc]]="venc",Tabla2[[#This Row],[Columna1]]="por pagar"),"vencida","no")</f>
        <v>no</v>
      </c>
    </row>
    <row r="510" spans="1:23" ht="15.75" x14ac:dyDescent="0.25">
      <c r="A510" s="20">
        <v>30</v>
      </c>
      <c r="B510" s="25">
        <v>0</v>
      </c>
      <c r="C510" s="25"/>
      <c r="D510" s="56" t="s">
        <v>1561</v>
      </c>
      <c r="E510" s="66">
        <v>45194</v>
      </c>
      <c r="F510" s="323" t="s">
        <v>203</v>
      </c>
      <c r="G510" s="66">
        <v>45194</v>
      </c>
      <c r="H510" s="35" t="s">
        <v>1126</v>
      </c>
      <c r="I510" s="21">
        <v>2299649</v>
      </c>
      <c r="J510" s="21"/>
      <c r="K510" s="22">
        <v>0</v>
      </c>
      <c r="L510" s="23"/>
      <c r="M510" s="22">
        <v>0</v>
      </c>
      <c r="N510" s="72">
        <v>0</v>
      </c>
      <c r="O510" s="22">
        <v>0</v>
      </c>
      <c r="P510" s="21">
        <v>2299649</v>
      </c>
      <c r="S510" s="101" t="b">
        <f>OR(COUNTIF(Tabla2[[#This Row],[PROVEEDOR]],"*"&amp;'Palabra no opera'!$A$2&amp;"*"))</f>
        <v>0</v>
      </c>
      <c r="T510" s="113">
        <f>+$W$5-Tabla2[[#This Row],[FECHA DE FACTURACIÓN]]</f>
        <v>128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15" t="str">
        <f>+IF(AND(Tabla2[[#This Row],[venc]]="venc",Tabla2[[#This Row],[Columna1]]="por pagar"),"vencida","no")</f>
        <v>no</v>
      </c>
    </row>
    <row r="511" spans="1:23" ht="15.75" x14ac:dyDescent="0.25">
      <c r="A511" s="20">
        <v>30</v>
      </c>
      <c r="B511" s="25">
        <v>0</v>
      </c>
      <c r="C511" s="25"/>
      <c r="D511" s="56" t="s">
        <v>233</v>
      </c>
      <c r="E511" s="66">
        <v>45194</v>
      </c>
      <c r="F511" s="323" t="s">
        <v>413</v>
      </c>
      <c r="G511" s="66">
        <v>45179</v>
      </c>
      <c r="H511" s="35" t="s">
        <v>1095</v>
      </c>
      <c r="I511" s="21">
        <v>3456200</v>
      </c>
      <c r="J511" s="21"/>
      <c r="K511" s="22">
        <v>0</v>
      </c>
      <c r="L511" s="23"/>
      <c r="M511" s="22">
        <v>0</v>
      </c>
      <c r="N511" s="72">
        <v>3.5000000000000003E-2</v>
      </c>
      <c r="O511" s="22">
        <v>120967.00000000001</v>
      </c>
      <c r="P511" s="21">
        <v>3335233</v>
      </c>
      <c r="S511" s="101" t="b">
        <f>OR(COUNTIF(Tabla2[[#This Row],[PROVEEDOR]],"*"&amp;'Palabra no opera'!$A$2&amp;"*"))</f>
        <v>1</v>
      </c>
      <c r="T511" s="113">
        <f>+$W$5-Tabla2[[#This Row],[FECHA DE FACTURACIÓN]]</f>
        <v>143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15" t="str">
        <f>+IF(AND(Tabla2[[#This Row],[venc]]="venc",Tabla2[[#This Row],[Columna1]]="por pagar"),"vencida","no")</f>
        <v>no</v>
      </c>
    </row>
    <row r="512" spans="1:23" ht="15.75" x14ac:dyDescent="0.25">
      <c r="A512" s="20">
        <v>30</v>
      </c>
      <c r="B512" s="25">
        <v>0</v>
      </c>
      <c r="C512" s="25"/>
      <c r="D512" s="56" t="s">
        <v>449</v>
      </c>
      <c r="E512" s="66">
        <v>45194</v>
      </c>
      <c r="F512" s="323" t="s">
        <v>415</v>
      </c>
      <c r="G512" s="66">
        <v>45170</v>
      </c>
      <c r="H512" s="35" t="s">
        <v>1097</v>
      </c>
      <c r="I512" s="21">
        <v>914023</v>
      </c>
      <c r="J512" s="21"/>
      <c r="K512" s="22">
        <v>0</v>
      </c>
      <c r="L512" s="23"/>
      <c r="M512" s="22">
        <v>0</v>
      </c>
      <c r="N512" s="72">
        <v>0</v>
      </c>
      <c r="O512" s="22">
        <v>0</v>
      </c>
      <c r="P512" s="21">
        <v>914023</v>
      </c>
      <c r="S512" s="101" t="b">
        <f>OR(COUNTIF(Tabla2[[#This Row],[PROVEEDOR]],"*"&amp;'Palabra no opera'!$A$2&amp;"*"))</f>
        <v>1</v>
      </c>
      <c r="T512" s="113">
        <f>+$W$5-Tabla2[[#This Row],[FECHA DE FACTURACIÓN]]</f>
        <v>152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15" t="str">
        <f>+IF(AND(Tabla2[[#This Row],[venc]]="venc",Tabla2[[#This Row],[Columna1]]="por pagar"),"vencida","no")</f>
        <v>no</v>
      </c>
    </row>
    <row r="513" spans="1:23" ht="15.75" x14ac:dyDescent="0.25">
      <c r="A513" s="20">
        <v>30</v>
      </c>
      <c r="B513" s="25">
        <v>0</v>
      </c>
      <c r="C513" s="25"/>
      <c r="D513" s="56" t="s">
        <v>449</v>
      </c>
      <c r="E513" s="66">
        <v>45194</v>
      </c>
      <c r="F513" s="323" t="s">
        <v>415</v>
      </c>
      <c r="G513" s="66">
        <v>45170</v>
      </c>
      <c r="H513" s="35" t="s">
        <v>1098</v>
      </c>
      <c r="I513" s="21">
        <v>934363</v>
      </c>
      <c r="J513" s="21"/>
      <c r="K513" s="22">
        <v>0</v>
      </c>
      <c r="L513" s="23"/>
      <c r="M513" s="22">
        <v>0</v>
      </c>
      <c r="N513" s="72">
        <v>0</v>
      </c>
      <c r="O513" s="22">
        <v>0</v>
      </c>
      <c r="P513" s="21">
        <v>934363</v>
      </c>
      <c r="S513" s="101" t="b">
        <f>OR(COUNTIF(Tabla2[[#This Row],[PROVEEDOR]],"*"&amp;'Palabra no opera'!$A$2&amp;"*"))</f>
        <v>1</v>
      </c>
      <c r="T513" s="113">
        <f>+$W$5-Tabla2[[#This Row],[FECHA DE FACTURACIÓN]]</f>
        <v>152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15" t="str">
        <f>+IF(AND(Tabla2[[#This Row],[venc]]="venc",Tabla2[[#This Row],[Columna1]]="por pagar"),"vencida","no")</f>
        <v>no</v>
      </c>
    </row>
    <row r="514" spans="1:23" ht="15.75" x14ac:dyDescent="0.25">
      <c r="A514" s="20">
        <v>10</v>
      </c>
      <c r="B514" s="25">
        <v>0</v>
      </c>
      <c r="C514" s="25"/>
      <c r="D514" s="56" t="s">
        <v>523</v>
      </c>
      <c r="E514" s="66">
        <v>45194</v>
      </c>
      <c r="F514" s="323" t="s">
        <v>522</v>
      </c>
      <c r="G514" s="66">
        <v>45170</v>
      </c>
      <c r="H514" s="35" t="s">
        <v>1096</v>
      </c>
      <c r="I514" s="21">
        <v>5350576</v>
      </c>
      <c r="J514" s="21"/>
      <c r="K514" s="22">
        <v>1016609</v>
      </c>
      <c r="L514" s="23"/>
      <c r="M514" s="22">
        <v>0</v>
      </c>
      <c r="N514" s="72">
        <v>0</v>
      </c>
      <c r="O514" s="22">
        <v>0</v>
      </c>
      <c r="P514" s="21">
        <v>6367185</v>
      </c>
      <c r="S514" s="101" t="b">
        <f>OR(COUNTIF(Tabla2[[#This Row],[PROVEEDOR]],"*"&amp;'Palabra no opera'!$A$2&amp;"*"))</f>
        <v>1</v>
      </c>
      <c r="T514" s="113">
        <f>+$W$5-Tabla2[[#This Row],[FECHA DE FACTURACIÓN]]</f>
        <v>152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15" t="str">
        <f>+IF(AND(Tabla2[[#This Row],[venc]]="venc",Tabla2[[#This Row],[Columna1]]="por pagar"),"vencida","no")</f>
        <v>no</v>
      </c>
    </row>
    <row r="515" spans="1:23" ht="15.75" x14ac:dyDescent="0.25">
      <c r="A515" s="20">
        <v>30</v>
      </c>
      <c r="B515" s="25">
        <v>406756</v>
      </c>
      <c r="C515" s="25"/>
      <c r="D515" s="56" t="s">
        <v>104</v>
      </c>
      <c r="E515" s="66">
        <v>45194</v>
      </c>
      <c r="F515" s="323" t="s">
        <v>568</v>
      </c>
      <c r="G515" s="66">
        <v>45168</v>
      </c>
      <c r="H515" s="35">
        <v>68</v>
      </c>
      <c r="I515" s="21">
        <v>66000</v>
      </c>
      <c r="J515" s="21"/>
      <c r="K515" s="22">
        <v>0</v>
      </c>
      <c r="L515" s="23"/>
      <c r="M515" s="22">
        <v>0</v>
      </c>
      <c r="N515" s="72">
        <v>0</v>
      </c>
      <c r="O515" s="22">
        <v>0</v>
      </c>
      <c r="P515" s="21">
        <v>66000</v>
      </c>
      <c r="S515" s="101" t="b">
        <f>OR(COUNTIF(Tabla2[[#This Row],[PROVEEDOR]],"*"&amp;'Palabra no opera'!$A$2&amp;"*"))</f>
        <v>0</v>
      </c>
      <c r="T515" s="113">
        <f>+$W$5-Tabla2[[#This Row],[FECHA DE FACTURACIÓN]]</f>
        <v>154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15" t="str">
        <f>+IF(AND(Tabla2[[#This Row],[venc]]="venc",Tabla2[[#This Row],[Columna1]]="por pagar"),"vencida","no")</f>
        <v>no</v>
      </c>
    </row>
    <row r="516" spans="1:23" ht="15.75" x14ac:dyDescent="0.25">
      <c r="A516" s="20">
        <v>30</v>
      </c>
      <c r="B516" s="25">
        <v>406756</v>
      </c>
      <c r="C516" s="25"/>
      <c r="D516" s="56" t="s">
        <v>104</v>
      </c>
      <c r="E516" s="66">
        <v>45194</v>
      </c>
      <c r="F516" s="323" t="s">
        <v>568</v>
      </c>
      <c r="G516" s="66">
        <v>45166</v>
      </c>
      <c r="H516" s="35">
        <v>67</v>
      </c>
      <c r="I516" s="21">
        <v>22000</v>
      </c>
      <c r="J516" s="21"/>
      <c r="K516" s="22">
        <v>0</v>
      </c>
      <c r="L516" s="23"/>
      <c r="M516" s="22">
        <v>0</v>
      </c>
      <c r="N516" s="72">
        <v>0</v>
      </c>
      <c r="O516" s="22">
        <v>0</v>
      </c>
      <c r="P516" s="21">
        <v>22000</v>
      </c>
      <c r="S516" s="101" t="b">
        <f>OR(COUNTIF(Tabla2[[#This Row],[PROVEEDOR]],"*"&amp;'Palabra no opera'!$A$2&amp;"*"))</f>
        <v>0</v>
      </c>
      <c r="T516" s="113">
        <f>+$W$5-Tabla2[[#This Row],[FECHA DE FACTURACIÓN]]</f>
        <v>156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15" t="str">
        <f>+IF(AND(Tabla2[[#This Row],[venc]]="venc",Tabla2[[#This Row],[Columna1]]="por pagar"),"vencida","no")</f>
        <v>no</v>
      </c>
    </row>
    <row r="517" spans="1:23" ht="15.75" x14ac:dyDescent="0.25">
      <c r="A517" s="20">
        <v>30</v>
      </c>
      <c r="B517" s="25">
        <v>2923945.6174999997</v>
      </c>
      <c r="C517" s="25"/>
      <c r="D517" s="56" t="s">
        <v>1538</v>
      </c>
      <c r="E517" s="66">
        <v>45194</v>
      </c>
      <c r="F517" s="323" t="s">
        <v>1526</v>
      </c>
      <c r="G517" s="66">
        <v>45162</v>
      </c>
      <c r="H517" s="35" t="s">
        <v>1045</v>
      </c>
      <c r="I517" s="21">
        <v>1877600</v>
      </c>
      <c r="J517" s="21"/>
      <c r="K517" s="22">
        <v>356744</v>
      </c>
      <c r="L517" s="23"/>
      <c r="M517" s="22">
        <v>0</v>
      </c>
      <c r="N517" s="72">
        <v>2.5000000000000001E-2</v>
      </c>
      <c r="O517" s="22">
        <v>46940</v>
      </c>
      <c r="P517" s="21">
        <v>2187404</v>
      </c>
      <c r="S517" s="101" t="b">
        <f>OR(COUNTIF(Tabla2[[#This Row],[PROVEEDOR]],"*"&amp;'Palabra no opera'!$A$2&amp;"*"))</f>
        <v>0</v>
      </c>
      <c r="T517" s="113">
        <f>+$W$5-Tabla2[[#This Row],[FECHA DE FACTURACIÓN]]</f>
        <v>160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15" t="str">
        <f>+IF(AND(Tabla2[[#This Row],[venc]]="venc",Tabla2[[#This Row],[Columna1]]="por pagar"),"vencida","no")</f>
        <v>no</v>
      </c>
    </row>
    <row r="518" spans="1:23" ht="15.75" x14ac:dyDescent="0.25">
      <c r="A518" s="20">
        <v>30</v>
      </c>
      <c r="B518" s="25">
        <v>406756</v>
      </c>
      <c r="C518" s="25"/>
      <c r="D518" s="56" t="s">
        <v>104</v>
      </c>
      <c r="E518" s="66">
        <v>45194</v>
      </c>
      <c r="F518" s="323" t="s">
        <v>568</v>
      </c>
      <c r="G518" s="66">
        <v>45160</v>
      </c>
      <c r="H518" s="35">
        <v>66</v>
      </c>
      <c r="I518" s="21">
        <v>20000</v>
      </c>
      <c r="J518" s="21"/>
      <c r="K518" s="22">
        <v>0</v>
      </c>
      <c r="L518" s="23"/>
      <c r="M518" s="22">
        <v>0</v>
      </c>
      <c r="N518" s="72">
        <v>0</v>
      </c>
      <c r="O518" s="22">
        <v>0</v>
      </c>
      <c r="P518" s="21">
        <v>20000</v>
      </c>
      <c r="S518" s="101" t="b">
        <f>OR(COUNTIF(Tabla2[[#This Row],[PROVEEDOR]],"*"&amp;'Palabra no opera'!$A$2&amp;"*"))</f>
        <v>0</v>
      </c>
      <c r="T518" s="113">
        <f>+$W$5-Tabla2[[#This Row],[FECHA DE FACTURACIÓN]]</f>
        <v>162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15" t="str">
        <f>+IF(AND(Tabla2[[#This Row],[venc]]="venc",Tabla2[[#This Row],[Columna1]]="por pagar"),"vencida","no")</f>
        <v>no</v>
      </c>
    </row>
    <row r="519" spans="1:23" ht="15.75" x14ac:dyDescent="0.25">
      <c r="A519" s="20">
        <v>30</v>
      </c>
      <c r="B519" s="25">
        <v>351000</v>
      </c>
      <c r="C519" s="25"/>
      <c r="D519" s="56">
        <v>0</v>
      </c>
      <c r="E519" s="66">
        <v>45194</v>
      </c>
      <c r="F519" s="323" t="s">
        <v>533</v>
      </c>
      <c r="G519" s="66">
        <v>45155</v>
      </c>
      <c r="H519" s="35">
        <v>491</v>
      </c>
      <c r="I519" s="21">
        <v>300000</v>
      </c>
      <c r="J519" s="21"/>
      <c r="K519" s="22">
        <v>0</v>
      </c>
      <c r="L519" s="23"/>
      <c r="M519" s="22">
        <v>0</v>
      </c>
      <c r="N519" s="72">
        <v>0</v>
      </c>
      <c r="O519" s="22">
        <v>0</v>
      </c>
      <c r="P519" s="21">
        <v>300000</v>
      </c>
      <c r="S519" s="101" t="b">
        <f>OR(COUNTIF(Tabla2[[#This Row],[PROVEEDOR]],"*"&amp;'Palabra no opera'!$A$2&amp;"*"))</f>
        <v>0</v>
      </c>
      <c r="T519" s="113">
        <f>+$W$5-Tabla2[[#This Row],[FECHA DE FACTURACIÓN]]</f>
        <v>167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15" t="str">
        <f>+IF(AND(Tabla2[[#This Row],[venc]]="venc",Tabla2[[#This Row],[Columna1]]="por pagar"),"vencida","no")</f>
        <v>no</v>
      </c>
    </row>
    <row r="520" spans="1:23" ht="15.75" x14ac:dyDescent="0.25">
      <c r="A520" s="20">
        <v>30</v>
      </c>
      <c r="B520" s="25">
        <v>4282200</v>
      </c>
      <c r="C520" s="25"/>
      <c r="D520" s="56" t="s">
        <v>217</v>
      </c>
      <c r="E520" s="66">
        <v>45194</v>
      </c>
      <c r="F520" s="323" t="s">
        <v>312</v>
      </c>
      <c r="G520" s="66">
        <v>45154</v>
      </c>
      <c r="H520" s="35">
        <v>4327</v>
      </c>
      <c r="I520" s="21">
        <v>200000</v>
      </c>
      <c r="J520" s="21">
        <v>30000</v>
      </c>
      <c r="K520" s="22">
        <v>0</v>
      </c>
      <c r="L520" s="23"/>
      <c r="M520" s="22">
        <v>0</v>
      </c>
      <c r="N520" s="72">
        <v>0</v>
      </c>
      <c r="O520" s="22">
        <v>0</v>
      </c>
      <c r="P520" s="21">
        <v>170000</v>
      </c>
      <c r="S520" s="101" t="b">
        <f>OR(COUNTIF(Tabla2[[#This Row],[PROVEEDOR]],"*"&amp;'Palabra no opera'!$A$2&amp;"*"))</f>
        <v>0</v>
      </c>
      <c r="T520" s="113">
        <f>+$W$5-Tabla2[[#This Row],[FECHA DE FACTURACIÓN]]</f>
        <v>168</v>
      </c>
      <c r="U520" t="str">
        <f>+IF(Tabla2[[#This Row],[dias de credito]]&gt;=Tabla2[[#This Row],[PLAZO Días]],"venc", "No venc")</f>
        <v>venc</v>
      </c>
      <c r="V520" t="str">
        <f>+IF(Tabla2[[#This Row],[FECHA DE PAGO]]&gt;0,"pagada","por pagar")</f>
        <v>pagada</v>
      </c>
      <c r="W520" s="115" t="str">
        <f>+IF(AND(Tabla2[[#This Row],[venc]]="venc",Tabla2[[#This Row],[Columna1]]="por pagar"),"vencida","no")</f>
        <v>no</v>
      </c>
    </row>
    <row r="521" spans="1:23" ht="15.75" x14ac:dyDescent="0.25">
      <c r="A521" s="20">
        <v>30</v>
      </c>
      <c r="B521" s="25">
        <v>406756</v>
      </c>
      <c r="C521" s="25"/>
      <c r="D521" s="56" t="s">
        <v>104</v>
      </c>
      <c r="E521" s="66">
        <v>45194</v>
      </c>
      <c r="F521" s="323" t="s">
        <v>568</v>
      </c>
      <c r="G521" s="66">
        <v>45153</v>
      </c>
      <c r="H521" s="35">
        <v>65</v>
      </c>
      <c r="I521" s="21">
        <v>74000</v>
      </c>
      <c r="J521" s="21"/>
      <c r="K521" s="22">
        <v>0</v>
      </c>
      <c r="L521" s="23"/>
      <c r="M521" s="22">
        <v>0</v>
      </c>
      <c r="N521" s="72">
        <v>0</v>
      </c>
      <c r="O521" s="22">
        <v>0</v>
      </c>
      <c r="P521" s="21">
        <v>74000</v>
      </c>
      <c r="S521" s="101" t="b">
        <f>OR(COUNTIF(Tabla2[[#This Row],[PROVEEDOR]],"*"&amp;'Palabra no opera'!$A$2&amp;"*"))</f>
        <v>0</v>
      </c>
      <c r="T521" s="113">
        <f>+$W$5-Tabla2[[#This Row],[FECHA DE FACTURACIÓN]]</f>
        <v>169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15" t="str">
        <f>+IF(AND(Tabla2[[#This Row],[venc]]="venc",Tabla2[[#This Row],[Columna1]]="por pagar"),"vencida","no")</f>
        <v>no</v>
      </c>
    </row>
    <row r="522" spans="1:23" ht="15.75" x14ac:dyDescent="0.25">
      <c r="A522" s="20">
        <v>30</v>
      </c>
      <c r="B522" s="25">
        <v>406756</v>
      </c>
      <c r="C522" s="25"/>
      <c r="D522" s="56" t="s">
        <v>104</v>
      </c>
      <c r="E522" s="66">
        <v>45194</v>
      </c>
      <c r="F522" s="323" t="s">
        <v>568</v>
      </c>
      <c r="G522" s="66">
        <v>45149</v>
      </c>
      <c r="H522" s="35">
        <v>64</v>
      </c>
      <c r="I522" s="21">
        <v>34000</v>
      </c>
      <c r="J522" s="21"/>
      <c r="K522" s="22">
        <v>0</v>
      </c>
      <c r="L522" s="23"/>
      <c r="M522" s="22">
        <v>0</v>
      </c>
      <c r="N522" s="72">
        <v>0</v>
      </c>
      <c r="O522" s="22">
        <v>0</v>
      </c>
      <c r="P522" s="21">
        <v>34000</v>
      </c>
      <c r="S522" s="101" t="b">
        <f>OR(COUNTIF(Tabla2[[#This Row],[PROVEEDOR]],"*"&amp;'Palabra no opera'!$A$2&amp;"*"))</f>
        <v>0</v>
      </c>
      <c r="T522" s="113">
        <f>+$W$5-Tabla2[[#This Row],[FECHA DE FACTURACIÓN]]</f>
        <v>173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15" t="str">
        <f>+IF(AND(Tabla2[[#This Row],[venc]]="venc",Tabla2[[#This Row],[Columna1]]="por pagar"),"vencida","no")</f>
        <v>no</v>
      </c>
    </row>
    <row r="523" spans="1:23" ht="15.75" x14ac:dyDescent="0.25">
      <c r="A523" s="20">
        <v>30</v>
      </c>
      <c r="B523" s="25">
        <v>406756</v>
      </c>
      <c r="C523" s="25"/>
      <c r="D523" s="56" t="s">
        <v>104</v>
      </c>
      <c r="E523" s="66">
        <v>45194</v>
      </c>
      <c r="F523" s="323" t="s">
        <v>568</v>
      </c>
      <c r="G523" s="66">
        <v>45144</v>
      </c>
      <c r="H523" s="35">
        <v>63</v>
      </c>
      <c r="I523" s="21">
        <v>49000</v>
      </c>
      <c r="J523" s="21"/>
      <c r="K523" s="22">
        <v>0</v>
      </c>
      <c r="L523" s="23"/>
      <c r="M523" s="22">
        <v>0</v>
      </c>
      <c r="N523" s="72">
        <v>0</v>
      </c>
      <c r="O523" s="22">
        <v>0</v>
      </c>
      <c r="P523" s="21">
        <v>49000</v>
      </c>
      <c r="S523" s="101" t="b">
        <f>OR(COUNTIF(Tabla2[[#This Row],[PROVEEDOR]],"*"&amp;'Palabra no opera'!$A$2&amp;"*"))</f>
        <v>0</v>
      </c>
      <c r="T523" s="113">
        <f>+$W$5-Tabla2[[#This Row],[FECHA DE FACTURACIÓN]]</f>
        <v>178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15" t="str">
        <f>+IF(AND(Tabla2[[#This Row],[venc]]="venc",Tabla2[[#This Row],[Columna1]]="por pagar"),"vencida","no")</f>
        <v>no</v>
      </c>
    </row>
    <row r="524" spans="1:23" ht="15.75" x14ac:dyDescent="0.25">
      <c r="A524" s="20">
        <v>30</v>
      </c>
      <c r="B524" s="25">
        <v>4282200</v>
      </c>
      <c r="C524" s="25"/>
      <c r="D524" s="56" t="s">
        <v>217</v>
      </c>
      <c r="E524" s="66">
        <v>45194</v>
      </c>
      <c r="F524" s="323" t="s">
        <v>312</v>
      </c>
      <c r="G524" s="66">
        <v>45142</v>
      </c>
      <c r="H524" s="35">
        <v>4307</v>
      </c>
      <c r="I524" s="21">
        <v>413100</v>
      </c>
      <c r="J524" s="21"/>
      <c r="K524" s="22">
        <v>0</v>
      </c>
      <c r="L524" s="23"/>
      <c r="M524" s="22">
        <v>0</v>
      </c>
      <c r="N524" s="72">
        <v>0</v>
      </c>
      <c r="O524" s="22">
        <v>0</v>
      </c>
      <c r="P524" s="21">
        <v>413100</v>
      </c>
      <c r="S524" s="101" t="b">
        <f>OR(COUNTIF(Tabla2[[#This Row],[PROVEEDOR]],"*"&amp;'Palabra no opera'!$A$2&amp;"*"))</f>
        <v>0</v>
      </c>
      <c r="T524" s="113">
        <f>+$W$5-Tabla2[[#This Row],[FECHA DE FACTURACIÓN]]</f>
        <v>180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15" t="str">
        <f>+IF(AND(Tabla2[[#This Row],[venc]]="venc",Tabla2[[#This Row],[Columna1]]="por pagar"),"vencida","no")</f>
        <v>no</v>
      </c>
    </row>
    <row r="525" spans="1:23" ht="15.75" x14ac:dyDescent="0.25">
      <c r="A525" s="20">
        <v>30</v>
      </c>
      <c r="B525" s="25">
        <v>406756</v>
      </c>
      <c r="C525" s="25"/>
      <c r="D525" s="56" t="s">
        <v>104</v>
      </c>
      <c r="E525" s="66">
        <v>45194</v>
      </c>
      <c r="F525" s="323" t="s">
        <v>568</v>
      </c>
      <c r="G525" s="66">
        <v>45142</v>
      </c>
      <c r="H525" s="35">
        <v>62</v>
      </c>
      <c r="I525" s="21">
        <v>50000</v>
      </c>
      <c r="J525" s="21"/>
      <c r="K525" s="22">
        <v>0</v>
      </c>
      <c r="L525" s="23"/>
      <c r="M525" s="22">
        <v>0</v>
      </c>
      <c r="N525" s="72">
        <v>0</v>
      </c>
      <c r="O525" s="22">
        <v>0</v>
      </c>
      <c r="P525" s="21">
        <v>50000</v>
      </c>
      <c r="S525" s="101" t="b">
        <f>OR(COUNTIF(Tabla2[[#This Row],[PROVEEDOR]],"*"&amp;'Palabra no opera'!$A$2&amp;"*"))</f>
        <v>0</v>
      </c>
      <c r="T525" s="113">
        <f>+$W$5-Tabla2[[#This Row],[FECHA DE FACTURACIÓN]]</f>
        <v>180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15" t="str">
        <f>+IF(AND(Tabla2[[#This Row],[venc]]="venc",Tabla2[[#This Row],[Columna1]]="por pagar"),"vencida","no")</f>
        <v>no</v>
      </c>
    </row>
    <row r="526" spans="1:23" ht="15.75" x14ac:dyDescent="0.25">
      <c r="A526" s="20">
        <v>30</v>
      </c>
      <c r="B526" s="25">
        <v>1499400</v>
      </c>
      <c r="C526" s="25"/>
      <c r="D526" s="56" t="s">
        <v>170</v>
      </c>
      <c r="E526" s="66">
        <v>45194</v>
      </c>
      <c r="F526" s="323" t="s">
        <v>490</v>
      </c>
      <c r="G526" s="66">
        <v>45141</v>
      </c>
      <c r="H526" s="35" t="s">
        <v>1001</v>
      </c>
      <c r="I526" s="21">
        <v>4116710</v>
      </c>
      <c r="J526" s="21"/>
      <c r="K526" s="22">
        <v>782174.9</v>
      </c>
      <c r="L526" s="23"/>
      <c r="M526" s="22">
        <v>0</v>
      </c>
      <c r="N526" s="72">
        <v>2.5000000000000001E-2</v>
      </c>
      <c r="O526" s="22">
        <v>102917.75</v>
      </c>
      <c r="P526" s="21">
        <v>4795967.1500000004</v>
      </c>
      <c r="S526" s="101" t="b">
        <f>OR(COUNTIF(Tabla2[[#This Row],[PROVEEDOR]],"*"&amp;'Palabra no opera'!$A$2&amp;"*"))</f>
        <v>0</v>
      </c>
      <c r="T526" s="113">
        <f>+$W$5-Tabla2[[#This Row],[FECHA DE FACTURACIÓN]]</f>
        <v>181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15" t="str">
        <f>+IF(AND(Tabla2[[#This Row],[venc]]="venc",Tabla2[[#This Row],[Columna1]]="por pagar"),"vencida","no")</f>
        <v>no</v>
      </c>
    </row>
    <row r="527" spans="1:23" ht="15.75" x14ac:dyDescent="0.25">
      <c r="A527" s="20">
        <v>30</v>
      </c>
      <c r="B527" s="25">
        <v>406756</v>
      </c>
      <c r="C527" s="25"/>
      <c r="D527" s="56" t="s">
        <v>104</v>
      </c>
      <c r="E527" s="66">
        <v>45194</v>
      </c>
      <c r="F527" s="323" t="s">
        <v>568</v>
      </c>
      <c r="G527" s="66">
        <v>45140</v>
      </c>
      <c r="H527" s="35">
        <v>61</v>
      </c>
      <c r="I527" s="21">
        <v>75000</v>
      </c>
      <c r="J527" s="21"/>
      <c r="K527" s="22">
        <v>0</v>
      </c>
      <c r="L527" s="23"/>
      <c r="M527" s="22">
        <v>0</v>
      </c>
      <c r="N527" s="72">
        <v>0</v>
      </c>
      <c r="O527" s="22">
        <v>0</v>
      </c>
      <c r="P527" s="21">
        <v>75000</v>
      </c>
      <c r="S527" s="101" t="b">
        <f>OR(COUNTIF(Tabla2[[#This Row],[PROVEEDOR]],"*"&amp;'Palabra no opera'!$A$2&amp;"*"))</f>
        <v>0</v>
      </c>
      <c r="T527" s="113">
        <f>+$W$5-Tabla2[[#This Row],[FECHA DE FACTURACIÓN]]</f>
        <v>182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15" t="str">
        <f>+IF(AND(Tabla2[[#This Row],[venc]]="venc",Tabla2[[#This Row],[Columna1]]="por pagar"),"vencida","no")</f>
        <v>no</v>
      </c>
    </row>
    <row r="528" spans="1:23" ht="15.75" x14ac:dyDescent="0.25">
      <c r="A528" s="20">
        <v>30</v>
      </c>
      <c r="B528" s="25">
        <v>1499400</v>
      </c>
      <c r="C528" s="25"/>
      <c r="D528" s="56" t="s">
        <v>170</v>
      </c>
      <c r="E528" s="66">
        <v>45194</v>
      </c>
      <c r="F528" s="323" t="s">
        <v>490</v>
      </c>
      <c r="G528" s="66">
        <v>45136</v>
      </c>
      <c r="H528" s="35" t="s">
        <v>995</v>
      </c>
      <c r="I528" s="21">
        <v>225600</v>
      </c>
      <c r="J528" s="21"/>
      <c r="K528" s="22">
        <v>42864</v>
      </c>
      <c r="L528" s="23"/>
      <c r="M528" s="22">
        <v>0</v>
      </c>
      <c r="N528" s="72">
        <v>0</v>
      </c>
      <c r="O528" s="22">
        <v>0</v>
      </c>
      <c r="P528" s="21">
        <v>268464</v>
      </c>
      <c r="S528" s="101" t="b">
        <f>OR(COUNTIF(Tabla2[[#This Row],[PROVEEDOR]],"*"&amp;'Palabra no opera'!$A$2&amp;"*"))</f>
        <v>0</v>
      </c>
      <c r="T528" s="113">
        <f>+$W$5-Tabla2[[#This Row],[FECHA DE FACTURACIÓN]]</f>
        <v>186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15" t="str">
        <f>+IF(AND(Tabla2[[#This Row],[venc]]="venc",Tabla2[[#This Row],[Columna1]]="por pagar"),"vencida","no")</f>
        <v>no</v>
      </c>
    </row>
    <row r="529" spans="1:23" ht="15.75" x14ac:dyDescent="0.25">
      <c r="A529" s="20">
        <v>30</v>
      </c>
      <c r="B529" s="25">
        <v>351000</v>
      </c>
      <c r="C529" s="25"/>
      <c r="D529" s="56">
        <v>0</v>
      </c>
      <c r="E529" s="66">
        <v>45194</v>
      </c>
      <c r="F529" s="323" t="s">
        <v>533</v>
      </c>
      <c r="G529" s="66">
        <v>45134</v>
      </c>
      <c r="H529" s="35">
        <v>474</v>
      </c>
      <c r="I529" s="21">
        <v>621600</v>
      </c>
      <c r="J529" s="21">
        <v>118104</v>
      </c>
      <c r="K529" s="22">
        <v>0</v>
      </c>
      <c r="L529" s="23"/>
      <c r="M529" s="22">
        <v>0</v>
      </c>
      <c r="N529" s="72">
        <v>0</v>
      </c>
      <c r="O529" s="22">
        <v>0</v>
      </c>
      <c r="P529" s="21">
        <v>503496</v>
      </c>
      <c r="S529" s="101" t="b">
        <f>OR(COUNTIF(Tabla2[[#This Row],[PROVEEDOR]],"*"&amp;'Palabra no opera'!$A$2&amp;"*"))</f>
        <v>0</v>
      </c>
      <c r="T529" s="113">
        <f>+$W$5-Tabla2[[#This Row],[FECHA DE FACTURACIÓN]]</f>
        <v>188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15" t="str">
        <f>+IF(AND(Tabla2[[#This Row],[venc]]="venc",Tabla2[[#This Row],[Columna1]]="por pagar"),"vencida","no")</f>
        <v>no</v>
      </c>
    </row>
    <row r="530" spans="1:23" ht="15.75" x14ac:dyDescent="0.25">
      <c r="A530" s="20">
        <v>30</v>
      </c>
      <c r="B530" s="25">
        <v>1499400</v>
      </c>
      <c r="C530" s="25"/>
      <c r="D530" s="56" t="s">
        <v>170</v>
      </c>
      <c r="E530" s="66">
        <v>45194</v>
      </c>
      <c r="F530" s="323" t="s">
        <v>490</v>
      </c>
      <c r="G530" s="66">
        <v>45131</v>
      </c>
      <c r="H530" s="35" t="s">
        <v>962</v>
      </c>
      <c r="I530" s="21">
        <v>3318355</v>
      </c>
      <c r="J530" s="21">
        <v>158335</v>
      </c>
      <c r="K530" s="22">
        <v>600403.80000000005</v>
      </c>
      <c r="L530" s="23"/>
      <c r="M530" s="22">
        <v>0</v>
      </c>
      <c r="N530" s="72">
        <v>2.5000000000000001E-2</v>
      </c>
      <c r="O530" s="22">
        <v>79000.5</v>
      </c>
      <c r="P530" s="21">
        <v>3681423.3</v>
      </c>
      <c r="S530" s="101" t="b">
        <f>OR(COUNTIF(Tabla2[[#This Row],[PROVEEDOR]],"*"&amp;'Palabra no opera'!$A$2&amp;"*"))</f>
        <v>0</v>
      </c>
      <c r="T530" s="113">
        <f>+$W$5-Tabla2[[#This Row],[FECHA DE FACTURACIÓN]]</f>
        <v>191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15" t="str">
        <f>+IF(AND(Tabla2[[#This Row],[venc]]="venc",Tabla2[[#This Row],[Columna1]]="por pagar"),"vencida","no")</f>
        <v>no</v>
      </c>
    </row>
    <row r="531" spans="1:23" ht="15.75" x14ac:dyDescent="0.25">
      <c r="A531" s="20">
        <v>30</v>
      </c>
      <c r="B531" s="25">
        <v>4282200</v>
      </c>
      <c r="C531" s="25"/>
      <c r="D531" s="56" t="s">
        <v>217</v>
      </c>
      <c r="E531" s="66">
        <v>45194</v>
      </c>
      <c r="F531" s="323" t="s">
        <v>312</v>
      </c>
      <c r="G531" s="66">
        <v>45124</v>
      </c>
      <c r="H531" s="35">
        <v>4272</v>
      </c>
      <c r="I531" s="21">
        <v>703000</v>
      </c>
      <c r="J531" s="21">
        <v>105450</v>
      </c>
      <c r="K531" s="22">
        <v>0</v>
      </c>
      <c r="L531" s="23"/>
      <c r="M531" s="22">
        <v>0</v>
      </c>
      <c r="N531" s="72">
        <v>0</v>
      </c>
      <c r="O531" s="22">
        <v>0</v>
      </c>
      <c r="P531" s="21">
        <v>597550</v>
      </c>
      <c r="S531" s="101" t="b">
        <f>OR(COUNTIF(Tabla2[[#This Row],[PROVEEDOR]],"*"&amp;'Palabra no opera'!$A$2&amp;"*"))</f>
        <v>0</v>
      </c>
      <c r="T531" s="113">
        <f>+$W$5-Tabla2[[#This Row],[FECHA DE FACTURACIÓN]]</f>
        <v>198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15" t="str">
        <f>+IF(AND(Tabla2[[#This Row],[venc]]="venc",Tabla2[[#This Row],[Columna1]]="por pagar"),"vencida","no")</f>
        <v>no</v>
      </c>
    </row>
    <row r="532" spans="1:23" ht="15.75" x14ac:dyDescent="0.25">
      <c r="A532" s="20">
        <v>30</v>
      </c>
      <c r="B532" s="25">
        <v>1499400</v>
      </c>
      <c r="C532" s="25"/>
      <c r="D532" s="56" t="s">
        <v>170</v>
      </c>
      <c r="E532" s="66">
        <v>45194</v>
      </c>
      <c r="F532" s="323" t="s">
        <v>490</v>
      </c>
      <c r="G532" s="66">
        <v>45124</v>
      </c>
      <c r="H532" s="35" t="s">
        <v>963</v>
      </c>
      <c r="I532" s="21">
        <v>925000</v>
      </c>
      <c r="J532" s="21"/>
      <c r="K532" s="22">
        <v>175750</v>
      </c>
      <c r="L532" s="23"/>
      <c r="M532" s="22">
        <v>0</v>
      </c>
      <c r="N532" s="72">
        <v>0</v>
      </c>
      <c r="O532" s="22">
        <v>0</v>
      </c>
      <c r="P532" s="21">
        <v>1100750</v>
      </c>
      <c r="S532" s="101" t="b">
        <f>OR(COUNTIF(Tabla2[[#This Row],[PROVEEDOR]],"*"&amp;'Palabra no opera'!$A$2&amp;"*"))</f>
        <v>0</v>
      </c>
      <c r="T532" s="113">
        <f>+$W$5-Tabla2[[#This Row],[FECHA DE FACTURACIÓN]]</f>
        <v>198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15" t="str">
        <f>+IF(AND(Tabla2[[#This Row],[venc]]="venc",Tabla2[[#This Row],[Columna1]]="por pagar"),"vencida","no")</f>
        <v>no</v>
      </c>
    </row>
    <row r="533" spans="1:23" ht="15.75" x14ac:dyDescent="0.25">
      <c r="A533" s="20">
        <v>30</v>
      </c>
      <c r="B533" s="25">
        <v>406756</v>
      </c>
      <c r="C533" s="25"/>
      <c r="D533" s="56" t="s">
        <v>104</v>
      </c>
      <c r="E533" s="66">
        <v>45194</v>
      </c>
      <c r="F533" s="323" t="s">
        <v>568</v>
      </c>
      <c r="G533" s="66">
        <v>45122</v>
      </c>
      <c r="H533" s="35">
        <v>60</v>
      </c>
      <c r="I533" s="21">
        <v>227000</v>
      </c>
      <c r="J533" s="21"/>
      <c r="K533" s="22">
        <v>0</v>
      </c>
      <c r="L533" s="23"/>
      <c r="M533" s="22">
        <v>0</v>
      </c>
      <c r="N533" s="72">
        <v>0</v>
      </c>
      <c r="O533" s="22">
        <v>0</v>
      </c>
      <c r="P533" s="21">
        <v>227000</v>
      </c>
      <c r="S533" s="101" t="b">
        <f>OR(COUNTIF(Tabla2[[#This Row],[PROVEEDOR]],"*"&amp;'Palabra no opera'!$A$2&amp;"*"))</f>
        <v>0</v>
      </c>
      <c r="T533" s="113">
        <f>+$W$5-Tabla2[[#This Row],[FECHA DE FACTURACIÓN]]</f>
        <v>200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15" t="str">
        <f>+IF(AND(Tabla2[[#This Row],[venc]]="venc",Tabla2[[#This Row],[Columna1]]="por pagar"),"vencida","no")</f>
        <v>no</v>
      </c>
    </row>
    <row r="534" spans="1:23" ht="15.75" x14ac:dyDescent="0.25">
      <c r="A534" s="20">
        <v>30</v>
      </c>
      <c r="B534" s="25">
        <v>406756</v>
      </c>
      <c r="C534" s="25"/>
      <c r="D534" s="56" t="s">
        <v>104</v>
      </c>
      <c r="E534" s="66">
        <v>45194</v>
      </c>
      <c r="F534" s="323" t="s">
        <v>568</v>
      </c>
      <c r="G534" s="66">
        <v>45122</v>
      </c>
      <c r="H534" s="35">
        <v>59</v>
      </c>
      <c r="I534" s="21">
        <v>78000</v>
      </c>
      <c r="J534" s="21"/>
      <c r="K534" s="22">
        <v>0</v>
      </c>
      <c r="L534" s="23"/>
      <c r="M534" s="22">
        <v>0</v>
      </c>
      <c r="N534" s="72">
        <v>0</v>
      </c>
      <c r="O534" s="22">
        <v>0</v>
      </c>
      <c r="P534" s="21">
        <v>78000</v>
      </c>
      <c r="S534" s="101" t="b">
        <f>OR(COUNTIF(Tabla2[[#This Row],[PROVEEDOR]],"*"&amp;'Palabra no opera'!$A$2&amp;"*"))</f>
        <v>0</v>
      </c>
      <c r="T534" s="113">
        <f>+$W$5-Tabla2[[#This Row],[FECHA DE FACTURACIÓN]]</f>
        <v>200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15" t="str">
        <f>+IF(AND(Tabla2[[#This Row],[venc]]="venc",Tabla2[[#This Row],[Columna1]]="por pagar"),"vencida","no")</f>
        <v>no</v>
      </c>
    </row>
    <row r="535" spans="1:23" ht="15.75" x14ac:dyDescent="0.25">
      <c r="A535" s="20">
        <v>30</v>
      </c>
      <c r="B535" s="25">
        <v>351000</v>
      </c>
      <c r="C535" s="25"/>
      <c r="D535" s="56">
        <v>0</v>
      </c>
      <c r="E535" s="66">
        <v>45194</v>
      </c>
      <c r="F535" s="323" t="s">
        <v>533</v>
      </c>
      <c r="G535" s="66">
        <v>45120</v>
      </c>
      <c r="H535" s="35">
        <v>461</v>
      </c>
      <c r="I535" s="21">
        <v>780000</v>
      </c>
      <c r="J535" s="21">
        <v>148200</v>
      </c>
      <c r="K535" s="22">
        <v>0</v>
      </c>
      <c r="L535" s="23"/>
      <c r="M535" s="22">
        <v>0</v>
      </c>
      <c r="N535" s="72">
        <v>0</v>
      </c>
      <c r="O535" s="22">
        <v>0</v>
      </c>
      <c r="P535" s="21">
        <v>631800</v>
      </c>
      <c r="S535" s="101" t="b">
        <f>OR(COUNTIF(Tabla2[[#This Row],[PROVEEDOR]],"*"&amp;'Palabra no opera'!$A$2&amp;"*"))</f>
        <v>0</v>
      </c>
      <c r="T535" s="113">
        <f>+$W$5-Tabla2[[#This Row],[FECHA DE FACTURACIÓN]]</f>
        <v>202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15" t="str">
        <f>+IF(AND(Tabla2[[#This Row],[venc]]="venc",Tabla2[[#This Row],[Columna1]]="por pagar"),"vencida","no")</f>
        <v>no</v>
      </c>
    </row>
    <row r="536" spans="1:23" ht="15.75" x14ac:dyDescent="0.25">
      <c r="A536" s="20">
        <v>30</v>
      </c>
      <c r="B536" s="25">
        <v>406756</v>
      </c>
      <c r="C536" s="25"/>
      <c r="D536" s="56" t="s">
        <v>104</v>
      </c>
      <c r="E536" s="66">
        <v>45194</v>
      </c>
      <c r="F536" s="323" t="s">
        <v>568</v>
      </c>
      <c r="G536" s="66">
        <v>45114</v>
      </c>
      <c r="H536" s="35">
        <v>58</v>
      </c>
      <c r="I536" s="21">
        <v>65000</v>
      </c>
      <c r="J536" s="21"/>
      <c r="K536" s="22">
        <v>0</v>
      </c>
      <c r="L536" s="23"/>
      <c r="M536" s="22">
        <v>0</v>
      </c>
      <c r="N536" s="72">
        <v>0</v>
      </c>
      <c r="O536" s="22">
        <v>0</v>
      </c>
      <c r="P536" s="21">
        <v>65000</v>
      </c>
      <c r="S536" s="101" t="b">
        <f>OR(COUNTIF(Tabla2[[#This Row],[PROVEEDOR]],"*"&amp;'Palabra no opera'!$A$2&amp;"*"))</f>
        <v>0</v>
      </c>
      <c r="T536" s="113">
        <f>+$W$5-Tabla2[[#This Row],[FECHA DE FACTURACIÓN]]</f>
        <v>208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15" t="str">
        <f>+IF(AND(Tabla2[[#This Row],[venc]]="venc",Tabla2[[#This Row],[Columna1]]="por pagar"),"vencida","no")</f>
        <v>no</v>
      </c>
    </row>
    <row r="537" spans="1:23" ht="15.75" x14ac:dyDescent="0.25">
      <c r="A537" s="20">
        <v>30</v>
      </c>
      <c r="B537" s="25">
        <v>4282200</v>
      </c>
      <c r="C537" s="25"/>
      <c r="D537" s="56" t="s">
        <v>217</v>
      </c>
      <c r="E537" s="66">
        <v>45194</v>
      </c>
      <c r="F537" s="323" t="s">
        <v>312</v>
      </c>
      <c r="G537" s="66">
        <v>45111</v>
      </c>
      <c r="H537" s="35">
        <v>4236</v>
      </c>
      <c r="I537" s="21">
        <v>233000</v>
      </c>
      <c r="J537" s="21">
        <v>34950</v>
      </c>
      <c r="K537" s="22">
        <v>0</v>
      </c>
      <c r="L537" s="23"/>
      <c r="M537" s="22">
        <v>0</v>
      </c>
      <c r="N537" s="72">
        <v>0</v>
      </c>
      <c r="O537" s="22">
        <v>0</v>
      </c>
      <c r="P537" s="21">
        <v>198050</v>
      </c>
      <c r="S537" s="101" t="b">
        <f>OR(COUNTIF(Tabla2[[#This Row],[PROVEEDOR]],"*"&amp;'Palabra no opera'!$A$2&amp;"*"))</f>
        <v>0</v>
      </c>
      <c r="T537" s="113">
        <f>+$W$5-Tabla2[[#This Row],[FECHA DE FACTURACIÓN]]</f>
        <v>211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15" t="str">
        <f>+IF(AND(Tabla2[[#This Row],[venc]]="venc",Tabla2[[#This Row],[Columna1]]="por pagar"),"vencida","no")</f>
        <v>no</v>
      </c>
    </row>
    <row r="538" spans="1:23" ht="15.75" x14ac:dyDescent="0.25">
      <c r="A538" s="20">
        <v>30</v>
      </c>
      <c r="B538" s="25">
        <v>406756</v>
      </c>
      <c r="C538" s="25"/>
      <c r="D538" s="56" t="s">
        <v>104</v>
      </c>
      <c r="E538" s="66">
        <v>45194</v>
      </c>
      <c r="F538" s="323" t="s">
        <v>568</v>
      </c>
      <c r="G538" s="66">
        <v>45111</v>
      </c>
      <c r="H538" s="35">
        <v>57</v>
      </c>
      <c r="I538" s="21">
        <v>171500</v>
      </c>
      <c r="J538" s="21"/>
      <c r="K538" s="22">
        <v>0</v>
      </c>
      <c r="L538" s="23"/>
      <c r="M538" s="22">
        <v>0</v>
      </c>
      <c r="N538" s="72">
        <v>0</v>
      </c>
      <c r="O538" s="22">
        <v>0</v>
      </c>
      <c r="P538" s="21">
        <v>171500</v>
      </c>
      <c r="S538" s="101" t="b">
        <f>OR(COUNTIF(Tabla2[[#This Row],[PROVEEDOR]],"*"&amp;'Palabra no opera'!$A$2&amp;"*"))</f>
        <v>0</v>
      </c>
      <c r="T538" s="113">
        <f>+$W$5-Tabla2[[#This Row],[FECHA DE FACTURACIÓN]]</f>
        <v>211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15" t="str">
        <f>+IF(AND(Tabla2[[#This Row],[venc]]="venc",Tabla2[[#This Row],[Columna1]]="por pagar"),"vencida","no")</f>
        <v>no</v>
      </c>
    </row>
    <row r="539" spans="1:23" ht="15.75" x14ac:dyDescent="0.25">
      <c r="A539" s="20">
        <v>60</v>
      </c>
      <c r="B539" s="25">
        <v>22881826.27</v>
      </c>
      <c r="C539" s="25"/>
      <c r="D539" s="56" t="s">
        <v>178</v>
      </c>
      <c r="E539" s="66">
        <v>45194</v>
      </c>
      <c r="F539" s="323" t="s">
        <v>9</v>
      </c>
      <c r="G539" s="66">
        <v>45100</v>
      </c>
      <c r="H539" s="35" t="s">
        <v>928</v>
      </c>
      <c r="I539" s="21">
        <v>2734715</v>
      </c>
      <c r="J539" s="21"/>
      <c r="K539" s="22">
        <v>519595.85000000003</v>
      </c>
      <c r="L539" s="23"/>
      <c r="M539" s="22">
        <v>0</v>
      </c>
      <c r="N539" s="72">
        <v>2.5000000000000001E-2</v>
      </c>
      <c r="O539" s="22">
        <v>68367.875</v>
      </c>
      <c r="P539" s="21">
        <v>3185942.9750000001</v>
      </c>
      <c r="S539" s="101" t="b">
        <f>OR(COUNTIF(Tabla2[[#This Row],[PROVEEDOR]],"*"&amp;'Palabra no opera'!$A$2&amp;"*"))</f>
        <v>0</v>
      </c>
      <c r="T539" s="113">
        <f>+$W$5-Tabla2[[#This Row],[FECHA DE FACTURACIÓN]]</f>
        <v>222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15" t="str">
        <f>+IF(AND(Tabla2[[#This Row],[venc]]="venc",Tabla2[[#This Row],[Columna1]]="por pagar"),"vencida","no")</f>
        <v>no</v>
      </c>
    </row>
    <row r="540" spans="1:23" ht="15.75" x14ac:dyDescent="0.25">
      <c r="A540" s="20">
        <v>30</v>
      </c>
      <c r="B540" s="25">
        <v>4282200</v>
      </c>
      <c r="C540" s="25"/>
      <c r="D540" s="56" t="s">
        <v>217</v>
      </c>
      <c r="E540" s="66">
        <v>45194</v>
      </c>
      <c r="F540" s="323" t="s">
        <v>312</v>
      </c>
      <c r="G540" s="66">
        <v>45078</v>
      </c>
      <c r="H540" s="35">
        <v>4186</v>
      </c>
      <c r="I540" s="21">
        <v>99000</v>
      </c>
      <c r="J540" s="21"/>
      <c r="K540" s="22">
        <v>0</v>
      </c>
      <c r="L540" s="23"/>
      <c r="M540" s="22">
        <v>0</v>
      </c>
      <c r="N540" s="72">
        <v>0</v>
      </c>
      <c r="O540" s="22">
        <v>0</v>
      </c>
      <c r="P540" s="21">
        <v>99000</v>
      </c>
      <c r="S540" s="101" t="b">
        <f>OR(COUNTIF(Tabla2[[#This Row],[PROVEEDOR]],"*"&amp;'Palabra no opera'!$A$2&amp;"*"))</f>
        <v>0</v>
      </c>
      <c r="T540" s="113">
        <f>+$W$5-Tabla2[[#This Row],[FECHA DE FACTURACIÓN]]</f>
        <v>244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15" t="str">
        <f>+IF(AND(Tabla2[[#This Row],[venc]]="venc",Tabla2[[#This Row],[Columna1]]="por pagar"),"vencida","no")</f>
        <v>no</v>
      </c>
    </row>
    <row r="541" spans="1:23" ht="15.75" x14ac:dyDescent="0.25">
      <c r="A541" s="20">
        <v>30</v>
      </c>
      <c r="B541" s="25">
        <v>4282200</v>
      </c>
      <c r="C541" s="25"/>
      <c r="D541" s="56" t="s">
        <v>217</v>
      </c>
      <c r="E541" s="66">
        <v>45194</v>
      </c>
      <c r="F541" s="323" t="s">
        <v>312</v>
      </c>
      <c r="G541" s="66">
        <v>45055</v>
      </c>
      <c r="H541" s="35">
        <v>4136</v>
      </c>
      <c r="I541" s="21">
        <v>44000</v>
      </c>
      <c r="J541" s="21"/>
      <c r="K541" s="22">
        <v>0</v>
      </c>
      <c r="L541" s="23"/>
      <c r="M541" s="22">
        <v>0</v>
      </c>
      <c r="N541" s="72">
        <v>0</v>
      </c>
      <c r="O541" s="22">
        <v>0</v>
      </c>
      <c r="P541" s="21">
        <v>44000</v>
      </c>
      <c r="S541" s="101" t="b">
        <f>OR(COUNTIF(Tabla2[[#This Row],[PROVEEDOR]],"*"&amp;'Palabra no opera'!$A$2&amp;"*"))</f>
        <v>0</v>
      </c>
      <c r="T541" s="113">
        <f>+$W$5-Tabla2[[#This Row],[FECHA DE FACTURACIÓN]]</f>
        <v>267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15" t="str">
        <f>+IF(AND(Tabla2[[#This Row],[venc]]="venc",Tabla2[[#This Row],[Columna1]]="por pagar"),"vencida","no")</f>
        <v>no</v>
      </c>
    </row>
    <row r="542" spans="1:23" ht="15.75" x14ac:dyDescent="0.25">
      <c r="A542" s="20">
        <v>30</v>
      </c>
      <c r="B542" s="25">
        <v>0</v>
      </c>
      <c r="C542" s="25"/>
      <c r="D542" s="56" t="s">
        <v>104</v>
      </c>
      <c r="E542" s="66">
        <v>45192</v>
      </c>
      <c r="F542" s="323" t="s">
        <v>291</v>
      </c>
      <c r="G542" s="66">
        <v>45192</v>
      </c>
      <c r="H542" s="35" t="s">
        <v>1152</v>
      </c>
      <c r="I542" s="21">
        <v>900000</v>
      </c>
      <c r="J542" s="21"/>
      <c r="K542" s="22">
        <v>0</v>
      </c>
      <c r="L542" s="23"/>
      <c r="M542" s="22">
        <v>0</v>
      </c>
      <c r="N542" s="72">
        <v>0</v>
      </c>
      <c r="O542" s="22">
        <v>0</v>
      </c>
      <c r="P542" s="21">
        <v>900000</v>
      </c>
      <c r="S542" s="101" t="b">
        <f>OR(COUNTIF(Tabla2[[#This Row],[PROVEEDOR]],"*"&amp;'Palabra no opera'!$A$2&amp;"*"))</f>
        <v>0</v>
      </c>
      <c r="T542" s="113">
        <f>+$W$5-Tabla2[[#This Row],[FECHA DE FACTURACIÓN]]</f>
        <v>130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15" t="str">
        <f>+IF(AND(Tabla2[[#This Row],[venc]]="venc",Tabla2[[#This Row],[Columna1]]="por pagar"),"vencida","no")</f>
        <v>no</v>
      </c>
    </row>
    <row r="543" spans="1:23" ht="15.75" x14ac:dyDescent="0.25">
      <c r="A543" s="20">
        <v>0</v>
      </c>
      <c r="B543" s="25">
        <v>0</v>
      </c>
      <c r="C543" s="25"/>
      <c r="D543" s="56">
        <v>0</v>
      </c>
      <c r="E543" s="66">
        <v>45191</v>
      </c>
      <c r="F543" s="323" t="s">
        <v>1026</v>
      </c>
      <c r="G543" s="66">
        <v>45191</v>
      </c>
      <c r="H543" s="35" t="s">
        <v>1093</v>
      </c>
      <c r="I543" s="21">
        <v>105212</v>
      </c>
      <c r="J543" s="21"/>
      <c r="K543" s="22">
        <v>19990.28</v>
      </c>
      <c r="L543" s="23"/>
      <c r="M543" s="22">
        <v>0</v>
      </c>
      <c r="N543" s="72">
        <v>0.11</v>
      </c>
      <c r="O543" s="22">
        <v>11573.32</v>
      </c>
      <c r="P543" s="21">
        <v>113628.95999999999</v>
      </c>
      <c r="S543" s="101" t="b">
        <f>OR(COUNTIF(Tabla2[[#This Row],[PROVEEDOR]],"*"&amp;'Palabra no opera'!$A$2&amp;"*"))</f>
        <v>0</v>
      </c>
      <c r="T543" s="113">
        <f>+$W$5-Tabla2[[#This Row],[FECHA DE FACTURACIÓN]]</f>
        <v>131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15" t="str">
        <f>+IF(AND(Tabla2[[#This Row],[venc]]="venc",Tabla2[[#This Row],[Columna1]]="por pagar"),"vencida","no")</f>
        <v>no</v>
      </c>
    </row>
    <row r="544" spans="1:23" ht="15.75" x14ac:dyDescent="0.25">
      <c r="A544" s="20">
        <v>30</v>
      </c>
      <c r="B544" s="25">
        <v>0</v>
      </c>
      <c r="C544" s="25"/>
      <c r="D544" s="56">
        <v>0</v>
      </c>
      <c r="E544" s="66">
        <v>45191</v>
      </c>
      <c r="F544" s="323" t="s">
        <v>323</v>
      </c>
      <c r="G544" s="66">
        <v>45190</v>
      </c>
      <c r="H544" s="35" t="s">
        <v>1117</v>
      </c>
      <c r="I544" s="21">
        <v>1669877</v>
      </c>
      <c r="J544" s="21"/>
      <c r="K544" s="22">
        <v>317276.63</v>
      </c>
      <c r="L544" s="23"/>
      <c r="M544" s="22">
        <v>0</v>
      </c>
      <c r="N544" s="72">
        <v>2.5000000000000001E-2</v>
      </c>
      <c r="O544" s="22">
        <v>41746.925000000003</v>
      </c>
      <c r="P544" s="21">
        <v>1945406.7049999998</v>
      </c>
      <c r="S544" s="101" t="b">
        <f>OR(COUNTIF(Tabla2[[#This Row],[PROVEEDOR]],"*"&amp;'Palabra no opera'!$A$2&amp;"*"))</f>
        <v>0</v>
      </c>
      <c r="T544" s="113">
        <f>+$W$5-Tabla2[[#This Row],[FECHA DE FACTURACIÓN]]</f>
        <v>132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15" t="str">
        <f>+IF(AND(Tabla2[[#This Row],[venc]]="venc",Tabla2[[#This Row],[Columna1]]="por pagar"),"vencida","no")</f>
        <v>no</v>
      </c>
    </row>
    <row r="545" spans="1:23" ht="15.75" x14ac:dyDescent="0.25">
      <c r="A545" s="20">
        <v>30</v>
      </c>
      <c r="B545" s="25">
        <v>6857153.040000001</v>
      </c>
      <c r="C545" s="25"/>
      <c r="D545" s="56" t="s">
        <v>309</v>
      </c>
      <c r="E545" s="66">
        <v>45191</v>
      </c>
      <c r="F545" s="323" t="s">
        <v>254</v>
      </c>
      <c r="G545" s="66">
        <v>45156</v>
      </c>
      <c r="H545" s="35" t="s">
        <v>1055</v>
      </c>
      <c r="I545" s="21">
        <v>1000204</v>
      </c>
      <c r="J545" s="21"/>
      <c r="K545" s="22">
        <v>190038.76</v>
      </c>
      <c r="L545" s="23"/>
      <c r="M545" s="22">
        <v>0</v>
      </c>
      <c r="N545" s="72">
        <v>0</v>
      </c>
      <c r="O545" s="22">
        <v>0</v>
      </c>
      <c r="P545" s="21">
        <v>1190242.76</v>
      </c>
      <c r="S545" s="101" t="b">
        <f>OR(COUNTIF(Tabla2[[#This Row],[PROVEEDOR]],"*"&amp;'Palabra no opera'!$A$2&amp;"*"))</f>
        <v>0</v>
      </c>
      <c r="T545" s="113">
        <f>+$W$5-Tabla2[[#This Row],[FECHA DE FACTURACIÓN]]</f>
        <v>166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15" t="str">
        <f>+IF(AND(Tabla2[[#This Row],[venc]]="venc",Tabla2[[#This Row],[Columna1]]="por pagar"),"vencida","no")</f>
        <v>no</v>
      </c>
    </row>
    <row r="546" spans="1:23" ht="15.75" x14ac:dyDescent="0.25">
      <c r="A546" s="20">
        <v>30</v>
      </c>
      <c r="B546" s="25">
        <v>2713769.64</v>
      </c>
      <c r="C546" s="25"/>
      <c r="D546" s="56" t="s">
        <v>445</v>
      </c>
      <c r="E546" s="66">
        <v>45191</v>
      </c>
      <c r="F546" s="323" t="s">
        <v>11</v>
      </c>
      <c r="G546" s="66">
        <v>45133</v>
      </c>
      <c r="H546" s="35" t="s">
        <v>981</v>
      </c>
      <c r="I546" s="21">
        <v>1552944</v>
      </c>
      <c r="J546" s="21"/>
      <c r="K546" s="22">
        <v>295059.36</v>
      </c>
      <c r="L546" s="23"/>
      <c r="M546" s="22">
        <v>0</v>
      </c>
      <c r="N546" s="72">
        <v>2.5000000000000001E-2</v>
      </c>
      <c r="O546" s="22">
        <v>38823.599999999999</v>
      </c>
      <c r="P546" s="21">
        <v>1809179.7599999998</v>
      </c>
      <c r="S546" s="101" t="b">
        <f>OR(COUNTIF(Tabla2[[#This Row],[PROVEEDOR]],"*"&amp;'Palabra no opera'!$A$2&amp;"*"))</f>
        <v>0</v>
      </c>
      <c r="T546" s="113">
        <f>+$W$5-Tabla2[[#This Row],[FECHA DE FACTURACIÓN]]</f>
        <v>189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15" t="str">
        <f>+IF(AND(Tabla2[[#This Row],[venc]]="venc",Tabla2[[#This Row],[Columna1]]="por pagar"),"vencida","no")</f>
        <v>no</v>
      </c>
    </row>
    <row r="547" spans="1:23" ht="15.75" x14ac:dyDescent="0.25">
      <c r="A547" s="20">
        <v>30</v>
      </c>
      <c r="B547" s="25">
        <v>0</v>
      </c>
      <c r="C547" s="25"/>
      <c r="D547" s="56" t="s">
        <v>190</v>
      </c>
      <c r="E547" s="66">
        <v>45191</v>
      </c>
      <c r="F547" s="323" t="s">
        <v>26</v>
      </c>
      <c r="G547" s="66">
        <v>45124</v>
      </c>
      <c r="H547" s="35" t="s">
        <v>971</v>
      </c>
      <c r="I547" s="21">
        <v>1952200</v>
      </c>
      <c r="J547" s="21"/>
      <c r="K547" s="22">
        <v>370918</v>
      </c>
      <c r="L547" s="23"/>
      <c r="M547" s="22">
        <v>0</v>
      </c>
      <c r="N547" s="72">
        <v>2.5000000000000001E-2</v>
      </c>
      <c r="O547" s="22">
        <v>48805</v>
      </c>
      <c r="P547" s="21">
        <v>2274313</v>
      </c>
      <c r="S547" s="101" t="b">
        <f>OR(COUNTIF(Tabla2[[#This Row],[PROVEEDOR]],"*"&amp;'Palabra no opera'!$A$2&amp;"*"))</f>
        <v>0</v>
      </c>
      <c r="T547" s="113">
        <f>+$W$5-Tabla2[[#This Row],[FECHA DE FACTURACIÓN]]</f>
        <v>198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15" t="str">
        <f>+IF(AND(Tabla2[[#This Row],[venc]]="venc",Tabla2[[#This Row],[Columna1]]="por pagar"),"vencida","no")</f>
        <v>no</v>
      </c>
    </row>
    <row r="548" spans="1:23" ht="15.75" x14ac:dyDescent="0.25">
      <c r="A548" s="20">
        <v>30</v>
      </c>
      <c r="B548" s="25">
        <v>6857153.040000001</v>
      </c>
      <c r="C548" s="25"/>
      <c r="D548" s="56" t="s">
        <v>309</v>
      </c>
      <c r="E548" s="66">
        <v>45191</v>
      </c>
      <c r="F548" s="323" t="s">
        <v>254</v>
      </c>
      <c r="G548" s="66">
        <v>45108</v>
      </c>
      <c r="H548" s="35" t="s">
        <v>966</v>
      </c>
      <c r="I548" s="21">
        <v>4879238</v>
      </c>
      <c r="J548" s="21"/>
      <c r="K548" s="22">
        <v>927055.22</v>
      </c>
      <c r="L548" s="23"/>
      <c r="M548" s="22">
        <v>0</v>
      </c>
      <c r="N548" s="72">
        <v>2.5000000000000001E-2</v>
      </c>
      <c r="O548" s="22">
        <v>121980.95000000001</v>
      </c>
      <c r="P548" s="21">
        <v>5684312.2699999996</v>
      </c>
      <c r="S548" s="101" t="b">
        <f>OR(COUNTIF(Tabla2[[#This Row],[PROVEEDOR]],"*"&amp;'Palabra no opera'!$A$2&amp;"*"))</f>
        <v>0</v>
      </c>
      <c r="T548" s="113">
        <f>+$W$5-Tabla2[[#This Row],[FECHA DE FACTURACIÓN]]</f>
        <v>214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15" t="str">
        <f>+IF(AND(Tabla2[[#This Row],[venc]]="venc",Tabla2[[#This Row],[Columna1]]="por pagar"),"vencida","no")</f>
        <v>no</v>
      </c>
    </row>
    <row r="549" spans="1:23" ht="15.75" x14ac:dyDescent="0.25">
      <c r="A549" s="20">
        <v>30</v>
      </c>
      <c r="B549" s="25">
        <v>3065837.2199999997</v>
      </c>
      <c r="C549" s="25"/>
      <c r="D549" s="56" t="s">
        <v>169</v>
      </c>
      <c r="E549" s="66">
        <v>45190</v>
      </c>
      <c r="F549" s="323" t="s">
        <v>17</v>
      </c>
      <c r="G549" s="66">
        <v>45160</v>
      </c>
      <c r="H549" s="35" t="s">
        <v>1035</v>
      </c>
      <c r="I549" s="21">
        <v>614158</v>
      </c>
      <c r="J549" s="21"/>
      <c r="K549" s="22">
        <v>116690.02</v>
      </c>
      <c r="L549" s="23"/>
      <c r="M549" s="22">
        <v>0</v>
      </c>
      <c r="N549" s="72">
        <v>0</v>
      </c>
      <c r="O549" s="22">
        <v>0</v>
      </c>
      <c r="P549" s="21">
        <v>730848.02</v>
      </c>
      <c r="S549" s="101" t="b">
        <f>OR(COUNTIF(Tabla2[[#This Row],[PROVEEDOR]],"*"&amp;'Palabra no opera'!$A$2&amp;"*"))</f>
        <v>0</v>
      </c>
      <c r="T549" s="113">
        <f>+$W$5-Tabla2[[#This Row],[FECHA DE FACTURACIÓN]]</f>
        <v>162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15" t="str">
        <f>+IF(AND(Tabla2[[#This Row],[venc]]="venc",Tabla2[[#This Row],[Columna1]]="por pagar"),"vencida","no")</f>
        <v>no</v>
      </c>
    </row>
    <row r="550" spans="1:23" ht="15.75" x14ac:dyDescent="0.25">
      <c r="A550" s="20">
        <v>30</v>
      </c>
      <c r="B550" s="25">
        <v>2923945.6174999997</v>
      </c>
      <c r="C550" s="25"/>
      <c r="D550" s="56" t="s">
        <v>1538</v>
      </c>
      <c r="E550" s="66">
        <v>45190</v>
      </c>
      <c r="F550" s="323" t="s">
        <v>1526</v>
      </c>
      <c r="G550" s="66">
        <v>45139</v>
      </c>
      <c r="H550" s="35" t="s">
        <v>1044</v>
      </c>
      <c r="I550" s="21">
        <v>25562</v>
      </c>
      <c r="J550" s="21"/>
      <c r="K550" s="22">
        <v>4856.78</v>
      </c>
      <c r="L550" s="23"/>
      <c r="M550" s="22">
        <v>0</v>
      </c>
      <c r="N550" s="72">
        <v>0</v>
      </c>
      <c r="O550" s="22">
        <v>0</v>
      </c>
      <c r="P550" s="21">
        <v>30418.78</v>
      </c>
      <c r="S550" s="101" t="b">
        <f>OR(COUNTIF(Tabla2[[#This Row],[PROVEEDOR]],"*"&amp;'Palabra no opera'!$A$2&amp;"*"))</f>
        <v>0</v>
      </c>
      <c r="T550" s="113">
        <f>+$W$5-Tabla2[[#This Row],[FECHA DE FACTURACIÓN]]</f>
        <v>183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15" t="str">
        <f>+IF(AND(Tabla2[[#This Row],[venc]]="venc",Tabla2[[#This Row],[Columna1]]="por pagar"),"vencida","no")</f>
        <v>no</v>
      </c>
    </row>
    <row r="551" spans="1:23" ht="15.75" x14ac:dyDescent="0.25">
      <c r="A551" s="20">
        <v>30</v>
      </c>
      <c r="B551" s="25">
        <v>2169355.9580000001</v>
      </c>
      <c r="C551" s="25"/>
      <c r="D551" s="56" t="s">
        <v>164</v>
      </c>
      <c r="E551" s="66">
        <v>45189</v>
      </c>
      <c r="F551" s="323" t="s">
        <v>18</v>
      </c>
      <c r="G551" s="66">
        <v>45134</v>
      </c>
      <c r="H551" s="35" t="s">
        <v>1082</v>
      </c>
      <c r="I551" s="21">
        <v>8431200</v>
      </c>
      <c r="J551" s="21"/>
      <c r="K551" s="22">
        <v>1601928</v>
      </c>
      <c r="L551" s="23"/>
      <c r="M551" s="22">
        <v>0</v>
      </c>
      <c r="N551" s="72">
        <v>2.5000000000000001E-2</v>
      </c>
      <c r="O551" s="22">
        <v>210780</v>
      </c>
      <c r="P551" s="21">
        <v>9822348</v>
      </c>
      <c r="S551" s="101" t="b">
        <f>OR(COUNTIF(Tabla2[[#This Row],[PROVEEDOR]],"*"&amp;'Palabra no opera'!$A$2&amp;"*"))</f>
        <v>0</v>
      </c>
      <c r="T551" s="113">
        <f>+$W$5-Tabla2[[#This Row],[FECHA DE FACTURACIÓN]]</f>
        <v>188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15" t="str">
        <f>+IF(AND(Tabla2[[#This Row],[venc]]="venc",Tabla2[[#This Row],[Columna1]]="por pagar"),"vencida","no")</f>
        <v>no</v>
      </c>
    </row>
    <row r="552" spans="1:23" ht="15.75" x14ac:dyDescent="0.25">
      <c r="A552" s="20">
        <v>30</v>
      </c>
      <c r="B552" s="25">
        <v>2169355.9580000001</v>
      </c>
      <c r="C552" s="25"/>
      <c r="D552" s="56" t="s">
        <v>164</v>
      </c>
      <c r="E552" s="66">
        <v>45189</v>
      </c>
      <c r="F552" s="323" t="s">
        <v>18</v>
      </c>
      <c r="G552" s="66">
        <v>45128</v>
      </c>
      <c r="H552" s="35" t="s">
        <v>956</v>
      </c>
      <c r="I552" s="21">
        <v>3393918</v>
      </c>
      <c r="J552" s="21"/>
      <c r="K552" s="22">
        <v>644844.42000000004</v>
      </c>
      <c r="L552" s="23"/>
      <c r="M552" s="22">
        <v>0</v>
      </c>
      <c r="N552" s="72">
        <v>2.5000000000000001E-2</v>
      </c>
      <c r="O552" s="22">
        <v>84847.950000000012</v>
      </c>
      <c r="P552" s="21">
        <v>3953914.4699999997</v>
      </c>
      <c r="S552" s="101" t="b">
        <f>OR(COUNTIF(Tabla2[[#This Row],[PROVEEDOR]],"*"&amp;'Palabra no opera'!$A$2&amp;"*"))</f>
        <v>0</v>
      </c>
      <c r="T552" s="113">
        <f>+$W$5-Tabla2[[#This Row],[FECHA DE FACTURACIÓN]]</f>
        <v>194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15" t="str">
        <f>+IF(AND(Tabla2[[#This Row],[venc]]="venc",Tabla2[[#This Row],[Columna1]]="por pagar"),"vencida","no")</f>
        <v>no</v>
      </c>
    </row>
    <row r="553" spans="1:23" ht="15.75" x14ac:dyDescent="0.25">
      <c r="A553" s="20">
        <v>30</v>
      </c>
      <c r="B553" s="25">
        <v>5134830.96</v>
      </c>
      <c r="C553" s="25"/>
      <c r="D553" s="56" t="s">
        <v>131</v>
      </c>
      <c r="E553" s="66">
        <v>45189</v>
      </c>
      <c r="F553" s="323" t="s">
        <v>20</v>
      </c>
      <c r="G553" s="66">
        <v>45117</v>
      </c>
      <c r="H553" s="35" t="s">
        <v>957</v>
      </c>
      <c r="I553" s="21">
        <v>721284</v>
      </c>
      <c r="J553" s="21"/>
      <c r="K553" s="22">
        <v>137043.96</v>
      </c>
      <c r="L553" s="23"/>
      <c r="M553" s="22">
        <v>0</v>
      </c>
      <c r="N553" s="72">
        <v>0</v>
      </c>
      <c r="O553" s="22">
        <v>0</v>
      </c>
      <c r="P553" s="21">
        <v>858327.96</v>
      </c>
      <c r="S553" s="101" t="b">
        <f>OR(COUNTIF(Tabla2[[#This Row],[PROVEEDOR]],"*"&amp;'Palabra no opera'!$A$2&amp;"*"))</f>
        <v>0</v>
      </c>
      <c r="T553" s="113">
        <f>+$W$5-Tabla2[[#This Row],[FECHA DE FACTURACIÓN]]</f>
        <v>205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15" t="str">
        <f>+IF(AND(Tabla2[[#This Row],[venc]]="venc",Tabla2[[#This Row],[Columna1]]="por pagar"),"vencida","no")</f>
        <v>no</v>
      </c>
    </row>
    <row r="554" spans="1:23" ht="15.75" x14ac:dyDescent="0.25">
      <c r="A554" s="20">
        <v>30</v>
      </c>
      <c r="B554" s="25">
        <v>0</v>
      </c>
      <c r="C554" s="25"/>
      <c r="D554" s="56">
        <v>0</v>
      </c>
      <c r="E554" s="66">
        <v>45188</v>
      </c>
      <c r="F554" s="323" t="s">
        <v>944</v>
      </c>
      <c r="G554" s="66">
        <v>45188</v>
      </c>
      <c r="H554" s="35" t="s">
        <v>1155</v>
      </c>
      <c r="I554" s="21">
        <v>309000</v>
      </c>
      <c r="J554" s="21"/>
      <c r="K554" s="22">
        <v>0</v>
      </c>
      <c r="L554" s="23"/>
      <c r="M554" s="22">
        <v>0</v>
      </c>
      <c r="N554" s="72">
        <v>0</v>
      </c>
      <c r="O554" s="22">
        <v>0</v>
      </c>
      <c r="P554" s="21">
        <v>309000</v>
      </c>
      <c r="S554" s="101" t="b">
        <f>OR(COUNTIF(Tabla2[[#This Row],[PROVEEDOR]],"*"&amp;'Palabra no opera'!$A$2&amp;"*"))</f>
        <v>0</v>
      </c>
      <c r="T554" s="113">
        <f>+$W$5-Tabla2[[#This Row],[FECHA DE FACTURACIÓN]]</f>
        <v>134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15" t="str">
        <f>+IF(AND(Tabla2[[#This Row],[venc]]="venc",Tabla2[[#This Row],[Columna1]]="por pagar"),"vencida","no")</f>
        <v>no</v>
      </c>
    </row>
    <row r="555" spans="1:23" ht="15.75" x14ac:dyDescent="0.25">
      <c r="A555" s="20">
        <v>30</v>
      </c>
      <c r="B555" s="25">
        <v>0</v>
      </c>
      <c r="C555" s="25"/>
      <c r="D555" s="56" t="s">
        <v>104</v>
      </c>
      <c r="E555" s="66">
        <v>45188</v>
      </c>
      <c r="F555" s="323" t="s">
        <v>521</v>
      </c>
      <c r="G555" s="66">
        <v>45187</v>
      </c>
      <c r="H555" s="35" t="s">
        <v>1161</v>
      </c>
      <c r="I555" s="21">
        <v>5788000</v>
      </c>
      <c r="J555" s="21"/>
      <c r="K555" s="22">
        <v>0</v>
      </c>
      <c r="L555" s="23"/>
      <c r="M555" s="22">
        <v>0</v>
      </c>
      <c r="N555" s="72">
        <v>0</v>
      </c>
      <c r="O555" s="22">
        <v>0</v>
      </c>
      <c r="P555" s="21">
        <v>5788000</v>
      </c>
      <c r="S555" s="101" t="b">
        <f>OR(COUNTIF(Tabla2[[#This Row],[PROVEEDOR]],"*"&amp;'Palabra no opera'!$A$2&amp;"*"))</f>
        <v>0</v>
      </c>
      <c r="T555" s="113">
        <f>+$W$5-Tabla2[[#This Row],[FECHA DE FACTURACIÓN]]</f>
        <v>135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15" t="str">
        <f>+IF(AND(Tabla2[[#This Row],[venc]]="venc",Tabla2[[#This Row],[Columna1]]="por pagar"),"vencida","no")</f>
        <v>no</v>
      </c>
    </row>
    <row r="556" spans="1:23" ht="15.75" x14ac:dyDescent="0.25">
      <c r="A556" s="20">
        <v>30</v>
      </c>
      <c r="B556" s="25">
        <v>0</v>
      </c>
      <c r="C556" s="25"/>
      <c r="D556" s="56" t="s">
        <v>505</v>
      </c>
      <c r="E556" s="66">
        <v>45188</v>
      </c>
      <c r="F556" s="323" t="s">
        <v>416</v>
      </c>
      <c r="G556" s="66">
        <v>45170</v>
      </c>
      <c r="H556" s="35" t="s">
        <v>1089</v>
      </c>
      <c r="I556" s="21">
        <v>3935776</v>
      </c>
      <c r="J556" s="21"/>
      <c r="K556" s="22">
        <v>665000</v>
      </c>
      <c r="L556" s="23"/>
      <c r="M556" s="22">
        <v>0</v>
      </c>
      <c r="N556" s="72">
        <v>3.5000000000000003E-2</v>
      </c>
      <c r="O556" s="22"/>
      <c r="P556" s="21">
        <v>4600776</v>
      </c>
      <c r="S556" s="101" t="b">
        <f>OR(COUNTIF(Tabla2[[#This Row],[PROVEEDOR]],"*"&amp;'Palabra no opera'!$A$2&amp;"*"))</f>
        <v>1</v>
      </c>
      <c r="T556" s="113">
        <f>+$W$5-Tabla2[[#This Row],[FECHA DE FACTURACIÓN]]</f>
        <v>152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15" t="str">
        <f>+IF(AND(Tabla2[[#This Row],[venc]]="venc",Tabla2[[#This Row],[Columna1]]="por pagar"),"vencida","no")</f>
        <v>no</v>
      </c>
    </row>
    <row r="557" spans="1:23" ht="15.75" x14ac:dyDescent="0.25">
      <c r="A557" s="20">
        <v>30</v>
      </c>
      <c r="B557" s="25">
        <v>0</v>
      </c>
      <c r="C557" s="25"/>
      <c r="D557" s="56" t="s">
        <v>104</v>
      </c>
      <c r="E557" s="66">
        <v>45187</v>
      </c>
      <c r="F557" s="323" t="s">
        <v>521</v>
      </c>
      <c r="G557" s="66">
        <v>45187</v>
      </c>
      <c r="H557" s="35" t="s">
        <v>1160</v>
      </c>
      <c r="I557" s="21">
        <v>1348000</v>
      </c>
      <c r="J557" s="21"/>
      <c r="K557" s="22">
        <v>0</v>
      </c>
      <c r="L557" s="23"/>
      <c r="M557" s="22">
        <v>0</v>
      </c>
      <c r="N557" s="72">
        <v>0</v>
      </c>
      <c r="O557" s="22">
        <v>0</v>
      </c>
      <c r="P557" s="21">
        <v>1348000</v>
      </c>
      <c r="S557" s="101" t="b">
        <f>OR(COUNTIF(Tabla2[[#This Row],[PROVEEDOR]],"*"&amp;'Palabra no opera'!$A$2&amp;"*"))</f>
        <v>0</v>
      </c>
      <c r="T557" s="113">
        <f>+$W$5-Tabla2[[#This Row],[FECHA DE FACTURACIÓN]]</f>
        <v>135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15" t="str">
        <f>+IF(AND(Tabla2[[#This Row],[venc]]="venc",Tabla2[[#This Row],[Columna1]]="por pagar"),"vencida","no")</f>
        <v>no</v>
      </c>
    </row>
    <row r="558" spans="1:23" ht="15.75" x14ac:dyDescent="0.25">
      <c r="A558" s="20">
        <v>30</v>
      </c>
      <c r="B558" s="25">
        <v>0</v>
      </c>
      <c r="C558" s="25"/>
      <c r="D558" s="56">
        <v>0</v>
      </c>
      <c r="E558" s="66">
        <v>45187</v>
      </c>
      <c r="F558" s="323" t="s">
        <v>234</v>
      </c>
      <c r="G558" s="66">
        <v>45183</v>
      </c>
      <c r="H558" s="35" t="s">
        <v>1083</v>
      </c>
      <c r="I558" s="21">
        <v>1260000</v>
      </c>
      <c r="J558" s="21"/>
      <c r="K558" s="22">
        <v>63000</v>
      </c>
      <c r="L558" s="23"/>
      <c r="M558" s="22">
        <v>0</v>
      </c>
      <c r="N558" s="72">
        <v>2.5000000000000001E-2</v>
      </c>
      <c r="O558" s="22">
        <v>31500</v>
      </c>
      <c r="P558" s="21">
        <v>1291500</v>
      </c>
      <c r="S558" s="101" t="b">
        <f>OR(COUNTIF(Tabla2[[#This Row],[PROVEEDOR]],"*"&amp;'Palabra no opera'!$A$2&amp;"*"))</f>
        <v>0</v>
      </c>
      <c r="T558" s="113">
        <f>+$W$5-Tabla2[[#This Row],[FECHA DE FACTURACIÓN]]</f>
        <v>139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15" t="str">
        <f>+IF(AND(Tabla2[[#This Row],[venc]]="venc",Tabla2[[#This Row],[Columna1]]="por pagar"),"vencida","no")</f>
        <v>no</v>
      </c>
    </row>
    <row r="559" spans="1:23" ht="15.75" x14ac:dyDescent="0.25">
      <c r="A559" s="20">
        <v>30</v>
      </c>
      <c r="B559" s="25">
        <v>0</v>
      </c>
      <c r="C559" s="25"/>
      <c r="D559" s="56" t="s">
        <v>1508</v>
      </c>
      <c r="E559" s="66">
        <v>45187</v>
      </c>
      <c r="F559" s="323" t="s">
        <v>406</v>
      </c>
      <c r="G559" s="66">
        <v>45171</v>
      </c>
      <c r="H559" s="35" t="s">
        <v>1086</v>
      </c>
      <c r="I559" s="21">
        <v>1840056</v>
      </c>
      <c r="J559" s="21"/>
      <c r="K559" s="22">
        <v>0</v>
      </c>
      <c r="L559" s="23"/>
      <c r="M559" s="22">
        <v>105097</v>
      </c>
      <c r="N559" s="72">
        <v>0</v>
      </c>
      <c r="O559" s="22">
        <v>0</v>
      </c>
      <c r="P559" s="21">
        <v>1734959</v>
      </c>
      <c r="S559" s="101" t="b">
        <f>OR(COUNTIF(Tabla2[[#This Row],[PROVEEDOR]],"*"&amp;'Palabra no opera'!$A$2&amp;"*"))</f>
        <v>1</v>
      </c>
      <c r="T559" s="113">
        <f>+$W$5-Tabla2[[#This Row],[FECHA DE FACTURACIÓN]]</f>
        <v>151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15" t="str">
        <f>+IF(AND(Tabla2[[#This Row],[venc]]="venc",Tabla2[[#This Row],[Columna1]]="por pagar"),"vencida","no")</f>
        <v>no</v>
      </c>
    </row>
    <row r="560" spans="1:23" ht="15.75" x14ac:dyDescent="0.25">
      <c r="A560" s="20">
        <v>30</v>
      </c>
      <c r="B560" s="25">
        <v>0</v>
      </c>
      <c r="C560" s="25"/>
      <c r="D560" s="56" t="s">
        <v>284</v>
      </c>
      <c r="E560" s="66">
        <v>45187</v>
      </c>
      <c r="F560" s="323" t="s">
        <v>401</v>
      </c>
      <c r="G560" s="66">
        <v>45170</v>
      </c>
      <c r="H560" s="35" t="s">
        <v>1129</v>
      </c>
      <c r="I560" s="21">
        <v>3792544</v>
      </c>
      <c r="J560" s="21"/>
      <c r="K560" s="22">
        <v>720583.36</v>
      </c>
      <c r="L560" s="23"/>
      <c r="M560" s="22">
        <v>0</v>
      </c>
      <c r="N560" s="72">
        <v>0</v>
      </c>
      <c r="O560" s="22">
        <v>0</v>
      </c>
      <c r="P560" s="21">
        <v>4513127.3600000003</v>
      </c>
      <c r="S560" s="101" t="b">
        <f>OR(COUNTIF(Tabla2[[#This Row],[PROVEEDOR]],"*"&amp;'Palabra no opera'!$A$2&amp;"*"))</f>
        <v>1</v>
      </c>
      <c r="T560" s="113">
        <f>+$W$5-Tabla2[[#This Row],[FECHA DE FACTURACIÓN]]</f>
        <v>152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15" t="str">
        <f>+IF(AND(Tabla2[[#This Row],[venc]]="venc",Tabla2[[#This Row],[Columna1]]="por pagar"),"vencida","no")</f>
        <v>no</v>
      </c>
    </row>
    <row r="561" spans="1:23" ht="15.75" x14ac:dyDescent="0.25">
      <c r="A561" s="20">
        <v>30</v>
      </c>
      <c r="B561" s="25">
        <v>0</v>
      </c>
      <c r="C561" s="25"/>
      <c r="D561" s="56" t="s">
        <v>284</v>
      </c>
      <c r="E561" s="66">
        <v>45187</v>
      </c>
      <c r="F561" s="323" t="s">
        <v>401</v>
      </c>
      <c r="G561" s="66">
        <v>45170</v>
      </c>
      <c r="H561" s="35" t="s">
        <v>1130</v>
      </c>
      <c r="I561" s="21">
        <v>908172</v>
      </c>
      <c r="J561" s="21"/>
      <c r="K561" s="22">
        <v>172552.68</v>
      </c>
      <c r="L561" s="23"/>
      <c r="M561" s="22">
        <v>0</v>
      </c>
      <c r="N561" s="72">
        <v>0</v>
      </c>
      <c r="O561" s="22">
        <v>0</v>
      </c>
      <c r="P561" s="21">
        <v>1080724.68</v>
      </c>
      <c r="S561" s="101" t="b">
        <f>OR(COUNTIF(Tabla2[[#This Row],[PROVEEDOR]],"*"&amp;'Palabra no opera'!$A$2&amp;"*"))</f>
        <v>1</v>
      </c>
      <c r="T561" s="113">
        <f>+$W$5-Tabla2[[#This Row],[FECHA DE FACTURACIÓN]]</f>
        <v>152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15" t="str">
        <f>+IF(AND(Tabla2[[#This Row],[venc]]="venc",Tabla2[[#This Row],[Columna1]]="por pagar"),"vencida","no")</f>
        <v>no</v>
      </c>
    </row>
    <row r="562" spans="1:23" ht="15.75" x14ac:dyDescent="0.25">
      <c r="A562" s="20">
        <v>30</v>
      </c>
      <c r="B562" s="25">
        <v>0</v>
      </c>
      <c r="C562" s="25"/>
      <c r="D562" s="56" t="s">
        <v>300</v>
      </c>
      <c r="E562" s="66">
        <v>45187</v>
      </c>
      <c r="F562" s="323" t="s">
        <v>409</v>
      </c>
      <c r="G562" s="66">
        <v>45170</v>
      </c>
      <c r="H562" s="35" t="s">
        <v>1087</v>
      </c>
      <c r="I562" s="21">
        <v>318603</v>
      </c>
      <c r="J562" s="21">
        <v>9545</v>
      </c>
      <c r="K562" s="22">
        <v>0</v>
      </c>
      <c r="L562" s="23"/>
      <c r="M562" s="22">
        <v>0</v>
      </c>
      <c r="N562" s="72">
        <v>0</v>
      </c>
      <c r="O562" s="22">
        <v>0</v>
      </c>
      <c r="P562" s="21">
        <v>309058</v>
      </c>
      <c r="S562" s="101" t="b">
        <f>OR(COUNTIF(Tabla2[[#This Row],[PROVEEDOR]],"*"&amp;'Palabra no opera'!$A$2&amp;"*"))</f>
        <v>1</v>
      </c>
      <c r="T562" s="113">
        <f>+$W$5-Tabla2[[#This Row],[FECHA DE FACTURACIÓN]]</f>
        <v>152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15" t="str">
        <f>+IF(AND(Tabla2[[#This Row],[venc]]="venc",Tabla2[[#This Row],[Columna1]]="por pagar"),"vencida","no")</f>
        <v>no</v>
      </c>
    </row>
    <row r="563" spans="1:23" ht="15.75" x14ac:dyDescent="0.25">
      <c r="A563" s="20">
        <v>30</v>
      </c>
      <c r="B563" s="25">
        <v>0</v>
      </c>
      <c r="C563" s="25"/>
      <c r="D563" s="56" t="s">
        <v>174</v>
      </c>
      <c r="E563" s="66">
        <v>45187</v>
      </c>
      <c r="F563" s="323" t="s">
        <v>427</v>
      </c>
      <c r="G563" s="66">
        <v>45170</v>
      </c>
      <c r="H563" s="35" t="s">
        <v>1084</v>
      </c>
      <c r="I563" s="21">
        <v>243611</v>
      </c>
      <c r="J563" s="21"/>
      <c r="K563" s="22">
        <v>46286.090000000004</v>
      </c>
      <c r="L563" s="23"/>
      <c r="M563" s="22">
        <v>0</v>
      </c>
      <c r="N563" s="72">
        <v>3.5000000000000003E-2</v>
      </c>
      <c r="O563" s="22">
        <v>8526.3850000000002</v>
      </c>
      <c r="P563" s="21">
        <v>281370.70500000002</v>
      </c>
      <c r="S563" s="101" t="b">
        <f>OR(COUNTIF(Tabla2[[#This Row],[PROVEEDOR]],"*"&amp;'Palabra no opera'!$A$2&amp;"*"))</f>
        <v>1</v>
      </c>
      <c r="T563" s="113">
        <f>+$W$5-Tabla2[[#This Row],[FECHA DE FACTURACIÓN]]</f>
        <v>152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15" t="str">
        <f>+IF(AND(Tabla2[[#This Row],[venc]]="venc",Tabla2[[#This Row],[Columna1]]="por pagar"),"vencida","no")</f>
        <v>no</v>
      </c>
    </row>
    <row r="564" spans="1:23" ht="15.75" x14ac:dyDescent="0.25">
      <c r="A564" s="20">
        <v>45</v>
      </c>
      <c r="B564" s="25">
        <v>3535656.6</v>
      </c>
      <c r="C564" s="25"/>
      <c r="D564" s="56" t="s">
        <v>390</v>
      </c>
      <c r="E564" s="66">
        <v>45187</v>
      </c>
      <c r="F564" s="323" t="s">
        <v>19</v>
      </c>
      <c r="G564" s="66">
        <v>45135</v>
      </c>
      <c r="H564" s="35" t="s">
        <v>998</v>
      </c>
      <c r="I564" s="21">
        <v>1220051</v>
      </c>
      <c r="J564" s="21"/>
      <c r="K564" s="22">
        <v>231809.69</v>
      </c>
      <c r="L564" s="23"/>
      <c r="M564" s="22">
        <v>0</v>
      </c>
      <c r="N564" s="72">
        <v>0</v>
      </c>
      <c r="O564" s="22">
        <v>0</v>
      </c>
      <c r="P564" s="21">
        <v>1451860.69</v>
      </c>
      <c r="S564" s="101" t="b">
        <f>OR(COUNTIF(Tabla2[[#This Row],[PROVEEDOR]],"*"&amp;'Palabra no opera'!$A$2&amp;"*"))</f>
        <v>0</v>
      </c>
      <c r="T564" s="113">
        <f>+$W$5-Tabla2[[#This Row],[FECHA DE FACTURACIÓN]]</f>
        <v>187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15" t="str">
        <f>+IF(AND(Tabla2[[#This Row],[venc]]="venc",Tabla2[[#This Row],[Columna1]]="por pagar"),"vencida","no")</f>
        <v>no</v>
      </c>
    </row>
    <row r="565" spans="1:23" ht="15.75" x14ac:dyDescent="0.25">
      <c r="A565" s="20">
        <v>45</v>
      </c>
      <c r="B565" s="25">
        <v>3535656.6</v>
      </c>
      <c r="C565" s="25"/>
      <c r="D565" s="56" t="s">
        <v>390</v>
      </c>
      <c r="E565" s="66">
        <v>45187</v>
      </c>
      <c r="F565" s="323" t="s">
        <v>19</v>
      </c>
      <c r="G565" s="66">
        <v>45121</v>
      </c>
      <c r="H565" s="35" t="s">
        <v>964</v>
      </c>
      <c r="I565" s="21">
        <v>1635783</v>
      </c>
      <c r="J565" s="21"/>
      <c r="K565" s="22">
        <v>310798.77</v>
      </c>
      <c r="L565" s="23"/>
      <c r="M565" s="22">
        <v>0</v>
      </c>
      <c r="N565" s="72">
        <v>0</v>
      </c>
      <c r="O565" s="22">
        <v>0</v>
      </c>
      <c r="P565" s="21">
        <v>1946581.77</v>
      </c>
      <c r="S565" s="101" t="b">
        <f>OR(COUNTIF(Tabla2[[#This Row],[PROVEEDOR]],"*"&amp;'Palabra no opera'!$A$2&amp;"*"))</f>
        <v>0</v>
      </c>
      <c r="T565" s="113">
        <f>+$W$5-Tabla2[[#This Row],[FECHA DE FACTURACIÓN]]</f>
        <v>201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15" t="str">
        <f>+IF(AND(Tabla2[[#This Row],[venc]]="venc",Tabla2[[#This Row],[Columna1]]="por pagar"),"vencida","no")</f>
        <v>no</v>
      </c>
    </row>
    <row r="566" spans="1:23" ht="15.75" x14ac:dyDescent="0.25">
      <c r="A566" s="20">
        <v>30</v>
      </c>
      <c r="B566" s="25">
        <v>-2000</v>
      </c>
      <c r="C566" s="25"/>
      <c r="D566" s="56">
        <v>0</v>
      </c>
      <c r="E566" s="66">
        <v>45186</v>
      </c>
      <c r="F566" s="323" t="s">
        <v>881</v>
      </c>
      <c r="G566" s="66">
        <v>45186</v>
      </c>
      <c r="H566" s="35"/>
      <c r="I566" s="21">
        <v>396000</v>
      </c>
      <c r="J566" s="21"/>
      <c r="K566" s="22">
        <v>0</v>
      </c>
      <c r="L566" s="23"/>
      <c r="M566" s="22">
        <v>0</v>
      </c>
      <c r="N566" s="72">
        <v>0</v>
      </c>
      <c r="O566" s="22">
        <v>0</v>
      </c>
      <c r="P566" s="21">
        <v>396000</v>
      </c>
      <c r="S566" s="101" t="b">
        <f>OR(COUNTIF(Tabla2[[#This Row],[PROVEEDOR]],"*"&amp;'Palabra no opera'!$A$2&amp;"*"))</f>
        <v>0</v>
      </c>
      <c r="T566" s="113">
        <f>+$W$5-Tabla2[[#This Row],[FECHA DE FACTURACIÓN]]</f>
        <v>136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15" t="str">
        <f>+IF(AND(Tabla2[[#This Row],[venc]]="venc",Tabla2[[#This Row],[Columna1]]="por pagar"),"vencida","no")</f>
        <v>no</v>
      </c>
    </row>
    <row r="567" spans="1:23" ht="15.75" x14ac:dyDescent="0.25">
      <c r="A567" s="20">
        <v>30</v>
      </c>
      <c r="B567" s="25">
        <v>0</v>
      </c>
      <c r="C567" s="25"/>
      <c r="D567" s="56" t="s">
        <v>104</v>
      </c>
      <c r="E567" s="66">
        <v>45183</v>
      </c>
      <c r="F567" s="323" t="s">
        <v>521</v>
      </c>
      <c r="G567" s="66">
        <v>45183</v>
      </c>
      <c r="H567" s="35" t="s">
        <v>1159</v>
      </c>
      <c r="I567" s="21">
        <v>3672000</v>
      </c>
      <c r="J567" s="21"/>
      <c r="K567" s="22">
        <v>0</v>
      </c>
      <c r="L567" s="23"/>
      <c r="M567" s="22">
        <v>0</v>
      </c>
      <c r="N567" s="72">
        <v>0</v>
      </c>
      <c r="O567" s="22">
        <v>0</v>
      </c>
      <c r="P567" s="21">
        <v>3672000</v>
      </c>
      <c r="S567" s="101" t="b">
        <f>OR(COUNTIF(Tabla2[[#This Row],[PROVEEDOR]],"*"&amp;'Palabra no opera'!$A$2&amp;"*"))</f>
        <v>0</v>
      </c>
      <c r="T567" s="113">
        <f>+$W$5-Tabla2[[#This Row],[FECHA DE FACTURACIÓN]]</f>
        <v>139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15" t="str">
        <f>+IF(AND(Tabla2[[#This Row],[venc]]="venc",Tabla2[[#This Row],[Columna1]]="por pagar"),"vencida","no")</f>
        <v>no</v>
      </c>
    </row>
    <row r="568" spans="1:23" ht="15.75" x14ac:dyDescent="0.25">
      <c r="A568" s="20">
        <v>30</v>
      </c>
      <c r="B568" s="25">
        <v>0</v>
      </c>
      <c r="C568" s="25"/>
      <c r="D568" s="56" t="s">
        <v>104</v>
      </c>
      <c r="E568" s="66">
        <v>45183</v>
      </c>
      <c r="F568" s="323" t="s">
        <v>279</v>
      </c>
      <c r="G568" s="66">
        <v>45183</v>
      </c>
      <c r="H568" s="35" t="s">
        <v>1145</v>
      </c>
      <c r="I568" s="21">
        <v>171400</v>
      </c>
      <c r="J568" s="21"/>
      <c r="K568" s="22">
        <v>0</v>
      </c>
      <c r="L568" s="23"/>
      <c r="M568" s="22">
        <v>0</v>
      </c>
      <c r="N568" s="72">
        <v>0</v>
      </c>
      <c r="O568" s="22">
        <v>0</v>
      </c>
      <c r="P568" s="21">
        <v>171400</v>
      </c>
      <c r="S568" s="101" t="b">
        <f>OR(COUNTIF(Tabla2[[#This Row],[PROVEEDOR]],"*"&amp;'Palabra no opera'!$A$2&amp;"*"))</f>
        <v>0</v>
      </c>
      <c r="T568" s="113">
        <f>+$W$5-Tabla2[[#This Row],[FECHA DE FACTURACIÓN]]</f>
        <v>139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15" t="str">
        <f>+IF(AND(Tabla2[[#This Row],[venc]]="venc",Tabla2[[#This Row],[Columna1]]="por pagar"),"vencida","no")</f>
        <v>no</v>
      </c>
    </row>
    <row r="569" spans="1:23" ht="15.75" x14ac:dyDescent="0.25">
      <c r="A569" s="20">
        <v>30</v>
      </c>
      <c r="B569" s="25">
        <v>0</v>
      </c>
      <c r="C569" s="25"/>
      <c r="D569" s="56">
        <v>0</v>
      </c>
      <c r="E569" s="66">
        <v>45182</v>
      </c>
      <c r="F569" s="323" t="s">
        <v>944</v>
      </c>
      <c r="G569" s="66">
        <v>45182</v>
      </c>
      <c r="H569" s="35" t="s">
        <v>1156</v>
      </c>
      <c r="I569" s="21">
        <v>290750</v>
      </c>
      <c r="J569" s="21"/>
      <c r="K569" s="22">
        <v>0</v>
      </c>
      <c r="L569" s="23"/>
      <c r="M569" s="22">
        <v>0</v>
      </c>
      <c r="N569" s="72">
        <v>0</v>
      </c>
      <c r="O569" s="22">
        <v>0</v>
      </c>
      <c r="P569" s="21">
        <v>290750</v>
      </c>
      <c r="S569" s="101" t="b">
        <f>OR(COUNTIF(Tabla2[[#This Row],[PROVEEDOR]],"*"&amp;'Palabra no opera'!$A$2&amp;"*"))</f>
        <v>0</v>
      </c>
      <c r="T569" s="113">
        <f>+$W$5-Tabla2[[#This Row],[FECHA DE FACTURACIÓN]]</f>
        <v>140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15" t="str">
        <f>+IF(AND(Tabla2[[#This Row],[venc]]="venc",Tabla2[[#This Row],[Columna1]]="por pagar"),"vencida","no")</f>
        <v>no</v>
      </c>
    </row>
    <row r="570" spans="1:23" ht="15.75" x14ac:dyDescent="0.25">
      <c r="A570" s="20">
        <v>30</v>
      </c>
      <c r="B570" s="25">
        <v>0</v>
      </c>
      <c r="C570" s="25"/>
      <c r="D570" s="56">
        <v>0</v>
      </c>
      <c r="E570" s="66">
        <v>45182</v>
      </c>
      <c r="F570" s="323" t="s">
        <v>527</v>
      </c>
      <c r="G570" s="66">
        <v>45176</v>
      </c>
      <c r="H570" s="35" t="s">
        <v>1112</v>
      </c>
      <c r="I570" s="21">
        <v>2299500</v>
      </c>
      <c r="J570" s="21"/>
      <c r="K570" s="22">
        <v>0</v>
      </c>
      <c r="L570" s="23"/>
      <c r="M570" s="22">
        <v>0</v>
      </c>
      <c r="N570" s="72">
        <v>0</v>
      </c>
      <c r="O570" s="22">
        <v>0</v>
      </c>
      <c r="P570" s="21">
        <v>2299500</v>
      </c>
      <c r="S570" s="101" t="b">
        <f>OR(COUNTIF(Tabla2[[#This Row],[PROVEEDOR]],"*"&amp;'Palabra no opera'!$A$2&amp;"*"))</f>
        <v>0</v>
      </c>
      <c r="T570" s="113">
        <f>+$W$5-Tabla2[[#This Row],[FECHA DE FACTURACIÓN]]</f>
        <v>146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15" t="str">
        <f>+IF(AND(Tabla2[[#This Row],[venc]]="venc",Tabla2[[#This Row],[Columna1]]="por pagar"),"vencida","no")</f>
        <v>no</v>
      </c>
    </row>
    <row r="571" spans="1:23" ht="15.75" x14ac:dyDescent="0.25">
      <c r="A571" s="20">
        <v>45</v>
      </c>
      <c r="B571" s="25">
        <v>13678360</v>
      </c>
      <c r="C571" s="25"/>
      <c r="D571" s="56" t="s">
        <v>179</v>
      </c>
      <c r="E571" s="66">
        <v>45182</v>
      </c>
      <c r="F571" s="323" t="s">
        <v>10</v>
      </c>
      <c r="G571" s="66">
        <v>45118</v>
      </c>
      <c r="H571" s="35" t="s">
        <v>967</v>
      </c>
      <c r="I571" s="21">
        <v>924000</v>
      </c>
      <c r="J571" s="21"/>
      <c r="K571" s="22">
        <v>175560</v>
      </c>
      <c r="L571" s="23"/>
      <c r="M571" s="22">
        <v>0</v>
      </c>
      <c r="N571" s="72">
        <v>0</v>
      </c>
      <c r="O571" s="22">
        <v>0</v>
      </c>
      <c r="P571" s="21">
        <v>1099560</v>
      </c>
      <c r="S571" s="101" t="b">
        <f>OR(COUNTIF(Tabla2[[#This Row],[PROVEEDOR]],"*"&amp;'Palabra no opera'!$A$2&amp;"*"))</f>
        <v>0</v>
      </c>
      <c r="T571" s="113">
        <f>+$W$5-Tabla2[[#This Row],[FECHA DE FACTURACIÓN]]</f>
        <v>204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15" t="str">
        <f>+IF(AND(Tabla2[[#This Row],[venc]]="venc",Tabla2[[#This Row],[Columna1]]="por pagar"),"vencida","no")</f>
        <v>no</v>
      </c>
    </row>
    <row r="572" spans="1:23" ht="15.75" x14ac:dyDescent="0.25">
      <c r="A572" s="20">
        <v>45</v>
      </c>
      <c r="B572" s="25">
        <v>13678360</v>
      </c>
      <c r="C572" s="25"/>
      <c r="D572" s="56" t="s">
        <v>179</v>
      </c>
      <c r="E572" s="66">
        <v>45182</v>
      </c>
      <c r="F572" s="323" t="s">
        <v>10</v>
      </c>
      <c r="G572" s="66">
        <v>45118</v>
      </c>
      <c r="H572" s="35" t="s">
        <v>968</v>
      </c>
      <c r="I572" s="21">
        <v>-3240000</v>
      </c>
      <c r="J572" s="21"/>
      <c r="K572" s="22">
        <v>-615600</v>
      </c>
      <c r="L572" s="23"/>
      <c r="M572" s="22">
        <v>0</v>
      </c>
      <c r="N572" s="72">
        <v>0</v>
      </c>
      <c r="O572" s="22">
        <v>0</v>
      </c>
      <c r="P572" s="21">
        <v>-3855600</v>
      </c>
      <c r="S572" s="101" t="b">
        <f>OR(COUNTIF(Tabla2[[#This Row],[PROVEEDOR]],"*"&amp;'Palabra no opera'!$A$2&amp;"*"))</f>
        <v>0</v>
      </c>
      <c r="T572" s="113">
        <f>+$W$5-Tabla2[[#This Row],[FECHA DE FACTURACIÓN]]</f>
        <v>204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15" t="str">
        <f>+IF(AND(Tabla2[[#This Row],[venc]]="venc",Tabla2[[#This Row],[Columna1]]="por pagar"),"vencida","no")</f>
        <v>no</v>
      </c>
    </row>
    <row r="573" spans="1:23" ht="15.75" x14ac:dyDescent="0.25">
      <c r="A573" s="20">
        <v>45</v>
      </c>
      <c r="B573" s="25">
        <v>13678360</v>
      </c>
      <c r="C573" s="25"/>
      <c r="D573" s="56" t="s">
        <v>179</v>
      </c>
      <c r="E573" s="66">
        <v>45182</v>
      </c>
      <c r="F573" s="323" t="s">
        <v>10</v>
      </c>
      <c r="G573" s="66">
        <v>45107</v>
      </c>
      <c r="H573" s="35" t="s">
        <v>969</v>
      </c>
      <c r="I573" s="21">
        <v>3240000</v>
      </c>
      <c r="J573" s="21"/>
      <c r="K573" s="22">
        <v>615600</v>
      </c>
      <c r="L573" s="23"/>
      <c r="M573" s="22">
        <v>0</v>
      </c>
      <c r="N573" s="72">
        <v>2.5000000000000001E-2</v>
      </c>
      <c r="O573" s="22">
        <v>81000</v>
      </c>
      <c r="P573" s="21">
        <v>3774600</v>
      </c>
      <c r="S573" s="101" t="b">
        <f>OR(COUNTIF(Tabla2[[#This Row],[PROVEEDOR]],"*"&amp;'Palabra no opera'!$A$2&amp;"*"))</f>
        <v>0</v>
      </c>
      <c r="T573" s="113">
        <f>+$W$5-Tabla2[[#This Row],[FECHA DE FACTURACIÓN]]</f>
        <v>215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15" t="str">
        <f>+IF(AND(Tabla2[[#This Row],[venc]]="venc",Tabla2[[#This Row],[Columna1]]="por pagar"),"vencida","no")</f>
        <v>no</v>
      </c>
    </row>
    <row r="574" spans="1:23" ht="15.75" x14ac:dyDescent="0.25">
      <c r="A574" s="20">
        <v>30</v>
      </c>
      <c r="B574" s="25">
        <v>0</v>
      </c>
      <c r="C574" s="25"/>
      <c r="D574" s="56" t="s">
        <v>1561</v>
      </c>
      <c r="E574" s="66">
        <v>45181</v>
      </c>
      <c r="F574" s="323" t="s">
        <v>203</v>
      </c>
      <c r="G574" s="66">
        <v>45181</v>
      </c>
      <c r="H574" s="35" t="s">
        <v>1124</v>
      </c>
      <c r="I574" s="21">
        <v>1660000</v>
      </c>
      <c r="J574" s="21"/>
      <c r="K574" s="22">
        <v>0</v>
      </c>
      <c r="L574" s="23"/>
      <c r="M574" s="22">
        <v>0</v>
      </c>
      <c r="N574" s="72">
        <v>0</v>
      </c>
      <c r="O574" s="22">
        <v>0</v>
      </c>
      <c r="P574" s="21">
        <v>1660000</v>
      </c>
      <c r="S574" s="101" t="b">
        <f>OR(COUNTIF(Tabla2[[#This Row],[PROVEEDOR]],"*"&amp;'Palabra no opera'!$A$2&amp;"*"))</f>
        <v>0</v>
      </c>
      <c r="T574" s="113">
        <f>+$W$5-Tabla2[[#This Row],[FECHA DE FACTURACIÓN]]</f>
        <v>141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15" t="str">
        <f>+IF(AND(Tabla2[[#This Row],[venc]]="venc",Tabla2[[#This Row],[Columna1]]="por pagar"),"vencida","no")</f>
        <v>no</v>
      </c>
    </row>
    <row r="575" spans="1:23" ht="15.75" x14ac:dyDescent="0.25">
      <c r="A575" s="20">
        <v>0</v>
      </c>
      <c r="B575" s="25">
        <v>0</v>
      </c>
      <c r="C575" s="25"/>
      <c r="D575" s="56">
        <v>0</v>
      </c>
      <c r="E575" s="66">
        <v>45178</v>
      </c>
      <c r="F575" s="323" t="s">
        <v>1026</v>
      </c>
      <c r="G575" s="66">
        <v>45178</v>
      </c>
      <c r="H575" s="35" t="s">
        <v>1027</v>
      </c>
      <c r="I575" s="21">
        <v>499612</v>
      </c>
      <c r="J575" s="21"/>
      <c r="K575" s="22">
        <v>94926.28</v>
      </c>
      <c r="L575" s="23"/>
      <c r="M575" s="22">
        <v>0</v>
      </c>
      <c r="N575" s="72">
        <v>0.11</v>
      </c>
      <c r="O575" s="22">
        <v>54957.32</v>
      </c>
      <c r="P575" s="21">
        <v>539580.96000000008</v>
      </c>
      <c r="S575" s="101" t="b">
        <f>OR(COUNTIF(Tabla2[[#This Row],[PROVEEDOR]],"*"&amp;'Palabra no opera'!$A$2&amp;"*"))</f>
        <v>0</v>
      </c>
      <c r="T575" s="113">
        <f>+$W$5-Tabla2[[#This Row],[FECHA DE FACTURACIÓN]]</f>
        <v>144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15" t="str">
        <f>+IF(AND(Tabla2[[#This Row],[venc]]="venc",Tabla2[[#This Row],[Columna1]]="por pagar"),"vencida","no")</f>
        <v>no</v>
      </c>
    </row>
    <row r="576" spans="1:23" ht="15.75" x14ac:dyDescent="0.25">
      <c r="A576" s="20">
        <v>30</v>
      </c>
      <c r="B576" s="25">
        <v>840000</v>
      </c>
      <c r="C576" s="25"/>
      <c r="D576" s="56">
        <v>0</v>
      </c>
      <c r="E576" s="66">
        <v>45177</v>
      </c>
      <c r="F576" s="323" t="s">
        <v>318</v>
      </c>
      <c r="G576" s="66">
        <v>45152</v>
      </c>
      <c r="H576" s="35">
        <v>394</v>
      </c>
      <c r="I576" s="21">
        <v>1176000</v>
      </c>
      <c r="J576" s="21"/>
      <c r="K576" s="22">
        <v>0</v>
      </c>
      <c r="L576" s="23"/>
      <c r="M576" s="22">
        <v>0</v>
      </c>
      <c r="N576" s="72">
        <v>0</v>
      </c>
      <c r="O576" s="22">
        <v>0</v>
      </c>
      <c r="P576" s="21">
        <v>1176000</v>
      </c>
      <c r="S576" s="101" t="b">
        <f>OR(COUNTIF(Tabla2[[#This Row],[PROVEEDOR]],"*"&amp;'Palabra no opera'!$A$2&amp;"*"))</f>
        <v>0</v>
      </c>
      <c r="T576" s="113">
        <f>+$W$5-Tabla2[[#This Row],[FECHA DE FACTURACIÓN]]</f>
        <v>170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15" t="str">
        <f>+IF(AND(Tabla2[[#This Row],[venc]]="venc",Tabla2[[#This Row],[Columna1]]="por pagar"),"vencida","no")</f>
        <v>no</v>
      </c>
    </row>
    <row r="577" spans="1:23" ht="15.75" x14ac:dyDescent="0.25">
      <c r="A577" s="20">
        <v>30</v>
      </c>
      <c r="B577" s="25">
        <v>0</v>
      </c>
      <c r="C577" s="25"/>
      <c r="D577" s="56" t="s">
        <v>104</v>
      </c>
      <c r="E577" s="66">
        <v>45175</v>
      </c>
      <c r="F577" s="323" t="s">
        <v>311</v>
      </c>
      <c r="G577" s="66">
        <v>45175</v>
      </c>
      <c r="H577" s="35" t="s">
        <v>1158</v>
      </c>
      <c r="I577" s="21">
        <v>1676636</v>
      </c>
      <c r="J577" s="21"/>
      <c r="K577" s="22">
        <v>0</v>
      </c>
      <c r="L577" s="23"/>
      <c r="M577" s="22">
        <v>0</v>
      </c>
      <c r="N577" s="72">
        <v>0</v>
      </c>
      <c r="O577" s="22">
        <v>0</v>
      </c>
      <c r="P577" s="21">
        <v>1676636</v>
      </c>
      <c r="S577" s="101" t="b">
        <f>OR(COUNTIF(Tabla2[[#This Row],[PROVEEDOR]],"*"&amp;'Palabra no opera'!$A$2&amp;"*"))</f>
        <v>0</v>
      </c>
      <c r="T577" s="113">
        <f>+$W$5-Tabla2[[#This Row],[FECHA DE FACTURACIÓN]]</f>
        <v>147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15" t="str">
        <f>+IF(AND(Tabla2[[#This Row],[venc]]="venc",Tabla2[[#This Row],[Columna1]]="por pagar"),"vencida","no")</f>
        <v>no</v>
      </c>
    </row>
    <row r="578" spans="1:23" ht="15.75" x14ac:dyDescent="0.25">
      <c r="A578" s="20">
        <v>30</v>
      </c>
      <c r="B578" s="25">
        <v>3065837.2199999997</v>
      </c>
      <c r="C578" s="25"/>
      <c r="D578" s="56" t="s">
        <v>169</v>
      </c>
      <c r="E578" s="66">
        <v>45175</v>
      </c>
      <c r="F578" s="323" t="s">
        <v>17</v>
      </c>
      <c r="G578" s="66">
        <v>45175</v>
      </c>
      <c r="H578" s="35" t="s">
        <v>1069</v>
      </c>
      <c r="I578" s="21">
        <v>34665</v>
      </c>
      <c r="J578" s="21"/>
      <c r="K578" s="22">
        <v>6586.35</v>
      </c>
      <c r="L578" s="23"/>
      <c r="M578" s="22">
        <v>0</v>
      </c>
      <c r="N578" s="72">
        <v>0</v>
      </c>
      <c r="O578" s="22">
        <v>0</v>
      </c>
      <c r="P578" s="21">
        <v>41251.35</v>
      </c>
      <c r="S578" s="101" t="b">
        <f>OR(COUNTIF(Tabla2[[#This Row],[PROVEEDOR]],"*"&amp;'Palabra no opera'!$A$2&amp;"*"))</f>
        <v>0</v>
      </c>
      <c r="T578" s="113">
        <f>+$W$5-Tabla2[[#This Row],[FECHA DE FACTURACIÓN]]</f>
        <v>147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15" t="str">
        <f>+IF(AND(Tabla2[[#This Row],[venc]]="venc",Tabla2[[#This Row],[Columna1]]="por pagar"),"vencida","no")</f>
        <v>no</v>
      </c>
    </row>
    <row r="579" spans="1:23" ht="15.75" x14ac:dyDescent="0.25">
      <c r="A579" s="20">
        <v>30</v>
      </c>
      <c r="B579" s="25">
        <v>0</v>
      </c>
      <c r="C579" s="25"/>
      <c r="D579" s="56">
        <v>0</v>
      </c>
      <c r="E579" s="66">
        <v>45175</v>
      </c>
      <c r="F579" s="323" t="s">
        <v>944</v>
      </c>
      <c r="G579" s="66">
        <v>45174</v>
      </c>
      <c r="H579" s="35" t="s">
        <v>1081</v>
      </c>
      <c r="I579" s="21">
        <v>239700</v>
      </c>
      <c r="J579" s="21"/>
      <c r="K579" s="22">
        <v>0</v>
      </c>
      <c r="L579" s="23"/>
      <c r="M579" s="22">
        <v>0</v>
      </c>
      <c r="N579" s="72">
        <v>0</v>
      </c>
      <c r="O579" s="22">
        <v>0</v>
      </c>
      <c r="P579" s="21">
        <v>239700</v>
      </c>
      <c r="S579" s="101" t="b">
        <f>OR(COUNTIF(Tabla2[[#This Row],[PROVEEDOR]],"*"&amp;'Palabra no opera'!$A$2&amp;"*"))</f>
        <v>0</v>
      </c>
      <c r="T579" s="113">
        <f>+$W$5-Tabla2[[#This Row],[FECHA DE FACTURACIÓN]]</f>
        <v>148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15" t="str">
        <f>+IF(AND(Tabla2[[#This Row],[venc]]="venc",Tabla2[[#This Row],[Columna1]]="por pagar"),"vencida","no")</f>
        <v>no</v>
      </c>
    </row>
    <row r="580" spans="1:23" ht="15.75" x14ac:dyDescent="0.25">
      <c r="A580" s="20">
        <v>30</v>
      </c>
      <c r="B580" s="25">
        <v>0</v>
      </c>
      <c r="C580" s="25"/>
      <c r="D580" s="56" t="s">
        <v>166</v>
      </c>
      <c r="E580" s="66">
        <v>45175</v>
      </c>
      <c r="F580" s="323" t="s">
        <v>65</v>
      </c>
      <c r="G580" s="66">
        <v>45148</v>
      </c>
      <c r="H580" s="35" t="s">
        <v>1020</v>
      </c>
      <c r="I580" s="21">
        <v>831933</v>
      </c>
      <c r="J580" s="21"/>
      <c r="K580" s="22">
        <v>158067.26999999999</v>
      </c>
      <c r="L580" s="23"/>
      <c r="M580" s="22">
        <v>87000</v>
      </c>
      <c r="N580" s="72">
        <v>0</v>
      </c>
      <c r="O580" s="22">
        <v>0</v>
      </c>
      <c r="P580" s="21">
        <v>903000.27</v>
      </c>
      <c r="S580" s="101" t="b">
        <f>OR(COUNTIF(Tabla2[[#This Row],[PROVEEDOR]],"*"&amp;'Palabra no opera'!$A$2&amp;"*"))</f>
        <v>0</v>
      </c>
      <c r="T580" s="113">
        <f>+$W$5-Tabla2[[#This Row],[FECHA DE FACTURACIÓN]]</f>
        <v>174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15" t="str">
        <f>+IF(AND(Tabla2[[#This Row],[venc]]="venc",Tabla2[[#This Row],[Columna1]]="por pagar"),"vencida","no")</f>
        <v>no</v>
      </c>
    </row>
    <row r="581" spans="1:23" ht="15.75" x14ac:dyDescent="0.25">
      <c r="A581" s="20">
        <v>45</v>
      </c>
      <c r="B581" s="25">
        <v>13678360</v>
      </c>
      <c r="C581" s="25"/>
      <c r="D581" s="56" t="s">
        <v>179</v>
      </c>
      <c r="E581" s="66">
        <v>45175</v>
      </c>
      <c r="F581" s="323" t="s">
        <v>10</v>
      </c>
      <c r="G581" s="66">
        <v>45100</v>
      </c>
      <c r="H581" s="35" t="s">
        <v>929</v>
      </c>
      <c r="I581" s="21">
        <v>560000</v>
      </c>
      <c r="J581" s="21"/>
      <c r="K581" s="22">
        <v>106400</v>
      </c>
      <c r="L581" s="23"/>
      <c r="M581" s="22">
        <v>0</v>
      </c>
      <c r="N581" s="72">
        <v>0</v>
      </c>
      <c r="O581" s="22">
        <v>0</v>
      </c>
      <c r="P581" s="21">
        <v>666400</v>
      </c>
      <c r="S581" s="101" t="b">
        <f>OR(COUNTIF(Tabla2[[#This Row],[PROVEEDOR]],"*"&amp;'Palabra no opera'!$A$2&amp;"*"))</f>
        <v>0</v>
      </c>
      <c r="T581" s="113">
        <f>+$W$5-Tabla2[[#This Row],[FECHA DE FACTURACIÓN]]</f>
        <v>222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15" t="str">
        <f>+IF(AND(Tabla2[[#This Row],[venc]]="venc",Tabla2[[#This Row],[Columna1]]="por pagar"),"vencida","no")</f>
        <v>no</v>
      </c>
    </row>
    <row r="582" spans="1:23" ht="15.75" x14ac:dyDescent="0.25">
      <c r="A582" s="20">
        <v>60</v>
      </c>
      <c r="B582" s="25">
        <v>0</v>
      </c>
      <c r="C582" s="25"/>
      <c r="D582" s="56">
        <v>0</v>
      </c>
      <c r="E582" s="66">
        <v>45175</v>
      </c>
      <c r="F582" s="323" t="s">
        <v>484</v>
      </c>
      <c r="G582" s="66">
        <v>45097</v>
      </c>
      <c r="H582" s="35" t="s">
        <v>919</v>
      </c>
      <c r="I582" s="21">
        <v>2755600</v>
      </c>
      <c r="J582" s="21"/>
      <c r="K582" s="22">
        <v>523564</v>
      </c>
      <c r="L582" s="23"/>
      <c r="M582" s="22">
        <v>0</v>
      </c>
      <c r="N582" s="72">
        <v>0</v>
      </c>
      <c r="O582" s="22">
        <v>0</v>
      </c>
      <c r="P582" s="21">
        <v>3279164</v>
      </c>
      <c r="S582" s="101" t="b">
        <f>OR(COUNTIF(Tabla2[[#This Row],[PROVEEDOR]],"*"&amp;'Palabra no opera'!$A$2&amp;"*"))</f>
        <v>1</v>
      </c>
      <c r="T582" s="113">
        <f>+$W$5-Tabla2[[#This Row],[FECHA DE FACTURACIÓN]]</f>
        <v>225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15" t="str">
        <f>+IF(AND(Tabla2[[#This Row],[venc]]="venc",Tabla2[[#This Row],[Columna1]]="por pagar"),"vencida","no")</f>
        <v>no</v>
      </c>
    </row>
    <row r="583" spans="1:23" ht="15.75" x14ac:dyDescent="0.25">
      <c r="A583" s="20">
        <v>60</v>
      </c>
      <c r="B583" s="25">
        <v>14884783</v>
      </c>
      <c r="C583" s="25"/>
      <c r="D583" s="56" t="s">
        <v>432</v>
      </c>
      <c r="E583" s="66">
        <v>45175</v>
      </c>
      <c r="F583" s="323" t="s">
        <v>76</v>
      </c>
      <c r="G583" s="66">
        <v>45090</v>
      </c>
      <c r="H583" s="35" t="s">
        <v>902</v>
      </c>
      <c r="I583" s="21">
        <v>4576000</v>
      </c>
      <c r="J583" s="21"/>
      <c r="K583" s="22">
        <v>869440</v>
      </c>
      <c r="L583" s="23"/>
      <c r="M583" s="22">
        <v>0</v>
      </c>
      <c r="N583" s="72">
        <v>2.5000000000000001E-2</v>
      </c>
      <c r="O583" s="22">
        <v>114400</v>
      </c>
      <c r="P583" s="21">
        <v>5331040</v>
      </c>
      <c r="S583" s="101" t="b">
        <f>OR(COUNTIF(Tabla2[[#This Row],[PROVEEDOR]],"*"&amp;'Palabra no opera'!$A$2&amp;"*"))</f>
        <v>0</v>
      </c>
      <c r="T583" s="113">
        <f>+$W$5-Tabla2[[#This Row],[FECHA DE FACTURACIÓN]]</f>
        <v>232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15" t="str">
        <f>+IF(AND(Tabla2[[#This Row],[venc]]="venc",Tabla2[[#This Row],[Columna1]]="por pagar"),"vencida","no")</f>
        <v>no</v>
      </c>
    </row>
    <row r="584" spans="1:23" ht="15.75" x14ac:dyDescent="0.25">
      <c r="A584" s="20">
        <v>60</v>
      </c>
      <c r="B584" s="25">
        <v>22881826.27</v>
      </c>
      <c r="C584" s="25"/>
      <c r="D584" s="56" t="s">
        <v>178</v>
      </c>
      <c r="E584" s="66">
        <v>45175</v>
      </c>
      <c r="F584" s="323" t="s">
        <v>9</v>
      </c>
      <c r="G584" s="66">
        <v>45090</v>
      </c>
      <c r="H584" s="35" t="s">
        <v>893</v>
      </c>
      <c r="I584" s="21">
        <v>3578973</v>
      </c>
      <c r="J584" s="21"/>
      <c r="K584" s="22">
        <v>680004.87</v>
      </c>
      <c r="L584" s="23"/>
      <c r="M584" s="22">
        <v>0</v>
      </c>
      <c r="N584" s="72">
        <v>2.5000000000000001E-2</v>
      </c>
      <c r="O584" s="22">
        <v>89474.325000000012</v>
      </c>
      <c r="P584" s="21">
        <v>4169503.5449999999</v>
      </c>
      <c r="S584" s="101" t="b">
        <f>OR(COUNTIF(Tabla2[[#This Row],[PROVEEDOR]],"*"&amp;'Palabra no opera'!$A$2&amp;"*"))</f>
        <v>0</v>
      </c>
      <c r="T584" s="113">
        <f>+$W$5-Tabla2[[#This Row],[FECHA DE FACTURACIÓN]]</f>
        <v>232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15" t="str">
        <f>+IF(AND(Tabla2[[#This Row],[venc]]="venc",Tabla2[[#This Row],[Columna1]]="por pagar"),"vencida","no")</f>
        <v>no</v>
      </c>
    </row>
    <row r="585" spans="1:23" ht="15.75" x14ac:dyDescent="0.25">
      <c r="A585" s="20">
        <v>30</v>
      </c>
      <c r="B585" s="25">
        <v>5972000</v>
      </c>
      <c r="C585" s="25"/>
      <c r="D585" s="56">
        <v>0</v>
      </c>
      <c r="E585" s="66">
        <v>45175</v>
      </c>
      <c r="F585" s="323" t="s">
        <v>512</v>
      </c>
      <c r="G585" s="66">
        <v>45083</v>
      </c>
      <c r="H585" s="35">
        <v>1795</v>
      </c>
      <c r="I585" s="21">
        <v>337500</v>
      </c>
      <c r="J585" s="21"/>
      <c r="K585" s="22">
        <v>0</v>
      </c>
      <c r="L585" s="23"/>
      <c r="M585" s="22">
        <v>0</v>
      </c>
      <c r="N585" s="72">
        <v>0</v>
      </c>
      <c r="O585" s="22">
        <v>0</v>
      </c>
      <c r="P585" s="21">
        <v>337500</v>
      </c>
      <c r="S585" s="101" t="b">
        <f>OR(COUNTIF(Tabla2[[#This Row],[PROVEEDOR]],"*"&amp;'Palabra no opera'!$A$2&amp;"*"))</f>
        <v>0</v>
      </c>
      <c r="T585" s="113">
        <f>+$W$5-Tabla2[[#This Row],[FECHA DE FACTURACIÓN]]</f>
        <v>239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15" t="str">
        <f>+IF(AND(Tabla2[[#This Row],[venc]]="venc",Tabla2[[#This Row],[Columna1]]="por pagar"),"vencida","no")</f>
        <v>no</v>
      </c>
    </row>
    <row r="586" spans="1:23" ht="15.75" x14ac:dyDescent="0.25">
      <c r="A586" s="20">
        <v>30</v>
      </c>
      <c r="B586" s="25">
        <v>5972000</v>
      </c>
      <c r="C586" s="25"/>
      <c r="D586" s="56">
        <v>0</v>
      </c>
      <c r="E586" s="66">
        <v>45175</v>
      </c>
      <c r="F586" s="323" t="s">
        <v>512</v>
      </c>
      <c r="G586" s="66">
        <v>45083</v>
      </c>
      <c r="H586" s="35">
        <v>1794</v>
      </c>
      <c r="I586" s="21">
        <v>3346000</v>
      </c>
      <c r="J586" s="21"/>
      <c r="K586" s="22">
        <v>0</v>
      </c>
      <c r="L586" s="23"/>
      <c r="M586" s="22">
        <v>0</v>
      </c>
      <c r="N586" s="72">
        <v>0</v>
      </c>
      <c r="O586" s="22">
        <v>0</v>
      </c>
      <c r="P586" s="21">
        <v>3346000</v>
      </c>
      <c r="S586" s="101" t="b">
        <f>OR(COUNTIF(Tabla2[[#This Row],[PROVEEDOR]],"*"&amp;'Palabra no opera'!$A$2&amp;"*"))</f>
        <v>0</v>
      </c>
      <c r="T586" s="113">
        <f>+$W$5-Tabla2[[#This Row],[FECHA DE FACTURACIÓN]]</f>
        <v>239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15" t="str">
        <f>+IF(AND(Tabla2[[#This Row],[venc]]="venc",Tabla2[[#This Row],[Columna1]]="por pagar"),"vencida","no")</f>
        <v>no</v>
      </c>
    </row>
    <row r="587" spans="1:23" ht="15.75" x14ac:dyDescent="0.25">
      <c r="A587" s="20">
        <v>30</v>
      </c>
      <c r="B587" s="25">
        <v>0</v>
      </c>
      <c r="C587" s="25"/>
      <c r="D587" s="56" t="s">
        <v>209</v>
      </c>
      <c r="E587" s="66">
        <v>45175</v>
      </c>
      <c r="F587" s="323" t="s">
        <v>31</v>
      </c>
      <c r="G587" s="66">
        <v>45082</v>
      </c>
      <c r="H587" s="35">
        <v>59276</v>
      </c>
      <c r="I587" s="21">
        <v>27072616.5</v>
      </c>
      <c r="J587" s="21"/>
      <c r="K587" s="22">
        <v>0</v>
      </c>
      <c r="L587" s="23"/>
      <c r="M587" s="22">
        <v>0</v>
      </c>
      <c r="N587" s="72">
        <v>0</v>
      </c>
      <c r="O587" s="22">
        <v>0</v>
      </c>
      <c r="P587" s="21">
        <v>27072616.5</v>
      </c>
      <c r="S587" s="101" t="b">
        <f>OR(COUNTIF(Tabla2[[#This Row],[PROVEEDOR]],"*"&amp;'Palabra no opera'!$A$2&amp;"*"))</f>
        <v>0</v>
      </c>
      <c r="T587" s="113">
        <f>+$W$5-Tabla2[[#This Row],[FECHA DE FACTURACIÓN]]</f>
        <v>240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15" t="str">
        <f>+IF(AND(Tabla2[[#This Row],[venc]]="venc",Tabla2[[#This Row],[Columna1]]="por pagar"),"vencida","no")</f>
        <v>no</v>
      </c>
    </row>
    <row r="588" spans="1:23" ht="15.75" x14ac:dyDescent="0.25">
      <c r="A588" s="20">
        <v>30</v>
      </c>
      <c r="B588" s="25">
        <v>0</v>
      </c>
      <c r="C588" s="25"/>
      <c r="D588" s="56" t="s">
        <v>1561</v>
      </c>
      <c r="E588" s="66">
        <v>45174</v>
      </c>
      <c r="F588" s="323" t="s">
        <v>203</v>
      </c>
      <c r="G588" s="66">
        <v>45174</v>
      </c>
      <c r="H588" s="35" t="s">
        <v>1091</v>
      </c>
      <c r="I588" s="21">
        <v>2257000</v>
      </c>
      <c r="J588" s="21"/>
      <c r="K588" s="22">
        <v>0</v>
      </c>
      <c r="L588" s="23"/>
      <c r="M588" s="22">
        <v>0</v>
      </c>
      <c r="N588" s="72">
        <v>0</v>
      </c>
      <c r="O588" s="22">
        <v>0</v>
      </c>
      <c r="P588" s="21">
        <v>2257000</v>
      </c>
      <c r="S588" s="101" t="b">
        <f>OR(COUNTIF(Tabla2[[#This Row],[PROVEEDOR]],"*"&amp;'Palabra no opera'!$A$2&amp;"*"))</f>
        <v>0</v>
      </c>
      <c r="T588" s="113">
        <f>+$W$5-Tabla2[[#This Row],[FECHA DE FACTURACIÓN]]</f>
        <v>148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15" t="str">
        <f>+IF(AND(Tabla2[[#This Row],[venc]]="venc",Tabla2[[#This Row],[Columna1]]="por pagar"),"vencida","no")</f>
        <v>no</v>
      </c>
    </row>
    <row r="589" spans="1:23" ht="15.75" x14ac:dyDescent="0.25">
      <c r="A589" s="20">
        <v>30</v>
      </c>
      <c r="B589" s="25">
        <v>3065837.2199999997</v>
      </c>
      <c r="C589" s="25"/>
      <c r="D589" s="56" t="s">
        <v>169</v>
      </c>
      <c r="E589" s="66">
        <v>45173</v>
      </c>
      <c r="F589" s="323" t="s">
        <v>17</v>
      </c>
      <c r="G589" s="66">
        <v>45134</v>
      </c>
      <c r="H589" s="35" t="s">
        <v>1036</v>
      </c>
      <c r="I589" s="21">
        <v>719000</v>
      </c>
      <c r="J589" s="21"/>
      <c r="K589" s="22">
        <v>0</v>
      </c>
      <c r="L589" s="23"/>
      <c r="M589" s="22">
        <v>0</v>
      </c>
      <c r="N589" s="72">
        <v>0</v>
      </c>
      <c r="O589" s="22">
        <v>0</v>
      </c>
      <c r="P589" s="21">
        <v>719000</v>
      </c>
      <c r="S589" s="101" t="b">
        <f>OR(COUNTIF(Tabla2[[#This Row],[PROVEEDOR]],"*"&amp;'Palabra no opera'!$A$2&amp;"*"))</f>
        <v>0</v>
      </c>
      <c r="T589" s="113">
        <f>+$W$5-Tabla2[[#This Row],[FECHA DE FACTURACIÓN]]</f>
        <v>188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15" t="str">
        <f>+IF(AND(Tabla2[[#This Row],[venc]]="venc",Tabla2[[#This Row],[Columna1]]="por pagar"),"vencida","no")</f>
        <v>no</v>
      </c>
    </row>
    <row r="590" spans="1:23" ht="15.75" x14ac:dyDescent="0.25">
      <c r="A590" s="20">
        <v>30</v>
      </c>
      <c r="B590" s="25">
        <v>3065837.2199999997</v>
      </c>
      <c r="C590" s="25"/>
      <c r="D590" s="56" t="s">
        <v>169</v>
      </c>
      <c r="E590" s="66">
        <v>45173</v>
      </c>
      <c r="F590" s="323" t="s">
        <v>17</v>
      </c>
      <c r="G590" s="66">
        <v>45131</v>
      </c>
      <c r="H590" s="35" t="s">
        <v>959</v>
      </c>
      <c r="I590" s="21">
        <v>1902271</v>
      </c>
      <c r="J590" s="21"/>
      <c r="K590" s="22">
        <v>0</v>
      </c>
      <c r="L590" s="23"/>
      <c r="M590" s="22">
        <v>0</v>
      </c>
      <c r="N590" s="72">
        <v>0</v>
      </c>
      <c r="O590" s="22">
        <v>0</v>
      </c>
      <c r="P590" s="21">
        <v>1902271</v>
      </c>
      <c r="S590" s="101" t="b">
        <f>OR(COUNTIF(Tabla2[[#This Row],[PROVEEDOR]],"*"&amp;'Palabra no opera'!$A$2&amp;"*"))</f>
        <v>0</v>
      </c>
      <c r="T590" s="113">
        <f>+$W$5-Tabla2[[#This Row],[FECHA DE FACTURACIÓN]]</f>
        <v>191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15" t="str">
        <f>+IF(AND(Tabla2[[#This Row],[venc]]="venc",Tabla2[[#This Row],[Columna1]]="por pagar"),"vencida","no")</f>
        <v>no</v>
      </c>
    </row>
    <row r="591" spans="1:23" ht="15.75" x14ac:dyDescent="0.25">
      <c r="A591" s="20">
        <v>30</v>
      </c>
      <c r="B591" s="25">
        <v>3065837.2199999997</v>
      </c>
      <c r="C591" s="25"/>
      <c r="D591" s="56" t="s">
        <v>169</v>
      </c>
      <c r="E591" s="66">
        <v>45173</v>
      </c>
      <c r="F591" s="323" t="s">
        <v>17</v>
      </c>
      <c r="G591" s="66">
        <v>45128</v>
      </c>
      <c r="H591" s="35" t="s">
        <v>960</v>
      </c>
      <c r="I591" s="21">
        <v>230906</v>
      </c>
      <c r="J591" s="21"/>
      <c r="K591" s="22">
        <v>43872.14</v>
      </c>
      <c r="L591" s="23"/>
      <c r="M591" s="22">
        <v>0</v>
      </c>
      <c r="N591" s="72">
        <v>0</v>
      </c>
      <c r="O591" s="22">
        <v>0</v>
      </c>
      <c r="P591" s="21">
        <v>274778.14</v>
      </c>
      <c r="S591" s="101" t="b">
        <f>OR(COUNTIF(Tabla2[[#This Row],[PROVEEDOR]],"*"&amp;'Palabra no opera'!$A$2&amp;"*"))</f>
        <v>0</v>
      </c>
      <c r="T591" s="113">
        <f>+$W$5-Tabla2[[#This Row],[FECHA DE FACTURACIÓN]]</f>
        <v>194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15" t="str">
        <f>+IF(AND(Tabla2[[#This Row],[venc]]="venc",Tabla2[[#This Row],[Columna1]]="por pagar"),"vencida","no")</f>
        <v>no</v>
      </c>
    </row>
    <row r="592" spans="1:23" ht="15.75" x14ac:dyDescent="0.25">
      <c r="A592" s="20">
        <v>30</v>
      </c>
      <c r="B592" s="25">
        <v>3065837.2199999997</v>
      </c>
      <c r="C592" s="25"/>
      <c r="D592" s="56" t="s">
        <v>169</v>
      </c>
      <c r="E592" s="66">
        <v>45173</v>
      </c>
      <c r="F592" s="323" t="s">
        <v>17</v>
      </c>
      <c r="G592" s="66">
        <v>45128</v>
      </c>
      <c r="H592" s="35" t="s">
        <v>961</v>
      </c>
      <c r="I592" s="21">
        <v>458175</v>
      </c>
      <c r="J592" s="21"/>
      <c r="K592" s="22">
        <v>87053.25</v>
      </c>
      <c r="L592" s="23"/>
      <c r="M592" s="22">
        <v>0</v>
      </c>
      <c r="N592" s="72">
        <v>0</v>
      </c>
      <c r="O592" s="22">
        <v>0</v>
      </c>
      <c r="P592" s="21">
        <v>545228.25</v>
      </c>
      <c r="S592" s="101" t="b">
        <f>OR(COUNTIF(Tabla2[[#This Row],[PROVEEDOR]],"*"&amp;'Palabra no opera'!$A$2&amp;"*"))</f>
        <v>0</v>
      </c>
      <c r="T592" s="113">
        <f>+$W$5-Tabla2[[#This Row],[FECHA DE FACTURACIÓN]]</f>
        <v>194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15" t="str">
        <f>+IF(AND(Tabla2[[#This Row],[venc]]="venc",Tabla2[[#This Row],[Columna1]]="por pagar"),"vencida","no")</f>
        <v>no</v>
      </c>
    </row>
    <row r="593" spans="1:23" ht="15.75" x14ac:dyDescent="0.25">
      <c r="A593" s="20">
        <v>30</v>
      </c>
      <c r="B593" s="25">
        <v>0</v>
      </c>
      <c r="C593" s="25"/>
      <c r="D593" s="56" t="s">
        <v>255</v>
      </c>
      <c r="E593" s="66">
        <v>45173</v>
      </c>
      <c r="F593" s="323" t="s">
        <v>248</v>
      </c>
      <c r="G593" s="66">
        <v>45111</v>
      </c>
      <c r="H593" s="35" t="s">
        <v>953</v>
      </c>
      <c r="I593" s="21">
        <v>792936</v>
      </c>
      <c r="J593" s="21"/>
      <c r="K593" s="22">
        <v>150657.84</v>
      </c>
      <c r="L593" s="23"/>
      <c r="M593" s="22">
        <v>0</v>
      </c>
      <c r="N593" s="72">
        <v>0</v>
      </c>
      <c r="O593" s="22">
        <v>0</v>
      </c>
      <c r="P593" s="21">
        <v>943593.84</v>
      </c>
      <c r="S593" s="101" t="b">
        <f>OR(COUNTIF(Tabla2[[#This Row],[PROVEEDOR]],"*"&amp;'Palabra no opera'!$A$2&amp;"*"))</f>
        <v>0</v>
      </c>
      <c r="T593" s="113">
        <f>+$W$5-Tabla2[[#This Row],[FECHA DE FACTURACIÓN]]</f>
        <v>211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15" t="str">
        <f>+IF(AND(Tabla2[[#This Row],[venc]]="venc",Tabla2[[#This Row],[Columna1]]="por pagar"),"vencida","no")</f>
        <v>no</v>
      </c>
    </row>
    <row r="594" spans="1:23" ht="15.75" x14ac:dyDescent="0.25">
      <c r="A594" s="20">
        <v>30</v>
      </c>
      <c r="B594" s="25">
        <v>0</v>
      </c>
      <c r="C594" s="25"/>
      <c r="D594" s="56" t="s">
        <v>255</v>
      </c>
      <c r="E594" s="66">
        <v>45173</v>
      </c>
      <c r="F594" s="323" t="s">
        <v>248</v>
      </c>
      <c r="G594" s="66">
        <v>45111</v>
      </c>
      <c r="H594" s="35" t="s">
        <v>954</v>
      </c>
      <c r="I594" s="21">
        <v>528624</v>
      </c>
      <c r="J594" s="21"/>
      <c r="K594" s="22">
        <v>100438.56</v>
      </c>
      <c r="L594" s="23"/>
      <c r="M594" s="22">
        <v>0</v>
      </c>
      <c r="N594" s="72">
        <v>0</v>
      </c>
      <c r="O594" s="22">
        <v>0</v>
      </c>
      <c r="P594" s="21">
        <v>629062.56000000006</v>
      </c>
      <c r="S594" s="101" t="b">
        <f>OR(COUNTIF(Tabla2[[#This Row],[PROVEEDOR]],"*"&amp;'Palabra no opera'!$A$2&amp;"*"))</f>
        <v>0</v>
      </c>
      <c r="T594" s="113">
        <f>+$W$5-Tabla2[[#This Row],[FECHA DE FACTURACIÓN]]</f>
        <v>211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15" t="str">
        <f>+IF(AND(Tabla2[[#This Row],[venc]]="venc",Tabla2[[#This Row],[Columna1]]="por pagar"),"vencida","no")</f>
        <v>no</v>
      </c>
    </row>
    <row r="595" spans="1:23" ht="15.75" x14ac:dyDescent="0.25">
      <c r="A595" s="20">
        <v>30</v>
      </c>
      <c r="B595" s="25">
        <v>0</v>
      </c>
      <c r="C595" s="25"/>
      <c r="D595" s="56" t="s">
        <v>255</v>
      </c>
      <c r="E595" s="66">
        <v>45173</v>
      </c>
      <c r="F595" s="323" t="s">
        <v>248</v>
      </c>
      <c r="G595" s="66">
        <v>45107</v>
      </c>
      <c r="H595" s="35" t="s">
        <v>918</v>
      </c>
      <c r="I595" s="21">
        <v>1930400</v>
      </c>
      <c r="J595" s="21"/>
      <c r="K595" s="22">
        <v>366776</v>
      </c>
      <c r="L595" s="23"/>
      <c r="M595" s="22">
        <v>0</v>
      </c>
      <c r="N595" s="72">
        <v>0</v>
      </c>
      <c r="O595" s="22">
        <v>0</v>
      </c>
      <c r="P595" s="21">
        <v>2297176</v>
      </c>
      <c r="S595" s="101" t="b">
        <f>OR(COUNTIF(Tabla2[[#This Row],[PROVEEDOR]],"*"&amp;'Palabra no opera'!$A$2&amp;"*"))</f>
        <v>0</v>
      </c>
      <c r="T595" s="113">
        <f>+$W$5-Tabla2[[#This Row],[FECHA DE FACTURACIÓN]]</f>
        <v>215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15" t="str">
        <f>+IF(AND(Tabla2[[#This Row],[venc]]="venc",Tabla2[[#This Row],[Columna1]]="por pagar"),"vencida","no")</f>
        <v>no</v>
      </c>
    </row>
    <row r="596" spans="1:23" ht="15.75" x14ac:dyDescent="0.25">
      <c r="A596" s="20">
        <v>30</v>
      </c>
      <c r="B596" s="25">
        <v>0</v>
      </c>
      <c r="C596" s="25"/>
      <c r="D596" s="56" t="s">
        <v>255</v>
      </c>
      <c r="E596" s="66">
        <v>45173</v>
      </c>
      <c r="F596" s="323" t="s">
        <v>248</v>
      </c>
      <c r="G596" s="66">
        <v>45064</v>
      </c>
      <c r="H596" s="35" t="s">
        <v>1013</v>
      </c>
      <c r="I596" s="21">
        <v>-311718</v>
      </c>
      <c r="J596" s="21"/>
      <c r="K596" s="22">
        <v>-59226.42</v>
      </c>
      <c r="L596" s="23"/>
      <c r="M596" s="22">
        <v>0</v>
      </c>
      <c r="N596" s="72">
        <v>0</v>
      </c>
      <c r="O596" s="22">
        <v>0</v>
      </c>
      <c r="P596" s="21">
        <v>-370944.42</v>
      </c>
      <c r="S596" s="101" t="b">
        <f>OR(COUNTIF(Tabla2[[#This Row],[PROVEEDOR]],"*"&amp;'Palabra no opera'!$A$2&amp;"*"))</f>
        <v>0</v>
      </c>
      <c r="T596" s="113">
        <f>+$W$5-Tabla2[[#This Row],[FECHA DE FACTURACIÓN]]</f>
        <v>258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15" t="str">
        <f>+IF(AND(Tabla2[[#This Row],[venc]]="venc",Tabla2[[#This Row],[Columna1]]="por pagar"),"vencida","no")</f>
        <v>no</v>
      </c>
    </row>
    <row r="597" spans="1:23" ht="15.75" x14ac:dyDescent="0.25">
      <c r="A597" s="20">
        <v>30</v>
      </c>
      <c r="B597" s="25">
        <v>0</v>
      </c>
      <c r="C597" s="25"/>
      <c r="D597" s="56" t="s">
        <v>104</v>
      </c>
      <c r="E597" s="66">
        <v>45171</v>
      </c>
      <c r="F597" s="323" t="s">
        <v>291</v>
      </c>
      <c r="G597" s="66">
        <v>45171</v>
      </c>
      <c r="H597" s="35" t="s">
        <v>1078</v>
      </c>
      <c r="I597" s="21">
        <v>540000</v>
      </c>
      <c r="J597" s="21"/>
      <c r="K597" s="22">
        <v>0</v>
      </c>
      <c r="L597" s="23"/>
      <c r="M597" s="22">
        <v>0</v>
      </c>
      <c r="N597" s="72">
        <v>0</v>
      </c>
      <c r="O597" s="22">
        <v>0</v>
      </c>
      <c r="P597" s="21">
        <v>540000</v>
      </c>
      <c r="S597" s="101" t="b">
        <f>OR(COUNTIF(Tabla2[[#This Row],[PROVEEDOR]],"*"&amp;'Palabra no opera'!$A$2&amp;"*"))</f>
        <v>0</v>
      </c>
      <c r="T597" s="113">
        <f>+$W$5-Tabla2[[#This Row],[FECHA DE FACTURACIÓN]]</f>
        <v>151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15" t="str">
        <f>+IF(AND(Tabla2[[#This Row],[venc]]="venc",Tabla2[[#This Row],[Columna1]]="por pagar"),"vencida","no")</f>
        <v>no</v>
      </c>
    </row>
    <row r="598" spans="1:23" ht="15.75" x14ac:dyDescent="0.25">
      <c r="A598" s="20">
        <v>30</v>
      </c>
      <c r="B598" s="25">
        <v>-2000</v>
      </c>
      <c r="C598" s="25"/>
      <c r="D598" s="56">
        <v>0</v>
      </c>
      <c r="E598" s="66">
        <v>45171</v>
      </c>
      <c r="F598" s="323" t="s">
        <v>881</v>
      </c>
      <c r="G598" s="66">
        <v>45171</v>
      </c>
      <c r="H598" s="35"/>
      <c r="I598" s="21">
        <v>508000</v>
      </c>
      <c r="J598" s="21"/>
      <c r="K598" s="22">
        <v>0</v>
      </c>
      <c r="L598" s="23"/>
      <c r="M598" s="22">
        <v>0</v>
      </c>
      <c r="N598" s="72">
        <v>0</v>
      </c>
      <c r="O598" s="22">
        <v>0</v>
      </c>
      <c r="P598" s="21">
        <v>508000</v>
      </c>
      <c r="S598" s="101" t="b">
        <f>OR(COUNTIF(Tabla2[[#This Row],[PROVEEDOR]],"*"&amp;'Palabra no opera'!$A$2&amp;"*"))</f>
        <v>0</v>
      </c>
      <c r="T598" s="113">
        <f>+$W$5-Tabla2[[#This Row],[FECHA DE FACTURACIÓN]]</f>
        <v>151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15" t="str">
        <f>+IF(AND(Tabla2[[#This Row],[venc]]="venc",Tabla2[[#This Row],[Columna1]]="por pagar"),"vencida","no")</f>
        <v>no</v>
      </c>
    </row>
    <row r="599" spans="1:23" ht="15.75" x14ac:dyDescent="0.25">
      <c r="A599" s="20">
        <v>30</v>
      </c>
      <c r="B599" s="25">
        <v>840000</v>
      </c>
      <c r="C599" s="25"/>
      <c r="D599" s="56">
        <v>0</v>
      </c>
      <c r="E599" s="66">
        <v>45170</v>
      </c>
      <c r="F599" s="323" t="s">
        <v>318</v>
      </c>
      <c r="G599" s="66">
        <v>45161</v>
      </c>
      <c r="H599" s="35">
        <v>396</v>
      </c>
      <c r="I599" s="21">
        <v>756000</v>
      </c>
      <c r="J599" s="21"/>
      <c r="K599" s="22">
        <v>0</v>
      </c>
      <c r="L599" s="23"/>
      <c r="M599" s="22">
        <v>0</v>
      </c>
      <c r="N599" s="72">
        <v>0</v>
      </c>
      <c r="O599" s="22">
        <v>0</v>
      </c>
      <c r="P599" s="21">
        <v>756000</v>
      </c>
      <c r="S599" s="101" t="b">
        <f>OR(COUNTIF(Tabla2[[#This Row],[PROVEEDOR]],"*"&amp;'Palabra no opera'!$A$2&amp;"*"))</f>
        <v>0</v>
      </c>
      <c r="T599" s="113">
        <f>+$W$5-Tabla2[[#This Row],[FECHA DE FACTURACIÓN]]</f>
        <v>161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15" t="str">
        <f>+IF(AND(Tabla2[[#This Row],[venc]]="venc",Tabla2[[#This Row],[Columna1]]="por pagar"),"vencida","no")</f>
        <v>no</v>
      </c>
    </row>
    <row r="600" spans="1:23" ht="15.75" x14ac:dyDescent="0.25">
      <c r="A600" s="20">
        <v>30</v>
      </c>
      <c r="B600" s="25">
        <v>4282200</v>
      </c>
      <c r="C600" s="25"/>
      <c r="D600" s="56" t="s">
        <v>217</v>
      </c>
      <c r="E600" s="66">
        <v>45170</v>
      </c>
      <c r="F600" s="323" t="s">
        <v>312</v>
      </c>
      <c r="G600" s="66">
        <v>45139</v>
      </c>
      <c r="H600" s="35">
        <v>4297</v>
      </c>
      <c r="I600" s="21">
        <v>138000</v>
      </c>
      <c r="J600" s="21"/>
      <c r="K600" s="22">
        <v>0</v>
      </c>
      <c r="L600" s="23"/>
      <c r="M600" s="22">
        <v>0</v>
      </c>
      <c r="N600" s="72">
        <v>0</v>
      </c>
      <c r="O600" s="22">
        <v>0</v>
      </c>
      <c r="P600" s="21">
        <v>138000</v>
      </c>
      <c r="S600" s="101" t="b">
        <f>OR(COUNTIF(Tabla2[[#This Row],[PROVEEDOR]],"*"&amp;'Palabra no opera'!$A$2&amp;"*"))</f>
        <v>0</v>
      </c>
      <c r="T600" s="113">
        <f>+$W$5-Tabla2[[#This Row],[FECHA DE FACTURACIÓN]]</f>
        <v>183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15" t="str">
        <f>+IF(AND(Tabla2[[#This Row],[venc]]="venc",Tabla2[[#This Row],[Columna1]]="por pagar"),"vencida","no")</f>
        <v>no</v>
      </c>
    </row>
    <row r="601" spans="1:23" ht="15.75" x14ac:dyDescent="0.25">
      <c r="A601" s="20">
        <v>30</v>
      </c>
      <c r="B601" s="25">
        <v>0</v>
      </c>
      <c r="C601" s="25"/>
      <c r="D601" s="56" t="s">
        <v>104</v>
      </c>
      <c r="E601" s="66">
        <v>45169</v>
      </c>
      <c r="F601" s="323" t="s">
        <v>279</v>
      </c>
      <c r="G601" s="66">
        <v>45169</v>
      </c>
      <c r="H601" s="35" t="s">
        <v>1079</v>
      </c>
      <c r="I601" s="21">
        <v>60000</v>
      </c>
      <c r="J601" s="21"/>
      <c r="K601" s="22">
        <v>0</v>
      </c>
      <c r="L601" s="23"/>
      <c r="M601" s="22">
        <v>0</v>
      </c>
      <c r="N601" s="72">
        <v>0</v>
      </c>
      <c r="O601" s="22">
        <v>0</v>
      </c>
      <c r="P601" s="21">
        <v>60000</v>
      </c>
      <c r="S601" s="101" t="b">
        <f>OR(COUNTIF(Tabla2[[#This Row],[PROVEEDOR]],"*"&amp;'Palabra no opera'!$A$2&amp;"*"))</f>
        <v>0</v>
      </c>
      <c r="T601" s="113">
        <f>+$W$5-Tabla2[[#This Row],[FECHA DE FACTURACIÓN]]</f>
        <v>153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15" t="str">
        <f>+IF(AND(Tabla2[[#This Row],[venc]]="venc",Tabla2[[#This Row],[Columna1]]="por pagar"),"vencida","no")</f>
        <v>no</v>
      </c>
    </row>
    <row r="602" spans="1:23" ht="15.75" x14ac:dyDescent="0.25">
      <c r="A602" s="20">
        <v>30</v>
      </c>
      <c r="B602" s="25">
        <v>0</v>
      </c>
      <c r="C602" s="25"/>
      <c r="D602" s="56" t="s">
        <v>104</v>
      </c>
      <c r="E602" s="66">
        <v>45169</v>
      </c>
      <c r="F602" s="323" t="s">
        <v>279</v>
      </c>
      <c r="G602" s="66">
        <v>45169</v>
      </c>
      <c r="H602" s="35" t="s">
        <v>517</v>
      </c>
      <c r="I602" s="21">
        <v>1304150</v>
      </c>
      <c r="J602" s="21"/>
      <c r="K602" s="22">
        <v>0</v>
      </c>
      <c r="L602" s="23"/>
      <c r="M602" s="22">
        <v>0</v>
      </c>
      <c r="N602" s="72">
        <v>0</v>
      </c>
      <c r="O602" s="22">
        <v>0</v>
      </c>
      <c r="P602" s="21">
        <v>1304150</v>
      </c>
      <c r="S602" s="101" t="b">
        <f>OR(COUNTIF(Tabla2[[#This Row],[PROVEEDOR]],"*"&amp;'Palabra no opera'!$A$2&amp;"*"))</f>
        <v>0</v>
      </c>
      <c r="T602" s="113">
        <f>+$W$5-Tabla2[[#This Row],[FECHA DE FACTURACIÓN]]</f>
        <v>153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15" t="str">
        <f>+IF(AND(Tabla2[[#This Row],[venc]]="venc",Tabla2[[#This Row],[Columna1]]="por pagar"),"vencida","no")</f>
        <v>no</v>
      </c>
    </row>
    <row r="603" spans="1:23" ht="15.75" x14ac:dyDescent="0.25">
      <c r="A603" s="20">
        <v>30</v>
      </c>
      <c r="B603" s="25">
        <v>0</v>
      </c>
      <c r="C603" s="25"/>
      <c r="D603" s="56" t="s">
        <v>104</v>
      </c>
      <c r="E603" s="66">
        <v>45169</v>
      </c>
      <c r="F603" s="323" t="s">
        <v>279</v>
      </c>
      <c r="G603" s="66">
        <v>45169</v>
      </c>
      <c r="H603" s="35" t="s">
        <v>518</v>
      </c>
      <c r="I603" s="21">
        <v>4238550</v>
      </c>
      <c r="J603" s="21"/>
      <c r="K603" s="22">
        <v>0</v>
      </c>
      <c r="L603" s="23"/>
      <c r="M603" s="22">
        <v>0</v>
      </c>
      <c r="N603" s="72">
        <v>0</v>
      </c>
      <c r="O603" s="22">
        <v>0</v>
      </c>
      <c r="P603" s="21">
        <v>4238550</v>
      </c>
      <c r="S603" s="101" t="b">
        <f>OR(COUNTIF(Tabla2[[#This Row],[PROVEEDOR]],"*"&amp;'Palabra no opera'!$A$2&amp;"*"))</f>
        <v>0</v>
      </c>
      <c r="T603" s="113">
        <f>+$W$5-Tabla2[[#This Row],[FECHA DE FACTURACIÓN]]</f>
        <v>153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15" t="str">
        <f>+IF(AND(Tabla2[[#This Row],[venc]]="venc",Tabla2[[#This Row],[Columna1]]="por pagar"),"vencida","no")</f>
        <v>no</v>
      </c>
    </row>
    <row r="604" spans="1:23" ht="15.75" x14ac:dyDescent="0.25">
      <c r="A604" s="20">
        <v>30</v>
      </c>
      <c r="B604" s="25">
        <v>0</v>
      </c>
      <c r="C604" s="25"/>
      <c r="D604" s="56" t="s">
        <v>104</v>
      </c>
      <c r="E604" s="66">
        <v>45169</v>
      </c>
      <c r="F604" s="323" t="s">
        <v>279</v>
      </c>
      <c r="G604" s="66">
        <v>45169</v>
      </c>
      <c r="H604" s="35" t="s">
        <v>516</v>
      </c>
      <c r="I604" s="21">
        <v>427000</v>
      </c>
      <c r="J604" s="21"/>
      <c r="K604" s="22">
        <v>0</v>
      </c>
      <c r="L604" s="23"/>
      <c r="M604" s="22">
        <v>0</v>
      </c>
      <c r="N604" s="72">
        <v>0</v>
      </c>
      <c r="O604" s="22">
        <v>0</v>
      </c>
      <c r="P604" s="21">
        <v>427000</v>
      </c>
      <c r="S604" s="101" t="b">
        <f>OR(COUNTIF(Tabla2[[#This Row],[PROVEEDOR]],"*"&amp;'Palabra no opera'!$A$2&amp;"*"))</f>
        <v>0</v>
      </c>
      <c r="T604" s="113">
        <f>+$W$5-Tabla2[[#This Row],[FECHA DE FACTURACIÓN]]</f>
        <v>153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15" t="str">
        <f>+IF(AND(Tabla2[[#This Row],[venc]]="venc",Tabla2[[#This Row],[Columna1]]="por pagar"),"vencida","no")</f>
        <v>no</v>
      </c>
    </row>
    <row r="605" spans="1:23" ht="15.75" x14ac:dyDescent="0.25">
      <c r="A605" s="20">
        <v>30</v>
      </c>
      <c r="B605" s="25">
        <v>0</v>
      </c>
      <c r="C605" s="25"/>
      <c r="D605" s="56" t="s">
        <v>104</v>
      </c>
      <c r="E605" s="66">
        <v>45169</v>
      </c>
      <c r="F605" s="323" t="s">
        <v>279</v>
      </c>
      <c r="G605" s="66">
        <v>45169</v>
      </c>
      <c r="H605" s="35" t="s">
        <v>520</v>
      </c>
      <c r="I605" s="21">
        <v>646000</v>
      </c>
      <c r="J605" s="21"/>
      <c r="K605" s="22">
        <v>0</v>
      </c>
      <c r="L605" s="23"/>
      <c r="M605" s="22">
        <v>0</v>
      </c>
      <c r="N605" s="72">
        <v>0</v>
      </c>
      <c r="O605" s="22">
        <v>0</v>
      </c>
      <c r="P605" s="21">
        <v>646000</v>
      </c>
      <c r="S605" s="101" t="b">
        <f>OR(COUNTIF(Tabla2[[#This Row],[PROVEEDOR]],"*"&amp;'Palabra no opera'!$A$2&amp;"*"))</f>
        <v>0</v>
      </c>
      <c r="T605" s="113">
        <f>+$W$5-Tabla2[[#This Row],[FECHA DE FACTURACIÓN]]</f>
        <v>153</v>
      </c>
      <c r="U605" t="str">
        <f>+IF(Tabla2[[#This Row],[dias de credito]]&gt;=Tabla2[[#This Row],[PLAZO Días]],"venc", "No venc")</f>
        <v>venc</v>
      </c>
      <c r="V605" t="str">
        <f>+IF(Tabla2[[#This Row],[FECHA DE PAGO]]&gt;0,"pagada","por pagar")</f>
        <v>pagada</v>
      </c>
      <c r="W605" s="115" t="str">
        <f>+IF(AND(Tabla2[[#This Row],[venc]]="venc",Tabla2[[#This Row],[Columna1]]="por pagar"),"vencida","no")</f>
        <v>no</v>
      </c>
    </row>
    <row r="606" spans="1:23" ht="15.75" x14ac:dyDescent="0.25">
      <c r="A606" s="20">
        <v>30</v>
      </c>
      <c r="B606" s="25">
        <v>0</v>
      </c>
      <c r="C606" s="25"/>
      <c r="D606" s="56" t="s">
        <v>104</v>
      </c>
      <c r="E606" s="66">
        <v>45169</v>
      </c>
      <c r="F606" s="323" t="s">
        <v>279</v>
      </c>
      <c r="G606" s="66">
        <v>45169</v>
      </c>
      <c r="H606" s="35" t="s">
        <v>519</v>
      </c>
      <c r="I606" s="21">
        <v>165300</v>
      </c>
      <c r="J606" s="21"/>
      <c r="K606" s="22">
        <v>0</v>
      </c>
      <c r="L606" s="23"/>
      <c r="M606" s="22">
        <v>0</v>
      </c>
      <c r="N606" s="72">
        <v>0</v>
      </c>
      <c r="O606" s="22">
        <v>0</v>
      </c>
      <c r="P606" s="21">
        <v>165300</v>
      </c>
      <c r="S606" s="101" t="b">
        <f>OR(COUNTIF(Tabla2[[#This Row],[PROVEEDOR]],"*"&amp;'Palabra no opera'!$A$2&amp;"*"))</f>
        <v>0</v>
      </c>
      <c r="T606" s="113">
        <f>+$W$5-Tabla2[[#This Row],[FECHA DE FACTURACIÓN]]</f>
        <v>153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15" t="str">
        <f>+IF(AND(Tabla2[[#This Row],[venc]]="venc",Tabla2[[#This Row],[Columna1]]="por pagar"),"vencida","no")</f>
        <v>no</v>
      </c>
    </row>
    <row r="607" spans="1:23" ht="15.75" x14ac:dyDescent="0.25">
      <c r="A607" s="20">
        <v>30</v>
      </c>
      <c r="B607" s="25">
        <v>0</v>
      </c>
      <c r="C607" s="25"/>
      <c r="D607" s="56" t="s">
        <v>104</v>
      </c>
      <c r="E607" s="66">
        <v>45169</v>
      </c>
      <c r="F607" s="323" t="s">
        <v>279</v>
      </c>
      <c r="G607" s="66">
        <v>45169</v>
      </c>
      <c r="H607" s="35" t="s">
        <v>545</v>
      </c>
      <c r="I607" s="21">
        <v>214000</v>
      </c>
      <c r="J607" s="21"/>
      <c r="K607" s="22">
        <v>0</v>
      </c>
      <c r="L607" s="23"/>
      <c r="M607" s="22">
        <v>0</v>
      </c>
      <c r="N607" s="72">
        <v>0</v>
      </c>
      <c r="O607" s="22">
        <v>0</v>
      </c>
      <c r="P607" s="21">
        <v>214000</v>
      </c>
      <c r="S607" s="101" t="b">
        <f>OR(COUNTIF(Tabla2[[#This Row],[PROVEEDOR]],"*"&amp;'Palabra no opera'!$A$2&amp;"*"))</f>
        <v>0</v>
      </c>
      <c r="T607" s="113">
        <f>+$W$5-Tabla2[[#This Row],[FECHA DE FACTURACIÓN]]</f>
        <v>153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15" t="str">
        <f>+IF(AND(Tabla2[[#This Row],[venc]]="venc",Tabla2[[#This Row],[Columna1]]="por pagar"),"vencida","no")</f>
        <v>no</v>
      </c>
    </row>
    <row r="608" spans="1:23" ht="15.75" x14ac:dyDescent="0.25">
      <c r="A608" s="20">
        <v>30</v>
      </c>
      <c r="B608" s="25">
        <v>0</v>
      </c>
      <c r="C608" s="25"/>
      <c r="D608" s="56">
        <v>0</v>
      </c>
      <c r="E608" s="66">
        <v>45169</v>
      </c>
      <c r="F608" s="323" t="s">
        <v>907</v>
      </c>
      <c r="G608" s="66">
        <v>45169</v>
      </c>
      <c r="H608" s="35">
        <v>5918</v>
      </c>
      <c r="I608" s="21">
        <v>505000</v>
      </c>
      <c r="J608" s="21"/>
      <c r="K608" s="22">
        <v>0</v>
      </c>
      <c r="L608" s="23"/>
      <c r="M608" s="22">
        <v>0</v>
      </c>
      <c r="N608" s="72">
        <v>0</v>
      </c>
      <c r="O608" s="22">
        <v>0</v>
      </c>
      <c r="P608" s="21">
        <v>505000</v>
      </c>
      <c r="S608" s="101" t="b">
        <f>OR(COUNTIF(Tabla2[[#This Row],[PROVEEDOR]],"*"&amp;'Palabra no opera'!$A$2&amp;"*"))</f>
        <v>0</v>
      </c>
      <c r="T608" s="113">
        <f>+$W$5-Tabla2[[#This Row],[FECHA DE FACTURACIÓN]]</f>
        <v>153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15" t="str">
        <f>+IF(AND(Tabla2[[#This Row],[venc]]="venc",Tabla2[[#This Row],[Columna1]]="por pagar"),"vencida","no")</f>
        <v>no</v>
      </c>
    </row>
    <row r="609" spans="1:23" ht="15.75" x14ac:dyDescent="0.25">
      <c r="A609" s="20">
        <v>30</v>
      </c>
      <c r="B609" s="25">
        <v>0</v>
      </c>
      <c r="C609" s="25"/>
      <c r="D609" s="56" t="s">
        <v>104</v>
      </c>
      <c r="E609" s="66">
        <v>45169</v>
      </c>
      <c r="F609" s="323" t="s">
        <v>521</v>
      </c>
      <c r="G609" s="66">
        <v>45168</v>
      </c>
      <c r="H609" s="35" t="s">
        <v>1075</v>
      </c>
      <c r="I609" s="21">
        <v>5655000</v>
      </c>
      <c r="J609" s="21"/>
      <c r="K609" s="22">
        <v>0</v>
      </c>
      <c r="L609" s="23"/>
      <c r="M609" s="22">
        <v>0</v>
      </c>
      <c r="N609" s="72">
        <v>0</v>
      </c>
      <c r="O609" s="22">
        <v>0</v>
      </c>
      <c r="P609" s="21">
        <v>5655000</v>
      </c>
      <c r="S609" s="101" t="b">
        <f>OR(COUNTIF(Tabla2[[#This Row],[PROVEEDOR]],"*"&amp;'Palabra no opera'!$A$2&amp;"*"))</f>
        <v>0</v>
      </c>
      <c r="T609" s="113">
        <f>+$W$5-Tabla2[[#This Row],[FECHA DE FACTURACIÓN]]</f>
        <v>154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15" t="str">
        <f>+IF(AND(Tabla2[[#This Row],[venc]]="venc",Tabla2[[#This Row],[Columna1]]="por pagar"),"vencida","no")</f>
        <v>no</v>
      </c>
    </row>
    <row r="610" spans="1:23" ht="15.75" x14ac:dyDescent="0.25">
      <c r="A610" s="20">
        <v>30</v>
      </c>
      <c r="B610" s="25">
        <v>0</v>
      </c>
      <c r="C610" s="25"/>
      <c r="D610" s="56" t="s">
        <v>1561</v>
      </c>
      <c r="E610" s="66">
        <v>45168</v>
      </c>
      <c r="F610" s="323" t="s">
        <v>203</v>
      </c>
      <c r="G610" s="66">
        <v>45168</v>
      </c>
      <c r="H610" s="35" t="s">
        <v>1090</v>
      </c>
      <c r="I610" s="21">
        <v>1640000</v>
      </c>
      <c r="J610" s="21"/>
      <c r="K610" s="22">
        <v>0</v>
      </c>
      <c r="L610" s="23"/>
      <c r="M610" s="22">
        <v>0</v>
      </c>
      <c r="N610" s="72">
        <v>0</v>
      </c>
      <c r="O610" s="22">
        <v>0</v>
      </c>
      <c r="P610" s="21">
        <v>1640000</v>
      </c>
      <c r="S610" s="101" t="b">
        <f>OR(COUNTIF(Tabla2[[#This Row],[PROVEEDOR]],"*"&amp;'Palabra no opera'!$A$2&amp;"*"))</f>
        <v>0</v>
      </c>
      <c r="T610" s="113">
        <f>+$W$5-Tabla2[[#This Row],[FECHA DE FACTURACIÓN]]</f>
        <v>154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15" t="str">
        <f>+IF(AND(Tabla2[[#This Row],[venc]]="venc",Tabla2[[#This Row],[Columna1]]="por pagar"),"vencida","no")</f>
        <v>no</v>
      </c>
    </row>
    <row r="611" spans="1:23" ht="15.75" x14ac:dyDescent="0.25">
      <c r="A611" s="20">
        <v>30</v>
      </c>
      <c r="B611" s="25">
        <v>0</v>
      </c>
      <c r="C611" s="25"/>
      <c r="D611" s="56" t="s">
        <v>1561</v>
      </c>
      <c r="E611" s="66">
        <v>45168</v>
      </c>
      <c r="F611" s="323" t="s">
        <v>203</v>
      </c>
      <c r="G611" s="66">
        <v>45168</v>
      </c>
      <c r="H611" s="35" t="s">
        <v>1092</v>
      </c>
      <c r="I611" s="21">
        <v>2162000</v>
      </c>
      <c r="J611" s="21"/>
      <c r="K611" s="22">
        <v>0</v>
      </c>
      <c r="L611" s="23"/>
      <c r="M611" s="22">
        <v>0</v>
      </c>
      <c r="N611" s="72">
        <v>0</v>
      </c>
      <c r="O611" s="22">
        <v>0</v>
      </c>
      <c r="P611" s="21">
        <v>2162000</v>
      </c>
      <c r="S611" s="101" t="b">
        <f>OR(COUNTIF(Tabla2[[#This Row],[PROVEEDOR]],"*"&amp;'Palabra no opera'!$A$2&amp;"*"))</f>
        <v>0</v>
      </c>
      <c r="T611" s="113">
        <f>+$W$5-Tabla2[[#This Row],[FECHA DE FACTURACIÓN]]</f>
        <v>154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15" t="str">
        <f>+IF(AND(Tabla2[[#This Row],[venc]]="venc",Tabla2[[#This Row],[Columna1]]="por pagar"),"vencida","no")</f>
        <v>no</v>
      </c>
    </row>
    <row r="612" spans="1:23" ht="15.75" x14ac:dyDescent="0.25">
      <c r="A612" s="20">
        <v>30</v>
      </c>
      <c r="B612" s="25">
        <v>0</v>
      </c>
      <c r="C612" s="25"/>
      <c r="D612" s="56">
        <v>0</v>
      </c>
      <c r="E612" s="66">
        <v>45166</v>
      </c>
      <c r="F612" s="323" t="s">
        <v>234</v>
      </c>
      <c r="G612" s="66">
        <v>45166</v>
      </c>
      <c r="H612" s="35" t="s">
        <v>1043</v>
      </c>
      <c r="I612" s="21">
        <v>2310000</v>
      </c>
      <c r="J612" s="21"/>
      <c r="K612" s="22">
        <v>115500</v>
      </c>
      <c r="L612" s="23"/>
      <c r="M612" s="22">
        <v>0</v>
      </c>
      <c r="N612" s="72">
        <v>2.5000000000000001E-2</v>
      </c>
      <c r="O612" s="22">
        <v>57750</v>
      </c>
      <c r="P612" s="21">
        <v>2367750</v>
      </c>
      <c r="S612" s="101" t="b">
        <f>OR(COUNTIF(Tabla2[[#This Row],[PROVEEDOR]],"*"&amp;'Palabra no opera'!$A$2&amp;"*"))</f>
        <v>0</v>
      </c>
      <c r="T612" s="113">
        <f>+$W$5-Tabla2[[#This Row],[FECHA DE FACTURACIÓN]]</f>
        <v>156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15" t="str">
        <f>+IF(AND(Tabla2[[#This Row],[venc]]="venc",Tabla2[[#This Row],[Columna1]]="por pagar"),"vencida","no")</f>
        <v>no</v>
      </c>
    </row>
    <row r="613" spans="1:23" ht="15.75" x14ac:dyDescent="0.25">
      <c r="A613" s="20">
        <v>30</v>
      </c>
      <c r="B613" s="25">
        <v>0</v>
      </c>
      <c r="C613" s="25"/>
      <c r="D613" s="56">
        <v>0</v>
      </c>
      <c r="E613" s="66">
        <v>45166</v>
      </c>
      <c r="F613" s="323" t="s">
        <v>1063</v>
      </c>
      <c r="G613" s="66">
        <v>45166</v>
      </c>
      <c r="H613" s="35" t="s">
        <v>1062</v>
      </c>
      <c r="I613" s="21">
        <v>1455126</v>
      </c>
      <c r="J613" s="21">
        <v>173160</v>
      </c>
      <c r="K613" s="22">
        <v>243573.54</v>
      </c>
      <c r="L613" s="23"/>
      <c r="M613" s="22">
        <v>0</v>
      </c>
      <c r="N613" s="72">
        <v>2.5000000000000001E-2</v>
      </c>
      <c r="O613" s="22">
        <v>32049.15</v>
      </c>
      <c r="P613" s="21">
        <v>1493490.3900000001</v>
      </c>
      <c r="S613" s="101" t="b">
        <f>OR(COUNTIF(Tabla2[[#This Row],[PROVEEDOR]],"*"&amp;'Palabra no opera'!$A$2&amp;"*"))</f>
        <v>0</v>
      </c>
      <c r="T613" s="113">
        <f>+$W$5-Tabla2[[#This Row],[FECHA DE FACTURACIÓN]]</f>
        <v>156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15" t="str">
        <f>+IF(AND(Tabla2[[#This Row],[venc]]="venc",Tabla2[[#This Row],[Columna1]]="por pagar"),"vencida","no")</f>
        <v>no</v>
      </c>
    </row>
    <row r="614" spans="1:23" ht="15.75" x14ac:dyDescent="0.25">
      <c r="A614" s="20">
        <v>30</v>
      </c>
      <c r="B614" s="25">
        <v>2923945.6174999997</v>
      </c>
      <c r="C614" s="25"/>
      <c r="D614" s="56" t="s">
        <v>1538</v>
      </c>
      <c r="E614" s="66">
        <v>45166</v>
      </c>
      <c r="F614" s="323" t="s">
        <v>1526</v>
      </c>
      <c r="G614" s="66">
        <v>45132</v>
      </c>
      <c r="H614" s="35" t="s">
        <v>984</v>
      </c>
      <c r="I614" s="21">
        <v>1571429</v>
      </c>
      <c r="J614" s="21"/>
      <c r="K614" s="22">
        <v>298571.51</v>
      </c>
      <c r="L614" s="23"/>
      <c r="M614" s="22">
        <v>0</v>
      </c>
      <c r="N614" s="72">
        <v>2.5000000000000001E-2</v>
      </c>
      <c r="O614" s="22">
        <v>39285.724999999999</v>
      </c>
      <c r="P614" s="21">
        <v>1830714.7849999999</v>
      </c>
      <c r="S614" s="101" t="b">
        <f>OR(COUNTIF(Tabla2[[#This Row],[PROVEEDOR]],"*"&amp;'Palabra no opera'!$A$2&amp;"*"))</f>
        <v>0</v>
      </c>
      <c r="T614" s="113">
        <f>+$W$5-Tabla2[[#This Row],[FECHA DE FACTURACIÓN]]</f>
        <v>190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15" t="str">
        <f>+IF(AND(Tabla2[[#This Row],[venc]]="venc",Tabla2[[#This Row],[Columna1]]="por pagar"),"vencida","no")</f>
        <v>no</v>
      </c>
    </row>
    <row r="615" spans="1:23" ht="15.75" x14ac:dyDescent="0.25">
      <c r="A615" s="20">
        <v>30</v>
      </c>
      <c r="B615" s="25">
        <v>12328400</v>
      </c>
      <c r="C615" s="25"/>
      <c r="D615" s="56" t="s">
        <v>171</v>
      </c>
      <c r="E615" s="66">
        <v>45166</v>
      </c>
      <c r="F615" s="323" t="s">
        <v>485</v>
      </c>
      <c r="G615" s="66">
        <v>45124</v>
      </c>
      <c r="H615" s="35" t="s">
        <v>958</v>
      </c>
      <c r="I615" s="21">
        <v>1710000</v>
      </c>
      <c r="J615" s="21"/>
      <c r="K615" s="22">
        <v>324900</v>
      </c>
      <c r="L615" s="23"/>
      <c r="M615" s="22">
        <v>0</v>
      </c>
      <c r="N615" s="72">
        <v>0</v>
      </c>
      <c r="O615" s="22">
        <v>0</v>
      </c>
      <c r="P615" s="21">
        <v>2034900</v>
      </c>
      <c r="S615" s="101" t="b">
        <f>OR(COUNTIF(Tabla2[[#This Row],[PROVEEDOR]],"*"&amp;'Palabra no opera'!$A$2&amp;"*"))</f>
        <v>0</v>
      </c>
      <c r="T615" s="113">
        <f>+$W$5-Tabla2[[#This Row],[FECHA DE FACTURACIÓN]]</f>
        <v>198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15" t="str">
        <f>+IF(AND(Tabla2[[#This Row],[venc]]="venc",Tabla2[[#This Row],[Columna1]]="por pagar"),"vencida","no")</f>
        <v>no</v>
      </c>
    </row>
    <row r="616" spans="1:23" ht="15.75" x14ac:dyDescent="0.25">
      <c r="A616" s="20">
        <v>30</v>
      </c>
      <c r="B616" s="25">
        <v>2923945.6174999997</v>
      </c>
      <c r="C616" s="25"/>
      <c r="D616" s="56" t="s">
        <v>1538</v>
      </c>
      <c r="E616" s="66">
        <v>45166</v>
      </c>
      <c r="F616" s="323" t="s">
        <v>1526</v>
      </c>
      <c r="G616" s="66">
        <v>45121</v>
      </c>
      <c r="H616" s="35" t="s">
        <v>952</v>
      </c>
      <c r="I616" s="21">
        <v>2828983</v>
      </c>
      <c r="J616" s="21"/>
      <c r="K616" s="22">
        <v>537506.77</v>
      </c>
      <c r="L616" s="23"/>
      <c r="M616" s="22">
        <v>0</v>
      </c>
      <c r="N616" s="72">
        <v>2.5000000000000001E-2</v>
      </c>
      <c r="O616" s="22">
        <v>70724.574999999997</v>
      </c>
      <c r="P616" s="21">
        <v>3295765.1949999998</v>
      </c>
      <c r="S616" s="101" t="b">
        <f>OR(COUNTIF(Tabla2[[#This Row],[PROVEEDOR]],"*"&amp;'Palabra no opera'!$A$2&amp;"*"))</f>
        <v>0</v>
      </c>
      <c r="T616" s="113">
        <f>+$W$5-Tabla2[[#This Row],[FECHA DE FACTURACIÓN]]</f>
        <v>201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15" t="str">
        <f>+IF(AND(Tabla2[[#This Row],[venc]]="venc",Tabla2[[#This Row],[Columna1]]="por pagar"),"vencida","no")</f>
        <v>no</v>
      </c>
    </row>
    <row r="617" spans="1:23" ht="15.75" x14ac:dyDescent="0.25">
      <c r="A617" s="20">
        <v>45</v>
      </c>
      <c r="B617" s="25">
        <v>3535656.6</v>
      </c>
      <c r="C617" s="25"/>
      <c r="D617" s="56" t="s">
        <v>390</v>
      </c>
      <c r="E617" s="66">
        <v>45166</v>
      </c>
      <c r="F617" s="323" t="s">
        <v>19</v>
      </c>
      <c r="G617" s="66">
        <v>45118</v>
      </c>
      <c r="H617" s="35" t="s">
        <v>965</v>
      </c>
      <c r="I617" s="21">
        <v>1635783</v>
      </c>
      <c r="J617" s="21"/>
      <c r="K617" s="22">
        <v>310798.77</v>
      </c>
      <c r="L617" s="23"/>
      <c r="M617" s="22">
        <v>0</v>
      </c>
      <c r="N617" s="72">
        <v>0</v>
      </c>
      <c r="O617" s="22">
        <v>0</v>
      </c>
      <c r="P617" s="21">
        <v>1946581.77</v>
      </c>
      <c r="S617" s="101" t="b">
        <f>OR(COUNTIF(Tabla2[[#This Row],[PROVEEDOR]],"*"&amp;'Palabra no opera'!$A$2&amp;"*"))</f>
        <v>0</v>
      </c>
      <c r="T617" s="113">
        <f>+$W$5-Tabla2[[#This Row],[FECHA DE FACTURACIÓN]]</f>
        <v>204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15" t="str">
        <f>+IF(AND(Tabla2[[#This Row],[venc]]="venc",Tabla2[[#This Row],[Columna1]]="por pagar"),"vencida","no")</f>
        <v>no</v>
      </c>
    </row>
    <row r="618" spans="1:23" ht="15.75" x14ac:dyDescent="0.25">
      <c r="A618" s="20">
        <v>45</v>
      </c>
      <c r="B618" s="25">
        <v>3535656.6</v>
      </c>
      <c r="C618" s="25"/>
      <c r="D618" s="56" t="s">
        <v>390</v>
      </c>
      <c r="E618" s="66">
        <v>45166</v>
      </c>
      <c r="F618" s="323" t="s">
        <v>19</v>
      </c>
      <c r="G618" s="66">
        <v>45107</v>
      </c>
      <c r="H618" s="35" t="s">
        <v>927</v>
      </c>
      <c r="I618" s="21">
        <v>7200600</v>
      </c>
      <c r="J618" s="21"/>
      <c r="K618" s="22">
        <v>1368114</v>
      </c>
      <c r="L618" s="23"/>
      <c r="M618" s="22">
        <v>0</v>
      </c>
      <c r="N618" s="72">
        <v>0</v>
      </c>
      <c r="O618" s="22">
        <v>0</v>
      </c>
      <c r="P618" s="21">
        <v>8568714</v>
      </c>
      <c r="S618" s="101" t="b">
        <f>OR(COUNTIF(Tabla2[[#This Row],[PROVEEDOR]],"*"&amp;'Palabra no opera'!$A$2&amp;"*"))</f>
        <v>0</v>
      </c>
      <c r="T618" s="113">
        <f>+$W$5-Tabla2[[#This Row],[FECHA DE FACTURACIÓN]]</f>
        <v>215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15" t="str">
        <f>+IF(AND(Tabla2[[#This Row],[venc]]="venc",Tabla2[[#This Row],[Columna1]]="por pagar"),"vencida","no")</f>
        <v>no</v>
      </c>
    </row>
    <row r="619" spans="1:23" ht="15.75" x14ac:dyDescent="0.25">
      <c r="A619" s="20">
        <v>30</v>
      </c>
      <c r="B619" s="25">
        <v>0</v>
      </c>
      <c r="C619" s="25"/>
      <c r="D619" s="56" t="s">
        <v>104</v>
      </c>
      <c r="E619" s="66">
        <v>45163</v>
      </c>
      <c r="F619" s="323" t="s">
        <v>291</v>
      </c>
      <c r="G619" s="66">
        <v>45163</v>
      </c>
      <c r="H619" s="35" t="s">
        <v>1038</v>
      </c>
      <c r="I619" s="21">
        <v>1280000</v>
      </c>
      <c r="J619" s="21"/>
      <c r="K619" s="22">
        <v>0</v>
      </c>
      <c r="L619" s="23"/>
      <c r="M619" s="22">
        <v>0</v>
      </c>
      <c r="N619" s="72">
        <v>0</v>
      </c>
      <c r="O619" s="22">
        <v>0</v>
      </c>
      <c r="P619" s="21">
        <v>1280000</v>
      </c>
      <c r="S619" s="101" t="b">
        <f>OR(COUNTIF(Tabla2[[#This Row],[PROVEEDOR]],"*"&amp;'Palabra no opera'!$A$2&amp;"*"))</f>
        <v>0</v>
      </c>
      <c r="T619" s="113">
        <f>+$W$5-Tabla2[[#This Row],[FECHA DE FACTURACIÓN]]</f>
        <v>159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15" t="str">
        <f>+IF(AND(Tabla2[[#This Row],[venc]]="venc",Tabla2[[#This Row],[Columna1]]="por pagar"),"vencida","no")</f>
        <v>no</v>
      </c>
    </row>
    <row r="620" spans="1:23" ht="15.75" x14ac:dyDescent="0.25">
      <c r="A620" s="20">
        <v>30</v>
      </c>
      <c r="B620" s="25">
        <v>2190013.0175000001</v>
      </c>
      <c r="C620" s="25"/>
      <c r="D620" s="56" t="s">
        <v>180</v>
      </c>
      <c r="E620" s="66">
        <v>45163</v>
      </c>
      <c r="F620" s="323" t="s">
        <v>491</v>
      </c>
      <c r="G620" s="66">
        <v>45128</v>
      </c>
      <c r="H620" s="35" t="s">
        <v>970</v>
      </c>
      <c r="I620" s="21">
        <v>1369750</v>
      </c>
      <c r="J620" s="21"/>
      <c r="K620" s="22">
        <v>260252.5</v>
      </c>
      <c r="L620" s="23"/>
      <c r="M620" s="22">
        <v>0</v>
      </c>
      <c r="N620" s="72">
        <v>2.5000000000000001E-2</v>
      </c>
      <c r="O620" s="22">
        <v>34243.75</v>
      </c>
      <c r="P620" s="21">
        <v>1595758.75</v>
      </c>
      <c r="S620" s="101" t="b">
        <f>OR(COUNTIF(Tabla2[[#This Row],[PROVEEDOR]],"*"&amp;'Palabra no opera'!$A$2&amp;"*"))</f>
        <v>0</v>
      </c>
      <c r="T620" s="113">
        <f>+$W$5-Tabla2[[#This Row],[FECHA DE FACTURACIÓN]]</f>
        <v>194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15" t="str">
        <f>+IF(AND(Tabla2[[#This Row],[venc]]="venc",Tabla2[[#This Row],[Columna1]]="por pagar"),"vencida","no")</f>
        <v>no</v>
      </c>
    </row>
    <row r="621" spans="1:23" ht="15.75" x14ac:dyDescent="0.25">
      <c r="A621" s="20">
        <v>0</v>
      </c>
      <c r="B621" s="25">
        <v>0</v>
      </c>
      <c r="C621" s="25"/>
      <c r="D621" s="56">
        <v>0</v>
      </c>
      <c r="E621" s="66">
        <v>45162</v>
      </c>
      <c r="F621" s="323" t="s">
        <v>1041</v>
      </c>
      <c r="G621" s="66">
        <v>45162</v>
      </c>
      <c r="H621" s="35" t="s">
        <v>1042</v>
      </c>
      <c r="I621" s="21">
        <v>487395</v>
      </c>
      <c r="J621" s="21"/>
      <c r="K621" s="22">
        <v>92605.05</v>
      </c>
      <c r="L621" s="23"/>
      <c r="M621" s="22">
        <v>0</v>
      </c>
      <c r="N621" s="72">
        <v>0</v>
      </c>
      <c r="O621" s="22">
        <v>0</v>
      </c>
      <c r="P621" s="21">
        <v>580000.05000000005</v>
      </c>
      <c r="S621" s="101" t="b">
        <f>OR(COUNTIF(Tabla2[[#This Row],[PROVEEDOR]],"*"&amp;'Palabra no opera'!$A$2&amp;"*"))</f>
        <v>0</v>
      </c>
      <c r="T621" s="113">
        <f>+$W$5-Tabla2[[#This Row],[FECHA DE FACTURACIÓN]]</f>
        <v>160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15" t="str">
        <f>+IF(AND(Tabla2[[#This Row],[venc]]="venc",Tabla2[[#This Row],[Columna1]]="por pagar"),"vencida","no")</f>
        <v>no</v>
      </c>
    </row>
    <row r="622" spans="1:23" ht="15.75" x14ac:dyDescent="0.25">
      <c r="A622" s="20">
        <v>30</v>
      </c>
      <c r="B622" s="25">
        <v>0</v>
      </c>
      <c r="C622" s="25"/>
      <c r="D622" s="56" t="s">
        <v>449</v>
      </c>
      <c r="E622" s="66">
        <v>45161</v>
      </c>
      <c r="F622" s="323" t="s">
        <v>415</v>
      </c>
      <c r="G622" s="66">
        <v>45139</v>
      </c>
      <c r="H622" s="35" t="s">
        <v>1033</v>
      </c>
      <c r="I622" s="21">
        <v>934363</v>
      </c>
      <c r="J622" s="21"/>
      <c r="K622" s="22">
        <v>0</v>
      </c>
      <c r="L622" s="23"/>
      <c r="M622" s="22">
        <v>0</v>
      </c>
      <c r="N622" s="72">
        <v>0</v>
      </c>
      <c r="O622" s="22">
        <v>0</v>
      </c>
      <c r="P622" s="21">
        <v>934363</v>
      </c>
      <c r="S622" s="101" t="b">
        <f>OR(COUNTIF(Tabla2[[#This Row],[PROVEEDOR]],"*"&amp;'Palabra no opera'!$A$2&amp;"*"))</f>
        <v>1</v>
      </c>
      <c r="T622" s="113">
        <f>+$W$5-Tabla2[[#This Row],[FECHA DE FACTURACIÓN]]</f>
        <v>183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15" t="str">
        <f>+IF(AND(Tabla2[[#This Row],[venc]]="venc",Tabla2[[#This Row],[Columna1]]="por pagar"),"vencida","no")</f>
        <v>no</v>
      </c>
    </row>
    <row r="623" spans="1:23" ht="15.75" x14ac:dyDescent="0.25">
      <c r="A623" s="20">
        <v>30</v>
      </c>
      <c r="B623" s="25">
        <v>0</v>
      </c>
      <c r="C623" s="25"/>
      <c r="D623" s="56" t="s">
        <v>449</v>
      </c>
      <c r="E623" s="66">
        <v>45161</v>
      </c>
      <c r="F623" s="323" t="s">
        <v>415</v>
      </c>
      <c r="G623" s="66">
        <v>45139</v>
      </c>
      <c r="H623" s="35" t="s">
        <v>1034</v>
      </c>
      <c r="I623" s="21">
        <v>914023</v>
      </c>
      <c r="J623" s="21"/>
      <c r="K623" s="22">
        <v>0</v>
      </c>
      <c r="L623" s="23"/>
      <c r="M623" s="22">
        <v>0</v>
      </c>
      <c r="N623" s="72">
        <v>0</v>
      </c>
      <c r="O623" s="22">
        <v>0</v>
      </c>
      <c r="P623" s="21">
        <v>914023</v>
      </c>
      <c r="S623" s="101" t="b">
        <f>OR(COUNTIF(Tabla2[[#This Row],[PROVEEDOR]],"*"&amp;'Palabra no opera'!$A$2&amp;"*"))</f>
        <v>1</v>
      </c>
      <c r="T623" s="113">
        <f>+$W$5-Tabla2[[#This Row],[FECHA DE FACTURACIÓN]]</f>
        <v>183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15" t="str">
        <f>+IF(AND(Tabla2[[#This Row],[venc]]="venc",Tabla2[[#This Row],[Columna1]]="por pagar"),"vencida","no")</f>
        <v>no</v>
      </c>
    </row>
    <row r="624" spans="1:23" ht="15.75" x14ac:dyDescent="0.25">
      <c r="A624" s="20">
        <v>30</v>
      </c>
      <c r="B624" s="25">
        <v>0</v>
      </c>
      <c r="C624" s="25"/>
      <c r="D624" s="56" t="s">
        <v>104</v>
      </c>
      <c r="E624" s="66">
        <v>45160</v>
      </c>
      <c r="F624" s="323" t="s">
        <v>279</v>
      </c>
      <c r="G624" s="66">
        <v>45160</v>
      </c>
      <c r="H624" s="35" t="s">
        <v>1039</v>
      </c>
      <c r="I624" s="21">
        <v>70000</v>
      </c>
      <c r="J624" s="21"/>
      <c r="K624" s="22">
        <v>0</v>
      </c>
      <c r="L624" s="23"/>
      <c r="M624" s="22">
        <v>0</v>
      </c>
      <c r="N624" s="72">
        <v>0</v>
      </c>
      <c r="O624" s="22">
        <v>0</v>
      </c>
      <c r="P624" s="21">
        <v>70000</v>
      </c>
      <c r="S624" s="101" t="b">
        <f>OR(COUNTIF(Tabla2[[#This Row],[PROVEEDOR]],"*"&amp;'Palabra no opera'!$A$2&amp;"*"))</f>
        <v>0</v>
      </c>
      <c r="T624" s="113">
        <f>+$W$5-Tabla2[[#This Row],[FECHA DE FACTURACIÓN]]</f>
        <v>162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15" t="str">
        <f>+IF(AND(Tabla2[[#This Row],[venc]]="venc",Tabla2[[#This Row],[Columna1]]="por pagar"),"vencida","no")</f>
        <v>no</v>
      </c>
    </row>
    <row r="625" spans="1:23" ht="15.75" x14ac:dyDescent="0.25">
      <c r="A625" s="20">
        <v>30</v>
      </c>
      <c r="B625" s="25">
        <v>0</v>
      </c>
      <c r="C625" s="25"/>
      <c r="D625" s="56" t="s">
        <v>233</v>
      </c>
      <c r="E625" s="66">
        <v>45160</v>
      </c>
      <c r="F625" s="323" t="s">
        <v>413</v>
      </c>
      <c r="G625" s="66">
        <v>45148</v>
      </c>
      <c r="H625" s="35" t="s">
        <v>1031</v>
      </c>
      <c r="I625" s="21">
        <v>3456200</v>
      </c>
      <c r="J625" s="21"/>
      <c r="K625" s="22">
        <v>0</v>
      </c>
      <c r="L625" s="23"/>
      <c r="M625" s="22">
        <v>0</v>
      </c>
      <c r="N625" s="72">
        <v>3.5000000000000003E-2</v>
      </c>
      <c r="O625" s="22">
        <v>120967.00000000001</v>
      </c>
      <c r="P625" s="21">
        <v>3335233</v>
      </c>
      <c r="S625" s="101" t="b">
        <f>OR(COUNTIF(Tabla2[[#This Row],[PROVEEDOR]],"*"&amp;'Palabra no opera'!$A$2&amp;"*"))</f>
        <v>1</v>
      </c>
      <c r="T625" s="113">
        <f>+$W$5-Tabla2[[#This Row],[FECHA DE FACTURACIÓN]]</f>
        <v>174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15" t="str">
        <f>+IF(AND(Tabla2[[#This Row],[venc]]="venc",Tabla2[[#This Row],[Columna1]]="por pagar"),"vencida","no")</f>
        <v>no</v>
      </c>
    </row>
    <row r="626" spans="1:23" ht="15.75" x14ac:dyDescent="0.25">
      <c r="A626" s="20">
        <v>30</v>
      </c>
      <c r="B626" s="25">
        <v>3436655.6310000001</v>
      </c>
      <c r="C626" s="25"/>
      <c r="D626" s="56" t="s">
        <v>444</v>
      </c>
      <c r="E626" s="66">
        <v>45160</v>
      </c>
      <c r="F626" s="323" t="s">
        <v>32</v>
      </c>
      <c r="G626" s="66">
        <v>45100</v>
      </c>
      <c r="H626" s="35" t="s">
        <v>925</v>
      </c>
      <c r="I626" s="21">
        <v>1119664</v>
      </c>
      <c r="J626" s="21"/>
      <c r="K626" s="22">
        <v>212736.16</v>
      </c>
      <c r="L626" s="23"/>
      <c r="M626" s="22">
        <v>0</v>
      </c>
      <c r="N626" s="72">
        <v>0</v>
      </c>
      <c r="O626" s="22">
        <v>0</v>
      </c>
      <c r="P626" s="21">
        <v>1332400.1599999999</v>
      </c>
      <c r="S626" s="101" t="b">
        <f>OR(COUNTIF(Tabla2[[#This Row],[PROVEEDOR]],"*"&amp;'Palabra no opera'!$A$2&amp;"*"))</f>
        <v>0</v>
      </c>
      <c r="T626" s="113">
        <f>+$W$5-Tabla2[[#This Row],[FECHA DE FACTURACIÓN]]</f>
        <v>222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15" t="str">
        <f>+IF(AND(Tabla2[[#This Row],[venc]]="venc",Tabla2[[#This Row],[Columna1]]="por pagar"),"vencida","no")</f>
        <v>no</v>
      </c>
    </row>
    <row r="627" spans="1:23" ht="15.75" x14ac:dyDescent="0.25">
      <c r="A627" s="20">
        <v>30</v>
      </c>
      <c r="B627" s="25">
        <v>0</v>
      </c>
      <c r="C627" s="25"/>
      <c r="D627" s="56" t="s">
        <v>104</v>
      </c>
      <c r="E627" s="66">
        <v>45157</v>
      </c>
      <c r="F627" s="323" t="s">
        <v>279</v>
      </c>
      <c r="G627" s="66">
        <v>45157</v>
      </c>
      <c r="H627" s="35" t="s">
        <v>1040</v>
      </c>
      <c r="I627" s="21">
        <v>50000</v>
      </c>
      <c r="J627" s="21"/>
      <c r="K627" s="22">
        <v>0</v>
      </c>
      <c r="L627" s="23"/>
      <c r="M627" s="22">
        <v>0</v>
      </c>
      <c r="N627" s="72">
        <v>0</v>
      </c>
      <c r="O627" s="22">
        <v>0</v>
      </c>
      <c r="P627" s="21">
        <v>50000</v>
      </c>
      <c r="S627" s="101" t="b">
        <f>OR(COUNTIF(Tabla2[[#This Row],[PROVEEDOR]],"*"&amp;'Palabra no opera'!$A$2&amp;"*"))</f>
        <v>0</v>
      </c>
      <c r="T627" s="113">
        <f>+$W$5-Tabla2[[#This Row],[FECHA DE FACTURACIÓN]]</f>
        <v>165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15" t="str">
        <f>+IF(AND(Tabla2[[#This Row],[venc]]="venc",Tabla2[[#This Row],[Columna1]]="por pagar"),"vencida","no")</f>
        <v>no</v>
      </c>
    </row>
    <row r="628" spans="1:23" ht="15.75" x14ac:dyDescent="0.25">
      <c r="A628" s="20">
        <v>30</v>
      </c>
      <c r="B628" s="25">
        <v>0</v>
      </c>
      <c r="C628" s="25"/>
      <c r="D628" s="56" t="s">
        <v>104</v>
      </c>
      <c r="E628" s="66">
        <v>45156</v>
      </c>
      <c r="F628" s="323" t="s">
        <v>37</v>
      </c>
      <c r="G628" s="66">
        <v>45156</v>
      </c>
      <c r="H628" s="35" t="s">
        <v>1046</v>
      </c>
      <c r="I628" s="21">
        <v>18513</v>
      </c>
      <c r="J628" s="21"/>
      <c r="K628" s="22">
        <v>3517.4700000000003</v>
      </c>
      <c r="L628" s="23"/>
      <c r="M628" s="22">
        <v>0</v>
      </c>
      <c r="N628" s="72">
        <v>0</v>
      </c>
      <c r="O628" s="22">
        <v>0</v>
      </c>
      <c r="P628" s="21">
        <v>22030.47</v>
      </c>
      <c r="S628" s="101" t="b">
        <f>OR(COUNTIF(Tabla2[[#This Row],[PROVEEDOR]],"*"&amp;'Palabra no opera'!$A$2&amp;"*"))</f>
        <v>0</v>
      </c>
      <c r="T628" s="113">
        <f>+$W$5-Tabla2[[#This Row],[FECHA DE FACTURACIÓN]]</f>
        <v>166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15" t="str">
        <f>+IF(AND(Tabla2[[#This Row],[venc]]="venc",Tabla2[[#This Row],[Columna1]]="por pagar"),"vencida","no")</f>
        <v>no</v>
      </c>
    </row>
    <row r="629" spans="1:23" ht="15.75" x14ac:dyDescent="0.25">
      <c r="A629" s="20">
        <v>30</v>
      </c>
      <c r="B629" s="25">
        <v>0</v>
      </c>
      <c r="C629" s="25"/>
      <c r="D629" s="56" t="s">
        <v>300</v>
      </c>
      <c r="E629" s="66">
        <v>45156</v>
      </c>
      <c r="F629" s="323" t="s">
        <v>409</v>
      </c>
      <c r="G629" s="66">
        <v>45139</v>
      </c>
      <c r="H629" s="35" t="s">
        <v>1025</v>
      </c>
      <c r="I629" s="21">
        <v>318603</v>
      </c>
      <c r="J629" s="21">
        <v>9545</v>
      </c>
      <c r="K629" s="22">
        <v>0</v>
      </c>
      <c r="L629" s="23"/>
      <c r="M629" s="22">
        <v>0</v>
      </c>
      <c r="N629" s="72">
        <v>0</v>
      </c>
      <c r="O629" s="22">
        <v>0</v>
      </c>
      <c r="P629" s="21">
        <v>309058</v>
      </c>
      <c r="S629" s="101" t="b">
        <f>OR(COUNTIF(Tabla2[[#This Row],[PROVEEDOR]],"*"&amp;'Palabra no opera'!$A$2&amp;"*"))</f>
        <v>1</v>
      </c>
      <c r="T629" s="113">
        <f>+$W$5-Tabla2[[#This Row],[FECHA DE FACTURACIÓN]]</f>
        <v>183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15" t="str">
        <f>+IF(AND(Tabla2[[#This Row],[venc]]="venc",Tabla2[[#This Row],[Columna1]]="por pagar"),"vencida","no")</f>
        <v>no</v>
      </c>
    </row>
    <row r="630" spans="1:23" ht="15.75" x14ac:dyDescent="0.25">
      <c r="A630" s="20">
        <v>30</v>
      </c>
      <c r="B630" s="25">
        <v>0</v>
      </c>
      <c r="C630" s="25"/>
      <c r="D630" s="56" t="s">
        <v>104</v>
      </c>
      <c r="E630" s="66">
        <v>45155</v>
      </c>
      <c r="F630" s="323" t="s">
        <v>23</v>
      </c>
      <c r="G630" s="66">
        <v>45147</v>
      </c>
      <c r="H630" s="35">
        <v>90105</v>
      </c>
      <c r="I630" s="21">
        <v>50292956.899999999</v>
      </c>
      <c r="J630" s="21"/>
      <c r="K630" s="22">
        <v>0</v>
      </c>
      <c r="L630" s="23"/>
      <c r="M630" s="22">
        <v>0</v>
      </c>
      <c r="N630" s="72">
        <v>0</v>
      </c>
      <c r="O630" s="22">
        <v>0</v>
      </c>
      <c r="P630" s="21">
        <v>50292956.899999999</v>
      </c>
      <c r="S630" s="101" t="b">
        <f>OR(COUNTIF(Tabla2[[#This Row],[PROVEEDOR]],"*"&amp;'Palabra no opera'!$A$2&amp;"*"))</f>
        <v>0</v>
      </c>
      <c r="T630" s="113">
        <f>+$W$5-Tabla2[[#This Row],[FECHA DE FACTURACIÓN]]</f>
        <v>175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15" t="str">
        <f>+IF(AND(Tabla2[[#This Row],[venc]]="venc",Tabla2[[#This Row],[Columna1]]="por pagar"),"vencida","no")</f>
        <v>no</v>
      </c>
    </row>
    <row r="631" spans="1:23" ht="15.75" x14ac:dyDescent="0.25">
      <c r="A631" s="20">
        <v>30</v>
      </c>
      <c r="B631" s="25">
        <v>0</v>
      </c>
      <c r="C631" s="25"/>
      <c r="D631" s="56">
        <v>0</v>
      </c>
      <c r="E631" s="66">
        <v>45154</v>
      </c>
      <c r="F631" s="323" t="s">
        <v>944</v>
      </c>
      <c r="G631" s="66">
        <v>45154</v>
      </c>
      <c r="H631" s="35" t="s">
        <v>1080</v>
      </c>
      <c r="I631" s="21">
        <v>216800</v>
      </c>
      <c r="J631" s="21"/>
      <c r="K631" s="22">
        <v>0</v>
      </c>
      <c r="L631" s="23"/>
      <c r="M631" s="22">
        <v>0</v>
      </c>
      <c r="N631" s="72">
        <v>0</v>
      </c>
      <c r="O631" s="22">
        <v>0</v>
      </c>
      <c r="P631" s="21">
        <v>216800</v>
      </c>
      <c r="S631" s="101" t="b">
        <f>OR(COUNTIF(Tabla2[[#This Row],[PROVEEDOR]],"*"&amp;'Palabra no opera'!$A$2&amp;"*"))</f>
        <v>0</v>
      </c>
      <c r="T631" s="113">
        <f>+$W$5-Tabla2[[#This Row],[FECHA DE FACTURACIÓN]]</f>
        <v>168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15" t="str">
        <f>+IF(AND(Tabla2[[#This Row],[venc]]="venc",Tabla2[[#This Row],[Columna1]]="por pagar"),"vencida","no")</f>
        <v>no</v>
      </c>
    </row>
    <row r="632" spans="1:23" ht="15.75" x14ac:dyDescent="0.25">
      <c r="A632" s="20">
        <v>30</v>
      </c>
      <c r="B632" s="25">
        <v>0</v>
      </c>
      <c r="C632" s="25"/>
      <c r="D632" s="56" t="s">
        <v>1508</v>
      </c>
      <c r="E632" s="66">
        <v>45154</v>
      </c>
      <c r="F632" s="323" t="s">
        <v>406</v>
      </c>
      <c r="G632" s="66">
        <v>45140</v>
      </c>
      <c r="H632" s="35" t="s">
        <v>1023</v>
      </c>
      <c r="I632" s="21">
        <v>1840056</v>
      </c>
      <c r="J632" s="21"/>
      <c r="K632" s="22">
        <v>0</v>
      </c>
      <c r="L632" s="23"/>
      <c r="M632" s="22">
        <v>105097</v>
      </c>
      <c r="N632" s="72">
        <v>0</v>
      </c>
      <c r="O632" s="22">
        <v>0</v>
      </c>
      <c r="P632" s="21">
        <v>1734959</v>
      </c>
      <c r="S632" s="101" t="b">
        <f>OR(COUNTIF(Tabla2[[#This Row],[PROVEEDOR]],"*"&amp;'Palabra no opera'!$A$2&amp;"*"))</f>
        <v>1</v>
      </c>
      <c r="T632" s="113">
        <f>+$W$5-Tabla2[[#This Row],[FECHA DE FACTURACIÓN]]</f>
        <v>182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15" t="str">
        <f>+IF(AND(Tabla2[[#This Row],[venc]]="venc",Tabla2[[#This Row],[Columna1]]="por pagar"),"vencida","no")</f>
        <v>no</v>
      </c>
    </row>
    <row r="633" spans="1:23" ht="15.75" x14ac:dyDescent="0.25">
      <c r="A633" s="20">
        <v>30</v>
      </c>
      <c r="B633" s="25">
        <v>0</v>
      </c>
      <c r="C633" s="25"/>
      <c r="D633" s="56" t="s">
        <v>174</v>
      </c>
      <c r="E633" s="66">
        <v>45154</v>
      </c>
      <c r="F633" s="323" t="s">
        <v>427</v>
      </c>
      <c r="G633" s="66">
        <v>45139</v>
      </c>
      <c r="H633" s="35" t="s">
        <v>1085</v>
      </c>
      <c r="I633" s="21">
        <v>243611</v>
      </c>
      <c r="J633" s="21"/>
      <c r="K633" s="22">
        <v>46286.090000000004</v>
      </c>
      <c r="L633" s="23"/>
      <c r="M633" s="22">
        <v>0</v>
      </c>
      <c r="N633" s="72">
        <v>3.5000000000000003E-2</v>
      </c>
      <c r="O633" s="22">
        <v>8526.3850000000002</v>
      </c>
      <c r="P633" s="21">
        <v>281370.70500000002</v>
      </c>
      <c r="S633" s="101" t="b">
        <f>OR(COUNTIF(Tabla2[[#This Row],[PROVEEDOR]],"*"&amp;'Palabra no opera'!$A$2&amp;"*"))</f>
        <v>1</v>
      </c>
      <c r="T633" s="113">
        <f>+$W$5-Tabla2[[#This Row],[FECHA DE FACTURACIÓN]]</f>
        <v>183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15" t="str">
        <f>+IF(AND(Tabla2[[#This Row],[venc]]="venc",Tabla2[[#This Row],[Columna1]]="por pagar"),"vencida","no")</f>
        <v>no</v>
      </c>
    </row>
    <row r="634" spans="1:23" ht="15.75" x14ac:dyDescent="0.25">
      <c r="A634" s="20">
        <v>0</v>
      </c>
      <c r="B634" s="25">
        <v>0</v>
      </c>
      <c r="C634" s="25"/>
      <c r="D634" s="56">
        <v>0</v>
      </c>
      <c r="E634" s="66">
        <v>45153</v>
      </c>
      <c r="F634" s="323" t="s">
        <v>1022</v>
      </c>
      <c r="G634" s="66">
        <v>45153</v>
      </c>
      <c r="H634" s="35">
        <v>471</v>
      </c>
      <c r="I634" s="21">
        <v>234000</v>
      </c>
      <c r="J634" s="21"/>
      <c r="K634" s="22">
        <v>44460</v>
      </c>
      <c r="L634" s="23"/>
      <c r="M634" s="22">
        <v>0</v>
      </c>
      <c r="N634" s="72">
        <v>0</v>
      </c>
      <c r="O634" s="22">
        <v>0</v>
      </c>
      <c r="P634" s="21">
        <v>278460</v>
      </c>
      <c r="S634" s="101" t="b">
        <f>OR(COUNTIF(Tabla2[[#This Row],[PROVEEDOR]],"*"&amp;'Palabra no opera'!$A$2&amp;"*"))</f>
        <v>0</v>
      </c>
      <c r="T634" s="113">
        <f>+$W$5-Tabla2[[#This Row],[FECHA DE FACTURACIÓN]]</f>
        <v>169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15" t="str">
        <f>+IF(AND(Tabla2[[#This Row],[venc]]="venc",Tabla2[[#This Row],[Columna1]]="por pagar"),"vencida","no")</f>
        <v>no</v>
      </c>
    </row>
    <row r="635" spans="1:23" ht="15.75" x14ac:dyDescent="0.25">
      <c r="A635" s="20">
        <v>60</v>
      </c>
      <c r="B635" s="25">
        <v>3708614</v>
      </c>
      <c r="C635" s="25"/>
      <c r="D635" s="56" t="s">
        <v>645</v>
      </c>
      <c r="E635" s="66">
        <v>45152</v>
      </c>
      <c r="F635" s="323" t="s">
        <v>250</v>
      </c>
      <c r="G635" s="66">
        <v>45207</v>
      </c>
      <c r="H635" s="35">
        <v>1755</v>
      </c>
      <c r="I635" s="21">
        <v>199200</v>
      </c>
      <c r="J635" s="21"/>
      <c r="K635" s="22">
        <v>0</v>
      </c>
      <c r="L635" s="23"/>
      <c r="M635" s="22">
        <v>0</v>
      </c>
      <c r="N635" s="72">
        <v>0</v>
      </c>
      <c r="O635" s="22">
        <v>0</v>
      </c>
      <c r="P635" s="21">
        <v>199200</v>
      </c>
      <c r="S635" s="101" t="b">
        <f>OR(COUNTIF(Tabla2[[#This Row],[PROVEEDOR]],"*"&amp;'Palabra no opera'!$A$2&amp;"*"))</f>
        <v>0</v>
      </c>
      <c r="T635" s="113">
        <f>+$W$5-Tabla2[[#This Row],[FECHA DE FACTURACIÓN]]</f>
        <v>115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15" t="str">
        <f>+IF(AND(Tabla2[[#This Row],[venc]]="venc",Tabla2[[#This Row],[Columna1]]="por pagar"),"vencida","no")</f>
        <v>no</v>
      </c>
    </row>
    <row r="636" spans="1:23" ht="15.75" x14ac:dyDescent="0.25">
      <c r="A636" s="20">
        <v>60</v>
      </c>
      <c r="B636" s="25">
        <v>3708614</v>
      </c>
      <c r="C636" s="25"/>
      <c r="D636" s="56" t="s">
        <v>645</v>
      </c>
      <c r="E636" s="66">
        <v>45152</v>
      </c>
      <c r="F636" s="323" t="s">
        <v>250</v>
      </c>
      <c r="G636" s="66">
        <v>45207</v>
      </c>
      <c r="H636" s="35">
        <v>1756</v>
      </c>
      <c r="I636" s="21">
        <v>166000</v>
      </c>
      <c r="J636" s="21"/>
      <c r="K636" s="22">
        <v>0</v>
      </c>
      <c r="L636" s="23"/>
      <c r="M636" s="22">
        <v>0</v>
      </c>
      <c r="N636" s="72">
        <v>0</v>
      </c>
      <c r="O636" s="22">
        <v>0</v>
      </c>
      <c r="P636" s="21">
        <v>166000</v>
      </c>
      <c r="S636" s="101" t="b">
        <f>OR(COUNTIF(Tabla2[[#This Row],[PROVEEDOR]],"*"&amp;'Palabra no opera'!$A$2&amp;"*"))</f>
        <v>0</v>
      </c>
      <c r="T636" s="113">
        <f>+$W$5-Tabla2[[#This Row],[FECHA DE FACTURACIÓN]]</f>
        <v>115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15" t="str">
        <f>+IF(AND(Tabla2[[#This Row],[venc]]="venc",Tabla2[[#This Row],[Columna1]]="por pagar"),"vencida","no")</f>
        <v>no</v>
      </c>
    </row>
    <row r="637" spans="1:23" ht="15.75" x14ac:dyDescent="0.25">
      <c r="A637" s="20">
        <v>60</v>
      </c>
      <c r="B637" s="25">
        <v>3708614</v>
      </c>
      <c r="C637" s="25"/>
      <c r="D637" s="56" t="s">
        <v>645</v>
      </c>
      <c r="E637" s="66">
        <v>45152</v>
      </c>
      <c r="F637" s="323" t="s">
        <v>250</v>
      </c>
      <c r="G637" s="66">
        <v>45207</v>
      </c>
      <c r="H637" s="35">
        <v>1757</v>
      </c>
      <c r="I637" s="21">
        <v>166000</v>
      </c>
      <c r="J637" s="21"/>
      <c r="K637" s="22">
        <v>0</v>
      </c>
      <c r="L637" s="23"/>
      <c r="M637" s="22">
        <v>0</v>
      </c>
      <c r="N637" s="72">
        <v>0</v>
      </c>
      <c r="O637" s="22">
        <v>0</v>
      </c>
      <c r="P637" s="21">
        <v>166000</v>
      </c>
      <c r="S637" s="101" t="b">
        <f>OR(COUNTIF(Tabla2[[#This Row],[PROVEEDOR]],"*"&amp;'Palabra no opera'!$A$2&amp;"*"))</f>
        <v>0</v>
      </c>
      <c r="T637" s="113">
        <f>+$W$5-Tabla2[[#This Row],[FECHA DE FACTURACIÓN]]</f>
        <v>115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15" t="str">
        <f>+IF(AND(Tabla2[[#This Row],[venc]]="venc",Tabla2[[#This Row],[Columna1]]="por pagar"),"vencida","no")</f>
        <v>no</v>
      </c>
    </row>
    <row r="638" spans="1:23" ht="15.75" x14ac:dyDescent="0.25">
      <c r="A638" s="20">
        <v>60</v>
      </c>
      <c r="B638" s="25">
        <v>3708614</v>
      </c>
      <c r="C638" s="25"/>
      <c r="D638" s="56" t="s">
        <v>645</v>
      </c>
      <c r="E638" s="66">
        <v>45152</v>
      </c>
      <c r="F638" s="323" t="s">
        <v>250</v>
      </c>
      <c r="G638" s="66">
        <v>45207</v>
      </c>
      <c r="H638" s="35">
        <v>1758</v>
      </c>
      <c r="I638" s="21">
        <v>166000</v>
      </c>
      <c r="J638" s="21"/>
      <c r="K638" s="22">
        <v>0</v>
      </c>
      <c r="L638" s="23"/>
      <c r="M638" s="22">
        <v>0</v>
      </c>
      <c r="N638" s="72">
        <v>0</v>
      </c>
      <c r="O638" s="22">
        <v>0</v>
      </c>
      <c r="P638" s="21">
        <v>166000</v>
      </c>
      <c r="S638" s="101" t="b">
        <f>OR(COUNTIF(Tabla2[[#This Row],[PROVEEDOR]],"*"&amp;'Palabra no opera'!$A$2&amp;"*"))</f>
        <v>0</v>
      </c>
      <c r="T638" s="113">
        <f>+$W$5-Tabla2[[#This Row],[FECHA DE FACTURACIÓN]]</f>
        <v>115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15" t="str">
        <f>+IF(AND(Tabla2[[#This Row],[venc]]="venc",Tabla2[[#This Row],[Columna1]]="por pagar"),"vencida","no")</f>
        <v>no</v>
      </c>
    </row>
    <row r="639" spans="1:23" ht="15.75" x14ac:dyDescent="0.25">
      <c r="A639" s="20">
        <v>60</v>
      </c>
      <c r="B639" s="25">
        <v>3708614</v>
      </c>
      <c r="C639" s="25"/>
      <c r="D639" s="56" t="s">
        <v>645</v>
      </c>
      <c r="E639" s="66">
        <v>45152</v>
      </c>
      <c r="F639" s="323" t="s">
        <v>250</v>
      </c>
      <c r="G639" s="66">
        <v>45207</v>
      </c>
      <c r="H639" s="35">
        <v>1759</v>
      </c>
      <c r="I639" s="21">
        <v>166000</v>
      </c>
      <c r="J639" s="21"/>
      <c r="K639" s="22">
        <v>0</v>
      </c>
      <c r="L639" s="23"/>
      <c r="M639" s="22">
        <v>0</v>
      </c>
      <c r="N639" s="72">
        <v>0</v>
      </c>
      <c r="O639" s="22">
        <v>0</v>
      </c>
      <c r="P639" s="21">
        <v>166000</v>
      </c>
      <c r="S639" s="101" t="b">
        <f>OR(COUNTIF(Tabla2[[#This Row],[PROVEEDOR]],"*"&amp;'Palabra no opera'!$A$2&amp;"*"))</f>
        <v>0</v>
      </c>
      <c r="T639" s="113">
        <f>+$W$5-Tabla2[[#This Row],[FECHA DE FACTURACIÓN]]</f>
        <v>115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15" t="str">
        <f>+IF(AND(Tabla2[[#This Row],[venc]]="venc",Tabla2[[#This Row],[Columna1]]="por pagar"),"vencida","no")</f>
        <v>no</v>
      </c>
    </row>
    <row r="640" spans="1:23" ht="15.75" x14ac:dyDescent="0.25">
      <c r="A640" s="20">
        <v>60</v>
      </c>
      <c r="B640" s="25">
        <v>3708614</v>
      </c>
      <c r="C640" s="25"/>
      <c r="D640" s="56" t="s">
        <v>645</v>
      </c>
      <c r="E640" s="66">
        <v>45152</v>
      </c>
      <c r="F640" s="323" t="s">
        <v>250</v>
      </c>
      <c r="G640" s="66">
        <v>45207</v>
      </c>
      <c r="H640" s="35">
        <v>1760</v>
      </c>
      <c r="I640" s="21">
        <v>166000</v>
      </c>
      <c r="J640" s="21"/>
      <c r="K640" s="22">
        <v>0</v>
      </c>
      <c r="L640" s="23"/>
      <c r="M640" s="22">
        <v>0</v>
      </c>
      <c r="N640" s="72">
        <v>0</v>
      </c>
      <c r="O640" s="22">
        <v>0</v>
      </c>
      <c r="P640" s="21">
        <v>166000</v>
      </c>
      <c r="S640" s="101" t="b">
        <f>OR(COUNTIF(Tabla2[[#This Row],[PROVEEDOR]],"*"&amp;'Palabra no opera'!$A$2&amp;"*"))</f>
        <v>0</v>
      </c>
      <c r="T640" s="113">
        <f>+$W$5-Tabla2[[#This Row],[FECHA DE FACTURACIÓN]]</f>
        <v>115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15" t="str">
        <f>+IF(AND(Tabla2[[#This Row],[venc]]="venc",Tabla2[[#This Row],[Columna1]]="por pagar"),"vencida","no")</f>
        <v>no</v>
      </c>
    </row>
    <row r="641" spans="1:23" ht="15.75" x14ac:dyDescent="0.25">
      <c r="A641" s="20">
        <v>30</v>
      </c>
      <c r="B641" s="25">
        <v>0</v>
      </c>
      <c r="C641" s="25"/>
      <c r="D641" s="56">
        <v>0</v>
      </c>
      <c r="E641" s="66">
        <v>45152</v>
      </c>
      <c r="F641" s="323" t="s">
        <v>527</v>
      </c>
      <c r="G641" s="66">
        <v>45146</v>
      </c>
      <c r="H641" s="35" t="s">
        <v>640</v>
      </c>
      <c r="I641" s="21">
        <v>-1149500</v>
      </c>
      <c r="J641" s="21"/>
      <c r="K641" s="22">
        <v>0</v>
      </c>
      <c r="L641" s="23"/>
      <c r="M641" s="22">
        <v>0</v>
      </c>
      <c r="N641" s="72">
        <v>0</v>
      </c>
      <c r="O641" s="22">
        <v>0</v>
      </c>
      <c r="P641" s="21">
        <v>-1149500</v>
      </c>
      <c r="S641" s="101" t="b">
        <f>OR(COUNTIF(Tabla2[[#This Row],[PROVEEDOR]],"*"&amp;'Palabra no opera'!$A$2&amp;"*"))</f>
        <v>0</v>
      </c>
      <c r="T641" s="113">
        <f>+$W$5-Tabla2[[#This Row],[FECHA DE FACTURACIÓN]]</f>
        <v>176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15" t="str">
        <f>+IF(AND(Tabla2[[#This Row],[venc]]="venc",Tabla2[[#This Row],[Columna1]]="por pagar"),"vencida","no")</f>
        <v>no</v>
      </c>
    </row>
    <row r="642" spans="1:23" ht="15.75" x14ac:dyDescent="0.25">
      <c r="A642" s="20">
        <v>60</v>
      </c>
      <c r="B642" s="25">
        <v>3708614</v>
      </c>
      <c r="C642" s="25"/>
      <c r="D642" s="56" t="s">
        <v>645</v>
      </c>
      <c r="E642" s="66">
        <v>45152</v>
      </c>
      <c r="F642" s="323" t="s">
        <v>250</v>
      </c>
      <c r="G642" s="66">
        <v>45134</v>
      </c>
      <c r="H642" s="35">
        <v>1741</v>
      </c>
      <c r="I642" s="21">
        <v>381800</v>
      </c>
      <c r="J642" s="21"/>
      <c r="K642" s="22">
        <v>0</v>
      </c>
      <c r="L642" s="23"/>
      <c r="M642" s="22">
        <v>0</v>
      </c>
      <c r="N642" s="72">
        <v>0</v>
      </c>
      <c r="O642" s="22">
        <v>0</v>
      </c>
      <c r="P642" s="21">
        <v>381800</v>
      </c>
      <c r="S642" s="101" t="b">
        <f>OR(COUNTIF(Tabla2[[#This Row],[PROVEEDOR]],"*"&amp;'Palabra no opera'!$A$2&amp;"*"))</f>
        <v>0</v>
      </c>
      <c r="T642" s="113">
        <f>+$W$5-Tabla2[[#This Row],[FECHA DE FACTURACIÓN]]</f>
        <v>188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15" t="str">
        <f>+IF(AND(Tabla2[[#This Row],[venc]]="venc",Tabla2[[#This Row],[Columna1]]="por pagar"),"vencida","no")</f>
        <v>no</v>
      </c>
    </row>
    <row r="643" spans="1:23" ht="15.75" x14ac:dyDescent="0.25">
      <c r="A643" s="20">
        <v>60</v>
      </c>
      <c r="B643" s="25">
        <v>3708614</v>
      </c>
      <c r="C643" s="25"/>
      <c r="D643" s="56" t="s">
        <v>645</v>
      </c>
      <c r="E643" s="66">
        <v>45152</v>
      </c>
      <c r="F643" s="323" t="s">
        <v>250</v>
      </c>
      <c r="G643" s="66">
        <v>45134</v>
      </c>
      <c r="H643" s="35">
        <v>1742</v>
      </c>
      <c r="I643" s="21">
        <v>381800</v>
      </c>
      <c r="J643" s="21"/>
      <c r="K643" s="22">
        <v>0</v>
      </c>
      <c r="L643" s="23"/>
      <c r="M643" s="22">
        <v>0</v>
      </c>
      <c r="N643" s="72">
        <v>0</v>
      </c>
      <c r="O643" s="22">
        <v>0</v>
      </c>
      <c r="P643" s="21">
        <v>381800</v>
      </c>
      <c r="S643" s="101" t="b">
        <f>OR(COUNTIF(Tabla2[[#This Row],[PROVEEDOR]],"*"&amp;'Palabra no opera'!$A$2&amp;"*"))</f>
        <v>0</v>
      </c>
      <c r="T643" s="113">
        <f>+$W$5-Tabla2[[#This Row],[FECHA DE FACTURACIÓN]]</f>
        <v>188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15" t="str">
        <f>+IF(AND(Tabla2[[#This Row],[venc]]="venc",Tabla2[[#This Row],[Columna1]]="por pagar"),"vencida","no")</f>
        <v>no</v>
      </c>
    </row>
    <row r="644" spans="1:23" ht="15.75" x14ac:dyDescent="0.25">
      <c r="A644" s="20">
        <v>60</v>
      </c>
      <c r="B644" s="25">
        <v>3708614</v>
      </c>
      <c r="C644" s="25"/>
      <c r="D644" s="56" t="s">
        <v>645</v>
      </c>
      <c r="E644" s="66">
        <v>45152</v>
      </c>
      <c r="F644" s="323" t="s">
        <v>250</v>
      </c>
      <c r="G644" s="66">
        <v>45134</v>
      </c>
      <c r="H644" s="35">
        <v>1743</v>
      </c>
      <c r="I644" s="21">
        <v>166000</v>
      </c>
      <c r="J644" s="21"/>
      <c r="K644" s="22">
        <v>0</v>
      </c>
      <c r="L644" s="23"/>
      <c r="M644" s="22">
        <v>0</v>
      </c>
      <c r="N644" s="72">
        <v>0</v>
      </c>
      <c r="O644" s="22">
        <v>0</v>
      </c>
      <c r="P644" s="21">
        <v>166000</v>
      </c>
      <c r="S644" s="101" t="b">
        <f>OR(COUNTIF(Tabla2[[#This Row],[PROVEEDOR]],"*"&amp;'Palabra no opera'!$A$2&amp;"*"))</f>
        <v>0</v>
      </c>
      <c r="T644" s="113">
        <f>+$W$5-Tabla2[[#This Row],[FECHA DE FACTURACIÓN]]</f>
        <v>188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15" t="str">
        <f>+IF(AND(Tabla2[[#This Row],[venc]]="venc",Tabla2[[#This Row],[Columna1]]="por pagar"),"vencida","no")</f>
        <v>no</v>
      </c>
    </row>
    <row r="645" spans="1:23" ht="15.75" x14ac:dyDescent="0.25">
      <c r="A645" s="20">
        <v>60</v>
      </c>
      <c r="B645" s="25">
        <v>3708614</v>
      </c>
      <c r="C645" s="25"/>
      <c r="D645" s="56" t="s">
        <v>645</v>
      </c>
      <c r="E645" s="66">
        <v>45152</v>
      </c>
      <c r="F645" s="323" t="s">
        <v>250</v>
      </c>
      <c r="G645" s="66">
        <v>45134</v>
      </c>
      <c r="H645" s="35">
        <v>1744</v>
      </c>
      <c r="I645" s="21">
        <v>166000</v>
      </c>
      <c r="J645" s="21"/>
      <c r="K645" s="22">
        <v>0</v>
      </c>
      <c r="L645" s="23"/>
      <c r="M645" s="22">
        <v>0</v>
      </c>
      <c r="N645" s="72">
        <v>0</v>
      </c>
      <c r="O645" s="22">
        <v>0</v>
      </c>
      <c r="P645" s="21">
        <v>166000</v>
      </c>
      <c r="S645" s="101" t="b">
        <f>OR(COUNTIF(Tabla2[[#This Row],[PROVEEDOR]],"*"&amp;'Palabra no opera'!$A$2&amp;"*"))</f>
        <v>0</v>
      </c>
      <c r="T645" s="113">
        <f>+$W$5-Tabla2[[#This Row],[FECHA DE FACTURACIÓN]]</f>
        <v>188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15" t="str">
        <f>+IF(AND(Tabla2[[#This Row],[venc]]="venc",Tabla2[[#This Row],[Columna1]]="por pagar"),"vencida","no")</f>
        <v>no</v>
      </c>
    </row>
    <row r="646" spans="1:23" ht="15.75" x14ac:dyDescent="0.25">
      <c r="A646" s="20">
        <v>60</v>
      </c>
      <c r="B646" s="25">
        <v>3708614</v>
      </c>
      <c r="C646" s="25"/>
      <c r="D646" s="56" t="s">
        <v>645</v>
      </c>
      <c r="E646" s="66">
        <v>45152</v>
      </c>
      <c r="F646" s="323" t="s">
        <v>250</v>
      </c>
      <c r="G646" s="66">
        <v>45126</v>
      </c>
      <c r="H646" s="35">
        <v>1735</v>
      </c>
      <c r="I646" s="21">
        <v>249000</v>
      </c>
      <c r="J646" s="21"/>
      <c r="K646" s="22">
        <v>0</v>
      </c>
      <c r="L646" s="23"/>
      <c r="M646" s="22">
        <v>0</v>
      </c>
      <c r="N646" s="72">
        <v>0</v>
      </c>
      <c r="O646" s="22">
        <v>0</v>
      </c>
      <c r="P646" s="21">
        <v>249000</v>
      </c>
      <c r="S646" s="101" t="b">
        <f>OR(COUNTIF(Tabla2[[#This Row],[PROVEEDOR]],"*"&amp;'Palabra no opera'!$A$2&amp;"*"))</f>
        <v>0</v>
      </c>
      <c r="T646" s="113">
        <f>+$W$5-Tabla2[[#This Row],[FECHA DE FACTURACIÓN]]</f>
        <v>196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15" t="str">
        <f>+IF(AND(Tabla2[[#This Row],[venc]]="venc",Tabla2[[#This Row],[Columna1]]="por pagar"),"vencida","no")</f>
        <v>no</v>
      </c>
    </row>
    <row r="647" spans="1:23" ht="15.75" x14ac:dyDescent="0.25">
      <c r="A647" s="20">
        <v>60</v>
      </c>
      <c r="B647" s="25">
        <v>3708614</v>
      </c>
      <c r="C647" s="25"/>
      <c r="D647" s="56" t="s">
        <v>645</v>
      </c>
      <c r="E647" s="66">
        <v>45152</v>
      </c>
      <c r="F647" s="323" t="s">
        <v>250</v>
      </c>
      <c r="G647" s="66">
        <v>45126</v>
      </c>
      <c r="H647" s="35">
        <v>1736</v>
      </c>
      <c r="I647" s="21">
        <v>232400</v>
      </c>
      <c r="J647" s="21"/>
      <c r="K647" s="22">
        <v>0</v>
      </c>
      <c r="L647" s="23"/>
      <c r="M647" s="22">
        <v>0</v>
      </c>
      <c r="N647" s="72">
        <v>0</v>
      </c>
      <c r="O647" s="22">
        <v>0</v>
      </c>
      <c r="P647" s="21">
        <v>232400</v>
      </c>
      <c r="S647" s="101" t="b">
        <f>OR(COUNTIF(Tabla2[[#This Row],[PROVEEDOR]],"*"&amp;'Palabra no opera'!$A$2&amp;"*"))</f>
        <v>0</v>
      </c>
      <c r="T647" s="113">
        <f>+$W$5-Tabla2[[#This Row],[FECHA DE FACTURACIÓN]]</f>
        <v>196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15" t="str">
        <f>+IF(AND(Tabla2[[#This Row],[venc]]="venc",Tabla2[[#This Row],[Columna1]]="por pagar"),"vencida","no")</f>
        <v>no</v>
      </c>
    </row>
    <row r="648" spans="1:23" ht="15.75" x14ac:dyDescent="0.25">
      <c r="A648" s="20">
        <v>60</v>
      </c>
      <c r="B648" s="25">
        <v>3708614</v>
      </c>
      <c r="C648" s="25"/>
      <c r="D648" s="56" t="s">
        <v>645</v>
      </c>
      <c r="E648" s="66">
        <v>45152</v>
      </c>
      <c r="F648" s="323" t="s">
        <v>250</v>
      </c>
      <c r="G648" s="66">
        <v>45126</v>
      </c>
      <c r="H648" s="35">
        <v>1737</v>
      </c>
      <c r="I648" s="21">
        <v>232400</v>
      </c>
      <c r="J648" s="21"/>
      <c r="K648" s="22">
        <v>0</v>
      </c>
      <c r="L648" s="23"/>
      <c r="M648" s="22">
        <v>0</v>
      </c>
      <c r="N648" s="72">
        <v>0</v>
      </c>
      <c r="O648" s="22">
        <v>0</v>
      </c>
      <c r="P648" s="21">
        <v>232400</v>
      </c>
      <c r="S648" s="101" t="b">
        <f>OR(COUNTIF(Tabla2[[#This Row],[PROVEEDOR]],"*"&amp;'Palabra no opera'!$A$2&amp;"*"))</f>
        <v>0</v>
      </c>
      <c r="T648" s="113">
        <f>+$W$5-Tabla2[[#This Row],[FECHA DE FACTURACIÓN]]</f>
        <v>196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15" t="str">
        <f>+IF(AND(Tabla2[[#This Row],[venc]]="venc",Tabla2[[#This Row],[Columna1]]="por pagar"),"vencida","no")</f>
        <v>no</v>
      </c>
    </row>
    <row r="649" spans="1:23" ht="15.75" x14ac:dyDescent="0.25">
      <c r="A649" s="20">
        <v>60</v>
      </c>
      <c r="B649" s="25">
        <v>3708614</v>
      </c>
      <c r="C649" s="25"/>
      <c r="D649" s="56" t="s">
        <v>645</v>
      </c>
      <c r="E649" s="66">
        <v>45152</v>
      </c>
      <c r="F649" s="323" t="s">
        <v>250</v>
      </c>
      <c r="G649" s="66">
        <v>45126</v>
      </c>
      <c r="H649" s="35">
        <v>1738</v>
      </c>
      <c r="I649" s="21">
        <v>232400</v>
      </c>
      <c r="J649" s="21"/>
      <c r="K649" s="22">
        <v>0</v>
      </c>
      <c r="L649" s="23"/>
      <c r="M649" s="22">
        <v>0</v>
      </c>
      <c r="N649" s="72">
        <v>0</v>
      </c>
      <c r="O649" s="22">
        <v>0</v>
      </c>
      <c r="P649" s="21">
        <v>232400</v>
      </c>
      <c r="S649" s="101" t="b">
        <f>OR(COUNTIF(Tabla2[[#This Row],[PROVEEDOR]],"*"&amp;'Palabra no opera'!$A$2&amp;"*"))</f>
        <v>0</v>
      </c>
      <c r="T649" s="113">
        <f>+$W$5-Tabla2[[#This Row],[FECHA DE FACTURACIÓN]]</f>
        <v>196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15" t="str">
        <f>+IF(AND(Tabla2[[#This Row],[venc]]="venc",Tabla2[[#This Row],[Columna1]]="por pagar"),"vencida","no")</f>
        <v>no</v>
      </c>
    </row>
    <row r="650" spans="1:23" ht="15.75" x14ac:dyDescent="0.25">
      <c r="A650" s="20">
        <v>60</v>
      </c>
      <c r="B650" s="25">
        <v>3708614</v>
      </c>
      <c r="C650" s="25"/>
      <c r="D650" s="56" t="s">
        <v>645</v>
      </c>
      <c r="E650" s="66">
        <v>45152</v>
      </c>
      <c r="F650" s="323" t="s">
        <v>250</v>
      </c>
      <c r="G650" s="66">
        <v>45124</v>
      </c>
      <c r="H650" s="35">
        <v>1729</v>
      </c>
      <c r="I650" s="21">
        <v>381800</v>
      </c>
      <c r="J650" s="21"/>
      <c r="K650" s="22">
        <v>0</v>
      </c>
      <c r="L650" s="23"/>
      <c r="M650" s="22">
        <v>0</v>
      </c>
      <c r="N650" s="72">
        <v>0</v>
      </c>
      <c r="O650" s="22">
        <v>0</v>
      </c>
      <c r="P650" s="21">
        <v>381800</v>
      </c>
      <c r="S650" s="101" t="b">
        <f>OR(COUNTIF(Tabla2[[#This Row],[PROVEEDOR]],"*"&amp;'Palabra no opera'!$A$2&amp;"*"))</f>
        <v>0</v>
      </c>
      <c r="T650" s="113">
        <f>+$W$5-Tabla2[[#This Row],[FECHA DE FACTURACIÓN]]</f>
        <v>198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15" t="str">
        <f>+IF(AND(Tabla2[[#This Row],[venc]]="venc",Tabla2[[#This Row],[Columna1]]="por pagar"),"vencida","no")</f>
        <v>no</v>
      </c>
    </row>
    <row r="651" spans="1:23" ht="15.75" x14ac:dyDescent="0.25">
      <c r="A651" s="20">
        <v>60</v>
      </c>
      <c r="B651" s="25">
        <v>3708614</v>
      </c>
      <c r="C651" s="25"/>
      <c r="D651" s="56" t="s">
        <v>645</v>
      </c>
      <c r="E651" s="66">
        <v>45152</v>
      </c>
      <c r="F651" s="323" t="s">
        <v>250</v>
      </c>
      <c r="G651" s="66">
        <v>45124</v>
      </c>
      <c r="H651" s="35">
        <v>1730</v>
      </c>
      <c r="I651" s="21">
        <v>215800</v>
      </c>
      <c r="J651" s="21"/>
      <c r="K651" s="22">
        <v>0</v>
      </c>
      <c r="L651" s="23"/>
      <c r="M651" s="22">
        <v>0</v>
      </c>
      <c r="N651" s="72">
        <v>0</v>
      </c>
      <c r="O651" s="22">
        <v>0</v>
      </c>
      <c r="P651" s="21">
        <v>215800</v>
      </c>
      <c r="S651" s="101" t="b">
        <f>OR(COUNTIF(Tabla2[[#This Row],[PROVEEDOR]],"*"&amp;'Palabra no opera'!$A$2&amp;"*"))</f>
        <v>0</v>
      </c>
      <c r="T651" s="113">
        <f>+$W$5-Tabla2[[#This Row],[FECHA DE FACTURACIÓN]]</f>
        <v>198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15" t="str">
        <f>+IF(AND(Tabla2[[#This Row],[venc]]="venc",Tabla2[[#This Row],[Columna1]]="por pagar"),"vencida","no")</f>
        <v>no</v>
      </c>
    </row>
    <row r="652" spans="1:23" ht="15.75" x14ac:dyDescent="0.25">
      <c r="A652" s="20">
        <v>60</v>
      </c>
      <c r="B652" s="25">
        <v>3708614</v>
      </c>
      <c r="C652" s="25"/>
      <c r="D652" s="56" t="s">
        <v>645</v>
      </c>
      <c r="E652" s="66">
        <v>45152</v>
      </c>
      <c r="F652" s="323" t="s">
        <v>250</v>
      </c>
      <c r="G652" s="66">
        <v>45124</v>
      </c>
      <c r="H652" s="35">
        <v>1731</v>
      </c>
      <c r="I652" s="21">
        <v>315400</v>
      </c>
      <c r="J652" s="21"/>
      <c r="K652" s="22">
        <v>0</v>
      </c>
      <c r="L652" s="23"/>
      <c r="M652" s="22">
        <v>0</v>
      </c>
      <c r="N652" s="72">
        <v>0</v>
      </c>
      <c r="O652" s="22">
        <v>0</v>
      </c>
      <c r="P652" s="21">
        <v>315400</v>
      </c>
      <c r="S652" s="101" t="b">
        <f>OR(COUNTIF(Tabla2[[#This Row],[PROVEEDOR]],"*"&amp;'Palabra no opera'!$A$2&amp;"*"))</f>
        <v>0</v>
      </c>
      <c r="T652" s="113">
        <f>+$W$5-Tabla2[[#This Row],[FECHA DE FACTURACIÓN]]</f>
        <v>198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15" t="str">
        <f>+IF(AND(Tabla2[[#This Row],[venc]]="venc",Tabla2[[#This Row],[Columna1]]="por pagar"),"vencida","no")</f>
        <v>no</v>
      </c>
    </row>
    <row r="653" spans="1:23" ht="15.75" x14ac:dyDescent="0.25">
      <c r="A653" s="20">
        <v>60</v>
      </c>
      <c r="B653" s="25">
        <v>3708614</v>
      </c>
      <c r="C653" s="25"/>
      <c r="D653" s="56" t="s">
        <v>645</v>
      </c>
      <c r="E653" s="66">
        <v>45152</v>
      </c>
      <c r="F653" s="323" t="s">
        <v>250</v>
      </c>
      <c r="G653" s="66">
        <v>45124</v>
      </c>
      <c r="H653" s="35">
        <v>1732</v>
      </c>
      <c r="I653" s="21">
        <v>232400</v>
      </c>
      <c r="J653" s="21"/>
      <c r="K653" s="22">
        <v>0</v>
      </c>
      <c r="L653" s="23"/>
      <c r="M653" s="22">
        <v>0</v>
      </c>
      <c r="N653" s="72">
        <v>0</v>
      </c>
      <c r="O653" s="22">
        <v>0</v>
      </c>
      <c r="P653" s="21">
        <v>232400</v>
      </c>
      <c r="S653" s="101" t="b">
        <f>OR(COUNTIF(Tabla2[[#This Row],[PROVEEDOR]],"*"&amp;'Palabra no opera'!$A$2&amp;"*"))</f>
        <v>0</v>
      </c>
      <c r="T653" s="113">
        <f>+$W$5-Tabla2[[#This Row],[FECHA DE FACTURACIÓN]]</f>
        <v>198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15" t="str">
        <f>+IF(AND(Tabla2[[#This Row],[venc]]="venc",Tabla2[[#This Row],[Columna1]]="por pagar"),"vencida","no")</f>
        <v>no</v>
      </c>
    </row>
    <row r="654" spans="1:23" ht="15.75" x14ac:dyDescent="0.25">
      <c r="A654" s="20">
        <v>45</v>
      </c>
      <c r="B654" s="25">
        <v>3074500</v>
      </c>
      <c r="C654" s="25"/>
      <c r="D654" s="56" t="s">
        <v>645</v>
      </c>
      <c r="E654" s="66">
        <v>45152</v>
      </c>
      <c r="F654" s="323" t="s">
        <v>252</v>
      </c>
      <c r="G654" s="66">
        <v>45120</v>
      </c>
      <c r="H654" s="35">
        <v>1718</v>
      </c>
      <c r="I654" s="21">
        <v>2759750</v>
      </c>
      <c r="J654" s="21"/>
      <c r="K654" s="22">
        <v>0</v>
      </c>
      <c r="L654" s="23"/>
      <c r="M654" s="22">
        <v>0</v>
      </c>
      <c r="N654" s="72">
        <v>0</v>
      </c>
      <c r="O654" s="22">
        <v>0</v>
      </c>
      <c r="P654" s="21">
        <v>2759750</v>
      </c>
      <c r="S654" s="101" t="b">
        <f>OR(COUNTIF(Tabla2[[#This Row],[PROVEEDOR]],"*"&amp;'Palabra no opera'!$A$2&amp;"*"))</f>
        <v>0</v>
      </c>
      <c r="T654" s="113">
        <f>+$W$5-Tabla2[[#This Row],[FECHA DE FACTURACIÓN]]</f>
        <v>202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15" t="str">
        <f>+IF(AND(Tabla2[[#This Row],[venc]]="venc",Tabla2[[#This Row],[Columna1]]="por pagar"),"vencida","no")</f>
        <v>no</v>
      </c>
    </row>
    <row r="655" spans="1:23" ht="15.75" x14ac:dyDescent="0.25">
      <c r="A655" s="20">
        <v>30</v>
      </c>
      <c r="B655" s="25">
        <v>2923945.6174999997</v>
      </c>
      <c r="C655" s="25"/>
      <c r="D655" s="56" t="s">
        <v>1538</v>
      </c>
      <c r="E655" s="66">
        <v>45152</v>
      </c>
      <c r="F655" s="323" t="s">
        <v>1526</v>
      </c>
      <c r="G655" s="66">
        <v>45106</v>
      </c>
      <c r="H655" s="35" t="s">
        <v>917</v>
      </c>
      <c r="I655" s="21">
        <v>1848738</v>
      </c>
      <c r="J655" s="21">
        <v>27997</v>
      </c>
      <c r="K655" s="22">
        <v>345940.79</v>
      </c>
      <c r="L655" s="23"/>
      <c r="M655" s="22">
        <v>0</v>
      </c>
      <c r="N655" s="72">
        <v>2.5000000000000001E-2</v>
      </c>
      <c r="O655" s="22">
        <v>45518.525000000001</v>
      </c>
      <c r="P655" s="21">
        <v>2121163.2650000001</v>
      </c>
      <c r="S655" s="101" t="b">
        <f>OR(COUNTIF(Tabla2[[#This Row],[PROVEEDOR]],"*"&amp;'Palabra no opera'!$A$2&amp;"*"))</f>
        <v>0</v>
      </c>
      <c r="T655" s="113">
        <f>+$W$5-Tabla2[[#This Row],[FECHA DE FACTURACIÓN]]</f>
        <v>216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15" t="str">
        <f>+IF(AND(Tabla2[[#This Row],[venc]]="venc",Tabla2[[#This Row],[Columna1]]="por pagar"),"vencida","no")</f>
        <v>no</v>
      </c>
    </row>
    <row r="656" spans="1:23" ht="15.75" x14ac:dyDescent="0.25">
      <c r="A656" s="20">
        <v>30</v>
      </c>
      <c r="B656" s="25">
        <v>2169355.9580000001</v>
      </c>
      <c r="C656" s="25"/>
      <c r="D656" s="56" t="s">
        <v>164</v>
      </c>
      <c r="E656" s="66">
        <v>45152</v>
      </c>
      <c r="F656" s="323" t="s">
        <v>18</v>
      </c>
      <c r="G656" s="66">
        <v>45105</v>
      </c>
      <c r="H656" s="35" t="s">
        <v>920</v>
      </c>
      <c r="I656" s="21">
        <v>3317231</v>
      </c>
      <c r="J656" s="21"/>
      <c r="K656" s="22">
        <v>630273.89</v>
      </c>
      <c r="L656" s="23"/>
      <c r="M656" s="22">
        <v>0</v>
      </c>
      <c r="N656" s="72">
        <v>2.5000000000000001E-2</v>
      </c>
      <c r="O656" s="22">
        <v>82930.775000000009</v>
      </c>
      <c r="P656" s="21">
        <v>3864574.1150000002</v>
      </c>
      <c r="S656" s="101" t="b">
        <f>OR(COUNTIF(Tabla2[[#This Row],[PROVEEDOR]],"*"&amp;'Palabra no opera'!$A$2&amp;"*"))</f>
        <v>0</v>
      </c>
      <c r="T656" s="113">
        <f>+$W$5-Tabla2[[#This Row],[FECHA DE FACTURACIÓN]]</f>
        <v>217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15" t="str">
        <f>+IF(AND(Tabla2[[#This Row],[venc]]="venc",Tabla2[[#This Row],[Columna1]]="por pagar"),"vencida","no")</f>
        <v>no</v>
      </c>
    </row>
    <row r="657" spans="1:23" ht="15.75" x14ac:dyDescent="0.25">
      <c r="A657" s="20">
        <v>30</v>
      </c>
      <c r="B657" s="25">
        <v>0</v>
      </c>
      <c r="C657" s="25"/>
      <c r="D657" s="56" t="s">
        <v>104</v>
      </c>
      <c r="E657" s="66">
        <v>45150</v>
      </c>
      <c r="F657" s="323" t="s">
        <v>521</v>
      </c>
      <c r="G657" s="66">
        <v>45149</v>
      </c>
      <c r="H657" s="35" t="s">
        <v>1014</v>
      </c>
      <c r="I657" s="21">
        <v>3395000</v>
      </c>
      <c r="J657" s="21"/>
      <c r="K657" s="22">
        <v>0</v>
      </c>
      <c r="L657" s="23"/>
      <c r="M657" s="22">
        <v>0</v>
      </c>
      <c r="N657" s="72">
        <v>0</v>
      </c>
      <c r="O657" s="22">
        <v>0</v>
      </c>
      <c r="P657" s="21">
        <v>3395000</v>
      </c>
      <c r="S657" s="101" t="b">
        <f>OR(COUNTIF(Tabla2[[#This Row],[PROVEEDOR]],"*"&amp;'Palabra no opera'!$A$2&amp;"*"))</f>
        <v>0</v>
      </c>
      <c r="T657" s="113">
        <f>+$W$5-Tabla2[[#This Row],[FECHA DE FACTURACIÓN]]</f>
        <v>173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15" t="str">
        <f>+IF(AND(Tabla2[[#This Row],[venc]]="venc",Tabla2[[#This Row],[Columna1]]="por pagar"),"vencida","no")</f>
        <v>no</v>
      </c>
    </row>
    <row r="658" spans="1:23" ht="15.75" x14ac:dyDescent="0.25">
      <c r="A658" s="20">
        <v>10</v>
      </c>
      <c r="B658" s="25">
        <v>0</v>
      </c>
      <c r="C658" s="25"/>
      <c r="D658" s="56" t="s">
        <v>523</v>
      </c>
      <c r="E658" s="66">
        <v>45149</v>
      </c>
      <c r="F658" s="323" t="s">
        <v>522</v>
      </c>
      <c r="G658" s="66">
        <v>45139</v>
      </c>
      <c r="H658" s="35" t="s">
        <v>1030</v>
      </c>
      <c r="I658" s="21">
        <v>5350576</v>
      </c>
      <c r="J658" s="21"/>
      <c r="K658" s="22">
        <v>1016609</v>
      </c>
      <c r="L658" s="23"/>
      <c r="M658" s="22">
        <v>0</v>
      </c>
      <c r="N658" s="72">
        <v>0</v>
      </c>
      <c r="O658" s="22">
        <v>0</v>
      </c>
      <c r="P658" s="21">
        <v>6367185</v>
      </c>
      <c r="S658" s="101" t="b">
        <f>OR(COUNTIF(Tabla2[[#This Row],[PROVEEDOR]],"*"&amp;'Palabra no opera'!$A$2&amp;"*"))</f>
        <v>1</v>
      </c>
      <c r="T658" s="113">
        <f>+$W$5-Tabla2[[#This Row],[FECHA DE FACTURACIÓN]]</f>
        <v>183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15" t="str">
        <f>+IF(AND(Tabla2[[#This Row],[venc]]="venc",Tabla2[[#This Row],[Columna1]]="por pagar"),"vencida","no")</f>
        <v>no</v>
      </c>
    </row>
    <row r="659" spans="1:23" ht="15.75" x14ac:dyDescent="0.25">
      <c r="A659" s="20">
        <v>30</v>
      </c>
      <c r="B659" s="25">
        <v>0</v>
      </c>
      <c r="C659" s="25"/>
      <c r="D659" s="56" t="s">
        <v>284</v>
      </c>
      <c r="E659" s="66">
        <v>45148</v>
      </c>
      <c r="F659" s="323" t="s">
        <v>401</v>
      </c>
      <c r="G659" s="66">
        <v>45139</v>
      </c>
      <c r="H659" s="35" t="s">
        <v>1005</v>
      </c>
      <c r="I659" s="21">
        <v>3792544</v>
      </c>
      <c r="J659" s="21"/>
      <c r="K659" s="22">
        <v>720583.36</v>
      </c>
      <c r="L659" s="23"/>
      <c r="M659" s="22">
        <v>0</v>
      </c>
      <c r="N659" s="72">
        <v>0</v>
      </c>
      <c r="O659" s="22"/>
      <c r="P659" s="21">
        <v>4513127.3600000003</v>
      </c>
      <c r="S659" s="101" t="b">
        <f>OR(COUNTIF(Tabla2[[#This Row],[PROVEEDOR]],"*"&amp;'Palabra no opera'!$A$2&amp;"*"))</f>
        <v>1</v>
      </c>
      <c r="T659" s="113">
        <f>+$W$5-Tabla2[[#This Row],[FECHA DE FACTURACIÓN]]</f>
        <v>183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15" t="str">
        <f>+IF(AND(Tabla2[[#This Row],[venc]]="venc",Tabla2[[#This Row],[Columna1]]="por pagar"),"vencida","no")</f>
        <v>no</v>
      </c>
    </row>
    <row r="660" spans="1:23" ht="15.75" x14ac:dyDescent="0.25">
      <c r="A660" s="20">
        <v>30</v>
      </c>
      <c r="B660" s="25">
        <v>0</v>
      </c>
      <c r="C660" s="25"/>
      <c r="D660" s="56" t="s">
        <v>284</v>
      </c>
      <c r="E660" s="66">
        <v>45148</v>
      </c>
      <c r="F660" s="323" t="s">
        <v>401</v>
      </c>
      <c r="G660" s="66">
        <v>45139</v>
      </c>
      <c r="H660" s="35" t="s">
        <v>1006</v>
      </c>
      <c r="I660" s="21">
        <v>908172</v>
      </c>
      <c r="J660" s="21"/>
      <c r="K660" s="22">
        <v>172552.68</v>
      </c>
      <c r="L660" s="23"/>
      <c r="M660" s="22">
        <v>0</v>
      </c>
      <c r="N660" s="72">
        <v>0</v>
      </c>
      <c r="O660" s="22">
        <v>0</v>
      </c>
      <c r="P660" s="21">
        <v>1080724.68</v>
      </c>
      <c r="S660" s="101" t="b">
        <f>OR(COUNTIF(Tabla2[[#This Row],[PROVEEDOR]],"*"&amp;'Palabra no opera'!$A$2&amp;"*"))</f>
        <v>1</v>
      </c>
      <c r="T660" s="113">
        <f>+$W$5-Tabla2[[#This Row],[FECHA DE FACTURACIÓN]]</f>
        <v>183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15" t="str">
        <f>+IF(AND(Tabla2[[#This Row],[venc]]="venc",Tabla2[[#This Row],[Columna1]]="por pagar"),"vencida","no")</f>
        <v>no</v>
      </c>
    </row>
    <row r="661" spans="1:23" ht="15.75" x14ac:dyDescent="0.25">
      <c r="A661" s="20">
        <v>30</v>
      </c>
      <c r="B661" s="25">
        <v>0</v>
      </c>
      <c r="C661" s="25"/>
      <c r="D661" s="56" t="s">
        <v>505</v>
      </c>
      <c r="E661" s="66">
        <v>45148</v>
      </c>
      <c r="F661" s="323" t="s">
        <v>416</v>
      </c>
      <c r="G661" s="66">
        <v>45139</v>
      </c>
      <c r="H661" s="35" t="s">
        <v>1028</v>
      </c>
      <c r="I661" s="21">
        <v>3935776</v>
      </c>
      <c r="J661" s="21"/>
      <c r="K661" s="22">
        <v>665000</v>
      </c>
      <c r="L661" s="23"/>
      <c r="M661" s="22">
        <v>0</v>
      </c>
      <c r="N661" s="72">
        <v>3.5000000000000003E-2</v>
      </c>
      <c r="O661" s="22"/>
      <c r="P661" s="21">
        <v>4600776</v>
      </c>
      <c r="S661" s="101" t="b">
        <f>OR(COUNTIF(Tabla2[[#This Row],[PROVEEDOR]],"*"&amp;'Palabra no opera'!$A$2&amp;"*"))</f>
        <v>1</v>
      </c>
      <c r="T661" s="113">
        <f>+$W$5-Tabla2[[#This Row],[FECHA DE FACTURACIÓN]]</f>
        <v>183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15" t="str">
        <f>+IF(AND(Tabla2[[#This Row],[venc]]="venc",Tabla2[[#This Row],[Columna1]]="por pagar"),"vencida","no")</f>
        <v>no</v>
      </c>
    </row>
    <row r="662" spans="1:23" ht="15.75" x14ac:dyDescent="0.25">
      <c r="A662" s="20">
        <v>30</v>
      </c>
      <c r="B662" s="25">
        <v>0</v>
      </c>
      <c r="C662" s="25"/>
      <c r="D662" s="56" t="s">
        <v>190</v>
      </c>
      <c r="E662" s="66">
        <v>45148</v>
      </c>
      <c r="F662" s="323" t="s">
        <v>540</v>
      </c>
      <c r="G662" s="66">
        <v>45113</v>
      </c>
      <c r="H662" s="35" t="s">
        <v>975</v>
      </c>
      <c r="I662" s="21">
        <v>275000</v>
      </c>
      <c r="J662" s="21"/>
      <c r="K662" s="22">
        <v>0</v>
      </c>
      <c r="L662" s="23"/>
      <c r="M662" s="22">
        <v>0</v>
      </c>
      <c r="N662" s="72">
        <v>0</v>
      </c>
      <c r="O662" s="22">
        <v>0</v>
      </c>
      <c r="P662" s="21">
        <v>275000</v>
      </c>
      <c r="S662" s="101" t="b">
        <f>OR(COUNTIF(Tabla2[[#This Row],[PROVEEDOR]],"*"&amp;'Palabra no opera'!$A$2&amp;"*"))</f>
        <v>0</v>
      </c>
      <c r="T662" s="113">
        <f>+$W$5-Tabla2[[#This Row],[FECHA DE FACTURACIÓN]]</f>
        <v>209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15" t="str">
        <f>+IF(AND(Tabla2[[#This Row],[venc]]="venc",Tabla2[[#This Row],[Columna1]]="por pagar"),"vencida","no")</f>
        <v>no</v>
      </c>
    </row>
    <row r="663" spans="1:23" ht="15.75" x14ac:dyDescent="0.25">
      <c r="A663" s="20">
        <v>30</v>
      </c>
      <c r="B663" s="25">
        <v>0</v>
      </c>
      <c r="C663" s="25"/>
      <c r="D663" s="56" t="s">
        <v>104</v>
      </c>
      <c r="E663" s="66">
        <v>45148</v>
      </c>
      <c r="F663" s="323" t="s">
        <v>308</v>
      </c>
      <c r="G663" s="66">
        <v>45113</v>
      </c>
      <c r="H663" s="35" t="s">
        <v>976</v>
      </c>
      <c r="I663" s="21">
        <v>1708000</v>
      </c>
      <c r="J663" s="21"/>
      <c r="K663" s="22">
        <v>0</v>
      </c>
      <c r="L663" s="23"/>
      <c r="M663" s="22">
        <v>0</v>
      </c>
      <c r="N663" s="72">
        <v>0</v>
      </c>
      <c r="O663" s="22">
        <v>0</v>
      </c>
      <c r="P663" s="21">
        <v>1708000</v>
      </c>
      <c r="S663" s="101" t="b">
        <f>OR(COUNTIF(Tabla2[[#This Row],[PROVEEDOR]],"*"&amp;'Palabra no opera'!$A$2&amp;"*"))</f>
        <v>0</v>
      </c>
      <c r="T663" s="113">
        <f>+$W$5-Tabla2[[#This Row],[FECHA DE FACTURACIÓN]]</f>
        <v>209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15" t="str">
        <f>+IF(AND(Tabla2[[#This Row],[venc]]="venc",Tabla2[[#This Row],[Columna1]]="por pagar"),"vencida","no")</f>
        <v>no</v>
      </c>
    </row>
    <row r="664" spans="1:23" ht="15.75" x14ac:dyDescent="0.25">
      <c r="A664" s="20">
        <v>30</v>
      </c>
      <c r="B664" s="25">
        <v>5480000</v>
      </c>
      <c r="C664" s="25"/>
      <c r="D664" s="56" t="s">
        <v>104</v>
      </c>
      <c r="E664" s="66">
        <v>45147</v>
      </c>
      <c r="F664" s="323" t="s">
        <v>285</v>
      </c>
      <c r="G664" s="66">
        <v>45083</v>
      </c>
      <c r="H664" s="35">
        <v>8725</v>
      </c>
      <c r="I664" s="21">
        <v>3943000</v>
      </c>
      <c r="J664" s="21"/>
      <c r="K664" s="22">
        <v>0</v>
      </c>
      <c r="L664" s="23"/>
      <c r="M664" s="22">
        <v>0</v>
      </c>
      <c r="N664" s="72">
        <v>0</v>
      </c>
      <c r="O664" s="22">
        <v>0</v>
      </c>
      <c r="P664" s="21">
        <v>3943000</v>
      </c>
      <c r="S664" s="101" t="b">
        <f>OR(COUNTIF(Tabla2[[#This Row],[PROVEEDOR]],"*"&amp;'Palabra no opera'!$A$2&amp;"*"))</f>
        <v>0</v>
      </c>
      <c r="T664" s="113">
        <f>+$W$5-Tabla2[[#This Row],[FECHA DE FACTURACIÓN]]</f>
        <v>239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15" t="str">
        <f>+IF(AND(Tabla2[[#This Row],[venc]]="venc",Tabla2[[#This Row],[Columna1]]="por pagar"),"vencida","no")</f>
        <v>no</v>
      </c>
    </row>
    <row r="665" spans="1:23" ht="15.75" x14ac:dyDescent="0.25">
      <c r="A665" s="20">
        <v>30</v>
      </c>
      <c r="B665" s="25">
        <v>0</v>
      </c>
      <c r="C665" s="25"/>
      <c r="D665" s="56">
        <v>0</v>
      </c>
      <c r="E665" s="66">
        <v>45146</v>
      </c>
      <c r="F665" s="323" t="s">
        <v>907</v>
      </c>
      <c r="G665" s="66">
        <v>45098</v>
      </c>
      <c r="H665" s="35">
        <v>5846</v>
      </c>
      <c r="I665" s="21">
        <v>1167100</v>
      </c>
      <c r="J665" s="21"/>
      <c r="K665" s="22">
        <v>0</v>
      </c>
      <c r="L665" s="23"/>
      <c r="M665" s="22">
        <v>0</v>
      </c>
      <c r="N665" s="72">
        <v>0</v>
      </c>
      <c r="O665" s="22">
        <v>0</v>
      </c>
      <c r="P665" s="21">
        <v>1167100</v>
      </c>
      <c r="S665" s="101" t="b">
        <f>OR(COUNTIF(Tabla2[[#This Row],[PROVEEDOR]],"*"&amp;'Palabra no opera'!$A$2&amp;"*"))</f>
        <v>0</v>
      </c>
      <c r="T665" s="113">
        <f>+$W$5-Tabla2[[#This Row],[FECHA DE FACTURACIÓN]]</f>
        <v>224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15" t="str">
        <f>+IF(AND(Tabla2[[#This Row],[venc]]="venc",Tabla2[[#This Row],[Columna1]]="por pagar"),"vencida","no")</f>
        <v>no</v>
      </c>
    </row>
    <row r="666" spans="1:23" ht="15.75" x14ac:dyDescent="0.25">
      <c r="A666" s="20">
        <v>30</v>
      </c>
      <c r="B666" s="25">
        <v>1500000</v>
      </c>
      <c r="C666" s="25"/>
      <c r="D666" s="56" t="s">
        <v>104</v>
      </c>
      <c r="E666" s="66">
        <v>45146</v>
      </c>
      <c r="F666" s="323" t="s">
        <v>273</v>
      </c>
      <c r="G666" s="66">
        <v>45070</v>
      </c>
      <c r="H666" s="35" t="s">
        <v>850</v>
      </c>
      <c r="I666" s="21">
        <v>2777500</v>
      </c>
      <c r="J666" s="21"/>
      <c r="K666" s="22">
        <v>0</v>
      </c>
      <c r="L666" s="23"/>
      <c r="M666" s="22">
        <v>0</v>
      </c>
      <c r="N666" s="72">
        <v>0</v>
      </c>
      <c r="O666" s="22">
        <v>0</v>
      </c>
      <c r="P666" s="21">
        <v>2777500</v>
      </c>
      <c r="S666" s="101" t="b">
        <f>OR(COUNTIF(Tabla2[[#This Row],[PROVEEDOR]],"*"&amp;'Palabra no opera'!$A$2&amp;"*"))</f>
        <v>0</v>
      </c>
      <c r="T666" s="113">
        <f>+$W$5-Tabla2[[#This Row],[FECHA DE FACTURACIÓN]]</f>
        <v>252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15" t="str">
        <f>+IF(AND(Tabla2[[#This Row],[venc]]="venc",Tabla2[[#This Row],[Columna1]]="por pagar"),"vencida","no")</f>
        <v>no</v>
      </c>
    </row>
    <row r="667" spans="1:23" ht="15.75" x14ac:dyDescent="0.25">
      <c r="A667" s="20">
        <v>30</v>
      </c>
      <c r="B667" s="25">
        <v>1500000</v>
      </c>
      <c r="C667" s="25"/>
      <c r="D667" s="56" t="s">
        <v>104</v>
      </c>
      <c r="E667" s="66">
        <v>45146</v>
      </c>
      <c r="F667" s="323" t="s">
        <v>273</v>
      </c>
      <c r="G667" s="66">
        <v>45070</v>
      </c>
      <c r="H667" s="35" t="s">
        <v>905</v>
      </c>
      <c r="I667" s="21">
        <v>250000</v>
      </c>
      <c r="J667" s="21"/>
      <c r="K667" s="22">
        <v>0</v>
      </c>
      <c r="L667" s="23"/>
      <c r="M667" s="22">
        <v>0</v>
      </c>
      <c r="N667" s="72">
        <v>0</v>
      </c>
      <c r="O667" s="22">
        <v>0</v>
      </c>
      <c r="P667" s="21">
        <v>250000</v>
      </c>
      <c r="S667" s="101" t="b">
        <f>OR(COUNTIF(Tabla2[[#This Row],[PROVEEDOR]],"*"&amp;'Palabra no opera'!$A$2&amp;"*"))</f>
        <v>0</v>
      </c>
      <c r="T667" s="113">
        <f>+$W$5-Tabla2[[#This Row],[FECHA DE FACTURACIÓN]]</f>
        <v>252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15" t="str">
        <f>+IF(AND(Tabla2[[#This Row],[venc]]="venc",Tabla2[[#This Row],[Columna1]]="por pagar"),"vencida","no")</f>
        <v>no</v>
      </c>
    </row>
    <row r="668" spans="1:23" ht="15.75" x14ac:dyDescent="0.25">
      <c r="A668" s="20">
        <v>30</v>
      </c>
      <c r="B668" s="25">
        <v>0</v>
      </c>
      <c r="C668" s="25"/>
      <c r="D668" s="56" t="s">
        <v>104</v>
      </c>
      <c r="E668" s="66">
        <v>45144</v>
      </c>
      <c r="F668" s="323" t="s">
        <v>275</v>
      </c>
      <c r="G668" s="66">
        <v>45144</v>
      </c>
      <c r="H668" s="35" t="s">
        <v>1011</v>
      </c>
      <c r="I668" s="21">
        <v>680000</v>
      </c>
      <c r="J668" s="21"/>
      <c r="K668" s="22">
        <v>0</v>
      </c>
      <c r="L668" s="23"/>
      <c r="M668" s="22">
        <v>0</v>
      </c>
      <c r="N668" s="72">
        <v>0</v>
      </c>
      <c r="O668" s="22">
        <v>0</v>
      </c>
      <c r="P668" s="21">
        <v>680000</v>
      </c>
      <c r="S668" s="101" t="b">
        <f>OR(COUNTIF(Tabla2[[#This Row],[PROVEEDOR]],"*"&amp;'Palabra no opera'!$A$2&amp;"*"))</f>
        <v>0</v>
      </c>
      <c r="T668" s="113">
        <f>+$W$5-Tabla2[[#This Row],[FECHA DE FACTURACIÓN]]</f>
        <v>178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15" t="str">
        <f>+IF(AND(Tabla2[[#This Row],[venc]]="venc",Tabla2[[#This Row],[Columna1]]="por pagar"),"vencida","no")</f>
        <v>no</v>
      </c>
    </row>
    <row r="669" spans="1:23" ht="15.75" x14ac:dyDescent="0.25">
      <c r="A669" s="20">
        <v>30</v>
      </c>
      <c r="B669" s="25">
        <v>0</v>
      </c>
      <c r="C669" s="25"/>
      <c r="D669" s="56" t="s">
        <v>104</v>
      </c>
      <c r="E669" s="66">
        <v>45143</v>
      </c>
      <c r="F669" s="323" t="s">
        <v>304</v>
      </c>
      <c r="G669" s="66">
        <v>45143</v>
      </c>
      <c r="H669" s="35">
        <v>50823</v>
      </c>
      <c r="I669" s="21">
        <v>1263500</v>
      </c>
      <c r="J669" s="21"/>
      <c r="K669" s="22">
        <v>0</v>
      </c>
      <c r="L669" s="23"/>
      <c r="M669" s="22">
        <v>0</v>
      </c>
      <c r="N669" s="72">
        <v>0</v>
      </c>
      <c r="O669" s="22">
        <v>0</v>
      </c>
      <c r="P669" s="21">
        <v>1263500</v>
      </c>
      <c r="S669" s="101" t="b">
        <f>OR(COUNTIF(Tabla2[[#This Row],[PROVEEDOR]],"*"&amp;'Palabra no opera'!$A$2&amp;"*"))</f>
        <v>0</v>
      </c>
      <c r="T669" s="113">
        <f>+$W$5-Tabla2[[#This Row],[FECHA DE FACTURACIÓN]]</f>
        <v>179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15" t="str">
        <f>+IF(AND(Tabla2[[#This Row],[venc]]="venc",Tabla2[[#This Row],[Columna1]]="por pagar"),"vencida","no")</f>
        <v>no</v>
      </c>
    </row>
    <row r="670" spans="1:23" ht="15.75" x14ac:dyDescent="0.25">
      <c r="A670" s="20">
        <v>30</v>
      </c>
      <c r="B670" s="25">
        <v>0</v>
      </c>
      <c r="C670" s="25"/>
      <c r="D670" s="56" t="s">
        <v>104</v>
      </c>
      <c r="E670" s="66">
        <v>45142</v>
      </c>
      <c r="F670" s="323" t="s">
        <v>311</v>
      </c>
      <c r="G670" s="66">
        <v>45141</v>
      </c>
      <c r="H670" s="35" t="s">
        <v>1010</v>
      </c>
      <c r="I670" s="21">
        <v>2713360</v>
      </c>
      <c r="J670" s="21"/>
      <c r="K670" s="22">
        <v>0</v>
      </c>
      <c r="L670" s="23"/>
      <c r="M670" s="22">
        <v>0</v>
      </c>
      <c r="N670" s="72">
        <v>0</v>
      </c>
      <c r="O670" s="22">
        <v>0</v>
      </c>
      <c r="P670" s="21">
        <v>2713360</v>
      </c>
      <c r="S670" s="101" t="b">
        <f>OR(COUNTIF(Tabla2[[#This Row],[PROVEEDOR]],"*"&amp;'Palabra no opera'!$A$2&amp;"*"))</f>
        <v>0</v>
      </c>
      <c r="T670" s="113">
        <f>+$W$5-Tabla2[[#This Row],[FECHA DE FACTURACIÓN]]</f>
        <v>181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15" t="str">
        <f>+IF(AND(Tabla2[[#This Row],[venc]]="venc",Tabla2[[#This Row],[Columna1]]="por pagar"),"vencida","no")</f>
        <v>no</v>
      </c>
    </row>
    <row r="671" spans="1:23" ht="15.75" x14ac:dyDescent="0.25">
      <c r="A671" s="20">
        <v>30</v>
      </c>
      <c r="B671" s="25">
        <v>12328400</v>
      </c>
      <c r="C671" s="25"/>
      <c r="D671" s="56" t="s">
        <v>171</v>
      </c>
      <c r="E671" s="66">
        <v>45142</v>
      </c>
      <c r="F671" s="323" t="s">
        <v>485</v>
      </c>
      <c r="G671" s="66">
        <v>45104</v>
      </c>
      <c r="H671" s="35" t="s">
        <v>923</v>
      </c>
      <c r="I671" s="21">
        <v>3240000</v>
      </c>
      <c r="J671" s="21"/>
      <c r="K671" s="22">
        <v>615600</v>
      </c>
      <c r="L671" s="23"/>
      <c r="M671" s="22">
        <v>0</v>
      </c>
      <c r="N671" s="72">
        <v>0</v>
      </c>
      <c r="O671" s="22">
        <v>0</v>
      </c>
      <c r="P671" s="21">
        <v>3855600</v>
      </c>
      <c r="S671" s="101" t="b">
        <f>OR(COUNTIF(Tabla2[[#This Row],[PROVEEDOR]],"*"&amp;'Palabra no opera'!$A$2&amp;"*"))</f>
        <v>0</v>
      </c>
      <c r="T671" s="113">
        <f>+$W$5-Tabla2[[#This Row],[FECHA DE FACTURACIÓN]]</f>
        <v>218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15" t="str">
        <f>+IF(AND(Tabla2[[#This Row],[venc]]="venc",Tabla2[[#This Row],[Columna1]]="por pagar"),"vencida","no")</f>
        <v>no</v>
      </c>
    </row>
    <row r="672" spans="1:23" ht="15.75" x14ac:dyDescent="0.25">
      <c r="A672" s="20">
        <v>30</v>
      </c>
      <c r="B672" s="25">
        <v>12328400</v>
      </c>
      <c r="C672" s="25"/>
      <c r="D672" s="56" t="s">
        <v>171</v>
      </c>
      <c r="E672" s="66">
        <v>45142</v>
      </c>
      <c r="F672" s="323" t="s">
        <v>485</v>
      </c>
      <c r="G672" s="66">
        <v>45101</v>
      </c>
      <c r="H672" s="35" t="s">
        <v>924</v>
      </c>
      <c r="I672" s="21">
        <v>7560000</v>
      </c>
      <c r="J672" s="21"/>
      <c r="K672" s="22">
        <v>1436400</v>
      </c>
      <c r="L672" s="23"/>
      <c r="M672" s="22">
        <v>0</v>
      </c>
      <c r="N672" s="72">
        <v>0</v>
      </c>
      <c r="O672" s="22">
        <v>0</v>
      </c>
      <c r="P672" s="21">
        <v>8996400</v>
      </c>
      <c r="S672" s="101" t="b">
        <f>OR(COUNTIF(Tabla2[[#This Row],[PROVEEDOR]],"*"&amp;'Palabra no opera'!$A$2&amp;"*"))</f>
        <v>0</v>
      </c>
      <c r="T672" s="113">
        <f>+$W$5-Tabla2[[#This Row],[FECHA DE FACTURACIÓN]]</f>
        <v>221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15" t="str">
        <f>+IF(AND(Tabla2[[#This Row],[venc]]="venc",Tabla2[[#This Row],[Columna1]]="por pagar"),"vencida","no")</f>
        <v>no</v>
      </c>
    </row>
    <row r="673" spans="1:23" ht="15.75" x14ac:dyDescent="0.25">
      <c r="A673" s="20">
        <v>30</v>
      </c>
      <c r="B673" s="25">
        <v>0</v>
      </c>
      <c r="C673" s="25"/>
      <c r="D673" s="56" t="s">
        <v>104</v>
      </c>
      <c r="E673" s="66">
        <v>45141</v>
      </c>
      <c r="F673" s="323" t="s">
        <v>291</v>
      </c>
      <c r="G673" s="66">
        <v>45141</v>
      </c>
      <c r="H673" s="35" t="s">
        <v>992</v>
      </c>
      <c r="I673" s="21">
        <v>290000</v>
      </c>
      <c r="J673" s="21"/>
      <c r="K673" s="22">
        <v>0</v>
      </c>
      <c r="L673" s="23"/>
      <c r="M673" s="22">
        <v>0</v>
      </c>
      <c r="N673" s="72">
        <v>0</v>
      </c>
      <c r="O673" s="22">
        <v>0</v>
      </c>
      <c r="P673" s="21">
        <v>290000</v>
      </c>
      <c r="S673" s="101" t="b">
        <f>OR(COUNTIF(Tabla2[[#This Row],[PROVEEDOR]],"*"&amp;'Palabra no opera'!$A$2&amp;"*"))</f>
        <v>0</v>
      </c>
      <c r="T673" s="113">
        <f>+$W$5-Tabla2[[#This Row],[FECHA DE FACTURACIÓN]]</f>
        <v>181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15" t="str">
        <f>+IF(AND(Tabla2[[#This Row],[venc]]="venc",Tabla2[[#This Row],[Columna1]]="por pagar"),"vencida","no")</f>
        <v>no</v>
      </c>
    </row>
    <row r="674" spans="1:23" ht="15.75" x14ac:dyDescent="0.25">
      <c r="A674" s="20">
        <v>30</v>
      </c>
      <c r="B674" s="25">
        <v>0</v>
      </c>
      <c r="C674" s="25"/>
      <c r="D674" s="56" t="s">
        <v>104</v>
      </c>
      <c r="E674" s="66">
        <v>45141</v>
      </c>
      <c r="F674" s="323" t="s">
        <v>521</v>
      </c>
      <c r="G674" s="66">
        <v>45140</v>
      </c>
      <c r="H674" s="35" t="s">
        <v>1012</v>
      </c>
      <c r="I674" s="21">
        <v>918000</v>
      </c>
      <c r="J674" s="21"/>
      <c r="K674" s="22">
        <v>0</v>
      </c>
      <c r="L674" s="23"/>
      <c r="M674" s="22">
        <v>0</v>
      </c>
      <c r="N674" s="72">
        <v>0</v>
      </c>
      <c r="O674" s="22">
        <v>0</v>
      </c>
      <c r="P674" s="21">
        <v>918000</v>
      </c>
      <c r="S674" s="101" t="b">
        <f>OR(COUNTIF(Tabla2[[#This Row],[PROVEEDOR]],"*"&amp;'Palabra no opera'!$A$2&amp;"*"))</f>
        <v>0</v>
      </c>
      <c r="T674" s="113">
        <f>+$W$5-Tabla2[[#This Row],[FECHA DE FACTURACIÓN]]</f>
        <v>182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15" t="str">
        <f>+IF(AND(Tabla2[[#This Row],[venc]]="venc",Tabla2[[#This Row],[Columna1]]="por pagar"),"vencida","no")</f>
        <v>no</v>
      </c>
    </row>
    <row r="675" spans="1:23" ht="15.75" x14ac:dyDescent="0.25">
      <c r="A675" s="20">
        <v>30</v>
      </c>
      <c r="B675" s="25">
        <v>0</v>
      </c>
      <c r="C675" s="25"/>
      <c r="D675" s="56" t="s">
        <v>104</v>
      </c>
      <c r="E675" s="66">
        <v>45140</v>
      </c>
      <c r="F675" s="323" t="s">
        <v>37</v>
      </c>
      <c r="G675" s="66">
        <v>45140</v>
      </c>
      <c r="H675" s="35" t="s">
        <v>993</v>
      </c>
      <c r="I675" s="21">
        <v>160710</v>
      </c>
      <c r="J675" s="21"/>
      <c r="K675" s="22">
        <v>30534.9</v>
      </c>
      <c r="L675" s="23"/>
      <c r="M675" s="22">
        <v>0</v>
      </c>
      <c r="N675" s="72">
        <v>0</v>
      </c>
      <c r="O675" s="22">
        <v>0</v>
      </c>
      <c r="P675" s="21">
        <v>191244.9</v>
      </c>
      <c r="S675" s="101" t="b">
        <f>OR(COUNTIF(Tabla2[[#This Row],[PROVEEDOR]],"*"&amp;'Palabra no opera'!$A$2&amp;"*"))</f>
        <v>0</v>
      </c>
      <c r="T675" s="113">
        <f>+$W$5-Tabla2[[#This Row],[FECHA DE FACTURACIÓN]]</f>
        <v>182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15" t="str">
        <f>+IF(AND(Tabla2[[#This Row],[venc]]="venc",Tabla2[[#This Row],[Columna1]]="por pagar"),"vencida","no")</f>
        <v>no</v>
      </c>
    </row>
    <row r="676" spans="1:23" ht="15.75" x14ac:dyDescent="0.25">
      <c r="A676" s="20">
        <v>30</v>
      </c>
      <c r="B676" s="25">
        <v>0</v>
      </c>
      <c r="C676" s="25"/>
      <c r="D676" s="56" t="s">
        <v>104</v>
      </c>
      <c r="E676" s="66">
        <v>45140</v>
      </c>
      <c r="F676" s="323" t="s">
        <v>521</v>
      </c>
      <c r="G676" s="66">
        <v>45139</v>
      </c>
      <c r="H676" s="35" t="s">
        <v>1009</v>
      </c>
      <c r="I676" s="21">
        <v>10615000</v>
      </c>
      <c r="J676" s="21"/>
      <c r="K676" s="22">
        <v>0</v>
      </c>
      <c r="L676" s="23"/>
      <c r="M676" s="22">
        <v>0</v>
      </c>
      <c r="N676" s="72">
        <v>0</v>
      </c>
      <c r="O676" s="22">
        <v>0</v>
      </c>
      <c r="P676" s="21">
        <v>10615000</v>
      </c>
      <c r="S676" s="101" t="b">
        <f>OR(COUNTIF(Tabla2[[#This Row],[PROVEEDOR]],"*"&amp;'Palabra no opera'!$A$2&amp;"*"))</f>
        <v>0</v>
      </c>
      <c r="T676" s="113">
        <f>+$W$5-Tabla2[[#This Row],[FECHA DE FACTURACIÓN]]</f>
        <v>183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15" t="str">
        <f>+IF(AND(Tabla2[[#This Row],[venc]]="venc",Tabla2[[#This Row],[Columna1]]="por pagar"),"vencida","no")</f>
        <v>no</v>
      </c>
    </row>
    <row r="677" spans="1:23" ht="15.75" x14ac:dyDescent="0.25">
      <c r="A677" s="20">
        <v>30</v>
      </c>
      <c r="B677" s="25">
        <v>-2000</v>
      </c>
      <c r="C677" s="25"/>
      <c r="D677" s="56">
        <v>0</v>
      </c>
      <c r="E677" s="66">
        <v>45140</v>
      </c>
      <c r="F677" s="323" t="s">
        <v>881</v>
      </c>
      <c r="G677" s="66">
        <v>45138</v>
      </c>
      <c r="H677" s="35">
        <v>5</v>
      </c>
      <c r="I677" s="21">
        <v>444000</v>
      </c>
      <c r="J677" s="21"/>
      <c r="K677" s="22">
        <v>0</v>
      </c>
      <c r="L677" s="23"/>
      <c r="M677" s="22">
        <v>0</v>
      </c>
      <c r="N677" s="72">
        <v>0</v>
      </c>
      <c r="O677" s="22">
        <v>0</v>
      </c>
      <c r="P677" s="21">
        <v>444000</v>
      </c>
      <c r="S677" s="101" t="b">
        <f>OR(COUNTIF(Tabla2[[#This Row],[PROVEEDOR]],"*"&amp;'Palabra no opera'!$A$2&amp;"*"))</f>
        <v>0</v>
      </c>
      <c r="T677" s="113">
        <f>+$W$5-Tabla2[[#This Row],[FECHA DE FACTURACIÓN]]</f>
        <v>184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15" t="str">
        <f>+IF(AND(Tabla2[[#This Row],[venc]]="venc",Tabla2[[#This Row],[Columna1]]="por pagar"),"vencida","no")</f>
        <v>no</v>
      </c>
    </row>
    <row r="678" spans="1:23" ht="15.75" x14ac:dyDescent="0.25">
      <c r="A678" s="20">
        <v>30</v>
      </c>
      <c r="B678" s="25">
        <v>1500000</v>
      </c>
      <c r="C678" s="25"/>
      <c r="D678" s="56" t="s">
        <v>104</v>
      </c>
      <c r="E678" s="66">
        <v>45140</v>
      </c>
      <c r="F678" s="323" t="s">
        <v>273</v>
      </c>
      <c r="G678" s="66">
        <v>45062</v>
      </c>
      <c r="H678" s="35" t="s">
        <v>825</v>
      </c>
      <c r="I678" s="21">
        <v>2965000</v>
      </c>
      <c r="J678" s="21"/>
      <c r="K678" s="22">
        <v>0</v>
      </c>
      <c r="L678" s="23"/>
      <c r="M678" s="22">
        <v>0</v>
      </c>
      <c r="N678" s="72">
        <v>0</v>
      </c>
      <c r="O678" s="22">
        <v>0</v>
      </c>
      <c r="P678" s="21">
        <v>2965000</v>
      </c>
      <c r="S678" s="101" t="b">
        <f>OR(COUNTIF(Tabla2[[#This Row],[PROVEEDOR]],"*"&amp;'Palabra no opera'!$A$2&amp;"*"))</f>
        <v>0</v>
      </c>
      <c r="T678" s="113">
        <f>+$W$5-Tabla2[[#This Row],[FECHA DE FACTURACIÓN]]</f>
        <v>260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15" t="str">
        <f>+IF(AND(Tabla2[[#This Row],[venc]]="venc",Tabla2[[#This Row],[Columna1]]="por pagar"),"vencida","no")</f>
        <v>no</v>
      </c>
    </row>
    <row r="679" spans="1:23" ht="15.75" x14ac:dyDescent="0.25">
      <c r="A679" s="20">
        <v>30</v>
      </c>
      <c r="B679" s="25">
        <v>0</v>
      </c>
      <c r="C679" s="25"/>
      <c r="D679" s="56" t="s">
        <v>244</v>
      </c>
      <c r="E679" s="66">
        <v>45140</v>
      </c>
      <c r="F679" s="323" t="s">
        <v>213</v>
      </c>
      <c r="G679" s="66">
        <v>45037</v>
      </c>
      <c r="H679" s="35" t="s">
        <v>779</v>
      </c>
      <c r="I679" s="21">
        <v>6747647</v>
      </c>
      <c r="J679" s="21"/>
      <c r="K679" s="22">
        <v>1282052.93</v>
      </c>
      <c r="L679" s="23"/>
      <c r="M679" s="22">
        <v>0</v>
      </c>
      <c r="N679" s="72">
        <v>2.5000000000000001E-2</v>
      </c>
      <c r="O679" s="22">
        <v>168691.17500000002</v>
      </c>
      <c r="P679" s="21">
        <v>7861008.7549999999</v>
      </c>
      <c r="S679" s="101" t="b">
        <f>OR(COUNTIF(Tabla2[[#This Row],[PROVEEDOR]],"*"&amp;'Palabra no opera'!$A$2&amp;"*"))</f>
        <v>0</v>
      </c>
      <c r="T679" s="113">
        <f>+$W$5-Tabla2[[#This Row],[FECHA DE FACTURACIÓN]]</f>
        <v>285</v>
      </c>
      <c r="U679" t="str">
        <f>+IF(Tabla2[[#This Row],[dias de credito]]&gt;=Tabla2[[#This Row],[PLAZO Días]],"venc", "No venc")</f>
        <v>venc</v>
      </c>
      <c r="V679" t="str">
        <f>+IF(Tabla2[[#This Row],[FECHA DE PAGO]]&gt;0,"pagada","por pagar")</f>
        <v>pagada</v>
      </c>
      <c r="W679" s="115" t="str">
        <f>+IF(AND(Tabla2[[#This Row],[venc]]="venc",Tabla2[[#This Row],[Columna1]]="por pagar"),"vencida","no")</f>
        <v>no</v>
      </c>
    </row>
    <row r="680" spans="1:23" ht="15.75" x14ac:dyDescent="0.25">
      <c r="A680" s="20">
        <v>90</v>
      </c>
      <c r="B680" s="25">
        <v>12030261.305</v>
      </c>
      <c r="C680" s="25"/>
      <c r="D680" s="56" t="s">
        <v>161</v>
      </c>
      <c r="E680" s="66">
        <v>45140</v>
      </c>
      <c r="F680" s="323" t="s">
        <v>12</v>
      </c>
      <c r="G680" s="66">
        <v>45030</v>
      </c>
      <c r="H680" s="35" t="s">
        <v>751</v>
      </c>
      <c r="I680" s="21">
        <v>15915968</v>
      </c>
      <c r="J680" s="21"/>
      <c r="K680" s="22">
        <v>3024033.92</v>
      </c>
      <c r="L680" s="23"/>
      <c r="M680" s="22">
        <v>0</v>
      </c>
      <c r="N680" s="72">
        <v>2.5000000000000001E-2</v>
      </c>
      <c r="O680" s="22">
        <v>397899.2</v>
      </c>
      <c r="P680" s="21">
        <v>18542102.720000003</v>
      </c>
      <c r="S680" s="101" t="b">
        <f>OR(COUNTIF(Tabla2[[#This Row],[PROVEEDOR]],"*"&amp;'Palabra no opera'!$A$2&amp;"*"))</f>
        <v>0</v>
      </c>
      <c r="T680" s="113">
        <f>+$W$5-Tabla2[[#This Row],[FECHA DE FACTURACIÓN]]</f>
        <v>292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15" t="str">
        <f>+IF(AND(Tabla2[[#This Row],[venc]]="venc",Tabla2[[#This Row],[Columna1]]="por pagar"),"vencida","no")</f>
        <v>no</v>
      </c>
    </row>
    <row r="681" spans="1:23" ht="15.75" x14ac:dyDescent="0.25">
      <c r="A681" s="20">
        <v>30</v>
      </c>
      <c r="B681" s="25">
        <v>840000</v>
      </c>
      <c r="C681" s="25"/>
      <c r="D681" s="56">
        <v>0</v>
      </c>
      <c r="E681" s="66">
        <v>45139</v>
      </c>
      <c r="F681" s="323" t="s">
        <v>318</v>
      </c>
      <c r="G681" s="66">
        <v>45112</v>
      </c>
      <c r="H681" s="35" t="s">
        <v>974</v>
      </c>
      <c r="I681" s="21">
        <v>504000</v>
      </c>
      <c r="J681" s="21"/>
      <c r="K681" s="22">
        <v>0</v>
      </c>
      <c r="L681" s="23"/>
      <c r="M681" s="22">
        <v>0</v>
      </c>
      <c r="N681" s="72">
        <v>0</v>
      </c>
      <c r="O681" s="22">
        <v>0</v>
      </c>
      <c r="P681" s="21">
        <v>504000</v>
      </c>
      <c r="S681" s="101" t="b">
        <f>OR(COUNTIF(Tabla2[[#This Row],[PROVEEDOR]],"*"&amp;'Palabra no opera'!$A$2&amp;"*"))</f>
        <v>0</v>
      </c>
      <c r="T681" s="113">
        <f>+$W$5-Tabla2[[#This Row],[FECHA DE FACTURACIÓN]]</f>
        <v>210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15" t="str">
        <f>+IF(AND(Tabla2[[#This Row],[venc]]="venc",Tabla2[[#This Row],[Columna1]]="por pagar"),"vencida","no")</f>
        <v>no</v>
      </c>
    </row>
    <row r="682" spans="1:23" ht="15.75" x14ac:dyDescent="0.25">
      <c r="A682" s="20">
        <v>30</v>
      </c>
      <c r="B682" s="25">
        <v>2713769.64</v>
      </c>
      <c r="C682" s="25"/>
      <c r="D682" s="56" t="s">
        <v>445</v>
      </c>
      <c r="E682" s="66">
        <v>45139</v>
      </c>
      <c r="F682" s="323" t="s">
        <v>11</v>
      </c>
      <c r="G682" s="66">
        <v>45105</v>
      </c>
      <c r="H682" s="35" t="s">
        <v>930</v>
      </c>
      <c r="I682" s="21">
        <v>3882360</v>
      </c>
      <c r="J682" s="21"/>
      <c r="K682" s="22">
        <v>737648.4</v>
      </c>
      <c r="L682" s="23"/>
      <c r="M682" s="22">
        <v>0</v>
      </c>
      <c r="N682" s="72">
        <v>2.5000000000000001E-2</v>
      </c>
      <c r="O682" s="22">
        <v>97059</v>
      </c>
      <c r="P682" s="21">
        <v>4522949.4000000004</v>
      </c>
      <c r="S682" s="101" t="b">
        <f>OR(COUNTIF(Tabla2[[#This Row],[PROVEEDOR]],"*"&amp;'Palabra no opera'!$A$2&amp;"*"))</f>
        <v>0</v>
      </c>
      <c r="T682" s="113">
        <f>+$W$5-Tabla2[[#This Row],[FECHA DE FACTURACIÓN]]</f>
        <v>217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15" t="str">
        <f>+IF(AND(Tabla2[[#This Row],[venc]]="venc",Tabla2[[#This Row],[Columna1]]="por pagar"),"vencida","no")</f>
        <v>no</v>
      </c>
    </row>
    <row r="683" spans="1:23" ht="15.75" x14ac:dyDescent="0.25">
      <c r="A683" s="20">
        <v>30</v>
      </c>
      <c r="B683" s="25">
        <v>2713769.64</v>
      </c>
      <c r="C683" s="25"/>
      <c r="D683" s="56" t="s">
        <v>445</v>
      </c>
      <c r="E683" s="66">
        <v>45139</v>
      </c>
      <c r="F683" s="323" t="s">
        <v>11</v>
      </c>
      <c r="G683" s="66">
        <v>45098</v>
      </c>
      <c r="H683" s="35" t="s">
        <v>931</v>
      </c>
      <c r="I683" s="21">
        <v>2480677</v>
      </c>
      <c r="J683" s="21"/>
      <c r="K683" s="22">
        <v>471328.63</v>
      </c>
      <c r="L683" s="23"/>
      <c r="M683" s="22">
        <v>0</v>
      </c>
      <c r="N683" s="72">
        <v>2.5000000000000001E-2</v>
      </c>
      <c r="O683" s="22">
        <v>62016.925000000003</v>
      </c>
      <c r="P683" s="21">
        <v>2889988.7050000001</v>
      </c>
      <c r="S683" s="101" t="b">
        <f>OR(COUNTIF(Tabla2[[#This Row],[PROVEEDOR]],"*"&amp;'Palabra no opera'!$A$2&amp;"*"))</f>
        <v>0</v>
      </c>
      <c r="T683" s="113">
        <f>+$W$5-Tabla2[[#This Row],[FECHA DE FACTURACIÓN]]</f>
        <v>224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15" t="str">
        <f>+IF(AND(Tabla2[[#This Row],[venc]]="venc",Tabla2[[#This Row],[Columna1]]="por pagar"),"vencida","no")</f>
        <v>no</v>
      </c>
    </row>
    <row r="684" spans="1:23" ht="15.75" x14ac:dyDescent="0.25">
      <c r="A684" s="20">
        <v>30</v>
      </c>
      <c r="B684" s="25">
        <v>1426700.52</v>
      </c>
      <c r="C684" s="25"/>
      <c r="D684" s="56" t="s">
        <v>159</v>
      </c>
      <c r="E684" s="66">
        <v>45139</v>
      </c>
      <c r="F684" s="323" t="s">
        <v>151</v>
      </c>
      <c r="G684" s="66">
        <v>45094</v>
      </c>
      <c r="H684" s="35" t="s">
        <v>894</v>
      </c>
      <c r="I684" s="21">
        <v>537815</v>
      </c>
      <c r="J684" s="21"/>
      <c r="K684" s="22">
        <v>102184.85</v>
      </c>
      <c r="L684" s="23"/>
      <c r="M684" s="22">
        <v>0</v>
      </c>
      <c r="N684" s="72">
        <v>0</v>
      </c>
      <c r="O684" s="22">
        <v>0</v>
      </c>
      <c r="P684" s="21">
        <v>639999.85</v>
      </c>
      <c r="S684" s="101" t="b">
        <f>OR(COUNTIF(Tabla2[[#This Row],[PROVEEDOR]],"*"&amp;'Palabra no opera'!$A$2&amp;"*"))</f>
        <v>0</v>
      </c>
      <c r="T684" s="113">
        <f>+$W$5-Tabla2[[#This Row],[FECHA DE FACTURACIÓN]]</f>
        <v>228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15" t="str">
        <f>+IF(AND(Tabla2[[#This Row],[venc]]="venc",Tabla2[[#This Row],[Columna1]]="por pagar"),"vencida","no")</f>
        <v>no</v>
      </c>
    </row>
    <row r="685" spans="1:23" ht="15.75" x14ac:dyDescent="0.25">
      <c r="A685" s="20">
        <v>30</v>
      </c>
      <c r="B685" s="25">
        <v>5972000</v>
      </c>
      <c r="C685" s="25"/>
      <c r="D685" s="56">
        <v>0</v>
      </c>
      <c r="E685" s="66">
        <v>45139</v>
      </c>
      <c r="F685" s="323" t="s">
        <v>512</v>
      </c>
      <c r="G685" s="66">
        <v>45091</v>
      </c>
      <c r="H685" s="35">
        <v>2011</v>
      </c>
      <c r="I685" s="21">
        <v>205000</v>
      </c>
      <c r="J685" s="21"/>
      <c r="K685" s="22">
        <v>0</v>
      </c>
      <c r="L685" s="23"/>
      <c r="M685" s="22">
        <v>0</v>
      </c>
      <c r="N685" s="72">
        <v>0</v>
      </c>
      <c r="O685" s="22">
        <v>0</v>
      </c>
      <c r="P685" s="21">
        <v>205000</v>
      </c>
      <c r="S685" s="101" t="b">
        <f>OR(COUNTIF(Tabla2[[#This Row],[PROVEEDOR]],"*"&amp;'Palabra no opera'!$A$2&amp;"*"))</f>
        <v>0</v>
      </c>
      <c r="T685" s="113">
        <f>+$W$5-Tabla2[[#This Row],[FECHA DE FACTURACIÓN]]</f>
        <v>231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15" t="str">
        <f>+IF(AND(Tabla2[[#This Row],[venc]]="venc",Tabla2[[#This Row],[Columna1]]="por pagar"),"vencida","no")</f>
        <v>no</v>
      </c>
    </row>
    <row r="686" spans="1:23" ht="15.75" x14ac:dyDescent="0.25">
      <c r="A686" s="20">
        <v>30</v>
      </c>
      <c r="B686" s="25">
        <v>680000</v>
      </c>
      <c r="C686" s="25"/>
      <c r="D686" s="56" t="s">
        <v>159</v>
      </c>
      <c r="E686" s="66">
        <v>45139</v>
      </c>
      <c r="F686" s="323" t="s">
        <v>317</v>
      </c>
      <c r="G686" s="66">
        <v>45057</v>
      </c>
      <c r="H686" s="35">
        <v>327168</v>
      </c>
      <c r="I686" s="21">
        <v>27000</v>
      </c>
      <c r="J686" s="21"/>
      <c r="K686" s="22">
        <v>0</v>
      </c>
      <c r="L686" s="23"/>
      <c r="M686" s="22">
        <v>0</v>
      </c>
      <c r="N686" s="72">
        <v>0</v>
      </c>
      <c r="O686" s="22">
        <v>0</v>
      </c>
      <c r="P686" s="21">
        <v>27000</v>
      </c>
      <c r="S686" s="101" t="b">
        <f>OR(COUNTIF(Tabla2[[#This Row],[PROVEEDOR]],"*"&amp;'Palabra no opera'!$A$2&amp;"*"))</f>
        <v>0</v>
      </c>
      <c r="T686" s="113">
        <f>+$W$5-Tabla2[[#This Row],[FECHA DE FACTURACIÓN]]</f>
        <v>265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15" t="str">
        <f>+IF(AND(Tabla2[[#This Row],[venc]]="venc",Tabla2[[#This Row],[Columna1]]="por pagar"),"vencida","no")</f>
        <v>no</v>
      </c>
    </row>
    <row r="687" spans="1:23" ht="15.75" x14ac:dyDescent="0.25">
      <c r="A687" s="20">
        <v>30</v>
      </c>
      <c r="B687" s="25">
        <v>1426700.52</v>
      </c>
      <c r="C687" s="25"/>
      <c r="D687" s="56" t="s">
        <v>159</v>
      </c>
      <c r="E687" s="66">
        <v>45139</v>
      </c>
      <c r="F687" s="323" t="s">
        <v>151</v>
      </c>
      <c r="G687" s="66">
        <v>45057</v>
      </c>
      <c r="H687" s="35" t="s">
        <v>844</v>
      </c>
      <c r="I687" s="21">
        <v>3564706</v>
      </c>
      <c r="J687" s="21"/>
      <c r="K687" s="22">
        <v>677294.14</v>
      </c>
      <c r="L687" s="23"/>
      <c r="M687" s="22">
        <v>0</v>
      </c>
      <c r="N687" s="72">
        <v>2.5000000000000001E-2</v>
      </c>
      <c r="O687" s="22">
        <v>89117.650000000009</v>
      </c>
      <c r="P687" s="21">
        <v>4152882.4899999998</v>
      </c>
      <c r="S687" s="101" t="b">
        <f>OR(COUNTIF(Tabla2[[#This Row],[PROVEEDOR]],"*"&amp;'Palabra no opera'!$A$2&amp;"*"))</f>
        <v>0</v>
      </c>
      <c r="T687" s="113">
        <f>+$W$5-Tabla2[[#This Row],[FECHA DE FACTURACIÓN]]</f>
        <v>265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15" t="str">
        <f>+IF(AND(Tabla2[[#This Row],[venc]]="venc",Tabla2[[#This Row],[Columna1]]="por pagar"),"vencida","no")</f>
        <v>no</v>
      </c>
    </row>
    <row r="688" spans="1:23" ht="15.75" x14ac:dyDescent="0.25">
      <c r="A688" s="20">
        <v>30</v>
      </c>
      <c r="B688" s="25">
        <v>0</v>
      </c>
      <c r="C688" s="25"/>
      <c r="D688" s="56">
        <v>0</v>
      </c>
      <c r="E688" s="66">
        <v>45138</v>
      </c>
      <c r="F688" s="323" t="s">
        <v>907</v>
      </c>
      <c r="G688" s="66">
        <v>45138</v>
      </c>
      <c r="H688" s="35">
        <v>5961</v>
      </c>
      <c r="I688" s="21">
        <v>307000</v>
      </c>
      <c r="J688" s="21"/>
      <c r="K688" s="22">
        <v>0</v>
      </c>
      <c r="L688" s="23"/>
      <c r="M688" s="22">
        <v>0</v>
      </c>
      <c r="N688" s="72">
        <v>0</v>
      </c>
      <c r="O688" s="22">
        <v>0</v>
      </c>
      <c r="P688" s="21">
        <v>307000</v>
      </c>
      <c r="S688" s="101" t="b">
        <f>OR(COUNTIF(Tabla2[[#This Row],[PROVEEDOR]],"*"&amp;'Palabra no opera'!$A$2&amp;"*"))</f>
        <v>0</v>
      </c>
      <c r="T688" s="113">
        <f>+$W$5-Tabla2[[#This Row],[FECHA DE FACTURACIÓN]]</f>
        <v>184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15" t="str">
        <f>+IF(AND(Tabla2[[#This Row],[venc]]="venc",Tabla2[[#This Row],[Columna1]]="por pagar"),"vencida","no")</f>
        <v>no</v>
      </c>
    </row>
    <row r="689" spans="1:23" ht="15.75" x14ac:dyDescent="0.25">
      <c r="A689" s="20">
        <v>30</v>
      </c>
      <c r="B689" s="25">
        <v>0</v>
      </c>
      <c r="C689" s="25"/>
      <c r="D689" s="56" t="s">
        <v>104</v>
      </c>
      <c r="E689" s="66">
        <v>45136</v>
      </c>
      <c r="F689" s="323" t="s">
        <v>291</v>
      </c>
      <c r="G689" s="66">
        <v>45136</v>
      </c>
      <c r="H689" s="35" t="s">
        <v>985</v>
      </c>
      <c r="I689" s="21">
        <v>1470000</v>
      </c>
      <c r="J689" s="21"/>
      <c r="K689" s="22">
        <v>0</v>
      </c>
      <c r="L689" s="23"/>
      <c r="M689" s="22">
        <v>0</v>
      </c>
      <c r="N689" s="72">
        <v>0</v>
      </c>
      <c r="O689" s="22">
        <v>0</v>
      </c>
      <c r="P689" s="21">
        <v>1470000</v>
      </c>
      <c r="S689" s="101" t="b">
        <f>OR(COUNTIF(Tabla2[[#This Row],[PROVEEDOR]],"*"&amp;'Palabra no opera'!$A$2&amp;"*"))</f>
        <v>0</v>
      </c>
      <c r="T689" s="113">
        <f>+$W$5-Tabla2[[#This Row],[FECHA DE FACTURACIÓN]]</f>
        <v>186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15" t="str">
        <f>+IF(AND(Tabla2[[#This Row],[venc]]="venc",Tabla2[[#This Row],[Columna1]]="por pagar"),"vencida","no")</f>
        <v>no</v>
      </c>
    </row>
    <row r="690" spans="1:23" ht="15.75" x14ac:dyDescent="0.25">
      <c r="A690" s="20">
        <v>30</v>
      </c>
      <c r="B690" s="25">
        <v>0</v>
      </c>
      <c r="C690" s="25"/>
      <c r="D690" s="56">
        <v>0</v>
      </c>
      <c r="E690" s="66">
        <v>45134</v>
      </c>
      <c r="F690" s="323" t="s">
        <v>515</v>
      </c>
      <c r="G690" s="66">
        <v>45079</v>
      </c>
      <c r="H690" s="35" t="s">
        <v>915</v>
      </c>
      <c r="I690" s="21">
        <v>2046000</v>
      </c>
      <c r="J690" s="21"/>
      <c r="K690" s="22">
        <v>0</v>
      </c>
      <c r="L690" s="23">
        <v>0.1</v>
      </c>
      <c r="M690" s="22">
        <v>204600</v>
      </c>
      <c r="N690" s="72">
        <v>0</v>
      </c>
      <c r="O690" s="22">
        <v>0</v>
      </c>
      <c r="P690" s="21">
        <v>1841400</v>
      </c>
      <c r="S690" s="101" t="b">
        <f>OR(COUNTIF(Tabla2[[#This Row],[PROVEEDOR]],"*"&amp;'Palabra no opera'!$A$2&amp;"*"))</f>
        <v>0</v>
      </c>
      <c r="T690" s="113">
        <f>+$W$5-Tabla2[[#This Row],[FECHA DE FACTURACIÓN]]</f>
        <v>243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15" t="str">
        <f>+IF(AND(Tabla2[[#This Row],[venc]]="venc",Tabla2[[#This Row],[Columna1]]="por pagar"),"vencida","no")</f>
        <v>no</v>
      </c>
    </row>
    <row r="691" spans="1:23" ht="15.75" x14ac:dyDescent="0.25">
      <c r="A691" s="20">
        <v>30</v>
      </c>
      <c r="B691" s="25">
        <v>380979.69</v>
      </c>
      <c r="C691" s="25"/>
      <c r="D691" s="56" t="s">
        <v>255</v>
      </c>
      <c r="E691" s="66">
        <v>45134</v>
      </c>
      <c r="F691" s="323" t="s">
        <v>393</v>
      </c>
      <c r="G691" s="66">
        <v>45075</v>
      </c>
      <c r="H691" s="35" t="s">
        <v>986</v>
      </c>
      <c r="I691" s="21">
        <v>1586135</v>
      </c>
      <c r="J691" s="21"/>
      <c r="K691" s="22">
        <v>301365.65000000002</v>
      </c>
      <c r="L691" s="23"/>
      <c r="M691" s="22">
        <v>0</v>
      </c>
      <c r="N691" s="72">
        <v>0</v>
      </c>
      <c r="O691" s="22">
        <v>0</v>
      </c>
      <c r="P691" s="21">
        <v>1887500.65</v>
      </c>
      <c r="S691" s="101" t="b">
        <f>OR(COUNTIF(Tabla2[[#This Row],[PROVEEDOR]],"*"&amp;'Palabra no opera'!$A$2&amp;"*"))</f>
        <v>1</v>
      </c>
      <c r="T691" s="113">
        <f>+$W$5-Tabla2[[#This Row],[FECHA DE FACTURACIÓN]]</f>
        <v>247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15" t="str">
        <f>+IF(AND(Tabla2[[#This Row],[venc]]="venc",Tabla2[[#This Row],[Columna1]]="por pagar"),"vencida","no")</f>
        <v>no</v>
      </c>
    </row>
    <row r="692" spans="1:23" ht="15.75" x14ac:dyDescent="0.25">
      <c r="A692" s="20">
        <v>30</v>
      </c>
      <c r="B692" s="25">
        <v>380979.69</v>
      </c>
      <c r="C692" s="25"/>
      <c r="D692" s="56" t="s">
        <v>255</v>
      </c>
      <c r="E692" s="66">
        <v>45134</v>
      </c>
      <c r="F692" s="323" t="s">
        <v>393</v>
      </c>
      <c r="G692" s="66">
        <v>45075</v>
      </c>
      <c r="H692" s="35" t="s">
        <v>987</v>
      </c>
      <c r="I692" s="21">
        <v>2254875</v>
      </c>
      <c r="J692" s="21"/>
      <c r="K692" s="22">
        <v>428426.25</v>
      </c>
      <c r="L692" s="23"/>
      <c r="M692" s="22">
        <v>0</v>
      </c>
      <c r="N692" s="72">
        <v>0</v>
      </c>
      <c r="O692" s="22">
        <v>0</v>
      </c>
      <c r="P692" s="21">
        <v>2683301.25</v>
      </c>
      <c r="S692" s="101" t="b">
        <f>OR(COUNTIF(Tabla2[[#This Row],[PROVEEDOR]],"*"&amp;'Palabra no opera'!$A$2&amp;"*"))</f>
        <v>1</v>
      </c>
      <c r="T692" s="113">
        <f>+$W$5-Tabla2[[#This Row],[FECHA DE FACTURACIÓN]]</f>
        <v>247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15" t="str">
        <f>+IF(AND(Tabla2[[#This Row],[venc]]="venc",Tabla2[[#This Row],[Columna1]]="por pagar"),"vencida","no")</f>
        <v>no</v>
      </c>
    </row>
    <row r="693" spans="1:23" ht="15.75" x14ac:dyDescent="0.25">
      <c r="A693" s="20">
        <v>30</v>
      </c>
      <c r="B693" s="25">
        <v>0</v>
      </c>
      <c r="C693" s="25"/>
      <c r="D693" s="56" t="s">
        <v>1561</v>
      </c>
      <c r="E693" s="66">
        <v>45133</v>
      </c>
      <c r="F693" s="323" t="s">
        <v>203</v>
      </c>
      <c r="G693" s="66">
        <v>45128</v>
      </c>
      <c r="H693" s="35">
        <v>652</v>
      </c>
      <c r="I693" s="21">
        <v>0</v>
      </c>
      <c r="J693" s="21"/>
      <c r="K693" s="22">
        <v>0</v>
      </c>
      <c r="L693" s="23"/>
      <c r="M693" s="22">
        <v>0</v>
      </c>
      <c r="N693" s="72">
        <v>0</v>
      </c>
      <c r="O693" s="22">
        <v>0</v>
      </c>
      <c r="P693" s="21">
        <v>0</v>
      </c>
      <c r="S693" s="101" t="b">
        <f>OR(COUNTIF(Tabla2[[#This Row],[PROVEEDOR]],"*"&amp;'Palabra no opera'!$A$2&amp;"*"))</f>
        <v>0</v>
      </c>
      <c r="T693" s="113">
        <f>+$W$5-Tabla2[[#This Row],[FECHA DE FACTURACIÓN]]</f>
        <v>194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15" t="str">
        <f>+IF(AND(Tabla2[[#This Row],[venc]]="venc",Tabla2[[#This Row],[Columna1]]="por pagar"),"vencida","no")</f>
        <v>no</v>
      </c>
    </row>
    <row r="694" spans="1:23" ht="15.75" x14ac:dyDescent="0.25">
      <c r="A694" s="20">
        <v>30</v>
      </c>
      <c r="B694" s="25">
        <v>0</v>
      </c>
      <c r="C694" s="25"/>
      <c r="D694" s="56" t="s">
        <v>1561</v>
      </c>
      <c r="E694" s="66">
        <v>45133</v>
      </c>
      <c r="F694" s="323" t="s">
        <v>203</v>
      </c>
      <c r="G694" s="66">
        <v>45128</v>
      </c>
      <c r="H694" s="35">
        <v>653</v>
      </c>
      <c r="I694" s="21">
        <v>527</v>
      </c>
      <c r="J694" s="21"/>
      <c r="K694" s="22">
        <v>0</v>
      </c>
      <c r="L694" s="23"/>
      <c r="M694" s="22">
        <v>0</v>
      </c>
      <c r="N694" s="72">
        <v>0</v>
      </c>
      <c r="O694" s="22">
        <v>0</v>
      </c>
      <c r="P694" s="21">
        <v>527</v>
      </c>
      <c r="S694" s="101" t="b">
        <f>OR(COUNTIF(Tabla2[[#This Row],[PROVEEDOR]],"*"&amp;'Palabra no opera'!$A$2&amp;"*"))</f>
        <v>0</v>
      </c>
      <c r="T694" s="113">
        <f>+$W$5-Tabla2[[#This Row],[FECHA DE FACTURACIÓN]]</f>
        <v>194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15" t="str">
        <f>+IF(AND(Tabla2[[#This Row],[venc]]="venc",Tabla2[[#This Row],[Columna1]]="por pagar"),"vencida","no")</f>
        <v>no</v>
      </c>
    </row>
    <row r="695" spans="1:23" ht="15.75" x14ac:dyDescent="0.25">
      <c r="A695" s="20">
        <v>60</v>
      </c>
      <c r="B695" s="25">
        <v>22881826.27</v>
      </c>
      <c r="C695" s="25"/>
      <c r="D695" s="56" t="s">
        <v>178</v>
      </c>
      <c r="E695" s="66">
        <v>45133</v>
      </c>
      <c r="F695" s="323" t="s">
        <v>9</v>
      </c>
      <c r="G695" s="66">
        <v>45111</v>
      </c>
      <c r="H695" s="35" t="s">
        <v>640</v>
      </c>
      <c r="I695" s="21">
        <v>-8403361</v>
      </c>
      <c r="J695" s="21"/>
      <c r="K695" s="22">
        <v>-1596638.59</v>
      </c>
      <c r="L695" s="23"/>
      <c r="M695" s="22">
        <v>0</v>
      </c>
      <c r="N695" s="72">
        <v>0</v>
      </c>
      <c r="O695" s="22"/>
      <c r="P695" s="21">
        <v>-9999999.5899999999</v>
      </c>
      <c r="S695" s="101" t="b">
        <f>OR(COUNTIF(Tabla2[[#This Row],[PROVEEDOR]],"*"&amp;'Palabra no opera'!$A$2&amp;"*"))</f>
        <v>0</v>
      </c>
      <c r="T695" s="113">
        <f>+$W$5-Tabla2[[#This Row],[FECHA DE FACTURACIÓN]]</f>
        <v>211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15" t="str">
        <f>+IF(AND(Tabla2[[#This Row],[venc]]="venc",Tabla2[[#This Row],[Columna1]]="por pagar"),"vencida","no")</f>
        <v>no</v>
      </c>
    </row>
    <row r="696" spans="1:23" ht="15.75" x14ac:dyDescent="0.25">
      <c r="A696" s="20">
        <v>30</v>
      </c>
      <c r="B696" s="25">
        <v>0</v>
      </c>
      <c r="C696" s="25"/>
      <c r="D696" s="56" t="s">
        <v>1561</v>
      </c>
      <c r="E696" s="66">
        <v>45133</v>
      </c>
      <c r="F696" s="323" t="s">
        <v>93</v>
      </c>
      <c r="G696" s="66">
        <v>45099</v>
      </c>
      <c r="H696" s="35" t="s">
        <v>891</v>
      </c>
      <c r="I696" s="21">
        <v>0</v>
      </c>
      <c r="J696" s="21"/>
      <c r="K696" s="22">
        <v>0</v>
      </c>
      <c r="L696" s="23"/>
      <c r="M696" s="22">
        <v>0</v>
      </c>
      <c r="N696" s="72">
        <v>0</v>
      </c>
      <c r="O696" s="22">
        <v>0</v>
      </c>
      <c r="P696" s="21">
        <v>0</v>
      </c>
      <c r="S696" s="101" t="b">
        <f>OR(COUNTIF(Tabla2[[#This Row],[PROVEEDOR]],"*"&amp;'Palabra no opera'!$A$2&amp;"*"))</f>
        <v>0</v>
      </c>
      <c r="T696" s="113">
        <f>+$W$5-Tabla2[[#This Row],[FECHA DE FACTURACIÓN]]</f>
        <v>223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15" t="str">
        <f>+IF(AND(Tabla2[[#This Row],[venc]]="venc",Tabla2[[#This Row],[Columna1]]="por pagar"),"vencida","no")</f>
        <v>no</v>
      </c>
    </row>
    <row r="697" spans="1:23" ht="15.75" x14ac:dyDescent="0.25">
      <c r="A697" s="20">
        <v>30</v>
      </c>
      <c r="B697" s="25">
        <v>0</v>
      </c>
      <c r="C697" s="25"/>
      <c r="D697" s="56" t="s">
        <v>1561</v>
      </c>
      <c r="E697" s="66">
        <v>45133</v>
      </c>
      <c r="F697" s="323" t="s">
        <v>93</v>
      </c>
      <c r="G697" s="66">
        <v>45099</v>
      </c>
      <c r="H697" s="35" t="s">
        <v>892</v>
      </c>
      <c r="I697" s="21">
        <v>116984</v>
      </c>
      <c r="J697" s="21"/>
      <c r="K697" s="22">
        <v>0</v>
      </c>
      <c r="L697" s="23"/>
      <c r="M697" s="22">
        <v>0</v>
      </c>
      <c r="N697" s="72">
        <v>0</v>
      </c>
      <c r="O697" s="22">
        <v>0</v>
      </c>
      <c r="P697" s="21">
        <v>116984</v>
      </c>
      <c r="S697" s="101" t="b">
        <f>OR(COUNTIF(Tabla2[[#This Row],[PROVEEDOR]],"*"&amp;'Palabra no opera'!$A$2&amp;"*"))</f>
        <v>0</v>
      </c>
      <c r="T697" s="113">
        <f>+$W$5-Tabla2[[#This Row],[FECHA DE FACTURACIÓN]]</f>
        <v>223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15" t="str">
        <f>+IF(AND(Tabla2[[#This Row],[venc]]="venc",Tabla2[[#This Row],[Columna1]]="por pagar"),"vencida","no")</f>
        <v>no</v>
      </c>
    </row>
    <row r="698" spans="1:23" ht="15.75" x14ac:dyDescent="0.25">
      <c r="A698" s="20">
        <v>30</v>
      </c>
      <c r="B698" s="25">
        <v>0</v>
      </c>
      <c r="C698" s="25"/>
      <c r="D698" s="56" t="s">
        <v>1561</v>
      </c>
      <c r="E698" s="66">
        <v>45133</v>
      </c>
      <c r="F698" s="323" t="s">
        <v>203</v>
      </c>
      <c r="G698" s="66">
        <v>45099</v>
      </c>
      <c r="H698" s="35" t="s">
        <v>882</v>
      </c>
      <c r="I698" s="21">
        <v>0</v>
      </c>
      <c r="J698" s="21"/>
      <c r="K698" s="22">
        <v>0</v>
      </c>
      <c r="L698" s="23"/>
      <c r="M698" s="22">
        <v>0</v>
      </c>
      <c r="N698" s="72">
        <v>0</v>
      </c>
      <c r="O698" s="22">
        <v>0</v>
      </c>
      <c r="P698" s="21">
        <v>0</v>
      </c>
      <c r="S698" s="101" t="b">
        <f>OR(COUNTIF(Tabla2[[#This Row],[PROVEEDOR]],"*"&amp;'Palabra no opera'!$A$2&amp;"*"))</f>
        <v>0</v>
      </c>
      <c r="T698" s="113">
        <f>+$W$5-Tabla2[[#This Row],[FECHA DE FACTURACIÓN]]</f>
        <v>223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15" t="str">
        <f>+IF(AND(Tabla2[[#This Row],[venc]]="venc",Tabla2[[#This Row],[Columna1]]="por pagar"),"vencida","no")</f>
        <v>no</v>
      </c>
    </row>
    <row r="699" spans="1:23" ht="15.75" x14ac:dyDescent="0.25">
      <c r="A699" s="20">
        <v>30</v>
      </c>
      <c r="B699" s="25">
        <v>0</v>
      </c>
      <c r="C699" s="25"/>
      <c r="D699" s="56" t="s">
        <v>1561</v>
      </c>
      <c r="E699" s="66">
        <v>45133</v>
      </c>
      <c r="F699" s="323" t="s">
        <v>203</v>
      </c>
      <c r="G699" s="66">
        <v>45099</v>
      </c>
      <c r="H699" s="35" t="s">
        <v>884</v>
      </c>
      <c r="I699" s="21">
        <v>142484</v>
      </c>
      <c r="J699" s="21"/>
      <c r="K699" s="22">
        <v>0</v>
      </c>
      <c r="L699" s="23"/>
      <c r="M699" s="22">
        <v>0</v>
      </c>
      <c r="N699" s="72">
        <v>0</v>
      </c>
      <c r="O699" s="22">
        <v>0</v>
      </c>
      <c r="P699" s="21">
        <v>142484</v>
      </c>
      <c r="S699" s="101" t="b">
        <f>OR(COUNTIF(Tabla2[[#This Row],[PROVEEDOR]],"*"&amp;'Palabra no opera'!$A$2&amp;"*"))</f>
        <v>0</v>
      </c>
      <c r="T699" s="113">
        <f>+$W$5-Tabla2[[#This Row],[FECHA DE FACTURACIÓN]]</f>
        <v>223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15" t="str">
        <f>+IF(AND(Tabla2[[#This Row],[venc]]="venc",Tabla2[[#This Row],[Columna1]]="por pagar"),"vencida","no")</f>
        <v>no</v>
      </c>
    </row>
    <row r="700" spans="1:23" ht="15.75" x14ac:dyDescent="0.25">
      <c r="A700" s="20">
        <v>30</v>
      </c>
      <c r="B700" s="25">
        <v>0</v>
      </c>
      <c r="C700" s="25"/>
      <c r="D700" s="56" t="s">
        <v>1561</v>
      </c>
      <c r="E700" s="66">
        <v>45133</v>
      </c>
      <c r="F700" s="323" t="s">
        <v>203</v>
      </c>
      <c r="G700" s="66">
        <v>45061</v>
      </c>
      <c r="H700" s="35" t="s">
        <v>835</v>
      </c>
      <c r="I700" s="21">
        <v>0</v>
      </c>
      <c r="J700" s="21"/>
      <c r="K700" s="22">
        <v>0</v>
      </c>
      <c r="L700" s="23"/>
      <c r="M700" s="22">
        <v>0</v>
      </c>
      <c r="N700" s="72">
        <v>0</v>
      </c>
      <c r="O700" s="22">
        <v>0</v>
      </c>
      <c r="P700" s="21">
        <v>0</v>
      </c>
      <c r="S700" s="101" t="b">
        <f>OR(COUNTIF(Tabla2[[#This Row],[PROVEEDOR]],"*"&amp;'Palabra no opera'!$A$2&amp;"*"))</f>
        <v>0</v>
      </c>
      <c r="T700" s="113">
        <f>+$W$5-Tabla2[[#This Row],[FECHA DE FACTURACIÓN]]</f>
        <v>261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15" t="str">
        <f>+IF(AND(Tabla2[[#This Row],[venc]]="venc",Tabla2[[#This Row],[Columna1]]="por pagar"),"vencida","no")</f>
        <v>no</v>
      </c>
    </row>
    <row r="701" spans="1:23" ht="15.75" x14ac:dyDescent="0.25">
      <c r="A701" s="20">
        <v>30</v>
      </c>
      <c r="B701" s="25">
        <v>0</v>
      </c>
      <c r="C701" s="25"/>
      <c r="D701" s="56" t="s">
        <v>1561</v>
      </c>
      <c r="E701" s="66">
        <v>45133</v>
      </c>
      <c r="F701" s="323" t="s">
        <v>203</v>
      </c>
      <c r="G701" s="66">
        <v>45061</v>
      </c>
      <c r="H701" s="35" t="s">
        <v>836</v>
      </c>
      <c r="I701" s="21">
        <v>0</v>
      </c>
      <c r="J701" s="21"/>
      <c r="K701" s="22">
        <v>0</v>
      </c>
      <c r="L701" s="23"/>
      <c r="M701" s="22">
        <v>0</v>
      </c>
      <c r="N701" s="72">
        <v>0</v>
      </c>
      <c r="O701" s="22">
        <v>0</v>
      </c>
      <c r="P701" s="21">
        <v>0</v>
      </c>
      <c r="S701" s="101" t="b">
        <f>OR(COUNTIF(Tabla2[[#This Row],[PROVEEDOR]],"*"&amp;'Palabra no opera'!$A$2&amp;"*"))</f>
        <v>0</v>
      </c>
      <c r="T701" s="113">
        <f>+$W$5-Tabla2[[#This Row],[FECHA DE FACTURACIÓN]]</f>
        <v>261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15" t="str">
        <f>+IF(AND(Tabla2[[#This Row],[venc]]="venc",Tabla2[[#This Row],[Columna1]]="por pagar"),"vencida","no")</f>
        <v>no</v>
      </c>
    </row>
    <row r="702" spans="1:23" ht="15.75" x14ac:dyDescent="0.25">
      <c r="A702" s="20">
        <v>30</v>
      </c>
      <c r="B702" s="25">
        <v>0</v>
      </c>
      <c r="C702" s="25"/>
      <c r="D702" s="56" t="s">
        <v>1561</v>
      </c>
      <c r="E702" s="66">
        <v>45133</v>
      </c>
      <c r="F702" s="323" t="s">
        <v>203</v>
      </c>
      <c r="G702" s="66">
        <v>45061</v>
      </c>
      <c r="H702" s="35" t="s">
        <v>837</v>
      </c>
      <c r="I702" s="21">
        <v>-188821</v>
      </c>
      <c r="J702" s="21"/>
      <c r="K702" s="22">
        <v>0</v>
      </c>
      <c r="L702" s="23"/>
      <c r="M702" s="22">
        <v>0</v>
      </c>
      <c r="N702" s="72">
        <v>0</v>
      </c>
      <c r="O702" s="22">
        <v>0</v>
      </c>
      <c r="P702" s="21">
        <v>-188821</v>
      </c>
      <c r="S702" s="101" t="b">
        <f>OR(COUNTIF(Tabla2[[#This Row],[PROVEEDOR]],"*"&amp;'Palabra no opera'!$A$2&amp;"*"))</f>
        <v>0</v>
      </c>
      <c r="T702" s="113">
        <f>+$W$5-Tabla2[[#This Row],[FECHA DE FACTURACIÓN]]</f>
        <v>261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15" t="str">
        <f>+IF(AND(Tabla2[[#This Row],[venc]]="venc",Tabla2[[#This Row],[Columna1]]="por pagar"),"vencida","no")</f>
        <v>no</v>
      </c>
    </row>
    <row r="703" spans="1:23" ht="15.75" x14ac:dyDescent="0.25">
      <c r="A703" s="20">
        <v>30</v>
      </c>
      <c r="B703" s="25">
        <v>0</v>
      </c>
      <c r="C703" s="25"/>
      <c r="D703" s="56" t="s">
        <v>1561</v>
      </c>
      <c r="E703" s="66">
        <v>45133</v>
      </c>
      <c r="F703" s="323" t="s">
        <v>203</v>
      </c>
      <c r="G703" s="66">
        <v>45056</v>
      </c>
      <c r="H703" s="35" t="s">
        <v>820</v>
      </c>
      <c r="I703" s="21">
        <v>0</v>
      </c>
      <c r="J703" s="21"/>
      <c r="K703" s="22">
        <v>0</v>
      </c>
      <c r="L703" s="23"/>
      <c r="M703" s="22">
        <v>0</v>
      </c>
      <c r="N703" s="72">
        <v>0</v>
      </c>
      <c r="O703" s="22">
        <v>0</v>
      </c>
      <c r="P703" s="21">
        <v>0</v>
      </c>
      <c r="S703" s="101" t="b">
        <f>OR(COUNTIF(Tabla2[[#This Row],[PROVEEDOR]],"*"&amp;'Palabra no opera'!$A$2&amp;"*"))</f>
        <v>0</v>
      </c>
      <c r="T703" s="113">
        <f>+$W$5-Tabla2[[#This Row],[FECHA DE FACTURACIÓN]]</f>
        <v>266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15" t="str">
        <f>+IF(AND(Tabla2[[#This Row],[venc]]="venc",Tabla2[[#This Row],[Columna1]]="por pagar"),"vencida","no")</f>
        <v>no</v>
      </c>
    </row>
    <row r="704" spans="1:23" ht="15.75" x14ac:dyDescent="0.25">
      <c r="A704" s="20">
        <v>30</v>
      </c>
      <c r="B704" s="25">
        <v>0</v>
      </c>
      <c r="C704" s="25"/>
      <c r="D704" s="56" t="s">
        <v>1561</v>
      </c>
      <c r="E704" s="66">
        <v>45133</v>
      </c>
      <c r="F704" s="323" t="s">
        <v>203</v>
      </c>
      <c r="G704" s="66">
        <v>45056</v>
      </c>
      <c r="H704" s="35" t="s">
        <v>821</v>
      </c>
      <c r="I704" s="21">
        <v>216983</v>
      </c>
      <c r="J704" s="21"/>
      <c r="K704" s="22">
        <v>0</v>
      </c>
      <c r="L704" s="23"/>
      <c r="M704" s="22">
        <v>0</v>
      </c>
      <c r="N704" s="72">
        <v>0</v>
      </c>
      <c r="O704" s="22">
        <v>0</v>
      </c>
      <c r="P704" s="21">
        <v>216983</v>
      </c>
      <c r="S704" s="101" t="b">
        <f>OR(COUNTIF(Tabla2[[#This Row],[PROVEEDOR]],"*"&amp;'Palabra no opera'!$A$2&amp;"*"))</f>
        <v>0</v>
      </c>
      <c r="T704" s="113">
        <f>+$W$5-Tabla2[[#This Row],[FECHA DE FACTURACIÓN]]</f>
        <v>266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15" t="str">
        <f>+IF(AND(Tabla2[[#This Row],[venc]]="venc",Tabla2[[#This Row],[Columna1]]="por pagar"),"vencida","no")</f>
        <v>no</v>
      </c>
    </row>
    <row r="705" spans="1:23" ht="15.75" x14ac:dyDescent="0.25">
      <c r="A705" s="20">
        <v>60</v>
      </c>
      <c r="B705" s="25">
        <v>22881826.27</v>
      </c>
      <c r="C705" s="25"/>
      <c r="D705" s="56" t="s">
        <v>178</v>
      </c>
      <c r="E705" s="66">
        <v>45133</v>
      </c>
      <c r="F705" s="323" t="s">
        <v>9</v>
      </c>
      <c r="G705" s="66">
        <v>45054</v>
      </c>
      <c r="H705" s="35" t="s">
        <v>846</v>
      </c>
      <c r="I705" s="21">
        <v>-446120</v>
      </c>
      <c r="J705" s="21"/>
      <c r="K705" s="22">
        <v>-84762.8</v>
      </c>
      <c r="L705" s="23"/>
      <c r="M705" s="22">
        <v>0</v>
      </c>
      <c r="N705" s="72">
        <v>2.5000000000000001E-2</v>
      </c>
      <c r="O705" s="22">
        <v>-11153</v>
      </c>
      <c r="P705" s="21">
        <v>-519729.80000000005</v>
      </c>
      <c r="S705" s="101" t="b">
        <f>OR(COUNTIF(Tabla2[[#This Row],[PROVEEDOR]],"*"&amp;'Palabra no opera'!$A$2&amp;"*"))</f>
        <v>0</v>
      </c>
      <c r="T705" s="113">
        <f>+$W$5-Tabla2[[#This Row],[FECHA DE FACTURACIÓN]]</f>
        <v>268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15" t="str">
        <f>+IF(AND(Tabla2[[#This Row],[venc]]="venc",Tabla2[[#This Row],[Columna1]]="por pagar"),"vencida","no")</f>
        <v>no</v>
      </c>
    </row>
    <row r="706" spans="1:23" ht="15.75" x14ac:dyDescent="0.25">
      <c r="A706" s="20">
        <v>60</v>
      </c>
      <c r="B706" s="25">
        <v>22881826.27</v>
      </c>
      <c r="C706" s="25"/>
      <c r="D706" s="56" t="s">
        <v>178</v>
      </c>
      <c r="E706" s="66">
        <v>45133</v>
      </c>
      <c r="F706" s="323" t="s">
        <v>9</v>
      </c>
      <c r="G706" s="66">
        <v>45034</v>
      </c>
      <c r="H706" s="35" t="s">
        <v>790</v>
      </c>
      <c r="I706" s="21">
        <v>25848261</v>
      </c>
      <c r="J706" s="21"/>
      <c r="K706" s="22">
        <v>4911169.59</v>
      </c>
      <c r="L706" s="23"/>
      <c r="M706" s="22">
        <v>0</v>
      </c>
      <c r="N706" s="72">
        <v>2.5000000000000001E-2</v>
      </c>
      <c r="O706" s="22">
        <v>646206.52500000002</v>
      </c>
      <c r="P706" s="21">
        <v>30113224.065000001</v>
      </c>
      <c r="S706" s="101" t="b">
        <f>OR(COUNTIF(Tabla2[[#This Row],[PROVEEDOR]],"*"&amp;'Palabra no opera'!$A$2&amp;"*"))</f>
        <v>0</v>
      </c>
      <c r="T706" s="113">
        <f>+$W$5-Tabla2[[#This Row],[FECHA DE FACTURACIÓN]]</f>
        <v>288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15" t="str">
        <f>+IF(AND(Tabla2[[#This Row],[venc]]="venc",Tabla2[[#This Row],[Columna1]]="por pagar"),"vencida","no")</f>
        <v>no</v>
      </c>
    </row>
    <row r="707" spans="1:23" ht="15.75" x14ac:dyDescent="0.25">
      <c r="A707" s="20">
        <v>30</v>
      </c>
      <c r="B707" s="25">
        <v>0</v>
      </c>
      <c r="C707" s="25"/>
      <c r="D707" s="56" t="s">
        <v>104</v>
      </c>
      <c r="E707" s="66">
        <v>45132</v>
      </c>
      <c r="F707" s="323" t="s">
        <v>566</v>
      </c>
      <c r="G707" s="66">
        <v>45131</v>
      </c>
      <c r="H707" s="35" t="s">
        <v>973</v>
      </c>
      <c r="I707" s="21">
        <v>330000</v>
      </c>
      <c r="J707" s="21"/>
      <c r="K707" s="22">
        <v>0</v>
      </c>
      <c r="L707" s="23"/>
      <c r="M707" s="22">
        <v>0</v>
      </c>
      <c r="N707" s="72">
        <v>0</v>
      </c>
      <c r="O707" s="22">
        <v>0</v>
      </c>
      <c r="P707" s="21">
        <v>330000</v>
      </c>
      <c r="S707" s="101" t="b">
        <f>OR(COUNTIF(Tabla2[[#This Row],[PROVEEDOR]],"*"&amp;'Palabra no opera'!$A$2&amp;"*"))</f>
        <v>0</v>
      </c>
      <c r="T707" s="113">
        <f>+$W$5-Tabla2[[#This Row],[FECHA DE FACTURACIÓN]]</f>
        <v>191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15" t="str">
        <f>+IF(AND(Tabla2[[#This Row],[venc]]="venc",Tabla2[[#This Row],[Columna1]]="por pagar"),"vencida","no")</f>
        <v>no</v>
      </c>
    </row>
    <row r="708" spans="1:23" ht="15.75" x14ac:dyDescent="0.25">
      <c r="A708" s="20">
        <v>45</v>
      </c>
      <c r="B708" s="25">
        <v>13678360</v>
      </c>
      <c r="C708" s="25"/>
      <c r="D708" s="56" t="s">
        <v>179</v>
      </c>
      <c r="E708" s="66">
        <v>45132</v>
      </c>
      <c r="F708" s="323" t="s">
        <v>10</v>
      </c>
      <c r="G708" s="66">
        <v>45085</v>
      </c>
      <c r="H708" s="35" t="s">
        <v>874</v>
      </c>
      <c r="I708" s="21">
        <v>1265000</v>
      </c>
      <c r="J708" s="21"/>
      <c r="K708" s="22">
        <v>240350</v>
      </c>
      <c r="L708" s="23"/>
      <c r="M708" s="22">
        <v>0</v>
      </c>
      <c r="N708" s="72">
        <v>2.5000000000000001E-2</v>
      </c>
      <c r="O708" s="22">
        <v>31625</v>
      </c>
      <c r="P708" s="21">
        <v>1473725</v>
      </c>
      <c r="S708" s="101" t="b">
        <f>OR(COUNTIF(Tabla2[[#This Row],[PROVEEDOR]],"*"&amp;'Palabra no opera'!$A$2&amp;"*"))</f>
        <v>0</v>
      </c>
      <c r="T708" s="113">
        <f>+$W$5-Tabla2[[#This Row],[FECHA DE FACTURACIÓN]]</f>
        <v>237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15" t="str">
        <f>+IF(AND(Tabla2[[#This Row],[venc]]="venc",Tabla2[[#This Row],[Columna1]]="por pagar"),"vencida","no")</f>
        <v>no</v>
      </c>
    </row>
    <row r="709" spans="1:23" ht="15.75" x14ac:dyDescent="0.25">
      <c r="A709" s="20">
        <v>30</v>
      </c>
      <c r="B709" s="25">
        <v>0</v>
      </c>
      <c r="C709" s="25"/>
      <c r="D709" s="56" t="s">
        <v>104</v>
      </c>
      <c r="E709" s="66">
        <v>45131</v>
      </c>
      <c r="F709" s="323" t="s">
        <v>566</v>
      </c>
      <c r="G709" s="66">
        <v>45131</v>
      </c>
      <c r="H709" s="35" t="s">
        <v>972</v>
      </c>
      <c r="I709" s="21">
        <v>280000</v>
      </c>
      <c r="J709" s="21"/>
      <c r="K709" s="22">
        <v>0</v>
      </c>
      <c r="L709" s="23"/>
      <c r="M709" s="22">
        <v>0</v>
      </c>
      <c r="N709" s="72">
        <v>0</v>
      </c>
      <c r="O709" s="22">
        <v>0</v>
      </c>
      <c r="P709" s="21">
        <v>280000</v>
      </c>
      <c r="S709" s="101" t="b">
        <f>OR(COUNTIF(Tabla2[[#This Row],[PROVEEDOR]],"*"&amp;'Palabra no opera'!$A$2&amp;"*"))</f>
        <v>0</v>
      </c>
      <c r="T709" s="113">
        <f>+$W$5-Tabla2[[#This Row],[FECHA DE FACTURACIÓN]]</f>
        <v>191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15" t="str">
        <f>+IF(AND(Tabla2[[#This Row],[venc]]="venc",Tabla2[[#This Row],[Columna1]]="por pagar"),"vencida","no")</f>
        <v>no</v>
      </c>
    </row>
    <row r="710" spans="1:23" ht="15.75" x14ac:dyDescent="0.25">
      <c r="A710" s="20">
        <v>30</v>
      </c>
      <c r="B710" s="25">
        <v>0</v>
      </c>
      <c r="C710" s="25"/>
      <c r="D710" s="56" t="s">
        <v>233</v>
      </c>
      <c r="E710" s="66">
        <v>45131</v>
      </c>
      <c r="F710" s="323" t="s">
        <v>413</v>
      </c>
      <c r="G710" s="66">
        <v>45117</v>
      </c>
      <c r="H710" s="35" t="s">
        <v>951</v>
      </c>
      <c r="I710" s="21">
        <v>3456200</v>
      </c>
      <c r="J710" s="21"/>
      <c r="K710" s="22">
        <v>0</v>
      </c>
      <c r="L710" s="23"/>
      <c r="M710" s="22">
        <v>0</v>
      </c>
      <c r="N710" s="72">
        <v>3.5000000000000003E-2</v>
      </c>
      <c r="O710" s="22">
        <v>120967.00000000001</v>
      </c>
      <c r="P710" s="21">
        <v>3335233</v>
      </c>
      <c r="S710" s="101" t="b">
        <f>OR(COUNTIF(Tabla2[[#This Row],[PROVEEDOR]],"*"&amp;'Palabra no opera'!$A$2&amp;"*"))</f>
        <v>1</v>
      </c>
      <c r="T710" s="113">
        <f>+$W$5-Tabla2[[#This Row],[FECHA DE FACTURACIÓN]]</f>
        <v>205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15" t="str">
        <f>+IF(AND(Tabla2[[#This Row],[venc]]="venc",Tabla2[[#This Row],[Columna1]]="por pagar"),"vencida","no")</f>
        <v>no</v>
      </c>
    </row>
    <row r="711" spans="1:23" ht="15.75" x14ac:dyDescent="0.25">
      <c r="A711" s="20">
        <v>30</v>
      </c>
      <c r="B711" s="25">
        <v>0</v>
      </c>
      <c r="C711" s="25"/>
      <c r="D711" s="56" t="s">
        <v>449</v>
      </c>
      <c r="E711" s="66">
        <v>45131</v>
      </c>
      <c r="F711" s="323" t="s">
        <v>415</v>
      </c>
      <c r="G711" s="66">
        <v>45108</v>
      </c>
      <c r="H711" s="35" t="s">
        <v>949</v>
      </c>
      <c r="I711" s="21">
        <v>914023</v>
      </c>
      <c r="J711" s="21"/>
      <c r="K711" s="22">
        <v>0</v>
      </c>
      <c r="L711" s="23"/>
      <c r="M711" s="22">
        <v>0</v>
      </c>
      <c r="N711" s="72">
        <v>0</v>
      </c>
      <c r="O711" s="22">
        <v>0</v>
      </c>
      <c r="P711" s="21">
        <v>914023</v>
      </c>
      <c r="S711" s="101" t="b">
        <f>OR(COUNTIF(Tabla2[[#This Row],[PROVEEDOR]],"*"&amp;'Palabra no opera'!$A$2&amp;"*"))</f>
        <v>1</v>
      </c>
      <c r="T711" s="113">
        <f>+$W$5-Tabla2[[#This Row],[FECHA DE FACTURACIÓN]]</f>
        <v>214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15" t="str">
        <f>+IF(AND(Tabla2[[#This Row],[venc]]="venc",Tabla2[[#This Row],[Columna1]]="por pagar"),"vencida","no")</f>
        <v>no</v>
      </c>
    </row>
    <row r="712" spans="1:23" ht="15.75" x14ac:dyDescent="0.25">
      <c r="A712" s="20">
        <v>30</v>
      </c>
      <c r="B712" s="25">
        <v>0</v>
      </c>
      <c r="C712" s="25"/>
      <c r="D712" s="56" t="s">
        <v>449</v>
      </c>
      <c r="E712" s="66">
        <v>45131</v>
      </c>
      <c r="F712" s="323" t="s">
        <v>415</v>
      </c>
      <c r="G712" s="66">
        <v>45108</v>
      </c>
      <c r="H712" s="35" t="s">
        <v>950</v>
      </c>
      <c r="I712" s="21">
        <v>934363</v>
      </c>
      <c r="J712" s="21"/>
      <c r="K712" s="22">
        <v>0</v>
      </c>
      <c r="L712" s="23"/>
      <c r="M712" s="22">
        <v>0</v>
      </c>
      <c r="N712" s="72">
        <v>0</v>
      </c>
      <c r="O712" s="22">
        <v>0</v>
      </c>
      <c r="P712" s="21">
        <v>934363</v>
      </c>
      <c r="S712" s="101" t="b">
        <f>OR(COUNTIF(Tabla2[[#This Row],[PROVEEDOR]],"*"&amp;'Palabra no opera'!$A$2&amp;"*"))</f>
        <v>1</v>
      </c>
      <c r="T712" s="113">
        <f>+$W$5-Tabla2[[#This Row],[FECHA DE FACTURACIÓN]]</f>
        <v>214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15" t="str">
        <f>+IF(AND(Tabla2[[#This Row],[venc]]="venc",Tabla2[[#This Row],[Columna1]]="por pagar"),"vencida","no")</f>
        <v>no</v>
      </c>
    </row>
    <row r="713" spans="1:23" ht="15.75" x14ac:dyDescent="0.25">
      <c r="A713" s="20">
        <v>30</v>
      </c>
      <c r="B713" s="25">
        <v>0</v>
      </c>
      <c r="C713" s="25"/>
      <c r="D713" s="56" t="s">
        <v>104</v>
      </c>
      <c r="E713" s="66">
        <v>45129</v>
      </c>
      <c r="F713" s="323" t="s">
        <v>521</v>
      </c>
      <c r="G713" s="66">
        <v>45128</v>
      </c>
      <c r="H713" s="35" t="s">
        <v>980</v>
      </c>
      <c r="I713" s="21">
        <v>1600000</v>
      </c>
      <c r="J713" s="21"/>
      <c r="K713" s="22">
        <v>0</v>
      </c>
      <c r="L713" s="23"/>
      <c r="M713" s="22">
        <v>0</v>
      </c>
      <c r="N713" s="72">
        <v>0</v>
      </c>
      <c r="O713" s="22">
        <v>0</v>
      </c>
      <c r="P713" s="21">
        <v>1600000</v>
      </c>
      <c r="S713" s="101" t="b">
        <f>OR(COUNTIF(Tabla2[[#This Row],[PROVEEDOR]],"*"&amp;'Palabra no opera'!$A$2&amp;"*"))</f>
        <v>0</v>
      </c>
      <c r="T713" s="113">
        <f>+$W$5-Tabla2[[#This Row],[FECHA DE FACTURACIÓN]]</f>
        <v>194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15" t="str">
        <f>+IF(AND(Tabla2[[#This Row],[venc]]="venc",Tabla2[[#This Row],[Columna1]]="por pagar"),"vencida","no")</f>
        <v>no</v>
      </c>
    </row>
    <row r="714" spans="1:23" ht="15.75" x14ac:dyDescent="0.25">
      <c r="A714" s="20">
        <v>30</v>
      </c>
      <c r="B714" s="25">
        <v>0</v>
      </c>
      <c r="C714" s="25"/>
      <c r="D714" s="56" t="s">
        <v>104</v>
      </c>
      <c r="E714" s="66">
        <v>45128</v>
      </c>
      <c r="F714" s="323" t="s">
        <v>308</v>
      </c>
      <c r="G714" s="66">
        <v>45128</v>
      </c>
      <c r="H714" s="35" t="s">
        <v>989</v>
      </c>
      <c r="I714" s="21">
        <v>263800</v>
      </c>
      <c r="J714" s="21"/>
      <c r="K714" s="22">
        <v>0</v>
      </c>
      <c r="L714" s="23"/>
      <c r="M714" s="22">
        <v>0</v>
      </c>
      <c r="N714" s="72">
        <v>0</v>
      </c>
      <c r="O714" s="22">
        <v>0</v>
      </c>
      <c r="P714" s="21">
        <v>263800</v>
      </c>
      <c r="S714" s="101" t="b">
        <f>OR(COUNTIF(Tabla2[[#This Row],[PROVEEDOR]],"*"&amp;'Palabra no opera'!$A$2&amp;"*"))</f>
        <v>0</v>
      </c>
      <c r="T714" s="113">
        <f>+$W$5-Tabla2[[#This Row],[FECHA DE FACTURACIÓN]]</f>
        <v>194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15" t="str">
        <f>+IF(AND(Tabla2[[#This Row],[venc]]="venc",Tabla2[[#This Row],[Columna1]]="por pagar"),"vencida","no")</f>
        <v>no</v>
      </c>
    </row>
    <row r="715" spans="1:23" ht="15.75" x14ac:dyDescent="0.25">
      <c r="A715" s="20">
        <v>30</v>
      </c>
      <c r="B715" s="25">
        <v>0</v>
      </c>
      <c r="C715" s="25"/>
      <c r="D715" s="56">
        <v>0</v>
      </c>
      <c r="E715" s="66">
        <v>45128</v>
      </c>
      <c r="F715" s="323" t="s">
        <v>234</v>
      </c>
      <c r="G715" s="66">
        <v>45126</v>
      </c>
      <c r="H715" s="35" t="s">
        <v>941</v>
      </c>
      <c r="I715" s="21">
        <v>2030000</v>
      </c>
      <c r="J715" s="21"/>
      <c r="K715" s="22">
        <v>385700</v>
      </c>
      <c r="L715" s="23"/>
      <c r="M715" s="22">
        <v>0</v>
      </c>
      <c r="N715" s="72">
        <v>2.5000000000000001E-2</v>
      </c>
      <c r="O715" s="22">
        <v>50750</v>
      </c>
      <c r="P715" s="21">
        <v>2364950</v>
      </c>
      <c r="S715" s="101" t="b">
        <f>OR(COUNTIF(Tabla2[[#This Row],[PROVEEDOR]],"*"&amp;'Palabra no opera'!$A$2&amp;"*"))</f>
        <v>0</v>
      </c>
      <c r="T715" s="113">
        <f>+$W$5-Tabla2[[#This Row],[FECHA DE FACTURACIÓN]]</f>
        <v>196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15" t="str">
        <f>+IF(AND(Tabla2[[#This Row],[venc]]="venc",Tabla2[[#This Row],[Columna1]]="por pagar"),"vencida","no")</f>
        <v>no</v>
      </c>
    </row>
    <row r="716" spans="1:23" ht="15.75" x14ac:dyDescent="0.25">
      <c r="A716" s="20">
        <v>30</v>
      </c>
      <c r="B716" s="25">
        <v>1499400</v>
      </c>
      <c r="C716" s="25"/>
      <c r="D716" s="56" t="s">
        <v>170</v>
      </c>
      <c r="E716" s="66">
        <v>45128</v>
      </c>
      <c r="F716" s="323" t="s">
        <v>490</v>
      </c>
      <c r="G716" s="66">
        <v>45100</v>
      </c>
      <c r="H716" s="35" t="s">
        <v>926</v>
      </c>
      <c r="I716" s="21">
        <v>252000</v>
      </c>
      <c r="J716" s="21"/>
      <c r="K716" s="22">
        <v>47880</v>
      </c>
      <c r="L716" s="23"/>
      <c r="M716" s="22">
        <v>0</v>
      </c>
      <c r="N716" s="72">
        <v>0</v>
      </c>
      <c r="O716" s="22">
        <v>0</v>
      </c>
      <c r="P716" s="21">
        <v>299880</v>
      </c>
      <c r="S716" s="101" t="b">
        <f>OR(COUNTIF(Tabla2[[#This Row],[PROVEEDOR]],"*"&amp;'Palabra no opera'!$A$2&amp;"*"))</f>
        <v>0</v>
      </c>
      <c r="T716" s="113">
        <f>+$W$5-Tabla2[[#This Row],[FECHA DE FACTURACIÓN]]</f>
        <v>222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15" t="str">
        <f>+IF(AND(Tabla2[[#This Row],[venc]]="venc",Tabla2[[#This Row],[Columna1]]="por pagar"),"vencida","no")</f>
        <v>no</v>
      </c>
    </row>
    <row r="717" spans="1:23" ht="15.75" x14ac:dyDescent="0.25">
      <c r="A717" s="20">
        <v>30</v>
      </c>
      <c r="B717" s="25">
        <v>2169355.9580000001</v>
      </c>
      <c r="C717" s="25"/>
      <c r="D717" s="56" t="s">
        <v>164</v>
      </c>
      <c r="E717" s="66">
        <v>45128</v>
      </c>
      <c r="F717" s="323" t="s">
        <v>18</v>
      </c>
      <c r="G717" s="66">
        <v>45093</v>
      </c>
      <c r="H717" s="35" t="s">
        <v>900</v>
      </c>
      <c r="I717" s="21">
        <v>2002181</v>
      </c>
      <c r="J717" s="21"/>
      <c r="K717" s="22">
        <v>380414.39</v>
      </c>
      <c r="L717" s="23"/>
      <c r="M717" s="22">
        <v>0</v>
      </c>
      <c r="N717" s="72">
        <v>2.5000000000000001E-2</v>
      </c>
      <c r="O717" s="22">
        <v>50054.525000000001</v>
      </c>
      <c r="P717" s="21">
        <v>2332540.8650000002</v>
      </c>
      <c r="S717" s="101" t="b">
        <f>OR(COUNTIF(Tabla2[[#This Row],[PROVEEDOR]],"*"&amp;'Palabra no opera'!$A$2&amp;"*"))</f>
        <v>0</v>
      </c>
      <c r="T717" s="113">
        <f>+$W$5-Tabla2[[#This Row],[FECHA DE FACTURACIÓN]]</f>
        <v>229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15" t="str">
        <f>+IF(AND(Tabla2[[#This Row],[venc]]="venc",Tabla2[[#This Row],[Columna1]]="por pagar"),"vencida","no")</f>
        <v>no</v>
      </c>
    </row>
    <row r="718" spans="1:23" ht="15.75" x14ac:dyDescent="0.25">
      <c r="A718" s="20">
        <v>30</v>
      </c>
      <c r="B718" s="25">
        <v>1499400</v>
      </c>
      <c r="C718" s="25"/>
      <c r="D718" s="56" t="s">
        <v>170</v>
      </c>
      <c r="E718" s="66">
        <v>45128</v>
      </c>
      <c r="F718" s="323" t="s">
        <v>490</v>
      </c>
      <c r="G718" s="66">
        <v>45093</v>
      </c>
      <c r="H718" s="35" t="s">
        <v>897</v>
      </c>
      <c r="I718" s="21">
        <v>1260000</v>
      </c>
      <c r="J718" s="21"/>
      <c r="K718" s="22">
        <v>239400</v>
      </c>
      <c r="L718" s="23"/>
      <c r="M718" s="22">
        <v>0</v>
      </c>
      <c r="N718" s="72">
        <v>2.5000000000000001E-2</v>
      </c>
      <c r="O718" s="22">
        <v>31500</v>
      </c>
      <c r="P718" s="21">
        <v>1467900</v>
      </c>
      <c r="S718" s="101" t="b">
        <f>OR(COUNTIF(Tabla2[[#This Row],[PROVEEDOR]],"*"&amp;'Palabra no opera'!$A$2&amp;"*"))</f>
        <v>0</v>
      </c>
      <c r="T718" s="113">
        <f>+$W$5-Tabla2[[#This Row],[FECHA DE FACTURACIÓN]]</f>
        <v>229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15" t="str">
        <f>+IF(AND(Tabla2[[#This Row],[venc]]="venc",Tabla2[[#This Row],[Columna1]]="por pagar"),"vencida","no")</f>
        <v>no</v>
      </c>
    </row>
    <row r="719" spans="1:23" ht="15.75" x14ac:dyDescent="0.25">
      <c r="A719" s="20">
        <v>30</v>
      </c>
      <c r="B719" s="25">
        <v>1499400</v>
      </c>
      <c r="C719" s="25"/>
      <c r="D719" s="56" t="s">
        <v>170</v>
      </c>
      <c r="E719" s="66">
        <v>45128</v>
      </c>
      <c r="F719" s="323" t="s">
        <v>490</v>
      </c>
      <c r="G719" s="66">
        <v>45093</v>
      </c>
      <c r="H719" s="35" t="s">
        <v>898</v>
      </c>
      <c r="I719" s="21">
        <v>776000</v>
      </c>
      <c r="J719" s="21"/>
      <c r="K719" s="22">
        <v>147440</v>
      </c>
      <c r="L719" s="23"/>
      <c r="M719" s="22">
        <v>0</v>
      </c>
      <c r="N719" s="72">
        <v>0</v>
      </c>
      <c r="O719" s="22">
        <v>0</v>
      </c>
      <c r="P719" s="21">
        <v>923440</v>
      </c>
      <c r="S719" s="101" t="b">
        <f>OR(COUNTIF(Tabla2[[#This Row],[PROVEEDOR]],"*"&amp;'Palabra no opera'!$A$2&amp;"*"))</f>
        <v>0</v>
      </c>
      <c r="T719" s="113">
        <f>+$W$5-Tabla2[[#This Row],[FECHA DE FACTURACIÓN]]</f>
        <v>229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15" t="str">
        <f>+IF(AND(Tabla2[[#This Row],[venc]]="venc",Tabla2[[#This Row],[Columna1]]="por pagar"),"vencida","no")</f>
        <v>no</v>
      </c>
    </row>
    <row r="720" spans="1:23" ht="15.75" x14ac:dyDescent="0.25">
      <c r="A720" s="20">
        <v>30</v>
      </c>
      <c r="B720" s="25">
        <v>0</v>
      </c>
      <c r="C720" s="25"/>
      <c r="D720" s="56" t="s">
        <v>494</v>
      </c>
      <c r="E720" s="66">
        <v>45128</v>
      </c>
      <c r="F720" s="323" t="s">
        <v>24</v>
      </c>
      <c r="G720" s="66">
        <v>45090</v>
      </c>
      <c r="H720" s="35" t="s">
        <v>901</v>
      </c>
      <c r="I720" s="21">
        <v>4904750</v>
      </c>
      <c r="J720" s="21"/>
      <c r="K720" s="22">
        <v>931902.5</v>
      </c>
      <c r="L720" s="23"/>
      <c r="M720" s="22">
        <v>0</v>
      </c>
      <c r="N720" s="72">
        <v>2.5000000000000001E-2</v>
      </c>
      <c r="O720" s="22">
        <v>122618.75</v>
      </c>
      <c r="P720" s="21">
        <v>5714033.75</v>
      </c>
      <c r="S720" s="101" t="b">
        <f>OR(COUNTIF(Tabla2[[#This Row],[PROVEEDOR]],"*"&amp;'Palabra no opera'!$A$2&amp;"*"))</f>
        <v>0</v>
      </c>
      <c r="T720" s="113">
        <f>+$W$5-Tabla2[[#This Row],[FECHA DE FACTURACIÓN]]</f>
        <v>232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15" t="str">
        <f>+IF(AND(Tabla2[[#This Row],[venc]]="venc",Tabla2[[#This Row],[Columna1]]="por pagar"),"vencida","no")</f>
        <v>no</v>
      </c>
    </row>
    <row r="721" spans="1:23" ht="15.75" x14ac:dyDescent="0.25">
      <c r="A721" s="20">
        <v>30</v>
      </c>
      <c r="B721" s="25">
        <v>1499400</v>
      </c>
      <c r="C721" s="25"/>
      <c r="D721" s="56" t="s">
        <v>170</v>
      </c>
      <c r="E721" s="66">
        <v>45128</v>
      </c>
      <c r="F721" s="323" t="s">
        <v>490</v>
      </c>
      <c r="G721" s="66">
        <v>45090</v>
      </c>
      <c r="H721" s="35" t="s">
        <v>896</v>
      </c>
      <c r="I721" s="21">
        <v>2058355</v>
      </c>
      <c r="J721" s="21">
        <v>158335</v>
      </c>
      <c r="K721" s="22">
        <v>361003.8</v>
      </c>
      <c r="L721" s="23"/>
      <c r="M721" s="22">
        <v>0</v>
      </c>
      <c r="N721" s="72">
        <v>2.5000000000000001E-2</v>
      </c>
      <c r="O721" s="22">
        <v>47500.5</v>
      </c>
      <c r="P721" s="21">
        <v>2213523.2999999998</v>
      </c>
      <c r="S721" s="101" t="b">
        <f>OR(COUNTIF(Tabla2[[#This Row],[PROVEEDOR]],"*"&amp;'Palabra no opera'!$A$2&amp;"*"))</f>
        <v>0</v>
      </c>
      <c r="T721" s="113">
        <f>+$W$5-Tabla2[[#This Row],[FECHA DE FACTURACIÓN]]</f>
        <v>232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15" t="str">
        <f>+IF(AND(Tabla2[[#This Row],[venc]]="venc",Tabla2[[#This Row],[Columna1]]="por pagar"),"vencida","no")</f>
        <v>no</v>
      </c>
    </row>
    <row r="722" spans="1:23" ht="15.75" x14ac:dyDescent="0.25">
      <c r="A722" s="20">
        <v>30</v>
      </c>
      <c r="B722" s="25">
        <v>0</v>
      </c>
      <c r="C722" s="25"/>
      <c r="D722" s="56" t="s">
        <v>494</v>
      </c>
      <c r="E722" s="66">
        <v>45128</v>
      </c>
      <c r="F722" s="323" t="s">
        <v>24</v>
      </c>
      <c r="G722" s="66">
        <v>45085</v>
      </c>
      <c r="H722" s="35" t="s">
        <v>873</v>
      </c>
      <c r="I722" s="21">
        <v>2926800</v>
      </c>
      <c r="J722" s="21"/>
      <c r="K722" s="22">
        <v>556092</v>
      </c>
      <c r="L722" s="23"/>
      <c r="M722" s="22">
        <v>0</v>
      </c>
      <c r="N722" s="72">
        <v>2.5000000000000001E-2</v>
      </c>
      <c r="O722" s="22">
        <v>73170</v>
      </c>
      <c r="P722" s="21">
        <v>3409722</v>
      </c>
      <c r="S722" s="101" t="b">
        <f>OR(COUNTIF(Tabla2[[#This Row],[PROVEEDOR]],"*"&amp;'Palabra no opera'!$A$2&amp;"*"))</f>
        <v>0</v>
      </c>
      <c r="T722" s="113">
        <f>+$W$5-Tabla2[[#This Row],[FECHA DE FACTURACIÓN]]</f>
        <v>237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15" t="str">
        <f>+IF(AND(Tabla2[[#This Row],[venc]]="venc",Tabla2[[#This Row],[Columna1]]="por pagar"),"vencida","no")</f>
        <v>no</v>
      </c>
    </row>
    <row r="723" spans="1:23" ht="15.75" x14ac:dyDescent="0.25">
      <c r="A723" s="20">
        <v>30</v>
      </c>
      <c r="B723" s="25">
        <v>1499400</v>
      </c>
      <c r="C723" s="25"/>
      <c r="D723" s="56" t="s">
        <v>170</v>
      </c>
      <c r="E723" s="66">
        <v>45128</v>
      </c>
      <c r="F723" s="323" t="s">
        <v>490</v>
      </c>
      <c r="G723" s="66">
        <v>45072</v>
      </c>
      <c r="H723" s="35" t="s">
        <v>859</v>
      </c>
      <c r="I723" s="21">
        <v>470000</v>
      </c>
      <c r="J723" s="21"/>
      <c r="K723" s="22">
        <v>89300</v>
      </c>
      <c r="L723" s="23"/>
      <c r="M723" s="22">
        <v>0</v>
      </c>
      <c r="N723" s="72">
        <v>0</v>
      </c>
      <c r="O723" s="22">
        <v>0</v>
      </c>
      <c r="P723" s="21">
        <v>559300</v>
      </c>
      <c r="S723" s="101" t="b">
        <f>OR(COUNTIF(Tabla2[[#This Row],[PROVEEDOR]],"*"&amp;'Palabra no opera'!$A$2&amp;"*"))</f>
        <v>0</v>
      </c>
      <c r="T723" s="113">
        <f>+$W$5-Tabla2[[#This Row],[FECHA DE FACTURACIÓN]]</f>
        <v>250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15" t="str">
        <f>+IF(AND(Tabla2[[#This Row],[venc]]="venc",Tabla2[[#This Row],[Columna1]]="por pagar"),"vencida","no")</f>
        <v>no</v>
      </c>
    </row>
    <row r="724" spans="1:23" ht="15.75" x14ac:dyDescent="0.25">
      <c r="A724" s="20">
        <v>30</v>
      </c>
      <c r="B724" s="25">
        <v>0</v>
      </c>
      <c r="C724" s="25"/>
      <c r="D724" s="56" t="s">
        <v>300</v>
      </c>
      <c r="E724" s="66">
        <v>45126</v>
      </c>
      <c r="F724" s="323" t="s">
        <v>409</v>
      </c>
      <c r="G724" s="66">
        <v>45108</v>
      </c>
      <c r="H724" s="35" t="s">
        <v>940</v>
      </c>
      <c r="I724" s="21">
        <v>318603</v>
      </c>
      <c r="J724" s="21">
        <v>9545</v>
      </c>
      <c r="K724" s="22">
        <v>0</v>
      </c>
      <c r="L724" s="23"/>
      <c r="M724" s="22">
        <v>0</v>
      </c>
      <c r="N724" s="72">
        <v>0</v>
      </c>
      <c r="O724" s="22">
        <v>0</v>
      </c>
      <c r="P724" s="21">
        <v>309058</v>
      </c>
      <c r="S724" s="101" t="b">
        <f>OR(COUNTIF(Tabla2[[#This Row],[PROVEEDOR]],"*"&amp;'Palabra no opera'!$A$2&amp;"*"))</f>
        <v>1</v>
      </c>
      <c r="T724" s="113">
        <f>+$W$5-Tabla2[[#This Row],[FECHA DE FACTURACIÓN]]</f>
        <v>214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15" t="str">
        <f>+IF(AND(Tabla2[[#This Row],[venc]]="venc",Tabla2[[#This Row],[Columna1]]="por pagar"),"vencida","no")</f>
        <v>no</v>
      </c>
    </row>
    <row r="725" spans="1:23" ht="15.75" x14ac:dyDescent="0.25">
      <c r="A725" s="20">
        <v>60</v>
      </c>
      <c r="B725" s="25">
        <v>5363111.8674999997</v>
      </c>
      <c r="C725" s="25"/>
      <c r="D725" s="56" t="s">
        <v>168</v>
      </c>
      <c r="E725" s="66">
        <v>45126</v>
      </c>
      <c r="F725" s="323" t="s">
        <v>249</v>
      </c>
      <c r="G725" s="66">
        <v>45057</v>
      </c>
      <c r="H725" s="35" t="s">
        <v>838</v>
      </c>
      <c r="I725" s="21">
        <v>2302268</v>
      </c>
      <c r="J725" s="21"/>
      <c r="K725" s="22">
        <v>437430.92</v>
      </c>
      <c r="L725" s="23"/>
      <c r="M725" s="22">
        <v>0</v>
      </c>
      <c r="N725" s="72">
        <v>2.5000000000000001E-2</v>
      </c>
      <c r="O725" s="22">
        <v>57556.700000000004</v>
      </c>
      <c r="P725" s="21">
        <v>2682142.2199999997</v>
      </c>
      <c r="S725" s="101" t="b">
        <f>OR(COUNTIF(Tabla2[[#This Row],[PROVEEDOR]],"*"&amp;'Palabra no opera'!$A$2&amp;"*"))</f>
        <v>0</v>
      </c>
      <c r="T725" s="113">
        <f>+$W$5-Tabla2[[#This Row],[FECHA DE FACTURACIÓN]]</f>
        <v>265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15" t="str">
        <f>+IF(AND(Tabla2[[#This Row],[venc]]="venc",Tabla2[[#This Row],[Columna1]]="por pagar"),"vencida","no")</f>
        <v>no</v>
      </c>
    </row>
    <row r="726" spans="1:23" ht="15.75" x14ac:dyDescent="0.25">
      <c r="A726" s="20">
        <v>30</v>
      </c>
      <c r="B726" s="25">
        <v>0</v>
      </c>
      <c r="C726" s="25"/>
      <c r="D726" s="56">
        <v>0</v>
      </c>
      <c r="E726" s="66">
        <v>45125</v>
      </c>
      <c r="F726" s="323" t="s">
        <v>323</v>
      </c>
      <c r="G726" s="66">
        <v>45125</v>
      </c>
      <c r="H726" s="35" t="s">
        <v>939</v>
      </c>
      <c r="I726" s="21">
        <v>1431255</v>
      </c>
      <c r="J726" s="21"/>
      <c r="K726" s="22">
        <v>271938.45</v>
      </c>
      <c r="L726" s="23"/>
      <c r="M726" s="22">
        <v>0</v>
      </c>
      <c r="N726" s="72">
        <v>2.5000000000000001E-2</v>
      </c>
      <c r="O726" s="22">
        <v>35781.375</v>
      </c>
      <c r="P726" s="21">
        <v>1667412.075</v>
      </c>
      <c r="S726" s="101" t="b">
        <f>OR(COUNTIF(Tabla2[[#This Row],[PROVEEDOR]],"*"&amp;'Palabra no opera'!$A$2&amp;"*"))</f>
        <v>0</v>
      </c>
      <c r="T726" s="113">
        <f>+$W$5-Tabla2[[#This Row],[FECHA DE FACTURACIÓN]]</f>
        <v>197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15" t="str">
        <f>+IF(AND(Tabla2[[#This Row],[venc]]="venc",Tabla2[[#This Row],[Columna1]]="por pagar"),"vencida","no")</f>
        <v>no</v>
      </c>
    </row>
    <row r="727" spans="1:23" ht="15.75" x14ac:dyDescent="0.25">
      <c r="A727" s="20">
        <v>30</v>
      </c>
      <c r="B727" s="25">
        <v>0</v>
      </c>
      <c r="C727" s="25"/>
      <c r="D727" s="56" t="s">
        <v>202</v>
      </c>
      <c r="E727" s="66">
        <v>45125</v>
      </c>
      <c r="F727" s="323" t="s">
        <v>414</v>
      </c>
      <c r="G727" s="66">
        <v>45124</v>
      </c>
      <c r="H727" s="35" t="s">
        <v>947</v>
      </c>
      <c r="I727" s="21">
        <v>1650000</v>
      </c>
      <c r="J727" s="21">
        <v>16500</v>
      </c>
      <c r="K727" s="22">
        <v>310365</v>
      </c>
      <c r="L727" s="23"/>
      <c r="M727" s="22">
        <v>0</v>
      </c>
      <c r="N727" s="72">
        <v>0.11</v>
      </c>
      <c r="O727" s="22">
        <v>179685</v>
      </c>
      <c r="P727" s="21">
        <v>1764180</v>
      </c>
      <c r="S727" s="101" t="b">
        <f>OR(COUNTIF(Tabla2[[#This Row],[PROVEEDOR]],"*"&amp;'Palabra no opera'!$A$2&amp;"*"))</f>
        <v>1</v>
      </c>
      <c r="T727" s="113">
        <f>+$W$5-Tabla2[[#This Row],[FECHA DE FACTURACIÓN]]</f>
        <v>198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15" t="str">
        <f>+IF(AND(Tabla2[[#This Row],[venc]]="venc",Tabla2[[#This Row],[Columna1]]="por pagar"),"vencida","no")</f>
        <v>no</v>
      </c>
    </row>
    <row r="728" spans="1:23" ht="15.75" x14ac:dyDescent="0.25">
      <c r="A728" s="20">
        <v>30</v>
      </c>
      <c r="B728" s="25">
        <v>-2000</v>
      </c>
      <c r="C728" s="25"/>
      <c r="D728" s="56">
        <v>0</v>
      </c>
      <c r="E728" s="66">
        <v>45124</v>
      </c>
      <c r="F728" s="323" t="s">
        <v>881</v>
      </c>
      <c r="G728" s="66">
        <v>45122</v>
      </c>
      <c r="H728" s="35">
        <v>4</v>
      </c>
      <c r="I728" s="21">
        <v>369000</v>
      </c>
      <c r="J728" s="21"/>
      <c r="K728" s="22">
        <v>0</v>
      </c>
      <c r="L728" s="23"/>
      <c r="M728" s="22">
        <v>0</v>
      </c>
      <c r="N728" s="72">
        <v>0</v>
      </c>
      <c r="O728" s="22">
        <v>0</v>
      </c>
      <c r="P728" s="21">
        <v>369000</v>
      </c>
      <c r="S728" s="101" t="b">
        <f>OR(COUNTIF(Tabla2[[#This Row],[PROVEEDOR]],"*"&amp;'Palabra no opera'!$A$2&amp;"*"))</f>
        <v>0</v>
      </c>
      <c r="T728" s="113">
        <f>+$W$5-Tabla2[[#This Row],[FECHA DE FACTURACIÓN]]</f>
        <v>200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15" t="str">
        <f>+IF(AND(Tabla2[[#This Row],[venc]]="venc",Tabla2[[#This Row],[Columna1]]="por pagar"),"vencida","no")</f>
        <v>no</v>
      </c>
    </row>
    <row r="729" spans="1:23" ht="15.75" x14ac:dyDescent="0.25">
      <c r="A729" s="20">
        <v>30</v>
      </c>
      <c r="B729" s="25">
        <v>0</v>
      </c>
      <c r="C729" s="25"/>
      <c r="D729" s="56" t="s">
        <v>1508</v>
      </c>
      <c r="E729" s="66">
        <v>45124</v>
      </c>
      <c r="F729" s="323" t="s">
        <v>406</v>
      </c>
      <c r="G729" s="66">
        <v>45109</v>
      </c>
      <c r="H729" s="35" t="s">
        <v>938</v>
      </c>
      <c r="I729" s="21">
        <v>1840056</v>
      </c>
      <c r="J729" s="21"/>
      <c r="K729" s="22">
        <v>0</v>
      </c>
      <c r="L729" s="23"/>
      <c r="M729" s="22">
        <v>105097</v>
      </c>
      <c r="N729" s="72">
        <v>0</v>
      </c>
      <c r="O729" s="22">
        <v>0</v>
      </c>
      <c r="P729" s="21">
        <v>1734959</v>
      </c>
      <c r="S729" s="101" t="b">
        <f>OR(COUNTIF(Tabla2[[#This Row],[PROVEEDOR]],"*"&amp;'Palabra no opera'!$A$2&amp;"*"))</f>
        <v>1</v>
      </c>
      <c r="T729" s="113">
        <f>+$W$5-Tabla2[[#This Row],[FECHA DE FACTURACIÓN]]</f>
        <v>213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15" t="str">
        <f>+IF(AND(Tabla2[[#This Row],[venc]]="venc",Tabla2[[#This Row],[Columna1]]="por pagar"),"vencida","no")</f>
        <v>no</v>
      </c>
    </row>
    <row r="730" spans="1:23" ht="15.75" x14ac:dyDescent="0.25">
      <c r="A730" s="20">
        <v>60</v>
      </c>
      <c r="B730" s="25">
        <v>3708614</v>
      </c>
      <c r="C730" s="25"/>
      <c r="D730" s="56" t="s">
        <v>645</v>
      </c>
      <c r="E730" s="66">
        <v>45124</v>
      </c>
      <c r="F730" s="323" t="s">
        <v>250</v>
      </c>
      <c r="G730" s="66">
        <v>45107</v>
      </c>
      <c r="H730" s="35">
        <v>1715</v>
      </c>
      <c r="I730" s="21">
        <v>226200</v>
      </c>
      <c r="J730" s="21"/>
      <c r="K730" s="22">
        <v>0</v>
      </c>
      <c r="L730" s="23"/>
      <c r="M730" s="22">
        <v>0</v>
      </c>
      <c r="N730" s="72">
        <v>0</v>
      </c>
      <c r="O730" s="22">
        <v>0</v>
      </c>
      <c r="P730" s="21">
        <v>226200</v>
      </c>
      <c r="S730" s="101" t="b">
        <f>OR(COUNTIF(Tabla2[[#This Row],[PROVEEDOR]],"*"&amp;'Palabra no opera'!$A$2&amp;"*"))</f>
        <v>0</v>
      </c>
      <c r="T730" s="113">
        <f>+$W$5-Tabla2[[#This Row],[FECHA DE FACTURACIÓN]]</f>
        <v>215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15" t="str">
        <f>+IF(AND(Tabla2[[#This Row],[venc]]="venc",Tabla2[[#This Row],[Columna1]]="por pagar"),"vencida","no")</f>
        <v>no</v>
      </c>
    </row>
    <row r="731" spans="1:23" ht="15.75" x14ac:dyDescent="0.25">
      <c r="A731" s="20">
        <v>60</v>
      </c>
      <c r="B731" s="25">
        <v>3708614</v>
      </c>
      <c r="C731" s="25"/>
      <c r="D731" s="56" t="s">
        <v>645</v>
      </c>
      <c r="E731" s="66">
        <v>45124</v>
      </c>
      <c r="F731" s="323" t="s">
        <v>250</v>
      </c>
      <c r="G731" s="66">
        <v>45107</v>
      </c>
      <c r="H731" s="35">
        <v>1716</v>
      </c>
      <c r="I731" s="21">
        <v>226200</v>
      </c>
      <c r="J731" s="21"/>
      <c r="K731" s="22">
        <v>0</v>
      </c>
      <c r="L731" s="23"/>
      <c r="M731" s="22">
        <v>0</v>
      </c>
      <c r="N731" s="72">
        <v>0</v>
      </c>
      <c r="O731" s="22">
        <v>0</v>
      </c>
      <c r="P731" s="21">
        <v>226200</v>
      </c>
      <c r="S731" s="101" t="b">
        <f>OR(COUNTIF(Tabla2[[#This Row],[PROVEEDOR]],"*"&amp;'Palabra no opera'!$A$2&amp;"*"))</f>
        <v>0</v>
      </c>
      <c r="T731" s="113">
        <f>+$W$5-Tabla2[[#This Row],[FECHA DE FACTURACIÓN]]</f>
        <v>215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15" t="str">
        <f>+IF(AND(Tabla2[[#This Row],[venc]]="venc",Tabla2[[#This Row],[Columna1]]="por pagar"),"vencida","no")</f>
        <v>no</v>
      </c>
    </row>
    <row r="732" spans="1:23" ht="15.75" x14ac:dyDescent="0.25">
      <c r="A732" s="20">
        <v>45</v>
      </c>
      <c r="B732" s="25">
        <v>3074500</v>
      </c>
      <c r="C732" s="25"/>
      <c r="D732" s="56" t="s">
        <v>645</v>
      </c>
      <c r="E732" s="66">
        <v>45124</v>
      </c>
      <c r="F732" s="323" t="s">
        <v>252</v>
      </c>
      <c r="G732" s="66">
        <v>45100</v>
      </c>
      <c r="H732" s="35">
        <v>1706</v>
      </c>
      <c r="I732" s="21">
        <v>2781390</v>
      </c>
      <c r="J732" s="21"/>
      <c r="K732" s="22">
        <v>0</v>
      </c>
      <c r="L732" s="23"/>
      <c r="M732" s="22">
        <v>0</v>
      </c>
      <c r="N732" s="72">
        <v>0</v>
      </c>
      <c r="O732" s="22">
        <v>0</v>
      </c>
      <c r="P732" s="21">
        <v>2781390</v>
      </c>
      <c r="S732" s="101" t="b">
        <f>OR(COUNTIF(Tabla2[[#This Row],[PROVEEDOR]],"*"&amp;'Palabra no opera'!$A$2&amp;"*"))</f>
        <v>0</v>
      </c>
      <c r="T732" s="113">
        <f>+$W$5-Tabla2[[#This Row],[FECHA DE FACTURACIÓN]]</f>
        <v>222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15" t="str">
        <f>+IF(AND(Tabla2[[#This Row],[venc]]="venc",Tabla2[[#This Row],[Columna1]]="por pagar"),"vencida","no")</f>
        <v>no</v>
      </c>
    </row>
    <row r="733" spans="1:23" ht="15.75" x14ac:dyDescent="0.25">
      <c r="A733" s="20">
        <v>60</v>
      </c>
      <c r="B733" s="25">
        <v>3708614</v>
      </c>
      <c r="C733" s="25"/>
      <c r="D733" s="56" t="s">
        <v>645</v>
      </c>
      <c r="E733" s="66">
        <v>45124</v>
      </c>
      <c r="F733" s="323" t="s">
        <v>250</v>
      </c>
      <c r="G733" s="66">
        <v>45096</v>
      </c>
      <c r="H733" s="35">
        <v>1698</v>
      </c>
      <c r="I733" s="21">
        <v>174000</v>
      </c>
      <c r="J733" s="21"/>
      <c r="K733" s="22">
        <v>0</v>
      </c>
      <c r="L733" s="23"/>
      <c r="M733" s="22">
        <v>0</v>
      </c>
      <c r="N733" s="72">
        <v>0</v>
      </c>
      <c r="O733" s="22">
        <v>0</v>
      </c>
      <c r="P733" s="21">
        <v>174000</v>
      </c>
      <c r="S733" s="101" t="b">
        <f>OR(COUNTIF(Tabla2[[#This Row],[PROVEEDOR]],"*"&amp;'Palabra no opera'!$A$2&amp;"*"))</f>
        <v>0</v>
      </c>
      <c r="T733" s="113">
        <f>+$W$5-Tabla2[[#This Row],[FECHA DE FACTURACIÓN]]</f>
        <v>226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15" t="str">
        <f>+IF(AND(Tabla2[[#This Row],[venc]]="venc",Tabla2[[#This Row],[Columna1]]="por pagar"),"vencida","no")</f>
        <v>no</v>
      </c>
    </row>
    <row r="734" spans="1:23" ht="15.75" x14ac:dyDescent="0.25">
      <c r="A734" s="20">
        <v>60</v>
      </c>
      <c r="B734" s="25">
        <v>3708614</v>
      </c>
      <c r="C734" s="25"/>
      <c r="D734" s="56" t="s">
        <v>645</v>
      </c>
      <c r="E734" s="66">
        <v>45124</v>
      </c>
      <c r="F734" s="323" t="s">
        <v>250</v>
      </c>
      <c r="G734" s="66">
        <v>45096</v>
      </c>
      <c r="H734" s="35">
        <v>1699</v>
      </c>
      <c r="I734" s="21">
        <v>174000</v>
      </c>
      <c r="J734" s="21"/>
      <c r="K734" s="22">
        <v>0</v>
      </c>
      <c r="L734" s="23"/>
      <c r="M734" s="22">
        <v>0</v>
      </c>
      <c r="N734" s="72">
        <v>0</v>
      </c>
      <c r="O734" s="22">
        <v>0</v>
      </c>
      <c r="P734" s="21">
        <v>174000</v>
      </c>
      <c r="S734" s="101" t="b">
        <f>OR(COUNTIF(Tabla2[[#This Row],[PROVEEDOR]],"*"&amp;'Palabra no opera'!$A$2&amp;"*"))</f>
        <v>0</v>
      </c>
      <c r="T734" s="113">
        <f>+$W$5-Tabla2[[#This Row],[FECHA DE FACTURACIÓN]]</f>
        <v>226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15" t="str">
        <f>+IF(AND(Tabla2[[#This Row],[venc]]="venc",Tabla2[[#This Row],[Columna1]]="por pagar"),"vencida","no")</f>
        <v>no</v>
      </c>
    </row>
    <row r="735" spans="1:23" ht="15.75" x14ac:dyDescent="0.25">
      <c r="A735" s="20">
        <v>60</v>
      </c>
      <c r="B735" s="25">
        <v>3708614</v>
      </c>
      <c r="C735" s="25"/>
      <c r="D735" s="56" t="s">
        <v>645</v>
      </c>
      <c r="E735" s="66">
        <v>45124</v>
      </c>
      <c r="F735" s="323" t="s">
        <v>250</v>
      </c>
      <c r="G735" s="66">
        <v>45096</v>
      </c>
      <c r="H735" s="35">
        <v>1700</v>
      </c>
      <c r="I735" s="21">
        <v>191400</v>
      </c>
      <c r="J735" s="21"/>
      <c r="K735" s="22">
        <v>0</v>
      </c>
      <c r="L735" s="23"/>
      <c r="M735" s="22">
        <v>0</v>
      </c>
      <c r="N735" s="72">
        <v>0</v>
      </c>
      <c r="O735" s="22">
        <v>0</v>
      </c>
      <c r="P735" s="21">
        <v>191400</v>
      </c>
      <c r="S735" s="101" t="b">
        <f>OR(COUNTIF(Tabla2[[#This Row],[PROVEEDOR]],"*"&amp;'Palabra no opera'!$A$2&amp;"*"))</f>
        <v>0</v>
      </c>
      <c r="T735" s="113">
        <f>+$W$5-Tabla2[[#This Row],[FECHA DE FACTURACIÓN]]</f>
        <v>226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15" t="str">
        <f>+IF(AND(Tabla2[[#This Row],[venc]]="venc",Tabla2[[#This Row],[Columna1]]="por pagar"),"vencida","no")</f>
        <v>no</v>
      </c>
    </row>
    <row r="736" spans="1:23" ht="15.75" x14ac:dyDescent="0.25">
      <c r="A736" s="20">
        <v>60</v>
      </c>
      <c r="B736" s="25">
        <v>3708614</v>
      </c>
      <c r="C736" s="25"/>
      <c r="D736" s="56" t="s">
        <v>645</v>
      </c>
      <c r="E736" s="66">
        <v>45124</v>
      </c>
      <c r="F736" s="323" t="s">
        <v>250</v>
      </c>
      <c r="G736" s="66">
        <v>45096</v>
      </c>
      <c r="H736" s="35">
        <v>1701</v>
      </c>
      <c r="I736" s="21">
        <v>191400</v>
      </c>
      <c r="J736" s="21"/>
      <c r="K736" s="22">
        <v>0</v>
      </c>
      <c r="L736" s="23"/>
      <c r="M736" s="22">
        <v>0</v>
      </c>
      <c r="N736" s="72">
        <v>0</v>
      </c>
      <c r="O736" s="22">
        <v>0</v>
      </c>
      <c r="P736" s="21">
        <v>191400</v>
      </c>
      <c r="S736" s="101" t="b">
        <f>OR(COUNTIF(Tabla2[[#This Row],[PROVEEDOR]],"*"&amp;'Palabra no opera'!$A$2&amp;"*"))</f>
        <v>0</v>
      </c>
      <c r="T736" s="113">
        <f>+$W$5-Tabla2[[#This Row],[FECHA DE FACTURACIÓN]]</f>
        <v>226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15" t="str">
        <f>+IF(AND(Tabla2[[#This Row],[venc]]="venc",Tabla2[[#This Row],[Columna1]]="por pagar"),"vencida","no")</f>
        <v>no</v>
      </c>
    </row>
    <row r="737" spans="1:23" ht="15.75" x14ac:dyDescent="0.25">
      <c r="A737" s="20">
        <v>30</v>
      </c>
      <c r="B737" s="25">
        <v>12328400</v>
      </c>
      <c r="C737" s="25"/>
      <c r="D737" s="56" t="s">
        <v>171</v>
      </c>
      <c r="E737" s="66">
        <v>45124</v>
      </c>
      <c r="F737" s="323" t="s">
        <v>485</v>
      </c>
      <c r="G737" s="66">
        <v>45093</v>
      </c>
      <c r="H737" s="35" t="s">
        <v>922</v>
      </c>
      <c r="I737" s="21">
        <v>420000</v>
      </c>
      <c r="J737" s="21"/>
      <c r="K737" s="22">
        <v>79800</v>
      </c>
      <c r="L737" s="23"/>
      <c r="M737" s="22">
        <v>0</v>
      </c>
      <c r="N737" s="72">
        <v>0</v>
      </c>
      <c r="O737" s="22">
        <v>0</v>
      </c>
      <c r="P737" s="21">
        <v>499800</v>
      </c>
      <c r="S737" s="101" t="b">
        <f>OR(COUNTIF(Tabla2[[#This Row],[PROVEEDOR]],"*"&amp;'Palabra no opera'!$A$2&amp;"*"))</f>
        <v>0</v>
      </c>
      <c r="T737" s="113">
        <f>+$W$5-Tabla2[[#This Row],[FECHA DE FACTURACIÓN]]</f>
        <v>229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15" t="str">
        <f>+IF(AND(Tabla2[[#This Row],[venc]]="venc",Tabla2[[#This Row],[Columna1]]="por pagar"),"vencida","no")</f>
        <v>no</v>
      </c>
    </row>
    <row r="738" spans="1:23" ht="15.75" x14ac:dyDescent="0.25">
      <c r="A738" s="20">
        <v>30</v>
      </c>
      <c r="B738" s="25">
        <v>12328400</v>
      </c>
      <c r="C738" s="25"/>
      <c r="D738" s="56" t="s">
        <v>171</v>
      </c>
      <c r="E738" s="66">
        <v>45124</v>
      </c>
      <c r="F738" s="323" t="s">
        <v>485</v>
      </c>
      <c r="G738" s="66">
        <v>45091</v>
      </c>
      <c r="H738" s="35" t="s">
        <v>921</v>
      </c>
      <c r="I738" s="21">
        <v>930000</v>
      </c>
      <c r="J738" s="21"/>
      <c r="K738" s="22">
        <v>176700</v>
      </c>
      <c r="L738" s="23"/>
      <c r="M738" s="22">
        <v>0</v>
      </c>
      <c r="N738" s="72">
        <v>0</v>
      </c>
      <c r="O738" s="22">
        <v>0</v>
      </c>
      <c r="P738" s="21">
        <v>1106700</v>
      </c>
      <c r="S738" s="101" t="b">
        <f>OR(COUNTIF(Tabla2[[#This Row],[PROVEEDOR]],"*"&amp;'Palabra no opera'!$A$2&amp;"*"))</f>
        <v>0</v>
      </c>
      <c r="T738" s="113">
        <f>+$W$5-Tabla2[[#This Row],[FECHA DE FACTURACIÓN]]</f>
        <v>231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15" t="str">
        <f>+IF(AND(Tabla2[[#This Row],[venc]]="venc",Tabla2[[#This Row],[Columna1]]="por pagar"),"vencida","no")</f>
        <v>no</v>
      </c>
    </row>
    <row r="739" spans="1:23" ht="15.75" x14ac:dyDescent="0.25">
      <c r="A739" s="20">
        <v>30</v>
      </c>
      <c r="B739" s="25">
        <v>0</v>
      </c>
      <c r="C739" s="25"/>
      <c r="D739" s="56" t="s">
        <v>245</v>
      </c>
      <c r="E739" s="66">
        <v>45124</v>
      </c>
      <c r="F739" s="323" t="s">
        <v>221</v>
      </c>
      <c r="G739" s="66">
        <v>45090</v>
      </c>
      <c r="H739" s="35" t="s">
        <v>895</v>
      </c>
      <c r="I739" s="21">
        <v>974525</v>
      </c>
      <c r="J739" s="21"/>
      <c r="K739" s="22">
        <v>185159.75</v>
      </c>
      <c r="L739" s="23"/>
      <c r="M739" s="22">
        <v>0</v>
      </c>
      <c r="N739" s="72">
        <v>0</v>
      </c>
      <c r="O739" s="22">
        <v>0</v>
      </c>
      <c r="P739" s="21">
        <v>1159684.75</v>
      </c>
      <c r="S739" s="101" t="b">
        <f>OR(COUNTIF(Tabla2[[#This Row],[PROVEEDOR]],"*"&amp;'Palabra no opera'!$A$2&amp;"*"))</f>
        <v>0</v>
      </c>
      <c r="T739" s="113">
        <f>+$W$5-Tabla2[[#This Row],[FECHA DE FACTURACIÓN]]</f>
        <v>232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15" t="str">
        <f>+IF(AND(Tabla2[[#This Row],[venc]]="venc",Tabla2[[#This Row],[Columna1]]="por pagar"),"vencida","no")</f>
        <v>no</v>
      </c>
    </row>
    <row r="740" spans="1:23" ht="15.75" x14ac:dyDescent="0.25">
      <c r="A740" s="20">
        <v>30</v>
      </c>
      <c r="B740" s="25">
        <v>12328400</v>
      </c>
      <c r="C740" s="25"/>
      <c r="D740" s="56" t="s">
        <v>171</v>
      </c>
      <c r="E740" s="66">
        <v>45124</v>
      </c>
      <c r="F740" s="323" t="s">
        <v>485</v>
      </c>
      <c r="G740" s="66">
        <v>45086</v>
      </c>
      <c r="H740" s="35" t="s">
        <v>899</v>
      </c>
      <c r="I740" s="21">
        <v>7056000</v>
      </c>
      <c r="J740" s="21"/>
      <c r="K740" s="22">
        <v>1340640</v>
      </c>
      <c r="L740" s="23"/>
      <c r="M740" s="22">
        <v>0</v>
      </c>
      <c r="N740" s="72">
        <v>0</v>
      </c>
      <c r="O740" s="22">
        <v>0</v>
      </c>
      <c r="P740" s="21">
        <v>8396640</v>
      </c>
      <c r="S740" s="101" t="b">
        <f>OR(COUNTIF(Tabla2[[#This Row],[PROVEEDOR]],"*"&amp;'Palabra no opera'!$A$2&amp;"*"))</f>
        <v>0</v>
      </c>
      <c r="T740" s="113">
        <f>+$W$5-Tabla2[[#This Row],[FECHA DE FACTURACIÓN]]</f>
        <v>236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15" t="str">
        <f>+IF(AND(Tabla2[[#This Row],[venc]]="venc",Tabla2[[#This Row],[Columna1]]="por pagar"),"vencida","no")</f>
        <v>no</v>
      </c>
    </row>
    <row r="741" spans="1:23" ht="15.75" x14ac:dyDescent="0.25">
      <c r="A741" s="20">
        <v>30</v>
      </c>
      <c r="B741" s="25">
        <v>12328400</v>
      </c>
      <c r="C741" s="25"/>
      <c r="D741" s="56" t="s">
        <v>171</v>
      </c>
      <c r="E741" s="66">
        <v>45124</v>
      </c>
      <c r="F741" s="323" t="s">
        <v>485</v>
      </c>
      <c r="G741" s="66">
        <v>45078</v>
      </c>
      <c r="H741" s="35" t="s">
        <v>875</v>
      </c>
      <c r="I741" s="21">
        <v>4512000</v>
      </c>
      <c r="J741" s="21"/>
      <c r="K741" s="22">
        <v>857280</v>
      </c>
      <c r="L741" s="23"/>
      <c r="M741" s="22">
        <v>0</v>
      </c>
      <c r="N741" s="72">
        <v>0</v>
      </c>
      <c r="O741" s="22">
        <v>0</v>
      </c>
      <c r="P741" s="21">
        <v>5369280</v>
      </c>
      <c r="S741" s="101" t="b">
        <f>OR(COUNTIF(Tabla2[[#This Row],[PROVEEDOR]],"*"&amp;'Palabra no opera'!$A$2&amp;"*"))</f>
        <v>0</v>
      </c>
      <c r="T741" s="113">
        <f>+$W$5-Tabla2[[#This Row],[FECHA DE FACTURACIÓN]]</f>
        <v>244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15" t="str">
        <f>+IF(AND(Tabla2[[#This Row],[venc]]="venc",Tabla2[[#This Row],[Columna1]]="por pagar"),"vencida","no")</f>
        <v>no</v>
      </c>
    </row>
    <row r="742" spans="1:23" ht="15.75" x14ac:dyDescent="0.25">
      <c r="A742" s="20">
        <v>60</v>
      </c>
      <c r="B742" s="25">
        <v>3708614</v>
      </c>
      <c r="C742" s="25"/>
      <c r="D742" s="56" t="s">
        <v>645</v>
      </c>
      <c r="E742" s="66">
        <v>45124</v>
      </c>
      <c r="F742" s="323" t="s">
        <v>250</v>
      </c>
      <c r="G742" s="66">
        <v>45076</v>
      </c>
      <c r="H742" s="35">
        <v>1687</v>
      </c>
      <c r="I742" s="21">
        <v>180000</v>
      </c>
      <c r="J742" s="21"/>
      <c r="K742" s="22">
        <v>0</v>
      </c>
      <c r="L742" s="23"/>
      <c r="M742" s="22">
        <v>0</v>
      </c>
      <c r="N742" s="72">
        <v>0</v>
      </c>
      <c r="O742" s="22">
        <v>0</v>
      </c>
      <c r="P742" s="21">
        <v>180000</v>
      </c>
      <c r="S742" s="101" t="b">
        <f>OR(COUNTIF(Tabla2[[#This Row],[PROVEEDOR]],"*"&amp;'Palabra no opera'!$A$2&amp;"*"))</f>
        <v>0</v>
      </c>
      <c r="T742" s="113">
        <f>+$W$5-Tabla2[[#This Row],[FECHA DE FACTURACIÓN]]</f>
        <v>246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15" t="str">
        <f>+IF(AND(Tabla2[[#This Row],[venc]]="venc",Tabla2[[#This Row],[Columna1]]="por pagar"),"vencida","no")</f>
        <v>no</v>
      </c>
    </row>
    <row r="743" spans="1:23" ht="15.75" x14ac:dyDescent="0.25">
      <c r="A743" s="20">
        <v>60</v>
      </c>
      <c r="B743" s="25">
        <v>3708614</v>
      </c>
      <c r="C743" s="25"/>
      <c r="D743" s="56" t="s">
        <v>645</v>
      </c>
      <c r="E743" s="66">
        <v>45124</v>
      </c>
      <c r="F743" s="323" t="s">
        <v>250</v>
      </c>
      <c r="G743" s="66">
        <v>45076</v>
      </c>
      <c r="H743" s="35">
        <v>1688</v>
      </c>
      <c r="I743" s="21">
        <v>180000</v>
      </c>
      <c r="J743" s="21"/>
      <c r="K743" s="22">
        <v>0</v>
      </c>
      <c r="L743" s="23"/>
      <c r="M743" s="22">
        <v>0</v>
      </c>
      <c r="N743" s="72">
        <v>0</v>
      </c>
      <c r="O743" s="22">
        <v>0</v>
      </c>
      <c r="P743" s="21">
        <v>180000</v>
      </c>
      <c r="S743" s="101" t="b">
        <f>OR(COUNTIF(Tabla2[[#This Row],[PROVEEDOR]],"*"&amp;'Palabra no opera'!$A$2&amp;"*"))</f>
        <v>0</v>
      </c>
      <c r="T743" s="113">
        <f>+$W$5-Tabla2[[#This Row],[FECHA DE FACTURACIÓN]]</f>
        <v>246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15" t="str">
        <f>+IF(AND(Tabla2[[#This Row],[venc]]="venc",Tabla2[[#This Row],[Columna1]]="por pagar"),"vencida","no")</f>
        <v>no</v>
      </c>
    </row>
    <row r="744" spans="1:23" ht="15.75" x14ac:dyDescent="0.25">
      <c r="A744" s="20">
        <v>30</v>
      </c>
      <c r="B744" s="25">
        <v>380979.69</v>
      </c>
      <c r="C744" s="25"/>
      <c r="D744" s="56" t="s">
        <v>255</v>
      </c>
      <c r="E744" s="66">
        <v>45124</v>
      </c>
      <c r="F744" s="323" t="s">
        <v>393</v>
      </c>
      <c r="G744" s="66">
        <v>45069</v>
      </c>
      <c r="H744" s="35" t="s">
        <v>857</v>
      </c>
      <c r="I744" s="21">
        <v>3548068</v>
      </c>
      <c r="J744" s="21"/>
      <c r="K744" s="22">
        <v>674132.92</v>
      </c>
      <c r="L744" s="23"/>
      <c r="M744" s="22">
        <v>0</v>
      </c>
      <c r="N744" s="72">
        <v>0</v>
      </c>
      <c r="O744" s="22">
        <v>0</v>
      </c>
      <c r="P744" s="21">
        <v>4222200.92</v>
      </c>
      <c r="S744" s="101" t="b">
        <f>OR(COUNTIF(Tabla2[[#This Row],[PROVEEDOR]],"*"&amp;'Palabra no opera'!$A$2&amp;"*"))</f>
        <v>1</v>
      </c>
      <c r="T744" s="113">
        <f>+$W$5-Tabla2[[#This Row],[FECHA DE FACTURACIÓN]]</f>
        <v>253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15" t="str">
        <f>+IF(AND(Tabla2[[#This Row],[venc]]="venc",Tabla2[[#This Row],[Columna1]]="por pagar"),"vencida","no")</f>
        <v>no</v>
      </c>
    </row>
    <row r="745" spans="1:23" ht="15.75" x14ac:dyDescent="0.25">
      <c r="A745" s="20">
        <v>30</v>
      </c>
      <c r="B745" s="25">
        <v>380979.69</v>
      </c>
      <c r="C745" s="25"/>
      <c r="D745" s="56" t="s">
        <v>255</v>
      </c>
      <c r="E745" s="66">
        <v>45124</v>
      </c>
      <c r="F745" s="323" t="s">
        <v>393</v>
      </c>
      <c r="G745" s="66">
        <v>45069</v>
      </c>
      <c r="H745" s="35" t="s">
        <v>858</v>
      </c>
      <c r="I745" s="21">
        <v>3548068</v>
      </c>
      <c r="J745" s="21"/>
      <c r="K745" s="22">
        <v>674132.92</v>
      </c>
      <c r="L745" s="23"/>
      <c r="M745" s="22">
        <v>0</v>
      </c>
      <c r="N745" s="72">
        <v>0</v>
      </c>
      <c r="O745" s="22">
        <v>0</v>
      </c>
      <c r="P745" s="21">
        <v>4222200.92</v>
      </c>
      <c r="S745" s="101" t="b">
        <f>OR(COUNTIF(Tabla2[[#This Row],[PROVEEDOR]],"*"&amp;'Palabra no opera'!$A$2&amp;"*"))</f>
        <v>1</v>
      </c>
      <c r="T745" s="113">
        <f>+$W$5-Tabla2[[#This Row],[FECHA DE FACTURACIÓN]]</f>
        <v>253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15" t="str">
        <f>+IF(AND(Tabla2[[#This Row],[venc]]="venc",Tabla2[[#This Row],[Columna1]]="por pagar"),"vencida","no")</f>
        <v>no</v>
      </c>
    </row>
    <row r="746" spans="1:23" ht="15.75" x14ac:dyDescent="0.25">
      <c r="A746" s="20">
        <v>60</v>
      </c>
      <c r="B746" s="25">
        <v>3708614</v>
      </c>
      <c r="C746" s="25"/>
      <c r="D746" s="56" t="s">
        <v>645</v>
      </c>
      <c r="E746" s="66">
        <v>45124</v>
      </c>
      <c r="F746" s="323" t="s">
        <v>250</v>
      </c>
      <c r="G746" s="66">
        <v>45051</v>
      </c>
      <c r="H746" s="35">
        <v>1672</v>
      </c>
      <c r="I746" s="21">
        <v>224640</v>
      </c>
      <c r="J746" s="21"/>
      <c r="K746" s="22">
        <v>0</v>
      </c>
      <c r="L746" s="23"/>
      <c r="M746" s="22">
        <v>0</v>
      </c>
      <c r="N746" s="72">
        <v>0</v>
      </c>
      <c r="O746" s="22">
        <v>0</v>
      </c>
      <c r="P746" s="21">
        <v>224640</v>
      </c>
      <c r="S746" s="101" t="b">
        <f>OR(COUNTIF(Tabla2[[#This Row],[PROVEEDOR]],"*"&amp;'Palabra no opera'!$A$2&amp;"*"))</f>
        <v>0</v>
      </c>
      <c r="T746" s="113">
        <f>+$W$5-Tabla2[[#This Row],[FECHA DE FACTURACIÓN]]</f>
        <v>271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15" t="str">
        <f>+IF(AND(Tabla2[[#This Row],[venc]]="venc",Tabla2[[#This Row],[Columna1]]="por pagar"),"vencida","no")</f>
        <v>no</v>
      </c>
    </row>
    <row r="747" spans="1:23" ht="15.75" x14ac:dyDescent="0.25">
      <c r="A747" s="20">
        <v>60</v>
      </c>
      <c r="B747" s="25">
        <v>3708614</v>
      </c>
      <c r="C747" s="25"/>
      <c r="D747" s="56" t="s">
        <v>645</v>
      </c>
      <c r="E747" s="66">
        <v>45124</v>
      </c>
      <c r="F747" s="323" t="s">
        <v>250</v>
      </c>
      <c r="G747" s="66">
        <v>45051</v>
      </c>
      <c r="H747" s="35">
        <v>1673</v>
      </c>
      <c r="I747" s="21">
        <v>187200</v>
      </c>
      <c r="J747" s="21"/>
      <c r="K747" s="22">
        <v>0</v>
      </c>
      <c r="L747" s="23"/>
      <c r="M747" s="22">
        <v>0</v>
      </c>
      <c r="N747" s="72">
        <v>0</v>
      </c>
      <c r="O747" s="22">
        <v>0</v>
      </c>
      <c r="P747" s="21">
        <v>187200</v>
      </c>
      <c r="S747" s="101" t="b">
        <f>OR(COUNTIF(Tabla2[[#This Row],[PROVEEDOR]],"*"&amp;'Palabra no opera'!$A$2&amp;"*"))</f>
        <v>0</v>
      </c>
      <c r="T747" s="113">
        <f>+$W$5-Tabla2[[#This Row],[FECHA DE FACTURACIÓN]]</f>
        <v>271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15" t="str">
        <f>+IF(AND(Tabla2[[#This Row],[venc]]="venc",Tabla2[[#This Row],[Columna1]]="por pagar"),"vencida","no")</f>
        <v>no</v>
      </c>
    </row>
    <row r="748" spans="1:23" ht="15.75" x14ac:dyDescent="0.25">
      <c r="A748" s="20">
        <v>60</v>
      </c>
      <c r="B748" s="25">
        <v>3708614</v>
      </c>
      <c r="C748" s="25"/>
      <c r="D748" s="56" t="s">
        <v>645</v>
      </c>
      <c r="E748" s="66">
        <v>45124</v>
      </c>
      <c r="F748" s="323" t="s">
        <v>250</v>
      </c>
      <c r="G748" s="66">
        <v>45051</v>
      </c>
      <c r="H748" s="35">
        <v>1681</v>
      </c>
      <c r="I748" s="21">
        <v>355680</v>
      </c>
      <c r="J748" s="21"/>
      <c r="K748" s="22">
        <v>0</v>
      </c>
      <c r="L748" s="23"/>
      <c r="M748" s="22">
        <v>0</v>
      </c>
      <c r="N748" s="72">
        <v>0</v>
      </c>
      <c r="O748" s="22">
        <v>0</v>
      </c>
      <c r="P748" s="21">
        <v>355680</v>
      </c>
      <c r="S748" s="101" t="b">
        <f>OR(COUNTIF(Tabla2[[#This Row],[PROVEEDOR]],"*"&amp;'Palabra no opera'!$A$2&amp;"*"))</f>
        <v>0</v>
      </c>
      <c r="T748" s="113">
        <f>+$W$5-Tabla2[[#This Row],[FECHA DE FACTURACIÓN]]</f>
        <v>271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15" t="str">
        <f>+IF(AND(Tabla2[[#This Row],[venc]]="venc",Tabla2[[#This Row],[Columna1]]="por pagar"),"vencida","no")</f>
        <v>no</v>
      </c>
    </row>
    <row r="749" spans="1:23" ht="15.75" x14ac:dyDescent="0.25">
      <c r="A749" s="20">
        <v>60</v>
      </c>
      <c r="B749" s="25">
        <v>3708614</v>
      </c>
      <c r="C749" s="25"/>
      <c r="D749" s="56" t="s">
        <v>645</v>
      </c>
      <c r="E749" s="66">
        <v>45124</v>
      </c>
      <c r="F749" s="323" t="s">
        <v>250</v>
      </c>
      <c r="G749" s="66">
        <v>45051</v>
      </c>
      <c r="H749" s="35">
        <v>1682</v>
      </c>
      <c r="I749" s="21">
        <v>411840</v>
      </c>
      <c r="J749" s="21"/>
      <c r="K749" s="22">
        <v>0</v>
      </c>
      <c r="L749" s="23"/>
      <c r="M749" s="22">
        <v>0</v>
      </c>
      <c r="N749" s="72">
        <v>0</v>
      </c>
      <c r="O749" s="22">
        <v>0</v>
      </c>
      <c r="P749" s="21">
        <v>411840</v>
      </c>
      <c r="S749" s="101" t="b">
        <f>OR(COUNTIF(Tabla2[[#This Row],[PROVEEDOR]],"*"&amp;'Palabra no opera'!$A$2&amp;"*"))</f>
        <v>0</v>
      </c>
      <c r="T749" s="113">
        <f>+$W$5-Tabla2[[#This Row],[FECHA DE FACTURACIÓN]]</f>
        <v>271</v>
      </c>
      <c r="U749" t="str">
        <f>+IF(Tabla2[[#This Row],[dias de credito]]&gt;=Tabla2[[#This Row],[PLAZO Días]],"venc", "No venc")</f>
        <v>venc</v>
      </c>
      <c r="V749" t="str">
        <f>+IF(Tabla2[[#This Row],[FECHA DE PAGO]]&gt;0,"pagada","por pagar")</f>
        <v>pagada</v>
      </c>
      <c r="W749" s="115" t="str">
        <f>+IF(AND(Tabla2[[#This Row],[venc]]="venc",Tabla2[[#This Row],[Columna1]]="por pagar"),"vencida","no")</f>
        <v>no</v>
      </c>
    </row>
    <row r="750" spans="1:23" ht="15.75" x14ac:dyDescent="0.25">
      <c r="A750" s="20">
        <v>60</v>
      </c>
      <c r="B750" s="25">
        <v>3708614</v>
      </c>
      <c r="C750" s="25"/>
      <c r="D750" s="56" t="s">
        <v>645</v>
      </c>
      <c r="E750" s="66">
        <v>45124</v>
      </c>
      <c r="F750" s="323" t="s">
        <v>250</v>
      </c>
      <c r="G750" s="66">
        <v>45051</v>
      </c>
      <c r="H750" s="35">
        <v>1683</v>
      </c>
      <c r="I750" s="21">
        <v>430560</v>
      </c>
      <c r="J750" s="21"/>
      <c r="K750" s="22">
        <v>0</v>
      </c>
      <c r="L750" s="23"/>
      <c r="M750" s="22">
        <v>0</v>
      </c>
      <c r="N750" s="72">
        <v>0</v>
      </c>
      <c r="O750" s="22">
        <v>0</v>
      </c>
      <c r="P750" s="21">
        <v>430560</v>
      </c>
      <c r="S750" s="101" t="b">
        <f>OR(COUNTIF(Tabla2[[#This Row],[PROVEEDOR]],"*"&amp;'Palabra no opera'!$A$2&amp;"*"))</f>
        <v>0</v>
      </c>
      <c r="T750" s="113">
        <f>+$W$5-Tabla2[[#This Row],[FECHA DE FACTURACIÓN]]</f>
        <v>271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15" t="str">
        <f>+IF(AND(Tabla2[[#This Row],[venc]]="venc",Tabla2[[#This Row],[Columna1]]="por pagar"),"vencida","no")</f>
        <v>no</v>
      </c>
    </row>
    <row r="751" spans="1:23" ht="15.75" x14ac:dyDescent="0.25">
      <c r="A751" s="20">
        <v>30</v>
      </c>
      <c r="B751" s="25">
        <v>0</v>
      </c>
      <c r="C751" s="25"/>
      <c r="D751" s="56" t="s">
        <v>104</v>
      </c>
      <c r="E751" s="66">
        <v>45122</v>
      </c>
      <c r="F751" s="323" t="s">
        <v>521</v>
      </c>
      <c r="G751" s="66">
        <v>45121</v>
      </c>
      <c r="H751" s="35" t="s">
        <v>979</v>
      </c>
      <c r="I751" s="21">
        <v>6643000</v>
      </c>
      <c r="J751" s="21"/>
      <c r="K751" s="22">
        <v>0</v>
      </c>
      <c r="L751" s="23"/>
      <c r="M751" s="22">
        <v>0</v>
      </c>
      <c r="N751" s="72">
        <v>0</v>
      </c>
      <c r="O751" s="22">
        <v>0</v>
      </c>
      <c r="P751" s="21">
        <v>6643000</v>
      </c>
      <c r="S751" s="101" t="b">
        <f>OR(COUNTIF(Tabla2[[#This Row],[PROVEEDOR]],"*"&amp;'Palabra no opera'!$A$2&amp;"*"))</f>
        <v>0</v>
      </c>
      <c r="T751" s="113">
        <f>+$W$5-Tabla2[[#This Row],[FECHA DE FACTURACIÓN]]</f>
        <v>201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15" t="str">
        <f>+IF(AND(Tabla2[[#This Row],[venc]]="venc",Tabla2[[#This Row],[Columna1]]="por pagar"),"vencida","no")</f>
        <v>no</v>
      </c>
    </row>
    <row r="752" spans="1:23" ht="15.75" x14ac:dyDescent="0.25">
      <c r="A752" s="20">
        <v>30</v>
      </c>
      <c r="B752" s="25">
        <v>0</v>
      </c>
      <c r="C752" s="25"/>
      <c r="D752" s="56" t="s">
        <v>1561</v>
      </c>
      <c r="E752" s="66">
        <v>45121</v>
      </c>
      <c r="F752" s="323" t="s">
        <v>203</v>
      </c>
      <c r="G752" s="66">
        <v>45121</v>
      </c>
      <c r="H752" s="35" t="s">
        <v>946</v>
      </c>
      <c r="I752" s="21">
        <v>1550000</v>
      </c>
      <c r="J752" s="21"/>
      <c r="K752" s="22">
        <v>0</v>
      </c>
      <c r="L752" s="23"/>
      <c r="M752" s="22">
        <v>0</v>
      </c>
      <c r="N752" s="72">
        <v>0</v>
      </c>
      <c r="O752" s="22">
        <v>0</v>
      </c>
      <c r="P752" s="21">
        <v>1550000</v>
      </c>
      <c r="S752" s="101" t="b">
        <f>OR(COUNTIF(Tabla2[[#This Row],[PROVEEDOR]],"*"&amp;'Palabra no opera'!$A$2&amp;"*"))</f>
        <v>0</v>
      </c>
      <c r="T752" s="113">
        <f>+$W$5-Tabla2[[#This Row],[FECHA DE FACTURACIÓN]]</f>
        <v>201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15" t="str">
        <f>+IF(AND(Tabla2[[#This Row],[venc]]="venc",Tabla2[[#This Row],[Columna1]]="por pagar"),"vencida","no")</f>
        <v>no</v>
      </c>
    </row>
    <row r="753" spans="1:23" ht="15.75" x14ac:dyDescent="0.25">
      <c r="A753" s="20">
        <v>10</v>
      </c>
      <c r="B753" s="25">
        <v>0</v>
      </c>
      <c r="C753" s="25"/>
      <c r="D753" s="56" t="s">
        <v>523</v>
      </c>
      <c r="E753" s="66">
        <v>45121</v>
      </c>
      <c r="F753" s="323" t="s">
        <v>522</v>
      </c>
      <c r="G753" s="66">
        <v>45108</v>
      </c>
      <c r="H753" s="35" t="s">
        <v>937</v>
      </c>
      <c r="I753" s="21">
        <v>5350576</v>
      </c>
      <c r="J753" s="21"/>
      <c r="K753" s="22">
        <v>1016609</v>
      </c>
      <c r="L753" s="23"/>
      <c r="M753" s="22">
        <v>0</v>
      </c>
      <c r="N753" s="72">
        <v>0</v>
      </c>
      <c r="O753" s="22">
        <v>0</v>
      </c>
      <c r="P753" s="21">
        <v>6367185</v>
      </c>
      <c r="S753" s="101" t="b">
        <f>OR(COUNTIF(Tabla2[[#This Row],[PROVEEDOR]],"*"&amp;'Palabra no opera'!$A$2&amp;"*"))</f>
        <v>1</v>
      </c>
      <c r="T753" s="113">
        <f>+$W$5-Tabla2[[#This Row],[FECHA DE FACTURACIÓN]]</f>
        <v>214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15" t="str">
        <f>+IF(AND(Tabla2[[#This Row],[venc]]="venc",Tabla2[[#This Row],[Columna1]]="por pagar"),"vencida","no")</f>
        <v>no</v>
      </c>
    </row>
    <row r="754" spans="1:23" ht="15.75" x14ac:dyDescent="0.25">
      <c r="A754" s="20">
        <v>30</v>
      </c>
      <c r="B754" s="25">
        <v>0</v>
      </c>
      <c r="C754" s="25"/>
      <c r="D754" s="56" t="s">
        <v>104</v>
      </c>
      <c r="E754" s="66">
        <v>45119</v>
      </c>
      <c r="F754" s="323" t="s">
        <v>521</v>
      </c>
      <c r="G754" s="66">
        <v>45118</v>
      </c>
      <c r="H754" s="35" t="s">
        <v>978</v>
      </c>
      <c r="I754" s="21">
        <v>4587000</v>
      </c>
      <c r="J754" s="21"/>
      <c r="K754" s="22">
        <v>0</v>
      </c>
      <c r="L754" s="23"/>
      <c r="M754" s="22">
        <v>0</v>
      </c>
      <c r="N754" s="72">
        <v>0</v>
      </c>
      <c r="O754" s="22">
        <v>0</v>
      </c>
      <c r="P754" s="21">
        <v>4587000</v>
      </c>
      <c r="S754" s="101" t="b">
        <f>OR(COUNTIF(Tabla2[[#This Row],[PROVEEDOR]],"*"&amp;'Palabra no opera'!$A$2&amp;"*"))</f>
        <v>0</v>
      </c>
      <c r="T754" s="113">
        <f>+$W$5-Tabla2[[#This Row],[FECHA DE FACTURACIÓN]]</f>
        <v>204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15" t="str">
        <f>+IF(AND(Tabla2[[#This Row],[venc]]="venc",Tabla2[[#This Row],[Columna1]]="por pagar"),"vencida","no")</f>
        <v>no</v>
      </c>
    </row>
    <row r="755" spans="1:23" ht="15.75" x14ac:dyDescent="0.25">
      <c r="A755" s="20">
        <v>30</v>
      </c>
      <c r="B755" s="25">
        <v>2923945.6174999997</v>
      </c>
      <c r="C755" s="25"/>
      <c r="D755" s="56" t="s">
        <v>1538</v>
      </c>
      <c r="E755" s="66">
        <v>45118</v>
      </c>
      <c r="F755" s="323" t="s">
        <v>1526</v>
      </c>
      <c r="G755" s="66">
        <v>45084</v>
      </c>
      <c r="H755" s="35" t="s">
        <v>903</v>
      </c>
      <c r="I755" s="21">
        <v>458352</v>
      </c>
      <c r="J755" s="21"/>
      <c r="K755" s="22">
        <v>87086.88</v>
      </c>
      <c r="L755" s="23"/>
      <c r="M755" s="22">
        <v>0</v>
      </c>
      <c r="N755" s="72">
        <v>0</v>
      </c>
      <c r="O755" s="22">
        <v>0</v>
      </c>
      <c r="P755" s="21">
        <v>545438.88</v>
      </c>
      <c r="S755" s="101" t="b">
        <f>OR(COUNTIF(Tabla2[[#This Row],[PROVEEDOR]],"*"&amp;'Palabra no opera'!$A$2&amp;"*"))</f>
        <v>0</v>
      </c>
      <c r="T755" s="113">
        <f>+$W$5-Tabla2[[#This Row],[FECHA DE FACTURACIÓN]]</f>
        <v>238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15" t="str">
        <f>+IF(AND(Tabla2[[#This Row],[venc]]="venc",Tabla2[[#This Row],[Columna1]]="por pagar"),"vencida","no")</f>
        <v>no</v>
      </c>
    </row>
    <row r="756" spans="1:23" ht="15.75" x14ac:dyDescent="0.25">
      <c r="A756" s="20">
        <v>30</v>
      </c>
      <c r="B756" s="25">
        <v>2923945.6174999997</v>
      </c>
      <c r="C756" s="25"/>
      <c r="D756" s="56" t="s">
        <v>1538</v>
      </c>
      <c r="E756" s="66">
        <v>45118</v>
      </c>
      <c r="F756" s="323" t="s">
        <v>1526</v>
      </c>
      <c r="G756" s="66">
        <v>45084</v>
      </c>
      <c r="H756" s="35" t="s">
        <v>904</v>
      </c>
      <c r="I756" s="21">
        <v>128033</v>
      </c>
      <c r="J756" s="21"/>
      <c r="K756" s="22">
        <v>24326.27</v>
      </c>
      <c r="L756" s="23"/>
      <c r="M756" s="22">
        <v>0</v>
      </c>
      <c r="N756" s="72">
        <v>0</v>
      </c>
      <c r="O756" s="22">
        <v>0</v>
      </c>
      <c r="P756" s="21">
        <v>152359.26999999999</v>
      </c>
      <c r="S756" s="101" t="b">
        <f>OR(COUNTIF(Tabla2[[#This Row],[PROVEEDOR]],"*"&amp;'Palabra no opera'!$A$2&amp;"*"))</f>
        <v>0</v>
      </c>
      <c r="T756" s="113">
        <f>+$W$5-Tabla2[[#This Row],[FECHA DE FACTURACIÓN]]</f>
        <v>238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15" t="str">
        <f>+IF(AND(Tabla2[[#This Row],[venc]]="venc",Tabla2[[#This Row],[Columna1]]="por pagar"),"vencida","no")</f>
        <v>no</v>
      </c>
    </row>
    <row r="757" spans="1:23" ht="15.75" x14ac:dyDescent="0.25">
      <c r="A757" s="20">
        <v>30</v>
      </c>
      <c r="B757" s="25">
        <v>2923945.6174999997</v>
      </c>
      <c r="C757" s="25"/>
      <c r="D757" s="56" t="s">
        <v>1538</v>
      </c>
      <c r="E757" s="66">
        <v>45118</v>
      </c>
      <c r="F757" s="323" t="s">
        <v>1526</v>
      </c>
      <c r="G757" s="66">
        <v>45082</v>
      </c>
      <c r="H757" s="35" t="s">
        <v>876</v>
      </c>
      <c r="I757" s="21">
        <v>1949799</v>
      </c>
      <c r="J757" s="21"/>
      <c r="K757" s="22">
        <v>370461.81</v>
      </c>
      <c r="L757" s="23"/>
      <c r="M757" s="22">
        <v>0</v>
      </c>
      <c r="N757" s="72">
        <v>2.5000000000000001E-2</v>
      </c>
      <c r="O757" s="22">
        <v>48744.975000000006</v>
      </c>
      <c r="P757" s="21">
        <v>2271515.835</v>
      </c>
      <c r="S757" s="101" t="b">
        <f>OR(COUNTIF(Tabla2[[#This Row],[PROVEEDOR]],"*"&amp;'Palabra no opera'!$A$2&amp;"*"))</f>
        <v>0</v>
      </c>
      <c r="T757" s="113">
        <f>+$W$5-Tabla2[[#This Row],[FECHA DE FACTURACIÓN]]</f>
        <v>240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15" t="str">
        <f>+IF(AND(Tabla2[[#This Row],[venc]]="venc",Tabla2[[#This Row],[Columna1]]="por pagar"),"vencida","no")</f>
        <v>no</v>
      </c>
    </row>
    <row r="758" spans="1:23" ht="15.75" x14ac:dyDescent="0.25">
      <c r="A758" s="20">
        <v>30</v>
      </c>
      <c r="B758" s="25">
        <v>4202500</v>
      </c>
      <c r="C758" s="25"/>
      <c r="D758" s="56" t="s">
        <v>231</v>
      </c>
      <c r="E758" s="66">
        <v>45118</v>
      </c>
      <c r="F758" s="323" t="s">
        <v>301</v>
      </c>
      <c r="G758" s="66">
        <v>45076</v>
      </c>
      <c r="H758" s="35">
        <v>85</v>
      </c>
      <c r="I758" s="21">
        <v>1980000</v>
      </c>
      <c r="J758" s="21"/>
      <c r="K758" s="22">
        <v>0</v>
      </c>
      <c r="L758" s="23"/>
      <c r="M758" s="22">
        <v>0</v>
      </c>
      <c r="N758" s="72">
        <v>0</v>
      </c>
      <c r="O758" s="22">
        <v>0</v>
      </c>
      <c r="P758" s="21">
        <v>1980000</v>
      </c>
      <c r="S758" s="101" t="b">
        <f>OR(COUNTIF(Tabla2[[#This Row],[PROVEEDOR]],"*"&amp;'Palabra no opera'!$A$2&amp;"*"))</f>
        <v>0</v>
      </c>
      <c r="T758" s="113">
        <f>+$W$5-Tabla2[[#This Row],[FECHA DE FACTURACIÓN]]</f>
        <v>246</v>
      </c>
      <c r="U758" t="str">
        <f>+IF(Tabla2[[#This Row],[dias de credito]]&gt;=Tabla2[[#This Row],[PLAZO Días]],"venc", "No venc")</f>
        <v>venc</v>
      </c>
      <c r="V758" t="str">
        <f>+IF(Tabla2[[#This Row],[FECHA DE PAGO]]&gt;0,"pagada","por pagar")</f>
        <v>pagada</v>
      </c>
      <c r="W758" s="115" t="str">
        <f>+IF(AND(Tabla2[[#This Row],[venc]]="venc",Tabla2[[#This Row],[Columna1]]="por pagar"),"vencida","no")</f>
        <v>no</v>
      </c>
    </row>
    <row r="759" spans="1:23" ht="15.75" x14ac:dyDescent="0.25">
      <c r="A759" s="20">
        <v>30</v>
      </c>
      <c r="B759" s="25">
        <v>0</v>
      </c>
      <c r="C759" s="25"/>
      <c r="D759" s="56" t="s">
        <v>190</v>
      </c>
      <c r="E759" s="66">
        <v>45118</v>
      </c>
      <c r="F759" s="323" t="s">
        <v>540</v>
      </c>
      <c r="G759" s="66">
        <v>45076</v>
      </c>
      <c r="H759" s="35">
        <v>2127</v>
      </c>
      <c r="I759" s="21">
        <v>84000</v>
      </c>
      <c r="J759" s="21"/>
      <c r="K759" s="22">
        <v>0</v>
      </c>
      <c r="L759" s="23"/>
      <c r="M759" s="22">
        <v>0</v>
      </c>
      <c r="N759" s="72">
        <v>0</v>
      </c>
      <c r="O759" s="22">
        <v>0</v>
      </c>
      <c r="P759" s="21">
        <v>84000</v>
      </c>
      <c r="S759" s="101" t="b">
        <f>OR(COUNTIF(Tabla2[[#This Row],[PROVEEDOR]],"*"&amp;'Palabra no opera'!$A$2&amp;"*"))</f>
        <v>0</v>
      </c>
      <c r="T759" s="113">
        <f>+$W$5-Tabla2[[#This Row],[FECHA DE FACTURACIÓN]]</f>
        <v>246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15" t="str">
        <f>+IF(AND(Tabla2[[#This Row],[venc]]="venc",Tabla2[[#This Row],[Columna1]]="por pagar"),"vencida","no")</f>
        <v>no</v>
      </c>
    </row>
    <row r="760" spans="1:23" ht="15.75" x14ac:dyDescent="0.25">
      <c r="A760" s="20">
        <v>30</v>
      </c>
      <c r="B760" s="25">
        <v>2923945.6174999997</v>
      </c>
      <c r="C760" s="25"/>
      <c r="D760" s="56" t="s">
        <v>1538</v>
      </c>
      <c r="E760" s="66">
        <v>45118</v>
      </c>
      <c r="F760" s="323" t="s">
        <v>1526</v>
      </c>
      <c r="G760" s="66">
        <v>45072</v>
      </c>
      <c r="H760" s="35" t="s">
        <v>855</v>
      </c>
      <c r="I760" s="21">
        <v>151261</v>
      </c>
      <c r="J760" s="21"/>
      <c r="K760" s="22">
        <v>28739.59</v>
      </c>
      <c r="L760" s="23"/>
      <c r="M760" s="22">
        <v>0</v>
      </c>
      <c r="N760" s="72">
        <v>0</v>
      </c>
      <c r="O760" s="22">
        <v>0</v>
      </c>
      <c r="P760" s="21">
        <v>180000.59</v>
      </c>
      <c r="S760" s="101" t="b">
        <f>OR(COUNTIF(Tabla2[[#This Row],[PROVEEDOR]],"*"&amp;'Palabra no opera'!$A$2&amp;"*"))</f>
        <v>0</v>
      </c>
      <c r="T760" s="113">
        <f>+$W$5-Tabla2[[#This Row],[FECHA DE FACTURACIÓN]]</f>
        <v>250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15" t="str">
        <f>+IF(AND(Tabla2[[#This Row],[venc]]="venc",Tabla2[[#This Row],[Columna1]]="por pagar"),"vencida","no")</f>
        <v>no</v>
      </c>
    </row>
    <row r="761" spans="1:23" ht="15.75" x14ac:dyDescent="0.25">
      <c r="A761" s="20">
        <v>30</v>
      </c>
      <c r="B761" s="25">
        <v>0</v>
      </c>
      <c r="C761" s="25"/>
      <c r="D761" s="56" t="s">
        <v>284</v>
      </c>
      <c r="E761" s="66">
        <v>45117</v>
      </c>
      <c r="F761" s="323" t="s">
        <v>401</v>
      </c>
      <c r="G761" s="66">
        <v>45108</v>
      </c>
      <c r="H761" s="35" t="s">
        <v>1008</v>
      </c>
      <c r="I761" s="21">
        <v>3792544</v>
      </c>
      <c r="J761" s="21"/>
      <c r="K761" s="22">
        <v>720583.36</v>
      </c>
      <c r="L761" s="23"/>
      <c r="M761" s="22">
        <v>0</v>
      </c>
      <c r="N761" s="72">
        <v>0</v>
      </c>
      <c r="O761" s="22">
        <v>0</v>
      </c>
      <c r="P761" s="21">
        <v>4513127.3600000003</v>
      </c>
      <c r="S761" s="101" t="b">
        <f>OR(COUNTIF(Tabla2[[#This Row],[PROVEEDOR]],"*"&amp;'Palabra no opera'!$A$2&amp;"*"))</f>
        <v>1</v>
      </c>
      <c r="T761" s="113">
        <f>+$W$5-Tabla2[[#This Row],[FECHA DE FACTURACIÓN]]</f>
        <v>214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15" t="str">
        <f>+IF(AND(Tabla2[[#This Row],[venc]]="venc",Tabla2[[#This Row],[Columna1]]="por pagar"),"vencida","no")</f>
        <v>no</v>
      </c>
    </row>
    <row r="762" spans="1:23" ht="15.75" x14ac:dyDescent="0.25">
      <c r="A762" s="20">
        <v>30</v>
      </c>
      <c r="B762" s="25">
        <v>0</v>
      </c>
      <c r="C762" s="25"/>
      <c r="D762" s="56" t="s">
        <v>284</v>
      </c>
      <c r="E762" s="66">
        <v>45117</v>
      </c>
      <c r="F762" s="323" t="s">
        <v>401</v>
      </c>
      <c r="G762" s="66">
        <v>45108</v>
      </c>
      <c r="H762" s="35" t="s">
        <v>1007</v>
      </c>
      <c r="I762" s="21">
        <v>908172</v>
      </c>
      <c r="J762" s="21"/>
      <c r="K762" s="22">
        <v>172552.68</v>
      </c>
      <c r="L762" s="23"/>
      <c r="M762" s="22">
        <v>0</v>
      </c>
      <c r="N762" s="72">
        <v>0</v>
      </c>
      <c r="O762" s="22">
        <v>0</v>
      </c>
      <c r="P762" s="21">
        <v>1080724.68</v>
      </c>
      <c r="S762" s="101" t="b">
        <f>OR(COUNTIF(Tabla2[[#This Row],[PROVEEDOR]],"*"&amp;'Palabra no opera'!$A$2&amp;"*"))</f>
        <v>1</v>
      </c>
      <c r="T762" s="113">
        <f>+$W$5-Tabla2[[#This Row],[FECHA DE FACTURACIÓN]]</f>
        <v>214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15" t="str">
        <f>+IF(AND(Tabla2[[#This Row],[venc]]="venc",Tabla2[[#This Row],[Columna1]]="por pagar"),"vencida","no")</f>
        <v>no</v>
      </c>
    </row>
    <row r="763" spans="1:23" ht="15.75" x14ac:dyDescent="0.25">
      <c r="A763" s="20">
        <v>30</v>
      </c>
      <c r="B763" s="25">
        <v>0</v>
      </c>
      <c r="C763" s="25"/>
      <c r="D763" s="56" t="s">
        <v>174</v>
      </c>
      <c r="E763" s="66">
        <v>45117</v>
      </c>
      <c r="F763" s="323" t="s">
        <v>427</v>
      </c>
      <c r="G763" s="66">
        <v>45108</v>
      </c>
      <c r="H763" s="35" t="s">
        <v>933</v>
      </c>
      <c r="I763" s="21">
        <v>243611</v>
      </c>
      <c r="J763" s="21"/>
      <c r="K763" s="22">
        <v>46286.090000000004</v>
      </c>
      <c r="L763" s="23"/>
      <c r="M763" s="22">
        <v>0</v>
      </c>
      <c r="N763" s="72">
        <v>3.5000000000000003E-2</v>
      </c>
      <c r="O763" s="22">
        <v>8526.3850000000002</v>
      </c>
      <c r="P763" s="21">
        <v>281370.70500000002</v>
      </c>
      <c r="S763" s="101" t="b">
        <f>OR(COUNTIF(Tabla2[[#This Row],[PROVEEDOR]],"*"&amp;'Palabra no opera'!$A$2&amp;"*"))</f>
        <v>1</v>
      </c>
      <c r="T763" s="113">
        <f>+$W$5-Tabla2[[#This Row],[FECHA DE FACTURACIÓN]]</f>
        <v>214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15" t="str">
        <f>+IF(AND(Tabla2[[#This Row],[venc]]="venc",Tabla2[[#This Row],[Columna1]]="por pagar"),"vencida","no")</f>
        <v>no</v>
      </c>
    </row>
    <row r="764" spans="1:23" ht="15.75" x14ac:dyDescent="0.25">
      <c r="A764" s="20">
        <v>30</v>
      </c>
      <c r="B764" s="25">
        <v>0</v>
      </c>
      <c r="C764" s="25"/>
      <c r="D764" s="56" t="s">
        <v>1560</v>
      </c>
      <c r="E764" s="66">
        <v>45117</v>
      </c>
      <c r="F764" s="323" t="s">
        <v>446</v>
      </c>
      <c r="G764" s="66">
        <v>45083</v>
      </c>
      <c r="H764" s="35" t="s">
        <v>872</v>
      </c>
      <c r="I764" s="21">
        <v>720000</v>
      </c>
      <c r="J764" s="21"/>
      <c r="K764" s="22">
        <v>136800</v>
      </c>
      <c r="L764" s="23"/>
      <c r="M764" s="22">
        <v>0</v>
      </c>
      <c r="N764" s="72">
        <v>0</v>
      </c>
      <c r="O764" s="22">
        <v>0</v>
      </c>
      <c r="P764" s="21">
        <v>856800</v>
      </c>
      <c r="S764" s="101" t="b">
        <f>OR(COUNTIF(Tabla2[[#This Row],[PROVEEDOR]],"*"&amp;'Palabra no opera'!$A$2&amp;"*"))</f>
        <v>0</v>
      </c>
      <c r="T764" s="113">
        <f>+$W$5-Tabla2[[#This Row],[FECHA DE FACTURACIÓN]]</f>
        <v>239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15" t="str">
        <f>+IF(AND(Tabla2[[#This Row],[venc]]="venc",Tabla2[[#This Row],[Columna1]]="por pagar"),"vencida","no")</f>
        <v>no</v>
      </c>
    </row>
    <row r="765" spans="1:23" ht="15.75" x14ac:dyDescent="0.25">
      <c r="A765" s="20">
        <v>30</v>
      </c>
      <c r="B765" s="25">
        <v>2169355.9580000001</v>
      </c>
      <c r="C765" s="25"/>
      <c r="D765" s="56" t="s">
        <v>164</v>
      </c>
      <c r="E765" s="66">
        <v>45117</v>
      </c>
      <c r="F765" s="323" t="s">
        <v>18</v>
      </c>
      <c r="G765" s="66">
        <v>45071</v>
      </c>
      <c r="H765" s="35" t="s">
        <v>932</v>
      </c>
      <c r="I765" s="21">
        <v>2231250</v>
      </c>
      <c r="J765" s="21"/>
      <c r="K765" s="22">
        <v>423937.5</v>
      </c>
      <c r="L765" s="23"/>
      <c r="M765" s="22">
        <v>0</v>
      </c>
      <c r="N765" s="72">
        <v>2.5000000000000001E-2</v>
      </c>
      <c r="O765" s="22">
        <v>55781.25</v>
      </c>
      <c r="P765" s="21">
        <v>2599406.25</v>
      </c>
      <c r="S765" s="101" t="b">
        <f>OR(COUNTIF(Tabla2[[#This Row],[PROVEEDOR]],"*"&amp;'Palabra no opera'!$A$2&amp;"*"))</f>
        <v>0</v>
      </c>
      <c r="T765" s="113">
        <f>+$W$5-Tabla2[[#This Row],[FECHA DE FACTURACIÓN]]</f>
        <v>251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15" t="str">
        <f>+IF(AND(Tabla2[[#This Row],[venc]]="venc",Tabla2[[#This Row],[Columna1]]="por pagar"),"vencida","no")</f>
        <v>no</v>
      </c>
    </row>
    <row r="766" spans="1:23" ht="15.75" x14ac:dyDescent="0.25">
      <c r="A766" s="20">
        <v>30</v>
      </c>
      <c r="B766" s="25">
        <v>2169355.9580000001</v>
      </c>
      <c r="C766" s="25"/>
      <c r="D766" s="56" t="s">
        <v>164</v>
      </c>
      <c r="E766" s="66">
        <v>45117</v>
      </c>
      <c r="F766" s="323" t="s">
        <v>18</v>
      </c>
      <c r="G766" s="66">
        <v>45058</v>
      </c>
      <c r="H766" s="35" t="s">
        <v>832</v>
      </c>
      <c r="I766" s="21">
        <v>2115236</v>
      </c>
      <c r="J766" s="21"/>
      <c r="K766" s="22">
        <v>401894.84</v>
      </c>
      <c r="L766" s="23"/>
      <c r="M766" s="22">
        <v>0</v>
      </c>
      <c r="N766" s="72">
        <v>2.5000000000000001E-2</v>
      </c>
      <c r="O766" s="22">
        <v>52880.9</v>
      </c>
      <c r="P766" s="21">
        <v>2464249.94</v>
      </c>
      <c r="S766" s="101" t="b">
        <f>OR(COUNTIF(Tabla2[[#This Row],[PROVEEDOR]],"*"&amp;'Palabra no opera'!$A$2&amp;"*"))</f>
        <v>0</v>
      </c>
      <c r="T766" s="113">
        <f>+$W$5-Tabla2[[#This Row],[FECHA DE FACTURACIÓN]]</f>
        <v>264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15" t="str">
        <f>+IF(AND(Tabla2[[#This Row],[venc]]="venc",Tabla2[[#This Row],[Columna1]]="por pagar"),"vencida","no")</f>
        <v>no</v>
      </c>
    </row>
    <row r="767" spans="1:23" ht="15.75" x14ac:dyDescent="0.25">
      <c r="A767" s="20">
        <v>30</v>
      </c>
      <c r="B767" s="25">
        <v>5972000</v>
      </c>
      <c r="C767" s="25"/>
      <c r="D767" s="56">
        <v>0</v>
      </c>
      <c r="E767" s="66">
        <v>45117</v>
      </c>
      <c r="F767" s="323" t="s">
        <v>512</v>
      </c>
      <c r="G767" s="66">
        <v>45056</v>
      </c>
      <c r="H767" s="35">
        <v>843</v>
      </c>
      <c r="I767" s="21">
        <v>1294500</v>
      </c>
      <c r="J767" s="21"/>
      <c r="K767" s="22">
        <v>0</v>
      </c>
      <c r="L767" s="23"/>
      <c r="M767" s="22">
        <v>0</v>
      </c>
      <c r="N767" s="72">
        <v>0</v>
      </c>
      <c r="O767" s="22">
        <v>0</v>
      </c>
      <c r="P767" s="21">
        <v>1294500</v>
      </c>
      <c r="S767" s="101" t="b">
        <f>OR(COUNTIF(Tabla2[[#This Row],[PROVEEDOR]],"*"&amp;'Palabra no opera'!$A$2&amp;"*"))</f>
        <v>0</v>
      </c>
      <c r="T767" s="113">
        <f>+$W$5-Tabla2[[#This Row],[FECHA DE FACTURACIÓN]]</f>
        <v>266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15" t="str">
        <f>+IF(AND(Tabla2[[#This Row],[venc]]="venc",Tabla2[[#This Row],[Columna1]]="por pagar"),"vencida","no")</f>
        <v>no</v>
      </c>
    </row>
    <row r="768" spans="1:23" ht="15.75" x14ac:dyDescent="0.25">
      <c r="A768" s="20">
        <v>30</v>
      </c>
      <c r="B768" s="25">
        <v>1345520</v>
      </c>
      <c r="C768" s="25"/>
      <c r="D768" s="56" t="s">
        <v>267</v>
      </c>
      <c r="E768" s="66">
        <v>45117</v>
      </c>
      <c r="F768" s="323" t="s">
        <v>268</v>
      </c>
      <c r="G768" s="66">
        <v>45026</v>
      </c>
      <c r="H768" s="35" t="s">
        <v>760</v>
      </c>
      <c r="I768" s="21">
        <v>2131000</v>
      </c>
      <c r="J768" s="21"/>
      <c r="K768" s="22">
        <v>0</v>
      </c>
      <c r="L768" s="23"/>
      <c r="M768" s="22">
        <v>0</v>
      </c>
      <c r="N768" s="72">
        <v>0</v>
      </c>
      <c r="O768" s="22">
        <v>0</v>
      </c>
      <c r="P768" s="21">
        <v>2131000</v>
      </c>
      <c r="S768" s="101" t="b">
        <f>OR(COUNTIF(Tabla2[[#This Row],[PROVEEDOR]],"*"&amp;'Palabra no opera'!$A$2&amp;"*"))</f>
        <v>0</v>
      </c>
      <c r="T768" s="113">
        <f>+$W$5-Tabla2[[#This Row],[FECHA DE FACTURACIÓN]]</f>
        <v>296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15" t="str">
        <f>+IF(AND(Tabla2[[#This Row],[venc]]="venc",Tabla2[[#This Row],[Columna1]]="por pagar"),"vencida","no")</f>
        <v>no</v>
      </c>
    </row>
    <row r="769" spans="1:23" ht="15.75" x14ac:dyDescent="0.25">
      <c r="A769" s="20">
        <v>30</v>
      </c>
      <c r="B769" s="25">
        <v>0</v>
      </c>
      <c r="C769" s="25"/>
      <c r="D769" s="56" t="s">
        <v>505</v>
      </c>
      <c r="E769" s="66">
        <v>45116</v>
      </c>
      <c r="F769" s="323" t="s">
        <v>416</v>
      </c>
      <c r="G769" s="66">
        <v>45108</v>
      </c>
      <c r="H769" s="35" t="s">
        <v>1029</v>
      </c>
      <c r="I769" s="21">
        <v>3935776</v>
      </c>
      <c r="J769" s="21"/>
      <c r="K769" s="22">
        <v>665000</v>
      </c>
      <c r="L769" s="23"/>
      <c r="M769" s="22">
        <v>0</v>
      </c>
      <c r="N769" s="72">
        <v>3.5000000000000003E-2</v>
      </c>
      <c r="O769" s="22"/>
      <c r="P769" s="21">
        <v>4600776</v>
      </c>
      <c r="S769" s="101" t="b">
        <f>OR(COUNTIF(Tabla2[[#This Row],[PROVEEDOR]],"*"&amp;'Palabra no opera'!$A$2&amp;"*"))</f>
        <v>1</v>
      </c>
      <c r="T769" s="113">
        <f>+$W$5-Tabla2[[#This Row],[FECHA DE FACTURACIÓN]]</f>
        <v>214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15" t="str">
        <f>+IF(AND(Tabla2[[#This Row],[venc]]="venc",Tabla2[[#This Row],[Columna1]]="por pagar"),"vencida","no")</f>
        <v>no</v>
      </c>
    </row>
    <row r="770" spans="1:23" ht="15.75" x14ac:dyDescent="0.25">
      <c r="A770" s="20">
        <v>30</v>
      </c>
      <c r="B770" s="25">
        <v>0</v>
      </c>
      <c r="C770" s="25"/>
      <c r="D770" s="56" t="s">
        <v>104</v>
      </c>
      <c r="E770" s="66">
        <v>45115</v>
      </c>
      <c r="F770" s="323" t="s">
        <v>291</v>
      </c>
      <c r="G770" s="66">
        <v>45115</v>
      </c>
      <c r="H770" s="35" t="s">
        <v>942</v>
      </c>
      <c r="I770" s="21">
        <v>625000</v>
      </c>
      <c r="J770" s="21"/>
      <c r="K770" s="22">
        <v>0</v>
      </c>
      <c r="L770" s="23"/>
      <c r="M770" s="22">
        <v>0</v>
      </c>
      <c r="N770" s="72">
        <v>0</v>
      </c>
      <c r="O770" s="22">
        <v>0</v>
      </c>
      <c r="P770" s="21">
        <v>625000</v>
      </c>
      <c r="S770" s="101" t="b">
        <f>OR(COUNTIF(Tabla2[[#This Row],[PROVEEDOR]],"*"&amp;'Palabra no opera'!$A$2&amp;"*"))</f>
        <v>0</v>
      </c>
      <c r="T770" s="113">
        <f>+$W$5-Tabla2[[#This Row],[FECHA DE FACTURACIÓN]]</f>
        <v>207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15" t="str">
        <f>+IF(AND(Tabla2[[#This Row],[venc]]="venc",Tabla2[[#This Row],[Columna1]]="por pagar"),"vencida","no")</f>
        <v>no</v>
      </c>
    </row>
    <row r="771" spans="1:23" ht="15.75" x14ac:dyDescent="0.25">
      <c r="A771" s="20">
        <v>30</v>
      </c>
      <c r="B771" s="25">
        <v>-2000</v>
      </c>
      <c r="C771" s="25"/>
      <c r="D771" s="56">
        <v>0</v>
      </c>
      <c r="E771" s="66">
        <v>45115</v>
      </c>
      <c r="F771" s="323" t="s">
        <v>881</v>
      </c>
      <c r="G771" s="66">
        <v>45111</v>
      </c>
      <c r="H771" s="35">
        <v>3</v>
      </c>
      <c r="I771" s="21">
        <v>430000</v>
      </c>
      <c r="J771" s="21"/>
      <c r="K771" s="22">
        <v>0</v>
      </c>
      <c r="L771" s="23"/>
      <c r="M771" s="22">
        <v>0</v>
      </c>
      <c r="N771" s="72">
        <v>0</v>
      </c>
      <c r="O771" s="22">
        <v>0</v>
      </c>
      <c r="P771" s="21">
        <v>430000</v>
      </c>
      <c r="S771" s="101" t="b">
        <f>OR(COUNTIF(Tabla2[[#This Row],[PROVEEDOR]],"*"&amp;'Palabra no opera'!$A$2&amp;"*"))</f>
        <v>0</v>
      </c>
      <c r="T771" s="113">
        <f>+$W$5-Tabla2[[#This Row],[FECHA DE FACTURACIÓN]]</f>
        <v>211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15" t="str">
        <f>+IF(AND(Tabla2[[#This Row],[venc]]="venc",Tabla2[[#This Row],[Columna1]]="por pagar"),"vencida","no")</f>
        <v>no</v>
      </c>
    </row>
    <row r="772" spans="1:23" ht="15.75" x14ac:dyDescent="0.25">
      <c r="A772" s="20">
        <v>30</v>
      </c>
      <c r="B772" s="25">
        <v>0</v>
      </c>
      <c r="C772" s="25"/>
      <c r="D772" s="56">
        <v>0</v>
      </c>
      <c r="E772" s="66">
        <v>45113</v>
      </c>
      <c r="F772" s="323" t="s">
        <v>944</v>
      </c>
      <c r="G772" s="66">
        <v>45113</v>
      </c>
      <c r="H772" s="35" t="s">
        <v>945</v>
      </c>
      <c r="I772" s="21">
        <v>587000</v>
      </c>
      <c r="J772" s="21"/>
      <c r="K772" s="22">
        <v>0</v>
      </c>
      <c r="L772" s="23"/>
      <c r="M772" s="22">
        <v>0</v>
      </c>
      <c r="N772" s="72">
        <v>0</v>
      </c>
      <c r="O772" s="22">
        <v>0</v>
      </c>
      <c r="P772" s="21">
        <v>587000</v>
      </c>
      <c r="S772" s="101" t="b">
        <f>OR(COUNTIF(Tabla2[[#This Row],[PROVEEDOR]],"*"&amp;'Palabra no opera'!$A$2&amp;"*"))</f>
        <v>0</v>
      </c>
      <c r="T772" s="113">
        <f>+$W$5-Tabla2[[#This Row],[FECHA DE FACTURACIÓN]]</f>
        <v>209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15" t="str">
        <f>+IF(AND(Tabla2[[#This Row],[venc]]="venc",Tabla2[[#This Row],[Columna1]]="por pagar"),"vencida","no")</f>
        <v>no</v>
      </c>
    </row>
    <row r="773" spans="1:23" ht="15.75" x14ac:dyDescent="0.25">
      <c r="A773" s="20">
        <v>30</v>
      </c>
      <c r="B773" s="25">
        <v>0</v>
      </c>
      <c r="C773" s="25"/>
      <c r="D773" s="56">
        <v>0</v>
      </c>
      <c r="E773" s="66">
        <v>45113</v>
      </c>
      <c r="F773" s="323" t="s">
        <v>907</v>
      </c>
      <c r="G773" s="66">
        <v>45113</v>
      </c>
      <c r="H773" s="35" t="s">
        <v>943</v>
      </c>
      <c r="I773" s="21">
        <v>582000</v>
      </c>
      <c r="J773" s="21"/>
      <c r="K773" s="22">
        <v>0</v>
      </c>
      <c r="L773" s="23"/>
      <c r="M773" s="22">
        <v>0</v>
      </c>
      <c r="N773" s="72">
        <v>0</v>
      </c>
      <c r="O773" s="22">
        <v>0</v>
      </c>
      <c r="P773" s="21">
        <v>582000</v>
      </c>
      <c r="S773" s="101" t="b">
        <f>OR(COUNTIF(Tabla2[[#This Row],[PROVEEDOR]],"*"&amp;'Palabra no opera'!$A$2&amp;"*"))</f>
        <v>0</v>
      </c>
      <c r="T773" s="113">
        <f>+$W$5-Tabla2[[#This Row],[FECHA DE FACTURACIÓN]]</f>
        <v>209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15" t="str">
        <f>+IF(AND(Tabla2[[#This Row],[venc]]="venc",Tabla2[[#This Row],[Columna1]]="por pagar"),"vencida","no")</f>
        <v>no</v>
      </c>
    </row>
    <row r="774" spans="1:23" ht="15.75" x14ac:dyDescent="0.25">
      <c r="A774" s="20">
        <v>30</v>
      </c>
      <c r="B774" s="25">
        <v>406756</v>
      </c>
      <c r="C774" s="25"/>
      <c r="D774" s="56" t="s">
        <v>104</v>
      </c>
      <c r="E774" s="66">
        <v>45111</v>
      </c>
      <c r="F774" s="323" t="s">
        <v>568</v>
      </c>
      <c r="G774" s="66">
        <v>45098</v>
      </c>
      <c r="H774" s="35">
        <v>55</v>
      </c>
      <c r="I774" s="21">
        <v>687000</v>
      </c>
      <c r="J774" s="21"/>
      <c r="K774" s="22">
        <v>0</v>
      </c>
      <c r="L774" s="23"/>
      <c r="M774" s="22">
        <v>0</v>
      </c>
      <c r="N774" s="72">
        <v>0</v>
      </c>
      <c r="O774" s="22">
        <v>0</v>
      </c>
      <c r="P774" s="21">
        <v>687000</v>
      </c>
      <c r="S774" s="101" t="b">
        <f>OR(COUNTIF(Tabla2[[#This Row],[PROVEEDOR]],"*"&amp;'Palabra no opera'!$A$2&amp;"*"))</f>
        <v>0</v>
      </c>
      <c r="T774" s="113">
        <f>+$W$5-Tabla2[[#This Row],[FECHA DE FACTURACIÓN]]</f>
        <v>224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15" t="str">
        <f>+IF(AND(Tabla2[[#This Row],[venc]]="venc",Tabla2[[#This Row],[Columna1]]="por pagar"),"vencida","no")</f>
        <v>no</v>
      </c>
    </row>
    <row r="775" spans="1:23" ht="15.75" x14ac:dyDescent="0.25">
      <c r="A775" s="20">
        <v>30</v>
      </c>
      <c r="B775" s="25">
        <v>406756</v>
      </c>
      <c r="C775" s="25"/>
      <c r="D775" s="56" t="s">
        <v>104</v>
      </c>
      <c r="E775" s="66">
        <v>45111</v>
      </c>
      <c r="F775" s="323" t="s">
        <v>568</v>
      </c>
      <c r="G775" s="66">
        <v>45098</v>
      </c>
      <c r="H775" s="35">
        <v>56</v>
      </c>
      <c r="I775" s="21">
        <v>302000</v>
      </c>
      <c r="J775" s="21"/>
      <c r="K775" s="22">
        <v>0</v>
      </c>
      <c r="L775" s="23"/>
      <c r="M775" s="22">
        <v>0</v>
      </c>
      <c r="N775" s="72">
        <v>0</v>
      </c>
      <c r="O775" s="22">
        <v>0</v>
      </c>
      <c r="P775" s="21">
        <v>302000</v>
      </c>
      <c r="S775" s="101" t="b">
        <f>OR(COUNTIF(Tabla2[[#This Row],[PROVEEDOR]],"*"&amp;'Palabra no opera'!$A$2&amp;"*"))</f>
        <v>0</v>
      </c>
      <c r="T775" s="113">
        <f>+$W$5-Tabla2[[#This Row],[FECHA DE FACTURACIÓN]]</f>
        <v>224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15" t="str">
        <f>+IF(AND(Tabla2[[#This Row],[venc]]="venc",Tabla2[[#This Row],[Columna1]]="por pagar"),"vencida","no")</f>
        <v>no</v>
      </c>
    </row>
    <row r="776" spans="1:23" ht="15.75" x14ac:dyDescent="0.25">
      <c r="A776" s="20">
        <v>30</v>
      </c>
      <c r="B776" s="25">
        <v>406756</v>
      </c>
      <c r="C776" s="25"/>
      <c r="D776" s="56" t="s">
        <v>104</v>
      </c>
      <c r="E776" s="66">
        <v>45111</v>
      </c>
      <c r="F776" s="323" t="s">
        <v>568</v>
      </c>
      <c r="G776" s="66">
        <v>45097</v>
      </c>
      <c r="H776" s="35">
        <v>54</v>
      </c>
      <c r="I776" s="21">
        <v>103000</v>
      </c>
      <c r="J776" s="21"/>
      <c r="K776" s="22">
        <v>0</v>
      </c>
      <c r="L776" s="23"/>
      <c r="M776" s="22">
        <v>0</v>
      </c>
      <c r="N776" s="72">
        <v>0</v>
      </c>
      <c r="O776" s="22">
        <v>0</v>
      </c>
      <c r="P776" s="21">
        <v>103000</v>
      </c>
      <c r="S776" s="101" t="b">
        <f>OR(COUNTIF(Tabla2[[#This Row],[PROVEEDOR]],"*"&amp;'Palabra no opera'!$A$2&amp;"*"))</f>
        <v>0</v>
      </c>
      <c r="T776" s="113">
        <f>+$W$5-Tabla2[[#This Row],[FECHA DE FACTURACIÓN]]</f>
        <v>225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15" t="str">
        <f>+IF(AND(Tabla2[[#This Row],[venc]]="venc",Tabla2[[#This Row],[Columna1]]="por pagar"),"vencida","no")</f>
        <v>no</v>
      </c>
    </row>
    <row r="777" spans="1:23" ht="15.75" x14ac:dyDescent="0.25">
      <c r="A777" s="20">
        <v>30</v>
      </c>
      <c r="B777" s="25">
        <v>406756</v>
      </c>
      <c r="C777" s="25"/>
      <c r="D777" s="56" t="s">
        <v>104</v>
      </c>
      <c r="E777" s="66">
        <v>45111</v>
      </c>
      <c r="F777" s="323" t="s">
        <v>568</v>
      </c>
      <c r="G777" s="66">
        <v>45093</v>
      </c>
      <c r="H777" s="35">
        <v>53</v>
      </c>
      <c r="I777" s="21">
        <v>170000</v>
      </c>
      <c r="J777" s="21"/>
      <c r="K777" s="22">
        <v>0</v>
      </c>
      <c r="L777" s="23"/>
      <c r="M777" s="22">
        <v>0</v>
      </c>
      <c r="N777" s="72">
        <v>0</v>
      </c>
      <c r="O777" s="22">
        <v>0</v>
      </c>
      <c r="P777" s="21">
        <v>170000</v>
      </c>
      <c r="S777" s="101" t="b">
        <f>OR(COUNTIF(Tabla2[[#This Row],[PROVEEDOR]],"*"&amp;'Palabra no opera'!$A$2&amp;"*"))</f>
        <v>0</v>
      </c>
      <c r="T777" s="113">
        <f>+$W$5-Tabla2[[#This Row],[FECHA DE FACTURACIÓN]]</f>
        <v>229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15" t="str">
        <f>+IF(AND(Tabla2[[#This Row],[venc]]="venc",Tabla2[[#This Row],[Columna1]]="por pagar"),"vencida","no")</f>
        <v>no</v>
      </c>
    </row>
    <row r="778" spans="1:23" ht="15.75" x14ac:dyDescent="0.25">
      <c r="A778" s="20">
        <v>30</v>
      </c>
      <c r="B778" s="25">
        <v>406756</v>
      </c>
      <c r="C778" s="25"/>
      <c r="D778" s="56" t="s">
        <v>104</v>
      </c>
      <c r="E778" s="66">
        <v>45111</v>
      </c>
      <c r="F778" s="323" t="s">
        <v>568</v>
      </c>
      <c r="G778" s="66">
        <v>45084</v>
      </c>
      <c r="H778" s="35">
        <v>52</v>
      </c>
      <c r="I778" s="21">
        <v>110000</v>
      </c>
      <c r="J778" s="21"/>
      <c r="K778" s="22">
        <v>0</v>
      </c>
      <c r="L778" s="23"/>
      <c r="M778" s="22">
        <v>0</v>
      </c>
      <c r="N778" s="72">
        <v>0</v>
      </c>
      <c r="O778" s="22">
        <v>0</v>
      </c>
      <c r="P778" s="21">
        <v>110000</v>
      </c>
      <c r="S778" s="101" t="b">
        <f>OR(COUNTIF(Tabla2[[#This Row],[PROVEEDOR]],"*"&amp;'Palabra no opera'!$A$2&amp;"*"))</f>
        <v>0</v>
      </c>
      <c r="T778" s="113">
        <f>+$W$5-Tabla2[[#This Row],[FECHA DE FACTURACIÓN]]</f>
        <v>238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15" t="str">
        <f>+IF(AND(Tabla2[[#This Row],[venc]]="venc",Tabla2[[#This Row],[Columna1]]="por pagar"),"vencida","no")</f>
        <v>no</v>
      </c>
    </row>
    <row r="779" spans="1:23" ht="15.75" x14ac:dyDescent="0.25">
      <c r="A779" s="20">
        <v>30</v>
      </c>
      <c r="B779" s="25">
        <v>406756</v>
      </c>
      <c r="C779" s="25"/>
      <c r="D779" s="56" t="s">
        <v>104</v>
      </c>
      <c r="E779" s="66">
        <v>45111</v>
      </c>
      <c r="F779" s="323" t="s">
        <v>568</v>
      </c>
      <c r="G779" s="66">
        <v>45083</v>
      </c>
      <c r="H779" s="35">
        <v>51</v>
      </c>
      <c r="I779" s="21">
        <v>330000</v>
      </c>
      <c r="J779" s="21"/>
      <c r="K779" s="22">
        <v>0</v>
      </c>
      <c r="L779" s="23"/>
      <c r="M779" s="22">
        <v>0</v>
      </c>
      <c r="N779" s="72">
        <v>0</v>
      </c>
      <c r="O779" s="22">
        <v>0</v>
      </c>
      <c r="P779" s="21">
        <v>330000</v>
      </c>
      <c r="S779" s="101" t="b">
        <f>OR(COUNTIF(Tabla2[[#This Row],[PROVEEDOR]],"*"&amp;'Palabra no opera'!$A$2&amp;"*"))</f>
        <v>0</v>
      </c>
      <c r="T779" s="113">
        <f>+$W$5-Tabla2[[#This Row],[FECHA DE FACTURACIÓN]]</f>
        <v>239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15" t="str">
        <f>+IF(AND(Tabla2[[#This Row],[venc]]="venc",Tabla2[[#This Row],[Columna1]]="por pagar"),"vencida","no")</f>
        <v>no</v>
      </c>
    </row>
    <row r="780" spans="1:23" ht="15.75" x14ac:dyDescent="0.25">
      <c r="A780" s="20">
        <v>30</v>
      </c>
      <c r="B780" s="25">
        <v>406756</v>
      </c>
      <c r="C780" s="25"/>
      <c r="D780" s="56" t="s">
        <v>104</v>
      </c>
      <c r="E780" s="66">
        <v>45111</v>
      </c>
      <c r="F780" s="323" t="s">
        <v>568</v>
      </c>
      <c r="G780" s="66">
        <v>45079</v>
      </c>
      <c r="H780" s="35">
        <v>50</v>
      </c>
      <c r="I780" s="21">
        <v>170000</v>
      </c>
      <c r="J780" s="21"/>
      <c r="K780" s="22">
        <v>0</v>
      </c>
      <c r="L780" s="23"/>
      <c r="M780" s="22">
        <v>0</v>
      </c>
      <c r="N780" s="72">
        <v>0</v>
      </c>
      <c r="O780" s="22">
        <v>0</v>
      </c>
      <c r="P780" s="21">
        <v>170000</v>
      </c>
      <c r="S780" s="101" t="b">
        <f>OR(COUNTIF(Tabla2[[#This Row],[PROVEEDOR]],"*"&amp;'Palabra no opera'!$A$2&amp;"*"))</f>
        <v>0</v>
      </c>
      <c r="T780" s="113">
        <f>+$W$5-Tabla2[[#This Row],[FECHA DE FACTURACIÓN]]</f>
        <v>243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15" t="str">
        <f>+IF(AND(Tabla2[[#This Row],[venc]]="venc",Tabla2[[#This Row],[Columna1]]="por pagar"),"vencida","no")</f>
        <v>no</v>
      </c>
    </row>
    <row r="781" spans="1:23" ht="15.75" x14ac:dyDescent="0.25">
      <c r="A781" s="20">
        <v>30</v>
      </c>
      <c r="B781" s="25">
        <v>406756</v>
      </c>
      <c r="C781" s="25"/>
      <c r="D781" s="56" t="s">
        <v>104</v>
      </c>
      <c r="E781" s="66">
        <v>45111</v>
      </c>
      <c r="F781" s="323" t="s">
        <v>568</v>
      </c>
      <c r="G781" s="66">
        <v>45076</v>
      </c>
      <c r="H781" s="35">
        <v>49</v>
      </c>
      <c r="I781" s="21">
        <v>101500</v>
      </c>
      <c r="J781" s="21"/>
      <c r="K781" s="22">
        <v>0</v>
      </c>
      <c r="L781" s="23"/>
      <c r="M781" s="22">
        <v>0</v>
      </c>
      <c r="N781" s="72">
        <v>0</v>
      </c>
      <c r="O781" s="22">
        <v>0</v>
      </c>
      <c r="P781" s="21">
        <v>101500</v>
      </c>
      <c r="S781" s="101" t="b">
        <f>OR(COUNTIF(Tabla2[[#This Row],[PROVEEDOR]],"*"&amp;'Palabra no opera'!$A$2&amp;"*"))</f>
        <v>0</v>
      </c>
      <c r="T781" s="113">
        <f>+$W$5-Tabla2[[#This Row],[FECHA DE FACTURACIÓN]]</f>
        <v>246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15" t="str">
        <f>+IF(AND(Tabla2[[#This Row],[venc]]="venc",Tabla2[[#This Row],[Columna1]]="por pagar"),"vencida","no")</f>
        <v>no</v>
      </c>
    </row>
    <row r="782" spans="1:23" ht="15.75" x14ac:dyDescent="0.25">
      <c r="A782" s="20">
        <v>30</v>
      </c>
      <c r="B782" s="25">
        <v>406756</v>
      </c>
      <c r="C782" s="25"/>
      <c r="D782" s="56" t="s">
        <v>104</v>
      </c>
      <c r="E782" s="66">
        <v>45111</v>
      </c>
      <c r="F782" s="323" t="s">
        <v>568</v>
      </c>
      <c r="G782" s="66">
        <v>45067</v>
      </c>
      <c r="H782" s="35">
        <v>48</v>
      </c>
      <c r="I782" s="21">
        <v>54000</v>
      </c>
      <c r="J782" s="21"/>
      <c r="K782" s="22">
        <v>0</v>
      </c>
      <c r="L782" s="23"/>
      <c r="M782" s="22">
        <v>0</v>
      </c>
      <c r="N782" s="72">
        <v>0</v>
      </c>
      <c r="O782" s="22">
        <v>0</v>
      </c>
      <c r="P782" s="21">
        <v>54000</v>
      </c>
      <c r="S782" s="101" t="b">
        <f>OR(COUNTIF(Tabla2[[#This Row],[PROVEEDOR]],"*"&amp;'Palabra no opera'!$A$2&amp;"*"))</f>
        <v>0</v>
      </c>
      <c r="T782" s="113">
        <f>+$W$5-Tabla2[[#This Row],[FECHA DE FACTURACIÓN]]</f>
        <v>255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15" t="str">
        <f>+IF(AND(Tabla2[[#This Row],[venc]]="venc",Tabla2[[#This Row],[Columna1]]="por pagar"),"vencida","no")</f>
        <v>no</v>
      </c>
    </row>
    <row r="783" spans="1:23" ht="15.75" x14ac:dyDescent="0.25">
      <c r="A783" s="20">
        <v>30</v>
      </c>
      <c r="B783" s="25">
        <v>406756</v>
      </c>
      <c r="C783" s="25"/>
      <c r="D783" s="56" t="s">
        <v>104</v>
      </c>
      <c r="E783" s="66">
        <v>45111</v>
      </c>
      <c r="F783" s="323" t="s">
        <v>568</v>
      </c>
      <c r="G783" s="66">
        <v>45065</v>
      </c>
      <c r="H783" s="35">
        <v>47</v>
      </c>
      <c r="I783" s="21">
        <v>58000</v>
      </c>
      <c r="J783" s="21"/>
      <c r="K783" s="22">
        <v>0</v>
      </c>
      <c r="L783" s="23"/>
      <c r="M783" s="22">
        <v>0</v>
      </c>
      <c r="N783" s="72">
        <v>0</v>
      </c>
      <c r="O783" s="22">
        <v>0</v>
      </c>
      <c r="P783" s="21">
        <v>58000</v>
      </c>
      <c r="S783" s="101" t="b">
        <f>OR(COUNTIF(Tabla2[[#This Row],[PROVEEDOR]],"*"&amp;'Palabra no opera'!$A$2&amp;"*"))</f>
        <v>0</v>
      </c>
      <c r="T783" s="113">
        <f>+$W$5-Tabla2[[#This Row],[FECHA DE FACTURACIÓN]]</f>
        <v>257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15" t="str">
        <f>+IF(AND(Tabla2[[#This Row],[venc]]="venc",Tabla2[[#This Row],[Columna1]]="por pagar"),"vencida","no")</f>
        <v>no</v>
      </c>
    </row>
    <row r="784" spans="1:23" ht="15.75" x14ac:dyDescent="0.25">
      <c r="A784" s="20">
        <v>30</v>
      </c>
      <c r="B784" s="25">
        <v>6857153.040000001</v>
      </c>
      <c r="C784" s="25"/>
      <c r="D784" s="56" t="s">
        <v>309</v>
      </c>
      <c r="E784" s="66">
        <v>45111</v>
      </c>
      <c r="F784" s="323" t="s">
        <v>254</v>
      </c>
      <c r="G784" s="66">
        <v>45062</v>
      </c>
      <c r="H784" s="35" t="s">
        <v>843</v>
      </c>
      <c r="I784" s="21">
        <v>-123655</v>
      </c>
      <c r="J784" s="21"/>
      <c r="K784" s="22">
        <v>-23494.45</v>
      </c>
      <c r="L784" s="23"/>
      <c r="M784" s="22">
        <v>0</v>
      </c>
      <c r="N784" s="72">
        <v>0</v>
      </c>
      <c r="O784" s="22">
        <v>0</v>
      </c>
      <c r="P784" s="21">
        <v>-147149.45000000001</v>
      </c>
      <c r="S784" s="101" t="b">
        <f>OR(COUNTIF(Tabla2[[#This Row],[PROVEEDOR]],"*"&amp;'Palabra no opera'!$A$2&amp;"*"))</f>
        <v>0</v>
      </c>
      <c r="T784" s="113">
        <f>+$W$5-Tabla2[[#This Row],[FECHA DE FACTURACIÓN]]</f>
        <v>260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15" t="str">
        <f>+IF(AND(Tabla2[[#This Row],[venc]]="venc",Tabla2[[#This Row],[Columna1]]="por pagar"),"vencida","no")</f>
        <v>no</v>
      </c>
    </row>
    <row r="785" spans="1:23" ht="15.75" x14ac:dyDescent="0.25">
      <c r="A785" s="20">
        <v>30</v>
      </c>
      <c r="B785" s="25">
        <v>0</v>
      </c>
      <c r="C785" s="25"/>
      <c r="D785" s="56" t="s">
        <v>173</v>
      </c>
      <c r="E785" s="66">
        <v>45111</v>
      </c>
      <c r="F785" s="323" t="s">
        <v>16</v>
      </c>
      <c r="G785" s="66">
        <v>45057</v>
      </c>
      <c r="H785" s="35" t="s">
        <v>841</v>
      </c>
      <c r="I785" s="21">
        <v>436975</v>
      </c>
      <c r="J785" s="21"/>
      <c r="K785" s="22">
        <v>83025.25</v>
      </c>
      <c r="L785" s="23"/>
      <c r="M785" s="22">
        <v>0</v>
      </c>
      <c r="N785" s="72">
        <v>0</v>
      </c>
      <c r="O785" s="22">
        <v>0</v>
      </c>
      <c r="P785" s="21">
        <v>520000.25</v>
      </c>
      <c r="S785" s="101" t="b">
        <f>OR(COUNTIF(Tabla2[[#This Row],[PROVEEDOR]],"*"&amp;'Palabra no opera'!$A$2&amp;"*"))</f>
        <v>0</v>
      </c>
      <c r="T785" s="113">
        <f>+$W$5-Tabla2[[#This Row],[FECHA DE FACTURACIÓN]]</f>
        <v>265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15" t="str">
        <f>+IF(AND(Tabla2[[#This Row],[venc]]="venc",Tabla2[[#This Row],[Columna1]]="por pagar"),"vencida","no")</f>
        <v>no</v>
      </c>
    </row>
    <row r="786" spans="1:23" ht="15.75" x14ac:dyDescent="0.25">
      <c r="A786" s="20">
        <v>30</v>
      </c>
      <c r="B786" s="25">
        <v>6857153.040000001</v>
      </c>
      <c r="C786" s="25"/>
      <c r="D786" s="56" t="s">
        <v>309</v>
      </c>
      <c r="E786" s="66">
        <v>45111</v>
      </c>
      <c r="F786" s="323" t="s">
        <v>254</v>
      </c>
      <c r="G786" s="66">
        <v>45056</v>
      </c>
      <c r="H786" s="35" t="s">
        <v>842</v>
      </c>
      <c r="I786" s="21">
        <v>3156811</v>
      </c>
      <c r="J786" s="21"/>
      <c r="K786" s="22">
        <v>599794.09</v>
      </c>
      <c r="L786" s="23"/>
      <c r="M786" s="22">
        <v>72735</v>
      </c>
      <c r="N786" s="72">
        <v>2.5000000000000001E-2</v>
      </c>
      <c r="O786" s="22">
        <v>78920.275000000009</v>
      </c>
      <c r="P786" s="21">
        <v>3604949.8149999999</v>
      </c>
      <c r="S786" s="101" t="b">
        <f>OR(COUNTIF(Tabla2[[#This Row],[PROVEEDOR]],"*"&amp;'Palabra no opera'!$A$2&amp;"*"))</f>
        <v>0</v>
      </c>
      <c r="T786" s="113">
        <f>+$W$5-Tabla2[[#This Row],[FECHA DE FACTURACIÓN]]</f>
        <v>266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15" t="str">
        <f>+IF(AND(Tabla2[[#This Row],[venc]]="venc",Tabla2[[#This Row],[Columna1]]="por pagar"),"vencida","no")</f>
        <v>no</v>
      </c>
    </row>
    <row r="787" spans="1:23" ht="15.75" x14ac:dyDescent="0.25">
      <c r="A787" s="20">
        <v>30</v>
      </c>
      <c r="B787" s="25">
        <v>406756</v>
      </c>
      <c r="C787" s="25"/>
      <c r="D787" s="56" t="s">
        <v>104</v>
      </c>
      <c r="E787" s="66">
        <v>45111</v>
      </c>
      <c r="F787" s="323" t="s">
        <v>568</v>
      </c>
      <c r="G787" s="66">
        <v>45055</v>
      </c>
      <c r="H787" s="35">
        <v>46</v>
      </c>
      <c r="I787" s="21">
        <v>59000</v>
      </c>
      <c r="J787" s="21"/>
      <c r="K787" s="22">
        <v>0</v>
      </c>
      <c r="L787" s="23"/>
      <c r="M787" s="22">
        <v>0</v>
      </c>
      <c r="N787" s="72">
        <v>0</v>
      </c>
      <c r="O787" s="22">
        <v>0</v>
      </c>
      <c r="P787" s="21">
        <v>59000</v>
      </c>
      <c r="S787" s="101" t="b">
        <f>OR(COUNTIF(Tabla2[[#This Row],[PROVEEDOR]],"*"&amp;'Palabra no opera'!$A$2&amp;"*"))</f>
        <v>0</v>
      </c>
      <c r="T787" s="113">
        <f>+$W$5-Tabla2[[#This Row],[FECHA DE FACTURACIÓN]]</f>
        <v>267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15" t="str">
        <f>+IF(AND(Tabla2[[#This Row],[venc]]="venc",Tabla2[[#This Row],[Columna1]]="por pagar"),"vencida","no")</f>
        <v>no</v>
      </c>
    </row>
    <row r="788" spans="1:23" ht="15.75" x14ac:dyDescent="0.25">
      <c r="A788" s="20">
        <v>30</v>
      </c>
      <c r="B788" s="25">
        <v>406756</v>
      </c>
      <c r="C788" s="25"/>
      <c r="D788" s="56" t="s">
        <v>104</v>
      </c>
      <c r="E788" s="66">
        <v>45111</v>
      </c>
      <c r="F788" s="323" t="s">
        <v>315</v>
      </c>
      <c r="G788" s="66">
        <v>45047</v>
      </c>
      <c r="H788" s="35">
        <v>45</v>
      </c>
      <c r="I788" s="21">
        <v>420500</v>
      </c>
      <c r="J788" s="21"/>
      <c r="K788" s="22">
        <v>0</v>
      </c>
      <c r="L788" s="23"/>
      <c r="M788" s="22">
        <v>0</v>
      </c>
      <c r="N788" s="72">
        <v>0</v>
      </c>
      <c r="O788" s="22">
        <v>0</v>
      </c>
      <c r="P788" s="21">
        <v>420500</v>
      </c>
      <c r="S788" s="101" t="b">
        <f>OR(COUNTIF(Tabla2[[#This Row],[PROVEEDOR]],"*"&amp;'Palabra no opera'!$A$2&amp;"*"))</f>
        <v>0</v>
      </c>
      <c r="T788" s="113">
        <f>+$W$5-Tabla2[[#This Row],[FECHA DE FACTURACIÓN]]</f>
        <v>275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15" t="str">
        <f>+IF(AND(Tabla2[[#This Row],[venc]]="venc",Tabla2[[#This Row],[Columna1]]="por pagar"),"vencida","no")</f>
        <v>no</v>
      </c>
    </row>
    <row r="789" spans="1:23" ht="15.75" x14ac:dyDescent="0.25">
      <c r="A789" s="20">
        <v>30</v>
      </c>
      <c r="B789" s="25">
        <v>0</v>
      </c>
      <c r="C789" s="25"/>
      <c r="D789" s="56" t="s">
        <v>104</v>
      </c>
      <c r="E789" s="66">
        <v>45108</v>
      </c>
      <c r="F789" s="323" t="s">
        <v>566</v>
      </c>
      <c r="G789" s="66">
        <v>45108</v>
      </c>
      <c r="H789" s="35" t="s">
        <v>518</v>
      </c>
      <c r="I789" s="21">
        <v>840000</v>
      </c>
      <c r="J789" s="21"/>
      <c r="K789" s="22">
        <v>0</v>
      </c>
      <c r="L789" s="23"/>
      <c r="M789" s="22">
        <v>0</v>
      </c>
      <c r="N789" s="72">
        <v>0</v>
      </c>
      <c r="O789" s="22">
        <v>0</v>
      </c>
      <c r="P789" s="21">
        <v>840000</v>
      </c>
      <c r="S789" s="101" t="b">
        <f>OR(COUNTIF(Tabla2[[#This Row],[PROVEEDOR]],"*"&amp;'Palabra no opera'!$A$2&amp;"*"))</f>
        <v>0</v>
      </c>
      <c r="T789" s="113">
        <f>+$W$5-Tabla2[[#This Row],[FECHA DE FACTURACIÓN]]</f>
        <v>214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15" t="str">
        <f>+IF(AND(Tabla2[[#This Row],[venc]]="venc",Tabla2[[#This Row],[Columna1]]="por pagar"),"vencida","no")</f>
        <v>no</v>
      </c>
    </row>
    <row r="790" spans="1:23" ht="15.75" x14ac:dyDescent="0.25">
      <c r="A790" s="20">
        <v>30</v>
      </c>
      <c r="B790" s="25">
        <v>0</v>
      </c>
      <c r="C790" s="25"/>
      <c r="D790" s="56" t="s">
        <v>104</v>
      </c>
      <c r="E790" s="66">
        <v>45108</v>
      </c>
      <c r="F790" s="323" t="s">
        <v>566</v>
      </c>
      <c r="G790" s="66">
        <v>45108</v>
      </c>
      <c r="H790" s="35" t="s">
        <v>545</v>
      </c>
      <c r="I790" s="21">
        <v>171400</v>
      </c>
      <c r="J790" s="21"/>
      <c r="K790" s="22">
        <v>0</v>
      </c>
      <c r="L790" s="23"/>
      <c r="M790" s="22">
        <v>0</v>
      </c>
      <c r="N790" s="72">
        <v>0</v>
      </c>
      <c r="O790" s="22">
        <v>0</v>
      </c>
      <c r="P790" s="21">
        <v>171400</v>
      </c>
      <c r="S790" s="101" t="b">
        <f>OR(COUNTIF(Tabla2[[#This Row],[PROVEEDOR]],"*"&amp;'Palabra no opera'!$A$2&amp;"*"))</f>
        <v>0</v>
      </c>
      <c r="T790" s="113">
        <f>+$W$5-Tabla2[[#This Row],[FECHA DE FACTURACIÓN]]</f>
        <v>214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15" t="str">
        <f>+IF(AND(Tabla2[[#This Row],[venc]]="venc",Tabla2[[#This Row],[Columna1]]="por pagar"),"vencida","no")</f>
        <v>no</v>
      </c>
    </row>
    <row r="791" spans="1:23" ht="15.75" x14ac:dyDescent="0.25">
      <c r="A791" s="20">
        <v>30</v>
      </c>
      <c r="B791" s="25">
        <v>0</v>
      </c>
      <c r="C791" s="25"/>
      <c r="D791" s="56" t="s">
        <v>104</v>
      </c>
      <c r="E791" s="66">
        <v>45108</v>
      </c>
      <c r="F791" s="323" t="s">
        <v>566</v>
      </c>
      <c r="G791" s="66">
        <v>45108</v>
      </c>
      <c r="H791" s="35" t="s">
        <v>517</v>
      </c>
      <c r="I791" s="21">
        <v>1419000</v>
      </c>
      <c r="J791" s="21"/>
      <c r="K791" s="22">
        <v>0</v>
      </c>
      <c r="L791" s="23"/>
      <c r="M791" s="22">
        <v>0</v>
      </c>
      <c r="N791" s="72">
        <v>0</v>
      </c>
      <c r="O791" s="22">
        <v>0</v>
      </c>
      <c r="P791" s="21">
        <v>1419000</v>
      </c>
      <c r="S791" s="101" t="b">
        <f>OR(COUNTIF(Tabla2[[#This Row],[PROVEEDOR]],"*"&amp;'Palabra no opera'!$A$2&amp;"*"))</f>
        <v>0</v>
      </c>
      <c r="T791" s="113">
        <f>+$W$5-Tabla2[[#This Row],[FECHA DE FACTURACIÓN]]</f>
        <v>214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15" t="str">
        <f>+IF(AND(Tabla2[[#This Row],[venc]]="venc",Tabla2[[#This Row],[Columna1]]="por pagar"),"vencida","no")</f>
        <v>no</v>
      </c>
    </row>
    <row r="792" spans="1:23" ht="15.75" x14ac:dyDescent="0.25">
      <c r="A792" s="20">
        <v>30</v>
      </c>
      <c r="B792" s="25">
        <v>0</v>
      </c>
      <c r="C792" s="25"/>
      <c r="D792" s="56" t="s">
        <v>104</v>
      </c>
      <c r="E792" s="66">
        <v>45108</v>
      </c>
      <c r="F792" s="323" t="s">
        <v>566</v>
      </c>
      <c r="G792" s="66">
        <v>45108</v>
      </c>
      <c r="H792" s="35" t="s">
        <v>520</v>
      </c>
      <c r="I792" s="21">
        <v>783800</v>
      </c>
      <c r="J792" s="21"/>
      <c r="K792" s="22">
        <v>0</v>
      </c>
      <c r="L792" s="23"/>
      <c r="M792" s="22">
        <v>0</v>
      </c>
      <c r="N792" s="72">
        <v>0</v>
      </c>
      <c r="O792" s="22">
        <v>0</v>
      </c>
      <c r="P792" s="21">
        <v>783800</v>
      </c>
      <c r="S792" s="101" t="b">
        <f>OR(COUNTIF(Tabla2[[#This Row],[PROVEEDOR]],"*"&amp;'Palabra no opera'!$A$2&amp;"*"))</f>
        <v>0</v>
      </c>
      <c r="T792" s="113">
        <f>+$W$5-Tabla2[[#This Row],[FECHA DE FACTURACIÓN]]</f>
        <v>214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15" t="str">
        <f>+IF(AND(Tabla2[[#This Row],[venc]]="venc",Tabla2[[#This Row],[Columna1]]="por pagar"),"vencida","no")</f>
        <v>no</v>
      </c>
    </row>
    <row r="793" spans="1:23" ht="15.75" x14ac:dyDescent="0.25">
      <c r="A793" s="20">
        <v>30</v>
      </c>
      <c r="B793" s="25">
        <v>0</v>
      </c>
      <c r="C793" s="25"/>
      <c r="D793" s="56" t="s">
        <v>104</v>
      </c>
      <c r="E793" s="66">
        <v>45108</v>
      </c>
      <c r="F793" s="323" t="s">
        <v>566</v>
      </c>
      <c r="G793" s="66">
        <v>45108</v>
      </c>
      <c r="H793" s="35" t="s">
        <v>519</v>
      </c>
      <c r="I793" s="21">
        <v>62997</v>
      </c>
      <c r="J793" s="21"/>
      <c r="K793" s="22">
        <v>0</v>
      </c>
      <c r="L793" s="23"/>
      <c r="M793" s="22">
        <v>0</v>
      </c>
      <c r="N793" s="72">
        <v>0</v>
      </c>
      <c r="O793" s="22">
        <v>0</v>
      </c>
      <c r="P793" s="21">
        <v>62997</v>
      </c>
      <c r="S793" s="101" t="b">
        <f>OR(COUNTIF(Tabla2[[#This Row],[PROVEEDOR]],"*"&amp;'Palabra no opera'!$A$2&amp;"*"))</f>
        <v>0</v>
      </c>
      <c r="T793" s="113">
        <f>+$W$5-Tabla2[[#This Row],[FECHA DE FACTURACIÓN]]</f>
        <v>214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15" t="str">
        <f>+IF(AND(Tabla2[[#This Row],[venc]]="venc",Tabla2[[#This Row],[Columna1]]="por pagar"),"vencida","no")</f>
        <v>no</v>
      </c>
    </row>
    <row r="794" spans="1:23" ht="15.75" x14ac:dyDescent="0.25">
      <c r="A794" s="20">
        <v>30</v>
      </c>
      <c r="B794" s="25">
        <v>0</v>
      </c>
      <c r="C794" s="25"/>
      <c r="D794" s="56" t="s">
        <v>104</v>
      </c>
      <c r="E794" s="66">
        <v>45108</v>
      </c>
      <c r="F794" s="323" t="s">
        <v>566</v>
      </c>
      <c r="G794" s="66">
        <v>45108</v>
      </c>
      <c r="H794" s="35" t="s">
        <v>516</v>
      </c>
      <c r="I794" s="21">
        <v>300500</v>
      </c>
      <c r="J794" s="21"/>
      <c r="K794" s="22">
        <v>0</v>
      </c>
      <c r="L794" s="23"/>
      <c r="M794" s="22">
        <v>0</v>
      </c>
      <c r="N794" s="72">
        <v>0</v>
      </c>
      <c r="O794" s="22">
        <v>0</v>
      </c>
      <c r="P794" s="21">
        <v>300500</v>
      </c>
      <c r="S794" s="101" t="b">
        <f>OR(COUNTIF(Tabla2[[#This Row],[PROVEEDOR]],"*"&amp;'Palabra no opera'!$A$2&amp;"*"))</f>
        <v>0</v>
      </c>
      <c r="T794" s="113">
        <f>+$W$5-Tabla2[[#This Row],[FECHA DE FACTURACIÓN]]</f>
        <v>214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15" t="str">
        <f>+IF(AND(Tabla2[[#This Row],[venc]]="venc",Tabla2[[#This Row],[Columna1]]="por pagar"),"vencida","no")</f>
        <v>no</v>
      </c>
    </row>
    <row r="795" spans="1:23" ht="15.75" x14ac:dyDescent="0.25">
      <c r="A795" s="20">
        <v>30</v>
      </c>
      <c r="B795" s="25">
        <v>0</v>
      </c>
      <c r="C795" s="25"/>
      <c r="D795" s="56" t="s">
        <v>104</v>
      </c>
      <c r="E795" s="66">
        <v>45108</v>
      </c>
      <c r="F795" s="323" t="s">
        <v>521</v>
      </c>
      <c r="G795" s="66">
        <v>45107</v>
      </c>
      <c r="H795" s="35" t="s">
        <v>977</v>
      </c>
      <c r="I795" s="21">
        <v>2505000</v>
      </c>
      <c r="J795" s="21"/>
      <c r="K795" s="22">
        <v>0</v>
      </c>
      <c r="L795" s="23"/>
      <c r="M795" s="22">
        <v>0</v>
      </c>
      <c r="N795" s="72">
        <v>0</v>
      </c>
      <c r="O795" s="22">
        <v>0</v>
      </c>
      <c r="P795" s="21">
        <v>2505000</v>
      </c>
      <c r="S795" s="101" t="b">
        <f>OR(COUNTIF(Tabla2[[#This Row],[PROVEEDOR]],"*"&amp;'Palabra no opera'!$A$2&amp;"*"))</f>
        <v>0</v>
      </c>
      <c r="T795" s="113">
        <f>+$W$5-Tabla2[[#This Row],[FECHA DE FACTURACIÓN]]</f>
        <v>215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15" t="str">
        <f>+IF(AND(Tabla2[[#This Row],[venc]]="venc",Tabla2[[#This Row],[Columna1]]="por pagar"),"vencida","no")</f>
        <v>no</v>
      </c>
    </row>
    <row r="796" spans="1:23" ht="15.75" x14ac:dyDescent="0.25">
      <c r="A796" s="20">
        <v>30</v>
      </c>
      <c r="B796" s="25">
        <v>1110000</v>
      </c>
      <c r="C796" s="25"/>
      <c r="D796" s="56">
        <v>0</v>
      </c>
      <c r="E796" s="66">
        <v>45108</v>
      </c>
      <c r="F796" s="323" t="s">
        <v>910</v>
      </c>
      <c r="G796" s="66">
        <v>45083</v>
      </c>
      <c r="H796" s="35">
        <v>1340</v>
      </c>
      <c r="I796" s="21">
        <v>910000</v>
      </c>
      <c r="J796" s="21"/>
      <c r="K796" s="22">
        <v>0</v>
      </c>
      <c r="L796" s="23"/>
      <c r="M796" s="22">
        <v>0</v>
      </c>
      <c r="N796" s="72">
        <v>0</v>
      </c>
      <c r="O796" s="22">
        <v>0</v>
      </c>
      <c r="P796" s="21">
        <v>910000</v>
      </c>
      <c r="S796" s="101" t="b">
        <f>OR(COUNTIF(Tabla2[[#This Row],[PROVEEDOR]],"*"&amp;'Palabra no opera'!$A$2&amp;"*"))</f>
        <v>0</v>
      </c>
      <c r="T796" s="113">
        <f>+$W$5-Tabla2[[#This Row],[FECHA DE FACTURACIÓN]]</f>
        <v>239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15" t="str">
        <f>+IF(AND(Tabla2[[#This Row],[venc]]="venc",Tabla2[[#This Row],[Columna1]]="por pagar"),"vencida","no")</f>
        <v>no</v>
      </c>
    </row>
    <row r="797" spans="1:23" ht="15.75" x14ac:dyDescent="0.25">
      <c r="A797" s="20">
        <v>30</v>
      </c>
      <c r="B797" s="25">
        <v>0</v>
      </c>
      <c r="C797" s="25"/>
      <c r="D797" s="56" t="s">
        <v>104</v>
      </c>
      <c r="E797" s="66">
        <v>45108</v>
      </c>
      <c r="F797" s="323" t="s">
        <v>308</v>
      </c>
      <c r="G797" s="66">
        <v>45072</v>
      </c>
      <c r="H797" s="35" t="s">
        <v>853</v>
      </c>
      <c r="I797" s="21">
        <v>978000</v>
      </c>
      <c r="J797" s="21"/>
      <c r="K797" s="22">
        <v>0</v>
      </c>
      <c r="L797" s="23"/>
      <c r="M797" s="22">
        <v>0</v>
      </c>
      <c r="N797" s="72">
        <v>0</v>
      </c>
      <c r="O797" s="22">
        <v>0</v>
      </c>
      <c r="P797" s="21">
        <v>978000</v>
      </c>
      <c r="S797" s="101" t="b">
        <f>OR(COUNTIF(Tabla2[[#This Row],[PROVEEDOR]],"*"&amp;'Palabra no opera'!$A$2&amp;"*"))</f>
        <v>0</v>
      </c>
      <c r="T797" s="113">
        <f>+$W$5-Tabla2[[#This Row],[FECHA DE FACTURACIÓN]]</f>
        <v>250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15" t="str">
        <f>+IF(AND(Tabla2[[#This Row],[venc]]="venc",Tabla2[[#This Row],[Columna1]]="por pagar"),"vencida","no")</f>
        <v>no</v>
      </c>
    </row>
    <row r="798" spans="1:23" ht="15.75" x14ac:dyDescent="0.25">
      <c r="A798" s="20">
        <v>30</v>
      </c>
      <c r="B798" s="25">
        <v>0</v>
      </c>
      <c r="C798" s="25"/>
      <c r="D798" s="56" t="s">
        <v>104</v>
      </c>
      <c r="E798" s="66">
        <v>45106</v>
      </c>
      <c r="F798" s="323" t="s">
        <v>566</v>
      </c>
      <c r="G798" s="66">
        <v>45106</v>
      </c>
      <c r="H798" s="35" t="s">
        <v>906</v>
      </c>
      <c r="I798" s="21">
        <v>375000</v>
      </c>
      <c r="J798" s="21"/>
      <c r="K798" s="22">
        <v>0</v>
      </c>
      <c r="L798" s="23"/>
      <c r="M798" s="22">
        <v>0</v>
      </c>
      <c r="N798" s="72">
        <v>0</v>
      </c>
      <c r="O798" s="22">
        <v>0</v>
      </c>
      <c r="P798" s="21">
        <v>375000</v>
      </c>
      <c r="S798" s="101" t="b">
        <f>OR(COUNTIF(Tabla2[[#This Row],[PROVEEDOR]],"*"&amp;'Palabra no opera'!$A$2&amp;"*"))</f>
        <v>0</v>
      </c>
      <c r="T798" s="113">
        <f>+$W$5-Tabla2[[#This Row],[FECHA DE FACTURACIÓN]]</f>
        <v>216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15" t="str">
        <f>+IF(AND(Tabla2[[#This Row],[venc]]="venc",Tabla2[[#This Row],[Columna1]]="por pagar"),"vencida","no")</f>
        <v>no</v>
      </c>
    </row>
    <row r="799" spans="1:23" ht="15.75" x14ac:dyDescent="0.25">
      <c r="A799" s="20">
        <v>30</v>
      </c>
      <c r="B799" s="25">
        <v>380979.69</v>
      </c>
      <c r="C799" s="25"/>
      <c r="D799" s="56" t="s">
        <v>255</v>
      </c>
      <c r="E799" s="66">
        <v>45105</v>
      </c>
      <c r="F799" s="323" t="s">
        <v>393</v>
      </c>
      <c r="G799" s="66">
        <v>45040</v>
      </c>
      <c r="H799" s="35" t="s">
        <v>798</v>
      </c>
      <c r="I799" s="21">
        <v>2615172</v>
      </c>
      <c r="J799" s="21"/>
      <c r="K799" s="22">
        <v>496882.68</v>
      </c>
      <c r="L799" s="23"/>
      <c r="M799" s="22">
        <v>0</v>
      </c>
      <c r="N799" s="72">
        <v>0</v>
      </c>
      <c r="O799" s="22">
        <v>0</v>
      </c>
      <c r="P799" s="21">
        <v>3112054.68</v>
      </c>
      <c r="S799" s="101" t="b">
        <f>OR(COUNTIF(Tabla2[[#This Row],[PROVEEDOR]],"*"&amp;'Palabra no opera'!$A$2&amp;"*"))</f>
        <v>1</v>
      </c>
      <c r="T799" s="113">
        <f>+$W$5-Tabla2[[#This Row],[FECHA DE FACTURACIÓN]]</f>
        <v>282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15" t="str">
        <f>+IF(AND(Tabla2[[#This Row],[venc]]="venc",Tabla2[[#This Row],[Columna1]]="por pagar"),"vencida","no")</f>
        <v>no</v>
      </c>
    </row>
    <row r="800" spans="1:23" ht="15.75" x14ac:dyDescent="0.25">
      <c r="A800" s="20">
        <v>30</v>
      </c>
      <c r="B800" s="25">
        <v>2169355.9580000001</v>
      </c>
      <c r="C800" s="25"/>
      <c r="D800" s="56" t="s">
        <v>164</v>
      </c>
      <c r="E800" s="66">
        <v>45104</v>
      </c>
      <c r="F800" s="323" t="s">
        <v>18</v>
      </c>
      <c r="G800" s="66">
        <v>45057</v>
      </c>
      <c r="H800" s="35" t="s">
        <v>831</v>
      </c>
      <c r="I800" s="21">
        <v>804018</v>
      </c>
      <c r="J800" s="21"/>
      <c r="K800" s="22">
        <v>152763.42000000001</v>
      </c>
      <c r="L800" s="23"/>
      <c r="M800" s="22">
        <v>0</v>
      </c>
      <c r="N800" s="72">
        <v>0</v>
      </c>
      <c r="O800" s="22">
        <v>0</v>
      </c>
      <c r="P800" s="21">
        <v>956781.42</v>
      </c>
      <c r="S800" s="101" t="b">
        <f>OR(COUNTIF(Tabla2[[#This Row],[PROVEEDOR]],"*"&amp;'Palabra no opera'!$A$2&amp;"*"))</f>
        <v>0</v>
      </c>
      <c r="T800" s="113">
        <f>+$W$5-Tabla2[[#This Row],[FECHA DE FACTURACIÓN]]</f>
        <v>265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15" t="str">
        <f>+IF(AND(Tabla2[[#This Row],[venc]]="venc",Tabla2[[#This Row],[Columna1]]="por pagar"),"vencida","no")</f>
        <v>no</v>
      </c>
    </row>
    <row r="801" spans="1:23" ht="15.75" x14ac:dyDescent="0.25">
      <c r="A801" s="20">
        <v>30</v>
      </c>
      <c r="B801" s="25">
        <v>2169355.9580000001</v>
      </c>
      <c r="C801" s="25"/>
      <c r="D801" s="56" t="s">
        <v>164</v>
      </c>
      <c r="E801" s="66">
        <v>45104</v>
      </c>
      <c r="F801" s="323" t="s">
        <v>18</v>
      </c>
      <c r="G801" s="66">
        <v>45055</v>
      </c>
      <c r="H801" s="35" t="s">
        <v>830</v>
      </c>
      <c r="I801" s="21">
        <v>743608</v>
      </c>
      <c r="J801" s="21"/>
      <c r="K801" s="22">
        <v>141285.51999999999</v>
      </c>
      <c r="L801" s="23"/>
      <c r="M801" s="22">
        <v>0</v>
      </c>
      <c r="N801" s="72">
        <v>0</v>
      </c>
      <c r="O801" s="22">
        <v>0</v>
      </c>
      <c r="P801" s="21">
        <v>884893.52</v>
      </c>
      <c r="S801" s="101" t="b">
        <f>OR(COUNTIF(Tabla2[[#This Row],[PROVEEDOR]],"*"&amp;'Palabra no opera'!$A$2&amp;"*"))</f>
        <v>0</v>
      </c>
      <c r="T801" s="113">
        <f>+$W$5-Tabla2[[#This Row],[FECHA DE FACTURACIÓN]]</f>
        <v>267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15" t="str">
        <f>+IF(AND(Tabla2[[#This Row],[venc]]="venc",Tabla2[[#This Row],[Columna1]]="por pagar"),"vencida","no")</f>
        <v>no</v>
      </c>
    </row>
    <row r="802" spans="1:23" ht="15.75" x14ac:dyDescent="0.25">
      <c r="A802" s="20">
        <v>30</v>
      </c>
      <c r="B802" s="25">
        <v>0</v>
      </c>
      <c r="C802" s="25"/>
      <c r="D802" s="56" t="s">
        <v>104</v>
      </c>
      <c r="E802" s="66">
        <v>45104</v>
      </c>
      <c r="F802" s="323" t="s">
        <v>303</v>
      </c>
      <c r="G802" s="66">
        <v>45006</v>
      </c>
      <c r="H802" s="35" t="s">
        <v>699</v>
      </c>
      <c r="I802" s="21">
        <v>230000</v>
      </c>
      <c r="J802" s="21"/>
      <c r="K802" s="22">
        <v>0</v>
      </c>
      <c r="L802" s="23"/>
      <c r="M802" s="22">
        <v>0</v>
      </c>
      <c r="N802" s="72">
        <v>0</v>
      </c>
      <c r="O802" s="22">
        <v>0</v>
      </c>
      <c r="P802" s="21">
        <v>230000</v>
      </c>
      <c r="S802" s="101" t="b">
        <f>OR(COUNTIF(Tabla2[[#This Row],[PROVEEDOR]],"*"&amp;'Palabra no opera'!$A$2&amp;"*"))</f>
        <v>0</v>
      </c>
      <c r="T802" s="113">
        <f>+$W$5-Tabla2[[#This Row],[FECHA DE FACTURACIÓN]]</f>
        <v>316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15" t="str">
        <f>+IF(AND(Tabla2[[#This Row],[venc]]="venc",Tabla2[[#This Row],[Columna1]]="por pagar"),"vencida","no")</f>
        <v>no</v>
      </c>
    </row>
    <row r="803" spans="1:23" ht="15.75" x14ac:dyDescent="0.25">
      <c r="A803" s="20">
        <v>45</v>
      </c>
      <c r="B803" s="25">
        <v>3535656.6</v>
      </c>
      <c r="C803" s="25"/>
      <c r="D803" s="56" t="s">
        <v>390</v>
      </c>
      <c r="E803" s="66">
        <v>45103</v>
      </c>
      <c r="F803" s="323" t="s">
        <v>19</v>
      </c>
      <c r="G803" s="66">
        <v>45042</v>
      </c>
      <c r="H803" s="35" t="s">
        <v>802</v>
      </c>
      <c r="I803" s="21">
        <v>10467600</v>
      </c>
      <c r="J803" s="21"/>
      <c r="K803" s="22">
        <v>1988844</v>
      </c>
      <c r="L803" s="23"/>
      <c r="M803" s="22">
        <v>0</v>
      </c>
      <c r="N803" s="72">
        <v>0</v>
      </c>
      <c r="O803" s="22">
        <v>0</v>
      </c>
      <c r="P803" s="21">
        <v>12456444</v>
      </c>
      <c r="S803" s="101" t="b">
        <f>OR(COUNTIF(Tabla2[[#This Row],[PROVEEDOR]],"*"&amp;'Palabra no opera'!$A$2&amp;"*"))</f>
        <v>0</v>
      </c>
      <c r="T803" s="113">
        <f>+$W$5-Tabla2[[#This Row],[FECHA DE FACTURACIÓN]]</f>
        <v>280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15" t="str">
        <f>+IF(AND(Tabla2[[#This Row],[venc]]="venc",Tabla2[[#This Row],[Columna1]]="por pagar"),"vencida","no")</f>
        <v>no</v>
      </c>
    </row>
    <row r="804" spans="1:23" ht="15.75" x14ac:dyDescent="0.25">
      <c r="A804" s="20">
        <v>45</v>
      </c>
      <c r="B804" s="25">
        <v>13678360</v>
      </c>
      <c r="C804" s="25"/>
      <c r="D804" s="56" t="s">
        <v>179</v>
      </c>
      <c r="E804" s="66">
        <v>45103</v>
      </c>
      <c r="F804" s="323" t="s">
        <v>10</v>
      </c>
      <c r="G804" s="66">
        <v>45042</v>
      </c>
      <c r="H804" s="35" t="s">
        <v>792</v>
      </c>
      <c r="I804" s="21">
        <v>2179700</v>
      </c>
      <c r="J804" s="21"/>
      <c r="K804" s="22">
        <v>414143</v>
      </c>
      <c r="L804" s="23"/>
      <c r="M804" s="22">
        <v>0</v>
      </c>
      <c r="N804" s="72">
        <v>2.5000000000000001E-2</v>
      </c>
      <c r="O804" s="22">
        <v>54492.5</v>
      </c>
      <c r="P804" s="21">
        <v>2539350.5</v>
      </c>
      <c r="S804" s="101" t="b">
        <f>OR(COUNTIF(Tabla2[[#This Row],[PROVEEDOR]],"*"&amp;'Palabra no opera'!$A$2&amp;"*"))</f>
        <v>0</v>
      </c>
      <c r="T804" s="113">
        <f>+$W$5-Tabla2[[#This Row],[FECHA DE FACTURACIÓN]]</f>
        <v>280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15" t="str">
        <f>+IF(AND(Tabla2[[#This Row],[venc]]="venc",Tabla2[[#This Row],[Columna1]]="por pagar"),"vencida","no")</f>
        <v>no</v>
      </c>
    </row>
    <row r="805" spans="1:23" ht="15.75" x14ac:dyDescent="0.25">
      <c r="A805" s="20">
        <v>30</v>
      </c>
      <c r="B805" s="25">
        <v>0</v>
      </c>
      <c r="C805" s="25"/>
      <c r="D805" s="56" t="s">
        <v>104</v>
      </c>
      <c r="E805" s="66">
        <v>45101</v>
      </c>
      <c r="F805" s="323" t="s">
        <v>291</v>
      </c>
      <c r="G805" s="66">
        <v>45101</v>
      </c>
      <c r="H805" s="35" t="s">
        <v>909</v>
      </c>
      <c r="I805" s="21">
        <v>660000</v>
      </c>
      <c r="J805" s="21"/>
      <c r="K805" s="22">
        <v>0</v>
      </c>
      <c r="L805" s="23"/>
      <c r="M805" s="22">
        <v>0</v>
      </c>
      <c r="N805" s="72">
        <v>0</v>
      </c>
      <c r="O805" s="22">
        <v>0</v>
      </c>
      <c r="P805" s="21">
        <v>660000</v>
      </c>
      <c r="S805" s="101" t="b">
        <f>OR(COUNTIF(Tabla2[[#This Row],[PROVEEDOR]],"*"&amp;'Palabra no opera'!$A$2&amp;"*"))</f>
        <v>0</v>
      </c>
      <c r="T805" s="113">
        <f>+$W$5-Tabla2[[#This Row],[FECHA DE FACTURACIÓN]]</f>
        <v>221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15" t="str">
        <f>+IF(AND(Tabla2[[#This Row],[venc]]="venc",Tabla2[[#This Row],[Columna1]]="por pagar"),"vencida","no")</f>
        <v>no</v>
      </c>
    </row>
    <row r="806" spans="1:23" ht="15.75" x14ac:dyDescent="0.25">
      <c r="A806" s="20">
        <v>30</v>
      </c>
      <c r="B806" s="25">
        <v>0</v>
      </c>
      <c r="C806" s="25"/>
      <c r="D806" s="56" t="s">
        <v>431</v>
      </c>
      <c r="E806" s="66">
        <v>45100</v>
      </c>
      <c r="F806" s="323" t="s">
        <v>460</v>
      </c>
      <c r="G806" s="66">
        <v>45098</v>
      </c>
      <c r="H806" s="35">
        <v>21244</v>
      </c>
      <c r="I806" s="21">
        <v>436800</v>
      </c>
      <c r="J806" s="21"/>
      <c r="K806" s="22">
        <v>82992</v>
      </c>
      <c r="L806" s="23"/>
      <c r="M806" s="22">
        <v>0</v>
      </c>
      <c r="N806" s="72">
        <v>0</v>
      </c>
      <c r="O806" s="22">
        <v>0</v>
      </c>
      <c r="P806" s="21">
        <v>519792</v>
      </c>
      <c r="S806" s="101" t="b">
        <f>OR(COUNTIF(Tabla2[[#This Row],[PROVEEDOR]],"*"&amp;'Palabra no opera'!$A$2&amp;"*"))</f>
        <v>1</v>
      </c>
      <c r="T806" s="113">
        <f>+$W$5-Tabla2[[#This Row],[FECHA DE FACTURACIÓN]]</f>
        <v>224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15" t="str">
        <f>+IF(AND(Tabla2[[#This Row],[venc]]="venc",Tabla2[[#This Row],[Columna1]]="por pagar"),"vencida","no")</f>
        <v>no</v>
      </c>
    </row>
    <row r="807" spans="1:23" ht="15.75" x14ac:dyDescent="0.25">
      <c r="A807" s="20">
        <v>30</v>
      </c>
      <c r="B807" s="25">
        <v>0</v>
      </c>
      <c r="C807" s="25"/>
      <c r="D807" s="56">
        <v>0</v>
      </c>
      <c r="E807" s="66">
        <v>45100</v>
      </c>
      <c r="F807" s="323" t="s">
        <v>591</v>
      </c>
      <c r="G807" s="66">
        <v>45098</v>
      </c>
      <c r="H807" s="35" t="s">
        <v>886</v>
      </c>
      <c r="I807" s="21">
        <v>217200</v>
      </c>
      <c r="J807" s="21"/>
      <c r="K807" s="22">
        <v>41268</v>
      </c>
      <c r="L807" s="23"/>
      <c r="M807" s="22">
        <v>0</v>
      </c>
      <c r="N807" s="72">
        <v>0</v>
      </c>
      <c r="O807" s="22">
        <v>0</v>
      </c>
      <c r="P807" s="21">
        <v>258468</v>
      </c>
      <c r="S807" s="101" t="b">
        <f>OR(COUNTIF(Tabla2[[#This Row],[PROVEEDOR]],"*"&amp;'Palabra no opera'!$A$2&amp;"*"))</f>
        <v>1</v>
      </c>
      <c r="T807" s="113">
        <f>+$W$5-Tabla2[[#This Row],[FECHA DE FACTURACIÓN]]</f>
        <v>224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15" t="str">
        <f>+IF(AND(Tabla2[[#This Row],[venc]]="venc",Tabla2[[#This Row],[Columna1]]="por pagar"),"vencida","no")</f>
        <v>no</v>
      </c>
    </row>
    <row r="808" spans="1:23" ht="15.75" x14ac:dyDescent="0.25">
      <c r="A808" s="20">
        <v>30</v>
      </c>
      <c r="B808" s="25">
        <v>0</v>
      </c>
      <c r="C808" s="25"/>
      <c r="D808" s="56" t="s">
        <v>233</v>
      </c>
      <c r="E808" s="66">
        <v>45100</v>
      </c>
      <c r="F808" s="323" t="s">
        <v>413</v>
      </c>
      <c r="G808" s="66">
        <v>45087</v>
      </c>
      <c r="H808" s="35" t="s">
        <v>885</v>
      </c>
      <c r="I808" s="21">
        <v>3456200</v>
      </c>
      <c r="J808" s="21"/>
      <c r="K808" s="22">
        <v>0</v>
      </c>
      <c r="L808" s="23"/>
      <c r="M808" s="22">
        <v>0</v>
      </c>
      <c r="N808" s="72">
        <v>3.5000000000000003E-2</v>
      </c>
      <c r="O808" s="22">
        <v>120967.00000000001</v>
      </c>
      <c r="P808" s="21">
        <v>3335233</v>
      </c>
      <c r="S808" s="101" t="b">
        <f>OR(COUNTIF(Tabla2[[#This Row],[PROVEEDOR]],"*"&amp;'Palabra no opera'!$A$2&amp;"*"))</f>
        <v>1</v>
      </c>
      <c r="T808" s="113">
        <f>+$W$5-Tabla2[[#This Row],[FECHA DE FACTURACIÓN]]</f>
        <v>235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15" t="str">
        <f>+IF(AND(Tabla2[[#This Row],[venc]]="venc",Tabla2[[#This Row],[Columna1]]="por pagar"),"vencida","no")</f>
        <v>no</v>
      </c>
    </row>
    <row r="809" spans="1:23" ht="15.75" x14ac:dyDescent="0.25">
      <c r="A809" s="20">
        <v>30</v>
      </c>
      <c r="B809" s="25">
        <v>0</v>
      </c>
      <c r="C809" s="25"/>
      <c r="D809" s="56" t="s">
        <v>449</v>
      </c>
      <c r="E809" s="66">
        <v>45100</v>
      </c>
      <c r="F809" s="323" t="s">
        <v>415</v>
      </c>
      <c r="G809" s="66">
        <v>45078</v>
      </c>
      <c r="H809" s="35" t="s">
        <v>888</v>
      </c>
      <c r="I809" s="21">
        <v>934363</v>
      </c>
      <c r="J809" s="21"/>
      <c r="K809" s="22">
        <v>0</v>
      </c>
      <c r="L809" s="23"/>
      <c r="M809" s="22">
        <v>0</v>
      </c>
      <c r="N809" s="72">
        <v>0</v>
      </c>
      <c r="O809" s="22">
        <v>0</v>
      </c>
      <c r="P809" s="21">
        <v>934363</v>
      </c>
      <c r="S809" s="101" t="b">
        <f>OR(COUNTIF(Tabla2[[#This Row],[PROVEEDOR]],"*"&amp;'Palabra no opera'!$A$2&amp;"*"))</f>
        <v>1</v>
      </c>
      <c r="T809" s="113">
        <f>+$W$5-Tabla2[[#This Row],[FECHA DE FACTURACIÓN]]</f>
        <v>244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15" t="str">
        <f>+IF(AND(Tabla2[[#This Row],[venc]]="venc",Tabla2[[#This Row],[Columna1]]="por pagar"),"vencida","no")</f>
        <v>no</v>
      </c>
    </row>
    <row r="810" spans="1:23" ht="15.75" x14ac:dyDescent="0.25">
      <c r="A810" s="20">
        <v>30</v>
      </c>
      <c r="B810" s="25">
        <v>0</v>
      </c>
      <c r="C810" s="25"/>
      <c r="D810" s="56" t="s">
        <v>449</v>
      </c>
      <c r="E810" s="66">
        <v>45100</v>
      </c>
      <c r="F810" s="323" t="s">
        <v>415</v>
      </c>
      <c r="G810" s="66">
        <v>45078</v>
      </c>
      <c r="H810" s="35" t="s">
        <v>889</v>
      </c>
      <c r="I810" s="21">
        <v>914023</v>
      </c>
      <c r="J810" s="21"/>
      <c r="K810" s="22">
        <v>0</v>
      </c>
      <c r="L810" s="23"/>
      <c r="M810" s="22">
        <v>0</v>
      </c>
      <c r="N810" s="72">
        <v>0</v>
      </c>
      <c r="O810" s="22">
        <v>0</v>
      </c>
      <c r="P810" s="21">
        <v>914023</v>
      </c>
      <c r="S810" s="101" t="b">
        <f>OR(COUNTIF(Tabla2[[#This Row],[PROVEEDOR]],"*"&amp;'Palabra no opera'!$A$2&amp;"*"))</f>
        <v>1</v>
      </c>
      <c r="T810" s="113">
        <f>+$W$5-Tabla2[[#This Row],[FECHA DE FACTURACIÓN]]</f>
        <v>244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15" t="str">
        <f>+IF(AND(Tabla2[[#This Row],[venc]]="venc",Tabla2[[#This Row],[Columna1]]="por pagar"),"vencida","no")</f>
        <v>no</v>
      </c>
    </row>
    <row r="811" spans="1:23" ht="15.75" x14ac:dyDescent="0.25">
      <c r="A811" s="20">
        <v>30</v>
      </c>
      <c r="B811" s="25">
        <v>0</v>
      </c>
      <c r="C811" s="25"/>
      <c r="D811" s="56">
        <v>0</v>
      </c>
      <c r="E811" s="66">
        <v>45100</v>
      </c>
      <c r="F811" s="323" t="s">
        <v>591</v>
      </c>
      <c r="G811" s="66">
        <v>44965</v>
      </c>
      <c r="H811" s="35" t="s">
        <v>887</v>
      </c>
      <c r="I811" s="21">
        <v>5700</v>
      </c>
      <c r="J811" s="21"/>
      <c r="K811" s="22"/>
      <c r="L811" s="23"/>
      <c r="M811" s="22">
        <v>0</v>
      </c>
      <c r="N811" s="72">
        <v>0</v>
      </c>
      <c r="O811" s="22">
        <v>0</v>
      </c>
      <c r="P811" s="21">
        <v>5700</v>
      </c>
      <c r="S811" s="101" t="b">
        <f>OR(COUNTIF(Tabla2[[#This Row],[PROVEEDOR]],"*"&amp;'Palabra no opera'!$A$2&amp;"*"))</f>
        <v>1</v>
      </c>
      <c r="T811" s="113">
        <f>+$W$5-Tabla2[[#This Row],[FECHA DE FACTURACIÓN]]</f>
        <v>357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15" t="str">
        <f>+IF(AND(Tabla2[[#This Row],[venc]]="venc",Tabla2[[#This Row],[Columna1]]="por pagar"),"vencida","no")</f>
        <v>no</v>
      </c>
    </row>
    <row r="812" spans="1:23" ht="15.75" x14ac:dyDescent="0.25">
      <c r="A812" s="20">
        <v>30</v>
      </c>
      <c r="B812" s="25">
        <v>0</v>
      </c>
      <c r="C812" s="25"/>
      <c r="D812" s="56" t="s">
        <v>175</v>
      </c>
      <c r="E812" s="66">
        <v>45099</v>
      </c>
      <c r="F812" s="323" t="s">
        <v>418</v>
      </c>
      <c r="G812" s="66">
        <v>45097</v>
      </c>
      <c r="H812" s="35">
        <v>254</v>
      </c>
      <c r="I812" s="21">
        <v>540000</v>
      </c>
      <c r="J812" s="21"/>
      <c r="K812" s="22">
        <v>0</v>
      </c>
      <c r="L812" s="23"/>
      <c r="M812" s="22">
        <v>0</v>
      </c>
      <c r="N812" s="72">
        <v>3.5000000000000003E-2</v>
      </c>
      <c r="O812" s="22">
        <v>18900</v>
      </c>
      <c r="P812" s="21">
        <v>521100</v>
      </c>
      <c r="S812" s="101" t="b">
        <f>OR(COUNTIF(Tabla2[[#This Row],[PROVEEDOR]],"*"&amp;'Palabra no opera'!$A$2&amp;"*"))</f>
        <v>1</v>
      </c>
      <c r="T812" s="113">
        <f>+$W$5-Tabla2[[#This Row],[FECHA DE FACTURACIÓN]]</f>
        <v>225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15" t="str">
        <f>+IF(AND(Tabla2[[#This Row],[venc]]="venc",Tabla2[[#This Row],[Columna1]]="por pagar"),"vencida","no")</f>
        <v>no</v>
      </c>
    </row>
    <row r="813" spans="1:23" ht="15.75" x14ac:dyDescent="0.25">
      <c r="A813" s="20">
        <v>30</v>
      </c>
      <c r="B813" s="25">
        <v>12328400</v>
      </c>
      <c r="C813" s="25"/>
      <c r="D813" s="56" t="s">
        <v>171</v>
      </c>
      <c r="E813" s="66">
        <v>45099</v>
      </c>
      <c r="F813" s="323" t="s">
        <v>485</v>
      </c>
      <c r="G813" s="66">
        <v>45058</v>
      </c>
      <c r="H813" s="35" t="s">
        <v>833</v>
      </c>
      <c r="I813" s="21">
        <v>2352000</v>
      </c>
      <c r="J813" s="21"/>
      <c r="K813" s="22">
        <v>446880</v>
      </c>
      <c r="L813" s="23"/>
      <c r="M813" s="22">
        <v>0</v>
      </c>
      <c r="N813" s="72">
        <v>0</v>
      </c>
      <c r="O813" s="22">
        <v>0</v>
      </c>
      <c r="P813" s="21">
        <v>2798880</v>
      </c>
      <c r="S813" s="101" t="b">
        <f>OR(COUNTIF(Tabla2[[#This Row],[PROVEEDOR]],"*"&amp;'Palabra no opera'!$A$2&amp;"*"))</f>
        <v>0</v>
      </c>
      <c r="T813" s="113">
        <f>+$W$5-Tabla2[[#This Row],[FECHA DE FACTURACIÓN]]</f>
        <v>264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15" t="str">
        <f>+IF(AND(Tabla2[[#This Row],[venc]]="venc",Tabla2[[#This Row],[Columna1]]="por pagar"),"vencida","no")</f>
        <v>no</v>
      </c>
    </row>
    <row r="814" spans="1:23" ht="15.75" x14ac:dyDescent="0.25">
      <c r="A814" s="20">
        <v>30</v>
      </c>
      <c r="B814" s="25">
        <v>-100999.9886</v>
      </c>
      <c r="C814" s="25"/>
      <c r="D814" s="56" t="s">
        <v>1537</v>
      </c>
      <c r="E814" s="66">
        <v>45099</v>
      </c>
      <c r="F814" s="323" t="s">
        <v>246</v>
      </c>
      <c r="G814" s="66">
        <v>45055</v>
      </c>
      <c r="H814" s="35" t="s">
        <v>829</v>
      </c>
      <c r="I814" s="21">
        <v>709916</v>
      </c>
      <c r="J814" s="21"/>
      <c r="K814" s="22">
        <v>134884.04</v>
      </c>
      <c r="L814" s="23"/>
      <c r="M814" s="22">
        <v>0</v>
      </c>
      <c r="N814" s="72">
        <v>0</v>
      </c>
      <c r="O814" s="22">
        <v>0</v>
      </c>
      <c r="P814" s="21">
        <v>844800.04</v>
      </c>
      <c r="S814" s="101" t="b">
        <f>OR(COUNTIF(Tabla2[[#This Row],[PROVEEDOR]],"*"&amp;'Palabra no opera'!$A$2&amp;"*"))</f>
        <v>0</v>
      </c>
      <c r="T814" s="113">
        <f>+$W$5-Tabla2[[#This Row],[FECHA DE FACTURACIÓN]]</f>
        <v>267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15" t="str">
        <f>+IF(AND(Tabla2[[#This Row],[venc]]="venc",Tabla2[[#This Row],[Columna1]]="por pagar"),"vencida","no")</f>
        <v>no</v>
      </c>
    </row>
    <row r="815" spans="1:23" ht="15.75" x14ac:dyDescent="0.25">
      <c r="A815" s="20">
        <v>90</v>
      </c>
      <c r="B815" s="25">
        <v>12030261.305</v>
      </c>
      <c r="C815" s="25"/>
      <c r="D815" s="56" t="s">
        <v>161</v>
      </c>
      <c r="E815" s="66">
        <v>45099</v>
      </c>
      <c r="F815" s="323" t="s">
        <v>12</v>
      </c>
      <c r="G815" s="66">
        <v>45030</v>
      </c>
      <c r="H815" s="35" t="s">
        <v>753</v>
      </c>
      <c r="I815" s="21">
        <v>10529411</v>
      </c>
      <c r="J815" s="21"/>
      <c r="K815" s="22">
        <v>2000588.09</v>
      </c>
      <c r="L815" s="23"/>
      <c r="M815" s="22">
        <v>0</v>
      </c>
      <c r="N815" s="72">
        <v>2.5000000000000001E-2</v>
      </c>
      <c r="O815" s="22">
        <v>263235.27500000002</v>
      </c>
      <c r="P815" s="21">
        <v>12266763.814999999</v>
      </c>
      <c r="S815" s="101" t="b">
        <f>OR(COUNTIF(Tabla2[[#This Row],[PROVEEDOR]],"*"&amp;'Palabra no opera'!$A$2&amp;"*"))</f>
        <v>0</v>
      </c>
      <c r="T815" s="113">
        <f>+$W$5-Tabla2[[#This Row],[FECHA DE FACTURACIÓN]]</f>
        <v>292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15" t="str">
        <f>+IF(AND(Tabla2[[#This Row],[venc]]="venc",Tabla2[[#This Row],[Columna1]]="por pagar"),"vencida","no")</f>
        <v>no</v>
      </c>
    </row>
    <row r="816" spans="1:23" ht="15.75" x14ac:dyDescent="0.25">
      <c r="A816" s="20">
        <v>90</v>
      </c>
      <c r="B816" s="25">
        <v>12030261.305</v>
      </c>
      <c r="C816" s="25"/>
      <c r="D816" s="56" t="s">
        <v>161</v>
      </c>
      <c r="E816" s="66">
        <v>45099</v>
      </c>
      <c r="F816" s="323" t="s">
        <v>12</v>
      </c>
      <c r="G816" s="66">
        <v>45008</v>
      </c>
      <c r="H816" s="35" t="s">
        <v>747</v>
      </c>
      <c r="I816" s="21">
        <v>537815</v>
      </c>
      <c r="J816" s="21"/>
      <c r="K816" s="22">
        <v>102184.85</v>
      </c>
      <c r="L816" s="23"/>
      <c r="M816" s="22">
        <v>0</v>
      </c>
      <c r="N816" s="72">
        <v>0</v>
      </c>
      <c r="O816" s="22">
        <v>0</v>
      </c>
      <c r="P816" s="21">
        <v>639999.85</v>
      </c>
      <c r="S816" s="101" t="b">
        <f>OR(COUNTIF(Tabla2[[#This Row],[PROVEEDOR]],"*"&amp;'Palabra no opera'!$A$2&amp;"*"))</f>
        <v>0</v>
      </c>
      <c r="T816" s="113">
        <f>+$W$5-Tabla2[[#This Row],[FECHA DE FACTURACIÓN]]</f>
        <v>314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15" t="str">
        <f>+IF(AND(Tabla2[[#This Row],[venc]]="venc",Tabla2[[#This Row],[Columna1]]="por pagar"),"vencida","no")</f>
        <v>no</v>
      </c>
    </row>
    <row r="817" spans="1:23" ht="15.75" x14ac:dyDescent="0.25">
      <c r="A817" s="20">
        <v>30</v>
      </c>
      <c r="B817" s="25">
        <v>0</v>
      </c>
      <c r="C817" s="25"/>
      <c r="D817" s="56">
        <v>0</v>
      </c>
      <c r="E817" s="66">
        <v>45098</v>
      </c>
      <c r="F817" s="323" t="s">
        <v>515</v>
      </c>
      <c r="G817" s="66">
        <v>45098</v>
      </c>
      <c r="H817" s="35" t="s">
        <v>916</v>
      </c>
      <c r="I817" s="21">
        <v>452795</v>
      </c>
      <c r="J817" s="21"/>
      <c r="K817" s="22">
        <v>0</v>
      </c>
      <c r="L817" s="23"/>
      <c r="M817" s="22">
        <v>0</v>
      </c>
      <c r="N817" s="72">
        <v>0</v>
      </c>
      <c r="O817" s="22">
        <v>0</v>
      </c>
      <c r="P817" s="21">
        <v>452795</v>
      </c>
      <c r="S817" s="101" t="b">
        <f>OR(COUNTIF(Tabla2[[#This Row],[PROVEEDOR]],"*"&amp;'Palabra no opera'!$A$2&amp;"*"))</f>
        <v>0</v>
      </c>
      <c r="T817" s="113">
        <f>+$W$5-Tabla2[[#This Row],[FECHA DE FACTURACIÓN]]</f>
        <v>224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15" t="str">
        <f>+IF(AND(Tabla2[[#This Row],[venc]]="venc",Tabla2[[#This Row],[Columna1]]="por pagar"),"vencida","no")</f>
        <v>no</v>
      </c>
    </row>
    <row r="818" spans="1:23" ht="15.75" x14ac:dyDescent="0.25">
      <c r="A818" s="20">
        <v>30</v>
      </c>
      <c r="B818" s="25">
        <v>0</v>
      </c>
      <c r="C818" s="25"/>
      <c r="D818" s="56" t="s">
        <v>1561</v>
      </c>
      <c r="E818" s="66">
        <v>45098</v>
      </c>
      <c r="F818" s="323" t="s">
        <v>203</v>
      </c>
      <c r="G818" s="66">
        <v>45098</v>
      </c>
      <c r="H818" s="35" t="s">
        <v>883</v>
      </c>
      <c r="I818" s="21">
        <v>1632000</v>
      </c>
      <c r="J818" s="21"/>
      <c r="K818" s="22">
        <v>0</v>
      </c>
      <c r="L818" s="23"/>
      <c r="M818" s="22">
        <v>0</v>
      </c>
      <c r="N818" s="72">
        <v>0</v>
      </c>
      <c r="O818" s="22">
        <v>0</v>
      </c>
      <c r="P818" s="21">
        <v>1632000</v>
      </c>
      <c r="S818" s="101" t="b">
        <f>OR(COUNTIF(Tabla2[[#This Row],[PROVEEDOR]],"*"&amp;'Palabra no opera'!$A$2&amp;"*"))</f>
        <v>0</v>
      </c>
      <c r="T818" s="113">
        <f>+$W$5-Tabla2[[#This Row],[FECHA DE FACTURACIÓN]]</f>
        <v>224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15" t="str">
        <f>+IF(AND(Tabla2[[#This Row],[venc]]="venc",Tabla2[[#This Row],[Columna1]]="por pagar"),"vencida","no")</f>
        <v>no</v>
      </c>
    </row>
    <row r="819" spans="1:23" ht="15.75" x14ac:dyDescent="0.25">
      <c r="A819" s="20">
        <v>30</v>
      </c>
      <c r="B819" s="25">
        <v>351000</v>
      </c>
      <c r="C819" s="25"/>
      <c r="D819" s="56">
        <v>0</v>
      </c>
      <c r="E819" s="66">
        <v>45098</v>
      </c>
      <c r="F819" s="323" t="s">
        <v>533</v>
      </c>
      <c r="G819" s="66">
        <v>45077</v>
      </c>
      <c r="H819" s="35">
        <v>437</v>
      </c>
      <c r="I819" s="21">
        <v>621600</v>
      </c>
      <c r="J819" s="21"/>
      <c r="K819" s="22">
        <v>0</v>
      </c>
      <c r="L819" s="23"/>
      <c r="M819" s="22">
        <v>118104</v>
      </c>
      <c r="N819" s="72">
        <v>0</v>
      </c>
      <c r="O819" s="22">
        <v>0</v>
      </c>
      <c r="P819" s="21">
        <v>503496</v>
      </c>
      <c r="S819" s="101" t="b">
        <f>OR(COUNTIF(Tabla2[[#This Row],[PROVEEDOR]],"*"&amp;'Palabra no opera'!$A$2&amp;"*"))</f>
        <v>0</v>
      </c>
      <c r="T819" s="113">
        <f>+$W$5-Tabla2[[#This Row],[FECHA DE FACTURACIÓN]]</f>
        <v>245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15" t="str">
        <f>+IF(AND(Tabla2[[#This Row],[venc]]="venc",Tabla2[[#This Row],[Columna1]]="por pagar"),"vencida","no")</f>
        <v>no</v>
      </c>
    </row>
    <row r="820" spans="1:23" ht="15.75" x14ac:dyDescent="0.25">
      <c r="A820" s="20">
        <v>30</v>
      </c>
      <c r="B820" s="25">
        <v>1395870</v>
      </c>
      <c r="C820" s="25"/>
      <c r="D820" s="56" t="s">
        <v>472</v>
      </c>
      <c r="E820" s="66">
        <v>45098</v>
      </c>
      <c r="F820" s="323" t="s">
        <v>457</v>
      </c>
      <c r="G820" s="66">
        <v>45077</v>
      </c>
      <c r="H820" s="35">
        <v>2718</v>
      </c>
      <c r="I820" s="21">
        <v>612000</v>
      </c>
      <c r="J820" s="21"/>
      <c r="K820" s="22">
        <v>116280</v>
      </c>
      <c r="L820" s="23">
        <v>0.1</v>
      </c>
      <c r="M820" s="22">
        <v>61200</v>
      </c>
      <c r="N820" s="72">
        <v>0</v>
      </c>
      <c r="O820" s="22">
        <v>0</v>
      </c>
      <c r="P820" s="21">
        <v>667080</v>
      </c>
      <c r="S820" s="101" t="b">
        <f>OR(COUNTIF(Tabla2[[#This Row],[PROVEEDOR]],"*"&amp;'Palabra no opera'!$A$2&amp;"*"))</f>
        <v>0</v>
      </c>
      <c r="T820" s="113">
        <f>+$W$5-Tabla2[[#This Row],[FECHA DE FACTURACIÓN]]</f>
        <v>245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15" t="str">
        <f>+IF(AND(Tabla2[[#This Row],[venc]]="venc",Tabla2[[#This Row],[Columna1]]="por pagar"),"vencida","no")</f>
        <v>no</v>
      </c>
    </row>
    <row r="821" spans="1:23" ht="15.75" x14ac:dyDescent="0.25">
      <c r="A821" s="20">
        <v>30</v>
      </c>
      <c r="B821" s="25">
        <v>1500000</v>
      </c>
      <c r="C821" s="25"/>
      <c r="D821" s="56" t="s">
        <v>104</v>
      </c>
      <c r="E821" s="66">
        <v>45098</v>
      </c>
      <c r="F821" s="323" t="s">
        <v>273</v>
      </c>
      <c r="G821" s="66">
        <v>45051</v>
      </c>
      <c r="H821" s="35" t="s">
        <v>824</v>
      </c>
      <c r="I821" s="21">
        <v>642250</v>
      </c>
      <c r="J821" s="21"/>
      <c r="K821" s="22">
        <v>0</v>
      </c>
      <c r="L821" s="23"/>
      <c r="M821" s="22">
        <v>0</v>
      </c>
      <c r="N821" s="72">
        <v>0</v>
      </c>
      <c r="O821" s="22">
        <v>0</v>
      </c>
      <c r="P821" s="21">
        <v>642250</v>
      </c>
      <c r="S821" s="101" t="b">
        <f>OR(COUNTIF(Tabla2[[#This Row],[PROVEEDOR]],"*"&amp;'Palabra no opera'!$A$2&amp;"*"))</f>
        <v>0</v>
      </c>
      <c r="T821" s="113">
        <f>+$W$5-Tabla2[[#This Row],[FECHA DE FACTURACIÓN]]</f>
        <v>271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15" t="str">
        <f>+IF(AND(Tabla2[[#This Row],[venc]]="venc",Tabla2[[#This Row],[Columna1]]="por pagar"),"vencida","no")</f>
        <v>no</v>
      </c>
    </row>
    <row r="822" spans="1:23" ht="15.75" x14ac:dyDescent="0.25">
      <c r="A822" s="20">
        <v>30</v>
      </c>
      <c r="B822" s="25">
        <v>840000</v>
      </c>
      <c r="C822" s="25"/>
      <c r="D822" s="56">
        <v>0</v>
      </c>
      <c r="E822" s="66">
        <v>45098</v>
      </c>
      <c r="F822" s="323" t="s">
        <v>318</v>
      </c>
      <c r="G822" s="66">
        <v>45047</v>
      </c>
      <c r="H822" s="35">
        <v>378</v>
      </c>
      <c r="I822" s="21">
        <v>1512000</v>
      </c>
      <c r="J822" s="21"/>
      <c r="K822" s="22">
        <v>0</v>
      </c>
      <c r="L822" s="23"/>
      <c r="M822" s="22">
        <v>0</v>
      </c>
      <c r="N822" s="72">
        <v>0</v>
      </c>
      <c r="O822" s="22">
        <v>0</v>
      </c>
      <c r="P822" s="21">
        <v>1512000</v>
      </c>
      <c r="S822" s="101" t="b">
        <f>OR(COUNTIF(Tabla2[[#This Row],[PROVEEDOR]],"*"&amp;'Palabra no opera'!$A$2&amp;"*"))</f>
        <v>0</v>
      </c>
      <c r="T822" s="113">
        <f>+$W$5-Tabla2[[#This Row],[FECHA DE FACTURACIÓN]]</f>
        <v>275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15" t="str">
        <f>+IF(AND(Tabla2[[#This Row],[venc]]="venc",Tabla2[[#This Row],[Columna1]]="por pagar"),"vencida","no")</f>
        <v>no</v>
      </c>
    </row>
    <row r="823" spans="1:23" ht="15.75" x14ac:dyDescent="0.25">
      <c r="A823" s="20">
        <v>30</v>
      </c>
      <c r="B823" s="25">
        <v>0</v>
      </c>
      <c r="C823" s="25"/>
      <c r="D823" s="56" t="s">
        <v>104</v>
      </c>
      <c r="E823" s="66">
        <v>45097</v>
      </c>
      <c r="F823" s="323" t="s">
        <v>521</v>
      </c>
      <c r="G823" s="66">
        <v>45095</v>
      </c>
      <c r="H823" s="35" t="s">
        <v>912</v>
      </c>
      <c r="I823" s="21">
        <v>3718000</v>
      </c>
      <c r="J823" s="21"/>
      <c r="K823" s="22">
        <v>0</v>
      </c>
      <c r="L823" s="23"/>
      <c r="M823" s="22">
        <v>0</v>
      </c>
      <c r="N823" s="72">
        <v>0</v>
      </c>
      <c r="O823" s="22">
        <v>0</v>
      </c>
      <c r="P823" s="21">
        <v>3718000</v>
      </c>
      <c r="S823" s="101" t="b">
        <f>OR(COUNTIF(Tabla2[[#This Row],[PROVEEDOR]],"*"&amp;'Palabra no opera'!$A$2&amp;"*"))</f>
        <v>0</v>
      </c>
      <c r="T823" s="113">
        <f>+$W$5-Tabla2[[#This Row],[FECHA DE FACTURACIÓN]]</f>
        <v>227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15" t="str">
        <f>+IF(AND(Tabla2[[#This Row],[venc]]="venc",Tabla2[[#This Row],[Columna1]]="por pagar"),"vencida","no")</f>
        <v>no</v>
      </c>
    </row>
    <row r="824" spans="1:23" ht="15.75" x14ac:dyDescent="0.25">
      <c r="A824" s="20">
        <v>30</v>
      </c>
      <c r="B824" s="25">
        <v>0</v>
      </c>
      <c r="C824" s="25"/>
      <c r="D824" s="56" t="s">
        <v>300</v>
      </c>
      <c r="E824" s="66">
        <v>45097</v>
      </c>
      <c r="F824" s="323" t="s">
        <v>409</v>
      </c>
      <c r="G824" s="66">
        <v>45078</v>
      </c>
      <c r="H824" s="35" t="s">
        <v>879</v>
      </c>
      <c r="I824" s="21">
        <v>318603</v>
      </c>
      <c r="J824" s="21">
        <v>9545.39</v>
      </c>
      <c r="K824" s="22">
        <v>0</v>
      </c>
      <c r="L824" s="23"/>
      <c r="M824" s="22">
        <v>0</v>
      </c>
      <c r="N824" s="72">
        <v>0</v>
      </c>
      <c r="O824" s="22">
        <v>0</v>
      </c>
      <c r="P824" s="21">
        <v>309057.61</v>
      </c>
      <c r="S824" s="101" t="b">
        <f>OR(COUNTIF(Tabla2[[#This Row],[PROVEEDOR]],"*"&amp;'Palabra no opera'!$A$2&amp;"*"))</f>
        <v>1</v>
      </c>
      <c r="T824" s="113">
        <f>+$W$5-Tabla2[[#This Row],[FECHA DE FACTURACIÓN]]</f>
        <v>244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15" t="str">
        <f>+IF(AND(Tabla2[[#This Row],[venc]]="venc",Tabla2[[#This Row],[Columna1]]="por pagar"),"vencida","no")</f>
        <v>no</v>
      </c>
    </row>
    <row r="825" spans="1:23" ht="15.75" x14ac:dyDescent="0.25">
      <c r="A825" s="20">
        <v>30</v>
      </c>
      <c r="B825" s="25">
        <v>0</v>
      </c>
      <c r="C825" s="25"/>
      <c r="D825" s="56" t="s">
        <v>174</v>
      </c>
      <c r="E825" s="66">
        <v>45097</v>
      </c>
      <c r="F825" s="323" t="s">
        <v>427</v>
      </c>
      <c r="G825" s="66">
        <v>45078</v>
      </c>
      <c r="H825" s="35" t="s">
        <v>878</v>
      </c>
      <c r="I825" s="21">
        <v>243611</v>
      </c>
      <c r="J825" s="21"/>
      <c r="K825" s="22">
        <v>46286.090000000004</v>
      </c>
      <c r="L825" s="23"/>
      <c r="M825" s="22">
        <v>0</v>
      </c>
      <c r="N825" s="72">
        <v>3.5000000000000003E-2</v>
      </c>
      <c r="O825" s="22">
        <v>8526.3850000000002</v>
      </c>
      <c r="P825" s="21">
        <v>281370.70500000002</v>
      </c>
      <c r="S825" s="101" t="b">
        <f>OR(COUNTIF(Tabla2[[#This Row],[PROVEEDOR]],"*"&amp;'Palabra no opera'!$A$2&amp;"*"))</f>
        <v>1</v>
      </c>
      <c r="T825" s="113">
        <f>+$W$5-Tabla2[[#This Row],[FECHA DE FACTURACIÓN]]</f>
        <v>244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15" t="str">
        <f>+IF(AND(Tabla2[[#This Row],[venc]]="venc",Tabla2[[#This Row],[Columna1]]="por pagar"),"vencida","no")</f>
        <v>no</v>
      </c>
    </row>
    <row r="826" spans="1:23" ht="15.75" x14ac:dyDescent="0.25">
      <c r="A826" s="20">
        <v>30</v>
      </c>
      <c r="B826" s="25">
        <v>0</v>
      </c>
      <c r="C826" s="25"/>
      <c r="D826" s="56" t="s">
        <v>231</v>
      </c>
      <c r="E826" s="66">
        <v>45097</v>
      </c>
      <c r="F826" s="323" t="s">
        <v>230</v>
      </c>
      <c r="G826" s="66">
        <v>45062</v>
      </c>
      <c r="H826" s="35" t="s">
        <v>839</v>
      </c>
      <c r="I826" s="21">
        <v>1750000</v>
      </c>
      <c r="J826" s="21"/>
      <c r="K826" s="22">
        <v>332500</v>
      </c>
      <c r="L826" s="23"/>
      <c r="M826" s="22">
        <v>0</v>
      </c>
      <c r="N826" s="72">
        <v>2.5000000000000001E-2</v>
      </c>
      <c r="O826" s="22">
        <v>43750</v>
      </c>
      <c r="P826" s="21">
        <v>2038750</v>
      </c>
      <c r="S826" s="101" t="b">
        <f>OR(COUNTIF(Tabla2[[#This Row],[PROVEEDOR]],"*"&amp;'Palabra no opera'!$A$2&amp;"*"))</f>
        <v>0</v>
      </c>
      <c r="T826" s="113">
        <f>+$W$5-Tabla2[[#This Row],[FECHA DE FACTURACIÓN]]</f>
        <v>260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15" t="str">
        <f>+IF(AND(Tabla2[[#This Row],[venc]]="venc",Tabla2[[#This Row],[Columna1]]="por pagar"),"vencida","no")</f>
        <v>no</v>
      </c>
    </row>
    <row r="827" spans="1:23" ht="15.75" x14ac:dyDescent="0.25">
      <c r="A827" s="20">
        <v>30</v>
      </c>
      <c r="B827" s="25">
        <v>2190013.0175000001</v>
      </c>
      <c r="C827" s="25"/>
      <c r="D827" s="56" t="s">
        <v>180</v>
      </c>
      <c r="E827" s="66">
        <v>45097</v>
      </c>
      <c r="F827" s="323" t="s">
        <v>491</v>
      </c>
      <c r="G827" s="66">
        <v>45061</v>
      </c>
      <c r="H827" s="35" t="s">
        <v>840</v>
      </c>
      <c r="I827" s="21">
        <v>4516272</v>
      </c>
      <c r="J827" s="21"/>
      <c r="K827" s="22">
        <v>858091.68</v>
      </c>
      <c r="L827" s="23"/>
      <c r="M827" s="22">
        <v>0</v>
      </c>
      <c r="N827" s="72">
        <v>2.5000000000000001E-2</v>
      </c>
      <c r="O827" s="22">
        <v>112906.8</v>
      </c>
      <c r="P827" s="21">
        <v>5261456.88</v>
      </c>
      <c r="S827" s="101" t="b">
        <f>OR(COUNTIF(Tabla2[[#This Row],[PROVEEDOR]],"*"&amp;'Palabra no opera'!$A$2&amp;"*"))</f>
        <v>0</v>
      </c>
      <c r="T827" s="113">
        <f>+$W$5-Tabla2[[#This Row],[FECHA DE FACTURACIÓN]]</f>
        <v>261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15" t="str">
        <f>+IF(AND(Tabla2[[#This Row],[venc]]="venc",Tabla2[[#This Row],[Columna1]]="por pagar"),"vencida","no")</f>
        <v>no</v>
      </c>
    </row>
    <row r="828" spans="1:23" ht="15.75" x14ac:dyDescent="0.25">
      <c r="A828" s="20">
        <v>30</v>
      </c>
      <c r="B828" s="25">
        <v>0</v>
      </c>
      <c r="C828" s="25"/>
      <c r="D828" s="56" t="s">
        <v>190</v>
      </c>
      <c r="E828" s="66">
        <v>45097</v>
      </c>
      <c r="F828" s="323" t="s">
        <v>26</v>
      </c>
      <c r="G828" s="66">
        <v>45056</v>
      </c>
      <c r="H828" s="35" t="s">
        <v>845</v>
      </c>
      <c r="I828" s="21">
        <v>1470000</v>
      </c>
      <c r="J828" s="21"/>
      <c r="K828" s="22">
        <v>279300</v>
      </c>
      <c r="L828" s="23"/>
      <c r="M828" s="22">
        <v>0</v>
      </c>
      <c r="N828" s="72">
        <v>2.5000000000000001E-2</v>
      </c>
      <c r="O828" s="22">
        <v>36750</v>
      </c>
      <c r="P828" s="21">
        <v>1712550</v>
      </c>
      <c r="S828" s="101" t="b">
        <f>OR(COUNTIF(Tabla2[[#This Row],[PROVEEDOR]],"*"&amp;'Palabra no opera'!$A$2&amp;"*"))</f>
        <v>0</v>
      </c>
      <c r="T828" s="113">
        <f>+$W$5-Tabla2[[#This Row],[FECHA DE FACTURACIÓN]]</f>
        <v>266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15" t="str">
        <f>+IF(AND(Tabla2[[#This Row],[venc]]="venc",Tabla2[[#This Row],[Columna1]]="por pagar"),"vencida","no")</f>
        <v>no</v>
      </c>
    </row>
    <row r="829" spans="1:23" ht="15.75" x14ac:dyDescent="0.25">
      <c r="A829" s="20">
        <v>30</v>
      </c>
      <c r="B829" s="25">
        <v>2713769.64</v>
      </c>
      <c r="C829" s="25"/>
      <c r="D829" s="56" t="s">
        <v>445</v>
      </c>
      <c r="E829" s="66">
        <v>45097</v>
      </c>
      <c r="F829" s="323" t="s">
        <v>11</v>
      </c>
      <c r="G829" s="66">
        <v>45055</v>
      </c>
      <c r="H829" s="35" t="s">
        <v>822</v>
      </c>
      <c r="I829" s="21">
        <v>854119</v>
      </c>
      <c r="J829" s="21"/>
      <c r="K829" s="22">
        <v>162282.61000000002</v>
      </c>
      <c r="L829" s="23"/>
      <c r="M829" s="22">
        <v>0</v>
      </c>
      <c r="N829" s="72">
        <v>0</v>
      </c>
      <c r="O829" s="22">
        <v>0</v>
      </c>
      <c r="P829" s="21">
        <v>1016401.61</v>
      </c>
      <c r="S829" s="101" t="b">
        <f>OR(COUNTIF(Tabla2[[#This Row],[PROVEEDOR]],"*"&amp;'Palabra no opera'!$A$2&amp;"*"))</f>
        <v>0</v>
      </c>
      <c r="T829" s="113">
        <f>+$W$5-Tabla2[[#This Row],[FECHA DE FACTURACIÓN]]</f>
        <v>267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15" t="str">
        <f>+IF(AND(Tabla2[[#This Row],[venc]]="venc",Tabla2[[#This Row],[Columna1]]="por pagar"),"vencida","no")</f>
        <v>no</v>
      </c>
    </row>
    <row r="830" spans="1:23" ht="15.75" x14ac:dyDescent="0.25">
      <c r="A830" s="20">
        <v>30</v>
      </c>
      <c r="B830" s="25">
        <v>2713769.64</v>
      </c>
      <c r="C830" s="25"/>
      <c r="D830" s="56" t="s">
        <v>445</v>
      </c>
      <c r="E830" s="66">
        <v>45097</v>
      </c>
      <c r="F830" s="323" t="s">
        <v>11</v>
      </c>
      <c r="G830" s="66">
        <v>45044</v>
      </c>
      <c r="H830" s="35" t="s">
        <v>801</v>
      </c>
      <c r="I830" s="21">
        <v>5732114</v>
      </c>
      <c r="J830" s="21"/>
      <c r="K830" s="22">
        <v>1089101.6599999999</v>
      </c>
      <c r="L830" s="23"/>
      <c r="M830" s="22">
        <v>0</v>
      </c>
      <c r="N830" s="72">
        <v>2.5000000000000001E-2</v>
      </c>
      <c r="O830" s="22">
        <v>143302.85</v>
      </c>
      <c r="P830" s="21">
        <v>6677912.8100000005</v>
      </c>
      <c r="S830" s="101" t="b">
        <f>OR(COUNTIF(Tabla2[[#This Row],[PROVEEDOR]],"*"&amp;'Palabra no opera'!$A$2&amp;"*"))</f>
        <v>0</v>
      </c>
      <c r="T830" s="113">
        <f>+$W$5-Tabla2[[#This Row],[FECHA DE FACTURACIÓN]]</f>
        <v>278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15" t="str">
        <f>+IF(AND(Tabla2[[#This Row],[venc]]="venc",Tabla2[[#This Row],[Columna1]]="por pagar"),"vencida","no")</f>
        <v>no</v>
      </c>
    </row>
    <row r="831" spans="1:23" ht="15.75" x14ac:dyDescent="0.25">
      <c r="A831" s="20">
        <v>60</v>
      </c>
      <c r="B831" s="25">
        <v>14884783</v>
      </c>
      <c r="C831" s="25"/>
      <c r="D831" s="56" t="s">
        <v>432</v>
      </c>
      <c r="E831" s="66">
        <v>45097</v>
      </c>
      <c r="F831" s="323" t="s">
        <v>76</v>
      </c>
      <c r="G831" s="66">
        <v>45042</v>
      </c>
      <c r="H831" s="35" t="s">
        <v>799</v>
      </c>
      <c r="I831" s="21">
        <v>8754400</v>
      </c>
      <c r="J831" s="21"/>
      <c r="K831" s="22">
        <v>1663336</v>
      </c>
      <c r="L831" s="23"/>
      <c r="M831" s="22">
        <v>0</v>
      </c>
      <c r="N831" s="72">
        <v>2.5000000000000001E-2</v>
      </c>
      <c r="O831" s="22">
        <v>218860</v>
      </c>
      <c r="P831" s="21">
        <v>10198876</v>
      </c>
      <c r="S831" s="101" t="b">
        <f>OR(COUNTIF(Tabla2[[#This Row],[PROVEEDOR]],"*"&amp;'Palabra no opera'!$A$2&amp;"*"))</f>
        <v>0</v>
      </c>
      <c r="T831" s="113">
        <f>+$W$5-Tabla2[[#This Row],[FECHA DE FACTURACIÓN]]</f>
        <v>280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15" t="str">
        <f>+IF(AND(Tabla2[[#This Row],[venc]]="venc",Tabla2[[#This Row],[Columna1]]="por pagar"),"vencida","no")</f>
        <v>no</v>
      </c>
    </row>
    <row r="832" spans="1:23" ht="15.75" x14ac:dyDescent="0.25">
      <c r="A832" s="20">
        <v>30</v>
      </c>
      <c r="B832" s="25">
        <v>0</v>
      </c>
      <c r="C832" s="25"/>
      <c r="D832" s="56" t="s">
        <v>190</v>
      </c>
      <c r="E832" s="66">
        <v>45097</v>
      </c>
      <c r="F832" s="323" t="s">
        <v>26</v>
      </c>
      <c r="G832" s="66">
        <v>45041</v>
      </c>
      <c r="H832" s="35" t="s">
        <v>794</v>
      </c>
      <c r="I832" s="21">
        <v>2657001</v>
      </c>
      <c r="J832" s="21"/>
      <c r="K832" s="22">
        <v>504830.19</v>
      </c>
      <c r="L832" s="23"/>
      <c r="M832" s="22">
        <v>8925</v>
      </c>
      <c r="N832" s="72">
        <v>2.5000000000000001E-2</v>
      </c>
      <c r="O832" s="22">
        <v>66425.025000000009</v>
      </c>
      <c r="P832" s="21">
        <v>3086481.165</v>
      </c>
      <c r="S832" s="101" t="b">
        <f>OR(COUNTIF(Tabla2[[#This Row],[PROVEEDOR]],"*"&amp;'Palabra no opera'!$A$2&amp;"*"))</f>
        <v>0</v>
      </c>
      <c r="T832" s="113">
        <f>+$W$5-Tabla2[[#This Row],[FECHA DE FACTURACIÓN]]</f>
        <v>281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15" t="str">
        <f>+IF(AND(Tabla2[[#This Row],[venc]]="venc",Tabla2[[#This Row],[Columna1]]="por pagar"),"vencida","no")</f>
        <v>no</v>
      </c>
    </row>
    <row r="833" spans="1:23" ht="15.75" x14ac:dyDescent="0.25">
      <c r="A833" s="20">
        <v>30</v>
      </c>
      <c r="B833" s="25">
        <v>4282200</v>
      </c>
      <c r="C833" s="25"/>
      <c r="D833" s="56" t="s">
        <v>217</v>
      </c>
      <c r="E833" s="66">
        <v>45097</v>
      </c>
      <c r="F833" s="323" t="s">
        <v>312</v>
      </c>
      <c r="G833" s="66">
        <v>45030</v>
      </c>
      <c r="H833" s="35">
        <v>4056</v>
      </c>
      <c r="I833" s="21">
        <v>3121200</v>
      </c>
      <c r="J833" s="21"/>
      <c r="K833" s="22">
        <v>0</v>
      </c>
      <c r="L833" s="23"/>
      <c r="M833" s="22">
        <v>0</v>
      </c>
      <c r="N833" s="72">
        <v>0</v>
      </c>
      <c r="O833" s="22">
        <v>0</v>
      </c>
      <c r="P833" s="21">
        <v>3121200</v>
      </c>
      <c r="S833" s="101" t="b">
        <f>OR(COUNTIF(Tabla2[[#This Row],[PROVEEDOR]],"*"&amp;'Palabra no opera'!$A$2&amp;"*"))</f>
        <v>0</v>
      </c>
      <c r="T833" s="113">
        <f>+$W$5-Tabla2[[#This Row],[FECHA DE FACTURACIÓN]]</f>
        <v>292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15" t="str">
        <f>+IF(AND(Tabla2[[#This Row],[venc]]="venc",Tabla2[[#This Row],[Columna1]]="por pagar"),"vencida","no")</f>
        <v>no</v>
      </c>
    </row>
    <row r="834" spans="1:23" ht="15.75" x14ac:dyDescent="0.25">
      <c r="A834" s="20">
        <v>30</v>
      </c>
      <c r="B834" s="25">
        <v>840000</v>
      </c>
      <c r="C834" s="25"/>
      <c r="D834" s="56">
        <v>0</v>
      </c>
      <c r="E834" s="66">
        <v>45097</v>
      </c>
      <c r="F834" s="323" t="s">
        <v>318</v>
      </c>
      <c r="G834" s="66">
        <v>45026</v>
      </c>
      <c r="H834" s="35" t="s">
        <v>762</v>
      </c>
      <c r="I834" s="21">
        <v>861000</v>
      </c>
      <c r="J834" s="21"/>
      <c r="K834" s="22">
        <v>0</v>
      </c>
      <c r="L834" s="23"/>
      <c r="M834" s="22">
        <v>0</v>
      </c>
      <c r="N834" s="72">
        <v>0</v>
      </c>
      <c r="O834" s="22">
        <v>0</v>
      </c>
      <c r="P834" s="21">
        <v>861000</v>
      </c>
      <c r="S834" s="101" t="b">
        <f>OR(COUNTIF(Tabla2[[#This Row],[PROVEEDOR]],"*"&amp;'Palabra no opera'!$A$2&amp;"*"))</f>
        <v>0</v>
      </c>
      <c r="T834" s="113">
        <f>+$W$5-Tabla2[[#This Row],[FECHA DE FACTURACIÓN]]</f>
        <v>296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15" t="str">
        <f>+IF(AND(Tabla2[[#This Row],[venc]]="venc",Tabla2[[#This Row],[Columna1]]="por pagar"),"vencida","no")</f>
        <v>no</v>
      </c>
    </row>
    <row r="835" spans="1:23" ht="15.75" x14ac:dyDescent="0.25">
      <c r="A835" s="20">
        <v>60</v>
      </c>
      <c r="B835" s="25">
        <v>14884783</v>
      </c>
      <c r="C835" s="25"/>
      <c r="D835" s="56" t="s">
        <v>432</v>
      </c>
      <c r="E835" s="66">
        <v>45097</v>
      </c>
      <c r="F835" s="323" t="s">
        <v>76</v>
      </c>
      <c r="G835" s="66">
        <v>45026</v>
      </c>
      <c r="H835" s="35" t="s">
        <v>752</v>
      </c>
      <c r="I835" s="21">
        <v>1768800</v>
      </c>
      <c r="J835" s="21"/>
      <c r="K835" s="22">
        <v>336072</v>
      </c>
      <c r="L835" s="23"/>
      <c r="M835" s="22">
        <v>0</v>
      </c>
      <c r="N835" s="72">
        <v>2.5000000000000001E-2</v>
      </c>
      <c r="O835" s="22">
        <v>44220</v>
      </c>
      <c r="P835" s="21">
        <v>2060652</v>
      </c>
      <c r="S835" s="101" t="b">
        <f>OR(COUNTIF(Tabla2[[#This Row],[PROVEEDOR]],"*"&amp;'Palabra no opera'!$A$2&amp;"*"))</f>
        <v>0</v>
      </c>
      <c r="T835" s="113">
        <f>+$W$5-Tabla2[[#This Row],[FECHA DE FACTURACIÓN]]</f>
        <v>296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15" t="str">
        <f>+IF(AND(Tabla2[[#This Row],[venc]]="venc",Tabla2[[#This Row],[Columna1]]="por pagar"),"vencida","no")</f>
        <v>no</v>
      </c>
    </row>
    <row r="836" spans="1:23" ht="15.75" x14ac:dyDescent="0.25">
      <c r="A836" s="20">
        <v>45</v>
      </c>
      <c r="B836" s="25">
        <v>3535656.6</v>
      </c>
      <c r="C836" s="25"/>
      <c r="D836" s="56" t="s">
        <v>390</v>
      </c>
      <c r="E836" s="66">
        <v>45097</v>
      </c>
      <c r="F836" s="323" t="s">
        <v>19</v>
      </c>
      <c r="G836" s="66">
        <v>45016</v>
      </c>
      <c r="H836" s="35" t="s">
        <v>750</v>
      </c>
      <c r="I836" s="21">
        <v>826770</v>
      </c>
      <c r="J836" s="21"/>
      <c r="K836" s="22">
        <v>157086.29999999999</v>
      </c>
      <c r="L836" s="23"/>
      <c r="M836" s="22">
        <v>0</v>
      </c>
      <c r="N836" s="72">
        <v>0</v>
      </c>
      <c r="O836" s="22">
        <v>0</v>
      </c>
      <c r="P836" s="21">
        <v>983856.3</v>
      </c>
      <c r="S836" s="101" t="b">
        <f>OR(COUNTIF(Tabla2[[#This Row],[PROVEEDOR]],"*"&amp;'Palabra no opera'!$A$2&amp;"*"))</f>
        <v>0</v>
      </c>
      <c r="T836" s="113">
        <f>+$W$5-Tabla2[[#This Row],[FECHA DE FACTURACIÓN]]</f>
        <v>306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15" t="str">
        <f>+IF(AND(Tabla2[[#This Row],[venc]]="venc",Tabla2[[#This Row],[Columna1]]="por pagar"),"vencida","no")</f>
        <v>no</v>
      </c>
    </row>
    <row r="837" spans="1:23" ht="15.75" x14ac:dyDescent="0.25">
      <c r="A837" s="20">
        <v>45</v>
      </c>
      <c r="B837" s="25">
        <v>3535656.6</v>
      </c>
      <c r="C837" s="25"/>
      <c r="D837" s="56" t="s">
        <v>390</v>
      </c>
      <c r="E837" s="66">
        <v>45097</v>
      </c>
      <c r="F837" s="323" t="s">
        <v>19</v>
      </c>
      <c r="G837" s="66">
        <v>45015</v>
      </c>
      <c r="H837" s="35" t="s">
        <v>749</v>
      </c>
      <c r="I837" s="21">
        <v>7884050</v>
      </c>
      <c r="J837" s="21"/>
      <c r="K837" s="22">
        <v>1497969.5</v>
      </c>
      <c r="L837" s="23"/>
      <c r="M837" s="22">
        <v>0</v>
      </c>
      <c r="N837" s="72">
        <v>0</v>
      </c>
      <c r="O837" s="22">
        <v>0</v>
      </c>
      <c r="P837" s="21">
        <v>9382019.5</v>
      </c>
      <c r="S837" s="101" t="b">
        <f>OR(COUNTIF(Tabla2[[#This Row],[PROVEEDOR]],"*"&amp;'Palabra no opera'!$A$2&amp;"*"))</f>
        <v>0</v>
      </c>
      <c r="T837" s="113">
        <f>+$W$5-Tabla2[[#This Row],[FECHA DE FACTURACIÓN]]</f>
        <v>307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15" t="str">
        <f>+IF(AND(Tabla2[[#This Row],[venc]]="venc",Tabla2[[#This Row],[Columna1]]="por pagar"),"vencida","no")</f>
        <v>no</v>
      </c>
    </row>
    <row r="838" spans="1:23" ht="15.75" x14ac:dyDescent="0.25">
      <c r="A838" s="20">
        <v>30</v>
      </c>
      <c r="B838" s="25">
        <v>0</v>
      </c>
      <c r="C838" s="25"/>
      <c r="D838" s="56" t="s">
        <v>104</v>
      </c>
      <c r="E838" s="66">
        <v>45094</v>
      </c>
      <c r="F838" s="323" t="s">
        <v>275</v>
      </c>
      <c r="G838" s="66">
        <v>45094</v>
      </c>
      <c r="H838" s="35" t="s">
        <v>914</v>
      </c>
      <c r="I838" s="21">
        <v>820000</v>
      </c>
      <c r="J838" s="21"/>
      <c r="K838" s="22">
        <v>0</v>
      </c>
      <c r="L838" s="23"/>
      <c r="M838" s="22">
        <v>0</v>
      </c>
      <c r="N838" s="72">
        <v>0</v>
      </c>
      <c r="O838" s="22">
        <v>0</v>
      </c>
      <c r="P838" s="21">
        <v>820000</v>
      </c>
      <c r="S838" s="101" t="b">
        <f>OR(COUNTIF(Tabla2[[#This Row],[PROVEEDOR]],"*"&amp;'Palabra no opera'!$A$2&amp;"*"))</f>
        <v>0</v>
      </c>
      <c r="T838" s="113">
        <f>+$W$5-Tabla2[[#This Row],[FECHA DE FACTURACIÓN]]</f>
        <v>228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15" t="str">
        <f>+IF(AND(Tabla2[[#This Row],[venc]]="venc",Tabla2[[#This Row],[Columna1]]="por pagar"),"vencida","no")</f>
        <v>no</v>
      </c>
    </row>
    <row r="839" spans="1:23" ht="15.75" x14ac:dyDescent="0.25">
      <c r="A839" s="20">
        <v>30</v>
      </c>
      <c r="B839" s="25">
        <v>-2000</v>
      </c>
      <c r="C839" s="25"/>
      <c r="D839" s="56">
        <v>0</v>
      </c>
      <c r="E839" s="66">
        <v>45094</v>
      </c>
      <c r="F839" s="323" t="s">
        <v>881</v>
      </c>
      <c r="G839" s="66">
        <v>45088</v>
      </c>
      <c r="H839" s="35">
        <v>2</v>
      </c>
      <c r="I839" s="21">
        <v>424000</v>
      </c>
      <c r="J839" s="21"/>
      <c r="K839" s="22">
        <v>0</v>
      </c>
      <c r="L839" s="23"/>
      <c r="M839" s="22">
        <v>0</v>
      </c>
      <c r="N839" s="72">
        <v>0</v>
      </c>
      <c r="O839" s="22">
        <v>0</v>
      </c>
      <c r="P839" s="21">
        <v>424000</v>
      </c>
      <c r="S839" s="101" t="b">
        <f>OR(COUNTIF(Tabla2[[#This Row],[PROVEEDOR]],"*"&amp;'Palabra no opera'!$A$2&amp;"*"))</f>
        <v>0</v>
      </c>
      <c r="T839" s="113">
        <f>+$W$5-Tabla2[[#This Row],[FECHA DE FACTURACIÓN]]</f>
        <v>234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15" t="str">
        <f>+IF(AND(Tabla2[[#This Row],[venc]]="venc",Tabla2[[#This Row],[Columna1]]="por pagar"),"vencida","no")</f>
        <v>no</v>
      </c>
    </row>
    <row r="840" spans="1:23" ht="15.75" x14ac:dyDescent="0.25">
      <c r="A840" s="20">
        <v>30</v>
      </c>
      <c r="B840" s="25">
        <v>0</v>
      </c>
      <c r="C840" s="25"/>
      <c r="D840" s="56" t="s">
        <v>158</v>
      </c>
      <c r="E840" s="66">
        <v>45094</v>
      </c>
      <c r="F840" s="323" t="s">
        <v>486</v>
      </c>
      <c r="G840" s="66">
        <v>45085</v>
      </c>
      <c r="H840" s="35">
        <v>422</v>
      </c>
      <c r="I840" s="21">
        <v>400000</v>
      </c>
      <c r="J840" s="21"/>
      <c r="K840" s="22">
        <v>0</v>
      </c>
      <c r="L840" s="23"/>
      <c r="M840" s="22">
        <v>0</v>
      </c>
      <c r="N840" s="72">
        <v>0</v>
      </c>
      <c r="O840" s="22">
        <v>0</v>
      </c>
      <c r="P840" s="21">
        <v>400000</v>
      </c>
      <c r="S840" s="101" t="b">
        <f>OR(COUNTIF(Tabla2[[#This Row],[PROVEEDOR]],"*"&amp;'Palabra no opera'!$A$2&amp;"*"))</f>
        <v>0</v>
      </c>
      <c r="T840" s="113">
        <f>+$W$5-Tabla2[[#This Row],[FECHA DE FACTURACIÓN]]</f>
        <v>237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15" t="str">
        <f>+IF(AND(Tabla2[[#This Row],[venc]]="venc",Tabla2[[#This Row],[Columna1]]="por pagar"),"vencida","no")</f>
        <v>no</v>
      </c>
    </row>
    <row r="841" spans="1:23" ht="15.75" x14ac:dyDescent="0.25">
      <c r="A841" s="20">
        <v>30</v>
      </c>
      <c r="B841" s="25">
        <v>0</v>
      </c>
      <c r="C841" s="25"/>
      <c r="D841" s="56" t="s">
        <v>158</v>
      </c>
      <c r="E841" s="66">
        <v>45094</v>
      </c>
      <c r="F841" s="323" t="s">
        <v>487</v>
      </c>
      <c r="G841" s="66">
        <v>45085</v>
      </c>
      <c r="H841" s="35" t="s">
        <v>880</v>
      </c>
      <c r="I841" s="21">
        <v>400000</v>
      </c>
      <c r="J841" s="21"/>
      <c r="K841" s="22">
        <v>0</v>
      </c>
      <c r="L841" s="23"/>
      <c r="M841" s="22">
        <v>0</v>
      </c>
      <c r="N841" s="72">
        <v>0.01</v>
      </c>
      <c r="O841" s="22">
        <v>4000</v>
      </c>
      <c r="P841" s="21">
        <v>396000</v>
      </c>
      <c r="S841" s="101" t="b">
        <f>OR(COUNTIF(Tabla2[[#This Row],[PROVEEDOR]],"*"&amp;'Palabra no opera'!$A$2&amp;"*"))</f>
        <v>0</v>
      </c>
      <c r="T841" s="113">
        <f>+$W$5-Tabla2[[#This Row],[FECHA DE FACTURACIÓN]]</f>
        <v>237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15" t="str">
        <f>+IF(AND(Tabla2[[#This Row],[venc]]="venc",Tabla2[[#This Row],[Columna1]]="por pagar"),"vencida","no")</f>
        <v>no</v>
      </c>
    </row>
    <row r="842" spans="1:23" ht="15.75" x14ac:dyDescent="0.25">
      <c r="A842" s="20">
        <v>30</v>
      </c>
      <c r="B842" s="25">
        <v>0</v>
      </c>
      <c r="C842" s="25"/>
      <c r="D842" s="56" t="s">
        <v>104</v>
      </c>
      <c r="E842" s="66">
        <v>45093</v>
      </c>
      <c r="F842" s="323" t="s">
        <v>521</v>
      </c>
      <c r="G842" s="66">
        <v>45091</v>
      </c>
      <c r="H842" s="35" t="s">
        <v>913</v>
      </c>
      <c r="I842" s="21">
        <v>4477000</v>
      </c>
      <c r="J842" s="21"/>
      <c r="K842" s="22">
        <v>0</v>
      </c>
      <c r="L842" s="23"/>
      <c r="M842" s="22">
        <v>0</v>
      </c>
      <c r="N842" s="72">
        <v>0</v>
      </c>
      <c r="O842" s="22">
        <v>0</v>
      </c>
      <c r="P842" s="21">
        <v>4477000</v>
      </c>
      <c r="S842" s="101" t="b">
        <f>OR(COUNTIF(Tabla2[[#This Row],[PROVEEDOR]],"*"&amp;'Palabra no opera'!$A$2&amp;"*"))</f>
        <v>0</v>
      </c>
      <c r="T842" s="113">
        <f>+$W$5-Tabla2[[#This Row],[FECHA DE FACTURACIÓN]]</f>
        <v>231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15" t="str">
        <f>+IF(AND(Tabla2[[#This Row],[venc]]="venc",Tabla2[[#This Row],[Columna1]]="por pagar"),"vencida","no")</f>
        <v>no</v>
      </c>
    </row>
    <row r="843" spans="1:23" ht="15.75" x14ac:dyDescent="0.25">
      <c r="A843" s="20">
        <v>30</v>
      </c>
      <c r="B843" s="25">
        <v>0</v>
      </c>
      <c r="C843" s="25"/>
      <c r="D843" s="56" t="s">
        <v>1508</v>
      </c>
      <c r="E843" s="66">
        <v>45093</v>
      </c>
      <c r="F843" s="323" t="s">
        <v>406</v>
      </c>
      <c r="G843" s="66">
        <v>45079</v>
      </c>
      <c r="H843" s="35" t="s">
        <v>877</v>
      </c>
      <c r="I843" s="21">
        <v>1840056</v>
      </c>
      <c r="J843" s="21"/>
      <c r="K843" s="22">
        <v>0</v>
      </c>
      <c r="L843" s="23"/>
      <c r="M843" s="22">
        <v>105097</v>
      </c>
      <c r="N843" s="72">
        <v>0</v>
      </c>
      <c r="O843" s="22">
        <v>0</v>
      </c>
      <c r="P843" s="21">
        <v>1734959</v>
      </c>
      <c r="S843" s="101" t="b">
        <f>OR(COUNTIF(Tabla2[[#This Row],[PROVEEDOR]],"*"&amp;'Palabra no opera'!$A$2&amp;"*"))</f>
        <v>1</v>
      </c>
      <c r="T843" s="113">
        <f>+$W$5-Tabla2[[#This Row],[FECHA DE FACTURACIÓN]]</f>
        <v>243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15" t="str">
        <f>+IF(AND(Tabla2[[#This Row],[venc]]="venc",Tabla2[[#This Row],[Columna1]]="por pagar"),"vencida","no")</f>
        <v>no</v>
      </c>
    </row>
    <row r="844" spans="1:23" ht="15.75" x14ac:dyDescent="0.25">
      <c r="A844" s="20">
        <v>30</v>
      </c>
      <c r="B844" s="25">
        <v>0</v>
      </c>
      <c r="C844" s="25"/>
      <c r="D844" s="56" t="s">
        <v>104</v>
      </c>
      <c r="E844" s="66">
        <v>45092</v>
      </c>
      <c r="F844" s="323" t="s">
        <v>465</v>
      </c>
      <c r="G844" s="66">
        <v>45092</v>
      </c>
      <c r="H844" s="35" t="s">
        <v>911</v>
      </c>
      <c r="I844" s="21">
        <v>171400</v>
      </c>
      <c r="J844" s="21"/>
      <c r="K844" s="22">
        <v>0</v>
      </c>
      <c r="L844" s="23"/>
      <c r="M844" s="22">
        <v>0</v>
      </c>
      <c r="N844" s="72">
        <v>0</v>
      </c>
      <c r="O844" s="22">
        <v>0</v>
      </c>
      <c r="P844" s="21">
        <v>171400</v>
      </c>
      <c r="S844" s="101" t="b">
        <f>OR(COUNTIF(Tabla2[[#This Row],[PROVEEDOR]],"*"&amp;'Palabra no opera'!$A$2&amp;"*"))</f>
        <v>1</v>
      </c>
      <c r="T844" s="113">
        <f>+$W$5-Tabla2[[#This Row],[FECHA DE FACTURACIÓN]]</f>
        <v>230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15" t="str">
        <f>+IF(AND(Tabla2[[#This Row],[venc]]="venc",Tabla2[[#This Row],[Columna1]]="por pagar"),"vencida","no")</f>
        <v>no</v>
      </c>
    </row>
    <row r="845" spans="1:23" ht="15.75" x14ac:dyDescent="0.25">
      <c r="A845" s="20">
        <v>30</v>
      </c>
      <c r="B845" s="25">
        <v>2169355.9580000001</v>
      </c>
      <c r="C845" s="25"/>
      <c r="D845" s="56" t="s">
        <v>164</v>
      </c>
      <c r="E845" s="66">
        <v>45092</v>
      </c>
      <c r="F845" s="323" t="s">
        <v>18</v>
      </c>
      <c r="G845" s="66">
        <v>45044</v>
      </c>
      <c r="H845" s="35" t="s">
        <v>870</v>
      </c>
      <c r="I845" s="21">
        <v>753964</v>
      </c>
      <c r="J845" s="21"/>
      <c r="K845" s="22">
        <v>143253.16</v>
      </c>
      <c r="L845" s="23"/>
      <c r="M845" s="22">
        <v>0</v>
      </c>
      <c r="N845" s="72">
        <v>0</v>
      </c>
      <c r="O845" s="22">
        <v>0</v>
      </c>
      <c r="P845" s="21">
        <v>897217.16</v>
      </c>
      <c r="S845" s="101" t="b">
        <f>OR(COUNTIF(Tabla2[[#This Row],[PROVEEDOR]],"*"&amp;'Palabra no opera'!$A$2&amp;"*"))</f>
        <v>0</v>
      </c>
      <c r="T845" s="113">
        <f>+$W$5-Tabla2[[#This Row],[FECHA DE FACTURACIÓN]]</f>
        <v>278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15" t="str">
        <f>+IF(AND(Tabla2[[#This Row],[venc]]="venc",Tabla2[[#This Row],[Columna1]]="por pagar"),"vencida","no")</f>
        <v>no</v>
      </c>
    </row>
    <row r="846" spans="1:23" ht="15.75" x14ac:dyDescent="0.25">
      <c r="A846" s="20">
        <v>30</v>
      </c>
      <c r="B846" s="25">
        <v>2169355.9580000001</v>
      </c>
      <c r="C846" s="25"/>
      <c r="D846" s="56" t="s">
        <v>164</v>
      </c>
      <c r="E846" s="66">
        <v>45092</v>
      </c>
      <c r="F846" s="323" t="s">
        <v>18</v>
      </c>
      <c r="G846" s="66">
        <v>45042</v>
      </c>
      <c r="H846" s="35" t="s">
        <v>795</v>
      </c>
      <c r="I846" s="21">
        <v>376982</v>
      </c>
      <c r="J846" s="21"/>
      <c r="K846" s="22">
        <v>71626.58</v>
      </c>
      <c r="L846" s="23"/>
      <c r="M846" s="22">
        <v>0</v>
      </c>
      <c r="N846" s="72">
        <v>0</v>
      </c>
      <c r="O846" s="22">
        <v>0</v>
      </c>
      <c r="P846" s="21">
        <v>448608.58</v>
      </c>
      <c r="S846" s="101" t="b">
        <f>OR(COUNTIF(Tabla2[[#This Row],[PROVEEDOR]],"*"&amp;'Palabra no opera'!$A$2&amp;"*"))</f>
        <v>0</v>
      </c>
      <c r="T846" s="113">
        <f>+$W$5-Tabla2[[#This Row],[FECHA DE FACTURACIÓN]]</f>
        <v>280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15" t="str">
        <f>+IF(AND(Tabla2[[#This Row],[venc]]="venc",Tabla2[[#This Row],[Columna1]]="por pagar"),"vencida","no")</f>
        <v>no</v>
      </c>
    </row>
    <row r="847" spans="1:23" ht="15.75" x14ac:dyDescent="0.25">
      <c r="A847" s="20">
        <v>30</v>
      </c>
      <c r="B847" s="25">
        <v>2169355.9580000001</v>
      </c>
      <c r="C847" s="25"/>
      <c r="D847" s="56" t="s">
        <v>164</v>
      </c>
      <c r="E847" s="66">
        <v>45092</v>
      </c>
      <c r="F847" s="323" t="s">
        <v>18</v>
      </c>
      <c r="G847" s="66">
        <v>45042</v>
      </c>
      <c r="H847" s="35" t="s">
        <v>796</v>
      </c>
      <c r="I847" s="21">
        <v>1354333</v>
      </c>
      <c r="J847" s="21"/>
      <c r="K847" s="22">
        <v>257323.27</v>
      </c>
      <c r="L847" s="23"/>
      <c r="M847" s="22">
        <v>0</v>
      </c>
      <c r="N847" s="72">
        <v>2.5000000000000001E-2</v>
      </c>
      <c r="O847" s="22">
        <v>33858.325000000004</v>
      </c>
      <c r="P847" s="21">
        <v>1577797.9450000001</v>
      </c>
      <c r="S847" s="101" t="b">
        <f>OR(COUNTIF(Tabla2[[#This Row],[PROVEEDOR]],"*"&amp;'Palabra no opera'!$A$2&amp;"*"))</f>
        <v>0</v>
      </c>
      <c r="T847" s="113">
        <f>+$W$5-Tabla2[[#This Row],[FECHA DE FACTURACIÓN]]</f>
        <v>280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15" t="str">
        <f>+IF(AND(Tabla2[[#This Row],[venc]]="venc",Tabla2[[#This Row],[Columna1]]="por pagar"),"vencida","no")</f>
        <v>no</v>
      </c>
    </row>
    <row r="848" spans="1:23" ht="15.75" x14ac:dyDescent="0.25">
      <c r="A848" s="20">
        <v>30</v>
      </c>
      <c r="B848" s="25">
        <v>2169355.9580000001</v>
      </c>
      <c r="C848" s="25"/>
      <c r="D848" s="56" t="s">
        <v>164</v>
      </c>
      <c r="E848" s="66">
        <v>45092</v>
      </c>
      <c r="F848" s="323" t="s">
        <v>18</v>
      </c>
      <c r="G848" s="66">
        <v>45042</v>
      </c>
      <c r="H848" s="35" t="s">
        <v>800</v>
      </c>
      <c r="I848" s="21">
        <v>1206027</v>
      </c>
      <c r="J848" s="21"/>
      <c r="K848" s="22">
        <v>229145.13</v>
      </c>
      <c r="L848" s="23"/>
      <c r="M848" s="22">
        <v>0</v>
      </c>
      <c r="N848" s="72">
        <v>2.5000000000000001E-2</v>
      </c>
      <c r="O848" s="22">
        <v>30150.675000000003</v>
      </c>
      <c r="P848" s="21">
        <v>1405021.4549999998</v>
      </c>
      <c r="S848" s="101" t="b">
        <f>OR(COUNTIF(Tabla2[[#This Row],[PROVEEDOR]],"*"&amp;'Palabra no opera'!$A$2&amp;"*"))</f>
        <v>0</v>
      </c>
      <c r="T848" s="113">
        <f>+$W$5-Tabla2[[#This Row],[FECHA DE FACTURACIÓN]]</f>
        <v>280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15" t="str">
        <f>+IF(AND(Tabla2[[#This Row],[venc]]="venc",Tabla2[[#This Row],[Columna1]]="por pagar"),"vencida","no")</f>
        <v>no</v>
      </c>
    </row>
    <row r="849" spans="1:23" ht="15.75" x14ac:dyDescent="0.25">
      <c r="A849" s="20">
        <v>30</v>
      </c>
      <c r="B849" s="25">
        <v>2169355.9580000001</v>
      </c>
      <c r="C849" s="25"/>
      <c r="D849" s="56" t="s">
        <v>164</v>
      </c>
      <c r="E849" s="66">
        <v>45092</v>
      </c>
      <c r="F849" s="323" t="s">
        <v>18</v>
      </c>
      <c r="G849" s="66">
        <v>45036</v>
      </c>
      <c r="H849" s="35" t="s">
        <v>783</v>
      </c>
      <c r="I849" s="21">
        <v>1692916</v>
      </c>
      <c r="J849" s="21"/>
      <c r="K849" s="22">
        <v>321654.03999999998</v>
      </c>
      <c r="L849" s="23"/>
      <c r="M849" s="22">
        <v>0</v>
      </c>
      <c r="N849" s="72">
        <v>2.5000000000000001E-2</v>
      </c>
      <c r="O849" s="22">
        <v>42322.9</v>
      </c>
      <c r="P849" s="21">
        <v>1972247.1400000001</v>
      </c>
      <c r="S849" s="101" t="b">
        <f>OR(COUNTIF(Tabla2[[#This Row],[PROVEEDOR]],"*"&amp;'Palabra no opera'!$A$2&amp;"*"))</f>
        <v>0</v>
      </c>
      <c r="T849" s="113">
        <f>+$W$5-Tabla2[[#This Row],[FECHA DE FACTURACIÓN]]</f>
        <v>286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15" t="str">
        <f>+IF(AND(Tabla2[[#This Row],[venc]]="venc",Tabla2[[#This Row],[Columna1]]="por pagar"),"vencida","no")</f>
        <v>no</v>
      </c>
    </row>
    <row r="850" spans="1:23" ht="15.75" x14ac:dyDescent="0.25">
      <c r="A850" s="20">
        <v>30</v>
      </c>
      <c r="B850" s="25">
        <v>0</v>
      </c>
      <c r="C850" s="25"/>
      <c r="D850" s="56">
        <v>0</v>
      </c>
      <c r="E850" s="66">
        <v>45091</v>
      </c>
      <c r="F850" s="323" t="s">
        <v>856</v>
      </c>
      <c r="G850" s="66">
        <v>45064</v>
      </c>
      <c r="H850" s="35" t="s">
        <v>852</v>
      </c>
      <c r="I850" s="21">
        <v>400000</v>
      </c>
      <c r="J850" s="21"/>
      <c r="K850" s="22">
        <v>0</v>
      </c>
      <c r="L850" s="23"/>
      <c r="M850" s="22">
        <v>0</v>
      </c>
      <c r="N850" s="72">
        <v>0</v>
      </c>
      <c r="O850" s="22">
        <v>0</v>
      </c>
      <c r="P850" s="21">
        <v>400000</v>
      </c>
      <c r="S850" s="101" t="b">
        <f>OR(COUNTIF(Tabla2[[#This Row],[PROVEEDOR]],"*"&amp;'Palabra no opera'!$A$2&amp;"*"))</f>
        <v>0</v>
      </c>
      <c r="T850" s="113">
        <f>+$W$5-Tabla2[[#This Row],[FECHA DE FACTURACIÓN]]</f>
        <v>258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15" t="str">
        <f>+IF(AND(Tabla2[[#This Row],[venc]]="venc",Tabla2[[#This Row],[Columna1]]="por pagar"),"vencida","no")</f>
        <v>no</v>
      </c>
    </row>
    <row r="851" spans="1:23" ht="15.75" x14ac:dyDescent="0.25">
      <c r="A851" s="20">
        <v>30</v>
      </c>
      <c r="B851" s="25">
        <v>0</v>
      </c>
      <c r="C851" s="25"/>
      <c r="D851" s="56" t="s">
        <v>1561</v>
      </c>
      <c r="E851" s="66">
        <v>45090</v>
      </c>
      <c r="F851" s="323" t="s">
        <v>93</v>
      </c>
      <c r="G851" s="66">
        <v>45090</v>
      </c>
      <c r="H851" s="35" t="s">
        <v>890</v>
      </c>
      <c r="I851" s="21">
        <v>1830000</v>
      </c>
      <c r="J851" s="21"/>
      <c r="K851" s="22">
        <v>0</v>
      </c>
      <c r="L851" s="23"/>
      <c r="M851" s="22">
        <v>0</v>
      </c>
      <c r="N851" s="72">
        <v>0</v>
      </c>
      <c r="O851" s="22">
        <v>0</v>
      </c>
      <c r="P851" s="21">
        <v>1830000</v>
      </c>
      <c r="S851" s="101" t="b">
        <f>OR(COUNTIF(Tabla2[[#This Row],[PROVEEDOR]],"*"&amp;'Palabra no opera'!$A$2&amp;"*"))</f>
        <v>0</v>
      </c>
      <c r="T851" s="113">
        <f>+$W$5-Tabla2[[#This Row],[FECHA DE FACTURACIÓN]]</f>
        <v>232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15" t="str">
        <f>+IF(AND(Tabla2[[#This Row],[venc]]="venc",Tabla2[[#This Row],[Columna1]]="por pagar"),"vencida","no")</f>
        <v>no</v>
      </c>
    </row>
    <row r="852" spans="1:23" ht="15.75" x14ac:dyDescent="0.25">
      <c r="A852" s="20">
        <v>10</v>
      </c>
      <c r="B852" s="25">
        <v>0</v>
      </c>
      <c r="C852" s="25"/>
      <c r="D852" s="56" t="s">
        <v>523</v>
      </c>
      <c r="E852" s="66">
        <v>45090</v>
      </c>
      <c r="F852" s="323" t="s">
        <v>522</v>
      </c>
      <c r="G852" s="66">
        <v>45078</v>
      </c>
      <c r="H852" s="35" t="s">
        <v>868</v>
      </c>
      <c r="I852" s="21">
        <v>5350576</v>
      </c>
      <c r="J852" s="21"/>
      <c r="K852" s="22">
        <v>1016609</v>
      </c>
      <c r="L852" s="23"/>
      <c r="M852" s="22">
        <v>0</v>
      </c>
      <c r="N852" s="72">
        <v>0</v>
      </c>
      <c r="O852" s="22">
        <v>0</v>
      </c>
      <c r="P852" s="21">
        <v>6367185</v>
      </c>
      <c r="S852" s="101" t="b">
        <f>OR(COUNTIF(Tabla2[[#This Row],[PROVEEDOR]],"*"&amp;'Palabra no opera'!$A$2&amp;"*"))</f>
        <v>1</v>
      </c>
      <c r="T852" s="113">
        <f>+$W$5-Tabla2[[#This Row],[FECHA DE FACTURACIÓN]]</f>
        <v>244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15" t="str">
        <f>+IF(AND(Tabla2[[#This Row],[venc]]="venc",Tabla2[[#This Row],[Columna1]]="por pagar"),"vencida","no")</f>
        <v>no</v>
      </c>
    </row>
    <row r="853" spans="1:23" ht="15.75" x14ac:dyDescent="0.25">
      <c r="A853" s="20">
        <v>60</v>
      </c>
      <c r="B853" s="25">
        <v>5538410</v>
      </c>
      <c r="C853" s="25"/>
      <c r="D853" s="56" t="s">
        <v>625</v>
      </c>
      <c r="E853" s="66">
        <v>45090</v>
      </c>
      <c r="F853" s="323" t="s">
        <v>624</v>
      </c>
      <c r="G853" s="66">
        <v>45016</v>
      </c>
      <c r="H853" s="35" t="s">
        <v>708</v>
      </c>
      <c r="I853" s="21">
        <v>3332000</v>
      </c>
      <c r="J853" s="21"/>
      <c r="K853" s="22">
        <v>633080</v>
      </c>
      <c r="L853" s="23"/>
      <c r="M853" s="22">
        <v>0</v>
      </c>
      <c r="N853" s="72">
        <v>2.5000000000000001E-2</v>
      </c>
      <c r="O853" s="22">
        <v>83300</v>
      </c>
      <c r="P853" s="21">
        <v>3881780</v>
      </c>
      <c r="S853" s="101" t="b">
        <f>OR(COUNTIF(Tabla2[[#This Row],[PROVEEDOR]],"*"&amp;'Palabra no opera'!$A$2&amp;"*"))</f>
        <v>0</v>
      </c>
      <c r="T853" s="113">
        <f>+$W$5-Tabla2[[#This Row],[FECHA DE FACTURACIÓN]]</f>
        <v>306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15" t="str">
        <f>+IF(AND(Tabla2[[#This Row],[venc]]="venc",Tabla2[[#This Row],[Columna1]]="por pagar"),"vencida","no")</f>
        <v>no</v>
      </c>
    </row>
    <row r="854" spans="1:23" ht="15.75" x14ac:dyDescent="0.25">
      <c r="A854" s="20">
        <v>30</v>
      </c>
      <c r="B854" s="25">
        <v>0</v>
      </c>
      <c r="C854" s="25"/>
      <c r="D854" s="56" t="s">
        <v>104</v>
      </c>
      <c r="E854" s="66">
        <v>45087</v>
      </c>
      <c r="F854" s="323" t="s">
        <v>291</v>
      </c>
      <c r="G854" s="66">
        <v>45087</v>
      </c>
      <c r="H854" s="35" t="s">
        <v>908</v>
      </c>
      <c r="I854" s="21">
        <v>895000</v>
      </c>
      <c r="J854" s="21"/>
      <c r="K854" s="22">
        <v>0</v>
      </c>
      <c r="L854" s="23"/>
      <c r="M854" s="22">
        <v>0</v>
      </c>
      <c r="N854" s="72">
        <v>0</v>
      </c>
      <c r="O854" s="22">
        <v>0</v>
      </c>
      <c r="P854" s="21">
        <v>895000</v>
      </c>
      <c r="S854" s="101" t="b">
        <f>OR(COUNTIF(Tabla2[[#This Row],[PROVEEDOR]],"*"&amp;'Palabra no opera'!$A$2&amp;"*"))</f>
        <v>0</v>
      </c>
      <c r="T854" s="113">
        <f>+$W$5-Tabla2[[#This Row],[FECHA DE FACTURACIÓN]]</f>
        <v>235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15" t="str">
        <f>+IF(AND(Tabla2[[#This Row],[venc]]="venc",Tabla2[[#This Row],[Columna1]]="por pagar"),"vencida","no")</f>
        <v>no</v>
      </c>
    </row>
    <row r="855" spans="1:23" ht="15.75" x14ac:dyDescent="0.25">
      <c r="A855" s="20">
        <v>30</v>
      </c>
      <c r="B855" s="25">
        <v>0</v>
      </c>
      <c r="C855" s="25"/>
      <c r="D855" s="56" t="s">
        <v>284</v>
      </c>
      <c r="E855" s="66">
        <v>45086</v>
      </c>
      <c r="F855" s="323" t="s">
        <v>401</v>
      </c>
      <c r="G855" s="66">
        <v>45078</v>
      </c>
      <c r="H855" s="35" t="s">
        <v>866</v>
      </c>
      <c r="I855" s="21">
        <v>908172</v>
      </c>
      <c r="J855" s="21"/>
      <c r="K855" s="22">
        <v>172552.68</v>
      </c>
      <c r="L855" s="23"/>
      <c r="M855" s="22">
        <v>0</v>
      </c>
      <c r="N855" s="72">
        <v>0</v>
      </c>
      <c r="O855" s="22">
        <v>0</v>
      </c>
      <c r="P855" s="21">
        <v>1080724.68</v>
      </c>
      <c r="S855" s="101" t="b">
        <f>OR(COUNTIF(Tabla2[[#This Row],[PROVEEDOR]],"*"&amp;'Palabra no opera'!$A$2&amp;"*"))</f>
        <v>1</v>
      </c>
      <c r="T855" s="113">
        <f>+$W$5-Tabla2[[#This Row],[FECHA DE FACTURACIÓN]]</f>
        <v>244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15" t="str">
        <f>+IF(AND(Tabla2[[#This Row],[venc]]="venc",Tabla2[[#This Row],[Columna1]]="por pagar"),"vencida","no")</f>
        <v>no</v>
      </c>
    </row>
    <row r="856" spans="1:23" ht="15.75" x14ac:dyDescent="0.25">
      <c r="A856" s="20">
        <v>30</v>
      </c>
      <c r="B856" s="25">
        <v>0</v>
      </c>
      <c r="C856" s="25"/>
      <c r="D856" s="56" t="s">
        <v>284</v>
      </c>
      <c r="E856" s="66">
        <v>45086</v>
      </c>
      <c r="F856" s="323" t="s">
        <v>401</v>
      </c>
      <c r="G856" s="66">
        <v>45078</v>
      </c>
      <c r="H856" s="35" t="s">
        <v>867</v>
      </c>
      <c r="I856" s="21">
        <v>3792544</v>
      </c>
      <c r="J856" s="21"/>
      <c r="K856" s="22">
        <v>720583.36</v>
      </c>
      <c r="L856" s="23"/>
      <c r="M856" s="22">
        <v>0</v>
      </c>
      <c r="N856" s="72">
        <v>0</v>
      </c>
      <c r="O856" s="22">
        <v>0</v>
      </c>
      <c r="P856" s="21">
        <v>4513127.3600000003</v>
      </c>
      <c r="S856" s="101" t="b">
        <f>OR(COUNTIF(Tabla2[[#This Row],[PROVEEDOR]],"*"&amp;'Palabra no opera'!$A$2&amp;"*"))</f>
        <v>1</v>
      </c>
      <c r="T856" s="113">
        <f>+$W$5-Tabla2[[#This Row],[FECHA DE FACTURACIÓN]]</f>
        <v>244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15" t="str">
        <f>+IF(AND(Tabla2[[#This Row],[venc]]="venc",Tabla2[[#This Row],[Columna1]]="por pagar"),"vencida","no")</f>
        <v>no</v>
      </c>
    </row>
    <row r="857" spans="1:23" ht="15.75" x14ac:dyDescent="0.25">
      <c r="A857" s="20">
        <v>30</v>
      </c>
      <c r="B857" s="25">
        <v>0</v>
      </c>
      <c r="C857" s="25"/>
      <c r="D857" s="56" t="s">
        <v>505</v>
      </c>
      <c r="E857" s="66">
        <v>45086</v>
      </c>
      <c r="F857" s="323" t="s">
        <v>416</v>
      </c>
      <c r="G857" s="66">
        <v>45078</v>
      </c>
      <c r="H857" s="35" t="s">
        <v>864</v>
      </c>
      <c r="I857" s="21">
        <v>3935776</v>
      </c>
      <c r="J857" s="21"/>
      <c r="K857" s="22">
        <v>665000</v>
      </c>
      <c r="L857" s="23"/>
      <c r="M857" s="22">
        <v>0</v>
      </c>
      <c r="N857" s="72">
        <v>3.5000000000000003E-2</v>
      </c>
      <c r="O857" s="22"/>
      <c r="P857" s="21">
        <v>4600776</v>
      </c>
      <c r="S857" s="101" t="b">
        <f>OR(COUNTIF(Tabla2[[#This Row],[PROVEEDOR]],"*"&amp;'Palabra no opera'!$A$2&amp;"*"))</f>
        <v>1</v>
      </c>
      <c r="T857" s="113">
        <f>+$W$5-Tabla2[[#This Row],[FECHA DE FACTURACIÓN]]</f>
        <v>244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15" t="str">
        <f>+IF(AND(Tabla2[[#This Row],[venc]]="venc",Tabla2[[#This Row],[Columna1]]="por pagar"),"vencida","no")</f>
        <v>no</v>
      </c>
    </row>
    <row r="858" spans="1:23" ht="15.75" x14ac:dyDescent="0.25">
      <c r="A858" s="20">
        <v>30</v>
      </c>
      <c r="B858" s="25">
        <v>0</v>
      </c>
      <c r="C858" s="25"/>
      <c r="D858" s="56" t="s">
        <v>284</v>
      </c>
      <c r="E858" s="66">
        <v>45086</v>
      </c>
      <c r="F858" s="323" t="s">
        <v>401</v>
      </c>
      <c r="G858" s="66">
        <v>45058</v>
      </c>
      <c r="H858" s="35" t="s">
        <v>532</v>
      </c>
      <c r="I858" s="21">
        <v>-152631</v>
      </c>
      <c r="J858" s="21"/>
      <c r="K858" s="22">
        <v>-28999.89</v>
      </c>
      <c r="L858" s="23"/>
      <c r="M858" s="22">
        <v>0</v>
      </c>
      <c r="N858" s="72">
        <v>0</v>
      </c>
      <c r="O858" s="22">
        <v>0</v>
      </c>
      <c r="P858" s="21">
        <v>-181630.89</v>
      </c>
      <c r="S858" s="101" t="b">
        <f>OR(COUNTIF(Tabla2[[#This Row],[PROVEEDOR]],"*"&amp;'Palabra no opera'!$A$2&amp;"*"))</f>
        <v>1</v>
      </c>
      <c r="T858" s="113">
        <f>+$W$5-Tabla2[[#This Row],[FECHA DE FACTURACIÓN]]</f>
        <v>264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15" t="str">
        <f>+IF(AND(Tabla2[[#This Row],[venc]]="venc",Tabla2[[#This Row],[Columna1]]="por pagar"),"vencida","no")</f>
        <v>no</v>
      </c>
    </row>
    <row r="859" spans="1:23" ht="15.75" x14ac:dyDescent="0.25">
      <c r="A859" s="20">
        <v>30</v>
      </c>
      <c r="B859" s="25">
        <v>0</v>
      </c>
      <c r="C859" s="25"/>
      <c r="D859" s="56" t="s">
        <v>211</v>
      </c>
      <c r="E859" s="66">
        <v>45085</v>
      </c>
      <c r="F859" s="323" t="s">
        <v>56</v>
      </c>
      <c r="G859" s="66">
        <v>45084</v>
      </c>
      <c r="H859" s="35" t="s">
        <v>865</v>
      </c>
      <c r="I859" s="21">
        <v>347585</v>
      </c>
      <c r="J859" s="21"/>
      <c r="K859" s="22">
        <v>19181</v>
      </c>
      <c r="L859" s="23"/>
      <c r="M859" s="22">
        <v>0</v>
      </c>
      <c r="N859" s="72">
        <v>0</v>
      </c>
      <c r="O859" s="22">
        <v>0</v>
      </c>
      <c r="P859" s="21">
        <v>366766</v>
      </c>
      <c r="S859" s="101" t="b">
        <f>OR(COUNTIF(Tabla2[[#This Row],[PROVEEDOR]],"*"&amp;'Palabra no opera'!$A$2&amp;"*"))</f>
        <v>0</v>
      </c>
      <c r="T859" s="113">
        <f>+$W$5-Tabla2[[#This Row],[FECHA DE FACTURACIÓN]]</f>
        <v>238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15" t="str">
        <f>+IF(AND(Tabla2[[#This Row],[venc]]="venc",Tabla2[[#This Row],[Columna1]]="por pagar"),"vencida","no")</f>
        <v>no</v>
      </c>
    </row>
    <row r="860" spans="1:23" ht="15.75" x14ac:dyDescent="0.25">
      <c r="A860" s="20">
        <v>30</v>
      </c>
      <c r="B860" s="25">
        <v>0</v>
      </c>
      <c r="C860" s="25"/>
      <c r="D860" s="56" t="s">
        <v>463</v>
      </c>
      <c r="E860" s="66">
        <v>45083</v>
      </c>
      <c r="F860" s="323" t="s">
        <v>462</v>
      </c>
      <c r="G860" s="66">
        <v>45083</v>
      </c>
      <c r="H860" s="35" t="s">
        <v>871</v>
      </c>
      <c r="I860" s="21">
        <v>428571</v>
      </c>
      <c r="J860" s="21"/>
      <c r="K860" s="22">
        <v>81428.490000000005</v>
      </c>
      <c r="L860" s="23"/>
      <c r="M860" s="22">
        <v>0</v>
      </c>
      <c r="N860" s="72">
        <v>0</v>
      </c>
      <c r="O860" s="22">
        <v>0</v>
      </c>
      <c r="P860" s="21">
        <v>509999.49</v>
      </c>
      <c r="S860" s="101" t="b">
        <f>OR(COUNTIF(Tabla2[[#This Row],[PROVEEDOR]],"*"&amp;'Palabra no opera'!$A$2&amp;"*"))</f>
        <v>0</v>
      </c>
      <c r="T860" s="113">
        <f>+$W$5-Tabla2[[#This Row],[FECHA DE FACTURACIÓN]]</f>
        <v>239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15" t="str">
        <f>+IF(AND(Tabla2[[#This Row],[venc]]="venc",Tabla2[[#This Row],[Columna1]]="por pagar"),"vencida","no")</f>
        <v>no</v>
      </c>
    </row>
    <row r="861" spans="1:23" ht="15.75" x14ac:dyDescent="0.25">
      <c r="A861" s="20">
        <v>30</v>
      </c>
      <c r="B861" s="25">
        <v>5480000</v>
      </c>
      <c r="C861" s="25"/>
      <c r="D861" s="56" t="s">
        <v>104</v>
      </c>
      <c r="E861" s="66">
        <v>45083</v>
      </c>
      <c r="F861" s="323" t="s">
        <v>285</v>
      </c>
      <c r="G861" s="66">
        <v>45002</v>
      </c>
      <c r="H861" s="35" t="s">
        <v>739</v>
      </c>
      <c r="I861" s="21">
        <v>1870000</v>
      </c>
      <c r="J861" s="21"/>
      <c r="K861" s="22">
        <v>0</v>
      </c>
      <c r="L861" s="23"/>
      <c r="M861" s="22">
        <v>0</v>
      </c>
      <c r="N861" s="72">
        <v>0</v>
      </c>
      <c r="O861" s="22">
        <v>0</v>
      </c>
      <c r="P861" s="21">
        <v>1870000</v>
      </c>
      <c r="S861" s="101" t="b">
        <f>OR(COUNTIF(Tabla2[[#This Row],[PROVEEDOR]],"*"&amp;'Palabra no opera'!$A$2&amp;"*"))</f>
        <v>0</v>
      </c>
      <c r="T861" s="113">
        <f>+$W$5-Tabla2[[#This Row],[FECHA DE FACTURACIÓN]]</f>
        <v>320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15" t="str">
        <f>+IF(AND(Tabla2[[#This Row],[venc]]="venc",Tabla2[[#This Row],[Columna1]]="por pagar"),"vencida","no")</f>
        <v>no</v>
      </c>
    </row>
    <row r="862" spans="1:23" ht="15.75" x14ac:dyDescent="0.25">
      <c r="A862" s="20">
        <v>30</v>
      </c>
      <c r="B862" s="25">
        <v>1499400</v>
      </c>
      <c r="C862" s="25"/>
      <c r="D862" s="56" t="s">
        <v>170</v>
      </c>
      <c r="E862" s="66">
        <v>45082</v>
      </c>
      <c r="F862" s="323" t="s">
        <v>490</v>
      </c>
      <c r="G862" s="66">
        <v>45043</v>
      </c>
      <c r="H862" s="35" t="s">
        <v>797</v>
      </c>
      <c r="I862" s="21">
        <v>2562355</v>
      </c>
      <c r="J862" s="21">
        <v>158335</v>
      </c>
      <c r="K862" s="22">
        <v>456763.8</v>
      </c>
      <c r="L862" s="23"/>
      <c r="M862" s="22">
        <v>0</v>
      </c>
      <c r="N862" s="72">
        <v>2.5000000000000001E-2</v>
      </c>
      <c r="O862" s="22">
        <v>60100.5</v>
      </c>
      <c r="P862" s="21">
        <v>2800683.3</v>
      </c>
      <c r="S862" s="101" t="b">
        <f>OR(COUNTIF(Tabla2[[#This Row],[PROVEEDOR]],"*"&amp;'Palabra no opera'!$A$2&amp;"*"))</f>
        <v>0</v>
      </c>
      <c r="T862" s="113">
        <f>+$W$5-Tabla2[[#This Row],[FECHA DE FACTURACIÓN]]</f>
        <v>279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15" t="str">
        <f>+IF(AND(Tabla2[[#This Row],[venc]]="venc",Tabla2[[#This Row],[Columna1]]="por pagar"),"vencida","no")</f>
        <v>no</v>
      </c>
    </row>
    <row r="863" spans="1:23" ht="15.75" x14ac:dyDescent="0.25">
      <c r="A863" s="20">
        <v>30</v>
      </c>
      <c r="B863" s="25">
        <v>1499400</v>
      </c>
      <c r="C863" s="25"/>
      <c r="D863" s="56" t="s">
        <v>170</v>
      </c>
      <c r="E863" s="66">
        <v>45082</v>
      </c>
      <c r="F863" s="323" t="s">
        <v>490</v>
      </c>
      <c r="G863" s="66">
        <v>45041</v>
      </c>
      <c r="H863" s="35" t="s">
        <v>786</v>
      </c>
      <c r="I863" s="21">
        <v>756000</v>
      </c>
      <c r="J863" s="21"/>
      <c r="K863" s="22">
        <v>143640</v>
      </c>
      <c r="L863" s="23"/>
      <c r="M863" s="22">
        <v>0</v>
      </c>
      <c r="N863" s="72">
        <v>0</v>
      </c>
      <c r="O863" s="22">
        <v>0</v>
      </c>
      <c r="P863" s="21">
        <v>899640</v>
      </c>
      <c r="S863" s="101" t="b">
        <f>OR(COUNTIF(Tabla2[[#This Row],[PROVEEDOR]],"*"&amp;'Palabra no opera'!$A$2&amp;"*"))</f>
        <v>0</v>
      </c>
      <c r="T863" s="113">
        <f>+$W$5-Tabla2[[#This Row],[FECHA DE FACTURACIÓN]]</f>
        <v>281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15" t="str">
        <f>+IF(AND(Tabla2[[#This Row],[venc]]="venc",Tabla2[[#This Row],[Columna1]]="por pagar"),"vencida","no")</f>
        <v>no</v>
      </c>
    </row>
    <row r="864" spans="1:23" ht="15.75" x14ac:dyDescent="0.25">
      <c r="A864" s="20">
        <v>30</v>
      </c>
      <c r="B864" s="25">
        <v>2923945.6174999997</v>
      </c>
      <c r="C864" s="25"/>
      <c r="D864" s="56" t="s">
        <v>1538</v>
      </c>
      <c r="E864" s="66">
        <v>45082</v>
      </c>
      <c r="F864" s="323" t="s">
        <v>1526</v>
      </c>
      <c r="G864" s="66">
        <v>45040</v>
      </c>
      <c r="H864" s="35" t="s">
        <v>778</v>
      </c>
      <c r="I864" s="21">
        <v>2758147</v>
      </c>
      <c r="J864" s="21"/>
      <c r="K864" s="22">
        <v>524047.93</v>
      </c>
      <c r="L864" s="23"/>
      <c r="M864" s="22">
        <v>0</v>
      </c>
      <c r="N864" s="72">
        <v>2.5000000000000001E-2</v>
      </c>
      <c r="O864" s="22">
        <v>68953.675000000003</v>
      </c>
      <c r="P864" s="21">
        <v>3213241.2550000004</v>
      </c>
      <c r="S864" s="101" t="b">
        <f>OR(COUNTIF(Tabla2[[#This Row],[PROVEEDOR]],"*"&amp;'Palabra no opera'!$A$2&amp;"*"))</f>
        <v>0</v>
      </c>
      <c r="T864" s="113">
        <f>+$W$5-Tabla2[[#This Row],[FECHA DE FACTURACIÓN]]</f>
        <v>282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15" t="str">
        <f>+IF(AND(Tabla2[[#This Row],[venc]]="venc",Tabla2[[#This Row],[Columna1]]="por pagar"),"vencida","no")</f>
        <v>no</v>
      </c>
    </row>
    <row r="865" spans="1:23" ht="15.75" x14ac:dyDescent="0.25">
      <c r="A865" s="20">
        <v>30</v>
      </c>
      <c r="B865" s="25">
        <v>2923945.6174999997</v>
      </c>
      <c r="C865" s="25"/>
      <c r="D865" s="56" t="s">
        <v>1538</v>
      </c>
      <c r="E865" s="66">
        <v>45082</v>
      </c>
      <c r="F865" s="323" t="s">
        <v>1526</v>
      </c>
      <c r="G865" s="66">
        <v>45040</v>
      </c>
      <c r="H865" s="35" t="s">
        <v>780</v>
      </c>
      <c r="I865" s="21">
        <v>23527</v>
      </c>
      <c r="J865" s="21"/>
      <c r="K865" s="22">
        <v>4470.13</v>
      </c>
      <c r="L865" s="23"/>
      <c r="M865" s="22">
        <v>0</v>
      </c>
      <c r="N865" s="72">
        <v>0</v>
      </c>
      <c r="O865" s="22">
        <v>0</v>
      </c>
      <c r="P865" s="21">
        <v>27997.13</v>
      </c>
      <c r="S865" s="101" t="b">
        <f>OR(COUNTIF(Tabla2[[#This Row],[PROVEEDOR]],"*"&amp;'Palabra no opera'!$A$2&amp;"*"))</f>
        <v>0</v>
      </c>
      <c r="T865" s="113">
        <f>+$W$5-Tabla2[[#This Row],[FECHA DE FACTURACIÓN]]</f>
        <v>282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15" t="str">
        <f>+IF(AND(Tabla2[[#This Row],[venc]]="venc",Tabla2[[#This Row],[Columna1]]="por pagar"),"vencida","no")</f>
        <v>no</v>
      </c>
    </row>
    <row r="866" spans="1:23" ht="15.75" x14ac:dyDescent="0.25">
      <c r="A866" s="20">
        <v>30</v>
      </c>
      <c r="B866" s="25">
        <v>2190013.0175000001</v>
      </c>
      <c r="C866" s="25"/>
      <c r="D866" s="56" t="s">
        <v>180</v>
      </c>
      <c r="E866" s="66">
        <v>45082</v>
      </c>
      <c r="F866" s="323" t="s">
        <v>491</v>
      </c>
      <c r="G866" s="66">
        <v>45040</v>
      </c>
      <c r="H866" s="35" t="s">
        <v>793</v>
      </c>
      <c r="I866" s="21">
        <v>2420170</v>
      </c>
      <c r="J866" s="21"/>
      <c r="K866" s="22">
        <v>459832.3</v>
      </c>
      <c r="L866" s="23"/>
      <c r="M866" s="22">
        <v>0</v>
      </c>
      <c r="N866" s="72">
        <v>2.5000000000000001E-2</v>
      </c>
      <c r="O866" s="22">
        <v>60504.25</v>
      </c>
      <c r="P866" s="21">
        <v>2819498.05</v>
      </c>
      <c r="S866" s="101" t="b">
        <f>OR(COUNTIF(Tabla2[[#This Row],[PROVEEDOR]],"*"&amp;'Palabra no opera'!$A$2&amp;"*"))</f>
        <v>0</v>
      </c>
      <c r="T866" s="113">
        <f>+$W$5-Tabla2[[#This Row],[FECHA DE FACTURACIÓN]]</f>
        <v>282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15" t="str">
        <f>+IF(AND(Tabla2[[#This Row],[venc]]="venc",Tabla2[[#This Row],[Columna1]]="por pagar"),"vencida","no")</f>
        <v>no</v>
      </c>
    </row>
    <row r="867" spans="1:23" ht="15.75" x14ac:dyDescent="0.25">
      <c r="A867" s="20">
        <v>30</v>
      </c>
      <c r="B867" s="25">
        <v>1499400</v>
      </c>
      <c r="C867" s="25"/>
      <c r="D867" s="56" t="s">
        <v>170</v>
      </c>
      <c r="E867" s="66">
        <v>45082</v>
      </c>
      <c r="F867" s="323" t="s">
        <v>490</v>
      </c>
      <c r="G867" s="66">
        <v>45037</v>
      </c>
      <c r="H867" s="35" t="s">
        <v>789</v>
      </c>
      <c r="I867" s="21">
        <v>436000</v>
      </c>
      <c r="J867" s="21"/>
      <c r="K867" s="22">
        <v>82840</v>
      </c>
      <c r="L867" s="23"/>
      <c r="M867" s="22">
        <v>0</v>
      </c>
      <c r="N867" s="72">
        <v>0</v>
      </c>
      <c r="O867" s="22">
        <v>0</v>
      </c>
      <c r="P867" s="21">
        <v>518840</v>
      </c>
      <c r="S867" s="101" t="b">
        <f>OR(COUNTIF(Tabla2[[#This Row],[PROVEEDOR]],"*"&amp;'Palabra no opera'!$A$2&amp;"*"))</f>
        <v>0</v>
      </c>
      <c r="T867" s="113">
        <f>+$W$5-Tabla2[[#This Row],[FECHA DE FACTURACIÓN]]</f>
        <v>285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15" t="str">
        <f>+IF(AND(Tabla2[[#This Row],[venc]]="venc",Tabla2[[#This Row],[Columna1]]="por pagar"),"vencida","no")</f>
        <v>no</v>
      </c>
    </row>
    <row r="868" spans="1:23" ht="15.75" x14ac:dyDescent="0.25">
      <c r="A868" s="20">
        <v>30</v>
      </c>
      <c r="B868" s="25">
        <v>1499400</v>
      </c>
      <c r="C868" s="25"/>
      <c r="D868" s="56" t="s">
        <v>170</v>
      </c>
      <c r="E868" s="66">
        <v>45082</v>
      </c>
      <c r="F868" s="323" t="s">
        <v>490</v>
      </c>
      <c r="G868" s="66">
        <v>45036</v>
      </c>
      <c r="H868" s="35" t="s">
        <v>788</v>
      </c>
      <c r="I868" s="21">
        <v>1260000</v>
      </c>
      <c r="J868" s="21"/>
      <c r="K868" s="22">
        <v>239400</v>
      </c>
      <c r="L868" s="23"/>
      <c r="M868" s="22">
        <v>0</v>
      </c>
      <c r="N868" s="72">
        <v>2.5000000000000001E-2</v>
      </c>
      <c r="O868" s="22">
        <v>31500</v>
      </c>
      <c r="P868" s="21">
        <v>1467900</v>
      </c>
      <c r="S868" s="101" t="b">
        <f>OR(COUNTIF(Tabla2[[#This Row],[PROVEEDOR]],"*"&amp;'Palabra no opera'!$A$2&amp;"*"))</f>
        <v>0</v>
      </c>
      <c r="T868" s="113">
        <f>+$W$5-Tabla2[[#This Row],[FECHA DE FACTURACIÓN]]</f>
        <v>286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15" t="str">
        <f>+IF(AND(Tabla2[[#This Row],[venc]]="venc",Tabla2[[#This Row],[Columna1]]="por pagar"),"vencida","no")</f>
        <v>no</v>
      </c>
    </row>
    <row r="869" spans="1:23" ht="15.75" x14ac:dyDescent="0.25">
      <c r="A869" s="20">
        <v>30</v>
      </c>
      <c r="B869" s="25">
        <v>1499400</v>
      </c>
      <c r="C869" s="25"/>
      <c r="D869" s="56" t="s">
        <v>170</v>
      </c>
      <c r="E869" s="66">
        <v>45082</v>
      </c>
      <c r="F869" s="323" t="s">
        <v>490</v>
      </c>
      <c r="G869" s="66">
        <v>45034</v>
      </c>
      <c r="H869" s="35" t="s">
        <v>787</v>
      </c>
      <c r="I869" s="21">
        <v>436000</v>
      </c>
      <c r="J869" s="21"/>
      <c r="K869" s="22">
        <v>82840</v>
      </c>
      <c r="L869" s="23"/>
      <c r="M869" s="22">
        <v>0</v>
      </c>
      <c r="N869" s="72">
        <v>0</v>
      </c>
      <c r="O869" s="22">
        <v>0</v>
      </c>
      <c r="P869" s="21">
        <v>518840</v>
      </c>
      <c r="S869" s="101" t="b">
        <f>OR(COUNTIF(Tabla2[[#This Row],[PROVEEDOR]],"*"&amp;'Palabra no opera'!$A$2&amp;"*"))</f>
        <v>0</v>
      </c>
      <c r="T869" s="113">
        <f>+$W$5-Tabla2[[#This Row],[FECHA DE FACTURACIÓN]]</f>
        <v>288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15" t="str">
        <f>+IF(AND(Tabla2[[#This Row],[venc]]="venc",Tabla2[[#This Row],[Columna1]]="por pagar"),"vencida","no")</f>
        <v>no</v>
      </c>
    </row>
    <row r="870" spans="1:23" ht="15.75" x14ac:dyDescent="0.25">
      <c r="A870" s="20">
        <v>30</v>
      </c>
      <c r="B870" s="25">
        <v>8306450</v>
      </c>
      <c r="C870" s="25"/>
      <c r="D870" s="56" t="s">
        <v>755</v>
      </c>
      <c r="E870" s="66">
        <v>45082</v>
      </c>
      <c r="F870" s="323" t="s">
        <v>754</v>
      </c>
      <c r="G870" s="66">
        <v>45030</v>
      </c>
      <c r="H870" s="35" t="s">
        <v>756</v>
      </c>
      <c r="I870" s="21">
        <v>2868000</v>
      </c>
      <c r="J870" s="21"/>
      <c r="K870" s="22">
        <v>544920</v>
      </c>
      <c r="L870" s="23"/>
      <c r="M870" s="22">
        <v>0</v>
      </c>
      <c r="N870" s="72">
        <v>2.5000000000000001E-2</v>
      </c>
      <c r="O870" s="22">
        <v>71700</v>
      </c>
      <c r="P870" s="21">
        <v>3341220</v>
      </c>
      <c r="S870" s="101" t="b">
        <f>OR(COUNTIF(Tabla2[[#This Row],[PROVEEDOR]],"*"&amp;'Palabra no opera'!$A$2&amp;"*"))</f>
        <v>0</v>
      </c>
      <c r="T870" s="113">
        <f>+$W$5-Tabla2[[#This Row],[FECHA DE FACTURACIÓN]]</f>
        <v>292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15" t="str">
        <f>+IF(AND(Tabla2[[#This Row],[venc]]="venc",Tabla2[[#This Row],[Columna1]]="por pagar"),"vencida","no")</f>
        <v>no</v>
      </c>
    </row>
    <row r="871" spans="1:23" ht="15.75" x14ac:dyDescent="0.25">
      <c r="A871" s="20">
        <v>45</v>
      </c>
      <c r="B871" s="25">
        <v>13678360</v>
      </c>
      <c r="C871" s="25"/>
      <c r="D871" s="56" t="s">
        <v>179</v>
      </c>
      <c r="E871" s="66">
        <v>45082</v>
      </c>
      <c r="F871" s="323" t="s">
        <v>10</v>
      </c>
      <c r="G871" s="66">
        <v>45030</v>
      </c>
      <c r="H871" s="35" t="s">
        <v>791</v>
      </c>
      <c r="I871" s="21">
        <v>490000</v>
      </c>
      <c r="J871" s="21"/>
      <c r="K871" s="22">
        <v>93100</v>
      </c>
      <c r="L871" s="23"/>
      <c r="M871" s="22">
        <v>0</v>
      </c>
      <c r="N871" s="72">
        <v>0</v>
      </c>
      <c r="O871" s="22">
        <v>0</v>
      </c>
      <c r="P871" s="21">
        <v>583100</v>
      </c>
      <c r="S871" s="101" t="b">
        <f>OR(COUNTIF(Tabla2[[#This Row],[PROVEEDOR]],"*"&amp;'Palabra no opera'!$A$2&amp;"*"))</f>
        <v>0</v>
      </c>
      <c r="T871" s="113">
        <f>+$W$5-Tabla2[[#This Row],[FECHA DE FACTURACIÓN]]</f>
        <v>292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15" t="str">
        <f>+IF(AND(Tabla2[[#This Row],[venc]]="venc",Tabla2[[#This Row],[Columna1]]="por pagar"),"vencida","no")</f>
        <v>no</v>
      </c>
    </row>
    <row r="872" spans="1:23" ht="15.75" x14ac:dyDescent="0.25">
      <c r="A872" s="20">
        <v>45</v>
      </c>
      <c r="B872" s="25">
        <v>13678360</v>
      </c>
      <c r="C872" s="25"/>
      <c r="D872" s="56" t="s">
        <v>179</v>
      </c>
      <c r="E872" s="66">
        <v>45082</v>
      </c>
      <c r="F872" s="323" t="s">
        <v>10</v>
      </c>
      <c r="G872" s="66">
        <v>45029</v>
      </c>
      <c r="H872" s="35" t="s">
        <v>757</v>
      </c>
      <c r="I872" s="21">
        <v>500000</v>
      </c>
      <c r="J872" s="21"/>
      <c r="K872" s="22">
        <v>95000</v>
      </c>
      <c r="L872" s="23"/>
      <c r="M872" s="22">
        <v>0</v>
      </c>
      <c r="N872" s="72">
        <v>0</v>
      </c>
      <c r="O872" s="22">
        <v>0</v>
      </c>
      <c r="P872" s="21">
        <v>595000</v>
      </c>
      <c r="S872" s="101" t="b">
        <f>OR(COUNTIF(Tabla2[[#This Row],[PROVEEDOR]],"*"&amp;'Palabra no opera'!$A$2&amp;"*"))</f>
        <v>0</v>
      </c>
      <c r="T872" s="113">
        <f>+$W$5-Tabla2[[#This Row],[FECHA DE FACTURACIÓN]]</f>
        <v>293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15" t="str">
        <f>+IF(AND(Tabla2[[#This Row],[venc]]="venc",Tabla2[[#This Row],[Columna1]]="por pagar"),"vencida","no")</f>
        <v>no</v>
      </c>
    </row>
    <row r="873" spans="1:23" ht="15.75" x14ac:dyDescent="0.25">
      <c r="A873" s="20">
        <v>30</v>
      </c>
      <c r="B873" s="25">
        <v>0</v>
      </c>
      <c r="C873" s="25"/>
      <c r="D873" s="56" t="s">
        <v>755</v>
      </c>
      <c r="E873" s="66">
        <v>45082</v>
      </c>
      <c r="F873" s="323" t="s">
        <v>770</v>
      </c>
      <c r="G873" s="66">
        <v>45028</v>
      </c>
      <c r="H873" s="35">
        <v>31073</v>
      </c>
      <c r="I873" s="21">
        <v>900000</v>
      </c>
      <c r="J873" s="21"/>
      <c r="K873" s="22">
        <v>0</v>
      </c>
      <c r="L873" s="23"/>
      <c r="M873" s="22">
        <v>0</v>
      </c>
      <c r="N873" s="72">
        <v>0</v>
      </c>
      <c r="O873" s="22">
        <v>0</v>
      </c>
      <c r="P873" s="21">
        <v>900000</v>
      </c>
      <c r="S873" s="101" t="b">
        <f>OR(COUNTIF(Tabla2[[#This Row],[PROVEEDOR]],"*"&amp;'Palabra no opera'!$A$2&amp;"*"))</f>
        <v>0</v>
      </c>
      <c r="T873" s="113">
        <f>+$W$5-Tabla2[[#This Row],[FECHA DE FACTURACIÓN]]</f>
        <v>294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15" t="str">
        <f>+IF(AND(Tabla2[[#This Row],[venc]]="venc",Tabla2[[#This Row],[Columna1]]="por pagar"),"vencida","no")</f>
        <v>no</v>
      </c>
    </row>
    <row r="874" spans="1:23" ht="15.75" x14ac:dyDescent="0.25">
      <c r="A874" s="20">
        <v>30</v>
      </c>
      <c r="B874" s="25">
        <v>2923945.6174999997</v>
      </c>
      <c r="C874" s="25"/>
      <c r="D874" s="56" t="s">
        <v>1538</v>
      </c>
      <c r="E874" s="66">
        <v>45082</v>
      </c>
      <c r="F874" s="323" t="s">
        <v>1526</v>
      </c>
      <c r="G874" s="66">
        <v>45028</v>
      </c>
      <c r="H874" s="35" t="s">
        <v>781</v>
      </c>
      <c r="I874" s="21">
        <v>97619</v>
      </c>
      <c r="J874" s="21"/>
      <c r="K874" s="22">
        <v>18547.61</v>
      </c>
      <c r="L874" s="23"/>
      <c r="M874" s="22">
        <v>0</v>
      </c>
      <c r="N874" s="72">
        <v>0</v>
      </c>
      <c r="O874" s="22">
        <v>0</v>
      </c>
      <c r="P874" s="21">
        <v>116166.61</v>
      </c>
      <c r="S874" s="101" t="b">
        <f>OR(COUNTIF(Tabla2[[#This Row],[PROVEEDOR]],"*"&amp;'Palabra no opera'!$A$2&amp;"*"))</f>
        <v>0</v>
      </c>
      <c r="T874" s="113">
        <f>+$W$5-Tabla2[[#This Row],[FECHA DE FACTURACIÓN]]</f>
        <v>294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15" t="str">
        <f>+IF(AND(Tabla2[[#This Row],[venc]]="venc",Tabla2[[#This Row],[Columna1]]="por pagar"),"vencida","no")</f>
        <v>no</v>
      </c>
    </row>
    <row r="875" spans="1:23" ht="15.75" x14ac:dyDescent="0.25">
      <c r="A875" s="20">
        <v>30</v>
      </c>
      <c r="B875" s="25">
        <v>0</v>
      </c>
      <c r="C875" s="25"/>
      <c r="D875" s="56" t="s">
        <v>104</v>
      </c>
      <c r="E875" s="66">
        <v>45082</v>
      </c>
      <c r="F875" s="323" t="s">
        <v>327</v>
      </c>
      <c r="G875" s="66">
        <v>45026</v>
      </c>
      <c r="H875" s="35">
        <v>2002</v>
      </c>
      <c r="I875" s="21">
        <v>343800</v>
      </c>
      <c r="J875" s="21"/>
      <c r="K875" s="22">
        <v>0</v>
      </c>
      <c r="L875" s="23"/>
      <c r="M875" s="22">
        <v>0</v>
      </c>
      <c r="N875" s="72">
        <v>0</v>
      </c>
      <c r="O875" s="22">
        <v>0</v>
      </c>
      <c r="P875" s="21">
        <v>343800</v>
      </c>
      <c r="S875" s="101" t="b">
        <f>OR(COUNTIF(Tabla2[[#This Row],[PROVEEDOR]],"*"&amp;'Palabra no opera'!$A$2&amp;"*"))</f>
        <v>0</v>
      </c>
      <c r="T875" s="113">
        <f>+$W$5-Tabla2[[#This Row],[FECHA DE FACTURACIÓN]]</f>
        <v>296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15" t="str">
        <f>+IF(AND(Tabla2[[#This Row],[venc]]="venc",Tabla2[[#This Row],[Columna1]]="por pagar"),"vencida","no")</f>
        <v>no</v>
      </c>
    </row>
    <row r="876" spans="1:23" ht="15.75" x14ac:dyDescent="0.25">
      <c r="A876" s="20">
        <v>30</v>
      </c>
      <c r="B876" s="25">
        <v>0</v>
      </c>
      <c r="C876" s="25"/>
      <c r="D876" s="56" t="s">
        <v>474</v>
      </c>
      <c r="E876" s="66">
        <v>45082</v>
      </c>
      <c r="F876" s="323" t="s">
        <v>473</v>
      </c>
      <c r="G876" s="66">
        <v>45026</v>
      </c>
      <c r="H876" s="35" t="s">
        <v>860</v>
      </c>
      <c r="I876" s="21">
        <v>3108403</v>
      </c>
      <c r="J876" s="21"/>
      <c r="K876" s="22">
        <v>590596.56999999995</v>
      </c>
      <c r="L876" s="23"/>
      <c r="M876" s="22">
        <v>0</v>
      </c>
      <c r="N876" s="72">
        <v>2.5000000000000001E-2</v>
      </c>
      <c r="O876" s="22">
        <v>77710.074999999997</v>
      </c>
      <c r="P876" s="21">
        <v>3621289.4949999996</v>
      </c>
      <c r="S876" s="101" t="b">
        <f>OR(COUNTIF(Tabla2[[#This Row],[PROVEEDOR]],"*"&amp;'Palabra no opera'!$A$2&amp;"*"))</f>
        <v>0</v>
      </c>
      <c r="T876" s="113">
        <f>+$W$5-Tabla2[[#This Row],[FECHA DE FACTURACIÓN]]</f>
        <v>296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15" t="str">
        <f>+IF(AND(Tabla2[[#This Row],[venc]]="venc",Tabla2[[#This Row],[Columna1]]="por pagar"),"vencida","no")</f>
        <v>no</v>
      </c>
    </row>
    <row r="877" spans="1:23" ht="15.75" x14ac:dyDescent="0.25">
      <c r="A877" s="20">
        <v>45</v>
      </c>
      <c r="B877" s="25">
        <v>13678360</v>
      </c>
      <c r="C877" s="25"/>
      <c r="D877" s="56" t="s">
        <v>179</v>
      </c>
      <c r="E877" s="66">
        <v>45082</v>
      </c>
      <c r="F877" s="323" t="s">
        <v>10</v>
      </c>
      <c r="G877" s="66">
        <v>45016</v>
      </c>
      <c r="H877" s="35" t="s">
        <v>706</v>
      </c>
      <c r="I877" s="21">
        <v>630000</v>
      </c>
      <c r="J877" s="21"/>
      <c r="K877" s="22">
        <v>119700</v>
      </c>
      <c r="L877" s="23"/>
      <c r="M877" s="22">
        <v>0</v>
      </c>
      <c r="N877" s="72">
        <v>0</v>
      </c>
      <c r="O877" s="22">
        <v>0</v>
      </c>
      <c r="P877" s="21">
        <v>749700</v>
      </c>
      <c r="S877" s="101" t="b">
        <f>OR(COUNTIF(Tabla2[[#This Row],[PROVEEDOR]],"*"&amp;'Palabra no opera'!$A$2&amp;"*"))</f>
        <v>0</v>
      </c>
      <c r="T877" s="113">
        <f>+$W$5-Tabla2[[#This Row],[FECHA DE FACTURACIÓN]]</f>
        <v>306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15" t="str">
        <f>+IF(AND(Tabla2[[#This Row],[venc]]="venc",Tabla2[[#This Row],[Columna1]]="por pagar"),"vencida","no")</f>
        <v>no</v>
      </c>
    </row>
    <row r="878" spans="1:23" ht="15.75" x14ac:dyDescent="0.25">
      <c r="A878" s="20">
        <v>45</v>
      </c>
      <c r="B878" s="25">
        <v>13678360</v>
      </c>
      <c r="C878" s="25"/>
      <c r="D878" s="56" t="s">
        <v>179</v>
      </c>
      <c r="E878" s="66">
        <v>45082</v>
      </c>
      <c r="F878" s="323" t="s">
        <v>10</v>
      </c>
      <c r="G878" s="66">
        <v>45014</v>
      </c>
      <c r="H878" s="35" t="s">
        <v>705</v>
      </c>
      <c r="I878" s="21">
        <v>2020000</v>
      </c>
      <c r="J878" s="21"/>
      <c r="K878" s="22">
        <v>383800</v>
      </c>
      <c r="L878" s="23"/>
      <c r="M878" s="22">
        <v>0</v>
      </c>
      <c r="N878" s="72">
        <v>2.5000000000000001E-2</v>
      </c>
      <c r="O878" s="22">
        <v>50500</v>
      </c>
      <c r="P878" s="21">
        <v>2353300</v>
      </c>
      <c r="S878" s="101" t="b">
        <f>OR(COUNTIF(Tabla2[[#This Row],[PROVEEDOR]],"*"&amp;'Palabra no opera'!$A$2&amp;"*"))</f>
        <v>0</v>
      </c>
      <c r="T878" s="113">
        <f>+$W$5-Tabla2[[#This Row],[FECHA DE FACTURACIÓN]]</f>
        <v>308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15" t="str">
        <f>+IF(AND(Tabla2[[#This Row],[venc]]="venc",Tabla2[[#This Row],[Columna1]]="por pagar"),"vencida","no")</f>
        <v>no</v>
      </c>
    </row>
    <row r="879" spans="1:23" ht="15.75" x14ac:dyDescent="0.25">
      <c r="A879" s="20">
        <v>30</v>
      </c>
      <c r="B879" s="25">
        <v>1499400</v>
      </c>
      <c r="C879" s="25"/>
      <c r="D879" s="56" t="s">
        <v>170</v>
      </c>
      <c r="E879" s="66">
        <v>45082</v>
      </c>
      <c r="F879" s="323" t="s">
        <v>490</v>
      </c>
      <c r="G879" s="66">
        <v>45013</v>
      </c>
      <c r="H879" s="35" t="s">
        <v>694</v>
      </c>
      <c r="I879" s="21">
        <v>2185344</v>
      </c>
      <c r="J879" s="21">
        <v>63334</v>
      </c>
      <c r="K879" s="22">
        <v>403181.9</v>
      </c>
      <c r="L879" s="23"/>
      <c r="M879" s="22">
        <v>0</v>
      </c>
      <c r="N879" s="72">
        <v>2.5000000000000001E-2</v>
      </c>
      <c r="O879" s="22">
        <v>53050.25</v>
      </c>
      <c r="P879" s="21">
        <v>2472141.65</v>
      </c>
      <c r="S879" s="101" t="b">
        <f>OR(COUNTIF(Tabla2[[#This Row],[PROVEEDOR]],"*"&amp;'Palabra no opera'!$A$2&amp;"*"))</f>
        <v>0</v>
      </c>
      <c r="T879" s="113">
        <f>+$W$5-Tabla2[[#This Row],[FECHA DE FACTURACIÓN]]</f>
        <v>309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15" t="str">
        <f>+IF(AND(Tabla2[[#This Row],[venc]]="venc",Tabla2[[#This Row],[Columna1]]="por pagar"),"vencida","no")</f>
        <v>no</v>
      </c>
    </row>
    <row r="880" spans="1:23" ht="15.75" x14ac:dyDescent="0.25">
      <c r="A880" s="20">
        <v>30</v>
      </c>
      <c r="B880" s="25">
        <v>0</v>
      </c>
      <c r="C880" s="25"/>
      <c r="D880" s="56" t="s">
        <v>474</v>
      </c>
      <c r="E880" s="66">
        <v>45082</v>
      </c>
      <c r="F880" s="323" t="s">
        <v>473</v>
      </c>
      <c r="G880" s="66">
        <v>44999</v>
      </c>
      <c r="H880" s="35" t="s">
        <v>662</v>
      </c>
      <c r="I880" s="21">
        <v>315126</v>
      </c>
      <c r="J880" s="21"/>
      <c r="K880" s="22">
        <v>59873.94</v>
      </c>
      <c r="L880" s="23"/>
      <c r="M880" s="22">
        <v>0</v>
      </c>
      <c r="N880" s="72">
        <v>0</v>
      </c>
      <c r="O880" s="22">
        <v>0</v>
      </c>
      <c r="P880" s="21">
        <v>374999.94</v>
      </c>
      <c r="S880" s="101" t="b">
        <f>OR(COUNTIF(Tabla2[[#This Row],[PROVEEDOR]],"*"&amp;'Palabra no opera'!$A$2&amp;"*"))</f>
        <v>0</v>
      </c>
      <c r="T880" s="113">
        <f>+$W$5-Tabla2[[#This Row],[FECHA DE FACTURACIÓN]]</f>
        <v>323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15" t="str">
        <f>+IF(AND(Tabla2[[#This Row],[venc]]="venc",Tabla2[[#This Row],[Columna1]]="por pagar"),"vencida","no")</f>
        <v>no</v>
      </c>
    </row>
    <row r="881" spans="1:23" ht="15.75" x14ac:dyDescent="0.25">
      <c r="A881" s="20">
        <v>30</v>
      </c>
      <c r="B881" s="25">
        <v>0</v>
      </c>
      <c r="C881" s="25"/>
      <c r="D881" s="56" t="s">
        <v>104</v>
      </c>
      <c r="E881" s="66">
        <v>45078</v>
      </c>
      <c r="F881" s="323" t="s">
        <v>566</v>
      </c>
      <c r="G881" s="66">
        <v>45078</v>
      </c>
      <c r="H881" s="35">
        <v>2312</v>
      </c>
      <c r="I881" s="21">
        <v>210000</v>
      </c>
      <c r="J881" s="21"/>
      <c r="K881" s="22">
        <v>0</v>
      </c>
      <c r="L881" s="23"/>
      <c r="M881" s="22">
        <v>0</v>
      </c>
      <c r="N881" s="72">
        <v>0</v>
      </c>
      <c r="O881" s="22">
        <v>0</v>
      </c>
      <c r="P881" s="21">
        <v>210000</v>
      </c>
      <c r="S881" s="101" t="b">
        <f>OR(COUNTIF(Tabla2[[#This Row],[PROVEEDOR]],"*"&amp;'Palabra no opera'!$A$2&amp;"*"))</f>
        <v>0</v>
      </c>
      <c r="T881" s="113">
        <f>+$W$5-Tabla2[[#This Row],[FECHA DE FACTURACIÓN]]</f>
        <v>244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15" t="str">
        <f>+IF(AND(Tabla2[[#This Row],[venc]]="venc",Tabla2[[#This Row],[Columna1]]="por pagar"),"vencida","no")</f>
        <v>no</v>
      </c>
    </row>
    <row r="882" spans="1:23" ht="15.75" x14ac:dyDescent="0.25">
      <c r="A882" s="20">
        <v>30</v>
      </c>
      <c r="B882" s="25">
        <v>0</v>
      </c>
      <c r="C882" s="25"/>
      <c r="D882" s="56" t="s">
        <v>104</v>
      </c>
      <c r="E882" s="66">
        <v>45078</v>
      </c>
      <c r="F882" s="323" t="s">
        <v>566</v>
      </c>
      <c r="G882" s="66">
        <v>45078</v>
      </c>
      <c r="H882" s="35" t="s">
        <v>861</v>
      </c>
      <c r="I882" s="21">
        <v>40000</v>
      </c>
      <c r="J882" s="21"/>
      <c r="K882" s="22">
        <v>0</v>
      </c>
      <c r="L882" s="23"/>
      <c r="M882" s="22">
        <v>0</v>
      </c>
      <c r="N882" s="72">
        <v>0</v>
      </c>
      <c r="O882" s="22">
        <v>0</v>
      </c>
      <c r="P882" s="21">
        <v>40000</v>
      </c>
      <c r="S882" s="101" t="b">
        <f>OR(COUNTIF(Tabla2[[#This Row],[PROVEEDOR]],"*"&amp;'Palabra no opera'!$A$2&amp;"*"))</f>
        <v>0</v>
      </c>
      <c r="T882" s="113">
        <f>+$W$5-Tabla2[[#This Row],[FECHA DE FACTURACIÓN]]</f>
        <v>244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15" t="str">
        <f>+IF(AND(Tabla2[[#This Row],[venc]]="venc",Tabla2[[#This Row],[Columna1]]="por pagar"),"vencida","no")</f>
        <v>no</v>
      </c>
    </row>
    <row r="883" spans="1:23" ht="15.75" x14ac:dyDescent="0.25">
      <c r="A883" s="20">
        <v>30</v>
      </c>
      <c r="B883" s="25">
        <v>0</v>
      </c>
      <c r="C883" s="25"/>
      <c r="D883" s="56">
        <v>0</v>
      </c>
      <c r="E883" s="66">
        <v>45078</v>
      </c>
      <c r="F883" s="323" t="s">
        <v>208</v>
      </c>
      <c r="G883" s="66">
        <v>45078</v>
      </c>
      <c r="H883" s="35" t="s">
        <v>863</v>
      </c>
      <c r="I883" s="21">
        <v>35292</v>
      </c>
      <c r="J883" s="21"/>
      <c r="K883" s="22">
        <v>6705.4800000000005</v>
      </c>
      <c r="L883" s="23"/>
      <c r="M883" s="22">
        <v>0</v>
      </c>
      <c r="N883" s="72">
        <v>0</v>
      </c>
      <c r="O883" s="22">
        <v>0</v>
      </c>
      <c r="P883" s="21">
        <v>41997.48</v>
      </c>
      <c r="S883" s="101" t="b">
        <f>OR(COUNTIF(Tabla2[[#This Row],[PROVEEDOR]],"*"&amp;'Palabra no opera'!$A$2&amp;"*"))</f>
        <v>0</v>
      </c>
      <c r="T883" s="113">
        <f>+$W$5-Tabla2[[#This Row],[FECHA DE FACTURACIÓN]]</f>
        <v>244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15" t="str">
        <f>+IF(AND(Tabla2[[#This Row],[venc]]="venc",Tabla2[[#This Row],[Columna1]]="por pagar"),"vencida","no")</f>
        <v>no</v>
      </c>
    </row>
    <row r="884" spans="1:23" ht="15.75" x14ac:dyDescent="0.25">
      <c r="A884" s="20">
        <v>30</v>
      </c>
      <c r="B884" s="25">
        <v>0</v>
      </c>
      <c r="C884" s="25"/>
      <c r="D884" s="56" t="s">
        <v>104</v>
      </c>
      <c r="E884" s="66">
        <v>45078</v>
      </c>
      <c r="F884" s="323" t="s">
        <v>521</v>
      </c>
      <c r="G884" s="66">
        <v>45077</v>
      </c>
      <c r="H884" s="35" t="s">
        <v>862</v>
      </c>
      <c r="I884" s="21">
        <v>1874000</v>
      </c>
      <c r="J884" s="21"/>
      <c r="K884" s="22">
        <v>0</v>
      </c>
      <c r="L884" s="23"/>
      <c r="M884" s="22">
        <v>0</v>
      </c>
      <c r="N884" s="72">
        <v>0</v>
      </c>
      <c r="O884" s="22">
        <v>0</v>
      </c>
      <c r="P884" s="21">
        <v>1874000</v>
      </c>
      <c r="S884" s="101" t="b">
        <f>OR(COUNTIF(Tabla2[[#This Row],[PROVEEDOR]],"*"&amp;'Palabra no opera'!$A$2&amp;"*"))</f>
        <v>0</v>
      </c>
      <c r="T884" s="113">
        <f>+$W$5-Tabla2[[#This Row],[FECHA DE FACTURACIÓN]]</f>
        <v>245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15" t="str">
        <f>+IF(AND(Tabla2[[#This Row],[venc]]="venc",Tabla2[[#This Row],[Columna1]]="por pagar"),"vencida","no")</f>
        <v>no</v>
      </c>
    </row>
    <row r="885" spans="1:23" ht="15.75" x14ac:dyDescent="0.25">
      <c r="A885" s="20">
        <v>30</v>
      </c>
      <c r="B885" s="25">
        <v>0</v>
      </c>
      <c r="C885" s="25"/>
      <c r="D885" s="56" t="s">
        <v>104</v>
      </c>
      <c r="E885" s="66">
        <v>45077</v>
      </c>
      <c r="F885" s="323" t="s">
        <v>566</v>
      </c>
      <c r="G885" s="66">
        <v>45077</v>
      </c>
      <c r="H885" s="35" t="s">
        <v>517</v>
      </c>
      <c r="I885" s="21">
        <v>1165000</v>
      </c>
      <c r="J885" s="21"/>
      <c r="K885" s="22">
        <v>0</v>
      </c>
      <c r="L885" s="23"/>
      <c r="M885" s="22">
        <v>0</v>
      </c>
      <c r="N885" s="72">
        <v>0</v>
      </c>
      <c r="O885" s="22">
        <v>0</v>
      </c>
      <c r="P885" s="21">
        <v>1165000</v>
      </c>
      <c r="S885" s="101" t="b">
        <f>OR(COUNTIF(Tabla2[[#This Row],[PROVEEDOR]],"*"&amp;'Palabra no opera'!$A$2&amp;"*"))</f>
        <v>0</v>
      </c>
      <c r="T885" s="113">
        <f>+$W$5-Tabla2[[#This Row],[FECHA DE FACTURACIÓN]]</f>
        <v>245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15" t="str">
        <f>+IF(AND(Tabla2[[#This Row],[venc]]="venc",Tabla2[[#This Row],[Columna1]]="por pagar"),"vencida","no")</f>
        <v>no</v>
      </c>
    </row>
    <row r="886" spans="1:23" ht="15.75" x14ac:dyDescent="0.25">
      <c r="A886" s="20">
        <v>30</v>
      </c>
      <c r="B886" s="25">
        <v>0</v>
      </c>
      <c r="C886" s="25"/>
      <c r="D886" s="56" t="s">
        <v>104</v>
      </c>
      <c r="E886" s="66">
        <v>45077</v>
      </c>
      <c r="F886" s="323" t="s">
        <v>566</v>
      </c>
      <c r="G886" s="66">
        <v>45077</v>
      </c>
      <c r="H886" s="35" t="s">
        <v>543</v>
      </c>
      <c r="I886" s="21">
        <v>13500</v>
      </c>
      <c r="J886" s="21"/>
      <c r="K886" s="22">
        <v>0</v>
      </c>
      <c r="L886" s="23"/>
      <c r="M886" s="22">
        <v>0</v>
      </c>
      <c r="N886" s="72">
        <v>0</v>
      </c>
      <c r="O886" s="22">
        <v>0</v>
      </c>
      <c r="P886" s="21">
        <v>13500</v>
      </c>
      <c r="S886" s="101" t="b">
        <f>OR(COUNTIF(Tabla2[[#This Row],[PROVEEDOR]],"*"&amp;'Palabra no opera'!$A$2&amp;"*"))</f>
        <v>0</v>
      </c>
      <c r="T886" s="113">
        <f>+$W$5-Tabla2[[#This Row],[FECHA DE FACTURACIÓN]]</f>
        <v>245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15" t="str">
        <f>+IF(AND(Tabla2[[#This Row],[venc]]="venc",Tabla2[[#This Row],[Columna1]]="por pagar"),"vencida","no")</f>
        <v>no</v>
      </c>
    </row>
    <row r="887" spans="1:23" ht="15.75" x14ac:dyDescent="0.25">
      <c r="A887" s="20">
        <v>30</v>
      </c>
      <c r="B887" s="25">
        <v>0</v>
      </c>
      <c r="C887" s="25"/>
      <c r="D887" s="56" t="s">
        <v>104</v>
      </c>
      <c r="E887" s="66">
        <v>45077</v>
      </c>
      <c r="F887" s="323" t="s">
        <v>566</v>
      </c>
      <c r="G887" s="66">
        <v>45077</v>
      </c>
      <c r="H887" s="35" t="s">
        <v>516</v>
      </c>
      <c r="I887" s="21">
        <v>242000</v>
      </c>
      <c r="J887" s="21"/>
      <c r="K887" s="22">
        <v>0</v>
      </c>
      <c r="L887" s="23"/>
      <c r="M887" s="22">
        <v>0</v>
      </c>
      <c r="N887" s="72">
        <v>0</v>
      </c>
      <c r="O887" s="22">
        <v>0</v>
      </c>
      <c r="P887" s="21">
        <v>242000</v>
      </c>
      <c r="S887" s="101" t="b">
        <f>OR(COUNTIF(Tabla2[[#This Row],[PROVEEDOR]],"*"&amp;'Palabra no opera'!$A$2&amp;"*"))</f>
        <v>0</v>
      </c>
      <c r="T887" s="113">
        <f>+$W$5-Tabla2[[#This Row],[FECHA DE FACTURACIÓN]]</f>
        <v>245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15" t="str">
        <f>+IF(AND(Tabla2[[#This Row],[venc]]="venc",Tabla2[[#This Row],[Columna1]]="por pagar"),"vencida","no")</f>
        <v>no</v>
      </c>
    </row>
    <row r="888" spans="1:23" ht="15.75" x14ac:dyDescent="0.25">
      <c r="A888" s="20">
        <v>30</v>
      </c>
      <c r="B888" s="25">
        <v>0</v>
      </c>
      <c r="C888" s="25"/>
      <c r="D888" s="56" t="s">
        <v>104</v>
      </c>
      <c r="E888" s="66">
        <v>45077</v>
      </c>
      <c r="F888" s="323" t="s">
        <v>566</v>
      </c>
      <c r="G888" s="66">
        <v>45077</v>
      </c>
      <c r="H888" s="35" t="s">
        <v>520</v>
      </c>
      <c r="I888" s="21">
        <v>466000</v>
      </c>
      <c r="J888" s="21"/>
      <c r="K888" s="22">
        <v>0</v>
      </c>
      <c r="L888" s="23"/>
      <c r="M888" s="22">
        <v>0</v>
      </c>
      <c r="N888" s="72">
        <v>0</v>
      </c>
      <c r="O888" s="22">
        <v>0</v>
      </c>
      <c r="P888" s="21">
        <v>466000</v>
      </c>
      <c r="S888" s="101" t="b">
        <f>OR(COUNTIF(Tabla2[[#This Row],[PROVEEDOR]],"*"&amp;'Palabra no opera'!$A$2&amp;"*"))</f>
        <v>0</v>
      </c>
      <c r="T888" s="113">
        <f>+$W$5-Tabla2[[#This Row],[FECHA DE FACTURACIÓN]]</f>
        <v>245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15" t="str">
        <f>+IF(AND(Tabla2[[#This Row],[venc]]="venc",Tabla2[[#This Row],[Columna1]]="por pagar"),"vencida","no")</f>
        <v>no</v>
      </c>
    </row>
    <row r="889" spans="1:23" ht="15.75" x14ac:dyDescent="0.25">
      <c r="A889" s="20">
        <v>30</v>
      </c>
      <c r="B889" s="25">
        <v>0</v>
      </c>
      <c r="C889" s="25"/>
      <c r="D889" s="56" t="s">
        <v>104</v>
      </c>
      <c r="E889" s="66">
        <v>45077</v>
      </c>
      <c r="F889" s="323" t="s">
        <v>566</v>
      </c>
      <c r="G889" s="66">
        <v>45077</v>
      </c>
      <c r="H889" s="35" t="s">
        <v>545</v>
      </c>
      <c r="I889" s="21">
        <v>650600</v>
      </c>
      <c r="J889" s="21"/>
      <c r="K889" s="22">
        <v>0</v>
      </c>
      <c r="L889" s="23"/>
      <c r="M889" s="22">
        <v>0</v>
      </c>
      <c r="N889" s="72">
        <v>0</v>
      </c>
      <c r="O889" s="22">
        <v>0</v>
      </c>
      <c r="P889" s="21">
        <v>650600</v>
      </c>
      <c r="S889" s="101" t="b">
        <f>OR(COUNTIF(Tabla2[[#This Row],[PROVEEDOR]],"*"&amp;'Palabra no opera'!$A$2&amp;"*"))</f>
        <v>0</v>
      </c>
      <c r="T889" s="113">
        <f>+$W$5-Tabla2[[#This Row],[FECHA DE FACTURACIÓN]]</f>
        <v>245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15" t="str">
        <f>+IF(AND(Tabla2[[#This Row],[venc]]="venc",Tabla2[[#This Row],[Columna1]]="por pagar"),"vencida","no")</f>
        <v>no</v>
      </c>
    </row>
    <row r="890" spans="1:23" ht="15.75" x14ac:dyDescent="0.25">
      <c r="A890" s="20">
        <v>30</v>
      </c>
      <c r="B890" s="25">
        <v>380979.69</v>
      </c>
      <c r="C890" s="25"/>
      <c r="D890" s="56" t="s">
        <v>255</v>
      </c>
      <c r="E890" s="66">
        <v>45077</v>
      </c>
      <c r="F890" s="323" t="s">
        <v>393</v>
      </c>
      <c r="G890" s="66">
        <v>45013</v>
      </c>
      <c r="H890" s="35" t="s">
        <v>806</v>
      </c>
      <c r="I890" s="21">
        <v>2167560</v>
      </c>
      <c r="J890" s="21"/>
      <c r="K890" s="22">
        <v>411836.4</v>
      </c>
      <c r="L890" s="23"/>
      <c r="M890" s="22">
        <v>0</v>
      </c>
      <c r="N890" s="72">
        <v>0</v>
      </c>
      <c r="O890" s="22">
        <v>0</v>
      </c>
      <c r="P890" s="21">
        <v>2579396.4</v>
      </c>
      <c r="S890" s="101" t="b">
        <f>OR(COUNTIF(Tabla2[[#This Row],[PROVEEDOR]],"*"&amp;'Palabra no opera'!$A$2&amp;"*"))</f>
        <v>1</v>
      </c>
      <c r="T890" s="113">
        <f>+$W$5-Tabla2[[#This Row],[FECHA DE FACTURACIÓN]]</f>
        <v>309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15" t="str">
        <f>+IF(AND(Tabla2[[#This Row],[venc]]="venc",Tabla2[[#This Row],[Columna1]]="por pagar"),"vencida","no")</f>
        <v>no</v>
      </c>
    </row>
    <row r="891" spans="1:23" ht="15.75" x14ac:dyDescent="0.25">
      <c r="A891" s="20">
        <v>30</v>
      </c>
      <c r="B891" s="25">
        <v>0</v>
      </c>
      <c r="C891" s="25"/>
      <c r="D891" s="56" t="s">
        <v>233</v>
      </c>
      <c r="E891" s="66">
        <v>45075</v>
      </c>
      <c r="F891" s="323" t="s">
        <v>413</v>
      </c>
      <c r="G891" s="66">
        <v>45075</v>
      </c>
      <c r="H891" s="35" t="s">
        <v>848</v>
      </c>
      <c r="I891" s="21">
        <v>3456200</v>
      </c>
      <c r="J891" s="21"/>
      <c r="K891" s="22">
        <v>0</v>
      </c>
      <c r="L891" s="23"/>
      <c r="M891" s="22">
        <v>0</v>
      </c>
      <c r="N891" s="72">
        <v>3.5000000000000003E-2</v>
      </c>
      <c r="O891" s="22">
        <v>120967.00000000001</v>
      </c>
      <c r="P891" s="21">
        <v>3335233</v>
      </c>
      <c r="S891" s="101" t="b">
        <f>OR(COUNTIF(Tabla2[[#This Row],[PROVEEDOR]],"*"&amp;'Palabra no opera'!$A$2&amp;"*"))</f>
        <v>1</v>
      </c>
      <c r="T891" s="113">
        <f>+$W$5-Tabla2[[#This Row],[FECHA DE FACTURACIÓN]]</f>
        <v>247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15" t="str">
        <f>+IF(AND(Tabla2[[#This Row],[venc]]="venc",Tabla2[[#This Row],[Columna1]]="por pagar"),"vencida","no")</f>
        <v>no</v>
      </c>
    </row>
    <row r="892" spans="1:23" ht="15.75" x14ac:dyDescent="0.25">
      <c r="A892" s="20">
        <v>30</v>
      </c>
      <c r="B892" s="25">
        <v>0</v>
      </c>
      <c r="C892" s="25"/>
      <c r="D892" s="56" t="s">
        <v>245</v>
      </c>
      <c r="E892" s="66">
        <v>45075</v>
      </c>
      <c r="F892" s="323" t="s">
        <v>221</v>
      </c>
      <c r="G892" s="66">
        <v>45075</v>
      </c>
      <c r="H892" s="35" t="s">
        <v>849</v>
      </c>
      <c r="I892" s="21">
        <v>396847</v>
      </c>
      <c r="J892" s="21"/>
      <c r="K892" s="22">
        <v>75400.930000000008</v>
      </c>
      <c r="L892" s="23"/>
      <c r="M892" s="22">
        <v>0</v>
      </c>
      <c r="N892" s="72">
        <v>0</v>
      </c>
      <c r="O892" s="22">
        <v>0</v>
      </c>
      <c r="P892" s="21">
        <v>472247.93</v>
      </c>
      <c r="S892" s="101" t="b">
        <f>OR(COUNTIF(Tabla2[[#This Row],[PROVEEDOR]],"*"&amp;'Palabra no opera'!$A$2&amp;"*"))</f>
        <v>0</v>
      </c>
      <c r="T892" s="113">
        <f>+$W$5-Tabla2[[#This Row],[FECHA DE FACTURACIÓN]]</f>
        <v>247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15" t="str">
        <f>+IF(AND(Tabla2[[#This Row],[venc]]="venc",Tabla2[[#This Row],[Columna1]]="por pagar"),"vencida","no")</f>
        <v>no</v>
      </c>
    </row>
    <row r="893" spans="1:23" ht="15.75" x14ac:dyDescent="0.25">
      <c r="A893" s="20">
        <v>30</v>
      </c>
      <c r="B893" s="25">
        <v>0</v>
      </c>
      <c r="C893" s="25"/>
      <c r="D893" s="56" t="s">
        <v>449</v>
      </c>
      <c r="E893" s="66">
        <v>45075</v>
      </c>
      <c r="F893" s="323" t="s">
        <v>415</v>
      </c>
      <c r="G893" s="66">
        <v>45047</v>
      </c>
      <c r="H893" s="35" t="s">
        <v>813</v>
      </c>
      <c r="I893" s="21">
        <v>934499</v>
      </c>
      <c r="J893" s="21"/>
      <c r="K893" s="22">
        <v>0</v>
      </c>
      <c r="L893" s="23"/>
      <c r="M893" s="22">
        <v>0</v>
      </c>
      <c r="N893" s="72">
        <v>0</v>
      </c>
      <c r="O893" s="22">
        <v>0</v>
      </c>
      <c r="P893" s="21">
        <v>934499</v>
      </c>
      <c r="S893" s="101" t="b">
        <f>OR(COUNTIF(Tabla2[[#This Row],[PROVEEDOR]],"*"&amp;'Palabra no opera'!$A$2&amp;"*"))</f>
        <v>1</v>
      </c>
      <c r="T893" s="113">
        <f>+$W$5-Tabla2[[#This Row],[FECHA DE FACTURACIÓN]]</f>
        <v>275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15" t="str">
        <f>+IF(AND(Tabla2[[#This Row],[venc]]="venc",Tabla2[[#This Row],[Columna1]]="por pagar"),"vencida","no")</f>
        <v>no</v>
      </c>
    </row>
    <row r="894" spans="1:23" ht="15.75" x14ac:dyDescent="0.25">
      <c r="A894" s="20">
        <v>30</v>
      </c>
      <c r="B894" s="25">
        <v>0</v>
      </c>
      <c r="C894" s="25"/>
      <c r="D894" s="56" t="s">
        <v>449</v>
      </c>
      <c r="E894" s="66">
        <v>45075</v>
      </c>
      <c r="F894" s="323" t="s">
        <v>415</v>
      </c>
      <c r="G894" s="66">
        <v>45047</v>
      </c>
      <c r="H894" s="35" t="s">
        <v>812</v>
      </c>
      <c r="I894" s="21">
        <v>913261</v>
      </c>
      <c r="J894" s="21"/>
      <c r="K894" s="22">
        <v>0</v>
      </c>
      <c r="L894" s="23"/>
      <c r="M894" s="22">
        <v>0</v>
      </c>
      <c r="N894" s="72">
        <v>0</v>
      </c>
      <c r="O894" s="22">
        <v>0</v>
      </c>
      <c r="P894" s="21">
        <v>913261</v>
      </c>
      <c r="S894" s="101" t="b">
        <f>OR(COUNTIF(Tabla2[[#This Row],[PROVEEDOR]],"*"&amp;'Palabra no opera'!$A$2&amp;"*"))</f>
        <v>1</v>
      </c>
      <c r="T894" s="113">
        <f>+$W$5-Tabla2[[#This Row],[FECHA DE FACTURACIÓN]]</f>
        <v>275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15" t="str">
        <f>+IF(AND(Tabla2[[#This Row],[venc]]="venc",Tabla2[[#This Row],[Columna1]]="por pagar"),"vencida","no")</f>
        <v>no</v>
      </c>
    </row>
    <row r="895" spans="1:23" ht="15.75" x14ac:dyDescent="0.25">
      <c r="A895" s="20">
        <v>30</v>
      </c>
      <c r="B895" s="25">
        <v>3065837.2199999997</v>
      </c>
      <c r="C895" s="25"/>
      <c r="D895" s="56" t="s">
        <v>169</v>
      </c>
      <c r="E895" s="66">
        <v>45075</v>
      </c>
      <c r="F895" s="323" t="s">
        <v>17</v>
      </c>
      <c r="G895" s="66">
        <v>45037</v>
      </c>
      <c r="H895" s="35" t="s">
        <v>785</v>
      </c>
      <c r="I895" s="21">
        <v>586530</v>
      </c>
      <c r="J895" s="21"/>
      <c r="K895" s="22">
        <v>111440.7</v>
      </c>
      <c r="L895" s="23"/>
      <c r="M895" s="22">
        <v>0</v>
      </c>
      <c r="N895" s="72">
        <v>0</v>
      </c>
      <c r="O895" s="22">
        <v>0</v>
      </c>
      <c r="P895" s="21">
        <v>697970.7</v>
      </c>
      <c r="S895" s="101" t="b">
        <f>OR(COUNTIF(Tabla2[[#This Row],[PROVEEDOR]],"*"&amp;'Palabra no opera'!$A$2&amp;"*"))</f>
        <v>0</v>
      </c>
      <c r="T895" s="113">
        <f>+$W$5-Tabla2[[#This Row],[FECHA DE FACTURACIÓN]]</f>
        <v>285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15" t="str">
        <f>+IF(AND(Tabla2[[#This Row],[venc]]="venc",Tabla2[[#This Row],[Columna1]]="por pagar"),"vencida","no")</f>
        <v>no</v>
      </c>
    </row>
    <row r="896" spans="1:23" ht="15.75" x14ac:dyDescent="0.25">
      <c r="A896" s="20">
        <v>30</v>
      </c>
      <c r="B896" s="25">
        <v>12328400</v>
      </c>
      <c r="C896" s="25"/>
      <c r="D896" s="56" t="s">
        <v>171</v>
      </c>
      <c r="E896" s="66">
        <v>45075</v>
      </c>
      <c r="F896" s="323" t="s">
        <v>485</v>
      </c>
      <c r="G896" s="66">
        <v>45035</v>
      </c>
      <c r="H896" s="35" t="s">
        <v>784</v>
      </c>
      <c r="I896" s="21">
        <v>5040000</v>
      </c>
      <c r="J896" s="21"/>
      <c r="K896" s="22">
        <v>957600</v>
      </c>
      <c r="L896" s="23"/>
      <c r="M896" s="22">
        <v>0</v>
      </c>
      <c r="N896" s="72">
        <v>0</v>
      </c>
      <c r="O896" s="22">
        <v>0</v>
      </c>
      <c r="P896" s="21">
        <v>5997600</v>
      </c>
      <c r="S896" s="101" t="b">
        <f>OR(COUNTIF(Tabla2[[#This Row],[PROVEEDOR]],"*"&amp;'Palabra no opera'!$A$2&amp;"*"))</f>
        <v>0</v>
      </c>
      <c r="T896" s="113">
        <f>+$W$5-Tabla2[[#This Row],[FECHA DE FACTURACIÓN]]</f>
        <v>287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15" t="str">
        <f>+IF(AND(Tabla2[[#This Row],[venc]]="venc",Tabla2[[#This Row],[Columna1]]="por pagar"),"vencida","no")</f>
        <v>no</v>
      </c>
    </row>
    <row r="897" spans="1:23" ht="15.75" x14ac:dyDescent="0.25">
      <c r="A897" s="20">
        <v>30</v>
      </c>
      <c r="B897" s="25">
        <v>0</v>
      </c>
      <c r="C897" s="25"/>
      <c r="D897" s="56" t="s">
        <v>104</v>
      </c>
      <c r="E897" s="66">
        <v>45075</v>
      </c>
      <c r="F897" s="323" t="s">
        <v>350</v>
      </c>
      <c r="G897" s="66">
        <v>45021</v>
      </c>
      <c r="H897" s="35" t="s">
        <v>767</v>
      </c>
      <c r="I897" s="21">
        <v>306000</v>
      </c>
      <c r="J897" s="21"/>
      <c r="K897" s="22">
        <v>0</v>
      </c>
      <c r="L897" s="23"/>
      <c r="M897" s="22">
        <v>0</v>
      </c>
      <c r="N897" s="72">
        <v>0</v>
      </c>
      <c r="O897" s="22">
        <v>0</v>
      </c>
      <c r="P897" s="21">
        <v>306000</v>
      </c>
      <c r="S897" s="101" t="b">
        <f>OR(COUNTIF(Tabla2[[#This Row],[PROVEEDOR]],"*"&amp;'Palabra no opera'!$A$2&amp;"*"))</f>
        <v>0</v>
      </c>
      <c r="T897" s="113">
        <f>+$W$5-Tabla2[[#This Row],[FECHA DE FACTURACIÓN]]</f>
        <v>301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15" t="str">
        <f>+IF(AND(Tabla2[[#This Row],[venc]]="venc",Tabla2[[#This Row],[Columna1]]="por pagar"),"vencida","no")</f>
        <v>no</v>
      </c>
    </row>
    <row r="898" spans="1:23" ht="15.75" x14ac:dyDescent="0.25">
      <c r="A898" s="20">
        <v>30</v>
      </c>
      <c r="B898" s="25">
        <v>0</v>
      </c>
      <c r="C898" s="25"/>
      <c r="D898" s="56" t="s">
        <v>209</v>
      </c>
      <c r="E898" s="66">
        <v>45071</v>
      </c>
      <c r="F898" s="323" t="s">
        <v>31</v>
      </c>
      <c r="G898" s="66">
        <v>45002</v>
      </c>
      <c r="H898" s="35">
        <v>58569</v>
      </c>
      <c r="I898" s="21">
        <v>49998153.799999997</v>
      </c>
      <c r="J898" s="21"/>
      <c r="K898" s="22">
        <v>0</v>
      </c>
      <c r="L898" s="23"/>
      <c r="M898" s="22">
        <v>0</v>
      </c>
      <c r="N898" s="72">
        <v>0</v>
      </c>
      <c r="O898" s="22">
        <v>0</v>
      </c>
      <c r="P898" s="21">
        <v>49998153.799999997</v>
      </c>
      <c r="S898" s="101" t="b">
        <f>OR(COUNTIF(Tabla2[[#This Row],[PROVEEDOR]],"*"&amp;'Palabra no opera'!$A$2&amp;"*"))</f>
        <v>0</v>
      </c>
      <c r="T898" s="113">
        <f>+$W$5-Tabla2[[#This Row],[FECHA DE FACTURACIÓN]]</f>
        <v>320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15" t="str">
        <f>+IF(AND(Tabla2[[#This Row],[venc]]="venc",Tabla2[[#This Row],[Columna1]]="por pagar"),"vencida","no")</f>
        <v>no</v>
      </c>
    </row>
    <row r="899" spans="1:23" ht="15.75" x14ac:dyDescent="0.25">
      <c r="A899" s="20">
        <v>30</v>
      </c>
      <c r="B899" s="25">
        <v>0</v>
      </c>
      <c r="C899" s="25"/>
      <c r="D899" s="56" t="s">
        <v>104</v>
      </c>
      <c r="E899" s="66">
        <v>45070</v>
      </c>
      <c r="F899" s="323" t="s">
        <v>566</v>
      </c>
      <c r="G899" s="66">
        <v>45070</v>
      </c>
      <c r="H899" s="35" t="s">
        <v>851</v>
      </c>
      <c r="I899" s="21">
        <v>432000</v>
      </c>
      <c r="J899" s="21"/>
      <c r="K899" s="22">
        <v>0</v>
      </c>
      <c r="L899" s="23"/>
      <c r="M899" s="22">
        <v>0</v>
      </c>
      <c r="N899" s="72">
        <v>0</v>
      </c>
      <c r="O899" s="22">
        <v>0</v>
      </c>
      <c r="P899" s="21">
        <v>432000</v>
      </c>
      <c r="S899" s="101" t="b">
        <f>OR(COUNTIF(Tabla2[[#This Row],[PROVEEDOR]],"*"&amp;'Palabra no opera'!$A$2&amp;"*"))</f>
        <v>0</v>
      </c>
      <c r="T899" s="113">
        <f>+$W$5-Tabla2[[#This Row],[FECHA DE FACTURACIÓN]]</f>
        <v>252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15" t="str">
        <f>+IF(AND(Tabla2[[#This Row],[venc]]="venc",Tabla2[[#This Row],[Columna1]]="por pagar"),"vencida","no")</f>
        <v>no</v>
      </c>
    </row>
    <row r="900" spans="1:23" ht="15.75" x14ac:dyDescent="0.25">
      <c r="A900" s="20">
        <v>30</v>
      </c>
      <c r="B900" s="25">
        <v>0</v>
      </c>
      <c r="C900" s="25"/>
      <c r="D900" s="56" t="s">
        <v>104</v>
      </c>
      <c r="E900" s="66">
        <v>45070</v>
      </c>
      <c r="F900" s="323" t="s">
        <v>37</v>
      </c>
      <c r="G900" s="66">
        <v>45070</v>
      </c>
      <c r="H900" s="35" t="s">
        <v>847</v>
      </c>
      <c r="I900" s="21">
        <v>1547900</v>
      </c>
      <c r="J900" s="21">
        <v>46437</v>
      </c>
      <c r="K900" s="22">
        <v>285277.97000000003</v>
      </c>
      <c r="L900" s="23"/>
      <c r="M900" s="22">
        <v>0</v>
      </c>
      <c r="N900" s="72">
        <v>2.5000000000000001E-2</v>
      </c>
      <c r="O900" s="22">
        <v>37536.575000000004</v>
      </c>
      <c r="P900" s="21">
        <v>1749204.395</v>
      </c>
      <c r="S900" s="101" t="b">
        <f>OR(COUNTIF(Tabla2[[#This Row],[PROVEEDOR]],"*"&amp;'Palabra no opera'!$A$2&amp;"*"))</f>
        <v>0</v>
      </c>
      <c r="T900" s="113">
        <f>+$W$5-Tabla2[[#This Row],[FECHA DE FACTURACIÓN]]</f>
        <v>252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15" t="str">
        <f>+IF(AND(Tabla2[[#This Row],[venc]]="venc",Tabla2[[#This Row],[Columna1]]="por pagar"),"vencida","no")</f>
        <v>no</v>
      </c>
    </row>
    <row r="901" spans="1:23" ht="15.75" x14ac:dyDescent="0.25">
      <c r="A901" s="20">
        <v>30</v>
      </c>
      <c r="B901" s="25">
        <v>0</v>
      </c>
      <c r="C901" s="25"/>
      <c r="D901" s="56" t="s">
        <v>104</v>
      </c>
      <c r="E901" s="66">
        <v>45070</v>
      </c>
      <c r="F901" s="323" t="s">
        <v>277</v>
      </c>
      <c r="G901" s="66">
        <v>45069</v>
      </c>
      <c r="H901" s="35" t="s">
        <v>854</v>
      </c>
      <c r="I901" s="21">
        <v>2566000</v>
      </c>
      <c r="J901" s="21"/>
      <c r="K901" s="22">
        <v>0</v>
      </c>
      <c r="L901" s="23"/>
      <c r="M901" s="22">
        <v>0</v>
      </c>
      <c r="N901" s="72">
        <v>0</v>
      </c>
      <c r="O901" s="22">
        <v>0</v>
      </c>
      <c r="P901" s="21">
        <v>2566000</v>
      </c>
      <c r="S901" s="101" t="b">
        <f>OR(COUNTIF(Tabla2[[#This Row],[PROVEEDOR]],"*"&amp;'Palabra no opera'!$A$2&amp;"*"))</f>
        <v>0</v>
      </c>
      <c r="T901" s="113">
        <f>+$W$5-Tabla2[[#This Row],[FECHA DE FACTURACIÓN]]</f>
        <v>253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15" t="str">
        <f>+IF(AND(Tabla2[[#This Row],[venc]]="venc",Tabla2[[#This Row],[Columna1]]="por pagar"),"vencida","no")</f>
        <v>no</v>
      </c>
    </row>
    <row r="902" spans="1:23" ht="15.75" x14ac:dyDescent="0.25">
      <c r="A902" s="20">
        <v>30</v>
      </c>
      <c r="B902" s="25">
        <v>2713769.64</v>
      </c>
      <c r="C902" s="25"/>
      <c r="D902" s="56" t="s">
        <v>445</v>
      </c>
      <c r="E902" s="66">
        <v>45064</v>
      </c>
      <c r="F902" s="323" t="s">
        <v>11</v>
      </c>
      <c r="G902" s="66">
        <v>45029</v>
      </c>
      <c r="H902" s="35" t="s">
        <v>758</v>
      </c>
      <c r="I902" s="21">
        <v>2803032</v>
      </c>
      <c r="J902" s="21"/>
      <c r="K902" s="22">
        <v>532576.07999999996</v>
      </c>
      <c r="L902" s="23"/>
      <c r="M902" s="22">
        <v>0</v>
      </c>
      <c r="N902" s="72">
        <v>2.5000000000000001E-2</v>
      </c>
      <c r="O902" s="22">
        <v>70075.8</v>
      </c>
      <c r="P902" s="21">
        <v>3265532.2800000003</v>
      </c>
      <c r="S902" s="101" t="b">
        <f>OR(COUNTIF(Tabla2[[#This Row],[PROVEEDOR]],"*"&amp;'Palabra no opera'!$A$2&amp;"*"))</f>
        <v>0</v>
      </c>
      <c r="T902" s="113">
        <f>+$W$5-Tabla2[[#This Row],[FECHA DE FACTURACIÓN]]</f>
        <v>293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15" t="str">
        <f>+IF(AND(Tabla2[[#This Row],[venc]]="venc",Tabla2[[#This Row],[Columna1]]="por pagar"),"vencida","no")</f>
        <v>no</v>
      </c>
    </row>
    <row r="903" spans="1:23" ht="15.75" x14ac:dyDescent="0.25">
      <c r="A903" s="20">
        <v>30</v>
      </c>
      <c r="B903" s="25">
        <v>2713769.64</v>
      </c>
      <c r="C903" s="25"/>
      <c r="D903" s="56" t="s">
        <v>445</v>
      </c>
      <c r="E903" s="66">
        <v>45064</v>
      </c>
      <c r="F903" s="323" t="s">
        <v>11</v>
      </c>
      <c r="G903" s="66">
        <v>45019</v>
      </c>
      <c r="H903" s="35" t="s">
        <v>759</v>
      </c>
      <c r="I903" s="21">
        <v>700758</v>
      </c>
      <c r="J903" s="21"/>
      <c r="K903" s="22">
        <v>133144.01999999999</v>
      </c>
      <c r="L903" s="23"/>
      <c r="M903" s="22">
        <v>0</v>
      </c>
      <c r="N903" s="72">
        <v>0</v>
      </c>
      <c r="O903" s="22">
        <v>0</v>
      </c>
      <c r="P903" s="21">
        <v>833902.02</v>
      </c>
      <c r="S903" s="101" t="b">
        <f>OR(COUNTIF(Tabla2[[#This Row],[PROVEEDOR]],"*"&amp;'Palabra no opera'!$A$2&amp;"*"))</f>
        <v>0</v>
      </c>
      <c r="T903" s="113">
        <f>+$W$5-Tabla2[[#This Row],[FECHA DE FACTURACIÓN]]</f>
        <v>303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15" t="str">
        <f>+IF(AND(Tabla2[[#This Row],[venc]]="venc",Tabla2[[#This Row],[Columna1]]="por pagar"),"vencida","no")</f>
        <v>no</v>
      </c>
    </row>
    <row r="904" spans="1:23" ht="15.75" x14ac:dyDescent="0.25">
      <c r="A904" s="20">
        <v>30</v>
      </c>
      <c r="B904" s="25">
        <v>380979.69</v>
      </c>
      <c r="C904" s="25"/>
      <c r="D904" s="56" t="s">
        <v>255</v>
      </c>
      <c r="E904" s="66">
        <v>45064</v>
      </c>
      <c r="F904" s="323" t="s">
        <v>534</v>
      </c>
      <c r="G904" s="66">
        <v>45013</v>
      </c>
      <c r="H904" s="35" t="s">
        <v>709</v>
      </c>
      <c r="I904" s="21">
        <v>722520</v>
      </c>
      <c r="J904" s="21"/>
      <c r="K904" s="22">
        <v>137278.79999999999</v>
      </c>
      <c r="L904" s="23"/>
      <c r="M904" s="22">
        <v>0</v>
      </c>
      <c r="N904" s="72">
        <v>0</v>
      </c>
      <c r="O904" s="22">
        <v>0</v>
      </c>
      <c r="P904" s="21">
        <v>859798.8</v>
      </c>
      <c r="S904" s="101" t="b">
        <f>OR(COUNTIF(Tabla2[[#This Row],[PROVEEDOR]],"*"&amp;'Palabra no opera'!$A$2&amp;"*"))</f>
        <v>1</v>
      </c>
      <c r="T904" s="113">
        <f>+$W$5-Tabla2[[#This Row],[FECHA DE FACTURACIÓN]]</f>
        <v>309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15" t="str">
        <f>+IF(AND(Tabla2[[#This Row],[venc]]="venc",Tabla2[[#This Row],[Columna1]]="por pagar"),"vencida","no")</f>
        <v>no</v>
      </c>
    </row>
    <row r="905" spans="1:23" ht="15.75" x14ac:dyDescent="0.25">
      <c r="A905" s="20">
        <v>30</v>
      </c>
      <c r="B905" s="25">
        <v>2713769.64</v>
      </c>
      <c r="C905" s="25"/>
      <c r="D905" s="56" t="s">
        <v>445</v>
      </c>
      <c r="E905" s="66">
        <v>45064</v>
      </c>
      <c r="F905" s="323" t="s">
        <v>11</v>
      </c>
      <c r="G905" s="66">
        <v>45009</v>
      </c>
      <c r="H905" s="35" t="s">
        <v>693</v>
      </c>
      <c r="I905" s="21">
        <v>3503790</v>
      </c>
      <c r="J905" s="21"/>
      <c r="K905" s="22">
        <v>665720.1</v>
      </c>
      <c r="L905" s="23"/>
      <c r="M905" s="22">
        <v>0</v>
      </c>
      <c r="N905" s="72">
        <v>2.5000000000000001E-2</v>
      </c>
      <c r="O905" s="22">
        <v>87594.75</v>
      </c>
      <c r="P905" s="21">
        <v>4081915.35</v>
      </c>
      <c r="S905" s="101" t="b">
        <f>OR(COUNTIF(Tabla2[[#This Row],[PROVEEDOR]],"*"&amp;'Palabra no opera'!$A$2&amp;"*"))</f>
        <v>0</v>
      </c>
      <c r="T905" s="113">
        <f>+$W$5-Tabla2[[#This Row],[FECHA DE FACTURACIÓN]]</f>
        <v>313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15" t="str">
        <f>+IF(AND(Tabla2[[#This Row],[venc]]="venc",Tabla2[[#This Row],[Columna1]]="por pagar"),"vencida","no")</f>
        <v>no</v>
      </c>
    </row>
    <row r="906" spans="1:23" ht="15.75" x14ac:dyDescent="0.25">
      <c r="A906" s="20">
        <v>30</v>
      </c>
      <c r="B906" s="25">
        <v>0</v>
      </c>
      <c r="C906" s="25"/>
      <c r="D906" s="56" t="s">
        <v>104</v>
      </c>
      <c r="E906" s="66">
        <v>45063</v>
      </c>
      <c r="F906" s="323" t="s">
        <v>37</v>
      </c>
      <c r="G906" s="66">
        <v>45063</v>
      </c>
      <c r="H906" s="35" t="s">
        <v>828</v>
      </c>
      <c r="I906" s="21">
        <v>213958</v>
      </c>
      <c r="J906" s="21"/>
      <c r="K906" s="22">
        <v>40652.020000000004</v>
      </c>
      <c r="L906" s="23"/>
      <c r="M906" s="22">
        <v>0</v>
      </c>
      <c r="N906" s="72">
        <v>0</v>
      </c>
      <c r="O906" s="22">
        <v>0</v>
      </c>
      <c r="P906" s="21">
        <v>254610.02000000002</v>
      </c>
      <c r="S906" s="101" t="b">
        <f>OR(COUNTIF(Tabla2[[#This Row],[PROVEEDOR]],"*"&amp;'Palabra no opera'!$A$2&amp;"*"))</f>
        <v>0</v>
      </c>
      <c r="T906" s="113">
        <f>+$W$5-Tabla2[[#This Row],[FECHA DE FACTURACIÓN]]</f>
        <v>259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15" t="str">
        <f>+IF(AND(Tabla2[[#This Row],[venc]]="venc",Tabla2[[#This Row],[Columna1]]="por pagar"),"vencida","no")</f>
        <v>no</v>
      </c>
    </row>
    <row r="907" spans="1:23" ht="15.75" x14ac:dyDescent="0.25">
      <c r="A907" s="20">
        <v>30</v>
      </c>
      <c r="B907" s="25">
        <v>4202500</v>
      </c>
      <c r="C907" s="25"/>
      <c r="D907" s="56" t="s">
        <v>231</v>
      </c>
      <c r="E907" s="66">
        <v>45063</v>
      </c>
      <c r="F907" s="323" t="s">
        <v>301</v>
      </c>
      <c r="G907" s="66">
        <v>45028</v>
      </c>
      <c r="H907" s="35">
        <v>39</v>
      </c>
      <c r="I907" s="21">
        <v>1165000</v>
      </c>
      <c r="J907" s="21"/>
      <c r="K907" s="22">
        <v>0</v>
      </c>
      <c r="L907" s="23"/>
      <c r="M907" s="22">
        <v>0</v>
      </c>
      <c r="N907" s="72">
        <v>0</v>
      </c>
      <c r="O907" s="22">
        <v>0</v>
      </c>
      <c r="P907" s="21">
        <v>1165000</v>
      </c>
      <c r="S907" s="101" t="b">
        <f>OR(COUNTIF(Tabla2[[#This Row],[PROVEEDOR]],"*"&amp;'Palabra no opera'!$A$2&amp;"*"))</f>
        <v>0</v>
      </c>
      <c r="T907" s="113">
        <f>+$W$5-Tabla2[[#This Row],[FECHA DE FACTURACIÓN]]</f>
        <v>294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15" t="str">
        <f>+IF(AND(Tabla2[[#This Row],[venc]]="venc",Tabla2[[#This Row],[Columna1]]="por pagar"),"vencida","no")</f>
        <v>no</v>
      </c>
    </row>
    <row r="908" spans="1:23" ht="15.75" x14ac:dyDescent="0.25">
      <c r="A908" s="20">
        <v>30</v>
      </c>
      <c r="B908" s="25">
        <v>0</v>
      </c>
      <c r="C908" s="25"/>
      <c r="D908" s="56" t="s">
        <v>1508</v>
      </c>
      <c r="E908" s="66">
        <v>45061</v>
      </c>
      <c r="F908" s="323" t="s">
        <v>406</v>
      </c>
      <c r="G908" s="66">
        <v>45047</v>
      </c>
      <c r="H908" s="35" t="s">
        <v>814</v>
      </c>
      <c r="I908" s="21">
        <v>1840056</v>
      </c>
      <c r="J908" s="21"/>
      <c r="K908" s="22">
        <v>0</v>
      </c>
      <c r="L908" s="23"/>
      <c r="M908" s="22">
        <v>105097</v>
      </c>
      <c r="N908" s="72">
        <v>0</v>
      </c>
      <c r="O908" s="22">
        <v>0</v>
      </c>
      <c r="P908" s="21">
        <v>1734959</v>
      </c>
      <c r="S908" s="101" t="b">
        <f>OR(COUNTIF(Tabla2[[#This Row],[PROVEEDOR]],"*"&amp;'Palabra no opera'!$A$2&amp;"*"))</f>
        <v>1</v>
      </c>
      <c r="T908" s="113">
        <f>+$W$5-Tabla2[[#This Row],[FECHA DE FACTURACIÓN]]</f>
        <v>275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15" t="str">
        <f>+IF(AND(Tabla2[[#This Row],[venc]]="venc",Tabla2[[#This Row],[Columna1]]="por pagar"),"vencida","no")</f>
        <v>no</v>
      </c>
    </row>
    <row r="909" spans="1:23" ht="15.75" x14ac:dyDescent="0.25">
      <c r="A909" s="20">
        <v>30</v>
      </c>
      <c r="B909" s="25">
        <v>5972000</v>
      </c>
      <c r="C909" s="25"/>
      <c r="D909" s="56">
        <v>0</v>
      </c>
      <c r="E909" s="66">
        <v>45061</v>
      </c>
      <c r="F909" s="323" t="s">
        <v>433</v>
      </c>
      <c r="G909" s="66">
        <v>45026</v>
      </c>
      <c r="H909" s="35" t="s">
        <v>761</v>
      </c>
      <c r="I909" s="21">
        <v>815000</v>
      </c>
      <c r="J909" s="21"/>
      <c r="K909" s="22">
        <v>0</v>
      </c>
      <c r="L909" s="23"/>
      <c r="M909" s="22">
        <v>0</v>
      </c>
      <c r="N909" s="72">
        <v>0</v>
      </c>
      <c r="O909" s="22">
        <v>0</v>
      </c>
      <c r="P909" s="21">
        <v>815000</v>
      </c>
      <c r="S909" s="101" t="b">
        <f>OR(COUNTIF(Tabla2[[#This Row],[PROVEEDOR]],"*"&amp;'Palabra no opera'!$A$2&amp;"*"))</f>
        <v>0</v>
      </c>
      <c r="T909" s="113">
        <f>+$W$5-Tabla2[[#This Row],[FECHA DE FACTURACIÓN]]</f>
        <v>296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15" t="str">
        <f>+IF(AND(Tabla2[[#This Row],[venc]]="venc",Tabla2[[#This Row],[Columna1]]="por pagar"),"vencida","no")</f>
        <v>no</v>
      </c>
    </row>
    <row r="910" spans="1:23" ht="15.75" x14ac:dyDescent="0.25">
      <c r="A910" s="20">
        <v>30</v>
      </c>
      <c r="B910" s="25">
        <v>0</v>
      </c>
      <c r="C910" s="25"/>
      <c r="D910" s="56" t="s">
        <v>104</v>
      </c>
      <c r="E910" s="66">
        <v>45059</v>
      </c>
      <c r="F910" s="323" t="s">
        <v>291</v>
      </c>
      <c r="G910" s="66">
        <v>45059</v>
      </c>
      <c r="H910" s="35" t="s">
        <v>826</v>
      </c>
      <c r="I910" s="21">
        <v>670000</v>
      </c>
      <c r="J910" s="21"/>
      <c r="K910" s="22">
        <v>0</v>
      </c>
      <c r="L910" s="23"/>
      <c r="M910" s="22">
        <v>0</v>
      </c>
      <c r="N910" s="72">
        <v>0</v>
      </c>
      <c r="O910" s="22">
        <v>0</v>
      </c>
      <c r="P910" s="21">
        <v>670000</v>
      </c>
      <c r="S910" s="101" t="b">
        <f>OR(COUNTIF(Tabla2[[#This Row],[PROVEEDOR]],"*"&amp;'Palabra no opera'!$A$2&amp;"*"))</f>
        <v>0</v>
      </c>
      <c r="T910" s="113">
        <f>+$W$5-Tabla2[[#This Row],[FECHA DE FACTURACIÓN]]</f>
        <v>263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15" t="str">
        <f>+IF(AND(Tabla2[[#This Row],[venc]]="venc",Tabla2[[#This Row],[Columna1]]="por pagar"),"vencida","no")</f>
        <v>no</v>
      </c>
    </row>
    <row r="911" spans="1:23" ht="15.75" x14ac:dyDescent="0.25">
      <c r="A911" s="20">
        <v>30</v>
      </c>
      <c r="B911" s="25">
        <v>0</v>
      </c>
      <c r="C911" s="25"/>
      <c r="D911" s="56" t="s">
        <v>104</v>
      </c>
      <c r="E911" s="66">
        <v>45059</v>
      </c>
      <c r="F911" s="323" t="s">
        <v>291</v>
      </c>
      <c r="G911" s="66">
        <v>45059</v>
      </c>
      <c r="H911" s="35" t="s">
        <v>827</v>
      </c>
      <c r="I911" s="21">
        <v>480000</v>
      </c>
      <c r="J911" s="21"/>
      <c r="K911" s="22">
        <v>0</v>
      </c>
      <c r="L911" s="23"/>
      <c r="M911" s="22">
        <v>0</v>
      </c>
      <c r="N911" s="72">
        <v>0</v>
      </c>
      <c r="O911" s="22">
        <v>0</v>
      </c>
      <c r="P911" s="21">
        <v>480000</v>
      </c>
      <c r="S911" s="101" t="b">
        <f>OR(COUNTIF(Tabla2[[#This Row],[PROVEEDOR]],"*"&amp;'Palabra no opera'!$A$2&amp;"*"))</f>
        <v>0</v>
      </c>
      <c r="T911" s="113">
        <f>+$W$5-Tabla2[[#This Row],[FECHA DE FACTURACIÓN]]</f>
        <v>263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15" t="str">
        <f>+IF(AND(Tabla2[[#This Row],[venc]]="venc",Tabla2[[#This Row],[Columna1]]="por pagar"),"vencida","no")</f>
        <v>no</v>
      </c>
    </row>
    <row r="912" spans="1:23" ht="15.75" x14ac:dyDescent="0.25">
      <c r="A912" s="20">
        <v>30</v>
      </c>
      <c r="B912" s="25">
        <v>0</v>
      </c>
      <c r="C912" s="25"/>
      <c r="D912" s="56" t="s">
        <v>166</v>
      </c>
      <c r="E912" s="66">
        <v>45057</v>
      </c>
      <c r="F912" s="323" t="s">
        <v>65</v>
      </c>
      <c r="G912" s="66">
        <v>45033</v>
      </c>
      <c r="H912" s="35" t="s">
        <v>803</v>
      </c>
      <c r="I912" s="21">
        <v>882353</v>
      </c>
      <c r="J912" s="21"/>
      <c r="K912" s="22">
        <v>167647.07</v>
      </c>
      <c r="L912" s="23"/>
      <c r="M912" s="22">
        <v>0</v>
      </c>
      <c r="N912" s="72">
        <v>0</v>
      </c>
      <c r="O912" s="22">
        <v>0</v>
      </c>
      <c r="P912" s="21">
        <v>1050000.07</v>
      </c>
      <c r="S912" s="101" t="b">
        <f>OR(COUNTIF(Tabla2[[#This Row],[PROVEEDOR]],"*"&amp;'Palabra no opera'!$A$2&amp;"*"))</f>
        <v>0</v>
      </c>
      <c r="T912" s="113">
        <f>+$W$5-Tabla2[[#This Row],[FECHA DE FACTURACIÓN]]</f>
        <v>289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15" t="str">
        <f>+IF(AND(Tabla2[[#This Row],[venc]]="venc",Tabla2[[#This Row],[Columna1]]="por pagar"),"vencida","no")</f>
        <v>no</v>
      </c>
    </row>
    <row r="913" spans="1:23" ht="15.75" x14ac:dyDescent="0.25">
      <c r="A913" s="20">
        <v>30</v>
      </c>
      <c r="B913" s="25">
        <v>0</v>
      </c>
      <c r="C913" s="25"/>
      <c r="D913" s="56">
        <v>0</v>
      </c>
      <c r="E913" s="66">
        <v>45057</v>
      </c>
      <c r="F913" s="323" t="s">
        <v>773</v>
      </c>
      <c r="G913" s="66">
        <v>45030</v>
      </c>
      <c r="H913" s="35" t="s">
        <v>774</v>
      </c>
      <c r="I913" s="21">
        <v>164000</v>
      </c>
      <c r="J913" s="21"/>
      <c r="K913" s="22">
        <v>0</v>
      </c>
      <c r="L913" s="23"/>
      <c r="M913" s="22">
        <v>0</v>
      </c>
      <c r="N913" s="72">
        <v>0</v>
      </c>
      <c r="O913" s="22">
        <v>0</v>
      </c>
      <c r="P913" s="21">
        <v>164000</v>
      </c>
      <c r="S913" s="101" t="b">
        <f>OR(COUNTIF(Tabla2[[#This Row],[PROVEEDOR]],"*"&amp;'Palabra no opera'!$A$2&amp;"*"))</f>
        <v>0</v>
      </c>
      <c r="T913" s="113">
        <f>+$W$5-Tabla2[[#This Row],[FECHA DE FACTURACIÓN]]</f>
        <v>292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15" t="str">
        <f>+IF(AND(Tabla2[[#This Row],[venc]]="venc",Tabla2[[#This Row],[Columna1]]="por pagar"),"vencida","no")</f>
        <v>no</v>
      </c>
    </row>
    <row r="914" spans="1:23" ht="15.75" x14ac:dyDescent="0.25">
      <c r="A914" s="20">
        <v>30</v>
      </c>
      <c r="B914" s="25">
        <v>0</v>
      </c>
      <c r="C914" s="25"/>
      <c r="D914" s="56" t="s">
        <v>158</v>
      </c>
      <c r="E914" s="66">
        <v>45056</v>
      </c>
      <c r="F914" s="323" t="s">
        <v>486</v>
      </c>
      <c r="G914" s="66">
        <v>45057</v>
      </c>
      <c r="H914" s="35">
        <v>418</v>
      </c>
      <c r="I914" s="21">
        <v>415000</v>
      </c>
      <c r="J914" s="21"/>
      <c r="K914" s="22">
        <v>0</v>
      </c>
      <c r="L914" s="23"/>
      <c r="M914" s="22">
        <v>0</v>
      </c>
      <c r="N914" s="72">
        <v>0</v>
      </c>
      <c r="O914" s="22">
        <v>0</v>
      </c>
      <c r="P914" s="21">
        <v>415000</v>
      </c>
      <c r="S914" s="101" t="b">
        <f>OR(COUNTIF(Tabla2[[#This Row],[PROVEEDOR]],"*"&amp;'Palabra no opera'!$A$2&amp;"*"))</f>
        <v>0</v>
      </c>
      <c r="T914" s="113">
        <f>+$W$5-Tabla2[[#This Row],[FECHA DE FACTURACIÓN]]</f>
        <v>265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15" t="str">
        <f>+IF(AND(Tabla2[[#This Row],[venc]]="venc",Tabla2[[#This Row],[Columna1]]="por pagar"),"vencida","no")</f>
        <v>no</v>
      </c>
    </row>
    <row r="915" spans="1:23" ht="15.75" x14ac:dyDescent="0.25">
      <c r="A915" s="20">
        <v>30</v>
      </c>
      <c r="B915" s="25">
        <v>0</v>
      </c>
      <c r="C915" s="25"/>
      <c r="D915" s="56" t="s">
        <v>158</v>
      </c>
      <c r="E915" s="66">
        <v>45056</v>
      </c>
      <c r="F915" s="323" t="s">
        <v>487</v>
      </c>
      <c r="G915" s="66">
        <v>45057</v>
      </c>
      <c r="H915" s="35" t="s">
        <v>818</v>
      </c>
      <c r="I915" s="21">
        <v>300000</v>
      </c>
      <c r="J915" s="21"/>
      <c r="K915" s="22">
        <v>0</v>
      </c>
      <c r="L915" s="23"/>
      <c r="M915" s="22">
        <v>0</v>
      </c>
      <c r="N915" s="72">
        <v>0.01</v>
      </c>
      <c r="O915" s="22">
        <v>3000</v>
      </c>
      <c r="P915" s="21">
        <v>297000</v>
      </c>
      <c r="S915" s="101" t="b">
        <f>OR(COUNTIF(Tabla2[[#This Row],[PROVEEDOR]],"*"&amp;'Palabra no opera'!$A$2&amp;"*"))</f>
        <v>0</v>
      </c>
      <c r="T915" s="113">
        <f>+$W$5-Tabla2[[#This Row],[FECHA DE FACTURACIÓN]]</f>
        <v>265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15" t="str">
        <f>+IF(AND(Tabla2[[#This Row],[venc]]="venc",Tabla2[[#This Row],[Columna1]]="por pagar"),"vencida","no")</f>
        <v>no</v>
      </c>
    </row>
    <row r="916" spans="1:23" ht="15.75" x14ac:dyDescent="0.25">
      <c r="A916" s="20">
        <v>30</v>
      </c>
      <c r="B916" s="25">
        <v>0</v>
      </c>
      <c r="C916" s="25"/>
      <c r="D916" s="56" t="s">
        <v>174</v>
      </c>
      <c r="E916" s="66">
        <v>45056</v>
      </c>
      <c r="F916" s="323" t="s">
        <v>427</v>
      </c>
      <c r="G916" s="66">
        <v>45048</v>
      </c>
      <c r="H916" s="35" t="s">
        <v>815</v>
      </c>
      <c r="I916" s="21">
        <v>243611</v>
      </c>
      <c r="J916" s="21"/>
      <c r="K916" s="22">
        <v>46286.090000000004</v>
      </c>
      <c r="L916" s="23"/>
      <c r="M916" s="22">
        <v>0</v>
      </c>
      <c r="N916" s="72">
        <v>3.5000000000000003E-2</v>
      </c>
      <c r="O916" s="22">
        <v>8526.3850000000002</v>
      </c>
      <c r="P916" s="21">
        <v>281370.70500000002</v>
      </c>
      <c r="S916" s="101" t="b">
        <f>OR(COUNTIF(Tabla2[[#This Row],[PROVEEDOR]],"*"&amp;'Palabra no opera'!$A$2&amp;"*"))</f>
        <v>1</v>
      </c>
      <c r="T916" s="113">
        <f>+$W$5-Tabla2[[#This Row],[FECHA DE FACTURACIÓN]]</f>
        <v>274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15" t="str">
        <f>+IF(AND(Tabla2[[#This Row],[venc]]="venc",Tabla2[[#This Row],[Columna1]]="por pagar"),"vencida","no")</f>
        <v>no</v>
      </c>
    </row>
    <row r="917" spans="1:23" ht="15.75" x14ac:dyDescent="0.25">
      <c r="A917" s="20">
        <v>30</v>
      </c>
      <c r="B917" s="25">
        <v>0</v>
      </c>
      <c r="C917" s="25"/>
      <c r="D917" s="56" t="s">
        <v>284</v>
      </c>
      <c r="E917" s="66">
        <v>45056</v>
      </c>
      <c r="F917" s="323" t="s">
        <v>401</v>
      </c>
      <c r="G917" s="66">
        <v>45047</v>
      </c>
      <c r="H917" s="35" t="s">
        <v>808</v>
      </c>
      <c r="I917" s="21">
        <v>908172</v>
      </c>
      <c r="J917" s="21"/>
      <c r="K917" s="22">
        <v>172552.68</v>
      </c>
      <c r="L917" s="23"/>
      <c r="M917" s="22">
        <v>0</v>
      </c>
      <c r="N917" s="72">
        <v>0</v>
      </c>
      <c r="O917" s="22">
        <v>0</v>
      </c>
      <c r="P917" s="21">
        <v>1080724.68</v>
      </c>
      <c r="S917" s="101" t="b">
        <f>OR(COUNTIF(Tabla2[[#This Row],[PROVEEDOR]],"*"&amp;'Palabra no opera'!$A$2&amp;"*"))</f>
        <v>1</v>
      </c>
      <c r="T917" s="113">
        <f>+$W$5-Tabla2[[#This Row],[FECHA DE FACTURACIÓN]]</f>
        <v>275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15" t="str">
        <f>+IF(AND(Tabla2[[#This Row],[venc]]="venc",Tabla2[[#This Row],[Columna1]]="por pagar"),"vencida","no")</f>
        <v>no</v>
      </c>
    </row>
    <row r="918" spans="1:23" ht="15.75" x14ac:dyDescent="0.25">
      <c r="A918" s="20">
        <v>30</v>
      </c>
      <c r="B918" s="25">
        <v>0</v>
      </c>
      <c r="C918" s="25"/>
      <c r="D918" s="56" t="s">
        <v>284</v>
      </c>
      <c r="E918" s="66">
        <v>45056</v>
      </c>
      <c r="F918" s="323" t="s">
        <v>401</v>
      </c>
      <c r="G918" s="66">
        <v>45047</v>
      </c>
      <c r="H918" s="35" t="s">
        <v>809</v>
      </c>
      <c r="I918" s="21">
        <v>3792544</v>
      </c>
      <c r="J918" s="21"/>
      <c r="K918" s="22">
        <v>720583.36</v>
      </c>
      <c r="L918" s="23"/>
      <c r="M918" s="22">
        <v>0</v>
      </c>
      <c r="N918" s="72">
        <v>0</v>
      </c>
      <c r="O918" s="22">
        <v>0</v>
      </c>
      <c r="P918" s="21">
        <v>4513127.3600000003</v>
      </c>
      <c r="S918" s="101" t="b">
        <f>OR(COUNTIF(Tabla2[[#This Row],[PROVEEDOR]],"*"&amp;'Palabra no opera'!$A$2&amp;"*"))</f>
        <v>1</v>
      </c>
      <c r="T918" s="113">
        <f>+$W$5-Tabla2[[#This Row],[FECHA DE FACTURACIÓN]]</f>
        <v>275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15" t="str">
        <f>+IF(AND(Tabla2[[#This Row],[venc]]="venc",Tabla2[[#This Row],[Columna1]]="por pagar"),"vencida","no")</f>
        <v>no</v>
      </c>
    </row>
    <row r="919" spans="1:23" ht="15.75" x14ac:dyDescent="0.25">
      <c r="A919" s="20">
        <v>30</v>
      </c>
      <c r="B919" s="25">
        <v>0</v>
      </c>
      <c r="C919" s="25"/>
      <c r="D919" s="56" t="s">
        <v>300</v>
      </c>
      <c r="E919" s="66">
        <v>45056</v>
      </c>
      <c r="F919" s="323" t="s">
        <v>409</v>
      </c>
      <c r="G919" s="66">
        <v>45047</v>
      </c>
      <c r="H919" s="35" t="s">
        <v>811</v>
      </c>
      <c r="I919" s="21">
        <v>324057</v>
      </c>
      <c r="J919" s="21">
        <v>9545</v>
      </c>
      <c r="K919" s="22">
        <v>0</v>
      </c>
      <c r="L919" s="23"/>
      <c r="M919" s="22">
        <v>0</v>
      </c>
      <c r="N919" s="72">
        <v>0</v>
      </c>
      <c r="O919" s="22">
        <v>0</v>
      </c>
      <c r="P919" s="21">
        <v>314512</v>
      </c>
      <c r="S919" s="101" t="b">
        <f>OR(COUNTIF(Tabla2[[#This Row],[PROVEEDOR]],"*"&amp;'Palabra no opera'!$A$2&amp;"*"))</f>
        <v>1</v>
      </c>
      <c r="T919" s="113">
        <f>+$W$5-Tabla2[[#This Row],[FECHA DE FACTURACIÓN]]</f>
        <v>275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15" t="str">
        <f>+IF(AND(Tabla2[[#This Row],[venc]]="venc",Tabla2[[#This Row],[Columna1]]="por pagar"),"vencida","no")</f>
        <v>no</v>
      </c>
    </row>
    <row r="920" spans="1:23" ht="15.75" x14ac:dyDescent="0.25">
      <c r="A920" s="20">
        <v>30</v>
      </c>
      <c r="B920" s="25">
        <v>0</v>
      </c>
      <c r="C920" s="25"/>
      <c r="D920" s="56" t="s">
        <v>505</v>
      </c>
      <c r="E920" s="66">
        <v>45056</v>
      </c>
      <c r="F920" s="323" t="s">
        <v>416</v>
      </c>
      <c r="G920" s="66">
        <v>45047</v>
      </c>
      <c r="H920" s="35" t="s">
        <v>816</v>
      </c>
      <c r="I920" s="21">
        <v>52142</v>
      </c>
      <c r="J920" s="21"/>
      <c r="K920" s="22">
        <v>9906.98</v>
      </c>
      <c r="L920" s="23"/>
      <c r="M920" s="22">
        <v>0</v>
      </c>
      <c r="N920" s="72">
        <v>3.5000000000000003E-2</v>
      </c>
      <c r="O920" s="22"/>
      <c r="P920" s="21">
        <v>62048.979999999996</v>
      </c>
      <c r="S920" s="101" t="b">
        <f>OR(COUNTIF(Tabla2[[#This Row],[PROVEEDOR]],"*"&amp;'Palabra no opera'!$A$2&amp;"*"))</f>
        <v>1</v>
      </c>
      <c r="T920" s="113">
        <f>+$W$5-Tabla2[[#This Row],[FECHA DE FACTURACIÓN]]</f>
        <v>275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15" t="str">
        <f>+IF(AND(Tabla2[[#This Row],[venc]]="venc",Tabla2[[#This Row],[Columna1]]="por pagar"),"vencida","no")</f>
        <v>no</v>
      </c>
    </row>
    <row r="921" spans="1:23" ht="15.75" x14ac:dyDescent="0.25">
      <c r="A921" s="20">
        <v>30</v>
      </c>
      <c r="B921" s="25">
        <v>0</v>
      </c>
      <c r="C921" s="25"/>
      <c r="D921" s="56" t="s">
        <v>505</v>
      </c>
      <c r="E921" s="66">
        <v>45056</v>
      </c>
      <c r="F921" s="323" t="s">
        <v>416</v>
      </c>
      <c r="G921" s="66">
        <v>45047</v>
      </c>
      <c r="H921" s="35" t="s">
        <v>817</v>
      </c>
      <c r="I921" s="21">
        <v>3935776</v>
      </c>
      <c r="J921" s="21"/>
      <c r="K921" s="22">
        <v>665000</v>
      </c>
      <c r="L921" s="23"/>
      <c r="M921" s="22">
        <v>0</v>
      </c>
      <c r="N921" s="72">
        <v>3.5000000000000003E-2</v>
      </c>
      <c r="O921" s="22"/>
      <c r="P921" s="21">
        <v>4600776</v>
      </c>
      <c r="S921" s="101" t="b">
        <f>OR(COUNTIF(Tabla2[[#This Row],[PROVEEDOR]],"*"&amp;'Palabra no opera'!$A$2&amp;"*"))</f>
        <v>1</v>
      </c>
      <c r="T921" s="113">
        <f>+$W$5-Tabla2[[#This Row],[FECHA DE FACTURACIÓN]]</f>
        <v>275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15" t="str">
        <f>+IF(AND(Tabla2[[#This Row],[venc]]="venc",Tabla2[[#This Row],[Columna1]]="por pagar"),"vencida","no")</f>
        <v>no</v>
      </c>
    </row>
    <row r="922" spans="1:23" ht="15.75" x14ac:dyDescent="0.25">
      <c r="A922" s="20">
        <v>10</v>
      </c>
      <c r="B922" s="25">
        <v>0</v>
      </c>
      <c r="C922" s="25"/>
      <c r="D922" s="56" t="s">
        <v>523</v>
      </c>
      <c r="E922" s="66">
        <v>45056</v>
      </c>
      <c r="F922" s="323" t="s">
        <v>522</v>
      </c>
      <c r="G922" s="66">
        <v>45047</v>
      </c>
      <c r="H922" s="35" t="s">
        <v>810</v>
      </c>
      <c r="I922" s="21">
        <v>5350576</v>
      </c>
      <c r="J922" s="21"/>
      <c r="K922" s="22">
        <v>1016609</v>
      </c>
      <c r="L922" s="23"/>
      <c r="M922" s="22">
        <v>0</v>
      </c>
      <c r="N922" s="72">
        <v>0</v>
      </c>
      <c r="O922" s="22">
        <v>0</v>
      </c>
      <c r="P922" s="21">
        <v>6367185</v>
      </c>
      <c r="S922" s="101" t="b">
        <f>OR(COUNTIF(Tabla2[[#This Row],[PROVEEDOR]],"*"&amp;'Palabra no opera'!$A$2&amp;"*"))</f>
        <v>1</v>
      </c>
      <c r="T922" s="113">
        <f>+$W$5-Tabla2[[#This Row],[FECHA DE FACTURACIÓN]]</f>
        <v>275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15" t="str">
        <f>+IF(AND(Tabla2[[#This Row],[venc]]="venc",Tabla2[[#This Row],[Columna1]]="por pagar"),"vencida","no")</f>
        <v>no</v>
      </c>
    </row>
    <row r="923" spans="1:23" ht="15.75" x14ac:dyDescent="0.25">
      <c r="A923" s="20">
        <v>30</v>
      </c>
      <c r="B923" s="25">
        <v>0</v>
      </c>
      <c r="C923" s="25"/>
      <c r="D923" s="56" t="s">
        <v>284</v>
      </c>
      <c r="E923" s="66">
        <v>45056</v>
      </c>
      <c r="F923" s="323" t="s">
        <v>401</v>
      </c>
      <c r="G923" s="66">
        <v>45044</v>
      </c>
      <c r="H923" s="35" t="s">
        <v>722</v>
      </c>
      <c r="I923" s="21">
        <v>122105</v>
      </c>
      <c r="J923" s="21"/>
      <c r="K923" s="22">
        <v>23199.95</v>
      </c>
      <c r="L923" s="23"/>
      <c r="M923" s="22">
        <v>0</v>
      </c>
      <c r="N923" s="72">
        <v>0</v>
      </c>
      <c r="O923" s="22">
        <v>0</v>
      </c>
      <c r="P923" s="21">
        <v>145304.95000000001</v>
      </c>
      <c r="S923" s="101" t="b">
        <f>OR(COUNTIF(Tabla2[[#This Row],[PROVEEDOR]],"*"&amp;'Palabra no opera'!$A$2&amp;"*"))</f>
        <v>1</v>
      </c>
      <c r="T923" s="113">
        <f>+$W$5-Tabla2[[#This Row],[FECHA DE FACTURACIÓN]]</f>
        <v>278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15" t="str">
        <f>+IF(AND(Tabla2[[#This Row],[venc]]="venc",Tabla2[[#This Row],[Columna1]]="por pagar"),"vencida","no")</f>
        <v>no</v>
      </c>
    </row>
    <row r="924" spans="1:23" ht="15.75" x14ac:dyDescent="0.25">
      <c r="A924" s="20">
        <v>30</v>
      </c>
      <c r="B924" s="25">
        <v>-100999.9886</v>
      </c>
      <c r="C924" s="25"/>
      <c r="D924" s="56" t="s">
        <v>1537</v>
      </c>
      <c r="E924" s="66">
        <v>45055</v>
      </c>
      <c r="F924" s="323" t="s">
        <v>246</v>
      </c>
      <c r="G924" s="66">
        <v>45006</v>
      </c>
      <c r="H924" s="35" t="s">
        <v>743</v>
      </c>
      <c r="I924" s="21">
        <v>532437</v>
      </c>
      <c r="J924" s="21"/>
      <c r="K924" s="22">
        <v>101163.03</v>
      </c>
      <c r="L924" s="23"/>
      <c r="M924" s="22">
        <v>0</v>
      </c>
      <c r="N924" s="72">
        <v>0</v>
      </c>
      <c r="O924" s="22">
        <v>0</v>
      </c>
      <c r="P924" s="21">
        <v>633600.03</v>
      </c>
      <c r="S924" s="101" t="b">
        <f>OR(COUNTIF(Tabla2[[#This Row],[PROVEEDOR]],"*"&amp;'Palabra no opera'!$A$2&amp;"*"))</f>
        <v>0</v>
      </c>
      <c r="T924" s="113">
        <f>+$W$5-Tabla2[[#This Row],[FECHA DE FACTURACIÓN]]</f>
        <v>316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15" t="str">
        <f>+IF(AND(Tabla2[[#This Row],[venc]]="venc",Tabla2[[#This Row],[Columna1]]="por pagar"),"vencida","no")</f>
        <v>no</v>
      </c>
    </row>
    <row r="925" spans="1:23" ht="15.75" x14ac:dyDescent="0.25">
      <c r="A925" s="20">
        <v>60</v>
      </c>
      <c r="B925" s="25">
        <v>5363111.8674999997</v>
      </c>
      <c r="C925" s="25"/>
      <c r="D925" s="56" t="s">
        <v>168</v>
      </c>
      <c r="E925" s="66">
        <v>45055</v>
      </c>
      <c r="F925" s="323" t="s">
        <v>249</v>
      </c>
      <c r="G925" s="66">
        <v>45000</v>
      </c>
      <c r="H925" s="35" t="s">
        <v>654</v>
      </c>
      <c r="I925" s="21">
        <v>675630</v>
      </c>
      <c r="J925" s="21"/>
      <c r="K925" s="22">
        <v>128369.7</v>
      </c>
      <c r="L925" s="23"/>
      <c r="M925" s="22">
        <v>0</v>
      </c>
      <c r="N925" s="72">
        <v>0</v>
      </c>
      <c r="O925" s="22">
        <v>0</v>
      </c>
      <c r="P925" s="21">
        <v>803999.7</v>
      </c>
      <c r="S925" s="101" t="b">
        <f>OR(COUNTIF(Tabla2[[#This Row],[PROVEEDOR]],"*"&amp;'Palabra no opera'!$A$2&amp;"*"))</f>
        <v>0</v>
      </c>
      <c r="T925" s="113">
        <f>+$W$5-Tabla2[[#This Row],[FECHA DE FACTURACIÓN]]</f>
        <v>322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15" t="str">
        <f>+IF(AND(Tabla2[[#This Row],[venc]]="venc",Tabla2[[#This Row],[Columna1]]="por pagar"),"vencida","no")</f>
        <v>no</v>
      </c>
    </row>
    <row r="926" spans="1:23" ht="15.75" x14ac:dyDescent="0.25">
      <c r="A926" s="20">
        <v>60</v>
      </c>
      <c r="B926" s="25">
        <v>5363111.8674999997</v>
      </c>
      <c r="C926" s="25"/>
      <c r="D926" s="56" t="s">
        <v>168</v>
      </c>
      <c r="E926" s="66">
        <v>45055</v>
      </c>
      <c r="F926" s="323" t="s">
        <v>249</v>
      </c>
      <c r="G926" s="66">
        <v>44991</v>
      </c>
      <c r="H926" s="35" t="s">
        <v>661</v>
      </c>
      <c r="I926" s="21">
        <v>270588</v>
      </c>
      <c r="J926" s="21"/>
      <c r="K926" s="22">
        <v>51411.72</v>
      </c>
      <c r="L926" s="23"/>
      <c r="M926" s="22">
        <v>0</v>
      </c>
      <c r="N926" s="72">
        <v>0</v>
      </c>
      <c r="O926" s="22">
        <v>0</v>
      </c>
      <c r="P926" s="21">
        <v>321999.71999999997</v>
      </c>
      <c r="S926" s="101" t="b">
        <f>OR(COUNTIF(Tabla2[[#This Row],[PROVEEDOR]],"*"&amp;'Palabra no opera'!$A$2&amp;"*"))</f>
        <v>0</v>
      </c>
      <c r="T926" s="113">
        <f>+$W$5-Tabla2[[#This Row],[FECHA DE FACTURACIÓN]]</f>
        <v>331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15" t="str">
        <f>+IF(AND(Tabla2[[#This Row],[venc]]="venc",Tabla2[[#This Row],[Columna1]]="por pagar"),"vencida","no")</f>
        <v>no</v>
      </c>
    </row>
    <row r="927" spans="1:23" ht="15.75" x14ac:dyDescent="0.25">
      <c r="A927" s="20">
        <v>30</v>
      </c>
      <c r="B927" s="25">
        <v>0</v>
      </c>
      <c r="C927" s="25"/>
      <c r="D927" s="56" t="s">
        <v>255</v>
      </c>
      <c r="E927" s="66">
        <v>45054</v>
      </c>
      <c r="F927" s="323" t="s">
        <v>248</v>
      </c>
      <c r="G927" s="66">
        <v>45036</v>
      </c>
      <c r="H927" s="35" t="s">
        <v>782</v>
      </c>
      <c r="I927" s="21">
        <v>2649600</v>
      </c>
      <c r="J927" s="21"/>
      <c r="K927" s="22">
        <v>132480</v>
      </c>
      <c r="L927" s="23"/>
      <c r="M927" s="22">
        <v>0</v>
      </c>
      <c r="N927" s="72">
        <v>0</v>
      </c>
      <c r="O927" s="22">
        <v>0</v>
      </c>
      <c r="P927" s="21">
        <v>2782080</v>
      </c>
      <c r="S927" s="101" t="b">
        <f>OR(COUNTIF(Tabla2[[#This Row],[PROVEEDOR]],"*"&amp;'Palabra no opera'!$A$2&amp;"*"))</f>
        <v>0</v>
      </c>
      <c r="T927" s="113">
        <f>+$W$5-Tabla2[[#This Row],[FECHA DE FACTURACIÓN]]</f>
        <v>286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15" t="str">
        <f>+IF(AND(Tabla2[[#This Row],[venc]]="venc",Tabla2[[#This Row],[Columna1]]="por pagar"),"vencida","no")</f>
        <v>no</v>
      </c>
    </row>
    <row r="928" spans="1:23" ht="15.75" x14ac:dyDescent="0.25">
      <c r="A928" s="20">
        <v>30</v>
      </c>
      <c r="B928" s="25">
        <v>5134830.96</v>
      </c>
      <c r="C928" s="25"/>
      <c r="D928" s="56" t="s">
        <v>131</v>
      </c>
      <c r="E928" s="66">
        <v>45054</v>
      </c>
      <c r="F928" s="323" t="s">
        <v>20</v>
      </c>
      <c r="G928" s="66">
        <v>45016</v>
      </c>
      <c r="H928" s="35" t="s">
        <v>707</v>
      </c>
      <c r="I928" s="21">
        <v>1157730</v>
      </c>
      <c r="J928" s="21"/>
      <c r="K928" s="22">
        <v>219968.7</v>
      </c>
      <c r="L928" s="23"/>
      <c r="M928" s="22">
        <v>0</v>
      </c>
      <c r="N928" s="72">
        <v>2.5000000000000001E-2</v>
      </c>
      <c r="O928" s="22">
        <v>28943.25</v>
      </c>
      <c r="P928" s="21">
        <v>1348755.45</v>
      </c>
      <c r="S928" s="101" t="b">
        <f>OR(COUNTIF(Tabla2[[#This Row],[PROVEEDOR]],"*"&amp;'Palabra no opera'!$A$2&amp;"*"))</f>
        <v>0</v>
      </c>
      <c r="T928" s="113">
        <f>+$W$5-Tabla2[[#This Row],[FECHA DE FACTURACIÓN]]</f>
        <v>306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15" t="str">
        <f>+IF(AND(Tabla2[[#This Row],[venc]]="venc",Tabla2[[#This Row],[Columna1]]="por pagar"),"vencida","no")</f>
        <v>no</v>
      </c>
    </row>
    <row r="929" spans="1:23" ht="15.75" x14ac:dyDescent="0.25">
      <c r="A929" s="20">
        <v>30</v>
      </c>
      <c r="B929" s="25">
        <v>0</v>
      </c>
      <c r="C929" s="25"/>
      <c r="D929" s="56" t="s">
        <v>255</v>
      </c>
      <c r="E929" s="66">
        <v>45054</v>
      </c>
      <c r="F929" s="323" t="s">
        <v>248</v>
      </c>
      <c r="G929" s="66">
        <v>45012</v>
      </c>
      <c r="H929" s="35" t="s">
        <v>748</v>
      </c>
      <c r="I929" s="21">
        <v>1059280</v>
      </c>
      <c r="J929" s="21"/>
      <c r="K929" s="22">
        <v>52964</v>
      </c>
      <c r="L929" s="23"/>
      <c r="M929" s="22">
        <v>0</v>
      </c>
      <c r="N929" s="72">
        <v>0</v>
      </c>
      <c r="O929" s="22">
        <v>0</v>
      </c>
      <c r="P929" s="21">
        <v>1112244</v>
      </c>
      <c r="S929" s="101" t="b">
        <f>OR(COUNTIF(Tabla2[[#This Row],[PROVEEDOR]],"*"&amp;'Palabra no opera'!$A$2&amp;"*"))</f>
        <v>0</v>
      </c>
      <c r="T929" s="113">
        <f>+$W$5-Tabla2[[#This Row],[FECHA DE FACTURACIÓN]]</f>
        <v>310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15" t="str">
        <f>+IF(AND(Tabla2[[#This Row],[venc]]="venc",Tabla2[[#This Row],[Columna1]]="por pagar"),"vencida","no")</f>
        <v>no</v>
      </c>
    </row>
    <row r="930" spans="1:23" ht="15.75" x14ac:dyDescent="0.25">
      <c r="A930" s="20">
        <v>30</v>
      </c>
      <c r="B930" s="25">
        <v>0</v>
      </c>
      <c r="C930" s="25"/>
      <c r="D930" s="56" t="s">
        <v>255</v>
      </c>
      <c r="E930" s="66">
        <v>45054</v>
      </c>
      <c r="F930" s="323" t="s">
        <v>248</v>
      </c>
      <c r="G930" s="66">
        <v>45007</v>
      </c>
      <c r="H930" s="35" t="s">
        <v>1462</v>
      </c>
      <c r="I930" s="21">
        <v>-240000</v>
      </c>
      <c r="J930" s="21"/>
      <c r="K930" s="22">
        <v>-45600</v>
      </c>
      <c r="L930" s="23"/>
      <c r="M930" s="22">
        <v>0</v>
      </c>
      <c r="N930" s="72">
        <v>0</v>
      </c>
      <c r="O930" s="22">
        <v>0</v>
      </c>
      <c r="P930" s="21">
        <v>-285600</v>
      </c>
      <c r="S930" s="101" t="b">
        <f>OR(COUNTIF(Tabla2[[#This Row],[PROVEEDOR]],"*"&amp;'Palabra no opera'!$A$2&amp;"*"))</f>
        <v>0</v>
      </c>
      <c r="T930" s="113">
        <f>+$W$5-Tabla2[[#This Row],[FECHA DE FACTURACIÓN]]</f>
        <v>315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15" t="str">
        <f>+IF(AND(Tabla2[[#This Row],[venc]]="venc",Tabla2[[#This Row],[Columna1]]="por pagar"),"vencida","no")</f>
        <v>no</v>
      </c>
    </row>
    <row r="931" spans="1:23" ht="15.75" x14ac:dyDescent="0.25">
      <c r="A931" s="20">
        <v>30</v>
      </c>
      <c r="B931" s="25">
        <v>0</v>
      </c>
      <c r="C931" s="25"/>
      <c r="D931" s="56" t="s">
        <v>255</v>
      </c>
      <c r="E931" s="66">
        <v>45054</v>
      </c>
      <c r="F931" s="323" t="s">
        <v>248</v>
      </c>
      <c r="G931" s="66">
        <v>45007</v>
      </c>
      <c r="H931" s="35" t="s">
        <v>746</v>
      </c>
      <c r="I931" s="21">
        <v>769800</v>
      </c>
      <c r="J931" s="21"/>
      <c r="K931" s="22">
        <v>38490</v>
      </c>
      <c r="L931" s="23"/>
      <c r="M931" s="22">
        <v>0</v>
      </c>
      <c r="N931" s="72">
        <v>0</v>
      </c>
      <c r="O931" s="22">
        <v>0</v>
      </c>
      <c r="P931" s="21">
        <v>808290</v>
      </c>
      <c r="S931" s="101" t="b">
        <f>OR(COUNTIF(Tabla2[[#This Row],[PROVEEDOR]],"*"&amp;'Palabra no opera'!$A$2&amp;"*"))</f>
        <v>0</v>
      </c>
      <c r="T931" s="113">
        <f>+$W$5-Tabla2[[#This Row],[FECHA DE FACTURACIÓN]]</f>
        <v>315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15" t="str">
        <f>+IF(AND(Tabla2[[#This Row],[venc]]="venc",Tabla2[[#This Row],[Columna1]]="por pagar"),"vencida","no")</f>
        <v>no</v>
      </c>
    </row>
    <row r="932" spans="1:23" ht="15.75" x14ac:dyDescent="0.25">
      <c r="A932" s="20">
        <v>30</v>
      </c>
      <c r="B932" s="25">
        <v>5134830.96</v>
      </c>
      <c r="C932" s="25"/>
      <c r="D932" s="56" t="s">
        <v>131</v>
      </c>
      <c r="E932" s="66">
        <v>45054</v>
      </c>
      <c r="F932" s="323" t="s">
        <v>20</v>
      </c>
      <c r="G932" s="66">
        <v>45006</v>
      </c>
      <c r="H932" s="35" t="s">
        <v>695</v>
      </c>
      <c r="I932" s="21">
        <v>1745300</v>
      </c>
      <c r="J932" s="21"/>
      <c r="K932" s="22">
        <v>331607</v>
      </c>
      <c r="L932" s="23"/>
      <c r="M932" s="22">
        <v>0</v>
      </c>
      <c r="N932" s="72">
        <v>2.5000000000000001E-2</v>
      </c>
      <c r="O932" s="22">
        <v>43632.5</v>
      </c>
      <c r="P932" s="21">
        <v>2033274.5</v>
      </c>
      <c r="S932" s="101" t="b">
        <f>OR(COUNTIF(Tabla2[[#This Row],[PROVEEDOR]],"*"&amp;'Palabra no opera'!$A$2&amp;"*"))</f>
        <v>0</v>
      </c>
      <c r="T932" s="113">
        <f>+$W$5-Tabla2[[#This Row],[FECHA DE FACTURACIÓN]]</f>
        <v>316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15" t="str">
        <f>+IF(AND(Tabla2[[#This Row],[venc]]="venc",Tabla2[[#This Row],[Columna1]]="por pagar"),"vencida","no")</f>
        <v>no</v>
      </c>
    </row>
    <row r="933" spans="1:23" ht="15.75" x14ac:dyDescent="0.25">
      <c r="A933" s="20">
        <v>30</v>
      </c>
      <c r="B933" s="25">
        <v>2169355.9580000001</v>
      </c>
      <c r="C933" s="25"/>
      <c r="D933" s="56" t="s">
        <v>164</v>
      </c>
      <c r="E933" s="66">
        <v>45054</v>
      </c>
      <c r="F933" s="323" t="s">
        <v>18</v>
      </c>
      <c r="G933" s="66">
        <v>45006</v>
      </c>
      <c r="H933" s="35">
        <v>1067479</v>
      </c>
      <c r="I933" s="21">
        <v>3044342</v>
      </c>
      <c r="J933" s="21"/>
      <c r="K933" s="22">
        <v>578424.98</v>
      </c>
      <c r="L933" s="23"/>
      <c r="M933" s="22">
        <v>0</v>
      </c>
      <c r="N933" s="72">
        <v>2.5000000000000001E-2</v>
      </c>
      <c r="O933" s="22">
        <v>76108.55</v>
      </c>
      <c r="P933" s="21">
        <v>3546658.43</v>
      </c>
      <c r="S933" s="101" t="b">
        <f>OR(COUNTIF(Tabla2[[#This Row],[PROVEEDOR]],"*"&amp;'Palabra no opera'!$A$2&amp;"*"))</f>
        <v>0</v>
      </c>
      <c r="T933" s="113">
        <f>+$W$5-Tabla2[[#This Row],[FECHA DE FACTURACIÓN]]</f>
        <v>316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15" t="str">
        <f>+IF(AND(Tabla2[[#This Row],[venc]]="venc",Tabla2[[#This Row],[Columna1]]="por pagar"),"vencida","no")</f>
        <v>no</v>
      </c>
    </row>
    <row r="934" spans="1:23" ht="15.75" x14ac:dyDescent="0.25">
      <c r="A934" s="20">
        <v>30</v>
      </c>
      <c r="B934" s="25">
        <v>6857153.040000001</v>
      </c>
      <c r="C934" s="25"/>
      <c r="D934" s="56" t="s">
        <v>309</v>
      </c>
      <c r="E934" s="66">
        <v>45054</v>
      </c>
      <c r="F934" s="323" t="s">
        <v>254</v>
      </c>
      <c r="G934" s="66">
        <v>45006</v>
      </c>
      <c r="H934" s="35" t="s">
        <v>742</v>
      </c>
      <c r="I934" s="21">
        <v>659490</v>
      </c>
      <c r="J934" s="21"/>
      <c r="K934" s="22">
        <v>125303.1</v>
      </c>
      <c r="L934" s="23"/>
      <c r="M934" s="22">
        <v>0</v>
      </c>
      <c r="N934" s="72">
        <v>0</v>
      </c>
      <c r="O934" s="22">
        <v>0</v>
      </c>
      <c r="P934" s="21">
        <v>784793.1</v>
      </c>
      <c r="S934" s="101" t="b">
        <f>OR(COUNTIF(Tabla2[[#This Row],[PROVEEDOR]],"*"&amp;'Palabra no opera'!$A$2&amp;"*"))</f>
        <v>0</v>
      </c>
      <c r="T934" s="113">
        <f>+$W$5-Tabla2[[#This Row],[FECHA DE FACTURACIÓN]]</f>
        <v>316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15" t="str">
        <f>+IF(AND(Tabla2[[#This Row],[venc]]="venc",Tabla2[[#This Row],[Columna1]]="por pagar"),"vencida","no")</f>
        <v>no</v>
      </c>
    </row>
    <row r="935" spans="1:23" ht="15.75" x14ac:dyDescent="0.25">
      <c r="A935" s="20">
        <v>30</v>
      </c>
      <c r="B935" s="25">
        <v>6857153.040000001</v>
      </c>
      <c r="C935" s="25"/>
      <c r="D935" s="56" t="s">
        <v>309</v>
      </c>
      <c r="E935" s="66">
        <v>45054</v>
      </c>
      <c r="F935" s="323" t="s">
        <v>254</v>
      </c>
      <c r="G935" s="66">
        <v>44992</v>
      </c>
      <c r="H935" s="35" t="s">
        <v>658</v>
      </c>
      <c r="I935" s="21">
        <v>2463004</v>
      </c>
      <c r="J935" s="21"/>
      <c r="K935" s="22">
        <v>467970.76</v>
      </c>
      <c r="L935" s="23"/>
      <c r="M935" s="22">
        <v>0</v>
      </c>
      <c r="N935" s="72">
        <v>2.5000000000000001E-2</v>
      </c>
      <c r="O935" s="22">
        <v>61575.100000000006</v>
      </c>
      <c r="P935" s="21">
        <v>2869399.6599999997</v>
      </c>
      <c r="S935" s="101" t="b">
        <f>OR(COUNTIF(Tabla2[[#This Row],[PROVEEDOR]],"*"&amp;'Palabra no opera'!$A$2&amp;"*"))</f>
        <v>0</v>
      </c>
      <c r="T935" s="113">
        <f>+$W$5-Tabla2[[#This Row],[FECHA DE FACTURACIÓN]]</f>
        <v>330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15" t="str">
        <f>+IF(AND(Tabla2[[#This Row],[venc]]="venc",Tabla2[[#This Row],[Columna1]]="por pagar"),"vencida","no")</f>
        <v>no</v>
      </c>
    </row>
    <row r="936" spans="1:23" ht="15.75" x14ac:dyDescent="0.25">
      <c r="A936" s="20">
        <v>30</v>
      </c>
      <c r="B936" s="25">
        <v>0</v>
      </c>
      <c r="C936" s="25"/>
      <c r="D936" s="56" t="s">
        <v>448</v>
      </c>
      <c r="E936" s="66">
        <v>45052</v>
      </c>
      <c r="F936" s="323" t="s">
        <v>804</v>
      </c>
      <c r="G936" s="66">
        <v>45044</v>
      </c>
      <c r="H936" s="35" t="s">
        <v>805</v>
      </c>
      <c r="I936" s="21">
        <v>800000</v>
      </c>
      <c r="J936" s="21"/>
      <c r="K936" s="22">
        <v>152000</v>
      </c>
      <c r="L936" s="23"/>
      <c r="M936" s="22">
        <v>0</v>
      </c>
      <c r="N936" s="72">
        <v>0</v>
      </c>
      <c r="O936" s="22">
        <v>0</v>
      </c>
      <c r="P936" s="21">
        <v>952000</v>
      </c>
      <c r="S936" s="101" t="b">
        <f>OR(COUNTIF(Tabla2[[#This Row],[PROVEEDOR]],"*"&amp;'Palabra no opera'!$A$2&amp;"*"))</f>
        <v>0</v>
      </c>
      <c r="T936" s="113">
        <f>+$W$5-Tabla2[[#This Row],[FECHA DE FACTURACIÓN]]</f>
        <v>278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15" t="str">
        <f>+IF(AND(Tabla2[[#This Row],[venc]]="venc",Tabla2[[#This Row],[Columna1]]="por pagar"),"vencida","no")</f>
        <v>no</v>
      </c>
    </row>
    <row r="937" spans="1:23" ht="15.75" x14ac:dyDescent="0.25">
      <c r="A937" s="20">
        <v>45</v>
      </c>
      <c r="B937" s="25">
        <v>3074500</v>
      </c>
      <c r="C937" s="25"/>
      <c r="D937" s="56" t="s">
        <v>645</v>
      </c>
      <c r="E937" s="66">
        <v>45051</v>
      </c>
      <c r="F937" s="323" t="s">
        <v>252</v>
      </c>
      <c r="G937" s="66">
        <v>45046</v>
      </c>
      <c r="H937" s="35">
        <v>1668</v>
      </c>
      <c r="I937" s="21">
        <v>1880000</v>
      </c>
      <c r="J937" s="21"/>
      <c r="K937" s="22">
        <v>0</v>
      </c>
      <c r="L937" s="23"/>
      <c r="M937" s="22">
        <v>0</v>
      </c>
      <c r="N937" s="72">
        <v>0</v>
      </c>
      <c r="O937" s="22">
        <v>0</v>
      </c>
      <c r="P937" s="21">
        <v>1880000</v>
      </c>
      <c r="S937" s="101" t="b">
        <f>OR(COUNTIF(Tabla2[[#This Row],[PROVEEDOR]],"*"&amp;'Palabra no opera'!$A$2&amp;"*"))</f>
        <v>0</v>
      </c>
      <c r="T937" s="113">
        <f>+$W$5-Tabla2[[#This Row],[FECHA DE FACTURACIÓN]]</f>
        <v>276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15" t="str">
        <f>+IF(AND(Tabla2[[#This Row],[venc]]="venc",Tabla2[[#This Row],[Columna1]]="por pagar"),"vencida","no")</f>
        <v>no</v>
      </c>
    </row>
    <row r="938" spans="1:23" ht="15.75" x14ac:dyDescent="0.25">
      <c r="A938" s="20">
        <v>45</v>
      </c>
      <c r="B938" s="25">
        <v>3074500</v>
      </c>
      <c r="C938" s="25"/>
      <c r="D938" s="56" t="s">
        <v>645</v>
      </c>
      <c r="E938" s="66">
        <v>45051</v>
      </c>
      <c r="F938" s="323" t="s">
        <v>252</v>
      </c>
      <c r="G938" s="66">
        <v>45044</v>
      </c>
      <c r="H938" s="35">
        <v>1666</v>
      </c>
      <c r="I938" s="21">
        <v>3125500</v>
      </c>
      <c r="J938" s="21"/>
      <c r="K938" s="22">
        <v>0</v>
      </c>
      <c r="L938" s="23"/>
      <c r="M938" s="22">
        <v>0</v>
      </c>
      <c r="N938" s="72">
        <v>0</v>
      </c>
      <c r="O938" s="22">
        <v>0</v>
      </c>
      <c r="P938" s="21">
        <v>3125500</v>
      </c>
      <c r="S938" s="101" t="b">
        <f>OR(COUNTIF(Tabla2[[#This Row],[PROVEEDOR]],"*"&amp;'Palabra no opera'!$A$2&amp;"*"))</f>
        <v>0</v>
      </c>
      <c r="T938" s="113">
        <f>+$W$5-Tabla2[[#This Row],[FECHA DE FACTURACIÓN]]</f>
        <v>278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15" t="str">
        <f>+IF(AND(Tabla2[[#This Row],[venc]]="venc",Tabla2[[#This Row],[Columna1]]="por pagar"),"vencida","no")</f>
        <v>no</v>
      </c>
    </row>
    <row r="939" spans="1:23" ht="15.75" x14ac:dyDescent="0.25">
      <c r="A939" s="20">
        <v>60</v>
      </c>
      <c r="B939" s="25">
        <v>3708614</v>
      </c>
      <c r="C939" s="25"/>
      <c r="D939" s="56" t="s">
        <v>645</v>
      </c>
      <c r="E939" s="66">
        <v>45051</v>
      </c>
      <c r="F939" s="323" t="s">
        <v>250</v>
      </c>
      <c r="G939" s="66">
        <v>45037</v>
      </c>
      <c r="H939" s="35">
        <v>1662</v>
      </c>
      <c r="I939" s="21">
        <v>188200</v>
      </c>
      <c r="J939" s="21"/>
      <c r="K939" s="22">
        <v>0</v>
      </c>
      <c r="L939" s="23"/>
      <c r="M939" s="22">
        <v>0</v>
      </c>
      <c r="N939" s="72">
        <v>0</v>
      </c>
      <c r="O939" s="22">
        <v>0</v>
      </c>
      <c r="P939" s="21">
        <v>188200</v>
      </c>
      <c r="S939" s="101" t="b">
        <f>OR(COUNTIF(Tabla2[[#This Row],[PROVEEDOR]],"*"&amp;'Palabra no opera'!$A$2&amp;"*"))</f>
        <v>0</v>
      </c>
      <c r="T939" s="113">
        <f>+$W$5-Tabla2[[#This Row],[FECHA DE FACTURACIÓN]]</f>
        <v>285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15" t="str">
        <f>+IF(AND(Tabla2[[#This Row],[venc]]="venc",Tabla2[[#This Row],[Columna1]]="por pagar"),"vencida","no")</f>
        <v>no</v>
      </c>
    </row>
    <row r="940" spans="1:23" ht="15.75" x14ac:dyDescent="0.25">
      <c r="A940" s="20">
        <v>60</v>
      </c>
      <c r="B940" s="25">
        <v>3708614</v>
      </c>
      <c r="C940" s="25"/>
      <c r="D940" s="56" t="s">
        <v>645</v>
      </c>
      <c r="E940" s="66">
        <v>45051</v>
      </c>
      <c r="F940" s="323" t="s">
        <v>250</v>
      </c>
      <c r="G940" s="66">
        <v>45037</v>
      </c>
      <c r="H940" s="35">
        <v>1663</v>
      </c>
      <c r="I940" s="21">
        <v>188200</v>
      </c>
      <c r="J940" s="21"/>
      <c r="K940" s="22">
        <v>0</v>
      </c>
      <c r="L940" s="23"/>
      <c r="M940" s="22">
        <v>0</v>
      </c>
      <c r="N940" s="72">
        <v>0</v>
      </c>
      <c r="O940" s="22">
        <v>0</v>
      </c>
      <c r="P940" s="21">
        <v>188200</v>
      </c>
      <c r="S940" s="101" t="b">
        <f>OR(COUNTIF(Tabla2[[#This Row],[PROVEEDOR]],"*"&amp;'Palabra no opera'!$A$2&amp;"*"))</f>
        <v>0</v>
      </c>
      <c r="T940" s="113">
        <f>+$W$5-Tabla2[[#This Row],[FECHA DE FACTURACIÓN]]</f>
        <v>285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15" t="str">
        <f>+IF(AND(Tabla2[[#This Row],[venc]]="venc",Tabla2[[#This Row],[Columna1]]="por pagar"),"vencida","no")</f>
        <v>no</v>
      </c>
    </row>
    <row r="941" spans="1:23" ht="15.75" x14ac:dyDescent="0.25">
      <c r="A941" s="20">
        <v>60</v>
      </c>
      <c r="B941" s="25">
        <v>3708614</v>
      </c>
      <c r="C941" s="25"/>
      <c r="D941" s="56" t="s">
        <v>645</v>
      </c>
      <c r="E941" s="66">
        <v>45051</v>
      </c>
      <c r="F941" s="323" t="s">
        <v>250</v>
      </c>
      <c r="G941" s="66">
        <v>45022</v>
      </c>
      <c r="H941" s="35">
        <v>1649</v>
      </c>
      <c r="I941" s="21">
        <v>319600</v>
      </c>
      <c r="J941" s="21"/>
      <c r="K941" s="22">
        <v>0</v>
      </c>
      <c r="L941" s="23"/>
      <c r="M941" s="22">
        <v>0</v>
      </c>
      <c r="N941" s="72">
        <v>0</v>
      </c>
      <c r="O941" s="22">
        <v>0</v>
      </c>
      <c r="P941" s="21">
        <v>319600</v>
      </c>
      <c r="S941" s="101" t="b">
        <f>OR(COUNTIF(Tabla2[[#This Row],[PROVEEDOR]],"*"&amp;'Palabra no opera'!$A$2&amp;"*"))</f>
        <v>0</v>
      </c>
      <c r="T941" s="113">
        <f>+$W$5-Tabla2[[#This Row],[FECHA DE FACTURACIÓN]]</f>
        <v>300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15" t="str">
        <f>+IF(AND(Tabla2[[#This Row],[venc]]="venc",Tabla2[[#This Row],[Columna1]]="por pagar"),"vencida","no")</f>
        <v>no</v>
      </c>
    </row>
    <row r="942" spans="1:23" ht="15.75" x14ac:dyDescent="0.25">
      <c r="A942" s="20">
        <v>60</v>
      </c>
      <c r="B942" s="25">
        <v>3708614</v>
      </c>
      <c r="C942" s="25"/>
      <c r="D942" s="56" t="s">
        <v>645</v>
      </c>
      <c r="E942" s="66">
        <v>45051</v>
      </c>
      <c r="F942" s="323" t="s">
        <v>250</v>
      </c>
      <c r="G942" s="66">
        <v>45022</v>
      </c>
      <c r="H942" s="35">
        <v>1650</v>
      </c>
      <c r="I942" s="21">
        <v>338400</v>
      </c>
      <c r="J942" s="21"/>
      <c r="K942" s="22">
        <v>0</v>
      </c>
      <c r="L942" s="23"/>
      <c r="M942" s="22">
        <v>0</v>
      </c>
      <c r="N942" s="72">
        <v>0</v>
      </c>
      <c r="O942" s="22">
        <v>0</v>
      </c>
      <c r="P942" s="21">
        <v>338400</v>
      </c>
      <c r="S942" s="101" t="b">
        <f>OR(COUNTIF(Tabla2[[#This Row],[PROVEEDOR]],"*"&amp;'Palabra no opera'!$A$2&amp;"*"))</f>
        <v>0</v>
      </c>
      <c r="T942" s="113">
        <f>+$W$5-Tabla2[[#This Row],[FECHA DE FACTURACIÓN]]</f>
        <v>300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15" t="str">
        <f>+IF(AND(Tabla2[[#This Row],[venc]]="venc",Tabla2[[#This Row],[Columna1]]="por pagar"),"vencida","no")</f>
        <v>no</v>
      </c>
    </row>
    <row r="943" spans="1:23" ht="15.75" x14ac:dyDescent="0.25">
      <c r="A943" s="20">
        <v>60</v>
      </c>
      <c r="B943" s="25">
        <v>3708614</v>
      </c>
      <c r="C943" s="25"/>
      <c r="D943" s="56" t="s">
        <v>645</v>
      </c>
      <c r="E943" s="66">
        <v>45051</v>
      </c>
      <c r="F943" s="323" t="s">
        <v>250</v>
      </c>
      <c r="G943" s="66">
        <v>45022</v>
      </c>
      <c r="H943" s="35">
        <v>1651</v>
      </c>
      <c r="I943" s="21">
        <v>755290</v>
      </c>
      <c r="J943" s="21"/>
      <c r="K943" s="22">
        <v>0</v>
      </c>
      <c r="L943" s="23"/>
      <c r="M943" s="22">
        <v>0</v>
      </c>
      <c r="N943" s="72">
        <v>0</v>
      </c>
      <c r="O943" s="22">
        <v>0</v>
      </c>
      <c r="P943" s="21">
        <v>755290</v>
      </c>
      <c r="S943" s="101" t="b">
        <f>OR(COUNTIF(Tabla2[[#This Row],[PROVEEDOR]],"*"&amp;'Palabra no opera'!$A$2&amp;"*"))</f>
        <v>0</v>
      </c>
      <c r="T943" s="113">
        <f>+$W$5-Tabla2[[#This Row],[FECHA DE FACTURACIÓN]]</f>
        <v>300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15" t="str">
        <f>+IF(AND(Tabla2[[#This Row],[venc]]="venc",Tabla2[[#This Row],[Columna1]]="por pagar"),"vencida","no")</f>
        <v>no</v>
      </c>
    </row>
    <row r="944" spans="1:23" ht="15.75" x14ac:dyDescent="0.25">
      <c r="A944" s="20">
        <v>60</v>
      </c>
      <c r="B944" s="25">
        <v>3708614</v>
      </c>
      <c r="C944" s="25"/>
      <c r="D944" s="56" t="s">
        <v>645</v>
      </c>
      <c r="E944" s="66">
        <v>45051</v>
      </c>
      <c r="F944" s="323" t="s">
        <v>250</v>
      </c>
      <c r="G944" s="66">
        <v>45017</v>
      </c>
      <c r="H944" s="35" t="s">
        <v>722</v>
      </c>
      <c r="I944" s="21">
        <v>169670</v>
      </c>
      <c r="J944" s="21"/>
      <c r="K944" s="22">
        <v>0</v>
      </c>
      <c r="L944" s="23"/>
      <c r="M944" s="22">
        <v>0</v>
      </c>
      <c r="N944" s="72">
        <v>0</v>
      </c>
      <c r="O944" s="22">
        <v>0</v>
      </c>
      <c r="P944" s="21">
        <v>169670</v>
      </c>
      <c r="S944" s="101" t="b">
        <f>OR(COUNTIF(Tabla2[[#This Row],[PROVEEDOR]],"*"&amp;'Palabra no opera'!$A$2&amp;"*"))</f>
        <v>0</v>
      </c>
      <c r="T944" s="113">
        <f>+$W$5-Tabla2[[#This Row],[FECHA DE FACTURACIÓN]]</f>
        <v>305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15" t="str">
        <f>+IF(AND(Tabla2[[#This Row],[venc]]="venc",Tabla2[[#This Row],[Columna1]]="por pagar"),"vencida","no")</f>
        <v>no</v>
      </c>
    </row>
    <row r="945" spans="1:23" ht="15.75" x14ac:dyDescent="0.25">
      <c r="A945" s="20">
        <v>45</v>
      </c>
      <c r="B945" s="25">
        <v>3074500</v>
      </c>
      <c r="C945" s="25"/>
      <c r="D945" s="56" t="s">
        <v>645</v>
      </c>
      <c r="E945" s="66">
        <v>45051</v>
      </c>
      <c r="F945" s="323" t="s">
        <v>252</v>
      </c>
      <c r="G945" s="66">
        <v>45017</v>
      </c>
      <c r="H945" s="35">
        <v>1647</v>
      </c>
      <c r="I945" s="21">
        <v>1853680</v>
      </c>
      <c r="J945" s="21"/>
      <c r="K945" s="22">
        <v>0</v>
      </c>
      <c r="L945" s="23"/>
      <c r="M945" s="22">
        <v>0</v>
      </c>
      <c r="N945" s="72">
        <v>0</v>
      </c>
      <c r="O945" s="22">
        <v>0</v>
      </c>
      <c r="P945" s="21">
        <v>1853680</v>
      </c>
      <c r="S945" s="101" t="b">
        <f>OR(COUNTIF(Tabla2[[#This Row],[PROVEEDOR]],"*"&amp;'Palabra no opera'!$A$2&amp;"*"))</f>
        <v>0</v>
      </c>
      <c r="T945" s="113">
        <f>+$W$5-Tabla2[[#This Row],[FECHA DE FACTURACIÓN]]</f>
        <v>305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15" t="str">
        <f>+IF(AND(Tabla2[[#This Row],[venc]]="venc",Tabla2[[#This Row],[Columna1]]="por pagar"),"vencida","no")</f>
        <v>no</v>
      </c>
    </row>
    <row r="946" spans="1:23" ht="15.75" x14ac:dyDescent="0.25">
      <c r="A946" s="20">
        <v>30</v>
      </c>
      <c r="B946" s="25">
        <v>0</v>
      </c>
      <c r="C946" s="25"/>
      <c r="D946" s="56" t="s">
        <v>1561</v>
      </c>
      <c r="E946" s="66">
        <v>45049</v>
      </c>
      <c r="F946" s="323" t="s">
        <v>203</v>
      </c>
      <c r="G946" s="66">
        <v>45049</v>
      </c>
      <c r="H946" s="35" t="s">
        <v>834</v>
      </c>
      <c r="I946" s="21">
        <v>1740000</v>
      </c>
      <c r="J946" s="21"/>
      <c r="K946" s="22">
        <v>0</v>
      </c>
      <c r="L946" s="23"/>
      <c r="M946" s="22">
        <v>0</v>
      </c>
      <c r="N946" s="72">
        <v>0</v>
      </c>
      <c r="O946" s="22">
        <v>0</v>
      </c>
      <c r="P946" s="21">
        <v>1740000</v>
      </c>
      <c r="S946" s="101" t="b">
        <f>OR(COUNTIF(Tabla2[[#This Row],[PROVEEDOR]],"*"&amp;'Palabra no opera'!$A$2&amp;"*"))</f>
        <v>0</v>
      </c>
      <c r="T946" s="113">
        <f>+$W$5-Tabla2[[#This Row],[FECHA DE FACTURACIÓN]]</f>
        <v>273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15" t="str">
        <f>+IF(AND(Tabla2[[#This Row],[venc]]="venc",Tabla2[[#This Row],[Columna1]]="por pagar"),"vencida","no")</f>
        <v>no</v>
      </c>
    </row>
    <row r="947" spans="1:23" ht="15.75" x14ac:dyDescent="0.25">
      <c r="A947" s="20">
        <v>30</v>
      </c>
      <c r="B947" s="25">
        <v>5972000</v>
      </c>
      <c r="C947" s="25"/>
      <c r="D947" s="56">
        <v>0</v>
      </c>
      <c r="E947" s="66">
        <v>45049</v>
      </c>
      <c r="F947" s="323" t="s">
        <v>512</v>
      </c>
      <c r="G947" s="66">
        <v>45013</v>
      </c>
      <c r="H947" s="35">
        <v>10379</v>
      </c>
      <c r="I947" s="21">
        <v>525000</v>
      </c>
      <c r="J947" s="21"/>
      <c r="K947" s="22">
        <v>0</v>
      </c>
      <c r="L947" s="23"/>
      <c r="M947" s="22">
        <v>0</v>
      </c>
      <c r="N947" s="72">
        <v>0</v>
      </c>
      <c r="O947" s="22">
        <v>0</v>
      </c>
      <c r="P947" s="21">
        <v>525000</v>
      </c>
      <c r="S947" s="101" t="b">
        <f>OR(COUNTIF(Tabla2[[#This Row],[PROVEEDOR]],"*"&amp;'Palabra no opera'!$A$2&amp;"*"))</f>
        <v>0</v>
      </c>
      <c r="T947" s="113">
        <f>+$W$5-Tabla2[[#This Row],[FECHA DE FACTURACIÓN]]</f>
        <v>309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15" t="str">
        <f>+IF(AND(Tabla2[[#This Row],[venc]]="venc",Tabla2[[#This Row],[Columna1]]="por pagar"),"vencida","no")</f>
        <v>no</v>
      </c>
    </row>
    <row r="948" spans="1:23" ht="15.75" x14ac:dyDescent="0.25">
      <c r="A948" s="20">
        <v>30</v>
      </c>
      <c r="B948" s="25">
        <v>406756</v>
      </c>
      <c r="C948" s="25"/>
      <c r="D948" s="56" t="s">
        <v>104</v>
      </c>
      <c r="E948" s="66">
        <v>45049</v>
      </c>
      <c r="F948" s="323" t="s">
        <v>315</v>
      </c>
      <c r="G948" s="66">
        <v>45013</v>
      </c>
      <c r="H948" s="35">
        <v>43</v>
      </c>
      <c r="I948" s="21">
        <v>226000</v>
      </c>
      <c r="J948" s="21"/>
      <c r="K948" s="22">
        <v>0</v>
      </c>
      <c r="L948" s="23"/>
      <c r="M948" s="22">
        <v>0</v>
      </c>
      <c r="N948" s="72">
        <v>0</v>
      </c>
      <c r="O948" s="22">
        <v>0</v>
      </c>
      <c r="P948" s="21">
        <v>226000</v>
      </c>
      <c r="S948" s="101" t="b">
        <f>OR(COUNTIF(Tabla2[[#This Row],[PROVEEDOR]],"*"&amp;'Palabra no opera'!$A$2&amp;"*"))</f>
        <v>0</v>
      </c>
      <c r="T948" s="113">
        <f>+$W$5-Tabla2[[#This Row],[FECHA DE FACTURACIÓN]]</f>
        <v>309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15" t="str">
        <f>+IF(AND(Tabla2[[#This Row],[venc]]="venc",Tabla2[[#This Row],[Columna1]]="por pagar"),"vencida","no")</f>
        <v>no</v>
      </c>
    </row>
    <row r="949" spans="1:23" ht="15.75" x14ac:dyDescent="0.25">
      <c r="A949" s="20">
        <v>30</v>
      </c>
      <c r="B949" s="25">
        <v>1500000</v>
      </c>
      <c r="C949" s="25"/>
      <c r="D949" s="56" t="s">
        <v>104</v>
      </c>
      <c r="E949" s="66">
        <v>45049</v>
      </c>
      <c r="F949" s="323" t="s">
        <v>273</v>
      </c>
      <c r="G949" s="66">
        <v>45008</v>
      </c>
      <c r="H949" s="35" t="s">
        <v>701</v>
      </c>
      <c r="I949" s="21">
        <v>4835000</v>
      </c>
      <c r="J949" s="21"/>
      <c r="K949" s="22">
        <v>0</v>
      </c>
      <c r="L949" s="23"/>
      <c r="M949" s="22">
        <v>0</v>
      </c>
      <c r="N949" s="72">
        <v>0</v>
      </c>
      <c r="O949" s="22">
        <v>0</v>
      </c>
      <c r="P949" s="21">
        <v>4835000</v>
      </c>
      <c r="S949" s="101" t="b">
        <f>OR(COUNTIF(Tabla2[[#This Row],[PROVEEDOR]],"*"&amp;'Palabra no opera'!$A$2&amp;"*"))</f>
        <v>0</v>
      </c>
      <c r="T949" s="113">
        <f>+$W$5-Tabla2[[#This Row],[FECHA DE FACTURACIÓN]]</f>
        <v>314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15" t="str">
        <f>+IF(AND(Tabla2[[#This Row],[venc]]="venc",Tabla2[[#This Row],[Columna1]]="por pagar"),"vencida","no")</f>
        <v>no</v>
      </c>
    </row>
    <row r="950" spans="1:23" ht="15.75" x14ac:dyDescent="0.25">
      <c r="A950" s="20">
        <v>30</v>
      </c>
      <c r="B950" s="25">
        <v>406756</v>
      </c>
      <c r="C950" s="25"/>
      <c r="D950" s="56" t="s">
        <v>104</v>
      </c>
      <c r="E950" s="66">
        <v>45049</v>
      </c>
      <c r="F950" s="323" t="s">
        <v>315</v>
      </c>
      <c r="G950" s="66">
        <v>44999</v>
      </c>
      <c r="H950" s="35">
        <v>42</v>
      </c>
      <c r="I950" s="21">
        <v>86000</v>
      </c>
      <c r="J950" s="21"/>
      <c r="K950" s="22">
        <v>0</v>
      </c>
      <c r="L950" s="23"/>
      <c r="M950" s="22">
        <v>0</v>
      </c>
      <c r="N950" s="72">
        <v>0</v>
      </c>
      <c r="O950" s="22">
        <v>0</v>
      </c>
      <c r="P950" s="21">
        <v>86000</v>
      </c>
      <c r="S950" s="101" t="b">
        <f>OR(COUNTIF(Tabla2[[#This Row],[PROVEEDOR]],"*"&amp;'Palabra no opera'!$A$2&amp;"*"))</f>
        <v>0</v>
      </c>
      <c r="T950" s="113">
        <f>+$W$5-Tabla2[[#This Row],[FECHA DE FACTURACIÓN]]</f>
        <v>323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15" t="str">
        <f>+IF(AND(Tabla2[[#This Row],[venc]]="venc",Tabla2[[#This Row],[Columna1]]="por pagar"),"vencida","no")</f>
        <v>no</v>
      </c>
    </row>
    <row r="951" spans="1:23" ht="15.75" x14ac:dyDescent="0.25">
      <c r="A951" s="20">
        <v>30</v>
      </c>
      <c r="B951" s="25">
        <v>406756</v>
      </c>
      <c r="C951" s="25"/>
      <c r="D951" s="56" t="s">
        <v>104</v>
      </c>
      <c r="E951" s="66">
        <v>45049</v>
      </c>
      <c r="F951" s="323" t="s">
        <v>315</v>
      </c>
      <c r="G951" s="66">
        <v>44993</v>
      </c>
      <c r="H951" s="35">
        <v>41</v>
      </c>
      <c r="I951" s="21">
        <v>468000</v>
      </c>
      <c r="J951" s="21"/>
      <c r="K951" s="22">
        <v>0</v>
      </c>
      <c r="L951" s="23"/>
      <c r="M951" s="22">
        <v>0</v>
      </c>
      <c r="N951" s="72">
        <v>0</v>
      </c>
      <c r="O951" s="22">
        <v>0</v>
      </c>
      <c r="P951" s="21">
        <v>468000</v>
      </c>
      <c r="S951" s="101" t="b">
        <f>OR(COUNTIF(Tabla2[[#This Row],[PROVEEDOR]],"*"&amp;'Palabra no opera'!$A$2&amp;"*"))</f>
        <v>0</v>
      </c>
      <c r="T951" s="113">
        <f>+$W$5-Tabla2[[#This Row],[FECHA DE FACTURACIÓN]]</f>
        <v>329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15" t="str">
        <f>+IF(AND(Tabla2[[#This Row],[venc]]="venc",Tabla2[[#This Row],[Columna1]]="por pagar"),"vencida","no")</f>
        <v>no</v>
      </c>
    </row>
    <row r="952" spans="1:23" ht="15.75" x14ac:dyDescent="0.25">
      <c r="A952" s="20">
        <v>30</v>
      </c>
      <c r="B952" s="25">
        <v>406756</v>
      </c>
      <c r="C952" s="25"/>
      <c r="D952" s="56" t="s">
        <v>104</v>
      </c>
      <c r="E952" s="66">
        <v>45049</v>
      </c>
      <c r="F952" s="323" t="s">
        <v>315</v>
      </c>
      <c r="G952" s="66">
        <v>44985</v>
      </c>
      <c r="H952" s="35">
        <v>40</v>
      </c>
      <c r="I952" s="21">
        <v>113000</v>
      </c>
      <c r="J952" s="21"/>
      <c r="K952" s="22">
        <v>0</v>
      </c>
      <c r="L952" s="23"/>
      <c r="M952" s="22">
        <v>0</v>
      </c>
      <c r="N952" s="72">
        <v>0</v>
      </c>
      <c r="O952" s="22">
        <v>0</v>
      </c>
      <c r="P952" s="21">
        <v>113000</v>
      </c>
      <c r="S952" s="101" t="b">
        <f>OR(COUNTIF(Tabla2[[#This Row],[PROVEEDOR]],"*"&amp;'Palabra no opera'!$A$2&amp;"*"))</f>
        <v>0</v>
      </c>
      <c r="T952" s="113">
        <f>+$W$5-Tabla2[[#This Row],[FECHA DE FACTURACIÓN]]</f>
        <v>337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15" t="str">
        <f>+IF(AND(Tabla2[[#This Row],[venc]]="venc",Tabla2[[#This Row],[Columna1]]="por pagar"),"vencida","no")</f>
        <v>no</v>
      </c>
    </row>
    <row r="953" spans="1:23" ht="15.75" x14ac:dyDescent="0.25">
      <c r="A953" s="20">
        <v>30</v>
      </c>
      <c r="B953" s="25">
        <v>406756</v>
      </c>
      <c r="C953" s="25"/>
      <c r="D953" s="56" t="s">
        <v>104</v>
      </c>
      <c r="E953" s="66">
        <v>45049</v>
      </c>
      <c r="F953" s="323" t="s">
        <v>315</v>
      </c>
      <c r="G953" s="66">
        <v>44982</v>
      </c>
      <c r="H953" s="35">
        <v>39</v>
      </c>
      <c r="I953" s="21">
        <v>26600</v>
      </c>
      <c r="J953" s="21"/>
      <c r="K953" s="22">
        <v>0</v>
      </c>
      <c r="L953" s="23"/>
      <c r="M953" s="22">
        <v>0</v>
      </c>
      <c r="N953" s="72">
        <v>0</v>
      </c>
      <c r="O953" s="22">
        <v>0</v>
      </c>
      <c r="P953" s="21">
        <v>26600</v>
      </c>
      <c r="S953" s="101" t="b">
        <f>OR(COUNTIF(Tabla2[[#This Row],[PROVEEDOR]],"*"&amp;'Palabra no opera'!$A$2&amp;"*"))</f>
        <v>0</v>
      </c>
      <c r="T953" s="113">
        <f>+$W$5-Tabla2[[#This Row],[FECHA DE FACTURACIÓN]]</f>
        <v>340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15" t="str">
        <f>+IF(AND(Tabla2[[#This Row],[venc]]="venc",Tabla2[[#This Row],[Columna1]]="por pagar"),"vencida","no")</f>
        <v>no</v>
      </c>
    </row>
    <row r="954" spans="1:23" ht="15.75" x14ac:dyDescent="0.25">
      <c r="A954" s="20">
        <v>30</v>
      </c>
      <c r="B954" s="25">
        <v>406756</v>
      </c>
      <c r="C954" s="25"/>
      <c r="D954" s="56" t="s">
        <v>104</v>
      </c>
      <c r="E954" s="66">
        <v>45049</v>
      </c>
      <c r="F954" s="323" t="s">
        <v>315</v>
      </c>
      <c r="G954" s="66">
        <v>44978</v>
      </c>
      <c r="H954" s="35">
        <v>38</v>
      </c>
      <c r="I954" s="21">
        <v>102000</v>
      </c>
      <c r="J954" s="21"/>
      <c r="K954" s="22">
        <v>0</v>
      </c>
      <c r="L954" s="23"/>
      <c r="M954" s="22">
        <v>0</v>
      </c>
      <c r="N954" s="72">
        <v>0</v>
      </c>
      <c r="O954" s="22">
        <v>0</v>
      </c>
      <c r="P954" s="21">
        <v>102000</v>
      </c>
      <c r="S954" s="101" t="b">
        <f>OR(COUNTIF(Tabla2[[#This Row],[PROVEEDOR]],"*"&amp;'Palabra no opera'!$A$2&amp;"*"))</f>
        <v>0</v>
      </c>
      <c r="T954" s="113">
        <f>+$W$5-Tabla2[[#This Row],[FECHA DE FACTURACIÓN]]</f>
        <v>344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15" t="str">
        <f>+IF(AND(Tabla2[[#This Row],[venc]]="venc",Tabla2[[#This Row],[Columna1]]="por pagar"),"vencida","no")</f>
        <v>no</v>
      </c>
    </row>
    <row r="955" spans="1:23" ht="15.75" x14ac:dyDescent="0.25">
      <c r="A955" s="20">
        <v>30</v>
      </c>
      <c r="B955" s="25">
        <v>406756</v>
      </c>
      <c r="C955" s="25"/>
      <c r="D955" s="56" t="s">
        <v>104</v>
      </c>
      <c r="E955" s="66">
        <v>45049</v>
      </c>
      <c r="F955" s="323" t="s">
        <v>315</v>
      </c>
      <c r="G955" s="66">
        <v>44975</v>
      </c>
      <c r="H955" s="35">
        <v>37</v>
      </c>
      <c r="I955" s="21">
        <v>78000</v>
      </c>
      <c r="J955" s="21"/>
      <c r="K955" s="22">
        <v>0</v>
      </c>
      <c r="L955" s="23"/>
      <c r="M955" s="22">
        <v>0</v>
      </c>
      <c r="N955" s="72">
        <v>0</v>
      </c>
      <c r="O955" s="22">
        <v>0</v>
      </c>
      <c r="P955" s="21">
        <v>78000</v>
      </c>
      <c r="S955" s="101" t="b">
        <f>OR(COUNTIF(Tabla2[[#This Row],[PROVEEDOR]],"*"&amp;'Palabra no opera'!$A$2&amp;"*"))</f>
        <v>0</v>
      </c>
      <c r="T955" s="113">
        <f>+$W$5-Tabla2[[#This Row],[FECHA DE FACTURACIÓN]]</f>
        <v>347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15" t="str">
        <f>+IF(AND(Tabla2[[#This Row],[venc]]="venc",Tabla2[[#This Row],[Columna1]]="por pagar"),"vencida","no")</f>
        <v>no</v>
      </c>
    </row>
    <row r="956" spans="1:23" ht="15.75" x14ac:dyDescent="0.25">
      <c r="A956" s="20">
        <v>30</v>
      </c>
      <c r="B956" s="25">
        <v>406756</v>
      </c>
      <c r="C956" s="25"/>
      <c r="D956" s="56" t="s">
        <v>104</v>
      </c>
      <c r="E956" s="66">
        <v>45049</v>
      </c>
      <c r="F956" s="323" t="s">
        <v>315</v>
      </c>
      <c r="G956" s="66">
        <v>44968</v>
      </c>
      <c r="H956" s="35">
        <v>36</v>
      </c>
      <c r="I956" s="21">
        <v>89000</v>
      </c>
      <c r="J956" s="21"/>
      <c r="K956" s="22">
        <v>0</v>
      </c>
      <c r="L956" s="23"/>
      <c r="M956" s="22">
        <v>0</v>
      </c>
      <c r="N956" s="72">
        <v>0</v>
      </c>
      <c r="O956" s="22">
        <v>0</v>
      </c>
      <c r="P956" s="21">
        <v>89000</v>
      </c>
      <c r="S956" s="101" t="b">
        <f>OR(COUNTIF(Tabla2[[#This Row],[PROVEEDOR]],"*"&amp;'Palabra no opera'!$A$2&amp;"*"))</f>
        <v>0</v>
      </c>
      <c r="T956" s="113">
        <f>+$W$5-Tabla2[[#This Row],[FECHA DE FACTURACIÓN]]</f>
        <v>354</v>
      </c>
      <c r="U956" t="str">
        <f>+IF(Tabla2[[#This Row],[dias de credito]]&gt;=Tabla2[[#This Row],[PLAZO Días]],"venc", "No venc")</f>
        <v>venc</v>
      </c>
      <c r="V956" t="str">
        <f>+IF(Tabla2[[#This Row],[FECHA DE PAGO]]&gt;0,"pagada","por pagar")</f>
        <v>pagada</v>
      </c>
      <c r="W956" s="115" t="str">
        <f>+IF(AND(Tabla2[[#This Row],[venc]]="venc",Tabla2[[#This Row],[Columna1]]="por pagar"),"vencida","no")</f>
        <v>no</v>
      </c>
    </row>
    <row r="957" spans="1:23" ht="15.75" x14ac:dyDescent="0.25">
      <c r="A957" s="20">
        <v>30</v>
      </c>
      <c r="B957" s="25">
        <v>0</v>
      </c>
      <c r="C957" s="25"/>
      <c r="D957" s="56" t="s">
        <v>494</v>
      </c>
      <c r="E957" s="66">
        <v>45048</v>
      </c>
      <c r="F957" s="323" t="s">
        <v>24</v>
      </c>
      <c r="G957" s="66">
        <v>44996</v>
      </c>
      <c r="H957" s="35" t="s">
        <v>660</v>
      </c>
      <c r="I957" s="21">
        <v>10188720</v>
      </c>
      <c r="J957" s="21"/>
      <c r="K957" s="22">
        <v>1935856.8</v>
      </c>
      <c r="L957" s="23"/>
      <c r="M957" s="22">
        <v>0</v>
      </c>
      <c r="N957" s="72">
        <v>2.5000000000000001E-2</v>
      </c>
      <c r="O957" s="22">
        <v>254718</v>
      </c>
      <c r="P957" s="21">
        <v>11869858.800000001</v>
      </c>
      <c r="S957" s="101" t="b">
        <f>OR(COUNTIF(Tabla2[[#This Row],[PROVEEDOR]],"*"&amp;'Palabra no opera'!$A$2&amp;"*"))</f>
        <v>0</v>
      </c>
      <c r="T957" s="113">
        <f>+$W$5-Tabla2[[#This Row],[FECHA DE FACTURACIÓN]]</f>
        <v>326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15" t="str">
        <f>+IF(AND(Tabla2[[#This Row],[venc]]="venc",Tabla2[[#This Row],[Columna1]]="por pagar"),"vencida","no")</f>
        <v>no</v>
      </c>
    </row>
    <row r="958" spans="1:23" ht="15.75" x14ac:dyDescent="0.25">
      <c r="A958" s="20">
        <v>30</v>
      </c>
      <c r="B958" s="25">
        <v>2713769.64</v>
      </c>
      <c r="C958" s="25"/>
      <c r="D958" s="56" t="s">
        <v>445</v>
      </c>
      <c r="E958" s="66">
        <v>45048</v>
      </c>
      <c r="F958" s="323" t="s">
        <v>11</v>
      </c>
      <c r="G958" s="66">
        <v>44994</v>
      </c>
      <c r="H958" s="35" t="s">
        <v>656</v>
      </c>
      <c r="I958" s="21">
        <v>3405512</v>
      </c>
      <c r="J958" s="21"/>
      <c r="K958" s="22">
        <v>647047.28</v>
      </c>
      <c r="L958" s="23"/>
      <c r="M958" s="22">
        <v>0</v>
      </c>
      <c r="N958" s="72">
        <v>2.5000000000000001E-2</v>
      </c>
      <c r="O958" s="22">
        <v>85137.8</v>
      </c>
      <c r="P958" s="21">
        <v>3967421.4800000004</v>
      </c>
      <c r="S958" s="101" t="b">
        <f>OR(COUNTIF(Tabla2[[#This Row],[PROVEEDOR]],"*"&amp;'Palabra no opera'!$A$2&amp;"*"))</f>
        <v>0</v>
      </c>
      <c r="T958" s="113">
        <f>+$W$5-Tabla2[[#This Row],[FECHA DE FACTURACIÓN]]</f>
        <v>328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15" t="str">
        <f>+IF(AND(Tabla2[[#This Row],[venc]]="venc",Tabla2[[#This Row],[Columna1]]="por pagar"),"vencida","no")</f>
        <v>no</v>
      </c>
    </row>
    <row r="959" spans="1:23" ht="15.75" x14ac:dyDescent="0.25">
      <c r="A959" s="20">
        <v>30</v>
      </c>
      <c r="B959" s="25">
        <v>0</v>
      </c>
      <c r="C959" s="25"/>
      <c r="D959" s="56" t="s">
        <v>104</v>
      </c>
      <c r="E959" s="66">
        <v>45046</v>
      </c>
      <c r="F959" s="323" t="s">
        <v>566</v>
      </c>
      <c r="G959" s="66">
        <v>45046</v>
      </c>
      <c r="H959" s="35" t="s">
        <v>518</v>
      </c>
      <c r="I959" s="21">
        <v>40000</v>
      </c>
      <c r="J959" s="21"/>
      <c r="K959" s="22">
        <v>0</v>
      </c>
      <c r="L959" s="23"/>
      <c r="M959" s="22">
        <v>0</v>
      </c>
      <c r="N959" s="72">
        <v>0</v>
      </c>
      <c r="O959" s="22">
        <v>0</v>
      </c>
      <c r="P959" s="21">
        <v>40000</v>
      </c>
      <c r="S959" s="101" t="b">
        <f>OR(COUNTIF(Tabla2[[#This Row],[PROVEEDOR]],"*"&amp;'Palabra no opera'!$A$2&amp;"*"))</f>
        <v>0</v>
      </c>
      <c r="T959" s="113">
        <f>+$W$5-Tabla2[[#This Row],[FECHA DE FACTURACIÓN]]</f>
        <v>276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15" t="str">
        <f>+IF(AND(Tabla2[[#This Row],[venc]]="venc",Tabla2[[#This Row],[Columna1]]="por pagar"),"vencida","no")</f>
        <v>no</v>
      </c>
    </row>
    <row r="960" spans="1:23" ht="15.75" x14ac:dyDescent="0.25">
      <c r="A960" s="20">
        <v>30</v>
      </c>
      <c r="B960" s="25">
        <v>0</v>
      </c>
      <c r="C960" s="25"/>
      <c r="D960" s="56" t="s">
        <v>104</v>
      </c>
      <c r="E960" s="66">
        <v>45046</v>
      </c>
      <c r="F960" s="323" t="s">
        <v>566</v>
      </c>
      <c r="G960" s="66">
        <v>45046</v>
      </c>
      <c r="H960" s="35" t="s">
        <v>517</v>
      </c>
      <c r="I960" s="21">
        <v>954000</v>
      </c>
      <c r="J960" s="21"/>
      <c r="K960" s="22">
        <v>0</v>
      </c>
      <c r="L960" s="23"/>
      <c r="M960" s="22">
        <v>0</v>
      </c>
      <c r="N960" s="72">
        <v>0</v>
      </c>
      <c r="O960" s="22">
        <v>0</v>
      </c>
      <c r="P960" s="21">
        <v>954000</v>
      </c>
      <c r="S960" s="101" t="b">
        <f>OR(COUNTIF(Tabla2[[#This Row],[PROVEEDOR]],"*"&amp;'Palabra no opera'!$A$2&amp;"*"))</f>
        <v>0</v>
      </c>
      <c r="T960" s="113">
        <f>+$W$5-Tabla2[[#This Row],[FECHA DE FACTURACIÓN]]</f>
        <v>276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15" t="str">
        <f>+IF(AND(Tabla2[[#This Row],[venc]]="venc",Tabla2[[#This Row],[Columna1]]="por pagar"),"vencida","no")</f>
        <v>no</v>
      </c>
    </row>
    <row r="961" spans="1:23" ht="15.75" x14ac:dyDescent="0.25">
      <c r="A961" s="20">
        <v>30</v>
      </c>
      <c r="B961" s="25">
        <v>0</v>
      </c>
      <c r="C961" s="25"/>
      <c r="D961" s="56" t="s">
        <v>104</v>
      </c>
      <c r="E961" s="66">
        <v>45046</v>
      </c>
      <c r="F961" s="323" t="s">
        <v>566</v>
      </c>
      <c r="G961" s="66">
        <v>45046</v>
      </c>
      <c r="H961" s="35" t="s">
        <v>543</v>
      </c>
      <c r="I961" s="21">
        <v>69000</v>
      </c>
      <c r="J961" s="21"/>
      <c r="K961" s="22">
        <v>0</v>
      </c>
      <c r="L961" s="23"/>
      <c r="M961" s="22">
        <v>0</v>
      </c>
      <c r="N961" s="72">
        <v>0</v>
      </c>
      <c r="O961" s="22">
        <v>0</v>
      </c>
      <c r="P961" s="21">
        <v>69000</v>
      </c>
      <c r="S961" s="101" t="b">
        <f>OR(COUNTIF(Tabla2[[#This Row],[PROVEEDOR]],"*"&amp;'Palabra no opera'!$A$2&amp;"*"))</f>
        <v>0</v>
      </c>
      <c r="T961" s="113">
        <f>+$W$5-Tabla2[[#This Row],[FECHA DE FACTURACIÓN]]</f>
        <v>276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15" t="str">
        <f>+IF(AND(Tabla2[[#This Row],[venc]]="venc",Tabla2[[#This Row],[Columna1]]="por pagar"),"vencida","no")</f>
        <v>no</v>
      </c>
    </row>
    <row r="962" spans="1:23" ht="15.75" x14ac:dyDescent="0.25">
      <c r="A962" s="20">
        <v>30</v>
      </c>
      <c r="B962" s="25">
        <v>0</v>
      </c>
      <c r="C962" s="25"/>
      <c r="D962" s="56" t="s">
        <v>104</v>
      </c>
      <c r="E962" s="66">
        <v>45046</v>
      </c>
      <c r="F962" s="323" t="s">
        <v>566</v>
      </c>
      <c r="G962" s="66">
        <v>45046</v>
      </c>
      <c r="H962" s="35" t="s">
        <v>516</v>
      </c>
      <c r="I962" s="21">
        <v>200800</v>
      </c>
      <c r="J962" s="21"/>
      <c r="K962" s="22">
        <v>0</v>
      </c>
      <c r="L962" s="23"/>
      <c r="M962" s="22">
        <v>0</v>
      </c>
      <c r="N962" s="72">
        <v>0</v>
      </c>
      <c r="O962" s="22">
        <v>0</v>
      </c>
      <c r="P962" s="21">
        <v>200800</v>
      </c>
      <c r="S962" s="101" t="b">
        <f>OR(COUNTIF(Tabla2[[#This Row],[PROVEEDOR]],"*"&amp;'Palabra no opera'!$A$2&amp;"*"))</f>
        <v>0</v>
      </c>
      <c r="T962" s="113">
        <f>+$W$5-Tabla2[[#This Row],[FECHA DE FACTURACIÓN]]</f>
        <v>276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15" t="str">
        <f>+IF(AND(Tabla2[[#This Row],[venc]]="venc",Tabla2[[#This Row],[Columna1]]="por pagar"),"vencida","no")</f>
        <v>no</v>
      </c>
    </row>
    <row r="963" spans="1:23" ht="15.75" x14ac:dyDescent="0.25">
      <c r="A963" s="20">
        <v>30</v>
      </c>
      <c r="B963" s="25">
        <v>0</v>
      </c>
      <c r="C963" s="25"/>
      <c r="D963" s="56" t="s">
        <v>104</v>
      </c>
      <c r="E963" s="66">
        <v>45046</v>
      </c>
      <c r="F963" s="323" t="s">
        <v>566</v>
      </c>
      <c r="G963" s="66">
        <v>45046</v>
      </c>
      <c r="H963" s="35" t="s">
        <v>520</v>
      </c>
      <c r="I963" s="21">
        <v>450600</v>
      </c>
      <c r="J963" s="21"/>
      <c r="K963" s="22">
        <v>0</v>
      </c>
      <c r="L963" s="23"/>
      <c r="M963" s="22">
        <v>0</v>
      </c>
      <c r="N963" s="72">
        <v>0</v>
      </c>
      <c r="O963" s="22">
        <v>0</v>
      </c>
      <c r="P963" s="21">
        <v>450600</v>
      </c>
      <c r="S963" s="101" t="b">
        <f>OR(COUNTIF(Tabla2[[#This Row],[PROVEEDOR]],"*"&amp;'Palabra no opera'!$A$2&amp;"*"))</f>
        <v>0</v>
      </c>
      <c r="T963" s="113">
        <f>+$W$5-Tabla2[[#This Row],[FECHA DE FACTURACIÓN]]</f>
        <v>276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15" t="str">
        <f>+IF(AND(Tabla2[[#This Row],[venc]]="venc",Tabla2[[#This Row],[Columna1]]="por pagar"),"vencida","no")</f>
        <v>no</v>
      </c>
    </row>
    <row r="964" spans="1:23" ht="15.75" x14ac:dyDescent="0.25">
      <c r="A964" s="20">
        <v>30</v>
      </c>
      <c r="B964" s="25">
        <v>0</v>
      </c>
      <c r="C964" s="25"/>
      <c r="D964" s="56" t="s">
        <v>1561</v>
      </c>
      <c r="E964" s="66">
        <v>45044</v>
      </c>
      <c r="F964" s="323" t="s">
        <v>203</v>
      </c>
      <c r="G964" s="66">
        <v>45044</v>
      </c>
      <c r="H964" s="35" t="s">
        <v>819</v>
      </c>
      <c r="I964" s="21">
        <v>1615000</v>
      </c>
      <c r="J964" s="21"/>
      <c r="K964" s="22">
        <v>0</v>
      </c>
      <c r="L964" s="23"/>
      <c r="M964" s="22">
        <v>0</v>
      </c>
      <c r="N964" s="72">
        <v>0</v>
      </c>
      <c r="O964" s="22">
        <v>0</v>
      </c>
      <c r="P964" s="21">
        <v>1615000</v>
      </c>
      <c r="S964" s="101" t="b">
        <f>OR(COUNTIF(Tabla2[[#This Row],[PROVEEDOR]],"*"&amp;'Palabra no opera'!$A$2&amp;"*"))</f>
        <v>0</v>
      </c>
      <c r="T964" s="113">
        <f>+$W$5-Tabla2[[#This Row],[FECHA DE FACTURACIÓN]]</f>
        <v>278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15" t="str">
        <f>+IF(AND(Tabla2[[#This Row],[venc]]="venc",Tabla2[[#This Row],[Columna1]]="por pagar"),"vencida","no")</f>
        <v>no</v>
      </c>
    </row>
    <row r="965" spans="1:23" ht="15.75" x14ac:dyDescent="0.25">
      <c r="A965" s="20">
        <v>30</v>
      </c>
      <c r="B965" s="25">
        <v>5134830.96</v>
      </c>
      <c r="C965" s="25"/>
      <c r="D965" s="56" t="s">
        <v>131</v>
      </c>
      <c r="E965" s="66">
        <v>45044</v>
      </c>
      <c r="F965" s="323" t="s">
        <v>20</v>
      </c>
      <c r="G965" s="66">
        <v>44999</v>
      </c>
      <c r="H965" s="35" t="s">
        <v>670</v>
      </c>
      <c r="I965" s="21">
        <v>1312210</v>
      </c>
      <c r="J965" s="21"/>
      <c r="K965" s="22">
        <v>249319.9</v>
      </c>
      <c r="L965" s="23"/>
      <c r="M965" s="22">
        <v>0</v>
      </c>
      <c r="N965" s="72">
        <v>2.5000000000000001E-2</v>
      </c>
      <c r="O965" s="22">
        <v>32805.25</v>
      </c>
      <c r="P965" s="21">
        <v>1528724.65</v>
      </c>
      <c r="S965" s="101" t="b">
        <f>OR(COUNTIF(Tabla2[[#This Row],[PROVEEDOR]],"*"&amp;'Palabra no opera'!$A$2&amp;"*"))</f>
        <v>0</v>
      </c>
      <c r="T965" s="113">
        <f>+$W$5-Tabla2[[#This Row],[FECHA DE FACTURACIÓN]]</f>
        <v>323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15" t="str">
        <f>+IF(AND(Tabla2[[#This Row],[venc]]="venc",Tabla2[[#This Row],[Columna1]]="por pagar"),"vencida","no")</f>
        <v>no</v>
      </c>
    </row>
    <row r="966" spans="1:23" ht="15.75" x14ac:dyDescent="0.25">
      <c r="A966" s="20">
        <v>30</v>
      </c>
      <c r="B966" s="25">
        <v>0</v>
      </c>
      <c r="C966" s="25"/>
      <c r="D966" s="56" t="s">
        <v>157</v>
      </c>
      <c r="E966" s="66">
        <v>45044</v>
      </c>
      <c r="F966" s="323" t="s">
        <v>49</v>
      </c>
      <c r="G966" s="66">
        <v>44999</v>
      </c>
      <c r="H966" s="35" t="s">
        <v>741</v>
      </c>
      <c r="I966" s="21">
        <v>563025</v>
      </c>
      <c r="J966" s="21"/>
      <c r="K966" s="22">
        <v>106974.75</v>
      </c>
      <c r="L966" s="23"/>
      <c r="M966" s="22">
        <v>0</v>
      </c>
      <c r="N966" s="72">
        <v>0</v>
      </c>
      <c r="O966" s="22">
        <v>0</v>
      </c>
      <c r="P966" s="21">
        <v>669999.75</v>
      </c>
      <c r="S966" s="101" t="b">
        <f>OR(COUNTIF(Tabla2[[#This Row],[PROVEEDOR]],"*"&amp;'Palabra no opera'!$A$2&amp;"*"))</f>
        <v>0</v>
      </c>
      <c r="T966" s="113">
        <f>+$W$5-Tabla2[[#This Row],[FECHA DE FACTURACIÓN]]</f>
        <v>323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15" t="str">
        <f>+IF(AND(Tabla2[[#This Row],[venc]]="venc",Tabla2[[#This Row],[Columna1]]="por pagar"),"vencida","no")</f>
        <v>no</v>
      </c>
    </row>
    <row r="967" spans="1:23" ht="15.75" x14ac:dyDescent="0.25">
      <c r="A967" s="20">
        <v>30</v>
      </c>
      <c r="B967" s="25">
        <v>0</v>
      </c>
      <c r="C967" s="25"/>
      <c r="D967" s="56" t="s">
        <v>104</v>
      </c>
      <c r="E967" s="66">
        <v>45043</v>
      </c>
      <c r="F967" s="323" t="s">
        <v>277</v>
      </c>
      <c r="G967" s="66">
        <v>45042</v>
      </c>
      <c r="H967" s="35" t="s">
        <v>771</v>
      </c>
      <c r="I967" s="21">
        <v>3656000</v>
      </c>
      <c r="J967" s="21"/>
      <c r="K967" s="22">
        <v>0</v>
      </c>
      <c r="L967" s="23"/>
      <c r="M967" s="22">
        <v>0</v>
      </c>
      <c r="N967" s="72">
        <v>0</v>
      </c>
      <c r="O967" s="22">
        <v>0</v>
      </c>
      <c r="P967" s="21">
        <v>3656000</v>
      </c>
      <c r="S967" s="101" t="b">
        <f>OR(COUNTIF(Tabla2[[#This Row],[PROVEEDOR]],"*"&amp;'Palabra no opera'!$A$2&amp;"*"))</f>
        <v>0</v>
      </c>
      <c r="T967" s="113">
        <f>+$W$5-Tabla2[[#This Row],[FECHA DE FACTURACIÓN]]</f>
        <v>280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15" t="str">
        <f>+IF(AND(Tabla2[[#This Row],[venc]]="venc",Tabla2[[#This Row],[Columna1]]="por pagar"),"vencida","no")</f>
        <v>no</v>
      </c>
    </row>
    <row r="968" spans="1:23" ht="15.75" x14ac:dyDescent="0.25">
      <c r="A968" s="20">
        <v>30</v>
      </c>
      <c r="B968" s="25">
        <v>0</v>
      </c>
      <c r="C968" s="25"/>
      <c r="D968" s="56" t="s">
        <v>233</v>
      </c>
      <c r="E968" s="66">
        <v>45041</v>
      </c>
      <c r="F968" s="323" t="s">
        <v>413</v>
      </c>
      <c r="G968" s="66">
        <v>45034</v>
      </c>
      <c r="H968" s="35" t="s">
        <v>768</v>
      </c>
      <c r="I968" s="21">
        <v>3456200</v>
      </c>
      <c r="J968" s="21"/>
      <c r="K968" s="22">
        <v>0</v>
      </c>
      <c r="L968" s="23"/>
      <c r="M968" s="22">
        <v>0</v>
      </c>
      <c r="N968" s="72">
        <v>3.5000000000000003E-2</v>
      </c>
      <c r="O968" s="22">
        <v>120967.00000000001</v>
      </c>
      <c r="P968" s="21">
        <v>3335233</v>
      </c>
      <c r="S968" s="101" t="b">
        <f>OR(COUNTIF(Tabla2[[#This Row],[PROVEEDOR]],"*"&amp;'Palabra no opera'!$A$2&amp;"*"))</f>
        <v>1</v>
      </c>
      <c r="T968" s="113">
        <f>+$W$5-Tabla2[[#This Row],[FECHA DE FACTURACIÓN]]</f>
        <v>288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15" t="str">
        <f>+IF(AND(Tabla2[[#This Row],[venc]]="venc",Tabla2[[#This Row],[Columna1]]="por pagar"),"vencida","no")</f>
        <v>no</v>
      </c>
    </row>
    <row r="969" spans="1:23" ht="15.75" x14ac:dyDescent="0.25">
      <c r="A969" s="20">
        <v>30</v>
      </c>
      <c r="B969" s="25">
        <v>2923945.6174999997</v>
      </c>
      <c r="C969" s="25"/>
      <c r="D969" s="56" t="s">
        <v>1538</v>
      </c>
      <c r="E969" s="66">
        <v>45040</v>
      </c>
      <c r="F969" s="323" t="s">
        <v>1526</v>
      </c>
      <c r="G969" s="66">
        <v>45006</v>
      </c>
      <c r="H969" s="35" t="s">
        <v>744</v>
      </c>
      <c r="I969" s="21">
        <v>2780070</v>
      </c>
      <c r="J969" s="21"/>
      <c r="K969" s="22">
        <v>528213.30000000005</v>
      </c>
      <c r="L969" s="23"/>
      <c r="M969" s="22">
        <v>0</v>
      </c>
      <c r="N969" s="72">
        <v>2.5000000000000001E-2</v>
      </c>
      <c r="O969" s="22">
        <v>69501.75</v>
      </c>
      <c r="P969" s="21">
        <v>3238781.55</v>
      </c>
      <c r="S969" s="101" t="b">
        <f>OR(COUNTIF(Tabla2[[#This Row],[PROVEEDOR]],"*"&amp;'Palabra no opera'!$A$2&amp;"*"))</f>
        <v>0</v>
      </c>
      <c r="T969" s="113">
        <f>+$W$5-Tabla2[[#This Row],[FECHA DE FACTURACIÓN]]</f>
        <v>316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15" t="str">
        <f>+IF(AND(Tabla2[[#This Row],[venc]]="venc",Tabla2[[#This Row],[Columna1]]="por pagar"),"vencida","no")</f>
        <v>no</v>
      </c>
    </row>
    <row r="970" spans="1:23" ht="15.75" x14ac:dyDescent="0.25">
      <c r="A970" s="20">
        <v>30</v>
      </c>
      <c r="B970" s="25">
        <v>2923945.6174999997</v>
      </c>
      <c r="C970" s="25"/>
      <c r="D970" s="56" t="s">
        <v>1538</v>
      </c>
      <c r="E970" s="66">
        <v>45040</v>
      </c>
      <c r="F970" s="323" t="s">
        <v>1526</v>
      </c>
      <c r="G970" s="66">
        <v>44988</v>
      </c>
      <c r="H970" s="35" t="s">
        <v>740</v>
      </c>
      <c r="I970" s="21">
        <v>93570</v>
      </c>
      <c r="J970" s="21"/>
      <c r="K970" s="22">
        <v>17778.3</v>
      </c>
      <c r="L970" s="23"/>
      <c r="M970" s="22">
        <v>0</v>
      </c>
      <c r="N970" s="72">
        <v>0</v>
      </c>
      <c r="O970" s="22">
        <v>0</v>
      </c>
      <c r="P970" s="21">
        <v>111348.3</v>
      </c>
      <c r="S970" s="101" t="b">
        <f>OR(COUNTIF(Tabla2[[#This Row],[PROVEEDOR]],"*"&amp;'Palabra no opera'!$A$2&amp;"*"))</f>
        <v>0</v>
      </c>
      <c r="T970" s="113">
        <f>+$W$5-Tabla2[[#This Row],[FECHA DE FACTURACIÓN]]</f>
        <v>334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15" t="str">
        <f>+IF(AND(Tabla2[[#This Row],[venc]]="venc",Tabla2[[#This Row],[Columna1]]="por pagar"),"vencida","no")</f>
        <v>no</v>
      </c>
    </row>
    <row r="971" spans="1:23" ht="15.75" x14ac:dyDescent="0.25">
      <c r="A971" s="20">
        <v>30</v>
      </c>
      <c r="B971" s="25">
        <v>0</v>
      </c>
      <c r="C971" s="25"/>
      <c r="D971" s="56" t="s">
        <v>104</v>
      </c>
      <c r="E971" s="66">
        <v>45038</v>
      </c>
      <c r="F971" s="323" t="s">
        <v>291</v>
      </c>
      <c r="G971" s="66">
        <v>45038</v>
      </c>
      <c r="H971" s="35" t="s">
        <v>776</v>
      </c>
      <c r="I971" s="21">
        <v>1070000</v>
      </c>
      <c r="J971" s="21"/>
      <c r="K971" s="22">
        <v>0</v>
      </c>
      <c r="L971" s="23"/>
      <c r="M971" s="22">
        <v>0</v>
      </c>
      <c r="N971" s="72">
        <v>0</v>
      </c>
      <c r="O971" s="22">
        <v>0</v>
      </c>
      <c r="P971" s="21">
        <v>1070000</v>
      </c>
      <c r="S971" s="101" t="b">
        <f>OR(COUNTIF(Tabla2[[#This Row],[PROVEEDOR]],"*"&amp;'Palabra no opera'!$A$2&amp;"*"))</f>
        <v>0</v>
      </c>
      <c r="T971" s="113">
        <f>+$W$5-Tabla2[[#This Row],[FECHA DE FACTURACIÓN]]</f>
        <v>284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15" t="str">
        <f>+IF(AND(Tabla2[[#This Row],[venc]]="venc",Tabla2[[#This Row],[Columna1]]="por pagar"),"vencida","no")</f>
        <v>no</v>
      </c>
    </row>
    <row r="972" spans="1:23" ht="15.75" x14ac:dyDescent="0.25">
      <c r="A972" s="20">
        <v>30</v>
      </c>
      <c r="B972" s="25">
        <v>2190013.0175000001</v>
      </c>
      <c r="C972" s="25"/>
      <c r="D972" s="56" t="s">
        <v>180</v>
      </c>
      <c r="E972" s="66">
        <v>45036</v>
      </c>
      <c r="F972" s="323" t="s">
        <v>491</v>
      </c>
      <c r="G972" s="66">
        <v>44994</v>
      </c>
      <c r="H972" s="35" t="s">
        <v>655</v>
      </c>
      <c r="I972" s="21">
        <v>1487397</v>
      </c>
      <c r="J972" s="21"/>
      <c r="K972" s="22">
        <v>282605.43</v>
      </c>
      <c r="L972" s="23"/>
      <c r="M972" s="22">
        <v>0</v>
      </c>
      <c r="N972" s="72">
        <v>2.5000000000000001E-2</v>
      </c>
      <c r="O972" s="22">
        <v>37184.925000000003</v>
      </c>
      <c r="P972" s="21">
        <v>1732817.5049999999</v>
      </c>
      <c r="S972" s="101" t="b">
        <f>OR(COUNTIF(Tabla2[[#This Row],[PROVEEDOR]],"*"&amp;'Palabra no opera'!$A$2&amp;"*"))</f>
        <v>0</v>
      </c>
      <c r="T972" s="113">
        <f>+$W$5-Tabla2[[#This Row],[FECHA DE FACTURACIÓN]]</f>
        <v>328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15" t="str">
        <f>+IF(AND(Tabla2[[#This Row],[venc]]="venc",Tabla2[[#This Row],[Columna1]]="por pagar"),"vencida","no")</f>
        <v>no</v>
      </c>
    </row>
    <row r="973" spans="1:23" ht="15.75" x14ac:dyDescent="0.25">
      <c r="A973" s="20">
        <v>60</v>
      </c>
      <c r="B973" s="25">
        <v>14884783</v>
      </c>
      <c r="C973" s="25"/>
      <c r="D973" s="56" t="s">
        <v>432</v>
      </c>
      <c r="E973" s="66">
        <v>45036</v>
      </c>
      <c r="F973" s="323" t="s">
        <v>76</v>
      </c>
      <c r="G973" s="66">
        <v>44978</v>
      </c>
      <c r="H973" s="35" t="s">
        <v>631</v>
      </c>
      <c r="I973" s="21">
        <v>1536000</v>
      </c>
      <c r="J973" s="21"/>
      <c r="K973" s="22">
        <v>291840</v>
      </c>
      <c r="L973" s="23"/>
      <c r="M973" s="22">
        <v>0</v>
      </c>
      <c r="N973" s="72">
        <v>2.5000000000000001E-2</v>
      </c>
      <c r="O973" s="22">
        <v>38400</v>
      </c>
      <c r="P973" s="21">
        <v>1789440</v>
      </c>
      <c r="S973" s="101" t="b">
        <f>OR(COUNTIF(Tabla2[[#This Row],[PROVEEDOR]],"*"&amp;'Palabra no opera'!$A$2&amp;"*"))</f>
        <v>0</v>
      </c>
      <c r="T973" s="113">
        <f>+$W$5-Tabla2[[#This Row],[FECHA DE FACTURACIÓN]]</f>
        <v>344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15" t="str">
        <f>+IF(AND(Tabla2[[#This Row],[venc]]="venc",Tabla2[[#This Row],[Columna1]]="por pagar"),"vencida","no")</f>
        <v>no</v>
      </c>
    </row>
    <row r="974" spans="1:23" ht="15.75" x14ac:dyDescent="0.25">
      <c r="A974" s="20">
        <v>60</v>
      </c>
      <c r="B974" s="25">
        <v>14884783</v>
      </c>
      <c r="C974" s="25"/>
      <c r="D974" s="56" t="s">
        <v>432</v>
      </c>
      <c r="E974" s="66">
        <v>45036</v>
      </c>
      <c r="F974" s="323" t="s">
        <v>76</v>
      </c>
      <c r="G974" s="66">
        <v>44974</v>
      </c>
      <c r="H974" s="35" t="s">
        <v>630</v>
      </c>
      <c r="I974" s="21">
        <v>4204800</v>
      </c>
      <c r="J974" s="21"/>
      <c r="K974" s="22">
        <v>798912</v>
      </c>
      <c r="L974" s="23"/>
      <c r="M974" s="22">
        <v>0</v>
      </c>
      <c r="N974" s="72">
        <v>2.5000000000000001E-2</v>
      </c>
      <c r="O974" s="22">
        <v>105120</v>
      </c>
      <c r="P974" s="21">
        <v>4898592</v>
      </c>
      <c r="S974" s="101" t="b">
        <f>OR(COUNTIF(Tabla2[[#This Row],[PROVEEDOR]],"*"&amp;'Palabra no opera'!$A$2&amp;"*"))</f>
        <v>0</v>
      </c>
      <c r="T974" s="113">
        <f>+$W$5-Tabla2[[#This Row],[FECHA DE FACTURACIÓN]]</f>
        <v>348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15" t="str">
        <f>+IF(AND(Tabla2[[#This Row],[venc]]="venc",Tabla2[[#This Row],[Columna1]]="por pagar"),"vencida","no")</f>
        <v>no</v>
      </c>
    </row>
    <row r="975" spans="1:23" ht="15.75" x14ac:dyDescent="0.25">
      <c r="A975" s="20">
        <v>30</v>
      </c>
      <c r="B975" s="25">
        <v>0</v>
      </c>
      <c r="C975" s="25"/>
      <c r="D975" s="56" t="s">
        <v>300</v>
      </c>
      <c r="E975" s="66">
        <v>45035</v>
      </c>
      <c r="F975" s="323" t="s">
        <v>409</v>
      </c>
      <c r="G975" s="66">
        <v>45017</v>
      </c>
      <c r="H975" s="35" t="s">
        <v>736</v>
      </c>
      <c r="I975" s="21">
        <v>277194</v>
      </c>
      <c r="J975" s="21"/>
      <c r="K975" s="22">
        <v>0</v>
      </c>
      <c r="L975" s="23"/>
      <c r="M975" s="22">
        <v>8522</v>
      </c>
      <c r="N975" s="72">
        <v>0</v>
      </c>
      <c r="O975" s="22">
        <v>0</v>
      </c>
      <c r="P975" s="21">
        <v>268672</v>
      </c>
      <c r="S975" s="101" t="b">
        <f>OR(COUNTIF(Tabla2[[#This Row],[PROVEEDOR]],"*"&amp;'Palabra no opera'!$A$2&amp;"*"))</f>
        <v>1</v>
      </c>
      <c r="T975" s="113">
        <f>+$W$5-Tabla2[[#This Row],[FECHA DE FACTURACIÓN]]</f>
        <v>305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15" t="str">
        <f>+IF(AND(Tabla2[[#This Row],[venc]]="venc",Tabla2[[#This Row],[Columna1]]="por pagar"),"vencida","no")</f>
        <v>no</v>
      </c>
    </row>
    <row r="976" spans="1:23" ht="15.75" x14ac:dyDescent="0.25">
      <c r="A976" s="20">
        <v>30</v>
      </c>
      <c r="B976" s="25">
        <v>2169355.9580000001</v>
      </c>
      <c r="C976" s="25"/>
      <c r="D976" s="56" t="s">
        <v>164</v>
      </c>
      <c r="E976" s="66">
        <v>45035</v>
      </c>
      <c r="F976" s="323" t="s">
        <v>18</v>
      </c>
      <c r="G976" s="66">
        <v>44998</v>
      </c>
      <c r="H976" s="35" t="s">
        <v>663</v>
      </c>
      <c r="I976" s="21">
        <v>1306660</v>
      </c>
      <c r="J976" s="21"/>
      <c r="K976" s="22">
        <v>248265.4</v>
      </c>
      <c r="L976" s="23"/>
      <c r="M976" s="22">
        <v>0</v>
      </c>
      <c r="N976" s="72">
        <v>2.5000000000000001E-2</v>
      </c>
      <c r="O976" s="22">
        <v>32666.5</v>
      </c>
      <c r="P976" s="21">
        <v>1522258.9</v>
      </c>
      <c r="S976" s="101" t="b">
        <f>OR(COUNTIF(Tabla2[[#This Row],[PROVEEDOR]],"*"&amp;'Palabra no opera'!$A$2&amp;"*"))</f>
        <v>0</v>
      </c>
      <c r="T976" s="113">
        <f>+$W$5-Tabla2[[#This Row],[FECHA DE FACTURACIÓN]]</f>
        <v>324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15" t="str">
        <f>+IF(AND(Tabla2[[#This Row],[venc]]="venc",Tabla2[[#This Row],[Columna1]]="por pagar"),"vencida","no")</f>
        <v>no</v>
      </c>
    </row>
    <row r="977" spans="1:23" ht="15.75" x14ac:dyDescent="0.25">
      <c r="A977" s="20">
        <v>30</v>
      </c>
      <c r="B977" s="25">
        <v>2169355.9580000001</v>
      </c>
      <c r="C977" s="25"/>
      <c r="D977" s="56" t="s">
        <v>164</v>
      </c>
      <c r="E977" s="66">
        <v>45035</v>
      </c>
      <c r="F977" s="323" t="s">
        <v>18</v>
      </c>
      <c r="G977" s="66">
        <v>44998</v>
      </c>
      <c r="H977" s="35" t="s">
        <v>664</v>
      </c>
      <c r="I977" s="21">
        <v>922647</v>
      </c>
      <c r="J977" s="21"/>
      <c r="K977" s="22">
        <v>175302.93</v>
      </c>
      <c r="L977" s="23"/>
      <c r="M977" s="22">
        <v>0</v>
      </c>
      <c r="N977" s="72">
        <v>0</v>
      </c>
      <c r="O977" s="22">
        <v>0</v>
      </c>
      <c r="P977" s="21">
        <v>1097949.93</v>
      </c>
      <c r="S977" s="101" t="b">
        <f>OR(COUNTIF(Tabla2[[#This Row],[PROVEEDOR]],"*"&amp;'Palabra no opera'!$A$2&amp;"*"))</f>
        <v>0</v>
      </c>
      <c r="T977" s="113">
        <f>+$W$5-Tabla2[[#This Row],[FECHA DE FACTURACIÓN]]</f>
        <v>324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15" t="str">
        <f>+IF(AND(Tabla2[[#This Row],[venc]]="venc",Tabla2[[#This Row],[Columna1]]="por pagar"),"vencida","no")</f>
        <v>no</v>
      </c>
    </row>
    <row r="978" spans="1:23" ht="15.75" x14ac:dyDescent="0.25">
      <c r="A978" s="20">
        <v>30</v>
      </c>
      <c r="B978" s="25">
        <v>12328400</v>
      </c>
      <c r="C978" s="25"/>
      <c r="D978" s="56" t="s">
        <v>171</v>
      </c>
      <c r="E978" s="66">
        <v>45035</v>
      </c>
      <c r="F978" s="323" t="s">
        <v>485</v>
      </c>
      <c r="G978" s="66">
        <v>44994</v>
      </c>
      <c r="H978" s="35" t="s">
        <v>659</v>
      </c>
      <c r="I978" s="21">
        <v>6944000</v>
      </c>
      <c r="J978" s="21"/>
      <c r="K978" s="22">
        <v>1319360</v>
      </c>
      <c r="L978" s="23"/>
      <c r="M978" s="22">
        <v>0</v>
      </c>
      <c r="N978" s="72">
        <v>0</v>
      </c>
      <c r="O978" s="22">
        <v>0</v>
      </c>
      <c r="P978" s="21">
        <v>8263360</v>
      </c>
      <c r="S978" s="101" t="b">
        <f>OR(COUNTIF(Tabla2[[#This Row],[PROVEEDOR]],"*"&amp;'Palabra no opera'!$A$2&amp;"*"))</f>
        <v>0</v>
      </c>
      <c r="T978" s="113">
        <f>+$W$5-Tabla2[[#This Row],[FECHA DE FACTURACIÓN]]</f>
        <v>328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15" t="str">
        <f>+IF(AND(Tabla2[[#This Row],[venc]]="venc",Tabla2[[#This Row],[Columna1]]="por pagar"),"vencida","no")</f>
        <v>no</v>
      </c>
    </row>
    <row r="979" spans="1:23" ht="15.75" x14ac:dyDescent="0.25">
      <c r="A979" s="20">
        <v>30</v>
      </c>
      <c r="B979" s="25">
        <v>2169355.9580000001</v>
      </c>
      <c r="C979" s="25"/>
      <c r="D979" s="56" t="s">
        <v>164</v>
      </c>
      <c r="E979" s="66">
        <v>45035</v>
      </c>
      <c r="F979" s="323" t="s">
        <v>18</v>
      </c>
      <c r="G979" s="66">
        <v>44993</v>
      </c>
      <c r="H979" s="35" t="s">
        <v>665</v>
      </c>
      <c r="I979" s="21">
        <v>1263526</v>
      </c>
      <c r="J979" s="21"/>
      <c r="K979" s="22">
        <v>240069.94</v>
      </c>
      <c r="L979" s="23"/>
      <c r="M979" s="22">
        <v>0</v>
      </c>
      <c r="N979" s="72">
        <v>2.5000000000000001E-2</v>
      </c>
      <c r="O979" s="22">
        <v>31588.15</v>
      </c>
      <c r="P979" s="21">
        <v>1472007.79</v>
      </c>
      <c r="S979" s="101" t="b">
        <f>OR(COUNTIF(Tabla2[[#This Row],[PROVEEDOR]],"*"&amp;'Palabra no opera'!$A$2&amp;"*"))</f>
        <v>0</v>
      </c>
      <c r="T979" s="113">
        <f>+$W$5-Tabla2[[#This Row],[FECHA DE FACTURACIÓN]]</f>
        <v>329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15" t="str">
        <f>+IF(AND(Tabla2[[#This Row],[venc]]="venc",Tabla2[[#This Row],[Columna1]]="por pagar"),"vencida","no")</f>
        <v>no</v>
      </c>
    </row>
    <row r="980" spans="1:23" ht="15.75" x14ac:dyDescent="0.25">
      <c r="A980" s="20">
        <v>30</v>
      </c>
      <c r="B980" s="25">
        <v>2169355.9580000001</v>
      </c>
      <c r="C980" s="25"/>
      <c r="D980" s="56" t="s">
        <v>164</v>
      </c>
      <c r="E980" s="66">
        <v>45035</v>
      </c>
      <c r="F980" s="323" t="s">
        <v>18</v>
      </c>
      <c r="G980" s="66">
        <v>44968</v>
      </c>
      <c r="H980" s="35" t="s">
        <v>691</v>
      </c>
      <c r="I980" s="21">
        <v>-327731</v>
      </c>
      <c r="J980" s="21"/>
      <c r="K980" s="22">
        <v>-62268.89</v>
      </c>
      <c r="L980" s="23"/>
      <c r="M980" s="22">
        <v>0</v>
      </c>
      <c r="N980" s="72">
        <v>0</v>
      </c>
      <c r="O980" s="22">
        <v>0</v>
      </c>
      <c r="P980" s="21">
        <v>-389999.89</v>
      </c>
      <c r="S980" s="101" t="b">
        <f>OR(COUNTIF(Tabla2[[#This Row],[PROVEEDOR]],"*"&amp;'Palabra no opera'!$A$2&amp;"*"))</f>
        <v>0</v>
      </c>
      <c r="T980" s="113">
        <f>+$W$5-Tabla2[[#This Row],[FECHA DE FACTURACIÓN]]</f>
        <v>354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15" t="str">
        <f>+IF(AND(Tabla2[[#This Row],[venc]]="venc",Tabla2[[#This Row],[Columna1]]="por pagar"),"vencida","no")</f>
        <v>no</v>
      </c>
    </row>
    <row r="981" spans="1:23" ht="15.75" x14ac:dyDescent="0.25">
      <c r="A981" s="20">
        <v>30</v>
      </c>
      <c r="B981" s="25">
        <v>0</v>
      </c>
      <c r="C981" s="25"/>
      <c r="D981" s="56">
        <v>0</v>
      </c>
      <c r="E981" s="66">
        <v>45033</v>
      </c>
      <c r="F981" s="323" t="s">
        <v>234</v>
      </c>
      <c r="G981" s="66">
        <v>44988</v>
      </c>
      <c r="H981" s="35" t="s">
        <v>1037</v>
      </c>
      <c r="I981" s="21">
        <v>-1747500</v>
      </c>
      <c r="J981" s="21"/>
      <c r="K981" s="22">
        <v>-332025</v>
      </c>
      <c r="L981" s="23"/>
      <c r="M981" s="22">
        <v>0</v>
      </c>
      <c r="N981" s="72">
        <v>0</v>
      </c>
      <c r="O981" s="22">
        <v>0</v>
      </c>
      <c r="P981" s="21">
        <v>-2079525</v>
      </c>
      <c r="S981" s="101" t="b">
        <f>OR(COUNTIF(Tabla2[[#This Row],[PROVEEDOR]],"*"&amp;'Palabra no opera'!$A$2&amp;"*"))</f>
        <v>0</v>
      </c>
      <c r="T981" s="113">
        <f>+$W$5-Tabla2[[#This Row],[FECHA DE FACTURACIÓN]]</f>
        <v>334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15" t="str">
        <f>+IF(AND(Tabla2[[#This Row],[venc]]="venc",Tabla2[[#This Row],[Columna1]]="por pagar"),"vencida","no")</f>
        <v>no</v>
      </c>
    </row>
    <row r="982" spans="1:23" ht="15.75" x14ac:dyDescent="0.25">
      <c r="A982" s="20">
        <v>30</v>
      </c>
      <c r="B982" s="25">
        <v>0</v>
      </c>
      <c r="C982" s="25"/>
      <c r="D982" s="56" t="s">
        <v>104</v>
      </c>
      <c r="E982" s="66">
        <v>45031</v>
      </c>
      <c r="F982" s="323" t="s">
        <v>291</v>
      </c>
      <c r="G982" s="66">
        <v>45031</v>
      </c>
      <c r="H982" s="35" t="s">
        <v>775</v>
      </c>
      <c r="I982" s="21">
        <v>590000</v>
      </c>
      <c r="J982" s="21"/>
      <c r="K982" s="22">
        <v>0</v>
      </c>
      <c r="L982" s="23"/>
      <c r="M982" s="22">
        <v>0</v>
      </c>
      <c r="N982" s="72">
        <v>0</v>
      </c>
      <c r="O982" s="22">
        <v>0</v>
      </c>
      <c r="P982" s="21">
        <v>590000</v>
      </c>
      <c r="S982" s="101" t="b">
        <f>OR(COUNTIF(Tabla2[[#This Row],[PROVEEDOR]],"*"&amp;'Palabra no opera'!$A$2&amp;"*"))</f>
        <v>0</v>
      </c>
      <c r="T982" s="113">
        <f>+$W$5-Tabla2[[#This Row],[FECHA DE FACTURACIÓN]]</f>
        <v>291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15" t="str">
        <f>+IF(AND(Tabla2[[#This Row],[venc]]="venc",Tabla2[[#This Row],[Columna1]]="por pagar"),"vencida","no")</f>
        <v>no</v>
      </c>
    </row>
    <row r="983" spans="1:23" ht="15.75" x14ac:dyDescent="0.25">
      <c r="A983" s="20">
        <v>30</v>
      </c>
      <c r="B983" s="25">
        <v>0</v>
      </c>
      <c r="C983" s="25"/>
      <c r="D983" s="56" t="s">
        <v>104</v>
      </c>
      <c r="E983" s="66">
        <v>45031</v>
      </c>
      <c r="F983" s="323" t="s">
        <v>311</v>
      </c>
      <c r="G983" s="66">
        <v>45030</v>
      </c>
      <c r="H983" s="35">
        <v>681860</v>
      </c>
      <c r="I983" s="21">
        <v>3556280</v>
      </c>
      <c r="J983" s="21"/>
      <c r="K983" s="22">
        <v>0</v>
      </c>
      <c r="L983" s="23"/>
      <c r="M983" s="22">
        <v>0</v>
      </c>
      <c r="N983" s="72">
        <v>0</v>
      </c>
      <c r="O983" s="22">
        <v>0</v>
      </c>
      <c r="P983" s="21">
        <v>3556280</v>
      </c>
      <c r="S983" s="101" t="b">
        <f>OR(COUNTIF(Tabla2[[#This Row],[PROVEEDOR]],"*"&amp;'Palabra no opera'!$A$2&amp;"*"))</f>
        <v>0</v>
      </c>
      <c r="T983" s="113">
        <f>+$W$5-Tabla2[[#This Row],[FECHA DE FACTURACIÓN]]</f>
        <v>292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15" t="str">
        <f>+IF(AND(Tabla2[[#This Row],[venc]]="venc",Tabla2[[#This Row],[Columna1]]="por pagar"),"vencida","no")</f>
        <v>no</v>
      </c>
    </row>
    <row r="984" spans="1:23" ht="15.75" x14ac:dyDescent="0.25">
      <c r="A984" s="20">
        <v>30</v>
      </c>
      <c r="B984" s="25">
        <v>0</v>
      </c>
      <c r="C984" s="25"/>
      <c r="D984" s="56" t="s">
        <v>1561</v>
      </c>
      <c r="E984" s="66">
        <v>45031</v>
      </c>
      <c r="F984" s="323" t="s">
        <v>203</v>
      </c>
      <c r="G984" s="66">
        <v>45027</v>
      </c>
      <c r="H984" s="35" t="s">
        <v>723</v>
      </c>
      <c r="I984" s="21">
        <v>0</v>
      </c>
      <c r="J984" s="21"/>
      <c r="K984" s="22">
        <v>0</v>
      </c>
      <c r="L984" s="23"/>
      <c r="M984" s="22">
        <v>0</v>
      </c>
      <c r="N984" s="72">
        <v>0</v>
      </c>
      <c r="O984" s="22">
        <v>0</v>
      </c>
      <c r="P984" s="21">
        <v>0</v>
      </c>
      <c r="S984" s="101" t="b">
        <f>OR(COUNTIF(Tabla2[[#This Row],[PROVEEDOR]],"*"&amp;'Palabra no opera'!$A$2&amp;"*"))</f>
        <v>0</v>
      </c>
      <c r="T984" s="113">
        <f>+$W$5-Tabla2[[#This Row],[FECHA DE FACTURACIÓN]]</f>
        <v>295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15" t="str">
        <f>+IF(AND(Tabla2[[#This Row],[venc]]="venc",Tabla2[[#This Row],[Columna1]]="por pagar"),"vencida","no")</f>
        <v>no</v>
      </c>
    </row>
    <row r="985" spans="1:23" ht="15.75" x14ac:dyDescent="0.25">
      <c r="A985" s="20">
        <v>30</v>
      </c>
      <c r="B985" s="25">
        <v>0</v>
      </c>
      <c r="C985" s="25"/>
      <c r="D985" s="56" t="s">
        <v>1561</v>
      </c>
      <c r="E985" s="66">
        <v>45031</v>
      </c>
      <c r="F985" s="323" t="s">
        <v>203</v>
      </c>
      <c r="G985" s="66">
        <v>45027</v>
      </c>
      <c r="H985" s="35" t="s">
        <v>724</v>
      </c>
      <c r="I985" s="21">
        <v>146984</v>
      </c>
      <c r="J985" s="21"/>
      <c r="K985" s="22">
        <v>0</v>
      </c>
      <c r="L985" s="23"/>
      <c r="M985" s="22">
        <v>0</v>
      </c>
      <c r="N985" s="72">
        <v>0</v>
      </c>
      <c r="O985" s="22">
        <v>0</v>
      </c>
      <c r="P985" s="21">
        <v>146984</v>
      </c>
      <c r="S985" s="101" t="b">
        <f>OR(COUNTIF(Tabla2[[#This Row],[PROVEEDOR]],"*"&amp;'Palabra no opera'!$A$2&amp;"*"))</f>
        <v>0</v>
      </c>
      <c r="T985" s="113">
        <f>+$W$5-Tabla2[[#This Row],[FECHA DE FACTURACIÓN]]</f>
        <v>295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15" t="str">
        <f>+IF(AND(Tabla2[[#This Row],[venc]]="venc",Tabla2[[#This Row],[Columna1]]="por pagar"),"vencida","no")</f>
        <v>no</v>
      </c>
    </row>
    <row r="986" spans="1:23" ht="15.75" x14ac:dyDescent="0.25">
      <c r="A986" s="20">
        <v>30</v>
      </c>
      <c r="B986" s="25">
        <v>0</v>
      </c>
      <c r="C986" s="25"/>
      <c r="D986" s="56" t="s">
        <v>1561</v>
      </c>
      <c r="E986" s="66">
        <v>45031</v>
      </c>
      <c r="F986" s="323" t="s">
        <v>93</v>
      </c>
      <c r="G986" s="66">
        <v>45026</v>
      </c>
      <c r="H986" s="35" t="s">
        <v>732</v>
      </c>
      <c r="I986" s="21">
        <v>0</v>
      </c>
      <c r="J986" s="21"/>
      <c r="K986" s="22">
        <v>0</v>
      </c>
      <c r="L986" s="23"/>
      <c r="M986" s="22">
        <v>0</v>
      </c>
      <c r="N986" s="72">
        <v>0</v>
      </c>
      <c r="O986" s="22">
        <v>0</v>
      </c>
      <c r="P986" s="21">
        <v>0</v>
      </c>
      <c r="S986" s="101" t="b">
        <f>OR(COUNTIF(Tabla2[[#This Row],[PROVEEDOR]],"*"&amp;'Palabra no opera'!$A$2&amp;"*"))</f>
        <v>0</v>
      </c>
      <c r="T986" s="113">
        <f>+$W$5-Tabla2[[#This Row],[FECHA DE FACTURACIÓN]]</f>
        <v>296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15" t="str">
        <f>+IF(AND(Tabla2[[#This Row],[venc]]="venc",Tabla2[[#This Row],[Columna1]]="por pagar"),"vencida","no")</f>
        <v>no</v>
      </c>
    </row>
    <row r="987" spans="1:23" ht="15.75" x14ac:dyDescent="0.25">
      <c r="A987" s="20">
        <v>30</v>
      </c>
      <c r="B987" s="25">
        <v>0</v>
      </c>
      <c r="C987" s="25"/>
      <c r="D987" s="56" t="s">
        <v>1561</v>
      </c>
      <c r="E987" s="66">
        <v>45031</v>
      </c>
      <c r="F987" s="323" t="s">
        <v>93</v>
      </c>
      <c r="G987" s="66">
        <v>45026</v>
      </c>
      <c r="H987" s="35" t="s">
        <v>733</v>
      </c>
      <c r="I987" s="21">
        <v>16984</v>
      </c>
      <c r="J987" s="21"/>
      <c r="K987" s="22">
        <v>0</v>
      </c>
      <c r="L987" s="23"/>
      <c r="M987" s="22">
        <v>0</v>
      </c>
      <c r="N987" s="72">
        <v>0</v>
      </c>
      <c r="O987" s="22">
        <v>0</v>
      </c>
      <c r="P987" s="21">
        <v>16984</v>
      </c>
      <c r="S987" s="101" t="b">
        <f>OR(COUNTIF(Tabla2[[#This Row],[PROVEEDOR]],"*"&amp;'Palabra no opera'!$A$2&amp;"*"))</f>
        <v>0</v>
      </c>
      <c r="T987" s="113">
        <f>+$W$5-Tabla2[[#This Row],[FECHA DE FACTURACIÓN]]</f>
        <v>296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15" t="str">
        <f>+IF(AND(Tabla2[[#This Row],[venc]]="venc",Tabla2[[#This Row],[Columna1]]="por pagar"),"vencida","no")</f>
        <v>no</v>
      </c>
    </row>
    <row r="988" spans="1:23" ht="15.75" x14ac:dyDescent="0.25">
      <c r="A988" s="20">
        <v>30</v>
      </c>
      <c r="B988" s="25">
        <v>0</v>
      </c>
      <c r="C988" s="25"/>
      <c r="D988" s="56" t="s">
        <v>1561</v>
      </c>
      <c r="E988" s="66">
        <v>45031</v>
      </c>
      <c r="F988" s="323" t="s">
        <v>203</v>
      </c>
      <c r="G988" s="66">
        <v>45022</v>
      </c>
      <c r="H988" s="35" t="s">
        <v>532</v>
      </c>
      <c r="I988" s="21">
        <v>-1008779</v>
      </c>
      <c r="J988" s="21"/>
      <c r="K988" s="22">
        <v>0</v>
      </c>
      <c r="L988" s="23"/>
      <c r="M988" s="22">
        <v>0</v>
      </c>
      <c r="N988" s="72">
        <v>0</v>
      </c>
      <c r="O988" s="22">
        <v>0</v>
      </c>
      <c r="P988" s="21">
        <v>-1008779</v>
      </c>
      <c r="S988" s="101" t="b">
        <f>OR(COUNTIF(Tabla2[[#This Row],[PROVEEDOR]],"*"&amp;'Palabra no opera'!$A$2&amp;"*"))</f>
        <v>0</v>
      </c>
      <c r="T988" s="113">
        <f>+$W$5-Tabla2[[#This Row],[FECHA DE FACTURACIÓN]]</f>
        <v>300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15" t="str">
        <f>+IF(AND(Tabla2[[#This Row],[venc]]="venc",Tabla2[[#This Row],[Columna1]]="por pagar"),"vencida","no")</f>
        <v>no</v>
      </c>
    </row>
    <row r="989" spans="1:23" ht="15.75" x14ac:dyDescent="0.25">
      <c r="A989" s="20">
        <v>30</v>
      </c>
      <c r="B989" s="25">
        <v>0</v>
      </c>
      <c r="C989" s="25"/>
      <c r="D989" s="56" t="s">
        <v>1561</v>
      </c>
      <c r="E989" s="66">
        <v>45031</v>
      </c>
      <c r="F989" s="323" t="s">
        <v>203</v>
      </c>
      <c r="G989" s="66">
        <v>45009</v>
      </c>
      <c r="H989" s="35">
        <v>560</v>
      </c>
      <c r="I989" s="21">
        <v>32039</v>
      </c>
      <c r="J989" s="21"/>
      <c r="K989" s="22">
        <v>0</v>
      </c>
      <c r="L989" s="23"/>
      <c r="M989" s="22">
        <v>0</v>
      </c>
      <c r="N989" s="72">
        <v>0</v>
      </c>
      <c r="O989" s="22">
        <v>0</v>
      </c>
      <c r="P989" s="21">
        <v>32039</v>
      </c>
      <c r="S989" s="101" t="b">
        <f>OR(COUNTIF(Tabla2[[#This Row],[PROVEEDOR]],"*"&amp;'Palabra no opera'!$A$2&amp;"*"))</f>
        <v>0</v>
      </c>
      <c r="T989" s="113">
        <f>+$W$5-Tabla2[[#This Row],[FECHA DE FACTURACIÓN]]</f>
        <v>313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15" t="str">
        <f>+IF(AND(Tabla2[[#This Row],[venc]]="venc",Tabla2[[#This Row],[Columna1]]="por pagar"),"vencida","no")</f>
        <v>no</v>
      </c>
    </row>
    <row r="990" spans="1:23" ht="15.75" x14ac:dyDescent="0.25">
      <c r="A990" s="20">
        <v>30</v>
      </c>
      <c r="B990" s="25">
        <v>0</v>
      </c>
      <c r="C990" s="25"/>
      <c r="D990" s="56" t="s">
        <v>1561</v>
      </c>
      <c r="E990" s="66">
        <v>45031</v>
      </c>
      <c r="F990" s="323" t="s">
        <v>203</v>
      </c>
      <c r="G990" s="66">
        <v>45008</v>
      </c>
      <c r="H990" s="35">
        <v>559</v>
      </c>
      <c r="I990" s="21">
        <v>0</v>
      </c>
      <c r="J990" s="21"/>
      <c r="K990" s="22">
        <v>0</v>
      </c>
      <c r="L990" s="23"/>
      <c r="M990" s="22">
        <v>0</v>
      </c>
      <c r="N990" s="72">
        <v>0</v>
      </c>
      <c r="O990" s="22">
        <v>0</v>
      </c>
      <c r="P990" s="21">
        <v>0</v>
      </c>
      <c r="S990" s="101" t="b">
        <f>OR(COUNTIF(Tabla2[[#This Row],[PROVEEDOR]],"*"&amp;'Palabra no opera'!$A$2&amp;"*"))</f>
        <v>0</v>
      </c>
      <c r="T990" s="113">
        <f>+$W$5-Tabla2[[#This Row],[FECHA DE FACTURACIÓN]]</f>
        <v>314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15" t="str">
        <f>+IF(AND(Tabla2[[#This Row],[venc]]="venc",Tabla2[[#This Row],[Columna1]]="por pagar"),"vencida","no")</f>
        <v>no</v>
      </c>
    </row>
    <row r="991" spans="1:23" ht="15.75" x14ac:dyDescent="0.25">
      <c r="A991" s="20">
        <v>30</v>
      </c>
      <c r="B991" s="25">
        <v>0</v>
      </c>
      <c r="C991" s="25"/>
      <c r="D991" s="56" t="s">
        <v>1561</v>
      </c>
      <c r="E991" s="66">
        <v>45031</v>
      </c>
      <c r="F991" s="323" t="s">
        <v>203</v>
      </c>
      <c r="G991" s="66">
        <v>44957</v>
      </c>
      <c r="H991" s="35">
        <v>532</v>
      </c>
      <c r="I991" s="21">
        <v>67538</v>
      </c>
      <c r="J991" s="21"/>
      <c r="K991" s="22">
        <v>0</v>
      </c>
      <c r="L991" s="23"/>
      <c r="M991" s="22">
        <v>0</v>
      </c>
      <c r="N991" s="72">
        <v>0</v>
      </c>
      <c r="O991" s="22">
        <v>0</v>
      </c>
      <c r="P991" s="21">
        <v>67538</v>
      </c>
      <c r="S991" s="101" t="b">
        <f>OR(COUNTIF(Tabla2[[#This Row],[PROVEEDOR]],"*"&amp;'Palabra no opera'!$A$2&amp;"*"))</f>
        <v>0</v>
      </c>
      <c r="T991" s="113">
        <f>+$W$5-Tabla2[[#This Row],[FECHA DE FACTURACIÓN]]</f>
        <v>365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15" t="str">
        <f>+IF(AND(Tabla2[[#This Row],[venc]]="venc",Tabla2[[#This Row],[Columna1]]="por pagar"),"vencida","no")</f>
        <v>no</v>
      </c>
    </row>
    <row r="992" spans="1:23" ht="15.75" x14ac:dyDescent="0.25">
      <c r="A992" s="20">
        <v>30</v>
      </c>
      <c r="B992" s="25">
        <v>0</v>
      </c>
      <c r="C992" s="25"/>
      <c r="D992" s="56" t="s">
        <v>104</v>
      </c>
      <c r="E992" s="66">
        <v>45030</v>
      </c>
      <c r="F992" s="323" t="s">
        <v>279</v>
      </c>
      <c r="G992" s="66">
        <v>45030</v>
      </c>
      <c r="H992" s="35" t="s">
        <v>766</v>
      </c>
      <c r="I992" s="21">
        <v>90000</v>
      </c>
      <c r="J992" s="21"/>
      <c r="K992" s="22">
        <v>0</v>
      </c>
      <c r="L992" s="23"/>
      <c r="M992" s="22">
        <v>0</v>
      </c>
      <c r="N992" s="72">
        <v>0</v>
      </c>
      <c r="O992" s="22">
        <v>0</v>
      </c>
      <c r="P992" s="21">
        <v>90000</v>
      </c>
      <c r="S992" s="101" t="b">
        <f>OR(COUNTIF(Tabla2[[#This Row],[PROVEEDOR]],"*"&amp;'Palabra no opera'!$A$2&amp;"*"))</f>
        <v>0</v>
      </c>
      <c r="T992" s="113">
        <f>+$W$5-Tabla2[[#This Row],[FECHA DE FACTURACIÓN]]</f>
        <v>292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15" t="str">
        <f>+IF(AND(Tabla2[[#This Row],[venc]]="venc",Tabla2[[#This Row],[Columna1]]="por pagar"),"vencida","no")</f>
        <v>no</v>
      </c>
    </row>
    <row r="993" spans="1:23" ht="15.75" x14ac:dyDescent="0.25">
      <c r="A993" s="20">
        <v>30</v>
      </c>
      <c r="B993" s="25">
        <v>4282200</v>
      </c>
      <c r="C993" s="25"/>
      <c r="D993" s="56" t="s">
        <v>217</v>
      </c>
      <c r="E993" s="66">
        <v>45030</v>
      </c>
      <c r="F993" s="323" t="s">
        <v>312</v>
      </c>
      <c r="G993" s="66">
        <v>45030</v>
      </c>
      <c r="H993" s="35" t="s">
        <v>1094</v>
      </c>
      <c r="I993" s="21">
        <v>89000</v>
      </c>
      <c r="J993" s="21"/>
      <c r="K993" s="22">
        <v>0</v>
      </c>
      <c r="L993" s="23"/>
      <c r="M993" s="22">
        <v>0</v>
      </c>
      <c r="N993" s="72">
        <v>0</v>
      </c>
      <c r="O993" s="22">
        <v>0</v>
      </c>
      <c r="P993" s="21">
        <v>89000</v>
      </c>
      <c r="S993" s="101" t="b">
        <f>OR(COUNTIF(Tabla2[[#This Row],[PROVEEDOR]],"*"&amp;'Palabra no opera'!$A$2&amp;"*"))</f>
        <v>0</v>
      </c>
      <c r="T993" s="113">
        <f>+$W$5-Tabla2[[#This Row],[FECHA DE FACTURACIÓN]]</f>
        <v>292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15" t="str">
        <f>+IF(AND(Tabla2[[#This Row],[venc]]="venc",Tabla2[[#This Row],[Columna1]]="por pagar"),"vencida","no")</f>
        <v>no</v>
      </c>
    </row>
    <row r="994" spans="1:23" ht="15.75" x14ac:dyDescent="0.25">
      <c r="A994" s="20">
        <v>30</v>
      </c>
      <c r="B994" s="25">
        <v>0</v>
      </c>
      <c r="C994" s="25"/>
      <c r="D994" s="56" t="s">
        <v>104</v>
      </c>
      <c r="E994" s="66">
        <v>45030</v>
      </c>
      <c r="F994" s="323" t="s">
        <v>277</v>
      </c>
      <c r="G994" s="66">
        <v>45029</v>
      </c>
      <c r="H994" s="35" t="s">
        <v>772</v>
      </c>
      <c r="I994" s="21">
        <v>2877000</v>
      </c>
      <c r="J994" s="21"/>
      <c r="K994" s="22">
        <v>0</v>
      </c>
      <c r="L994" s="23"/>
      <c r="M994" s="22">
        <v>0</v>
      </c>
      <c r="N994" s="72">
        <v>0</v>
      </c>
      <c r="O994" s="22">
        <v>0</v>
      </c>
      <c r="P994" s="21">
        <v>2877000</v>
      </c>
      <c r="S994" s="101" t="b">
        <f>OR(COUNTIF(Tabla2[[#This Row],[PROVEEDOR]],"*"&amp;'Palabra no opera'!$A$2&amp;"*"))</f>
        <v>0</v>
      </c>
      <c r="T994" s="113">
        <f>+$W$5-Tabla2[[#This Row],[FECHA DE FACTURACIÓN]]</f>
        <v>293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15" t="str">
        <f>+IF(AND(Tabla2[[#This Row],[venc]]="venc",Tabla2[[#This Row],[Columna1]]="por pagar"),"vencida","no")</f>
        <v>no</v>
      </c>
    </row>
    <row r="995" spans="1:23" ht="15.75" x14ac:dyDescent="0.25">
      <c r="A995" s="20">
        <v>30</v>
      </c>
      <c r="B995" s="25">
        <v>0</v>
      </c>
      <c r="C995" s="25"/>
      <c r="D995" s="56" t="s">
        <v>1508</v>
      </c>
      <c r="E995" s="66">
        <v>45030</v>
      </c>
      <c r="F995" s="323" t="s">
        <v>406</v>
      </c>
      <c r="G995" s="66">
        <v>45019</v>
      </c>
      <c r="H995" s="35" t="s">
        <v>730</v>
      </c>
      <c r="I995" s="21">
        <v>1840056</v>
      </c>
      <c r="J995" s="21"/>
      <c r="K995" s="22">
        <v>0</v>
      </c>
      <c r="L995" s="23"/>
      <c r="M995" s="22">
        <v>105097</v>
      </c>
      <c r="N995" s="72">
        <v>0</v>
      </c>
      <c r="O995" s="22">
        <v>0</v>
      </c>
      <c r="P995" s="21">
        <v>1734959</v>
      </c>
      <c r="S995" s="101" t="b">
        <f>OR(COUNTIF(Tabla2[[#This Row],[PROVEEDOR]],"*"&amp;'Palabra no opera'!$A$2&amp;"*"))</f>
        <v>1</v>
      </c>
      <c r="T995" s="113">
        <f>+$W$5-Tabla2[[#This Row],[FECHA DE FACTURACIÓN]]</f>
        <v>303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15" t="str">
        <f>+IF(AND(Tabla2[[#This Row],[venc]]="venc",Tabla2[[#This Row],[Columna1]]="por pagar"),"vencida","no")</f>
        <v>no</v>
      </c>
    </row>
    <row r="996" spans="1:23" ht="15.75" x14ac:dyDescent="0.25">
      <c r="A996" s="20">
        <v>30</v>
      </c>
      <c r="B996" s="25">
        <v>1500000</v>
      </c>
      <c r="C996" s="25"/>
      <c r="D996" s="56" t="s">
        <v>104</v>
      </c>
      <c r="E996" s="66">
        <v>45030</v>
      </c>
      <c r="F996" s="323" t="s">
        <v>273</v>
      </c>
      <c r="G996" s="66">
        <v>44978</v>
      </c>
      <c r="H996" s="35" t="s">
        <v>639</v>
      </c>
      <c r="I996" s="21">
        <v>1395000</v>
      </c>
      <c r="J996" s="21"/>
      <c r="K996" s="22">
        <v>0</v>
      </c>
      <c r="L996" s="23"/>
      <c r="M996" s="22">
        <v>0</v>
      </c>
      <c r="N996" s="72">
        <v>0</v>
      </c>
      <c r="O996" s="22">
        <v>0</v>
      </c>
      <c r="P996" s="21">
        <v>1395000</v>
      </c>
      <c r="S996" s="101" t="b">
        <f>OR(COUNTIF(Tabla2[[#This Row],[PROVEEDOR]],"*"&amp;'Palabra no opera'!$A$2&amp;"*"))</f>
        <v>0</v>
      </c>
      <c r="T996" s="113">
        <f>+$W$5-Tabla2[[#This Row],[FECHA DE FACTURACIÓN]]</f>
        <v>344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15" t="str">
        <f>+IF(AND(Tabla2[[#This Row],[venc]]="venc",Tabla2[[#This Row],[Columna1]]="por pagar"),"vencida","no")</f>
        <v>no</v>
      </c>
    </row>
    <row r="997" spans="1:23" ht="15.75" x14ac:dyDescent="0.25">
      <c r="A997" s="20">
        <v>30</v>
      </c>
      <c r="B997" s="25">
        <v>609280</v>
      </c>
      <c r="C997" s="25"/>
      <c r="D997" s="56" t="s">
        <v>232</v>
      </c>
      <c r="E997" s="66">
        <v>45030</v>
      </c>
      <c r="F997" s="323" t="s">
        <v>33</v>
      </c>
      <c r="G997" s="66">
        <v>44964</v>
      </c>
      <c r="H997" s="35" t="s">
        <v>607</v>
      </c>
      <c r="I997" s="21">
        <v>8898000</v>
      </c>
      <c r="J997" s="21"/>
      <c r="K997" s="22">
        <v>1690620</v>
      </c>
      <c r="L997" s="23"/>
      <c r="M997" s="22">
        <v>0</v>
      </c>
      <c r="N997" s="72">
        <v>2.5000000000000001E-2</v>
      </c>
      <c r="O997" s="22">
        <v>222450</v>
      </c>
      <c r="P997" s="21">
        <v>10366170</v>
      </c>
      <c r="S997" s="101" t="b">
        <f>OR(COUNTIF(Tabla2[[#This Row],[PROVEEDOR]],"*"&amp;'Palabra no opera'!$A$2&amp;"*"))</f>
        <v>0</v>
      </c>
      <c r="T997" s="113">
        <f>+$W$5-Tabla2[[#This Row],[FECHA DE FACTURACIÓN]]</f>
        <v>358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15" t="str">
        <f>+IF(AND(Tabla2[[#This Row],[venc]]="venc",Tabla2[[#This Row],[Columna1]]="por pagar"),"vencida","no")</f>
        <v>no</v>
      </c>
    </row>
    <row r="998" spans="1:23" ht="15.75" x14ac:dyDescent="0.25">
      <c r="A998" s="20">
        <v>30</v>
      </c>
      <c r="B998" s="25">
        <v>0</v>
      </c>
      <c r="C998" s="25"/>
      <c r="D998" s="56">
        <v>0</v>
      </c>
      <c r="E998" s="66">
        <v>45029</v>
      </c>
      <c r="F998" s="323" t="s">
        <v>185</v>
      </c>
      <c r="G998" s="66">
        <v>45029</v>
      </c>
      <c r="H998" s="35" t="s">
        <v>777</v>
      </c>
      <c r="I998" s="21">
        <v>175456</v>
      </c>
      <c r="J998" s="21"/>
      <c r="K998" s="22">
        <v>33336.639999999999</v>
      </c>
      <c r="L998" s="23"/>
      <c r="M998" s="22">
        <v>0</v>
      </c>
      <c r="N998" s="72">
        <v>0</v>
      </c>
      <c r="O998" s="22">
        <v>0</v>
      </c>
      <c r="P998" s="21">
        <v>208792.64</v>
      </c>
      <c r="S998" s="101" t="b">
        <f>OR(COUNTIF(Tabla2[[#This Row],[PROVEEDOR]],"*"&amp;'Palabra no opera'!$A$2&amp;"*"))</f>
        <v>0</v>
      </c>
      <c r="T998" s="113">
        <f>+$W$5-Tabla2[[#This Row],[FECHA DE FACTURACIÓN]]</f>
        <v>293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15" t="str">
        <f>+IF(AND(Tabla2[[#This Row],[venc]]="venc",Tabla2[[#This Row],[Columna1]]="por pagar"),"vencida","no")</f>
        <v>no</v>
      </c>
    </row>
    <row r="999" spans="1:23" ht="15.75" x14ac:dyDescent="0.25">
      <c r="A999" s="20">
        <v>30</v>
      </c>
      <c r="B999" s="25">
        <v>0</v>
      </c>
      <c r="C999" s="25"/>
      <c r="D999" s="56" t="s">
        <v>104</v>
      </c>
      <c r="E999" s="66">
        <v>45029</v>
      </c>
      <c r="F999" s="323" t="s">
        <v>308</v>
      </c>
      <c r="G999" s="66">
        <v>44986</v>
      </c>
      <c r="H999" s="35" t="s">
        <v>698</v>
      </c>
      <c r="I999" s="21">
        <v>764000</v>
      </c>
      <c r="J999" s="21"/>
      <c r="K999" s="22">
        <v>0</v>
      </c>
      <c r="L999" s="23"/>
      <c r="M999" s="22">
        <v>0</v>
      </c>
      <c r="N999" s="72">
        <v>0</v>
      </c>
      <c r="O999" s="22">
        <v>0</v>
      </c>
      <c r="P999" s="21">
        <v>764000</v>
      </c>
      <c r="S999" s="101" t="b">
        <f>OR(COUNTIF(Tabla2[[#This Row],[PROVEEDOR]],"*"&amp;'Palabra no opera'!$A$2&amp;"*"))</f>
        <v>0</v>
      </c>
      <c r="T999" s="113">
        <f>+$W$5-Tabla2[[#This Row],[FECHA DE FACTURACIÓN]]</f>
        <v>336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15" t="str">
        <f>+IF(AND(Tabla2[[#This Row],[venc]]="venc",Tabla2[[#This Row],[Columna1]]="por pagar"),"vencida","no")</f>
        <v>no</v>
      </c>
    </row>
    <row r="1000" spans="1:23" ht="15.75" x14ac:dyDescent="0.25">
      <c r="A1000" s="20">
        <v>30</v>
      </c>
      <c r="B1000" s="25">
        <v>4282200</v>
      </c>
      <c r="C1000" s="25"/>
      <c r="D1000" s="56" t="s">
        <v>217</v>
      </c>
      <c r="E1000" s="66">
        <v>45029</v>
      </c>
      <c r="F1000" s="323" t="s">
        <v>312</v>
      </c>
      <c r="G1000" s="66">
        <v>44953</v>
      </c>
      <c r="H1000" s="35" t="s">
        <v>573</v>
      </c>
      <c r="I1000" s="21">
        <v>1808800</v>
      </c>
      <c r="J1000" s="21"/>
      <c r="K1000" s="22">
        <v>0</v>
      </c>
      <c r="L1000" s="23"/>
      <c r="M1000" s="22">
        <v>0</v>
      </c>
      <c r="N1000" s="72">
        <v>0</v>
      </c>
      <c r="O1000" s="22">
        <v>0</v>
      </c>
      <c r="P1000" s="21">
        <v>1808800</v>
      </c>
      <c r="S1000" s="101" t="b">
        <f>OR(COUNTIF(Tabla2[[#This Row],[PROVEEDOR]],"*"&amp;'Palabra no opera'!$A$2&amp;"*"))</f>
        <v>0</v>
      </c>
      <c r="T1000" s="113">
        <f>+$W$5-Tabla2[[#This Row],[FECHA DE FACTURACIÓN]]</f>
        <v>369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15" t="str">
        <f>+IF(AND(Tabla2[[#This Row],[venc]]="venc",Tabla2[[#This Row],[Columna1]]="por pagar"),"vencida","no")</f>
        <v>no</v>
      </c>
    </row>
    <row r="1001" spans="1:23" ht="15.75" x14ac:dyDescent="0.25">
      <c r="A1001" s="20">
        <v>30</v>
      </c>
      <c r="B1001" s="25">
        <v>0</v>
      </c>
      <c r="C1001" s="25"/>
      <c r="D1001" s="56" t="s">
        <v>104</v>
      </c>
      <c r="E1001" s="66">
        <v>45029</v>
      </c>
      <c r="F1001" s="323" t="s">
        <v>279</v>
      </c>
      <c r="G1001" s="66">
        <v>44942</v>
      </c>
      <c r="H1001" s="35" t="s">
        <v>562</v>
      </c>
      <c r="I1001" s="21">
        <v>258684</v>
      </c>
      <c r="J1001" s="21"/>
      <c r="K1001" s="22">
        <v>0</v>
      </c>
      <c r="L1001" s="23"/>
      <c r="M1001" s="22">
        <v>0</v>
      </c>
      <c r="N1001" s="72">
        <v>0</v>
      </c>
      <c r="O1001" s="22">
        <v>0</v>
      </c>
      <c r="P1001" s="21">
        <v>258684</v>
      </c>
      <c r="S1001" s="101" t="b">
        <f>OR(COUNTIF(Tabla2[[#This Row],[PROVEEDOR]],"*"&amp;'Palabra no opera'!$A$2&amp;"*"))</f>
        <v>0</v>
      </c>
      <c r="T1001" s="113">
        <f>+$W$5-Tabla2[[#This Row],[FECHA DE FACTURACIÓN]]</f>
        <v>380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15" t="str">
        <f>+IF(AND(Tabla2[[#This Row],[venc]]="venc",Tabla2[[#This Row],[Columna1]]="por pagar"),"vencida","no")</f>
        <v>no</v>
      </c>
    </row>
    <row r="1002" spans="1:23" ht="15.75" x14ac:dyDescent="0.25">
      <c r="A1002" s="20">
        <v>30</v>
      </c>
      <c r="B1002" s="25">
        <v>0</v>
      </c>
      <c r="C1002" s="25"/>
      <c r="D1002" s="56" t="s">
        <v>190</v>
      </c>
      <c r="E1002" s="66">
        <v>45029</v>
      </c>
      <c r="F1002" s="323" t="s">
        <v>307</v>
      </c>
      <c r="G1002" s="66">
        <v>44929</v>
      </c>
      <c r="H1002" s="35">
        <v>2740</v>
      </c>
      <c r="I1002" s="21">
        <v>2348000</v>
      </c>
      <c r="J1002" s="21"/>
      <c r="K1002" s="22">
        <v>0</v>
      </c>
      <c r="L1002" s="23"/>
      <c r="M1002" s="22">
        <v>0</v>
      </c>
      <c r="N1002" s="72">
        <v>0</v>
      </c>
      <c r="O1002" s="22">
        <v>0</v>
      </c>
      <c r="P1002" s="21">
        <v>2348000</v>
      </c>
      <c r="S1002" s="101" t="b">
        <f>OR(COUNTIF(Tabla2[[#This Row],[PROVEEDOR]],"*"&amp;'Palabra no opera'!$A$2&amp;"*"))</f>
        <v>0</v>
      </c>
      <c r="T1002" s="113">
        <f>+$W$5-Tabla2[[#This Row],[FECHA DE FACTURACIÓN]]</f>
        <v>393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15" t="str">
        <f>+IF(AND(Tabla2[[#This Row],[venc]]="venc",Tabla2[[#This Row],[Columna1]]="por pagar"),"vencida","no")</f>
        <v>no</v>
      </c>
    </row>
    <row r="1003" spans="1:23" ht="15.75" x14ac:dyDescent="0.25">
      <c r="A1003" s="20">
        <v>30</v>
      </c>
      <c r="B1003" s="25">
        <v>4202500</v>
      </c>
      <c r="C1003" s="25"/>
      <c r="D1003" s="56" t="s">
        <v>231</v>
      </c>
      <c r="E1003" s="66">
        <v>45028</v>
      </c>
      <c r="F1003" s="323" t="s">
        <v>301</v>
      </c>
      <c r="G1003" s="66">
        <v>44983</v>
      </c>
      <c r="H1003" s="35" t="s">
        <v>635</v>
      </c>
      <c r="I1003" s="21">
        <v>2550000</v>
      </c>
      <c r="J1003" s="21"/>
      <c r="K1003" s="22">
        <v>0</v>
      </c>
      <c r="L1003" s="23"/>
      <c r="M1003" s="22">
        <v>0</v>
      </c>
      <c r="N1003" s="72">
        <v>0</v>
      </c>
      <c r="O1003" s="22">
        <v>0</v>
      </c>
      <c r="P1003" s="21">
        <v>2550000</v>
      </c>
      <c r="S1003" s="101" t="b">
        <f>OR(COUNTIF(Tabla2[[#This Row],[PROVEEDOR]],"*"&amp;'Palabra no opera'!$A$2&amp;"*"))</f>
        <v>0</v>
      </c>
      <c r="T1003" s="113">
        <f>+$W$5-Tabla2[[#This Row],[FECHA DE FACTURACIÓN]]</f>
        <v>339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15" t="str">
        <f>+IF(AND(Tabla2[[#This Row],[venc]]="venc",Tabla2[[#This Row],[Columna1]]="por pagar"),"vencida","no")</f>
        <v>no</v>
      </c>
    </row>
    <row r="1004" spans="1:23" ht="15.75" x14ac:dyDescent="0.25">
      <c r="A1004" s="20">
        <v>30</v>
      </c>
      <c r="B1004" s="25">
        <v>3436655.6310000001</v>
      </c>
      <c r="C1004" s="25"/>
      <c r="D1004" s="56" t="s">
        <v>444</v>
      </c>
      <c r="E1004" s="66">
        <v>45028</v>
      </c>
      <c r="F1004" s="323" t="s">
        <v>32</v>
      </c>
      <c r="G1004" s="66">
        <v>44967</v>
      </c>
      <c r="H1004" s="35" t="s">
        <v>610</v>
      </c>
      <c r="I1004" s="21">
        <v>4044034</v>
      </c>
      <c r="J1004" s="21"/>
      <c r="K1004" s="22">
        <v>768366.46</v>
      </c>
      <c r="L1004" s="23"/>
      <c r="M1004" s="22">
        <v>0</v>
      </c>
      <c r="N1004" s="72">
        <v>2.5000000000000001E-2</v>
      </c>
      <c r="O1004" s="22">
        <v>101100.85</v>
      </c>
      <c r="P1004" s="21">
        <v>4711299.6100000003</v>
      </c>
      <c r="S1004" s="101" t="b">
        <f>OR(COUNTIF(Tabla2[[#This Row],[PROVEEDOR]],"*"&amp;'Palabra no opera'!$A$2&amp;"*"))</f>
        <v>0</v>
      </c>
      <c r="T1004" s="113">
        <f>+$W$5-Tabla2[[#This Row],[FECHA DE FACTURACIÓN]]</f>
        <v>355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15" t="str">
        <f>+IF(AND(Tabla2[[#This Row],[venc]]="venc",Tabla2[[#This Row],[Columna1]]="por pagar"),"vencida","no")</f>
        <v>no</v>
      </c>
    </row>
    <row r="1005" spans="1:23" ht="15.75" x14ac:dyDescent="0.25">
      <c r="A1005" s="20">
        <v>30</v>
      </c>
      <c r="B1005" s="25">
        <v>0</v>
      </c>
      <c r="C1005" s="25"/>
      <c r="D1005" s="56" t="s">
        <v>431</v>
      </c>
      <c r="E1005" s="66">
        <v>45027</v>
      </c>
      <c r="F1005" s="323" t="s">
        <v>460</v>
      </c>
      <c r="G1005" s="66">
        <v>45027</v>
      </c>
      <c r="H1005" s="35">
        <v>20549</v>
      </c>
      <c r="I1005" s="21">
        <v>240000</v>
      </c>
      <c r="J1005" s="21"/>
      <c r="K1005" s="22">
        <v>45600</v>
      </c>
      <c r="L1005" s="23"/>
      <c r="M1005" s="22">
        <v>0</v>
      </c>
      <c r="N1005" s="72">
        <v>0</v>
      </c>
      <c r="O1005" s="22">
        <v>0</v>
      </c>
      <c r="P1005" s="21">
        <v>285600</v>
      </c>
      <c r="S1005" s="101" t="b">
        <f>OR(COUNTIF(Tabla2[[#This Row],[PROVEEDOR]],"*"&amp;'Palabra no opera'!$A$2&amp;"*"))</f>
        <v>1</v>
      </c>
      <c r="T1005" s="113">
        <f>+$W$5-Tabla2[[#This Row],[FECHA DE FACTURACIÓN]]</f>
        <v>295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15" t="str">
        <f>+IF(AND(Tabla2[[#This Row],[venc]]="venc",Tabla2[[#This Row],[Columna1]]="por pagar"),"vencida","no")</f>
        <v>no</v>
      </c>
    </row>
    <row r="1006" spans="1:23" ht="15.75" x14ac:dyDescent="0.25">
      <c r="A1006" s="20">
        <v>30</v>
      </c>
      <c r="B1006" s="25">
        <v>0</v>
      </c>
      <c r="C1006" s="25"/>
      <c r="D1006" s="56" t="s">
        <v>104</v>
      </c>
      <c r="E1006" s="66">
        <v>45027</v>
      </c>
      <c r="F1006" s="323" t="s">
        <v>277</v>
      </c>
      <c r="G1006" s="66">
        <v>45026</v>
      </c>
      <c r="H1006" s="35" t="s">
        <v>763</v>
      </c>
      <c r="I1006" s="21">
        <v>5304000</v>
      </c>
      <c r="J1006" s="21"/>
      <c r="K1006" s="22">
        <v>0</v>
      </c>
      <c r="L1006" s="23"/>
      <c r="M1006" s="22">
        <v>0</v>
      </c>
      <c r="N1006" s="72">
        <v>0</v>
      </c>
      <c r="O1006" s="22">
        <v>0</v>
      </c>
      <c r="P1006" s="21">
        <v>5304000</v>
      </c>
      <c r="S1006" s="101" t="b">
        <f>OR(COUNTIF(Tabla2[[#This Row],[PROVEEDOR]],"*"&amp;'Palabra no opera'!$A$2&amp;"*"))</f>
        <v>0</v>
      </c>
      <c r="T1006" s="113">
        <f>+$W$5-Tabla2[[#This Row],[FECHA DE FACTURACIÓN]]</f>
        <v>296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15" t="str">
        <f>+IF(AND(Tabla2[[#This Row],[venc]]="venc",Tabla2[[#This Row],[Columna1]]="por pagar"),"vencida","no")</f>
        <v>no</v>
      </c>
    </row>
    <row r="1007" spans="1:23" ht="15.75" x14ac:dyDescent="0.25">
      <c r="A1007" s="20">
        <v>30</v>
      </c>
      <c r="B1007" s="25">
        <v>0</v>
      </c>
      <c r="C1007" s="25"/>
      <c r="D1007" s="56" t="s">
        <v>158</v>
      </c>
      <c r="E1007" s="66">
        <v>45027</v>
      </c>
      <c r="F1007" s="323" t="s">
        <v>486</v>
      </c>
      <c r="G1007" s="66">
        <v>45026</v>
      </c>
      <c r="H1007" s="35">
        <v>408</v>
      </c>
      <c r="I1007" s="21">
        <v>470000</v>
      </c>
      <c r="J1007" s="21"/>
      <c r="K1007" s="22">
        <v>0</v>
      </c>
      <c r="L1007" s="23"/>
      <c r="M1007" s="22">
        <v>0</v>
      </c>
      <c r="N1007" s="72">
        <v>0</v>
      </c>
      <c r="O1007" s="22">
        <v>0</v>
      </c>
      <c r="P1007" s="21">
        <v>470000</v>
      </c>
      <c r="S1007" s="101" t="b">
        <f>OR(COUNTIF(Tabla2[[#This Row],[PROVEEDOR]],"*"&amp;'Palabra no opera'!$A$2&amp;"*"))</f>
        <v>0</v>
      </c>
      <c r="T1007" s="113">
        <f>+$W$5-Tabla2[[#This Row],[FECHA DE FACTURACIÓN]]</f>
        <v>296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15" t="str">
        <f>+IF(AND(Tabla2[[#This Row],[venc]]="venc",Tabla2[[#This Row],[Columna1]]="por pagar"),"vencida","no")</f>
        <v>no</v>
      </c>
    </row>
    <row r="1008" spans="1:23" ht="15.75" x14ac:dyDescent="0.25">
      <c r="A1008" s="20">
        <v>30</v>
      </c>
      <c r="B1008" s="25">
        <v>0</v>
      </c>
      <c r="C1008" s="25"/>
      <c r="D1008" s="56" t="s">
        <v>158</v>
      </c>
      <c r="E1008" s="66">
        <v>45027</v>
      </c>
      <c r="F1008" s="323" t="s">
        <v>487</v>
      </c>
      <c r="G1008" s="66">
        <v>45026</v>
      </c>
      <c r="H1008" s="35" t="s">
        <v>735</v>
      </c>
      <c r="I1008" s="21">
        <v>300000</v>
      </c>
      <c r="J1008" s="21"/>
      <c r="K1008" s="22">
        <v>0</v>
      </c>
      <c r="L1008" s="23"/>
      <c r="M1008" s="22">
        <v>0</v>
      </c>
      <c r="N1008" s="72">
        <v>0.01</v>
      </c>
      <c r="O1008" s="22">
        <v>3000</v>
      </c>
      <c r="P1008" s="21">
        <v>297000</v>
      </c>
      <c r="S1008" s="101" t="b">
        <f>OR(COUNTIF(Tabla2[[#This Row],[PROVEEDOR]],"*"&amp;'Palabra no opera'!$A$2&amp;"*"))</f>
        <v>0</v>
      </c>
      <c r="T1008" s="113">
        <f>+$W$5-Tabla2[[#This Row],[FECHA DE FACTURACIÓN]]</f>
        <v>296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15" t="str">
        <f>+IF(AND(Tabla2[[#This Row],[venc]]="venc",Tabla2[[#This Row],[Columna1]]="por pagar"),"vencida","no")</f>
        <v>no</v>
      </c>
    </row>
    <row r="1009" spans="1:23" ht="15.75" x14ac:dyDescent="0.25">
      <c r="A1009" s="20">
        <v>30</v>
      </c>
      <c r="B1009" s="25">
        <v>0</v>
      </c>
      <c r="C1009" s="25"/>
      <c r="D1009" s="56">
        <v>0</v>
      </c>
      <c r="E1009" s="66">
        <v>45027</v>
      </c>
      <c r="F1009" s="323" t="s">
        <v>515</v>
      </c>
      <c r="G1009" s="66">
        <v>45017</v>
      </c>
      <c r="H1009" s="35">
        <v>6724</v>
      </c>
      <c r="I1009" s="21">
        <v>300000</v>
      </c>
      <c r="J1009" s="21"/>
      <c r="K1009" s="22">
        <v>0</v>
      </c>
      <c r="L1009" s="23"/>
      <c r="M1009" s="22">
        <v>0</v>
      </c>
      <c r="N1009" s="72">
        <v>0</v>
      </c>
      <c r="O1009" s="22">
        <v>0</v>
      </c>
      <c r="P1009" s="21">
        <v>300000</v>
      </c>
      <c r="S1009" s="101" t="b">
        <f>OR(COUNTIF(Tabla2[[#This Row],[PROVEEDOR]],"*"&amp;'Palabra no opera'!$A$2&amp;"*"))</f>
        <v>0</v>
      </c>
      <c r="T1009" s="113">
        <f>+$W$5-Tabla2[[#This Row],[FECHA DE FACTURACIÓN]]</f>
        <v>305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15" t="str">
        <f>+IF(AND(Tabla2[[#This Row],[venc]]="venc",Tabla2[[#This Row],[Columna1]]="por pagar"),"vencida","no")</f>
        <v>no</v>
      </c>
    </row>
    <row r="1010" spans="1:23" ht="15.75" x14ac:dyDescent="0.25">
      <c r="A1010" s="20">
        <v>30</v>
      </c>
      <c r="B1010" s="25">
        <v>0</v>
      </c>
      <c r="C1010" s="25"/>
      <c r="D1010" s="56" t="s">
        <v>174</v>
      </c>
      <c r="E1010" s="66">
        <v>45027</v>
      </c>
      <c r="F1010" s="323" t="s">
        <v>427</v>
      </c>
      <c r="G1010" s="66">
        <v>45017</v>
      </c>
      <c r="H1010" s="35" t="s">
        <v>734</v>
      </c>
      <c r="I1010" s="21">
        <v>243611</v>
      </c>
      <c r="J1010" s="21"/>
      <c r="K1010" s="22">
        <v>46286.090000000004</v>
      </c>
      <c r="L1010" s="23"/>
      <c r="M1010" s="22">
        <v>0</v>
      </c>
      <c r="N1010" s="72">
        <v>3.5000000000000003E-2</v>
      </c>
      <c r="O1010" s="22">
        <v>8526.3850000000002</v>
      </c>
      <c r="P1010" s="21">
        <v>281370.70500000002</v>
      </c>
      <c r="S1010" s="101" t="b">
        <f>OR(COUNTIF(Tabla2[[#This Row],[PROVEEDOR]],"*"&amp;'Palabra no opera'!$A$2&amp;"*"))</f>
        <v>1</v>
      </c>
      <c r="T1010" s="113">
        <f>+$W$5-Tabla2[[#This Row],[FECHA DE FACTURACIÓN]]</f>
        <v>305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15" t="str">
        <f>+IF(AND(Tabla2[[#This Row],[venc]]="venc",Tabla2[[#This Row],[Columna1]]="por pagar"),"vencida","no")</f>
        <v>no</v>
      </c>
    </row>
    <row r="1011" spans="1:23" ht="15.75" x14ac:dyDescent="0.25">
      <c r="A1011" s="20">
        <v>30</v>
      </c>
      <c r="B1011" s="25">
        <v>351000</v>
      </c>
      <c r="C1011" s="25"/>
      <c r="D1011" s="56">
        <v>0</v>
      </c>
      <c r="E1011" s="66">
        <v>45027</v>
      </c>
      <c r="F1011" s="323" t="s">
        <v>533</v>
      </c>
      <c r="G1011" s="66">
        <v>45014</v>
      </c>
      <c r="H1011" s="35">
        <v>423</v>
      </c>
      <c r="I1011" s="21">
        <v>468000</v>
      </c>
      <c r="J1011" s="21"/>
      <c r="K1011" s="22">
        <v>0</v>
      </c>
      <c r="L1011" s="23">
        <v>0.19</v>
      </c>
      <c r="M1011" s="22">
        <v>88920</v>
      </c>
      <c r="N1011" s="72">
        <v>0</v>
      </c>
      <c r="O1011" s="22">
        <v>0</v>
      </c>
      <c r="P1011" s="21">
        <v>379080</v>
      </c>
      <c r="S1011" s="101" t="b">
        <f>OR(COUNTIF(Tabla2[[#This Row],[PROVEEDOR]],"*"&amp;'Palabra no opera'!$A$2&amp;"*"))</f>
        <v>0</v>
      </c>
      <c r="T1011" s="113">
        <f>+$W$5-Tabla2[[#This Row],[FECHA DE FACTURACIÓN]]</f>
        <v>308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15" t="str">
        <f>+IF(AND(Tabla2[[#This Row],[venc]]="venc",Tabla2[[#This Row],[Columna1]]="por pagar"),"vencida","no")</f>
        <v>no</v>
      </c>
    </row>
    <row r="1012" spans="1:23" ht="15.75" x14ac:dyDescent="0.25">
      <c r="A1012" s="20">
        <v>30</v>
      </c>
      <c r="B1012" s="25">
        <v>351000</v>
      </c>
      <c r="C1012" s="25"/>
      <c r="D1012" s="56">
        <v>0</v>
      </c>
      <c r="E1012" s="66">
        <v>45027</v>
      </c>
      <c r="F1012" s="323" t="s">
        <v>533</v>
      </c>
      <c r="G1012" s="66">
        <v>45002</v>
      </c>
      <c r="H1012" s="35">
        <v>420</v>
      </c>
      <c r="I1012" s="21">
        <v>468000</v>
      </c>
      <c r="J1012" s="21"/>
      <c r="K1012" s="22">
        <v>0</v>
      </c>
      <c r="L1012" s="23">
        <v>0.19</v>
      </c>
      <c r="M1012" s="22">
        <v>88920</v>
      </c>
      <c r="N1012" s="72">
        <v>0</v>
      </c>
      <c r="O1012" s="22">
        <v>0</v>
      </c>
      <c r="P1012" s="21">
        <v>379080</v>
      </c>
      <c r="S1012" s="101" t="b">
        <f>OR(COUNTIF(Tabla2[[#This Row],[PROVEEDOR]],"*"&amp;'Palabra no opera'!$A$2&amp;"*"))</f>
        <v>0</v>
      </c>
      <c r="T1012" s="113">
        <f>+$W$5-Tabla2[[#This Row],[FECHA DE FACTURACIÓN]]</f>
        <v>320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15" t="str">
        <f>+IF(AND(Tabla2[[#This Row],[venc]]="venc",Tabla2[[#This Row],[Columna1]]="por pagar"),"vencida","no")</f>
        <v>no</v>
      </c>
    </row>
    <row r="1013" spans="1:23" ht="15.75" x14ac:dyDescent="0.25">
      <c r="A1013" s="20">
        <v>30</v>
      </c>
      <c r="B1013" s="25">
        <v>5972000</v>
      </c>
      <c r="C1013" s="25"/>
      <c r="D1013" s="56">
        <v>0</v>
      </c>
      <c r="E1013" s="66">
        <v>45027</v>
      </c>
      <c r="F1013" s="323" t="s">
        <v>512</v>
      </c>
      <c r="G1013" s="66">
        <v>44992</v>
      </c>
      <c r="H1013" s="35">
        <v>9740</v>
      </c>
      <c r="I1013" s="21">
        <v>1237000</v>
      </c>
      <c r="J1013" s="21"/>
      <c r="K1013" s="22">
        <v>0</v>
      </c>
      <c r="L1013" s="23"/>
      <c r="M1013" s="22">
        <v>0</v>
      </c>
      <c r="N1013" s="72">
        <v>0</v>
      </c>
      <c r="O1013" s="22">
        <v>0</v>
      </c>
      <c r="P1013" s="21">
        <v>1237000</v>
      </c>
      <c r="S1013" s="101" t="b">
        <f>OR(COUNTIF(Tabla2[[#This Row],[PROVEEDOR]],"*"&amp;'Palabra no opera'!$A$2&amp;"*"))</f>
        <v>0</v>
      </c>
      <c r="T1013" s="113">
        <f>+$W$5-Tabla2[[#This Row],[FECHA DE FACTURACIÓN]]</f>
        <v>330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15" t="str">
        <f>+IF(AND(Tabla2[[#This Row],[venc]]="venc",Tabla2[[#This Row],[Columna1]]="por pagar"),"vencida","no")</f>
        <v>no</v>
      </c>
    </row>
    <row r="1014" spans="1:23" ht="15.75" x14ac:dyDescent="0.25">
      <c r="A1014" s="20">
        <v>30</v>
      </c>
      <c r="B1014" s="25">
        <v>0</v>
      </c>
      <c r="C1014" s="25"/>
      <c r="D1014" s="56" t="s">
        <v>241</v>
      </c>
      <c r="E1014" s="66">
        <v>45027</v>
      </c>
      <c r="F1014" s="323" t="s">
        <v>296</v>
      </c>
      <c r="G1014" s="66">
        <v>44928</v>
      </c>
      <c r="H1014" s="35">
        <v>2739</v>
      </c>
      <c r="I1014" s="21">
        <v>2244350</v>
      </c>
      <c r="J1014" s="21"/>
      <c r="K1014" s="22">
        <v>0</v>
      </c>
      <c r="L1014" s="23"/>
      <c r="M1014" s="22">
        <v>0</v>
      </c>
      <c r="N1014" s="72">
        <v>0</v>
      </c>
      <c r="O1014" s="22">
        <v>0</v>
      </c>
      <c r="P1014" s="21">
        <v>2244350</v>
      </c>
      <c r="S1014" s="101" t="b">
        <f>OR(COUNTIF(Tabla2[[#This Row],[PROVEEDOR]],"*"&amp;'Palabra no opera'!$A$2&amp;"*"))</f>
        <v>0</v>
      </c>
      <c r="T1014" s="113">
        <f>+$W$5-Tabla2[[#This Row],[FECHA DE FACTURACIÓN]]</f>
        <v>394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15" t="str">
        <f>+IF(AND(Tabla2[[#This Row],[venc]]="venc",Tabla2[[#This Row],[Columna1]]="por pagar"),"vencida","no")</f>
        <v>no</v>
      </c>
    </row>
    <row r="1015" spans="1:23" ht="15.75" x14ac:dyDescent="0.25">
      <c r="A1015" s="20">
        <v>30</v>
      </c>
      <c r="B1015" s="25">
        <v>0</v>
      </c>
      <c r="C1015" s="25"/>
      <c r="D1015" s="56" t="s">
        <v>284</v>
      </c>
      <c r="E1015" s="66">
        <v>45026</v>
      </c>
      <c r="F1015" s="323" t="s">
        <v>401</v>
      </c>
      <c r="G1015" s="66">
        <v>45017</v>
      </c>
      <c r="H1015" s="35" t="s">
        <v>717</v>
      </c>
      <c r="I1015" s="21">
        <v>3792544</v>
      </c>
      <c r="J1015" s="21"/>
      <c r="K1015" s="22">
        <v>720583.36</v>
      </c>
      <c r="L1015" s="23"/>
      <c r="M1015" s="22">
        <v>0</v>
      </c>
      <c r="N1015" s="72">
        <v>0</v>
      </c>
      <c r="O1015" s="22">
        <v>0</v>
      </c>
      <c r="P1015" s="21">
        <v>4513127.3600000003</v>
      </c>
      <c r="S1015" s="101" t="b">
        <f>OR(COUNTIF(Tabla2[[#This Row],[PROVEEDOR]],"*"&amp;'Palabra no opera'!$A$2&amp;"*"))</f>
        <v>1</v>
      </c>
      <c r="T1015" s="113">
        <f>+$W$5-Tabla2[[#This Row],[FECHA DE FACTURACIÓN]]</f>
        <v>305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15" t="str">
        <f>+IF(AND(Tabla2[[#This Row],[venc]]="venc",Tabla2[[#This Row],[Columna1]]="por pagar"),"vencida","no")</f>
        <v>no</v>
      </c>
    </row>
    <row r="1016" spans="1:23" ht="15.75" x14ac:dyDescent="0.25">
      <c r="A1016" s="20">
        <v>30</v>
      </c>
      <c r="B1016" s="25">
        <v>0</v>
      </c>
      <c r="C1016" s="25"/>
      <c r="D1016" s="56" t="s">
        <v>284</v>
      </c>
      <c r="E1016" s="66">
        <v>45026</v>
      </c>
      <c r="F1016" s="323" t="s">
        <v>401</v>
      </c>
      <c r="G1016" s="66">
        <v>45017</v>
      </c>
      <c r="H1016" s="35" t="s">
        <v>718</v>
      </c>
      <c r="I1016" s="21">
        <v>908172</v>
      </c>
      <c r="J1016" s="21"/>
      <c r="K1016" s="22">
        <v>172552.68</v>
      </c>
      <c r="L1016" s="23"/>
      <c r="M1016" s="22">
        <v>0</v>
      </c>
      <c r="N1016" s="72">
        <v>0</v>
      </c>
      <c r="O1016" s="22">
        <v>0</v>
      </c>
      <c r="P1016" s="21">
        <v>1080724.68</v>
      </c>
      <c r="S1016" s="101" t="b">
        <f>OR(COUNTIF(Tabla2[[#This Row],[PROVEEDOR]],"*"&amp;'Palabra no opera'!$A$2&amp;"*"))</f>
        <v>1</v>
      </c>
      <c r="T1016" s="113">
        <f>+$W$5-Tabla2[[#This Row],[FECHA DE FACTURACIÓN]]</f>
        <v>305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15" t="str">
        <f>+IF(AND(Tabla2[[#This Row],[venc]]="venc",Tabla2[[#This Row],[Columna1]]="por pagar"),"vencida","no")</f>
        <v>no</v>
      </c>
    </row>
    <row r="1017" spans="1:23" ht="15.75" x14ac:dyDescent="0.25">
      <c r="A1017" s="20">
        <v>30</v>
      </c>
      <c r="B1017" s="25">
        <v>0</v>
      </c>
      <c r="C1017" s="25"/>
      <c r="D1017" s="56" t="s">
        <v>284</v>
      </c>
      <c r="E1017" s="66">
        <v>45026</v>
      </c>
      <c r="F1017" s="323" t="s">
        <v>401</v>
      </c>
      <c r="G1017" s="66">
        <v>45017</v>
      </c>
      <c r="H1017" s="35" t="s">
        <v>719</v>
      </c>
      <c r="I1017" s="21">
        <v>21962</v>
      </c>
      <c r="J1017" s="21"/>
      <c r="K1017" s="22">
        <v>4172.78</v>
      </c>
      <c r="L1017" s="23"/>
      <c r="M1017" s="22">
        <v>0</v>
      </c>
      <c r="N1017" s="72">
        <v>0</v>
      </c>
      <c r="O1017" s="22">
        <v>0</v>
      </c>
      <c r="P1017" s="21">
        <v>26134.78</v>
      </c>
      <c r="S1017" s="101" t="b">
        <f>OR(COUNTIF(Tabla2[[#This Row],[PROVEEDOR]],"*"&amp;'Palabra no opera'!$A$2&amp;"*"))</f>
        <v>1</v>
      </c>
      <c r="T1017" s="113">
        <f>+$W$5-Tabla2[[#This Row],[FECHA DE FACTURACIÓN]]</f>
        <v>305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15" t="str">
        <f>+IF(AND(Tabla2[[#This Row],[venc]]="venc",Tabla2[[#This Row],[Columna1]]="por pagar"),"vencida","no")</f>
        <v>no</v>
      </c>
    </row>
    <row r="1018" spans="1:23" ht="15.75" x14ac:dyDescent="0.25">
      <c r="A1018" s="20">
        <v>30</v>
      </c>
      <c r="B1018" s="25">
        <v>0</v>
      </c>
      <c r="C1018" s="25"/>
      <c r="D1018" s="56" t="s">
        <v>284</v>
      </c>
      <c r="E1018" s="66">
        <v>45026</v>
      </c>
      <c r="F1018" s="323" t="s">
        <v>401</v>
      </c>
      <c r="G1018" s="66">
        <v>45017</v>
      </c>
      <c r="H1018" s="35" t="s">
        <v>720</v>
      </c>
      <c r="I1018" s="21">
        <v>41729</v>
      </c>
      <c r="J1018" s="21"/>
      <c r="K1018" s="22">
        <v>7928.51</v>
      </c>
      <c r="L1018" s="23"/>
      <c r="M1018" s="22">
        <v>0</v>
      </c>
      <c r="N1018" s="72">
        <v>0</v>
      </c>
      <c r="O1018" s="22">
        <v>0</v>
      </c>
      <c r="P1018" s="21">
        <v>49657.51</v>
      </c>
      <c r="S1018" s="101" t="b">
        <f>OR(COUNTIF(Tabla2[[#This Row],[PROVEEDOR]],"*"&amp;'Palabra no opera'!$A$2&amp;"*"))</f>
        <v>1</v>
      </c>
      <c r="T1018" s="113">
        <f>+$W$5-Tabla2[[#This Row],[FECHA DE FACTURACIÓN]]</f>
        <v>305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15" t="str">
        <f>+IF(AND(Tabla2[[#This Row],[venc]]="venc",Tabla2[[#This Row],[Columna1]]="por pagar"),"vencida","no")</f>
        <v>no</v>
      </c>
    </row>
    <row r="1019" spans="1:23" ht="15.75" x14ac:dyDescent="0.25">
      <c r="A1019" s="20">
        <v>30</v>
      </c>
      <c r="B1019" s="25">
        <v>0</v>
      </c>
      <c r="C1019" s="25"/>
      <c r="D1019" s="56" t="s">
        <v>284</v>
      </c>
      <c r="E1019" s="66">
        <v>45026</v>
      </c>
      <c r="F1019" s="323" t="s">
        <v>401</v>
      </c>
      <c r="G1019" s="66">
        <v>45017</v>
      </c>
      <c r="H1019" s="35" t="s">
        <v>721</v>
      </c>
      <c r="I1019" s="21">
        <v>10576</v>
      </c>
      <c r="J1019" s="21"/>
      <c r="K1019" s="22">
        <v>2009.44</v>
      </c>
      <c r="L1019" s="23"/>
      <c r="M1019" s="22">
        <v>0</v>
      </c>
      <c r="N1019" s="72">
        <v>0</v>
      </c>
      <c r="O1019" s="22">
        <v>0</v>
      </c>
      <c r="P1019" s="21">
        <v>12585.44</v>
      </c>
      <c r="S1019" s="101" t="b">
        <f>OR(COUNTIF(Tabla2[[#This Row],[PROVEEDOR]],"*"&amp;'Palabra no opera'!$A$2&amp;"*"))</f>
        <v>1</v>
      </c>
      <c r="T1019" s="113">
        <f>+$W$5-Tabla2[[#This Row],[FECHA DE FACTURACIÓN]]</f>
        <v>305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15" t="str">
        <f>+IF(AND(Tabla2[[#This Row],[venc]]="venc",Tabla2[[#This Row],[Columna1]]="por pagar"),"vencida","no")</f>
        <v>no</v>
      </c>
    </row>
    <row r="1020" spans="1:23" ht="15.75" x14ac:dyDescent="0.25">
      <c r="A1020" s="20">
        <v>30</v>
      </c>
      <c r="B1020" s="25">
        <v>0</v>
      </c>
      <c r="C1020" s="25"/>
      <c r="D1020" s="56" t="s">
        <v>449</v>
      </c>
      <c r="E1020" s="66">
        <v>45026</v>
      </c>
      <c r="F1020" s="323" t="s">
        <v>415</v>
      </c>
      <c r="G1020" s="66">
        <v>45017</v>
      </c>
      <c r="H1020" s="35" t="s">
        <v>713</v>
      </c>
      <c r="I1020" s="21">
        <v>934499</v>
      </c>
      <c r="J1020" s="21"/>
      <c r="K1020" s="22">
        <v>0</v>
      </c>
      <c r="L1020" s="23"/>
      <c r="M1020" s="22">
        <v>0</v>
      </c>
      <c r="N1020" s="72">
        <v>0</v>
      </c>
      <c r="O1020" s="22">
        <v>0</v>
      </c>
      <c r="P1020" s="21">
        <v>934499</v>
      </c>
      <c r="S1020" s="101" t="b">
        <f>OR(COUNTIF(Tabla2[[#This Row],[PROVEEDOR]],"*"&amp;'Palabra no opera'!$A$2&amp;"*"))</f>
        <v>1</v>
      </c>
      <c r="T1020" s="113">
        <f>+$W$5-Tabla2[[#This Row],[FECHA DE FACTURACIÓN]]</f>
        <v>305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15" t="str">
        <f>+IF(AND(Tabla2[[#This Row],[venc]]="venc",Tabla2[[#This Row],[Columna1]]="por pagar"),"vencida","no")</f>
        <v>no</v>
      </c>
    </row>
    <row r="1021" spans="1:23" ht="15.75" x14ac:dyDescent="0.25">
      <c r="A1021" s="20">
        <v>30</v>
      </c>
      <c r="B1021" s="25">
        <v>0</v>
      </c>
      <c r="C1021" s="25"/>
      <c r="D1021" s="56" t="s">
        <v>449</v>
      </c>
      <c r="E1021" s="66">
        <v>45026</v>
      </c>
      <c r="F1021" s="323" t="s">
        <v>415</v>
      </c>
      <c r="G1021" s="66">
        <v>45017</v>
      </c>
      <c r="H1021" s="35" t="s">
        <v>714</v>
      </c>
      <c r="I1021" s="21">
        <v>913261</v>
      </c>
      <c r="J1021" s="21"/>
      <c r="K1021" s="22">
        <v>0</v>
      </c>
      <c r="L1021" s="23"/>
      <c r="M1021" s="22">
        <v>0</v>
      </c>
      <c r="N1021" s="72">
        <v>0</v>
      </c>
      <c r="O1021" s="22">
        <v>0</v>
      </c>
      <c r="P1021" s="21">
        <v>913261</v>
      </c>
      <c r="S1021" s="101" t="b">
        <f>OR(COUNTIF(Tabla2[[#This Row],[PROVEEDOR]],"*"&amp;'Palabra no opera'!$A$2&amp;"*"))</f>
        <v>1</v>
      </c>
      <c r="T1021" s="113">
        <f>+$W$5-Tabla2[[#This Row],[FECHA DE FACTURACIÓN]]</f>
        <v>305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15" t="str">
        <f>+IF(AND(Tabla2[[#This Row],[venc]]="venc",Tabla2[[#This Row],[Columna1]]="por pagar"),"vencida","no")</f>
        <v>no</v>
      </c>
    </row>
    <row r="1022" spans="1:23" ht="15.75" x14ac:dyDescent="0.25">
      <c r="A1022" s="20">
        <v>30</v>
      </c>
      <c r="B1022" s="25">
        <v>0</v>
      </c>
      <c r="C1022" s="25"/>
      <c r="D1022" s="56" t="s">
        <v>505</v>
      </c>
      <c r="E1022" s="66">
        <v>45026</v>
      </c>
      <c r="F1022" s="323" t="s">
        <v>416</v>
      </c>
      <c r="G1022" s="66">
        <v>45017</v>
      </c>
      <c r="H1022" s="35" t="s">
        <v>716</v>
      </c>
      <c r="I1022" s="21">
        <v>3935776</v>
      </c>
      <c r="J1022" s="21"/>
      <c r="K1022" s="22">
        <v>665000</v>
      </c>
      <c r="L1022" s="23"/>
      <c r="M1022" s="22">
        <v>0</v>
      </c>
      <c r="N1022" s="72">
        <v>3.5000000000000003E-2</v>
      </c>
      <c r="O1022" s="22"/>
      <c r="P1022" s="21">
        <v>4600776</v>
      </c>
      <c r="S1022" s="101" t="b">
        <f>OR(COUNTIF(Tabla2[[#This Row],[PROVEEDOR]],"*"&amp;'Palabra no opera'!$A$2&amp;"*"))</f>
        <v>1</v>
      </c>
      <c r="T1022" s="113">
        <f>+$W$5-Tabla2[[#This Row],[FECHA DE FACTURACIÓN]]</f>
        <v>305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15" t="str">
        <f>+IF(AND(Tabla2[[#This Row],[venc]]="venc",Tabla2[[#This Row],[Columna1]]="por pagar"),"vencida","no")</f>
        <v>no</v>
      </c>
    </row>
    <row r="1023" spans="1:23" ht="15.75" x14ac:dyDescent="0.25">
      <c r="A1023" s="20">
        <v>10</v>
      </c>
      <c r="B1023" s="25">
        <v>0</v>
      </c>
      <c r="C1023" s="25"/>
      <c r="D1023" s="56" t="s">
        <v>523</v>
      </c>
      <c r="E1023" s="66">
        <v>45026</v>
      </c>
      <c r="F1023" s="323" t="s">
        <v>522</v>
      </c>
      <c r="G1023" s="66">
        <v>45017</v>
      </c>
      <c r="H1023" s="35" t="s">
        <v>715</v>
      </c>
      <c r="I1023" s="21">
        <v>4730000</v>
      </c>
      <c r="J1023" s="21"/>
      <c r="K1023" s="22">
        <v>898700</v>
      </c>
      <c r="L1023" s="23"/>
      <c r="M1023" s="22">
        <v>0</v>
      </c>
      <c r="N1023" s="72">
        <v>0</v>
      </c>
      <c r="O1023" s="22">
        <v>0</v>
      </c>
      <c r="P1023" s="21">
        <v>5628700</v>
      </c>
      <c r="S1023" s="101" t="b">
        <f>OR(COUNTIF(Tabla2[[#This Row],[PROVEEDOR]],"*"&amp;'Palabra no opera'!$A$2&amp;"*"))</f>
        <v>1</v>
      </c>
      <c r="T1023" s="113">
        <f>+$W$5-Tabla2[[#This Row],[FECHA DE FACTURACIÓN]]</f>
        <v>305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15" t="str">
        <f>+IF(AND(Tabla2[[#This Row],[venc]]="venc",Tabla2[[#This Row],[Columna1]]="por pagar"),"vencida","no")</f>
        <v>no</v>
      </c>
    </row>
    <row r="1024" spans="1:23" ht="15.75" x14ac:dyDescent="0.25">
      <c r="A1024" s="20">
        <v>60</v>
      </c>
      <c r="B1024" s="25">
        <v>3708614</v>
      </c>
      <c r="C1024" s="25"/>
      <c r="D1024" s="56" t="s">
        <v>645</v>
      </c>
      <c r="E1024" s="66">
        <v>45026</v>
      </c>
      <c r="F1024" s="323" t="s">
        <v>250</v>
      </c>
      <c r="G1024" s="66">
        <v>45009</v>
      </c>
      <c r="H1024" s="35">
        <v>1640</v>
      </c>
      <c r="I1024" s="21">
        <v>206800</v>
      </c>
      <c r="J1024" s="21"/>
      <c r="K1024" s="22">
        <v>0</v>
      </c>
      <c r="L1024" s="23"/>
      <c r="M1024" s="22">
        <v>0</v>
      </c>
      <c r="N1024" s="72">
        <v>0</v>
      </c>
      <c r="O1024" s="22">
        <v>0</v>
      </c>
      <c r="P1024" s="21">
        <v>206800</v>
      </c>
      <c r="S1024" s="101" t="b">
        <f>OR(COUNTIF(Tabla2[[#This Row],[PROVEEDOR]],"*"&amp;'Palabra no opera'!$A$2&amp;"*"))</f>
        <v>0</v>
      </c>
      <c r="T1024" s="113">
        <f>+$W$5-Tabla2[[#This Row],[FECHA DE FACTURACIÓN]]</f>
        <v>313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15" t="str">
        <f>+IF(AND(Tabla2[[#This Row],[venc]]="venc",Tabla2[[#This Row],[Columna1]]="por pagar"),"vencida","no")</f>
        <v>no</v>
      </c>
    </row>
    <row r="1025" spans="1:23" ht="15.75" x14ac:dyDescent="0.25">
      <c r="A1025" s="20">
        <v>60</v>
      </c>
      <c r="B1025" s="25">
        <v>3708614</v>
      </c>
      <c r="C1025" s="25"/>
      <c r="D1025" s="56" t="s">
        <v>645</v>
      </c>
      <c r="E1025" s="66">
        <v>45026</v>
      </c>
      <c r="F1025" s="323" t="s">
        <v>250</v>
      </c>
      <c r="G1025" s="66">
        <v>45002</v>
      </c>
      <c r="H1025" s="35">
        <v>1634</v>
      </c>
      <c r="I1025" s="21">
        <v>191200</v>
      </c>
      <c r="J1025" s="21"/>
      <c r="K1025" s="22">
        <v>0</v>
      </c>
      <c r="L1025" s="23"/>
      <c r="M1025" s="22">
        <v>0</v>
      </c>
      <c r="N1025" s="72">
        <v>0</v>
      </c>
      <c r="O1025" s="22">
        <v>0</v>
      </c>
      <c r="P1025" s="21">
        <v>191200</v>
      </c>
      <c r="S1025" s="101" t="b">
        <f>OR(COUNTIF(Tabla2[[#This Row],[PROVEEDOR]],"*"&amp;'Palabra no opera'!$A$2&amp;"*"))</f>
        <v>0</v>
      </c>
      <c r="T1025" s="113">
        <f>+$W$5-Tabla2[[#This Row],[FECHA DE FACTURACIÓN]]</f>
        <v>320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15" t="str">
        <f>+IF(AND(Tabla2[[#This Row],[venc]]="venc",Tabla2[[#This Row],[Columna1]]="por pagar"),"vencida","no")</f>
        <v>no</v>
      </c>
    </row>
    <row r="1026" spans="1:23" ht="15.75" x14ac:dyDescent="0.25">
      <c r="A1026" s="20">
        <v>60</v>
      </c>
      <c r="B1026" s="25">
        <v>3708614</v>
      </c>
      <c r="C1026" s="25"/>
      <c r="D1026" s="56" t="s">
        <v>645</v>
      </c>
      <c r="E1026" s="66">
        <v>45026</v>
      </c>
      <c r="F1026" s="323" t="s">
        <v>250</v>
      </c>
      <c r="G1026" s="66">
        <v>44999</v>
      </c>
      <c r="H1026" s="35">
        <v>1627</v>
      </c>
      <c r="I1026" s="21">
        <v>312320</v>
      </c>
      <c r="J1026" s="21"/>
      <c r="K1026" s="22">
        <v>0</v>
      </c>
      <c r="L1026" s="23"/>
      <c r="M1026" s="22">
        <v>0</v>
      </c>
      <c r="N1026" s="72">
        <v>0</v>
      </c>
      <c r="O1026" s="22">
        <v>0</v>
      </c>
      <c r="P1026" s="21">
        <v>312320</v>
      </c>
      <c r="S1026" s="101" t="b">
        <f>OR(COUNTIF(Tabla2[[#This Row],[PROVEEDOR]],"*"&amp;'Palabra no opera'!$A$2&amp;"*"))</f>
        <v>0</v>
      </c>
      <c r="T1026" s="113">
        <f>+$W$5-Tabla2[[#This Row],[FECHA DE FACTURACIÓN]]</f>
        <v>323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15" t="str">
        <f>+IF(AND(Tabla2[[#This Row],[venc]]="venc",Tabla2[[#This Row],[Columna1]]="por pagar"),"vencida","no")</f>
        <v>no</v>
      </c>
    </row>
    <row r="1027" spans="1:23" ht="15.75" x14ac:dyDescent="0.25">
      <c r="A1027" s="20">
        <v>60</v>
      </c>
      <c r="B1027" s="25">
        <v>3708614</v>
      </c>
      <c r="C1027" s="25"/>
      <c r="D1027" s="56" t="s">
        <v>645</v>
      </c>
      <c r="E1027" s="66">
        <v>45026</v>
      </c>
      <c r="F1027" s="323" t="s">
        <v>250</v>
      </c>
      <c r="G1027" s="66">
        <v>44999</v>
      </c>
      <c r="H1027" s="35">
        <v>1628</v>
      </c>
      <c r="I1027" s="21">
        <v>214720</v>
      </c>
      <c r="J1027" s="21"/>
      <c r="K1027" s="22">
        <v>0</v>
      </c>
      <c r="L1027" s="23"/>
      <c r="M1027" s="22">
        <v>0</v>
      </c>
      <c r="N1027" s="72">
        <v>0</v>
      </c>
      <c r="O1027" s="22">
        <v>0</v>
      </c>
      <c r="P1027" s="21">
        <v>214720</v>
      </c>
      <c r="S1027" s="101" t="b">
        <f>OR(COUNTIF(Tabla2[[#This Row],[PROVEEDOR]],"*"&amp;'Palabra no opera'!$A$2&amp;"*"))</f>
        <v>0</v>
      </c>
      <c r="T1027" s="113">
        <f>+$W$5-Tabla2[[#This Row],[FECHA DE FACTURACIÓN]]</f>
        <v>323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15" t="str">
        <f>+IF(AND(Tabla2[[#This Row],[venc]]="venc",Tabla2[[#This Row],[Columna1]]="por pagar"),"vencida","no")</f>
        <v>no</v>
      </c>
    </row>
    <row r="1028" spans="1:23" ht="15.75" x14ac:dyDescent="0.25">
      <c r="A1028" s="20">
        <v>60</v>
      </c>
      <c r="B1028" s="25">
        <v>3708614</v>
      </c>
      <c r="C1028" s="25"/>
      <c r="D1028" s="56" t="s">
        <v>645</v>
      </c>
      <c r="E1028" s="66">
        <v>45026</v>
      </c>
      <c r="F1028" s="323" t="s">
        <v>250</v>
      </c>
      <c r="G1028" s="66">
        <v>44999</v>
      </c>
      <c r="H1028" s="35">
        <v>1635</v>
      </c>
      <c r="I1028" s="21">
        <v>191200</v>
      </c>
      <c r="J1028" s="21"/>
      <c r="K1028" s="22">
        <v>0</v>
      </c>
      <c r="L1028" s="23"/>
      <c r="M1028" s="22">
        <v>0</v>
      </c>
      <c r="N1028" s="72">
        <v>0</v>
      </c>
      <c r="O1028" s="22">
        <v>0</v>
      </c>
      <c r="P1028" s="21">
        <v>191200</v>
      </c>
      <c r="S1028" s="101" t="b">
        <f>OR(COUNTIF(Tabla2[[#This Row],[PROVEEDOR]],"*"&amp;'Palabra no opera'!$A$2&amp;"*"))</f>
        <v>0</v>
      </c>
      <c r="T1028" s="113">
        <f>+$W$5-Tabla2[[#This Row],[FECHA DE FACTURACIÓN]]</f>
        <v>323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15" t="str">
        <f>+IF(AND(Tabla2[[#This Row],[venc]]="venc",Tabla2[[#This Row],[Columna1]]="por pagar"),"vencida","no")</f>
        <v>no</v>
      </c>
    </row>
    <row r="1029" spans="1:23" ht="15.75" x14ac:dyDescent="0.25">
      <c r="A1029" s="20">
        <v>45</v>
      </c>
      <c r="B1029" s="25">
        <v>3074500</v>
      </c>
      <c r="C1029" s="25"/>
      <c r="D1029" s="56" t="s">
        <v>645</v>
      </c>
      <c r="E1029" s="66">
        <v>45026</v>
      </c>
      <c r="F1029" s="323" t="s">
        <v>252</v>
      </c>
      <c r="G1029" s="66">
        <v>44999</v>
      </c>
      <c r="H1029" s="35">
        <v>1629</v>
      </c>
      <c r="I1029" s="21">
        <v>3635600</v>
      </c>
      <c r="J1029" s="21"/>
      <c r="K1029" s="22">
        <v>0</v>
      </c>
      <c r="L1029" s="23"/>
      <c r="M1029" s="22">
        <v>0</v>
      </c>
      <c r="N1029" s="72">
        <v>0</v>
      </c>
      <c r="O1029" s="22">
        <v>0</v>
      </c>
      <c r="P1029" s="21">
        <v>3635600</v>
      </c>
      <c r="S1029" s="101" t="b">
        <f>OR(COUNTIF(Tabla2[[#This Row],[PROVEEDOR]],"*"&amp;'Palabra no opera'!$A$2&amp;"*"))</f>
        <v>0</v>
      </c>
      <c r="T1029" s="113">
        <f>+$W$5-Tabla2[[#This Row],[FECHA DE FACTURACIÓN]]</f>
        <v>323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15" t="str">
        <f>+IF(AND(Tabla2[[#This Row],[venc]]="venc",Tabla2[[#This Row],[Columna1]]="por pagar"),"vencida","no")</f>
        <v>no</v>
      </c>
    </row>
    <row r="1030" spans="1:23" ht="15.75" x14ac:dyDescent="0.25">
      <c r="A1030" s="20">
        <v>30</v>
      </c>
      <c r="B1030" s="25">
        <v>0</v>
      </c>
      <c r="C1030" s="25"/>
      <c r="D1030" s="56" t="s">
        <v>104</v>
      </c>
      <c r="E1030" s="66">
        <v>45021</v>
      </c>
      <c r="F1030" s="323" t="s">
        <v>291</v>
      </c>
      <c r="G1030" s="66">
        <v>45021</v>
      </c>
      <c r="H1030" s="35" t="s">
        <v>765</v>
      </c>
      <c r="I1030" s="21">
        <v>360000</v>
      </c>
      <c r="J1030" s="21"/>
      <c r="K1030" s="22">
        <v>0</v>
      </c>
      <c r="L1030" s="23"/>
      <c r="M1030" s="22">
        <v>0</v>
      </c>
      <c r="N1030" s="72">
        <v>0</v>
      </c>
      <c r="O1030" s="22">
        <v>0</v>
      </c>
      <c r="P1030" s="21">
        <v>360000</v>
      </c>
      <c r="S1030" s="101" t="b">
        <f>OR(COUNTIF(Tabla2[[#This Row],[PROVEEDOR]],"*"&amp;'Palabra no opera'!$A$2&amp;"*"))</f>
        <v>0</v>
      </c>
      <c r="T1030" s="113">
        <f>+$W$5-Tabla2[[#This Row],[FECHA DE FACTURACIÓN]]</f>
        <v>301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15" t="str">
        <f>+IF(AND(Tabla2[[#This Row],[venc]]="venc",Tabla2[[#This Row],[Columna1]]="por pagar"),"vencida","no")</f>
        <v>no</v>
      </c>
    </row>
    <row r="1031" spans="1:23" ht="15.75" x14ac:dyDescent="0.25">
      <c r="A1031" s="20">
        <v>30</v>
      </c>
      <c r="B1031" s="25">
        <v>0</v>
      </c>
      <c r="C1031" s="25"/>
      <c r="D1031" s="56" t="s">
        <v>1561</v>
      </c>
      <c r="E1031" s="66">
        <v>45020</v>
      </c>
      <c r="F1031" s="323" t="s">
        <v>203</v>
      </c>
      <c r="G1031" s="66">
        <v>45020</v>
      </c>
      <c r="H1031" s="35" t="s">
        <v>725</v>
      </c>
      <c r="I1031" s="21">
        <v>1800000</v>
      </c>
      <c r="J1031" s="21"/>
      <c r="K1031" s="22">
        <v>0</v>
      </c>
      <c r="L1031" s="23"/>
      <c r="M1031" s="22">
        <v>0</v>
      </c>
      <c r="N1031" s="72">
        <v>0</v>
      </c>
      <c r="O1031" s="22">
        <v>0</v>
      </c>
      <c r="P1031" s="21">
        <v>1800000</v>
      </c>
      <c r="S1031" s="101" t="b">
        <f>OR(COUNTIF(Tabla2[[#This Row],[PROVEEDOR]],"*"&amp;'Palabra no opera'!$A$2&amp;"*"))</f>
        <v>0</v>
      </c>
      <c r="T1031" s="113">
        <f>+$W$5-Tabla2[[#This Row],[FECHA DE FACTURACIÓN]]</f>
        <v>302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15" t="str">
        <f>+IF(AND(Tabla2[[#This Row],[venc]]="venc",Tabla2[[#This Row],[Columna1]]="por pagar"),"vencida","no")</f>
        <v>no</v>
      </c>
    </row>
    <row r="1032" spans="1:23" ht="15.75" x14ac:dyDescent="0.25">
      <c r="A1032" s="20">
        <v>30</v>
      </c>
      <c r="B1032" s="25">
        <v>3065837.2199999997</v>
      </c>
      <c r="C1032" s="25"/>
      <c r="D1032" s="56" t="s">
        <v>169</v>
      </c>
      <c r="E1032" s="66">
        <v>45019</v>
      </c>
      <c r="F1032" s="323" t="s">
        <v>17</v>
      </c>
      <c r="G1032" s="66">
        <v>44985</v>
      </c>
      <c r="H1032" s="35" t="s">
        <v>642</v>
      </c>
      <c r="I1032" s="21">
        <v>1457850</v>
      </c>
      <c r="J1032" s="21"/>
      <c r="K1032" s="22">
        <v>0</v>
      </c>
      <c r="L1032" s="23"/>
      <c r="M1032" s="22">
        <v>0</v>
      </c>
      <c r="N1032" s="72">
        <v>0</v>
      </c>
      <c r="O1032" s="22">
        <v>0</v>
      </c>
      <c r="P1032" s="21">
        <v>1457850</v>
      </c>
      <c r="S1032" s="101" t="b">
        <f>OR(COUNTIF(Tabla2[[#This Row],[PROVEEDOR]],"*"&amp;'Palabra no opera'!$A$2&amp;"*"))</f>
        <v>0</v>
      </c>
      <c r="T1032" s="113">
        <f>+$W$5-Tabla2[[#This Row],[FECHA DE FACTURACIÓN]]</f>
        <v>337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15" t="str">
        <f>+IF(AND(Tabla2[[#This Row],[venc]]="venc",Tabla2[[#This Row],[Columna1]]="por pagar"),"vencida","no")</f>
        <v>no</v>
      </c>
    </row>
    <row r="1033" spans="1:23" ht="15.75" x14ac:dyDescent="0.25">
      <c r="A1033" s="20">
        <v>30</v>
      </c>
      <c r="B1033" s="25">
        <v>0</v>
      </c>
      <c r="C1033" s="25"/>
      <c r="D1033" s="56" t="s">
        <v>245</v>
      </c>
      <c r="E1033" s="66">
        <v>45019</v>
      </c>
      <c r="F1033" s="323" t="s">
        <v>221</v>
      </c>
      <c r="G1033" s="66">
        <v>44984</v>
      </c>
      <c r="H1033" s="35" t="s">
        <v>641</v>
      </c>
      <c r="I1033" s="21">
        <v>940839</v>
      </c>
      <c r="J1033" s="21"/>
      <c r="K1033" s="22">
        <v>178759.41</v>
      </c>
      <c r="L1033" s="23"/>
      <c r="M1033" s="22">
        <v>0</v>
      </c>
      <c r="N1033" s="72">
        <v>0</v>
      </c>
      <c r="O1033" s="22">
        <v>0</v>
      </c>
      <c r="P1033" s="21">
        <v>1119598.4099999999</v>
      </c>
      <c r="S1033" s="101" t="b">
        <f>OR(COUNTIF(Tabla2[[#This Row],[PROVEEDOR]],"*"&amp;'Palabra no opera'!$A$2&amp;"*"))</f>
        <v>0</v>
      </c>
      <c r="T1033" s="113">
        <f>+$W$5-Tabla2[[#This Row],[FECHA DE FACTURACIÓN]]</f>
        <v>338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15" t="str">
        <f>+IF(AND(Tabla2[[#This Row],[venc]]="venc",Tabla2[[#This Row],[Columna1]]="por pagar"),"vencida","no")</f>
        <v>no</v>
      </c>
    </row>
    <row r="1034" spans="1:23" ht="15.75" x14ac:dyDescent="0.25">
      <c r="A1034" s="20">
        <v>45</v>
      </c>
      <c r="B1034" s="25">
        <v>13678360</v>
      </c>
      <c r="C1034" s="25"/>
      <c r="D1034" s="56" t="s">
        <v>179</v>
      </c>
      <c r="E1034" s="66">
        <v>45019</v>
      </c>
      <c r="F1034" s="323" t="s">
        <v>10</v>
      </c>
      <c r="G1034" s="66">
        <v>44965</v>
      </c>
      <c r="H1034" s="35" t="s">
        <v>611</v>
      </c>
      <c r="I1034" s="21">
        <v>768000</v>
      </c>
      <c r="J1034" s="21"/>
      <c r="K1034" s="22">
        <v>145920</v>
      </c>
      <c r="L1034" s="23"/>
      <c r="M1034" s="22">
        <v>0</v>
      </c>
      <c r="N1034" s="72">
        <v>0</v>
      </c>
      <c r="O1034" s="22">
        <v>0</v>
      </c>
      <c r="P1034" s="21">
        <v>913920</v>
      </c>
      <c r="S1034" s="101" t="b">
        <f>OR(COUNTIF(Tabla2[[#This Row],[PROVEEDOR]],"*"&amp;'Palabra no opera'!$A$2&amp;"*"))</f>
        <v>0</v>
      </c>
      <c r="T1034" s="113">
        <f>+$W$5-Tabla2[[#This Row],[FECHA DE FACTURACIÓN]]</f>
        <v>357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15" t="str">
        <f>+IF(AND(Tabla2[[#This Row],[venc]]="venc",Tabla2[[#This Row],[Columna1]]="por pagar"),"vencida","no")</f>
        <v>no</v>
      </c>
    </row>
    <row r="1035" spans="1:23" ht="15.75" x14ac:dyDescent="0.25">
      <c r="A1035" s="20">
        <v>30</v>
      </c>
      <c r="B1035" s="25">
        <v>0</v>
      </c>
      <c r="C1035" s="25"/>
      <c r="D1035" s="56" t="s">
        <v>245</v>
      </c>
      <c r="E1035" s="66">
        <v>45019</v>
      </c>
      <c r="F1035" s="323" t="s">
        <v>221</v>
      </c>
      <c r="G1035" s="66">
        <v>44950</v>
      </c>
      <c r="H1035" s="35" t="s">
        <v>587</v>
      </c>
      <c r="I1035" s="21">
        <v>-396847</v>
      </c>
      <c r="J1035" s="21"/>
      <c r="K1035" s="22">
        <v>-75400.930000000008</v>
      </c>
      <c r="L1035" s="23"/>
      <c r="M1035" s="22">
        <v>0</v>
      </c>
      <c r="N1035" s="72">
        <v>0</v>
      </c>
      <c r="O1035" s="22">
        <v>0</v>
      </c>
      <c r="P1035" s="21">
        <v>-472247.93</v>
      </c>
      <c r="S1035" s="101" t="b">
        <f>OR(COUNTIF(Tabla2[[#This Row],[PROVEEDOR]],"*"&amp;'Palabra no opera'!$A$2&amp;"*"))</f>
        <v>0</v>
      </c>
      <c r="T1035" s="113">
        <f>+$W$5-Tabla2[[#This Row],[FECHA DE FACTURACIÓN]]</f>
        <v>372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15" t="str">
        <f>+IF(AND(Tabla2[[#This Row],[venc]]="venc",Tabla2[[#This Row],[Columna1]]="por pagar"),"vencida","no")</f>
        <v>no</v>
      </c>
    </row>
    <row r="1036" spans="1:23" ht="15.75" x14ac:dyDescent="0.25">
      <c r="A1036" s="20">
        <v>30</v>
      </c>
      <c r="B1036" s="25">
        <v>0</v>
      </c>
      <c r="C1036" s="25"/>
      <c r="D1036" s="56" t="s">
        <v>245</v>
      </c>
      <c r="E1036" s="66">
        <v>45019</v>
      </c>
      <c r="F1036" s="323" t="s">
        <v>221</v>
      </c>
      <c r="G1036" s="66">
        <v>44950</v>
      </c>
      <c r="H1036" s="35" t="s">
        <v>690</v>
      </c>
      <c r="I1036" s="21">
        <v>-254663</v>
      </c>
      <c r="J1036" s="21"/>
      <c r="K1036" s="22">
        <v>-48385.97</v>
      </c>
      <c r="L1036" s="23"/>
      <c r="M1036" s="22">
        <v>0</v>
      </c>
      <c r="N1036" s="72">
        <v>0</v>
      </c>
      <c r="O1036" s="22">
        <v>0</v>
      </c>
      <c r="P1036" s="21">
        <v>-303048.96999999997</v>
      </c>
      <c r="S1036" s="101" t="b">
        <f>OR(COUNTIF(Tabla2[[#This Row],[PROVEEDOR]],"*"&amp;'Palabra no opera'!$A$2&amp;"*"))</f>
        <v>0</v>
      </c>
      <c r="T1036" s="113">
        <f>+$W$5-Tabla2[[#This Row],[FECHA DE FACTURACIÓN]]</f>
        <v>372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15" t="str">
        <f>+IF(AND(Tabla2[[#This Row],[venc]]="venc",Tabla2[[#This Row],[Columna1]]="por pagar"),"vencida","no")</f>
        <v>no</v>
      </c>
    </row>
    <row r="1037" spans="1:23" ht="15.75" x14ac:dyDescent="0.25">
      <c r="A1037" s="20">
        <v>30</v>
      </c>
      <c r="B1037" s="25">
        <v>0</v>
      </c>
      <c r="C1037" s="25"/>
      <c r="D1037" s="56" t="s">
        <v>104</v>
      </c>
      <c r="E1037" s="66">
        <v>45018</v>
      </c>
      <c r="F1037" s="323" t="s">
        <v>277</v>
      </c>
      <c r="G1037" s="66">
        <v>45017</v>
      </c>
      <c r="H1037" s="35" t="s">
        <v>764</v>
      </c>
      <c r="I1037" s="21">
        <v>2200000</v>
      </c>
      <c r="J1037" s="21"/>
      <c r="K1037" s="22">
        <v>0</v>
      </c>
      <c r="L1037" s="23"/>
      <c r="M1037" s="22">
        <v>0</v>
      </c>
      <c r="N1037" s="72">
        <v>0</v>
      </c>
      <c r="O1037" s="22">
        <v>0</v>
      </c>
      <c r="P1037" s="21">
        <v>2200000</v>
      </c>
      <c r="S1037" s="101" t="b">
        <f>OR(COUNTIF(Tabla2[[#This Row],[PROVEEDOR]],"*"&amp;'Palabra no opera'!$A$2&amp;"*"))</f>
        <v>0</v>
      </c>
      <c r="T1037" s="113">
        <f>+$W$5-Tabla2[[#This Row],[FECHA DE FACTURACIÓN]]</f>
        <v>305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15" t="str">
        <f>+IF(AND(Tabla2[[#This Row],[venc]]="venc",Tabla2[[#This Row],[Columna1]]="por pagar"),"vencida","no")</f>
        <v>no</v>
      </c>
    </row>
    <row r="1038" spans="1:23" ht="15.75" x14ac:dyDescent="0.25">
      <c r="A1038" s="20">
        <v>30</v>
      </c>
      <c r="B1038" s="25">
        <v>2923945.6174999997</v>
      </c>
      <c r="C1038" s="25"/>
      <c r="D1038" s="56" t="s">
        <v>1538</v>
      </c>
      <c r="E1038" s="66">
        <v>45018</v>
      </c>
      <c r="F1038" s="323" t="s">
        <v>1526</v>
      </c>
      <c r="G1038" s="66">
        <v>44999</v>
      </c>
      <c r="H1038" s="35" t="s">
        <v>738</v>
      </c>
      <c r="I1038" s="21">
        <v>55353</v>
      </c>
      <c r="J1038" s="21"/>
      <c r="K1038" s="22">
        <v>10517.07</v>
      </c>
      <c r="L1038" s="23"/>
      <c r="M1038" s="22">
        <v>0</v>
      </c>
      <c r="N1038" s="72">
        <v>0</v>
      </c>
      <c r="O1038" s="22">
        <v>0</v>
      </c>
      <c r="P1038" s="21">
        <v>65870.070000000007</v>
      </c>
      <c r="S1038" s="101" t="b">
        <f>OR(COUNTIF(Tabla2[[#This Row],[PROVEEDOR]],"*"&amp;'Palabra no opera'!$A$2&amp;"*"))</f>
        <v>0</v>
      </c>
      <c r="T1038" s="113">
        <f>+$W$5-Tabla2[[#This Row],[FECHA DE FACTURACIÓN]]</f>
        <v>323</v>
      </c>
      <c r="U1038" t="str">
        <f>+IF(Tabla2[[#This Row],[dias de credito]]&gt;=Tabla2[[#This Row],[PLAZO Días]],"venc", "No venc")</f>
        <v>venc</v>
      </c>
      <c r="V1038" t="str">
        <f>+IF(Tabla2[[#This Row],[FECHA DE PAGO]]&gt;0,"pagada","por pagar")</f>
        <v>pagada</v>
      </c>
      <c r="W1038" s="115" t="str">
        <f>+IF(AND(Tabla2[[#This Row],[venc]]="venc",Tabla2[[#This Row],[Columna1]]="por pagar"),"vencida","no")</f>
        <v>no</v>
      </c>
    </row>
    <row r="1039" spans="1:23" ht="15.75" x14ac:dyDescent="0.25">
      <c r="A1039" s="20">
        <v>30</v>
      </c>
      <c r="B1039" s="25">
        <v>0</v>
      </c>
      <c r="C1039" s="25"/>
      <c r="D1039" s="56">
        <v>0</v>
      </c>
      <c r="E1039" s="66">
        <v>45017</v>
      </c>
      <c r="F1039" s="323" t="s">
        <v>600</v>
      </c>
      <c r="G1039" s="66">
        <v>44958</v>
      </c>
      <c r="H1039" s="35">
        <v>6657</v>
      </c>
      <c r="I1039" s="21">
        <v>1144000</v>
      </c>
      <c r="J1039" s="21"/>
      <c r="K1039" s="22">
        <v>0</v>
      </c>
      <c r="L1039" s="23"/>
      <c r="M1039" s="22">
        <v>0</v>
      </c>
      <c r="N1039" s="72">
        <v>0</v>
      </c>
      <c r="O1039" s="22">
        <v>0</v>
      </c>
      <c r="P1039" s="21">
        <v>1144000</v>
      </c>
      <c r="S1039" s="101" t="b">
        <f>OR(COUNTIF(Tabla2[[#This Row],[PROVEEDOR]],"*"&amp;'Palabra no opera'!$A$2&amp;"*"))</f>
        <v>0</v>
      </c>
      <c r="T1039" s="113">
        <f>+$W$5-Tabla2[[#This Row],[FECHA DE FACTURACIÓN]]</f>
        <v>364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15" t="str">
        <f>+IF(AND(Tabla2[[#This Row],[venc]]="venc",Tabla2[[#This Row],[Columna1]]="por pagar"),"vencida","no")</f>
        <v>no</v>
      </c>
    </row>
    <row r="1040" spans="1:23" ht="15.75" x14ac:dyDescent="0.25">
      <c r="A1040" s="20">
        <v>30</v>
      </c>
      <c r="B1040" s="25">
        <v>0</v>
      </c>
      <c r="C1040" s="25"/>
      <c r="D1040" s="56" t="s">
        <v>104</v>
      </c>
      <c r="E1040" s="66">
        <v>45016</v>
      </c>
      <c r="F1040" s="323" t="s">
        <v>566</v>
      </c>
      <c r="G1040" s="66">
        <v>45016</v>
      </c>
      <c r="H1040" s="35" t="s">
        <v>517</v>
      </c>
      <c r="I1040" s="21">
        <v>4188400</v>
      </c>
      <c r="J1040" s="21"/>
      <c r="K1040" s="22">
        <v>0</v>
      </c>
      <c r="L1040" s="23"/>
      <c r="M1040" s="22">
        <v>0</v>
      </c>
      <c r="N1040" s="72">
        <v>0</v>
      </c>
      <c r="O1040" s="22">
        <v>0</v>
      </c>
      <c r="P1040" s="21">
        <v>4188400</v>
      </c>
      <c r="S1040" s="101" t="b">
        <f>OR(COUNTIF(Tabla2[[#This Row],[PROVEEDOR]],"*"&amp;'Palabra no opera'!$A$2&amp;"*"))</f>
        <v>0</v>
      </c>
      <c r="T1040" s="113">
        <f>+$W$5-Tabla2[[#This Row],[FECHA DE FACTURACIÓN]]</f>
        <v>306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15" t="str">
        <f>+IF(AND(Tabla2[[#This Row],[venc]]="venc",Tabla2[[#This Row],[Columna1]]="por pagar"),"vencida","no")</f>
        <v>no</v>
      </c>
    </row>
    <row r="1041" spans="1:23" ht="15.75" x14ac:dyDescent="0.25">
      <c r="A1041" s="20">
        <v>30</v>
      </c>
      <c r="B1041" s="25">
        <v>0</v>
      </c>
      <c r="C1041" s="25"/>
      <c r="D1041" s="56" t="s">
        <v>104</v>
      </c>
      <c r="E1041" s="66">
        <v>45016</v>
      </c>
      <c r="F1041" s="323" t="s">
        <v>566</v>
      </c>
      <c r="G1041" s="66">
        <v>45016</v>
      </c>
      <c r="H1041" s="35" t="s">
        <v>520</v>
      </c>
      <c r="I1041" s="21">
        <v>645900</v>
      </c>
      <c r="J1041" s="21"/>
      <c r="K1041" s="22">
        <v>0</v>
      </c>
      <c r="L1041" s="23"/>
      <c r="M1041" s="22">
        <v>0</v>
      </c>
      <c r="N1041" s="72">
        <v>0</v>
      </c>
      <c r="O1041" s="22">
        <v>0</v>
      </c>
      <c r="P1041" s="21">
        <v>645900</v>
      </c>
      <c r="S1041" s="101" t="b">
        <f>OR(COUNTIF(Tabla2[[#This Row],[PROVEEDOR]],"*"&amp;'Palabra no opera'!$A$2&amp;"*"))</f>
        <v>0</v>
      </c>
      <c r="T1041" s="113">
        <f>+$W$5-Tabla2[[#This Row],[FECHA DE FACTURACIÓN]]</f>
        <v>306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15" t="str">
        <f>+IF(AND(Tabla2[[#This Row],[venc]]="venc",Tabla2[[#This Row],[Columna1]]="por pagar"),"vencida","no")</f>
        <v>no</v>
      </c>
    </row>
    <row r="1042" spans="1:23" ht="15.75" x14ac:dyDescent="0.25">
      <c r="A1042" s="20">
        <v>30</v>
      </c>
      <c r="B1042" s="25">
        <v>0</v>
      </c>
      <c r="C1042" s="25"/>
      <c r="D1042" s="56" t="s">
        <v>104</v>
      </c>
      <c r="E1042" s="66">
        <v>45016</v>
      </c>
      <c r="F1042" s="323" t="s">
        <v>566</v>
      </c>
      <c r="G1042" s="66">
        <v>45016</v>
      </c>
      <c r="H1042" s="35" t="s">
        <v>516</v>
      </c>
      <c r="I1042" s="21">
        <v>562500</v>
      </c>
      <c r="J1042" s="21"/>
      <c r="K1042" s="22">
        <v>0</v>
      </c>
      <c r="L1042" s="23"/>
      <c r="M1042" s="22">
        <v>0</v>
      </c>
      <c r="N1042" s="72">
        <v>0</v>
      </c>
      <c r="O1042" s="22">
        <v>0</v>
      </c>
      <c r="P1042" s="21">
        <v>562500</v>
      </c>
      <c r="S1042" s="101" t="b">
        <f>OR(COUNTIF(Tabla2[[#This Row],[PROVEEDOR]],"*"&amp;'Palabra no opera'!$A$2&amp;"*"))</f>
        <v>0</v>
      </c>
      <c r="T1042" s="113">
        <f>+$W$5-Tabla2[[#This Row],[FECHA DE FACTURACIÓN]]</f>
        <v>306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15" t="str">
        <f>+IF(AND(Tabla2[[#This Row],[venc]]="venc",Tabla2[[#This Row],[Columna1]]="por pagar"),"vencida","no")</f>
        <v>no</v>
      </c>
    </row>
    <row r="1043" spans="1:23" ht="15.75" x14ac:dyDescent="0.25">
      <c r="A1043" s="20">
        <v>30</v>
      </c>
      <c r="B1043" s="25">
        <v>0</v>
      </c>
      <c r="C1043" s="25"/>
      <c r="D1043" s="56" t="s">
        <v>104</v>
      </c>
      <c r="E1043" s="66">
        <v>45016</v>
      </c>
      <c r="F1043" s="323" t="s">
        <v>566</v>
      </c>
      <c r="G1043" s="66">
        <v>45016</v>
      </c>
      <c r="H1043" s="35" t="s">
        <v>543</v>
      </c>
      <c r="I1043" s="21">
        <v>82500</v>
      </c>
      <c r="J1043" s="21"/>
      <c r="K1043" s="22">
        <v>0</v>
      </c>
      <c r="L1043" s="23"/>
      <c r="M1043" s="22">
        <v>0</v>
      </c>
      <c r="N1043" s="72">
        <v>0</v>
      </c>
      <c r="O1043" s="22">
        <v>0</v>
      </c>
      <c r="P1043" s="21">
        <v>82500</v>
      </c>
      <c r="S1043" s="101" t="b">
        <f>OR(COUNTIF(Tabla2[[#This Row],[PROVEEDOR]],"*"&amp;'Palabra no opera'!$A$2&amp;"*"))</f>
        <v>0</v>
      </c>
      <c r="T1043" s="113">
        <f>+$W$5-Tabla2[[#This Row],[FECHA DE FACTURACIÓN]]</f>
        <v>306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15" t="str">
        <f>+IF(AND(Tabla2[[#This Row],[venc]]="venc",Tabla2[[#This Row],[Columna1]]="por pagar"),"vencida","no")</f>
        <v>no</v>
      </c>
    </row>
    <row r="1044" spans="1:23" ht="15.75" x14ac:dyDescent="0.25">
      <c r="A1044" s="20">
        <v>30</v>
      </c>
      <c r="B1044" s="25">
        <v>0</v>
      </c>
      <c r="C1044" s="25"/>
      <c r="D1044" s="56" t="s">
        <v>104</v>
      </c>
      <c r="E1044" s="66">
        <v>45016</v>
      </c>
      <c r="F1044" s="323" t="s">
        <v>566</v>
      </c>
      <c r="G1044" s="66">
        <v>45016</v>
      </c>
      <c r="H1044" s="35" t="s">
        <v>545</v>
      </c>
      <c r="I1044" s="21">
        <v>0</v>
      </c>
      <c r="J1044" s="21"/>
      <c r="K1044" s="22">
        <v>0</v>
      </c>
      <c r="L1044" s="23"/>
      <c r="M1044" s="22">
        <v>0</v>
      </c>
      <c r="N1044" s="72">
        <v>0</v>
      </c>
      <c r="O1044" s="22">
        <v>0</v>
      </c>
      <c r="P1044" s="21">
        <v>0</v>
      </c>
      <c r="S1044" s="101" t="b">
        <f>OR(COUNTIF(Tabla2[[#This Row],[PROVEEDOR]],"*"&amp;'Palabra no opera'!$A$2&amp;"*"))</f>
        <v>0</v>
      </c>
      <c r="T1044" s="113">
        <f>+$W$5-Tabla2[[#This Row],[FECHA DE FACTURACIÓN]]</f>
        <v>306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15" t="str">
        <f>+IF(AND(Tabla2[[#This Row],[venc]]="venc",Tabla2[[#This Row],[Columna1]]="por pagar"),"vencida","no")</f>
        <v>no</v>
      </c>
    </row>
    <row r="1045" spans="1:23" ht="15.75" x14ac:dyDescent="0.25">
      <c r="A1045" s="20">
        <v>60</v>
      </c>
      <c r="B1045" s="25">
        <v>0</v>
      </c>
      <c r="C1045" s="25"/>
      <c r="D1045" s="56">
        <v>0</v>
      </c>
      <c r="E1045" s="66">
        <v>45016</v>
      </c>
      <c r="F1045" s="323" t="s">
        <v>484</v>
      </c>
      <c r="G1045" s="66">
        <v>45016</v>
      </c>
      <c r="H1045" s="35" t="s">
        <v>710</v>
      </c>
      <c r="I1045" s="21">
        <v>-4550000</v>
      </c>
      <c r="J1045" s="21"/>
      <c r="K1045" s="22">
        <v>-864500</v>
      </c>
      <c r="L1045" s="23"/>
      <c r="M1045" s="22">
        <v>0</v>
      </c>
      <c r="N1045" s="72">
        <v>0</v>
      </c>
      <c r="O1045" s="22">
        <v>0</v>
      </c>
      <c r="P1045" s="21">
        <v>-5414500</v>
      </c>
      <c r="S1045" s="101" t="b">
        <f>OR(COUNTIF(Tabla2[[#This Row],[PROVEEDOR]],"*"&amp;'Palabra no opera'!$A$2&amp;"*"))</f>
        <v>1</v>
      </c>
      <c r="T1045" s="113">
        <f>+$W$5-Tabla2[[#This Row],[FECHA DE FACTURACIÓN]]</f>
        <v>306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15" t="str">
        <f>+IF(AND(Tabla2[[#This Row],[venc]]="venc",Tabla2[[#This Row],[Columna1]]="por pagar"),"vencida","no")</f>
        <v>no</v>
      </c>
    </row>
    <row r="1046" spans="1:23" ht="15.75" x14ac:dyDescent="0.25">
      <c r="A1046" s="20">
        <v>60</v>
      </c>
      <c r="B1046" s="25">
        <v>0</v>
      </c>
      <c r="C1046" s="25"/>
      <c r="D1046" s="56">
        <v>0</v>
      </c>
      <c r="E1046" s="66">
        <v>45016</v>
      </c>
      <c r="F1046" s="323" t="s">
        <v>484</v>
      </c>
      <c r="G1046" s="66">
        <v>45009</v>
      </c>
      <c r="H1046" s="35" t="s">
        <v>640</v>
      </c>
      <c r="I1046" s="21">
        <v>-1059244</v>
      </c>
      <c r="J1046" s="21"/>
      <c r="K1046" s="22">
        <v>-201256.36000000002</v>
      </c>
      <c r="L1046" s="23"/>
      <c r="M1046" s="22">
        <v>0</v>
      </c>
      <c r="N1046" s="72">
        <v>0</v>
      </c>
      <c r="O1046" s="22">
        <v>0</v>
      </c>
      <c r="P1046" s="21">
        <v>-1260500.3600000001</v>
      </c>
      <c r="S1046" s="101" t="b">
        <f>OR(COUNTIF(Tabla2[[#This Row],[PROVEEDOR]],"*"&amp;'Palabra no opera'!$A$2&amp;"*"))</f>
        <v>1</v>
      </c>
      <c r="T1046" s="113">
        <f>+$W$5-Tabla2[[#This Row],[FECHA DE FACTURACIÓN]]</f>
        <v>313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15" t="str">
        <f>+IF(AND(Tabla2[[#This Row],[venc]]="venc",Tabla2[[#This Row],[Columna1]]="por pagar"),"vencida","no")</f>
        <v>no</v>
      </c>
    </row>
    <row r="1047" spans="1:23" ht="15.75" x14ac:dyDescent="0.25">
      <c r="A1047" s="20">
        <v>60</v>
      </c>
      <c r="B1047" s="25">
        <v>0</v>
      </c>
      <c r="C1047" s="25"/>
      <c r="D1047" s="56">
        <v>0</v>
      </c>
      <c r="E1047" s="66">
        <v>45016</v>
      </c>
      <c r="F1047" s="323" t="s">
        <v>484</v>
      </c>
      <c r="G1047" s="66">
        <v>44985</v>
      </c>
      <c r="H1047" s="35" t="s">
        <v>640</v>
      </c>
      <c r="I1047" s="21">
        <v>-840336</v>
      </c>
      <c r="J1047" s="21"/>
      <c r="K1047" s="22">
        <v>-159663.84</v>
      </c>
      <c r="L1047" s="23"/>
      <c r="M1047" s="22">
        <v>0</v>
      </c>
      <c r="N1047" s="72">
        <v>0</v>
      </c>
      <c r="O1047" s="22">
        <v>0</v>
      </c>
      <c r="P1047" s="21">
        <v>-999999.84</v>
      </c>
      <c r="S1047" s="101" t="b">
        <f>OR(COUNTIF(Tabla2[[#This Row],[PROVEEDOR]],"*"&amp;'Palabra no opera'!$A$2&amp;"*"))</f>
        <v>1</v>
      </c>
      <c r="T1047" s="113">
        <f>+$W$5-Tabla2[[#This Row],[FECHA DE FACTURACIÓN]]</f>
        <v>337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15" t="str">
        <f>+IF(AND(Tabla2[[#This Row],[venc]]="venc",Tabla2[[#This Row],[Columna1]]="por pagar"),"vencida","no")</f>
        <v>no</v>
      </c>
    </row>
    <row r="1048" spans="1:23" ht="15.75" x14ac:dyDescent="0.25">
      <c r="A1048" s="20">
        <v>60</v>
      </c>
      <c r="B1048" s="25">
        <v>0</v>
      </c>
      <c r="C1048" s="25"/>
      <c r="D1048" s="56">
        <v>0</v>
      </c>
      <c r="E1048" s="66">
        <v>45016</v>
      </c>
      <c r="F1048" s="323" t="s">
        <v>484</v>
      </c>
      <c r="G1048" s="66">
        <v>44984</v>
      </c>
      <c r="H1048" s="35" t="s">
        <v>640</v>
      </c>
      <c r="I1048" s="21">
        <v>-840336</v>
      </c>
      <c r="J1048" s="21"/>
      <c r="K1048" s="22">
        <v>-159663.84</v>
      </c>
      <c r="L1048" s="23"/>
      <c r="M1048" s="22">
        <v>0</v>
      </c>
      <c r="N1048" s="72">
        <v>0</v>
      </c>
      <c r="O1048" s="22">
        <v>0</v>
      </c>
      <c r="P1048" s="21">
        <v>-999999.84</v>
      </c>
      <c r="S1048" s="101" t="b">
        <f>OR(COUNTIF(Tabla2[[#This Row],[PROVEEDOR]],"*"&amp;'Palabra no opera'!$A$2&amp;"*"))</f>
        <v>1</v>
      </c>
      <c r="T1048" s="113">
        <f>+$W$5-Tabla2[[#This Row],[FECHA DE FACTURACIÓN]]</f>
        <v>338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15" t="str">
        <f>+IF(AND(Tabla2[[#This Row],[venc]]="venc",Tabla2[[#This Row],[Columna1]]="por pagar"),"vencida","no")</f>
        <v>no</v>
      </c>
    </row>
    <row r="1049" spans="1:23" ht="15.75" x14ac:dyDescent="0.25">
      <c r="A1049" s="20">
        <v>60</v>
      </c>
      <c r="B1049" s="25">
        <v>0</v>
      </c>
      <c r="C1049" s="25"/>
      <c r="D1049" s="56">
        <v>0</v>
      </c>
      <c r="E1049" s="66">
        <v>45016</v>
      </c>
      <c r="F1049" s="323" t="s">
        <v>484</v>
      </c>
      <c r="G1049" s="66">
        <v>44980</v>
      </c>
      <c r="H1049" s="35" t="s">
        <v>640</v>
      </c>
      <c r="I1049" s="21">
        <v>-2689076</v>
      </c>
      <c r="J1049" s="21"/>
      <c r="K1049" s="22">
        <v>-510924.44</v>
      </c>
      <c r="L1049" s="23"/>
      <c r="M1049" s="22">
        <v>0</v>
      </c>
      <c r="N1049" s="72">
        <v>0</v>
      </c>
      <c r="O1049" s="22">
        <v>0</v>
      </c>
      <c r="P1049" s="21">
        <v>-3200000.44</v>
      </c>
      <c r="S1049" s="101" t="b">
        <f>OR(COUNTIF(Tabla2[[#This Row],[PROVEEDOR]],"*"&amp;'Palabra no opera'!$A$2&amp;"*"))</f>
        <v>1</v>
      </c>
      <c r="T1049" s="113">
        <f>+$W$5-Tabla2[[#This Row],[FECHA DE FACTURACIÓN]]</f>
        <v>342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15" t="str">
        <f>+IF(AND(Tabla2[[#This Row],[venc]]="venc",Tabla2[[#This Row],[Columna1]]="por pagar"),"vencida","no")</f>
        <v>no</v>
      </c>
    </row>
    <row r="1050" spans="1:23" ht="15.75" x14ac:dyDescent="0.25">
      <c r="A1050" s="20">
        <v>60</v>
      </c>
      <c r="B1050" s="25">
        <v>0</v>
      </c>
      <c r="C1050" s="25"/>
      <c r="D1050" s="56">
        <v>0</v>
      </c>
      <c r="E1050" s="66">
        <v>45016</v>
      </c>
      <c r="F1050" s="323" t="s">
        <v>484</v>
      </c>
      <c r="G1050" s="66">
        <v>44970</v>
      </c>
      <c r="H1050" s="35" t="s">
        <v>640</v>
      </c>
      <c r="I1050" s="21">
        <v>-2521008</v>
      </c>
      <c r="J1050" s="21"/>
      <c r="K1050" s="22">
        <v>-478991.52</v>
      </c>
      <c r="L1050" s="23"/>
      <c r="M1050" s="22">
        <v>0</v>
      </c>
      <c r="N1050" s="72">
        <v>0</v>
      </c>
      <c r="O1050" s="22">
        <v>0</v>
      </c>
      <c r="P1050" s="21">
        <v>-2999999.52</v>
      </c>
      <c r="S1050" s="101" t="b">
        <f>OR(COUNTIF(Tabla2[[#This Row],[PROVEEDOR]],"*"&amp;'Palabra no opera'!$A$2&amp;"*"))</f>
        <v>1</v>
      </c>
      <c r="T1050" s="113">
        <f>+$W$5-Tabla2[[#This Row],[FECHA DE FACTURACIÓN]]</f>
        <v>352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15" t="str">
        <f>+IF(AND(Tabla2[[#This Row],[venc]]="venc",Tabla2[[#This Row],[Columna1]]="por pagar"),"vencida","no")</f>
        <v>no</v>
      </c>
    </row>
    <row r="1051" spans="1:23" ht="15.75" x14ac:dyDescent="0.25">
      <c r="A1051" s="20">
        <v>30</v>
      </c>
      <c r="B1051" s="25">
        <v>0</v>
      </c>
      <c r="C1051" s="25"/>
      <c r="D1051" s="56" t="s">
        <v>1508</v>
      </c>
      <c r="E1051" s="66">
        <v>45014</v>
      </c>
      <c r="F1051" s="323" t="s">
        <v>406</v>
      </c>
      <c r="G1051" s="66">
        <v>44988</v>
      </c>
      <c r="H1051" s="35" t="s">
        <v>684</v>
      </c>
      <c r="I1051" s="21">
        <v>1840056</v>
      </c>
      <c r="J1051" s="21"/>
      <c r="K1051" s="22">
        <v>0</v>
      </c>
      <c r="L1051" s="23"/>
      <c r="M1051" s="22">
        <v>0</v>
      </c>
      <c r="N1051" s="72">
        <v>0</v>
      </c>
      <c r="O1051" s="22">
        <v>0</v>
      </c>
      <c r="P1051" s="21">
        <v>1840056</v>
      </c>
      <c r="S1051" s="101" t="b">
        <f>OR(COUNTIF(Tabla2[[#This Row],[PROVEEDOR]],"*"&amp;'Palabra no opera'!$A$2&amp;"*"))</f>
        <v>1</v>
      </c>
      <c r="T1051" s="113">
        <f>+$W$5-Tabla2[[#This Row],[FECHA DE FACTURACIÓN]]</f>
        <v>334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15" t="str">
        <f>+IF(AND(Tabla2[[#This Row],[venc]]="venc",Tabla2[[#This Row],[Columna1]]="por pagar"),"vencida","no")</f>
        <v>no</v>
      </c>
    </row>
    <row r="1052" spans="1:23" ht="15.75" x14ac:dyDescent="0.25">
      <c r="A1052" s="20">
        <v>30</v>
      </c>
      <c r="B1052" s="25">
        <v>0</v>
      </c>
      <c r="C1052" s="25"/>
      <c r="D1052" s="56" t="s">
        <v>284</v>
      </c>
      <c r="E1052" s="66">
        <v>45014</v>
      </c>
      <c r="F1052" s="323" t="s">
        <v>401</v>
      </c>
      <c r="G1052" s="66">
        <v>44986</v>
      </c>
      <c r="H1052" s="35" t="s">
        <v>685</v>
      </c>
      <c r="I1052" s="21">
        <v>3294426</v>
      </c>
      <c r="J1052" s="21"/>
      <c r="K1052" s="22">
        <v>625940.94000000006</v>
      </c>
      <c r="L1052" s="23"/>
      <c r="M1052" s="22">
        <v>0</v>
      </c>
      <c r="N1052" s="72">
        <v>0</v>
      </c>
      <c r="O1052" s="22">
        <v>0</v>
      </c>
      <c r="P1052" s="21">
        <v>3920366.94</v>
      </c>
      <c r="S1052" s="101" t="b">
        <f>OR(COUNTIF(Tabla2[[#This Row],[PROVEEDOR]],"*"&amp;'Palabra no opera'!$A$2&amp;"*"))</f>
        <v>1</v>
      </c>
      <c r="T1052" s="113">
        <f>+$W$5-Tabla2[[#This Row],[FECHA DE FACTURACIÓN]]</f>
        <v>336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15" t="str">
        <f>+IF(AND(Tabla2[[#This Row],[venc]]="venc",Tabla2[[#This Row],[Columna1]]="por pagar"),"vencida","no")</f>
        <v>no</v>
      </c>
    </row>
    <row r="1053" spans="1:23" ht="15.75" x14ac:dyDescent="0.25">
      <c r="A1053" s="20">
        <v>30</v>
      </c>
      <c r="B1053" s="25">
        <v>0</v>
      </c>
      <c r="C1053" s="25"/>
      <c r="D1053" s="56" t="s">
        <v>449</v>
      </c>
      <c r="E1053" s="66">
        <v>45014</v>
      </c>
      <c r="F1053" s="323" t="s">
        <v>415</v>
      </c>
      <c r="G1053" s="66">
        <v>44986</v>
      </c>
      <c r="H1053" s="35" t="s">
        <v>674</v>
      </c>
      <c r="I1053" s="21">
        <v>59583</v>
      </c>
      <c r="J1053" s="21"/>
      <c r="K1053" s="22">
        <v>0</v>
      </c>
      <c r="L1053" s="23"/>
      <c r="M1053" s="22">
        <v>0</v>
      </c>
      <c r="N1053" s="72">
        <v>0</v>
      </c>
      <c r="O1053" s="22">
        <v>0</v>
      </c>
      <c r="P1053" s="21">
        <v>59583</v>
      </c>
      <c r="S1053" s="101" t="b">
        <f>OR(COUNTIF(Tabla2[[#This Row],[PROVEEDOR]],"*"&amp;'Palabra no opera'!$A$2&amp;"*"))</f>
        <v>1</v>
      </c>
      <c r="T1053" s="113">
        <f>+$W$5-Tabla2[[#This Row],[FECHA DE FACTURACIÓN]]</f>
        <v>336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15" t="str">
        <f>+IF(AND(Tabla2[[#This Row],[venc]]="venc",Tabla2[[#This Row],[Columna1]]="por pagar"),"vencida","no")</f>
        <v>no</v>
      </c>
    </row>
    <row r="1054" spans="1:23" ht="15.75" x14ac:dyDescent="0.25">
      <c r="A1054" s="20">
        <v>30</v>
      </c>
      <c r="B1054" s="25">
        <v>0</v>
      </c>
      <c r="C1054" s="25"/>
      <c r="D1054" s="56" t="s">
        <v>449</v>
      </c>
      <c r="E1054" s="66">
        <v>45014</v>
      </c>
      <c r="F1054" s="323" t="s">
        <v>415</v>
      </c>
      <c r="G1054" s="66">
        <v>44986</v>
      </c>
      <c r="H1054" s="35" t="s">
        <v>675</v>
      </c>
      <c r="I1054" s="21">
        <v>928304</v>
      </c>
      <c r="J1054" s="21"/>
      <c r="K1054" s="22">
        <v>0</v>
      </c>
      <c r="L1054" s="23"/>
      <c r="M1054" s="22">
        <v>0</v>
      </c>
      <c r="N1054" s="72">
        <v>0</v>
      </c>
      <c r="O1054" s="22">
        <v>0</v>
      </c>
      <c r="P1054" s="21">
        <v>928304</v>
      </c>
      <c r="S1054" s="101" t="b">
        <f>OR(COUNTIF(Tabla2[[#This Row],[PROVEEDOR]],"*"&amp;'Palabra no opera'!$A$2&amp;"*"))</f>
        <v>1</v>
      </c>
      <c r="T1054" s="113">
        <f>+$W$5-Tabla2[[#This Row],[FECHA DE FACTURACIÓN]]</f>
        <v>336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15" t="str">
        <f>+IF(AND(Tabla2[[#This Row],[venc]]="venc",Tabla2[[#This Row],[Columna1]]="por pagar"),"vencida","no")</f>
        <v>no</v>
      </c>
    </row>
    <row r="1055" spans="1:23" ht="15.75" x14ac:dyDescent="0.25">
      <c r="A1055" s="20">
        <v>30</v>
      </c>
      <c r="B1055" s="25">
        <v>0</v>
      </c>
      <c r="C1055" s="25"/>
      <c r="D1055" s="56" t="s">
        <v>449</v>
      </c>
      <c r="E1055" s="66">
        <v>45014</v>
      </c>
      <c r="F1055" s="323" t="s">
        <v>415</v>
      </c>
      <c r="G1055" s="66">
        <v>44986</v>
      </c>
      <c r="H1055" s="35" t="s">
        <v>676</v>
      </c>
      <c r="I1055" s="21">
        <v>68166</v>
      </c>
      <c r="J1055" s="21"/>
      <c r="K1055" s="22">
        <v>0</v>
      </c>
      <c r="L1055" s="23"/>
      <c r="M1055" s="22">
        <v>0</v>
      </c>
      <c r="N1055" s="72">
        <v>0</v>
      </c>
      <c r="O1055" s="22">
        <v>0</v>
      </c>
      <c r="P1055" s="21">
        <v>68166</v>
      </c>
      <c r="S1055" s="101" t="b">
        <f>OR(COUNTIF(Tabla2[[#This Row],[PROVEEDOR]],"*"&amp;'Palabra no opera'!$A$2&amp;"*"))</f>
        <v>1</v>
      </c>
      <c r="T1055" s="113">
        <f>+$W$5-Tabla2[[#This Row],[FECHA DE FACTURACIÓN]]</f>
        <v>336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15" t="str">
        <f>+IF(AND(Tabla2[[#This Row],[venc]]="venc",Tabla2[[#This Row],[Columna1]]="por pagar"),"vencida","no")</f>
        <v>no</v>
      </c>
    </row>
    <row r="1056" spans="1:23" ht="15.75" x14ac:dyDescent="0.25">
      <c r="A1056" s="20">
        <v>30</v>
      </c>
      <c r="B1056" s="25">
        <v>0</v>
      </c>
      <c r="C1056" s="25"/>
      <c r="D1056" s="56" t="s">
        <v>449</v>
      </c>
      <c r="E1056" s="66">
        <v>45014</v>
      </c>
      <c r="F1056" s="323" t="s">
        <v>415</v>
      </c>
      <c r="G1056" s="66">
        <v>44986</v>
      </c>
      <c r="H1056" s="35" t="s">
        <v>677</v>
      </c>
      <c r="I1056" s="21">
        <v>949891</v>
      </c>
      <c r="J1056" s="21"/>
      <c r="K1056" s="22">
        <v>0</v>
      </c>
      <c r="L1056" s="23"/>
      <c r="M1056" s="22">
        <v>0</v>
      </c>
      <c r="N1056" s="72">
        <v>0</v>
      </c>
      <c r="O1056" s="22">
        <v>0</v>
      </c>
      <c r="P1056" s="21">
        <v>949891</v>
      </c>
      <c r="S1056" s="101" t="b">
        <f>OR(COUNTIF(Tabla2[[#This Row],[PROVEEDOR]],"*"&amp;'Palabra no opera'!$A$2&amp;"*"))</f>
        <v>1</v>
      </c>
      <c r="T1056" s="113">
        <f>+$W$5-Tabla2[[#This Row],[FECHA DE FACTURACIÓN]]</f>
        <v>336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15" t="str">
        <f>+IF(AND(Tabla2[[#This Row],[venc]]="venc",Tabla2[[#This Row],[Columna1]]="por pagar"),"vencida","no")</f>
        <v>no</v>
      </c>
    </row>
    <row r="1057" spans="1:23" ht="15.75" x14ac:dyDescent="0.25">
      <c r="A1057" s="20">
        <v>30</v>
      </c>
      <c r="B1057" s="25">
        <v>0</v>
      </c>
      <c r="C1057" s="25"/>
      <c r="D1057" s="56" t="s">
        <v>505</v>
      </c>
      <c r="E1057" s="66">
        <v>45014</v>
      </c>
      <c r="F1057" s="323" t="s">
        <v>416</v>
      </c>
      <c r="G1057" s="66">
        <v>44986</v>
      </c>
      <c r="H1057" s="35" t="s">
        <v>687</v>
      </c>
      <c r="I1057" s="21">
        <v>3945038</v>
      </c>
      <c r="J1057" s="21"/>
      <c r="K1057" s="22">
        <v>665000</v>
      </c>
      <c r="L1057" s="23"/>
      <c r="M1057" s="22">
        <v>0</v>
      </c>
      <c r="N1057" s="72">
        <v>0</v>
      </c>
      <c r="O1057" s="22">
        <v>0</v>
      </c>
      <c r="P1057" s="21">
        <v>4610038</v>
      </c>
      <c r="S1057" s="101" t="b">
        <f>OR(COUNTIF(Tabla2[[#This Row],[PROVEEDOR]],"*"&amp;'Palabra no opera'!$A$2&amp;"*"))</f>
        <v>1</v>
      </c>
      <c r="T1057" s="113">
        <f>+$W$5-Tabla2[[#This Row],[FECHA DE FACTURACIÓN]]</f>
        <v>336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15" t="str">
        <f>+IF(AND(Tabla2[[#This Row],[venc]]="venc",Tabla2[[#This Row],[Columna1]]="por pagar"),"vencida","no")</f>
        <v>no</v>
      </c>
    </row>
    <row r="1058" spans="1:23" ht="15.75" x14ac:dyDescent="0.25">
      <c r="A1058" s="20">
        <v>30</v>
      </c>
      <c r="B1058" s="25">
        <v>0</v>
      </c>
      <c r="C1058" s="25"/>
      <c r="D1058" s="56" t="s">
        <v>505</v>
      </c>
      <c r="E1058" s="66">
        <v>45014</v>
      </c>
      <c r="F1058" s="323" t="s">
        <v>416</v>
      </c>
      <c r="G1058" s="66">
        <v>44986</v>
      </c>
      <c r="H1058" s="35" t="s">
        <v>688</v>
      </c>
      <c r="I1058" s="21">
        <v>92201</v>
      </c>
      <c r="J1058" s="21"/>
      <c r="K1058" s="22">
        <v>17518.189999999999</v>
      </c>
      <c r="L1058" s="23"/>
      <c r="M1058" s="22">
        <v>0</v>
      </c>
      <c r="N1058" s="72">
        <v>3.5000000000000003E-2</v>
      </c>
      <c r="O1058" s="22">
        <v>3227.0350000000003</v>
      </c>
      <c r="P1058" s="21">
        <v>106492.155</v>
      </c>
      <c r="S1058" s="101" t="b">
        <f>OR(COUNTIF(Tabla2[[#This Row],[PROVEEDOR]],"*"&amp;'Palabra no opera'!$A$2&amp;"*"))</f>
        <v>1</v>
      </c>
      <c r="T1058" s="113">
        <f>+$W$5-Tabla2[[#This Row],[FECHA DE FACTURACIÓN]]</f>
        <v>336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15" t="str">
        <f>+IF(AND(Tabla2[[#This Row],[venc]]="venc",Tabla2[[#This Row],[Columna1]]="por pagar"),"vencida","no")</f>
        <v>no</v>
      </c>
    </row>
    <row r="1059" spans="1:23" ht="15.75" x14ac:dyDescent="0.25">
      <c r="A1059" s="20">
        <v>30</v>
      </c>
      <c r="B1059" s="25">
        <v>0</v>
      </c>
      <c r="C1059" s="25"/>
      <c r="D1059" s="56" t="s">
        <v>505</v>
      </c>
      <c r="E1059" s="66">
        <v>45014</v>
      </c>
      <c r="F1059" s="323" t="s">
        <v>416</v>
      </c>
      <c r="G1059" s="66">
        <v>44986</v>
      </c>
      <c r="H1059" s="35" t="s">
        <v>689</v>
      </c>
      <c r="I1059" s="21">
        <v>-7783</v>
      </c>
      <c r="J1059" s="21"/>
      <c r="K1059" s="22">
        <v>-1478.77</v>
      </c>
      <c r="L1059" s="23"/>
      <c r="M1059" s="22">
        <v>0</v>
      </c>
      <c r="N1059" s="72">
        <v>0</v>
      </c>
      <c r="O1059" s="22">
        <v>0</v>
      </c>
      <c r="P1059" s="21">
        <v>-9261.77</v>
      </c>
      <c r="S1059" s="101" t="b">
        <f>OR(COUNTIF(Tabla2[[#This Row],[PROVEEDOR]],"*"&amp;'Palabra no opera'!$A$2&amp;"*"))</f>
        <v>1</v>
      </c>
      <c r="T1059" s="113">
        <f>+$W$5-Tabla2[[#This Row],[FECHA DE FACTURACIÓN]]</f>
        <v>336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15" t="str">
        <f>+IF(AND(Tabla2[[#This Row],[venc]]="venc",Tabla2[[#This Row],[Columna1]]="por pagar"),"vencida","no")</f>
        <v>no</v>
      </c>
    </row>
    <row r="1060" spans="1:23" ht="15.75" x14ac:dyDescent="0.25">
      <c r="A1060" s="20">
        <v>10</v>
      </c>
      <c r="B1060" s="25">
        <v>0</v>
      </c>
      <c r="C1060" s="25"/>
      <c r="D1060" s="56" t="s">
        <v>523</v>
      </c>
      <c r="E1060" s="66">
        <v>45014</v>
      </c>
      <c r="F1060" s="323" t="s">
        <v>522</v>
      </c>
      <c r="G1060" s="66">
        <v>44986</v>
      </c>
      <c r="H1060" s="35" t="s">
        <v>686</v>
      </c>
      <c r="I1060" s="21">
        <v>4730000</v>
      </c>
      <c r="J1060" s="21"/>
      <c r="K1060" s="22">
        <v>898700</v>
      </c>
      <c r="L1060" s="23"/>
      <c r="M1060" s="22">
        <v>0</v>
      </c>
      <c r="N1060" s="72">
        <v>0</v>
      </c>
      <c r="O1060" s="22">
        <v>0</v>
      </c>
      <c r="P1060" s="21">
        <v>5628700</v>
      </c>
      <c r="S1060" s="101" t="b">
        <f>OR(COUNTIF(Tabla2[[#This Row],[PROVEEDOR]],"*"&amp;'Palabra no opera'!$A$2&amp;"*"))</f>
        <v>1</v>
      </c>
      <c r="T1060" s="113">
        <f>+$W$5-Tabla2[[#This Row],[FECHA DE FACTURACIÓN]]</f>
        <v>336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15" t="str">
        <f>+IF(AND(Tabla2[[#This Row],[venc]]="venc",Tabla2[[#This Row],[Columna1]]="por pagar"),"vencida","no")</f>
        <v>no</v>
      </c>
    </row>
    <row r="1061" spans="1:23" ht="15.75" x14ac:dyDescent="0.25">
      <c r="A1061" s="20">
        <v>30</v>
      </c>
      <c r="B1061" s="25">
        <v>2190013.0175000001</v>
      </c>
      <c r="C1061" s="25"/>
      <c r="D1061" s="56" t="s">
        <v>180</v>
      </c>
      <c r="E1061" s="66">
        <v>45012</v>
      </c>
      <c r="F1061" s="323" t="s">
        <v>491</v>
      </c>
      <c r="G1061" s="66">
        <v>45008</v>
      </c>
      <c r="H1061" s="35" t="s">
        <v>683</v>
      </c>
      <c r="I1061" s="21">
        <v>16180800</v>
      </c>
      <c r="J1061" s="21"/>
      <c r="K1061" s="22">
        <v>3074352</v>
      </c>
      <c r="L1061" s="23"/>
      <c r="M1061" s="22">
        <v>0</v>
      </c>
      <c r="N1061" s="72">
        <v>2.5000000000000001E-2</v>
      </c>
      <c r="O1061" s="22">
        <v>404520</v>
      </c>
      <c r="P1061" s="21">
        <v>18850632</v>
      </c>
      <c r="S1061" s="101" t="b">
        <f>OR(COUNTIF(Tabla2[[#This Row],[PROVEEDOR]],"*"&amp;'Palabra no opera'!$A$2&amp;"*"))</f>
        <v>0</v>
      </c>
      <c r="T1061" s="113">
        <f>+$W$5-Tabla2[[#This Row],[FECHA DE FACTURACIÓN]]</f>
        <v>314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15" t="str">
        <f>+IF(AND(Tabla2[[#This Row],[venc]]="venc",Tabla2[[#This Row],[Columna1]]="por pagar"),"vencida","no")</f>
        <v>no</v>
      </c>
    </row>
    <row r="1062" spans="1:23" ht="15.75" x14ac:dyDescent="0.25">
      <c r="A1062" s="20">
        <v>30</v>
      </c>
      <c r="B1062" s="25">
        <v>0</v>
      </c>
      <c r="C1062" s="25"/>
      <c r="D1062" s="56" t="s">
        <v>158</v>
      </c>
      <c r="E1062" s="66">
        <v>45012</v>
      </c>
      <c r="F1062" s="323" t="s">
        <v>486</v>
      </c>
      <c r="G1062" s="66">
        <v>44993</v>
      </c>
      <c r="H1062" s="35">
        <v>403</v>
      </c>
      <c r="I1062" s="21">
        <v>300000</v>
      </c>
      <c r="J1062" s="21"/>
      <c r="K1062" s="22">
        <v>0</v>
      </c>
      <c r="L1062" s="23"/>
      <c r="M1062" s="22">
        <v>0</v>
      </c>
      <c r="N1062" s="72">
        <v>0</v>
      </c>
      <c r="O1062" s="22">
        <v>0</v>
      </c>
      <c r="P1062" s="21">
        <v>300000</v>
      </c>
      <c r="S1062" s="101" t="b">
        <f>OR(COUNTIF(Tabla2[[#This Row],[PROVEEDOR]],"*"&amp;'Palabra no opera'!$A$2&amp;"*"))</f>
        <v>0</v>
      </c>
      <c r="T1062" s="113">
        <f>+$W$5-Tabla2[[#This Row],[FECHA DE FACTURACIÓN]]</f>
        <v>329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15" t="str">
        <f>+IF(AND(Tabla2[[#This Row],[venc]]="venc",Tabla2[[#This Row],[Columna1]]="por pagar"),"vencida","no")</f>
        <v>no</v>
      </c>
    </row>
    <row r="1063" spans="1:23" ht="15.75" x14ac:dyDescent="0.25">
      <c r="A1063" s="20">
        <v>30</v>
      </c>
      <c r="B1063" s="25">
        <v>0</v>
      </c>
      <c r="C1063" s="25"/>
      <c r="D1063" s="56" t="s">
        <v>158</v>
      </c>
      <c r="E1063" s="66">
        <v>45012</v>
      </c>
      <c r="F1063" s="323" t="s">
        <v>487</v>
      </c>
      <c r="G1063" s="66">
        <v>44993</v>
      </c>
      <c r="H1063" s="35" t="s">
        <v>682</v>
      </c>
      <c r="I1063" s="21">
        <v>290000</v>
      </c>
      <c r="J1063" s="21"/>
      <c r="K1063" s="22">
        <v>0</v>
      </c>
      <c r="L1063" s="23"/>
      <c r="M1063" s="22">
        <v>0</v>
      </c>
      <c r="N1063" s="72">
        <v>0.01</v>
      </c>
      <c r="O1063" s="22">
        <v>2900</v>
      </c>
      <c r="P1063" s="21">
        <v>287100</v>
      </c>
      <c r="S1063" s="101" t="b">
        <f>OR(COUNTIF(Tabla2[[#This Row],[PROVEEDOR]],"*"&amp;'Palabra no opera'!$A$2&amp;"*"))</f>
        <v>0</v>
      </c>
      <c r="T1063" s="113">
        <f>+$W$5-Tabla2[[#This Row],[FECHA DE FACTURACIÓN]]</f>
        <v>329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15" t="str">
        <f>+IF(AND(Tabla2[[#This Row],[venc]]="venc",Tabla2[[#This Row],[Columna1]]="por pagar"),"vencida","no")</f>
        <v>no</v>
      </c>
    </row>
    <row r="1064" spans="1:23" ht="15.75" x14ac:dyDescent="0.25">
      <c r="A1064" s="20">
        <v>30</v>
      </c>
      <c r="B1064" s="25">
        <v>0</v>
      </c>
      <c r="C1064" s="25"/>
      <c r="D1064" s="56" t="s">
        <v>284</v>
      </c>
      <c r="E1064" s="66">
        <v>45012</v>
      </c>
      <c r="F1064" s="323" t="s">
        <v>401</v>
      </c>
      <c r="G1064" s="66">
        <v>44986</v>
      </c>
      <c r="H1064" s="35" t="s">
        <v>678</v>
      </c>
      <c r="I1064" s="21">
        <v>7165</v>
      </c>
      <c r="J1064" s="21"/>
      <c r="K1064" s="22">
        <v>1361.35</v>
      </c>
      <c r="L1064" s="23"/>
      <c r="M1064" s="22">
        <v>0</v>
      </c>
      <c r="N1064" s="72">
        <v>0</v>
      </c>
      <c r="O1064" s="22">
        <v>0</v>
      </c>
      <c r="P1064" s="21">
        <v>8526.35</v>
      </c>
      <c r="S1064" s="101" t="b">
        <f>OR(COUNTIF(Tabla2[[#This Row],[PROVEEDOR]],"*"&amp;'Palabra no opera'!$A$2&amp;"*"))</f>
        <v>1</v>
      </c>
      <c r="T1064" s="113">
        <f>+$W$5-Tabla2[[#This Row],[FECHA DE FACTURACIÓN]]</f>
        <v>336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15" t="str">
        <f>+IF(AND(Tabla2[[#This Row],[venc]]="venc",Tabla2[[#This Row],[Columna1]]="por pagar"),"vencida","no")</f>
        <v>no</v>
      </c>
    </row>
    <row r="1065" spans="1:23" ht="15.75" x14ac:dyDescent="0.25">
      <c r="A1065" s="20">
        <v>30</v>
      </c>
      <c r="B1065" s="25">
        <v>0</v>
      </c>
      <c r="C1065" s="25"/>
      <c r="D1065" s="56" t="s">
        <v>284</v>
      </c>
      <c r="E1065" s="66">
        <v>45012</v>
      </c>
      <c r="F1065" s="323" t="s">
        <v>401</v>
      </c>
      <c r="G1065" s="66">
        <v>44986</v>
      </c>
      <c r="H1065" s="35" t="s">
        <v>679</v>
      </c>
      <c r="I1065" s="21">
        <v>10150</v>
      </c>
      <c r="J1065" s="21"/>
      <c r="K1065" s="22">
        <v>1928.5</v>
      </c>
      <c r="L1065" s="23"/>
      <c r="M1065" s="22">
        <v>0</v>
      </c>
      <c r="N1065" s="72">
        <v>0</v>
      </c>
      <c r="O1065" s="22">
        <v>0</v>
      </c>
      <c r="P1065" s="21">
        <v>12078.5</v>
      </c>
      <c r="S1065" s="101" t="b">
        <f>OR(COUNTIF(Tabla2[[#This Row],[PROVEEDOR]],"*"&amp;'Palabra no opera'!$A$2&amp;"*"))</f>
        <v>1</v>
      </c>
      <c r="T1065" s="113">
        <f>+$W$5-Tabla2[[#This Row],[FECHA DE FACTURACIÓN]]</f>
        <v>336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15" t="str">
        <f>+IF(AND(Tabla2[[#This Row],[venc]]="venc",Tabla2[[#This Row],[Columna1]]="por pagar"),"vencida","no")</f>
        <v>no</v>
      </c>
    </row>
    <row r="1066" spans="1:23" ht="15.75" x14ac:dyDescent="0.25">
      <c r="A1066" s="20">
        <v>30</v>
      </c>
      <c r="B1066" s="25">
        <v>0</v>
      </c>
      <c r="C1066" s="25"/>
      <c r="D1066" s="56" t="s">
        <v>284</v>
      </c>
      <c r="E1066" s="66">
        <v>45012</v>
      </c>
      <c r="F1066" s="323" t="s">
        <v>401</v>
      </c>
      <c r="G1066" s="66">
        <v>44986</v>
      </c>
      <c r="H1066" s="35" t="s">
        <v>680</v>
      </c>
      <c r="I1066" s="21">
        <v>39533</v>
      </c>
      <c r="J1066" s="21"/>
      <c r="K1066" s="22">
        <v>7511.27</v>
      </c>
      <c r="L1066" s="23"/>
      <c r="M1066" s="22">
        <v>0</v>
      </c>
      <c r="N1066" s="72">
        <v>0</v>
      </c>
      <c r="O1066" s="22">
        <v>0</v>
      </c>
      <c r="P1066" s="21">
        <v>47044.270000000004</v>
      </c>
      <c r="S1066" s="101" t="b">
        <f>OR(COUNTIF(Tabla2[[#This Row],[PROVEEDOR]],"*"&amp;'Palabra no opera'!$A$2&amp;"*"))</f>
        <v>1</v>
      </c>
      <c r="T1066" s="113">
        <f>+$W$5-Tabla2[[#This Row],[FECHA DE FACTURACIÓN]]</f>
        <v>336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15" t="str">
        <f>+IF(AND(Tabla2[[#This Row],[venc]]="venc",Tabla2[[#This Row],[Columna1]]="por pagar"),"vencida","no")</f>
        <v>no</v>
      </c>
    </row>
    <row r="1067" spans="1:23" ht="15.75" x14ac:dyDescent="0.25">
      <c r="A1067" s="20">
        <v>30</v>
      </c>
      <c r="B1067" s="25">
        <v>0</v>
      </c>
      <c r="C1067" s="25"/>
      <c r="D1067" s="56" t="s">
        <v>284</v>
      </c>
      <c r="E1067" s="66">
        <v>45012</v>
      </c>
      <c r="F1067" s="323" t="s">
        <v>401</v>
      </c>
      <c r="G1067" s="66">
        <v>44986</v>
      </c>
      <c r="H1067" s="35" t="s">
        <v>681</v>
      </c>
      <c r="I1067" s="21">
        <v>933193</v>
      </c>
      <c r="J1067" s="21"/>
      <c r="K1067" s="22">
        <v>177306.67</v>
      </c>
      <c r="L1067" s="23"/>
      <c r="M1067" s="22">
        <v>0</v>
      </c>
      <c r="N1067" s="72">
        <v>0</v>
      </c>
      <c r="O1067" s="22">
        <v>0</v>
      </c>
      <c r="P1067" s="21">
        <v>1110499.67</v>
      </c>
      <c r="S1067" s="101" t="b">
        <f>OR(COUNTIF(Tabla2[[#This Row],[PROVEEDOR]],"*"&amp;'Palabra no opera'!$A$2&amp;"*"))</f>
        <v>1</v>
      </c>
      <c r="T1067" s="113">
        <f>+$W$5-Tabla2[[#This Row],[FECHA DE FACTURACIÓN]]</f>
        <v>336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15" t="str">
        <f>+IF(AND(Tabla2[[#This Row],[venc]]="venc",Tabla2[[#This Row],[Columna1]]="por pagar"),"vencida","no")</f>
        <v>no</v>
      </c>
    </row>
    <row r="1068" spans="1:23" ht="15.75" x14ac:dyDescent="0.25">
      <c r="A1068" s="20">
        <v>30</v>
      </c>
      <c r="B1068" s="25">
        <v>0</v>
      </c>
      <c r="C1068" s="25"/>
      <c r="D1068" s="56" t="s">
        <v>300</v>
      </c>
      <c r="E1068" s="66">
        <v>45012</v>
      </c>
      <c r="F1068" s="323" t="s">
        <v>409</v>
      </c>
      <c r="G1068" s="66">
        <v>44986</v>
      </c>
      <c r="H1068" s="35" t="s">
        <v>737</v>
      </c>
      <c r="I1068" s="21">
        <v>329981</v>
      </c>
      <c r="J1068" s="21"/>
      <c r="K1068" s="22">
        <v>0</v>
      </c>
      <c r="L1068" s="23"/>
      <c r="M1068" s="22">
        <v>0</v>
      </c>
      <c r="N1068" s="72">
        <v>0</v>
      </c>
      <c r="O1068" s="22">
        <v>0</v>
      </c>
      <c r="P1068" s="21">
        <v>329981</v>
      </c>
      <c r="S1068" s="101" t="b">
        <f>OR(COUNTIF(Tabla2[[#This Row],[PROVEEDOR]],"*"&amp;'Palabra no opera'!$A$2&amp;"*"))</f>
        <v>1</v>
      </c>
      <c r="T1068" s="113">
        <f>+$W$5-Tabla2[[#This Row],[FECHA DE FACTURACIÓN]]</f>
        <v>336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15" t="str">
        <f>+IF(AND(Tabla2[[#This Row],[venc]]="venc",Tabla2[[#This Row],[Columna1]]="por pagar"),"vencida","no")</f>
        <v>no</v>
      </c>
    </row>
    <row r="1069" spans="1:23" ht="15.75" x14ac:dyDescent="0.25">
      <c r="A1069" s="20">
        <v>30</v>
      </c>
      <c r="B1069" s="25">
        <v>0</v>
      </c>
      <c r="C1069" s="25"/>
      <c r="D1069" s="56" t="s">
        <v>174</v>
      </c>
      <c r="E1069" s="66">
        <v>45012</v>
      </c>
      <c r="F1069" s="323" t="s">
        <v>427</v>
      </c>
      <c r="G1069" s="66">
        <v>44986</v>
      </c>
      <c r="H1069" s="35" t="s">
        <v>673</v>
      </c>
      <c r="I1069" s="21">
        <v>243611</v>
      </c>
      <c r="J1069" s="21"/>
      <c r="K1069" s="22">
        <v>46286.090000000004</v>
      </c>
      <c r="L1069" s="23"/>
      <c r="M1069" s="22">
        <v>0</v>
      </c>
      <c r="N1069" s="72">
        <v>3.5000000000000003E-2</v>
      </c>
      <c r="O1069" s="22">
        <v>8526.3850000000002</v>
      </c>
      <c r="P1069" s="21">
        <v>281370.70500000002</v>
      </c>
      <c r="S1069" s="101" t="b">
        <f>OR(COUNTIF(Tabla2[[#This Row],[PROVEEDOR]],"*"&amp;'Palabra no opera'!$A$2&amp;"*"))</f>
        <v>1</v>
      </c>
      <c r="T1069" s="113">
        <f>+$W$5-Tabla2[[#This Row],[FECHA DE FACTURACIÓN]]</f>
        <v>336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15" t="str">
        <f>+IF(AND(Tabla2[[#This Row],[venc]]="venc",Tabla2[[#This Row],[Columna1]]="por pagar"),"vencida","no")</f>
        <v>no</v>
      </c>
    </row>
    <row r="1070" spans="1:23" ht="15.75" x14ac:dyDescent="0.25">
      <c r="A1070" s="20">
        <v>30</v>
      </c>
      <c r="B1070" s="25">
        <v>1500000</v>
      </c>
      <c r="C1070" s="25"/>
      <c r="D1070" s="56" t="s">
        <v>104</v>
      </c>
      <c r="E1070" s="66">
        <v>45012</v>
      </c>
      <c r="F1070" s="323" t="s">
        <v>273</v>
      </c>
      <c r="G1070" s="66">
        <v>44965</v>
      </c>
      <c r="H1070" s="35" t="s">
        <v>638</v>
      </c>
      <c r="I1070" s="21">
        <v>2260000</v>
      </c>
      <c r="J1070" s="21"/>
      <c r="K1070" s="22">
        <v>0</v>
      </c>
      <c r="L1070" s="23"/>
      <c r="M1070" s="22">
        <v>0</v>
      </c>
      <c r="N1070" s="72">
        <v>0</v>
      </c>
      <c r="O1070" s="22">
        <v>0</v>
      </c>
      <c r="P1070" s="21">
        <v>2260000</v>
      </c>
      <c r="S1070" s="101" t="b">
        <f>OR(COUNTIF(Tabla2[[#This Row],[PROVEEDOR]],"*"&amp;'Palabra no opera'!$A$2&amp;"*"))</f>
        <v>0</v>
      </c>
      <c r="T1070" s="113">
        <f>+$W$5-Tabla2[[#This Row],[FECHA DE FACTURACIÓN]]</f>
        <v>357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15" t="str">
        <f>+IF(AND(Tabla2[[#This Row],[venc]]="venc",Tabla2[[#This Row],[Columna1]]="por pagar"),"vencida","no")</f>
        <v>no</v>
      </c>
    </row>
    <row r="1071" spans="1:23" ht="15.75" x14ac:dyDescent="0.25">
      <c r="A1071" s="20">
        <v>30</v>
      </c>
      <c r="B1071" s="25">
        <v>0</v>
      </c>
      <c r="C1071" s="25"/>
      <c r="D1071" s="56" t="s">
        <v>104</v>
      </c>
      <c r="E1071" s="66">
        <v>45010</v>
      </c>
      <c r="F1071" s="323" t="s">
        <v>277</v>
      </c>
      <c r="G1071" s="66">
        <v>45009</v>
      </c>
      <c r="H1071" s="35" t="s">
        <v>697</v>
      </c>
      <c r="I1071" s="21">
        <v>650000</v>
      </c>
      <c r="J1071" s="21"/>
      <c r="K1071" s="22">
        <v>0</v>
      </c>
      <c r="L1071" s="23"/>
      <c r="M1071" s="22">
        <v>0</v>
      </c>
      <c r="N1071" s="72">
        <v>0</v>
      </c>
      <c r="O1071" s="22">
        <v>0</v>
      </c>
      <c r="P1071" s="21">
        <v>650000</v>
      </c>
      <c r="S1071" s="101" t="b">
        <f>OR(COUNTIF(Tabla2[[#This Row],[PROVEEDOR]],"*"&amp;'Palabra no opera'!$A$2&amp;"*"))</f>
        <v>0</v>
      </c>
      <c r="T1071" s="113">
        <f>+$W$5-Tabla2[[#This Row],[FECHA DE FACTURACIÓN]]</f>
        <v>313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15" t="str">
        <f>+IF(AND(Tabla2[[#This Row],[venc]]="venc",Tabla2[[#This Row],[Columna1]]="por pagar"),"vencida","no")</f>
        <v>no</v>
      </c>
    </row>
    <row r="1072" spans="1:23" ht="15.75" x14ac:dyDescent="0.25">
      <c r="A1072" s="20">
        <v>30</v>
      </c>
      <c r="B1072" s="25">
        <v>0</v>
      </c>
      <c r="C1072" s="25"/>
      <c r="D1072" s="56" t="s">
        <v>104</v>
      </c>
      <c r="E1072" s="66">
        <v>45010</v>
      </c>
      <c r="F1072" s="323" t="s">
        <v>291</v>
      </c>
      <c r="G1072" s="66">
        <v>45009</v>
      </c>
      <c r="H1072" s="35" t="s">
        <v>700</v>
      </c>
      <c r="I1072" s="21">
        <v>1440000</v>
      </c>
      <c r="J1072" s="21"/>
      <c r="K1072" s="22">
        <v>0</v>
      </c>
      <c r="L1072" s="23"/>
      <c r="M1072" s="22">
        <v>0</v>
      </c>
      <c r="N1072" s="72">
        <v>0</v>
      </c>
      <c r="O1072" s="22">
        <v>0</v>
      </c>
      <c r="P1072" s="21">
        <v>1440000</v>
      </c>
      <c r="S1072" s="101" t="b">
        <f>OR(COUNTIF(Tabla2[[#This Row],[PROVEEDOR]],"*"&amp;'Palabra no opera'!$A$2&amp;"*"))</f>
        <v>0</v>
      </c>
      <c r="T1072" s="113">
        <f>+$W$5-Tabla2[[#This Row],[FECHA DE FACTURACIÓN]]</f>
        <v>313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15" t="str">
        <f>+IF(AND(Tabla2[[#This Row],[venc]]="venc",Tabla2[[#This Row],[Columna1]]="por pagar"),"vencida","no")</f>
        <v>no</v>
      </c>
    </row>
    <row r="1073" spans="1:23" ht="15.75" x14ac:dyDescent="0.25">
      <c r="A1073" s="20">
        <v>30</v>
      </c>
      <c r="B1073" s="25">
        <v>0</v>
      </c>
      <c r="C1073" s="25"/>
      <c r="D1073" s="56" t="s">
        <v>1561</v>
      </c>
      <c r="E1073" s="66">
        <v>45008</v>
      </c>
      <c r="F1073" s="323" t="s">
        <v>203</v>
      </c>
      <c r="G1073" s="66">
        <v>45008</v>
      </c>
      <c r="H1073" s="35" t="s">
        <v>692</v>
      </c>
      <c r="I1073" s="21">
        <v>1690000</v>
      </c>
      <c r="J1073" s="21"/>
      <c r="K1073" s="22">
        <v>0</v>
      </c>
      <c r="L1073" s="23"/>
      <c r="M1073" s="22">
        <v>0</v>
      </c>
      <c r="N1073" s="72">
        <v>0</v>
      </c>
      <c r="O1073" s="22">
        <v>0</v>
      </c>
      <c r="P1073" s="21">
        <v>1690000</v>
      </c>
      <c r="S1073" s="101" t="b">
        <f>OR(COUNTIF(Tabla2[[#This Row],[PROVEEDOR]],"*"&amp;'Palabra no opera'!$A$2&amp;"*"))</f>
        <v>0</v>
      </c>
      <c r="T1073" s="113">
        <f>+$W$5-Tabla2[[#This Row],[FECHA DE FACTURACIÓN]]</f>
        <v>314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15" t="str">
        <f>+IF(AND(Tabla2[[#This Row],[venc]]="venc",Tabla2[[#This Row],[Columna1]]="por pagar"),"vencida","no")</f>
        <v>no</v>
      </c>
    </row>
    <row r="1074" spans="1:23" ht="15.75" x14ac:dyDescent="0.25">
      <c r="A1074" s="20">
        <v>30</v>
      </c>
      <c r="B1074" s="25">
        <v>1499400</v>
      </c>
      <c r="C1074" s="25"/>
      <c r="D1074" s="56" t="s">
        <v>170</v>
      </c>
      <c r="E1074" s="66">
        <v>45006</v>
      </c>
      <c r="F1074" s="323" t="s">
        <v>490</v>
      </c>
      <c r="G1074" s="66">
        <v>45002</v>
      </c>
      <c r="H1074" s="35">
        <v>29742</v>
      </c>
      <c r="I1074" s="21">
        <v>188000</v>
      </c>
      <c r="J1074" s="21"/>
      <c r="K1074" s="22">
        <v>35720</v>
      </c>
      <c r="L1074" s="23">
        <v>0.04</v>
      </c>
      <c r="M1074" s="22">
        <v>7520</v>
      </c>
      <c r="N1074" s="72">
        <v>0</v>
      </c>
      <c r="O1074" s="22">
        <v>0</v>
      </c>
      <c r="P1074" s="21">
        <v>216200</v>
      </c>
      <c r="S1074" s="101" t="b">
        <f>OR(COUNTIF(Tabla2[[#This Row],[PROVEEDOR]],"*"&amp;'Palabra no opera'!$A$2&amp;"*"))</f>
        <v>0</v>
      </c>
      <c r="T1074" s="113">
        <f>+$W$5-Tabla2[[#This Row],[FECHA DE FACTURACIÓN]]</f>
        <v>320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15" t="str">
        <f>+IF(AND(Tabla2[[#This Row],[venc]]="venc",Tabla2[[#This Row],[Columna1]]="por pagar"),"vencida","no")</f>
        <v>no</v>
      </c>
    </row>
    <row r="1075" spans="1:23" ht="15.75" x14ac:dyDescent="0.25">
      <c r="A1075" s="20">
        <v>30</v>
      </c>
      <c r="B1075" s="25">
        <v>2923945.6174999997</v>
      </c>
      <c r="C1075" s="25"/>
      <c r="D1075" s="56" t="s">
        <v>1538</v>
      </c>
      <c r="E1075" s="66">
        <v>45006</v>
      </c>
      <c r="F1075" s="323" t="s">
        <v>1526</v>
      </c>
      <c r="G1075" s="66">
        <v>44978</v>
      </c>
      <c r="H1075" s="35" t="s">
        <v>632</v>
      </c>
      <c r="I1075" s="21">
        <v>346497</v>
      </c>
      <c r="J1075" s="21"/>
      <c r="K1075" s="22">
        <v>65834.430000000008</v>
      </c>
      <c r="L1075" s="23"/>
      <c r="M1075" s="22">
        <v>0</v>
      </c>
      <c r="N1075" s="72">
        <v>0</v>
      </c>
      <c r="O1075" s="22">
        <v>0</v>
      </c>
      <c r="P1075" s="21">
        <v>412331.43</v>
      </c>
      <c r="S1075" s="101" t="b">
        <f>OR(COUNTIF(Tabla2[[#This Row],[PROVEEDOR]],"*"&amp;'Palabra no opera'!$A$2&amp;"*"))</f>
        <v>0</v>
      </c>
      <c r="T1075" s="113">
        <f>+$W$5-Tabla2[[#This Row],[FECHA DE FACTURACIÓN]]</f>
        <v>344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15" t="str">
        <f>+IF(AND(Tabla2[[#This Row],[venc]]="venc",Tabla2[[#This Row],[Columna1]]="por pagar"),"vencida","no")</f>
        <v>no</v>
      </c>
    </row>
    <row r="1076" spans="1:23" ht="15.75" x14ac:dyDescent="0.25">
      <c r="A1076" s="20">
        <v>30</v>
      </c>
      <c r="B1076" s="25">
        <v>2923945.6174999997</v>
      </c>
      <c r="C1076" s="25"/>
      <c r="D1076" s="56" t="s">
        <v>1538</v>
      </c>
      <c r="E1076" s="66">
        <v>45006</v>
      </c>
      <c r="F1076" s="323" t="s">
        <v>1526</v>
      </c>
      <c r="G1076" s="66">
        <v>44964</v>
      </c>
      <c r="H1076" s="35" t="s">
        <v>605</v>
      </c>
      <c r="I1076" s="21">
        <v>3909400</v>
      </c>
      <c r="J1076" s="21"/>
      <c r="K1076" s="22">
        <v>742786</v>
      </c>
      <c r="L1076" s="23"/>
      <c r="M1076" s="22">
        <v>0</v>
      </c>
      <c r="N1076" s="72">
        <v>2.5000000000000001E-2</v>
      </c>
      <c r="O1076" s="22">
        <v>97735</v>
      </c>
      <c r="P1076" s="21">
        <v>4554451</v>
      </c>
      <c r="S1076" s="101" t="b">
        <f>OR(COUNTIF(Tabla2[[#This Row],[PROVEEDOR]],"*"&amp;'Palabra no opera'!$A$2&amp;"*"))</f>
        <v>0</v>
      </c>
      <c r="T1076" s="113">
        <f>+$W$5-Tabla2[[#This Row],[FECHA DE FACTURACIÓN]]</f>
        <v>358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15" t="str">
        <f>+IF(AND(Tabla2[[#This Row],[venc]]="venc",Tabla2[[#This Row],[Columna1]]="por pagar"),"vencida","no")</f>
        <v>no</v>
      </c>
    </row>
    <row r="1077" spans="1:23" ht="15.75" x14ac:dyDescent="0.25">
      <c r="A1077" s="20">
        <v>30</v>
      </c>
      <c r="B1077" s="25">
        <v>214200</v>
      </c>
      <c r="C1077" s="25"/>
      <c r="D1077" s="56" t="s">
        <v>177</v>
      </c>
      <c r="E1077" s="66">
        <v>45006</v>
      </c>
      <c r="F1077" s="323" t="s">
        <v>39</v>
      </c>
      <c r="G1077" s="66">
        <v>44960</v>
      </c>
      <c r="H1077" s="35" t="s">
        <v>592</v>
      </c>
      <c r="I1077" s="21">
        <v>756000</v>
      </c>
      <c r="J1077" s="21"/>
      <c r="K1077" s="22">
        <v>143640</v>
      </c>
      <c r="L1077" s="23"/>
      <c r="M1077" s="22">
        <v>0</v>
      </c>
      <c r="N1077" s="72">
        <v>0</v>
      </c>
      <c r="O1077" s="22">
        <v>0</v>
      </c>
      <c r="P1077" s="21">
        <v>899640</v>
      </c>
      <c r="S1077" s="101" t="b">
        <f>OR(COUNTIF(Tabla2[[#This Row],[PROVEEDOR]],"*"&amp;'Palabra no opera'!$A$2&amp;"*"))</f>
        <v>0</v>
      </c>
      <c r="T1077" s="113">
        <f>+$W$5-Tabla2[[#This Row],[FECHA DE FACTURACIÓN]]</f>
        <v>362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15" t="str">
        <f>+IF(AND(Tabla2[[#This Row],[venc]]="venc",Tabla2[[#This Row],[Columna1]]="por pagar"),"vencida","no")</f>
        <v>no</v>
      </c>
    </row>
    <row r="1078" spans="1:23" ht="15.75" x14ac:dyDescent="0.25">
      <c r="A1078" s="20">
        <v>30</v>
      </c>
      <c r="B1078" s="25">
        <v>0</v>
      </c>
      <c r="C1078" s="25"/>
      <c r="D1078" s="56">
        <v>0</v>
      </c>
      <c r="E1078" s="66">
        <v>45002</v>
      </c>
      <c r="F1078" s="323" t="s">
        <v>234</v>
      </c>
      <c r="G1078" s="66">
        <v>45001</v>
      </c>
      <c r="H1078" s="35" t="s">
        <v>696</v>
      </c>
      <c r="I1078" s="21">
        <v>428572</v>
      </c>
      <c r="J1078" s="21"/>
      <c r="K1078" s="22">
        <v>21429</v>
      </c>
      <c r="L1078" s="23"/>
      <c r="M1078" s="22">
        <v>0</v>
      </c>
      <c r="N1078" s="72">
        <v>0</v>
      </c>
      <c r="O1078" s="22">
        <v>0</v>
      </c>
      <c r="P1078" s="21">
        <v>450001</v>
      </c>
      <c r="S1078" s="101" t="b">
        <f>OR(COUNTIF(Tabla2[[#This Row],[PROVEEDOR]],"*"&amp;'Palabra no opera'!$A$2&amp;"*"))</f>
        <v>0</v>
      </c>
      <c r="T1078" s="113">
        <f>+$W$5-Tabla2[[#This Row],[FECHA DE FACTURACIÓN]]</f>
        <v>321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15" t="str">
        <f>+IF(AND(Tabla2[[#This Row],[venc]]="venc",Tabla2[[#This Row],[Columna1]]="por pagar"),"vencida","no")</f>
        <v>no</v>
      </c>
    </row>
    <row r="1079" spans="1:23" ht="15.75" x14ac:dyDescent="0.25">
      <c r="A1079" s="20">
        <v>30</v>
      </c>
      <c r="B1079" s="25">
        <v>0</v>
      </c>
      <c r="C1079" s="25"/>
      <c r="D1079" s="56" t="s">
        <v>377</v>
      </c>
      <c r="E1079" s="66">
        <v>45002</v>
      </c>
      <c r="F1079" s="323" t="s">
        <v>274</v>
      </c>
      <c r="G1079" s="66">
        <v>44964</v>
      </c>
      <c r="H1079" s="35" t="s">
        <v>636</v>
      </c>
      <c r="I1079" s="21">
        <v>2417600</v>
      </c>
      <c r="J1079" s="21"/>
      <c r="K1079" s="22">
        <v>0</v>
      </c>
      <c r="L1079" s="23">
        <v>0.1</v>
      </c>
      <c r="M1079" s="22">
        <v>241760</v>
      </c>
      <c r="N1079" s="72">
        <v>0</v>
      </c>
      <c r="O1079" s="22">
        <v>0</v>
      </c>
      <c r="P1079" s="21">
        <v>2175840</v>
      </c>
      <c r="S1079" s="101" t="b">
        <f>OR(COUNTIF(Tabla2[[#This Row],[PROVEEDOR]],"*"&amp;'Palabra no opera'!$A$2&amp;"*"))</f>
        <v>0</v>
      </c>
      <c r="T1079" s="113">
        <f>+$W$5-Tabla2[[#This Row],[FECHA DE FACTURACIÓN]]</f>
        <v>358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15" t="str">
        <f>+IF(AND(Tabla2[[#This Row],[venc]]="venc",Tabla2[[#This Row],[Columna1]]="por pagar"),"vencida","no")</f>
        <v>no</v>
      </c>
    </row>
    <row r="1080" spans="1:23" ht="15.75" x14ac:dyDescent="0.25">
      <c r="A1080" s="20">
        <v>30</v>
      </c>
      <c r="B1080" s="25">
        <v>0</v>
      </c>
      <c r="C1080" s="25"/>
      <c r="D1080" s="56" t="s">
        <v>233</v>
      </c>
      <c r="E1080" s="66">
        <v>45001</v>
      </c>
      <c r="F1080" s="323" t="s">
        <v>413</v>
      </c>
      <c r="G1080" s="66">
        <v>45001</v>
      </c>
      <c r="H1080" s="35" t="s">
        <v>672</v>
      </c>
      <c r="I1080" s="21">
        <v>3002200</v>
      </c>
      <c r="J1080" s="21"/>
      <c r="K1080" s="22">
        <v>0</v>
      </c>
      <c r="L1080" s="23"/>
      <c r="M1080" s="22">
        <v>0</v>
      </c>
      <c r="N1080" s="72">
        <v>3.5000000000000003E-2</v>
      </c>
      <c r="O1080" s="22">
        <v>105077.00000000001</v>
      </c>
      <c r="P1080" s="21">
        <v>2897123</v>
      </c>
      <c r="S1080" s="101" t="b">
        <f>OR(COUNTIF(Tabla2[[#This Row],[PROVEEDOR]],"*"&amp;'Palabra no opera'!$A$2&amp;"*"))</f>
        <v>1</v>
      </c>
      <c r="T1080" s="113">
        <f>+$W$5-Tabla2[[#This Row],[FECHA DE FACTURACIÓN]]</f>
        <v>321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15" t="str">
        <f>+IF(AND(Tabla2[[#This Row],[venc]]="venc",Tabla2[[#This Row],[Columna1]]="por pagar"),"vencida","no")</f>
        <v>no</v>
      </c>
    </row>
    <row r="1081" spans="1:23" ht="15.75" x14ac:dyDescent="0.25">
      <c r="A1081" s="20">
        <v>60</v>
      </c>
      <c r="B1081" s="25">
        <v>5538410</v>
      </c>
      <c r="C1081" s="25"/>
      <c r="D1081" s="56" t="s">
        <v>625</v>
      </c>
      <c r="E1081" s="66">
        <v>45000</v>
      </c>
      <c r="F1081" s="323" t="s">
        <v>624</v>
      </c>
      <c r="G1081" s="66">
        <v>44966</v>
      </c>
      <c r="H1081" s="35" t="s">
        <v>626</v>
      </c>
      <c r="I1081" s="21">
        <v>2906000</v>
      </c>
      <c r="J1081" s="21"/>
      <c r="K1081" s="22">
        <v>552140</v>
      </c>
      <c r="L1081" s="23">
        <v>0.05</v>
      </c>
      <c r="M1081" s="22">
        <v>145300</v>
      </c>
      <c r="N1081" s="72">
        <v>2.5000000000000001E-2</v>
      </c>
      <c r="O1081" s="22">
        <v>72650</v>
      </c>
      <c r="P1081" s="21">
        <v>3240190</v>
      </c>
      <c r="S1081" s="101" t="b">
        <f>OR(COUNTIF(Tabla2[[#This Row],[PROVEEDOR]],"*"&amp;'Palabra no opera'!$A$2&amp;"*"))</f>
        <v>0</v>
      </c>
      <c r="T1081" s="113">
        <f>+$W$5-Tabla2[[#This Row],[FECHA DE FACTURACIÓN]]</f>
        <v>356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15" t="str">
        <f>+IF(AND(Tabla2[[#This Row],[venc]]="venc",Tabla2[[#This Row],[Columna1]]="por pagar"),"vencida","no")</f>
        <v>no</v>
      </c>
    </row>
    <row r="1082" spans="1:23" ht="15.75" x14ac:dyDescent="0.25">
      <c r="A1082" s="20">
        <v>30</v>
      </c>
      <c r="B1082" s="25">
        <v>1395870</v>
      </c>
      <c r="C1082" s="25"/>
      <c r="D1082" s="56" t="s">
        <v>472</v>
      </c>
      <c r="E1082" s="66">
        <v>44999</v>
      </c>
      <c r="F1082" s="323" t="s">
        <v>457</v>
      </c>
      <c r="G1082" s="66">
        <v>44999</v>
      </c>
      <c r="H1082" s="35">
        <v>2672</v>
      </c>
      <c r="I1082" s="21">
        <v>858000</v>
      </c>
      <c r="J1082" s="21"/>
      <c r="K1082" s="22">
        <v>163020</v>
      </c>
      <c r="L1082" s="23">
        <v>0.1</v>
      </c>
      <c r="M1082" s="22">
        <v>85800</v>
      </c>
      <c r="N1082" s="72">
        <v>0</v>
      </c>
      <c r="O1082" s="22">
        <v>0</v>
      </c>
      <c r="P1082" s="21">
        <v>935220</v>
      </c>
      <c r="S1082" s="101" t="b">
        <f>OR(COUNTIF(Tabla2[[#This Row],[PROVEEDOR]],"*"&amp;'Palabra no opera'!$A$2&amp;"*"))</f>
        <v>0</v>
      </c>
      <c r="T1082" s="113">
        <f>+$W$5-Tabla2[[#This Row],[FECHA DE FACTURACIÓN]]</f>
        <v>323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15" t="str">
        <f>+IF(AND(Tabla2[[#This Row],[venc]]="venc",Tabla2[[#This Row],[Columna1]]="por pagar"),"vencida","no")</f>
        <v>no</v>
      </c>
    </row>
    <row r="1083" spans="1:23" ht="15.75" x14ac:dyDescent="0.25">
      <c r="A1083" s="20">
        <v>30</v>
      </c>
      <c r="B1083" s="25">
        <v>0</v>
      </c>
      <c r="C1083" s="25"/>
      <c r="D1083" s="56" t="s">
        <v>189</v>
      </c>
      <c r="E1083" s="66">
        <v>44999</v>
      </c>
      <c r="F1083" s="323" t="s">
        <v>47</v>
      </c>
      <c r="G1083" s="66">
        <v>44965</v>
      </c>
      <c r="H1083" s="35" t="s">
        <v>606</v>
      </c>
      <c r="I1083" s="21">
        <v>1123137</v>
      </c>
      <c r="J1083" s="21">
        <v>56157</v>
      </c>
      <c r="K1083" s="22">
        <v>202726.2</v>
      </c>
      <c r="L1083" s="23"/>
      <c r="M1083" s="22">
        <v>0</v>
      </c>
      <c r="N1083" s="72">
        <v>0</v>
      </c>
      <c r="O1083" s="22">
        <v>0</v>
      </c>
      <c r="P1083" s="21">
        <v>1269706.2</v>
      </c>
      <c r="S1083" s="101" t="b">
        <f>OR(COUNTIF(Tabla2[[#This Row],[PROVEEDOR]],"*"&amp;'Palabra no opera'!$A$2&amp;"*"))</f>
        <v>0</v>
      </c>
      <c r="T1083" s="113">
        <f>+$W$5-Tabla2[[#This Row],[FECHA DE FACTURACIÓN]]</f>
        <v>357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15" t="str">
        <f>+IF(AND(Tabla2[[#This Row],[venc]]="venc",Tabla2[[#This Row],[Columna1]]="por pagar"),"vencida","no")</f>
        <v>no</v>
      </c>
    </row>
    <row r="1084" spans="1:23" ht="15.75" x14ac:dyDescent="0.25">
      <c r="A1084" s="20">
        <v>30</v>
      </c>
      <c r="B1084" s="25">
        <v>3065837.2199999997</v>
      </c>
      <c r="C1084" s="25"/>
      <c r="D1084" s="56" t="s">
        <v>169</v>
      </c>
      <c r="E1084" s="66">
        <v>44999</v>
      </c>
      <c r="F1084" s="323" t="s">
        <v>17</v>
      </c>
      <c r="G1084" s="66">
        <v>44959</v>
      </c>
      <c r="H1084" s="35">
        <v>20088404</v>
      </c>
      <c r="I1084" s="21">
        <v>205800</v>
      </c>
      <c r="J1084" s="21"/>
      <c r="K1084" s="22">
        <v>39102</v>
      </c>
      <c r="L1084" s="23"/>
      <c r="M1084" s="22">
        <v>0</v>
      </c>
      <c r="N1084" s="72">
        <v>0</v>
      </c>
      <c r="O1084" s="22">
        <v>0</v>
      </c>
      <c r="P1084" s="21">
        <v>244902</v>
      </c>
      <c r="S1084" s="101" t="b">
        <f>OR(COUNTIF(Tabla2[[#This Row],[PROVEEDOR]],"*"&amp;'Palabra no opera'!$A$2&amp;"*"))</f>
        <v>0</v>
      </c>
      <c r="T1084" s="113">
        <f>+$W$5-Tabla2[[#This Row],[FECHA DE FACTURACIÓN]]</f>
        <v>363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15" t="str">
        <f>+IF(AND(Tabla2[[#This Row],[venc]]="venc",Tabla2[[#This Row],[Columna1]]="por pagar"),"vencida","no")</f>
        <v>no</v>
      </c>
    </row>
    <row r="1085" spans="1:23" ht="15.75" x14ac:dyDescent="0.25">
      <c r="A1085" s="20">
        <v>30</v>
      </c>
      <c r="B1085" s="25">
        <v>5134830.96</v>
      </c>
      <c r="C1085" s="25"/>
      <c r="D1085" s="56" t="s">
        <v>131</v>
      </c>
      <c r="E1085" s="66">
        <v>44999</v>
      </c>
      <c r="F1085" s="323" t="s">
        <v>20</v>
      </c>
      <c r="G1085" s="66">
        <v>44958</v>
      </c>
      <c r="H1085" s="35" t="s">
        <v>597</v>
      </c>
      <c r="I1085" s="21">
        <v>1955960</v>
      </c>
      <c r="J1085" s="21"/>
      <c r="K1085" s="22">
        <v>371632.4</v>
      </c>
      <c r="L1085" s="23"/>
      <c r="M1085" s="22">
        <v>0</v>
      </c>
      <c r="N1085" s="72">
        <v>2.5000000000000001E-2</v>
      </c>
      <c r="O1085" s="22">
        <v>48899</v>
      </c>
      <c r="P1085" s="21">
        <v>2278693.4</v>
      </c>
      <c r="S1085" s="101" t="b">
        <f>OR(COUNTIF(Tabla2[[#This Row],[PROVEEDOR]],"*"&amp;'Palabra no opera'!$A$2&amp;"*"))</f>
        <v>0</v>
      </c>
      <c r="T1085" s="113">
        <f>+$W$5-Tabla2[[#This Row],[FECHA DE FACTURACIÓN]]</f>
        <v>364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15" t="str">
        <f>+IF(AND(Tabla2[[#This Row],[venc]]="venc",Tabla2[[#This Row],[Columna1]]="por pagar"),"vencida","no")</f>
        <v>no</v>
      </c>
    </row>
    <row r="1086" spans="1:23" ht="15.75" x14ac:dyDescent="0.25">
      <c r="A1086" s="20">
        <v>30</v>
      </c>
      <c r="B1086" s="25">
        <v>0</v>
      </c>
      <c r="C1086" s="25"/>
      <c r="D1086" s="56" t="s">
        <v>104</v>
      </c>
      <c r="E1086" s="66">
        <v>44998</v>
      </c>
      <c r="F1086" s="323" t="s">
        <v>277</v>
      </c>
      <c r="G1086" s="66">
        <v>44998</v>
      </c>
      <c r="H1086" s="35" t="s">
        <v>668</v>
      </c>
      <c r="I1086" s="21">
        <v>2077000</v>
      </c>
      <c r="J1086" s="21"/>
      <c r="K1086" s="22">
        <v>0</v>
      </c>
      <c r="L1086" s="23"/>
      <c r="M1086" s="22">
        <v>0</v>
      </c>
      <c r="N1086" s="72">
        <v>0</v>
      </c>
      <c r="O1086" s="22">
        <v>0</v>
      </c>
      <c r="P1086" s="21">
        <v>2077000</v>
      </c>
      <c r="S1086" s="101" t="b">
        <f>OR(COUNTIF(Tabla2[[#This Row],[PROVEEDOR]],"*"&amp;'Palabra no opera'!$A$2&amp;"*"))</f>
        <v>0</v>
      </c>
      <c r="T1086" s="113">
        <f>+$W$5-Tabla2[[#This Row],[FECHA DE FACTURACIÓN]]</f>
        <v>324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15" t="str">
        <f>+IF(AND(Tabla2[[#This Row],[venc]]="venc",Tabla2[[#This Row],[Columna1]]="por pagar"),"vencida","no")</f>
        <v>no</v>
      </c>
    </row>
    <row r="1087" spans="1:23" ht="15.75" x14ac:dyDescent="0.25">
      <c r="A1087" s="20">
        <v>30</v>
      </c>
      <c r="B1087" s="25">
        <v>1499400</v>
      </c>
      <c r="C1087" s="25"/>
      <c r="D1087" s="56" t="s">
        <v>170</v>
      </c>
      <c r="E1087" s="66">
        <v>44998</v>
      </c>
      <c r="F1087" s="323" t="s">
        <v>490</v>
      </c>
      <c r="G1087" s="66">
        <v>44993</v>
      </c>
      <c r="H1087" s="35">
        <v>29650</v>
      </c>
      <c r="I1087" s="21">
        <v>740000</v>
      </c>
      <c r="J1087" s="21"/>
      <c r="K1087" s="22">
        <v>140600</v>
      </c>
      <c r="L1087" s="23">
        <v>0.04</v>
      </c>
      <c r="M1087" s="22">
        <v>29600</v>
      </c>
      <c r="N1087" s="72">
        <v>0</v>
      </c>
      <c r="O1087" s="22">
        <v>0</v>
      </c>
      <c r="P1087" s="21">
        <v>851000</v>
      </c>
      <c r="S1087" s="101" t="b">
        <f>OR(COUNTIF(Tabla2[[#This Row],[PROVEEDOR]],"*"&amp;'Palabra no opera'!$A$2&amp;"*"))</f>
        <v>0</v>
      </c>
      <c r="T1087" s="113">
        <f>+$W$5-Tabla2[[#This Row],[FECHA DE FACTURACIÓN]]</f>
        <v>329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15" t="str">
        <f>+IF(AND(Tabla2[[#This Row],[venc]]="venc",Tabla2[[#This Row],[Columna1]]="por pagar"),"vencida","no")</f>
        <v>no</v>
      </c>
    </row>
    <row r="1088" spans="1:23" ht="15.75" x14ac:dyDescent="0.25">
      <c r="A1088" s="20">
        <v>30</v>
      </c>
      <c r="B1088" s="25">
        <v>0</v>
      </c>
      <c r="C1088" s="25"/>
      <c r="D1088" s="56" t="s">
        <v>494</v>
      </c>
      <c r="E1088" s="66">
        <v>44998</v>
      </c>
      <c r="F1088" s="323" t="s">
        <v>24</v>
      </c>
      <c r="G1088" s="66">
        <v>44985</v>
      </c>
      <c r="H1088" s="35" t="s">
        <v>640</v>
      </c>
      <c r="I1088" s="21">
        <v>-8403361</v>
      </c>
      <c r="J1088" s="21"/>
      <c r="K1088" s="22">
        <v>-1596638.59</v>
      </c>
      <c r="L1088" s="23"/>
      <c r="M1088" s="22">
        <v>0</v>
      </c>
      <c r="N1088" s="72">
        <v>0</v>
      </c>
      <c r="O1088" s="22">
        <v>0</v>
      </c>
      <c r="P1088" s="21">
        <v>-9999999.5899999999</v>
      </c>
      <c r="S1088" s="101" t="b">
        <f>OR(COUNTIF(Tabla2[[#This Row],[PROVEEDOR]],"*"&amp;'Palabra no opera'!$A$2&amp;"*"))</f>
        <v>0</v>
      </c>
      <c r="T1088" s="113">
        <f>+$W$5-Tabla2[[#This Row],[FECHA DE FACTURACIÓN]]</f>
        <v>337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15" t="str">
        <f>+IF(AND(Tabla2[[#This Row],[venc]]="venc",Tabla2[[#This Row],[Columna1]]="por pagar"),"vencida","no")</f>
        <v>no</v>
      </c>
    </row>
    <row r="1089" spans="1:23" ht="15.75" x14ac:dyDescent="0.25">
      <c r="A1089" s="20">
        <v>30</v>
      </c>
      <c r="B1089" s="25">
        <v>0</v>
      </c>
      <c r="C1089" s="25"/>
      <c r="D1089" s="56" t="s">
        <v>494</v>
      </c>
      <c r="E1089" s="66">
        <v>44998</v>
      </c>
      <c r="F1089" s="323" t="s">
        <v>24</v>
      </c>
      <c r="G1089" s="66">
        <v>44973</v>
      </c>
      <c r="H1089" s="35" t="s">
        <v>622</v>
      </c>
      <c r="I1089" s="21">
        <v>16645788</v>
      </c>
      <c r="J1089" s="21"/>
      <c r="K1089" s="22">
        <v>3162699.72</v>
      </c>
      <c r="L1089" s="23"/>
      <c r="M1089" s="22">
        <v>0</v>
      </c>
      <c r="N1089" s="72">
        <v>2.5000000000000001E-2</v>
      </c>
      <c r="O1089" s="22">
        <v>416144.7</v>
      </c>
      <c r="P1089" s="21">
        <v>19392343.02</v>
      </c>
      <c r="S1089" s="101" t="b">
        <f>OR(COUNTIF(Tabla2[[#This Row],[PROVEEDOR]],"*"&amp;'Palabra no opera'!$A$2&amp;"*"))</f>
        <v>0</v>
      </c>
      <c r="T1089" s="113">
        <f>+$W$5-Tabla2[[#This Row],[FECHA DE FACTURACIÓN]]</f>
        <v>349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15" t="str">
        <f>+IF(AND(Tabla2[[#This Row],[venc]]="venc",Tabla2[[#This Row],[Columna1]]="por pagar"),"vencida","no")</f>
        <v>no</v>
      </c>
    </row>
    <row r="1090" spans="1:23" ht="15.75" x14ac:dyDescent="0.25">
      <c r="A1090" s="20">
        <v>30</v>
      </c>
      <c r="B1090" s="25">
        <v>2713769.64</v>
      </c>
      <c r="C1090" s="25"/>
      <c r="D1090" s="56" t="s">
        <v>445</v>
      </c>
      <c r="E1090" s="66">
        <v>44998</v>
      </c>
      <c r="F1090" s="323" t="s">
        <v>11</v>
      </c>
      <c r="G1090" s="66">
        <v>44960</v>
      </c>
      <c r="H1090" s="35" t="s">
        <v>596</v>
      </c>
      <c r="I1090" s="21">
        <v>2102274</v>
      </c>
      <c r="J1090" s="21"/>
      <c r="K1090" s="22">
        <v>399432.06</v>
      </c>
      <c r="L1090" s="23"/>
      <c r="M1090" s="22">
        <v>0</v>
      </c>
      <c r="N1090" s="72">
        <v>2.5000000000000001E-2</v>
      </c>
      <c r="O1090" s="22">
        <v>52556.850000000006</v>
      </c>
      <c r="P1090" s="21">
        <v>2449149.21</v>
      </c>
      <c r="S1090" s="101" t="b">
        <f>OR(COUNTIF(Tabla2[[#This Row],[PROVEEDOR]],"*"&amp;'Palabra no opera'!$A$2&amp;"*"))</f>
        <v>0</v>
      </c>
      <c r="T1090" s="113">
        <f>+$W$5-Tabla2[[#This Row],[FECHA DE FACTURACIÓN]]</f>
        <v>362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15" t="str">
        <f>+IF(AND(Tabla2[[#This Row],[venc]]="venc",Tabla2[[#This Row],[Columna1]]="por pagar"),"vencida","no")</f>
        <v>no</v>
      </c>
    </row>
    <row r="1091" spans="1:23" ht="15.75" x14ac:dyDescent="0.25">
      <c r="A1091" s="20">
        <v>30</v>
      </c>
      <c r="B1091" s="25">
        <v>2713769.64</v>
      </c>
      <c r="C1091" s="25"/>
      <c r="D1091" s="56" t="s">
        <v>445</v>
      </c>
      <c r="E1091" s="66">
        <v>44998</v>
      </c>
      <c r="F1091" s="323" t="s">
        <v>11</v>
      </c>
      <c r="G1091" s="66">
        <v>44958</v>
      </c>
      <c r="H1091" s="35" t="s">
        <v>595</v>
      </c>
      <c r="I1091" s="21">
        <v>700758</v>
      </c>
      <c r="J1091" s="21"/>
      <c r="K1091" s="22">
        <v>133144.01999999999</v>
      </c>
      <c r="L1091" s="23"/>
      <c r="M1091" s="22">
        <v>0</v>
      </c>
      <c r="N1091" s="72">
        <v>0</v>
      </c>
      <c r="O1091" s="22">
        <v>0</v>
      </c>
      <c r="P1091" s="21">
        <v>833902.02</v>
      </c>
      <c r="S1091" s="101" t="b">
        <f>OR(COUNTIF(Tabla2[[#This Row],[PROVEEDOR]],"*"&amp;'Palabra no opera'!$A$2&amp;"*"))</f>
        <v>0</v>
      </c>
      <c r="T1091" s="113">
        <f>+$W$5-Tabla2[[#This Row],[FECHA DE FACTURACIÓN]]</f>
        <v>364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15" t="str">
        <f>+IF(AND(Tabla2[[#This Row],[venc]]="venc",Tabla2[[#This Row],[Columna1]]="por pagar"),"vencida","no")</f>
        <v>no</v>
      </c>
    </row>
    <row r="1092" spans="1:23" ht="15.75" x14ac:dyDescent="0.25">
      <c r="A1092" s="20">
        <v>30</v>
      </c>
      <c r="B1092" s="25">
        <v>2713769.64</v>
      </c>
      <c r="C1092" s="25"/>
      <c r="D1092" s="56" t="s">
        <v>445</v>
      </c>
      <c r="E1092" s="66">
        <v>44998</v>
      </c>
      <c r="F1092" s="323" t="s">
        <v>11</v>
      </c>
      <c r="G1092" s="66">
        <v>44951</v>
      </c>
      <c r="H1092" s="35" t="s">
        <v>583</v>
      </c>
      <c r="I1092" s="21">
        <v>2803032</v>
      </c>
      <c r="J1092" s="21"/>
      <c r="K1092" s="22">
        <v>532576.07999999996</v>
      </c>
      <c r="L1092" s="23"/>
      <c r="M1092" s="22">
        <v>0</v>
      </c>
      <c r="N1092" s="72">
        <v>2.5000000000000001E-2</v>
      </c>
      <c r="O1092" s="22">
        <v>70075.8</v>
      </c>
      <c r="P1092" s="21">
        <v>3265532.2800000003</v>
      </c>
      <c r="S1092" s="101" t="b">
        <f>OR(COUNTIF(Tabla2[[#This Row],[PROVEEDOR]],"*"&amp;'Palabra no opera'!$A$2&amp;"*"))</f>
        <v>0</v>
      </c>
      <c r="T1092" s="113">
        <f>+$W$5-Tabla2[[#This Row],[FECHA DE FACTURACIÓN]]</f>
        <v>371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15" t="str">
        <f>+IF(AND(Tabla2[[#This Row],[venc]]="venc",Tabla2[[#This Row],[Columna1]]="por pagar"),"vencida","no")</f>
        <v>no</v>
      </c>
    </row>
    <row r="1093" spans="1:23" ht="15.75" x14ac:dyDescent="0.25">
      <c r="A1093" s="20">
        <v>30</v>
      </c>
      <c r="B1093" s="25">
        <v>2713769.64</v>
      </c>
      <c r="C1093" s="25"/>
      <c r="D1093" s="56" t="s">
        <v>445</v>
      </c>
      <c r="E1093" s="66">
        <v>44998</v>
      </c>
      <c r="F1093" s="323" t="s">
        <v>11</v>
      </c>
      <c r="G1093" s="66">
        <v>44937</v>
      </c>
      <c r="H1093" s="35" t="s">
        <v>546</v>
      </c>
      <c r="I1093" s="21">
        <v>-153013</v>
      </c>
      <c r="J1093" s="21"/>
      <c r="K1093" s="22">
        <v>-29072.47</v>
      </c>
      <c r="L1093" s="23"/>
      <c r="M1093" s="22">
        <v>0</v>
      </c>
      <c r="N1093" s="72">
        <v>0</v>
      </c>
      <c r="O1093" s="22">
        <v>0</v>
      </c>
      <c r="P1093" s="21">
        <v>-182085.47</v>
      </c>
      <c r="S1093" s="101" t="b">
        <f>OR(COUNTIF(Tabla2[[#This Row],[PROVEEDOR]],"*"&amp;'Palabra no opera'!$A$2&amp;"*"))</f>
        <v>0</v>
      </c>
      <c r="T1093" s="113">
        <f>+$W$5-Tabla2[[#This Row],[FECHA DE FACTURACIÓN]]</f>
        <v>385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15" t="str">
        <f>+IF(AND(Tabla2[[#This Row],[venc]]="venc",Tabla2[[#This Row],[Columna1]]="por pagar"),"vencida","no")</f>
        <v>no</v>
      </c>
    </row>
    <row r="1094" spans="1:23" ht="15.75" x14ac:dyDescent="0.25">
      <c r="A1094" s="20">
        <v>10</v>
      </c>
      <c r="B1094" s="25">
        <v>0</v>
      </c>
      <c r="C1094" s="25"/>
      <c r="D1094" s="56" t="s">
        <v>523</v>
      </c>
      <c r="E1094" s="66">
        <v>44995</v>
      </c>
      <c r="F1094" s="323" t="s">
        <v>522</v>
      </c>
      <c r="G1094" s="66">
        <v>44959</v>
      </c>
      <c r="H1094" s="35" t="s">
        <v>653</v>
      </c>
      <c r="I1094" s="21">
        <v>4730000</v>
      </c>
      <c r="J1094" s="21"/>
      <c r="K1094" s="22">
        <v>898700</v>
      </c>
      <c r="L1094" s="23"/>
      <c r="M1094" s="22">
        <v>0</v>
      </c>
      <c r="N1094" s="72">
        <v>0</v>
      </c>
      <c r="O1094" s="22">
        <v>0</v>
      </c>
      <c r="P1094" s="21">
        <v>5628700</v>
      </c>
      <c r="S1094" s="101" t="b">
        <f>OR(COUNTIF(Tabla2[[#This Row],[PROVEEDOR]],"*"&amp;'Palabra no opera'!$A$2&amp;"*"))</f>
        <v>1</v>
      </c>
      <c r="T1094" s="113">
        <f>+$W$5-Tabla2[[#This Row],[FECHA DE FACTURACIÓN]]</f>
        <v>363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15" t="str">
        <f>+IF(AND(Tabla2[[#This Row],[venc]]="venc",Tabla2[[#This Row],[Columna1]]="por pagar"),"vencida","no")</f>
        <v>no</v>
      </c>
    </row>
    <row r="1095" spans="1:23" ht="15.75" x14ac:dyDescent="0.25">
      <c r="A1095" s="20">
        <v>30</v>
      </c>
      <c r="B1095" s="25">
        <v>0</v>
      </c>
      <c r="C1095" s="25"/>
      <c r="D1095" s="56" t="s">
        <v>284</v>
      </c>
      <c r="E1095" s="66">
        <v>44995</v>
      </c>
      <c r="F1095" s="323" t="s">
        <v>401</v>
      </c>
      <c r="G1095" s="66">
        <v>44958</v>
      </c>
      <c r="H1095" s="35" t="s">
        <v>651</v>
      </c>
      <c r="I1095" s="21">
        <v>3294426</v>
      </c>
      <c r="J1095" s="21"/>
      <c r="K1095" s="22">
        <v>625940.94000000006</v>
      </c>
      <c r="L1095" s="23"/>
      <c r="M1095" s="22">
        <v>0</v>
      </c>
      <c r="N1095" s="72">
        <v>0</v>
      </c>
      <c r="O1095" s="22">
        <v>0</v>
      </c>
      <c r="P1095" s="21">
        <v>3920366.94</v>
      </c>
      <c r="S1095" s="101" t="b">
        <f>OR(COUNTIF(Tabla2[[#This Row],[PROVEEDOR]],"*"&amp;'Palabra no opera'!$A$2&amp;"*"))</f>
        <v>1</v>
      </c>
      <c r="T1095" s="113">
        <f>+$W$5-Tabla2[[#This Row],[FECHA DE FACTURACIÓN]]</f>
        <v>364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15" t="str">
        <f>+IF(AND(Tabla2[[#This Row],[venc]]="venc",Tabla2[[#This Row],[Columna1]]="por pagar"),"vencida","no")</f>
        <v>no</v>
      </c>
    </row>
    <row r="1096" spans="1:23" ht="15.75" x14ac:dyDescent="0.25">
      <c r="A1096" s="20">
        <v>30</v>
      </c>
      <c r="B1096" s="25">
        <v>0</v>
      </c>
      <c r="C1096" s="25"/>
      <c r="D1096" s="56" t="s">
        <v>233</v>
      </c>
      <c r="E1096" s="66">
        <v>44995</v>
      </c>
      <c r="F1096" s="323" t="s">
        <v>413</v>
      </c>
      <c r="G1096" s="66">
        <v>44958</v>
      </c>
      <c r="H1096" s="35" t="s">
        <v>652</v>
      </c>
      <c r="I1096" s="21">
        <v>3002200</v>
      </c>
      <c r="J1096" s="21"/>
      <c r="K1096" s="22">
        <v>0</v>
      </c>
      <c r="L1096" s="23"/>
      <c r="M1096" s="22">
        <v>0</v>
      </c>
      <c r="N1096" s="72">
        <v>3.5000000000000003E-2</v>
      </c>
      <c r="O1096" s="22">
        <v>105077.00000000001</v>
      </c>
      <c r="P1096" s="21">
        <v>2897123</v>
      </c>
      <c r="S1096" s="101" t="b">
        <f>OR(COUNTIF(Tabla2[[#This Row],[PROVEEDOR]],"*"&amp;'Palabra no opera'!$A$2&amp;"*"))</f>
        <v>1</v>
      </c>
      <c r="T1096" s="113">
        <f>+$W$5-Tabla2[[#This Row],[FECHA DE FACTURACIÓN]]</f>
        <v>364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15" t="str">
        <f>+IF(AND(Tabla2[[#This Row],[venc]]="venc",Tabla2[[#This Row],[Columna1]]="por pagar"),"vencida","no")</f>
        <v>no</v>
      </c>
    </row>
    <row r="1097" spans="1:23" ht="15.75" x14ac:dyDescent="0.25">
      <c r="A1097" s="20">
        <v>30</v>
      </c>
      <c r="B1097" s="25">
        <v>0</v>
      </c>
      <c r="C1097" s="25"/>
      <c r="D1097" s="56" t="s">
        <v>104</v>
      </c>
      <c r="E1097" s="66">
        <v>44993</v>
      </c>
      <c r="F1097" s="323" t="s">
        <v>277</v>
      </c>
      <c r="G1097" s="66">
        <v>44993</v>
      </c>
      <c r="H1097" s="35" t="s">
        <v>667</v>
      </c>
      <c r="I1097" s="21">
        <v>5386000</v>
      </c>
      <c r="J1097" s="21"/>
      <c r="K1097" s="22">
        <v>0</v>
      </c>
      <c r="L1097" s="23"/>
      <c r="M1097" s="22">
        <v>0</v>
      </c>
      <c r="N1097" s="72">
        <v>0</v>
      </c>
      <c r="O1097" s="22">
        <v>0</v>
      </c>
      <c r="P1097" s="21">
        <v>5386000</v>
      </c>
      <c r="S1097" s="101" t="b">
        <f>OR(COUNTIF(Tabla2[[#This Row],[PROVEEDOR]],"*"&amp;'Palabra no opera'!$A$2&amp;"*"))</f>
        <v>0</v>
      </c>
      <c r="T1097" s="113">
        <f>+$W$5-Tabla2[[#This Row],[FECHA DE FACTURACIÓN]]</f>
        <v>329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15" t="str">
        <f>+IF(AND(Tabla2[[#This Row],[venc]]="venc",Tabla2[[#This Row],[Columna1]]="por pagar"),"vencida","no")</f>
        <v>no</v>
      </c>
    </row>
    <row r="1098" spans="1:23" ht="15.75" x14ac:dyDescent="0.25">
      <c r="A1098" s="20">
        <v>30</v>
      </c>
      <c r="B1098" s="25">
        <v>0</v>
      </c>
      <c r="C1098" s="25"/>
      <c r="D1098" s="56" t="s">
        <v>104</v>
      </c>
      <c r="E1098" s="66">
        <v>44993</v>
      </c>
      <c r="F1098" s="323" t="s">
        <v>703</v>
      </c>
      <c r="G1098" s="66">
        <v>44993</v>
      </c>
      <c r="H1098" s="35" t="s">
        <v>704</v>
      </c>
      <c r="I1098" s="21">
        <v>330000</v>
      </c>
      <c r="J1098" s="21"/>
      <c r="K1098" s="22">
        <v>0</v>
      </c>
      <c r="L1098" s="23"/>
      <c r="M1098" s="22">
        <v>0</v>
      </c>
      <c r="N1098" s="72">
        <v>0</v>
      </c>
      <c r="O1098" s="22">
        <v>0</v>
      </c>
      <c r="P1098" s="21">
        <v>330000</v>
      </c>
      <c r="S1098" s="101" t="b">
        <f>OR(COUNTIF(Tabla2[[#This Row],[PROVEEDOR]],"*"&amp;'Palabra no opera'!$A$2&amp;"*"))</f>
        <v>0</v>
      </c>
      <c r="T1098" s="113">
        <f>+$W$5-Tabla2[[#This Row],[FECHA DE FACTURACIÓN]]</f>
        <v>329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15" t="str">
        <f>+IF(AND(Tabla2[[#This Row],[venc]]="venc",Tabla2[[#This Row],[Columna1]]="por pagar"),"vencida","no")</f>
        <v>no</v>
      </c>
    </row>
    <row r="1099" spans="1:23" ht="15.75" x14ac:dyDescent="0.25">
      <c r="A1099" s="20">
        <v>60</v>
      </c>
      <c r="B1099" s="25">
        <v>3708614</v>
      </c>
      <c r="C1099" s="25"/>
      <c r="D1099" s="56" t="s">
        <v>645</v>
      </c>
      <c r="E1099" s="66">
        <v>44992</v>
      </c>
      <c r="F1099" s="323" t="s">
        <v>250</v>
      </c>
      <c r="G1099" s="66">
        <v>44963</v>
      </c>
      <c r="H1099" s="35">
        <v>1607</v>
      </c>
      <c r="I1099" s="21">
        <v>191200</v>
      </c>
      <c r="J1099" s="21"/>
      <c r="K1099" s="22">
        <v>0</v>
      </c>
      <c r="L1099" s="23"/>
      <c r="M1099" s="22">
        <v>0</v>
      </c>
      <c r="N1099" s="72">
        <v>0</v>
      </c>
      <c r="O1099" s="22">
        <v>0</v>
      </c>
      <c r="P1099" s="21">
        <v>191200</v>
      </c>
      <c r="S1099" s="101" t="b">
        <f>OR(COUNTIF(Tabla2[[#This Row],[PROVEEDOR]],"*"&amp;'Palabra no opera'!$A$2&amp;"*"))</f>
        <v>0</v>
      </c>
      <c r="T1099" s="113">
        <f>+$W$5-Tabla2[[#This Row],[FECHA DE FACTURACIÓN]]</f>
        <v>359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15" t="str">
        <f>+IF(AND(Tabla2[[#This Row],[venc]]="venc",Tabla2[[#This Row],[Columna1]]="por pagar"),"vencida","no")</f>
        <v>no</v>
      </c>
    </row>
    <row r="1100" spans="1:23" ht="15.75" x14ac:dyDescent="0.25">
      <c r="A1100" s="20">
        <v>60</v>
      </c>
      <c r="B1100" s="25">
        <v>3708614</v>
      </c>
      <c r="C1100" s="25"/>
      <c r="D1100" s="56" t="s">
        <v>645</v>
      </c>
      <c r="E1100" s="66">
        <v>44992</v>
      </c>
      <c r="F1100" s="323" t="s">
        <v>250</v>
      </c>
      <c r="G1100" s="66">
        <v>44963</v>
      </c>
      <c r="H1100" s="35">
        <v>1608</v>
      </c>
      <c r="I1100" s="21">
        <v>191200</v>
      </c>
      <c r="J1100" s="21"/>
      <c r="K1100" s="22">
        <v>0</v>
      </c>
      <c r="L1100" s="23"/>
      <c r="M1100" s="22">
        <v>0</v>
      </c>
      <c r="N1100" s="72">
        <v>0</v>
      </c>
      <c r="O1100" s="22">
        <v>0</v>
      </c>
      <c r="P1100" s="21">
        <v>191200</v>
      </c>
      <c r="S1100" s="101" t="b">
        <f>OR(COUNTIF(Tabla2[[#This Row],[PROVEEDOR]],"*"&amp;'Palabra no opera'!$A$2&amp;"*"))</f>
        <v>0</v>
      </c>
      <c r="T1100" s="113">
        <f>+$W$5-Tabla2[[#This Row],[FECHA DE FACTURACIÓN]]</f>
        <v>359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15" t="str">
        <f>+IF(AND(Tabla2[[#This Row],[venc]]="venc",Tabla2[[#This Row],[Columna1]]="por pagar"),"vencida","no")</f>
        <v>no</v>
      </c>
    </row>
    <row r="1101" spans="1:23" ht="15.75" x14ac:dyDescent="0.25">
      <c r="A1101" s="20">
        <v>60</v>
      </c>
      <c r="B1101" s="25">
        <v>3708614</v>
      </c>
      <c r="C1101" s="25"/>
      <c r="D1101" s="56" t="s">
        <v>645</v>
      </c>
      <c r="E1101" s="66">
        <v>44992</v>
      </c>
      <c r="F1101" s="323" t="s">
        <v>250</v>
      </c>
      <c r="G1101" s="66">
        <v>44963</v>
      </c>
      <c r="H1101" s="35">
        <v>1624</v>
      </c>
      <c r="I1101" s="21">
        <v>1178064</v>
      </c>
      <c r="J1101" s="21"/>
      <c r="K1101" s="22">
        <v>0</v>
      </c>
      <c r="L1101" s="23"/>
      <c r="M1101" s="22">
        <v>0</v>
      </c>
      <c r="N1101" s="72">
        <v>0</v>
      </c>
      <c r="O1101" s="22">
        <v>0</v>
      </c>
      <c r="P1101" s="21">
        <v>1178064</v>
      </c>
      <c r="S1101" s="101" t="b">
        <f>OR(COUNTIF(Tabla2[[#This Row],[PROVEEDOR]],"*"&amp;'Palabra no opera'!$A$2&amp;"*"))</f>
        <v>0</v>
      </c>
      <c r="T1101" s="113">
        <f>+$W$5-Tabla2[[#This Row],[FECHA DE FACTURACIÓN]]</f>
        <v>359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15" t="str">
        <f>+IF(AND(Tabla2[[#This Row],[venc]]="venc",Tabla2[[#This Row],[Columna1]]="por pagar"),"vencida","no")</f>
        <v>no</v>
      </c>
    </row>
    <row r="1102" spans="1:23" ht="15.75" x14ac:dyDescent="0.25">
      <c r="A1102" s="20">
        <v>60</v>
      </c>
      <c r="B1102" s="25">
        <v>3708614</v>
      </c>
      <c r="C1102" s="25"/>
      <c r="D1102" s="56" t="s">
        <v>645</v>
      </c>
      <c r="E1102" s="66">
        <v>44992</v>
      </c>
      <c r="F1102" s="323" t="s">
        <v>250</v>
      </c>
      <c r="G1102" s="66">
        <v>44963</v>
      </c>
      <c r="H1102" s="35">
        <v>1623</v>
      </c>
      <c r="I1102" s="21">
        <v>349920</v>
      </c>
      <c r="J1102" s="21"/>
      <c r="K1102" s="22">
        <v>0</v>
      </c>
      <c r="L1102" s="23"/>
      <c r="M1102" s="22">
        <v>0</v>
      </c>
      <c r="N1102" s="72">
        <v>0</v>
      </c>
      <c r="O1102" s="22">
        <v>0</v>
      </c>
      <c r="P1102" s="21">
        <v>349920</v>
      </c>
      <c r="S1102" s="101" t="b">
        <f>OR(COUNTIF(Tabla2[[#This Row],[PROVEEDOR]],"*"&amp;'Palabra no opera'!$A$2&amp;"*"))</f>
        <v>0</v>
      </c>
      <c r="T1102" s="113">
        <f>+$W$5-Tabla2[[#This Row],[FECHA DE FACTURACIÓN]]</f>
        <v>359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15" t="str">
        <f>+IF(AND(Tabla2[[#This Row],[venc]]="venc",Tabla2[[#This Row],[Columna1]]="por pagar"),"vencida","no")</f>
        <v>no</v>
      </c>
    </row>
    <row r="1103" spans="1:23" ht="15.75" x14ac:dyDescent="0.25">
      <c r="A1103" s="20">
        <v>60</v>
      </c>
      <c r="B1103" s="25">
        <v>3708614</v>
      </c>
      <c r="C1103" s="25"/>
      <c r="D1103" s="56" t="s">
        <v>645</v>
      </c>
      <c r="E1103" s="66">
        <v>44992</v>
      </c>
      <c r="F1103" s="323" t="s">
        <v>250</v>
      </c>
      <c r="G1103" s="66">
        <v>44949</v>
      </c>
      <c r="H1103" s="35">
        <v>1591</v>
      </c>
      <c r="I1103" s="21">
        <v>519340</v>
      </c>
      <c r="J1103" s="21"/>
      <c r="K1103" s="22">
        <v>0</v>
      </c>
      <c r="L1103" s="23"/>
      <c r="M1103" s="22">
        <v>0</v>
      </c>
      <c r="N1103" s="72">
        <v>0</v>
      </c>
      <c r="O1103" s="22">
        <v>0</v>
      </c>
      <c r="P1103" s="21">
        <v>519340</v>
      </c>
      <c r="S1103" s="101" t="b">
        <f>OR(COUNTIF(Tabla2[[#This Row],[PROVEEDOR]],"*"&amp;'Palabra no opera'!$A$2&amp;"*"))</f>
        <v>0</v>
      </c>
      <c r="T1103" s="113">
        <f>+$W$5-Tabla2[[#This Row],[FECHA DE FACTURACIÓN]]</f>
        <v>373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15" t="str">
        <f>+IF(AND(Tabla2[[#This Row],[venc]]="venc",Tabla2[[#This Row],[Columna1]]="por pagar"),"vencida","no")</f>
        <v>no</v>
      </c>
    </row>
    <row r="1104" spans="1:23" ht="15.75" x14ac:dyDescent="0.25">
      <c r="A1104" s="20">
        <v>60</v>
      </c>
      <c r="B1104" s="25">
        <v>3708614</v>
      </c>
      <c r="C1104" s="25"/>
      <c r="D1104" s="56" t="s">
        <v>645</v>
      </c>
      <c r="E1104" s="66">
        <v>44992</v>
      </c>
      <c r="F1104" s="323" t="s">
        <v>250</v>
      </c>
      <c r="G1104" s="66">
        <v>44949</v>
      </c>
      <c r="H1104" s="35">
        <v>1598</v>
      </c>
      <c r="I1104" s="21">
        <v>184000</v>
      </c>
      <c r="J1104" s="21"/>
      <c r="K1104" s="22">
        <v>0</v>
      </c>
      <c r="L1104" s="23"/>
      <c r="M1104" s="22">
        <v>0</v>
      </c>
      <c r="N1104" s="72">
        <v>0</v>
      </c>
      <c r="O1104" s="22">
        <v>0</v>
      </c>
      <c r="P1104" s="21">
        <v>184000</v>
      </c>
      <c r="S1104" s="101" t="b">
        <f>OR(COUNTIF(Tabla2[[#This Row],[PROVEEDOR]],"*"&amp;'Palabra no opera'!$A$2&amp;"*"))</f>
        <v>0</v>
      </c>
      <c r="T1104" s="113">
        <f>+$W$5-Tabla2[[#This Row],[FECHA DE FACTURACIÓN]]</f>
        <v>373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15" t="str">
        <f>+IF(AND(Tabla2[[#This Row],[venc]]="venc",Tabla2[[#This Row],[Columna1]]="por pagar"),"vencida","no")</f>
        <v>no</v>
      </c>
    </row>
    <row r="1105" spans="1:23" ht="15.75" x14ac:dyDescent="0.25">
      <c r="A1105" s="20">
        <v>45</v>
      </c>
      <c r="B1105" s="25">
        <v>3074500</v>
      </c>
      <c r="C1105" s="25"/>
      <c r="D1105" s="56" t="s">
        <v>645</v>
      </c>
      <c r="E1105" s="66">
        <v>44992</v>
      </c>
      <c r="F1105" s="323" t="s">
        <v>252</v>
      </c>
      <c r="G1105" s="66">
        <v>44949</v>
      </c>
      <c r="H1105" s="35">
        <v>1589</v>
      </c>
      <c r="I1105" s="21">
        <v>2299080</v>
      </c>
      <c r="J1105" s="21"/>
      <c r="K1105" s="22">
        <v>0</v>
      </c>
      <c r="L1105" s="23"/>
      <c r="M1105" s="22">
        <v>0</v>
      </c>
      <c r="N1105" s="72">
        <v>0</v>
      </c>
      <c r="O1105" s="22">
        <v>0</v>
      </c>
      <c r="P1105" s="21">
        <v>2299080</v>
      </c>
      <c r="S1105" s="101" t="b">
        <f>OR(COUNTIF(Tabla2[[#This Row],[PROVEEDOR]],"*"&amp;'Palabra no opera'!$A$2&amp;"*"))</f>
        <v>0</v>
      </c>
      <c r="T1105" s="113">
        <f>+$W$5-Tabla2[[#This Row],[FECHA DE FACTURACIÓN]]</f>
        <v>373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15" t="str">
        <f>+IF(AND(Tabla2[[#This Row],[venc]]="venc",Tabla2[[#This Row],[Columna1]]="por pagar"),"vencida","no")</f>
        <v>no</v>
      </c>
    </row>
    <row r="1106" spans="1:23" ht="15.75" x14ac:dyDescent="0.25">
      <c r="A1106" s="20">
        <v>60</v>
      </c>
      <c r="B1106" s="25">
        <v>3708614</v>
      </c>
      <c r="C1106" s="25"/>
      <c r="D1106" s="56" t="s">
        <v>645</v>
      </c>
      <c r="E1106" s="66">
        <v>44992</v>
      </c>
      <c r="F1106" s="323" t="s">
        <v>250</v>
      </c>
      <c r="G1106" s="66">
        <v>44927</v>
      </c>
      <c r="H1106" s="35">
        <v>1585</v>
      </c>
      <c r="I1106" s="21">
        <v>192000</v>
      </c>
      <c r="J1106" s="21"/>
      <c r="K1106" s="22">
        <v>0</v>
      </c>
      <c r="L1106" s="23"/>
      <c r="M1106" s="22">
        <v>0</v>
      </c>
      <c r="N1106" s="72">
        <v>0</v>
      </c>
      <c r="O1106" s="22">
        <v>0</v>
      </c>
      <c r="P1106" s="21">
        <v>192000</v>
      </c>
      <c r="S1106" s="101" t="b">
        <f>OR(COUNTIF(Tabla2[[#This Row],[PROVEEDOR]],"*"&amp;'Palabra no opera'!$A$2&amp;"*"))</f>
        <v>0</v>
      </c>
      <c r="T1106" s="113">
        <f>+$W$5-Tabla2[[#This Row],[FECHA DE FACTURACIÓN]]</f>
        <v>395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15" t="str">
        <f>+IF(AND(Tabla2[[#This Row],[venc]]="venc",Tabla2[[#This Row],[Columna1]]="por pagar"),"vencida","no")</f>
        <v>no</v>
      </c>
    </row>
    <row r="1107" spans="1:23" ht="15.75" x14ac:dyDescent="0.25">
      <c r="A1107" s="20">
        <v>60</v>
      </c>
      <c r="B1107" s="25">
        <v>3708614</v>
      </c>
      <c r="C1107" s="25"/>
      <c r="D1107" s="56" t="s">
        <v>645</v>
      </c>
      <c r="E1107" s="66">
        <v>44992</v>
      </c>
      <c r="F1107" s="323" t="s">
        <v>250</v>
      </c>
      <c r="G1107" s="66">
        <v>44927</v>
      </c>
      <c r="H1107" s="35">
        <v>1586</v>
      </c>
      <c r="I1107" s="21">
        <v>192000</v>
      </c>
      <c r="J1107" s="21"/>
      <c r="K1107" s="22">
        <v>0</v>
      </c>
      <c r="L1107" s="23"/>
      <c r="M1107" s="22">
        <v>0</v>
      </c>
      <c r="N1107" s="72">
        <v>0</v>
      </c>
      <c r="O1107" s="22">
        <v>0</v>
      </c>
      <c r="P1107" s="21">
        <v>192000</v>
      </c>
      <c r="S1107" s="101" t="b">
        <f>OR(COUNTIF(Tabla2[[#This Row],[PROVEEDOR]],"*"&amp;'Palabra no opera'!$A$2&amp;"*"))</f>
        <v>0</v>
      </c>
      <c r="T1107" s="113">
        <f>+$W$5-Tabla2[[#This Row],[FECHA DE FACTURACIÓN]]</f>
        <v>395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15" t="str">
        <f>+IF(AND(Tabla2[[#This Row],[venc]]="venc",Tabla2[[#This Row],[Columna1]]="por pagar"),"vencida","no")</f>
        <v>no</v>
      </c>
    </row>
    <row r="1108" spans="1:23" ht="15.75" x14ac:dyDescent="0.25">
      <c r="A1108" s="20">
        <v>30</v>
      </c>
      <c r="B1108" s="25">
        <v>0</v>
      </c>
      <c r="C1108" s="25"/>
      <c r="D1108" s="56" t="s">
        <v>259</v>
      </c>
      <c r="E1108" s="66">
        <v>44991</v>
      </c>
      <c r="F1108" s="323" t="s">
        <v>266</v>
      </c>
      <c r="G1108" s="66">
        <v>44991</v>
      </c>
      <c r="H1108" s="35" t="s">
        <v>702</v>
      </c>
      <c r="I1108" s="21">
        <v>430000</v>
      </c>
      <c r="J1108" s="21"/>
      <c r="K1108" s="22">
        <v>0</v>
      </c>
      <c r="L1108" s="23"/>
      <c r="M1108" s="22">
        <v>0</v>
      </c>
      <c r="N1108" s="72">
        <v>0</v>
      </c>
      <c r="O1108" s="22">
        <v>0</v>
      </c>
      <c r="P1108" s="21">
        <v>430000</v>
      </c>
      <c r="S1108" s="101" t="b">
        <f>OR(COUNTIF(Tabla2[[#This Row],[PROVEEDOR]],"*"&amp;'Palabra no opera'!$A$2&amp;"*"))</f>
        <v>0</v>
      </c>
      <c r="T1108" s="113">
        <f>+$W$5-Tabla2[[#This Row],[FECHA DE FACTURACIÓN]]</f>
        <v>331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15" t="str">
        <f>+IF(AND(Tabla2[[#This Row],[venc]]="venc",Tabla2[[#This Row],[Columna1]]="por pagar"),"vencida","no")</f>
        <v>no</v>
      </c>
    </row>
    <row r="1109" spans="1:23" ht="15.75" x14ac:dyDescent="0.25">
      <c r="A1109" s="20">
        <v>30</v>
      </c>
      <c r="B1109" s="25">
        <v>0</v>
      </c>
      <c r="C1109" s="25"/>
      <c r="D1109" s="56" t="s">
        <v>1561</v>
      </c>
      <c r="E1109" s="66">
        <v>44991</v>
      </c>
      <c r="F1109" s="323" t="s">
        <v>93</v>
      </c>
      <c r="G1109" s="66">
        <v>44991</v>
      </c>
      <c r="H1109" s="35" t="s">
        <v>731</v>
      </c>
      <c r="I1109" s="21">
        <v>1930000</v>
      </c>
      <c r="J1109" s="21"/>
      <c r="K1109" s="22">
        <v>0</v>
      </c>
      <c r="L1109" s="23"/>
      <c r="M1109" s="22">
        <v>0</v>
      </c>
      <c r="N1109" s="72">
        <v>0</v>
      </c>
      <c r="O1109" s="22">
        <v>0</v>
      </c>
      <c r="P1109" s="21">
        <v>1930000</v>
      </c>
      <c r="S1109" s="101" t="b">
        <f>OR(COUNTIF(Tabla2[[#This Row],[PROVEEDOR]],"*"&amp;'Palabra no opera'!$A$2&amp;"*"))</f>
        <v>0</v>
      </c>
      <c r="T1109" s="113">
        <f>+$W$5-Tabla2[[#This Row],[FECHA DE FACTURACIÓN]]</f>
        <v>331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15" t="str">
        <f>+IF(AND(Tabla2[[#This Row],[venc]]="venc",Tabla2[[#This Row],[Columna1]]="por pagar"),"vencida","no")</f>
        <v>no</v>
      </c>
    </row>
    <row r="1110" spans="1:23" ht="15.75" x14ac:dyDescent="0.25">
      <c r="A1110" s="20">
        <v>30</v>
      </c>
      <c r="B1110" s="25">
        <v>0</v>
      </c>
      <c r="C1110" s="25"/>
      <c r="D1110" s="56">
        <v>0</v>
      </c>
      <c r="E1110" s="66">
        <v>44991</v>
      </c>
      <c r="F1110" s="323" t="s">
        <v>323</v>
      </c>
      <c r="G1110" s="66">
        <v>44991</v>
      </c>
      <c r="H1110" s="35" t="s">
        <v>644</v>
      </c>
      <c r="I1110" s="21">
        <v>1682849</v>
      </c>
      <c r="J1110" s="21"/>
      <c r="K1110" s="22">
        <v>319741.31</v>
      </c>
      <c r="L1110" s="23"/>
      <c r="M1110" s="22">
        <v>0</v>
      </c>
      <c r="N1110" s="72">
        <v>2.5000000000000001E-2</v>
      </c>
      <c r="O1110" s="22">
        <v>42071.225000000006</v>
      </c>
      <c r="P1110" s="21">
        <v>1960519.085</v>
      </c>
      <c r="S1110" s="101" t="b">
        <f>OR(COUNTIF(Tabla2[[#This Row],[PROVEEDOR]],"*"&amp;'Palabra no opera'!$A$2&amp;"*"))</f>
        <v>0</v>
      </c>
      <c r="T1110" s="113">
        <f>+$W$5-Tabla2[[#This Row],[FECHA DE FACTURACIÓN]]</f>
        <v>331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15" t="str">
        <f>+IF(AND(Tabla2[[#This Row],[venc]]="venc",Tabla2[[#This Row],[Columna1]]="por pagar"),"vencida","no")</f>
        <v>no</v>
      </c>
    </row>
    <row r="1111" spans="1:23" ht="15.75" x14ac:dyDescent="0.25">
      <c r="A1111" s="20">
        <v>30</v>
      </c>
      <c r="B1111" s="25">
        <v>0</v>
      </c>
      <c r="C1111" s="25"/>
      <c r="D1111" s="56" t="s">
        <v>256</v>
      </c>
      <c r="E1111" s="66">
        <v>44991</v>
      </c>
      <c r="F1111" s="323" t="s">
        <v>226</v>
      </c>
      <c r="G1111" s="66">
        <v>44991</v>
      </c>
      <c r="H1111" s="35">
        <v>6922</v>
      </c>
      <c r="I1111" s="21">
        <v>4100000</v>
      </c>
      <c r="J1111" s="21"/>
      <c r="K1111" s="22">
        <v>779000</v>
      </c>
      <c r="L1111" s="23"/>
      <c r="M1111" s="22">
        <v>0</v>
      </c>
      <c r="N1111" s="72">
        <v>2.5000000000000001E-2</v>
      </c>
      <c r="O1111" s="22">
        <v>102500</v>
      </c>
      <c r="P1111" s="21">
        <v>4776500</v>
      </c>
      <c r="S1111" s="101" t="b">
        <f>OR(COUNTIF(Tabla2[[#This Row],[PROVEEDOR]],"*"&amp;'Palabra no opera'!$A$2&amp;"*"))</f>
        <v>0</v>
      </c>
      <c r="T1111" s="113">
        <f>+$W$5-Tabla2[[#This Row],[FECHA DE FACTURACIÓN]]</f>
        <v>331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15" t="str">
        <f>+IF(AND(Tabla2[[#This Row],[venc]]="venc",Tabla2[[#This Row],[Columna1]]="por pagar"),"vencida","no")</f>
        <v>no</v>
      </c>
    </row>
    <row r="1112" spans="1:23" ht="15.75" x14ac:dyDescent="0.25">
      <c r="A1112" s="20">
        <v>30</v>
      </c>
      <c r="B1112" s="25">
        <v>2713769.64</v>
      </c>
      <c r="C1112" s="25"/>
      <c r="D1112" s="56" t="s">
        <v>445</v>
      </c>
      <c r="E1112" s="66">
        <v>44991</v>
      </c>
      <c r="F1112" s="323" t="s">
        <v>11</v>
      </c>
      <c r="G1112" s="66">
        <v>44991</v>
      </c>
      <c r="H1112" s="35" t="s">
        <v>657</v>
      </c>
      <c r="I1112" s="21">
        <v>350379</v>
      </c>
      <c r="J1112" s="21"/>
      <c r="K1112" s="22">
        <v>66572.009999999995</v>
      </c>
      <c r="L1112" s="23"/>
      <c r="M1112" s="22">
        <v>0</v>
      </c>
      <c r="N1112" s="72">
        <v>0</v>
      </c>
      <c r="O1112" s="22">
        <v>0</v>
      </c>
      <c r="P1112" s="21">
        <v>416951.01</v>
      </c>
      <c r="S1112" s="101" t="b">
        <f>OR(COUNTIF(Tabla2[[#This Row],[PROVEEDOR]],"*"&amp;'Palabra no opera'!$A$2&amp;"*"))</f>
        <v>0</v>
      </c>
      <c r="T1112" s="113">
        <f>+$W$5-Tabla2[[#This Row],[FECHA DE FACTURACIÓN]]</f>
        <v>331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15" t="str">
        <f>+IF(AND(Tabla2[[#This Row],[venc]]="venc",Tabla2[[#This Row],[Columna1]]="por pagar"),"vencida","no")</f>
        <v>no</v>
      </c>
    </row>
    <row r="1113" spans="1:23" ht="15.75" x14ac:dyDescent="0.25">
      <c r="A1113" s="20">
        <v>30</v>
      </c>
      <c r="B1113" s="25">
        <v>0</v>
      </c>
      <c r="C1113" s="25"/>
      <c r="D1113" s="56" t="s">
        <v>175</v>
      </c>
      <c r="E1113" s="66">
        <v>44991</v>
      </c>
      <c r="F1113" s="323" t="s">
        <v>418</v>
      </c>
      <c r="G1113" s="66">
        <v>44966</v>
      </c>
      <c r="H1113" s="35" t="s">
        <v>590</v>
      </c>
      <c r="I1113" s="21">
        <v>1520000</v>
      </c>
      <c r="J1113" s="21"/>
      <c r="K1113" s="22">
        <v>0</v>
      </c>
      <c r="L1113" s="23"/>
      <c r="M1113" s="22">
        <v>0</v>
      </c>
      <c r="N1113" s="72"/>
      <c r="O1113" s="22">
        <v>0</v>
      </c>
      <c r="P1113" s="21">
        <v>1520000</v>
      </c>
      <c r="S1113" s="101" t="b">
        <f>OR(COUNTIF(Tabla2[[#This Row],[PROVEEDOR]],"*"&amp;'Palabra no opera'!$A$2&amp;"*"))</f>
        <v>1</v>
      </c>
      <c r="T1113" s="113">
        <f>+$W$5-Tabla2[[#This Row],[FECHA DE FACTURACIÓN]]</f>
        <v>356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15" t="str">
        <f>+IF(AND(Tabla2[[#This Row],[venc]]="venc",Tabla2[[#This Row],[Columna1]]="por pagar"),"vencida","no")</f>
        <v>no</v>
      </c>
    </row>
    <row r="1114" spans="1:23" ht="15.75" x14ac:dyDescent="0.25">
      <c r="A1114" s="20">
        <v>30</v>
      </c>
      <c r="B1114" s="25">
        <v>0</v>
      </c>
      <c r="C1114" s="25"/>
      <c r="D1114" s="56">
        <v>0</v>
      </c>
      <c r="E1114" s="66">
        <v>44991</v>
      </c>
      <c r="F1114" s="323" t="s">
        <v>588</v>
      </c>
      <c r="G1114" s="66">
        <v>44957</v>
      </c>
      <c r="H1114" s="35" t="s">
        <v>589</v>
      </c>
      <c r="I1114" s="21">
        <v>430000</v>
      </c>
      <c r="J1114" s="21"/>
      <c r="K1114" s="22">
        <v>81700</v>
      </c>
      <c r="L1114" s="23"/>
      <c r="M1114" s="22">
        <v>0</v>
      </c>
      <c r="N1114" s="72">
        <v>0</v>
      </c>
      <c r="O1114" s="22">
        <v>0</v>
      </c>
      <c r="P1114" s="21">
        <v>511700</v>
      </c>
      <c r="S1114" s="101" t="b">
        <f>OR(COUNTIF(Tabla2[[#This Row],[PROVEEDOR]],"*"&amp;'Palabra no opera'!$A$2&amp;"*"))</f>
        <v>0</v>
      </c>
      <c r="T1114" s="113">
        <f>+$W$5-Tabla2[[#This Row],[FECHA DE FACTURACIÓN]]</f>
        <v>365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15" t="str">
        <f>+IF(AND(Tabla2[[#This Row],[venc]]="venc",Tabla2[[#This Row],[Columna1]]="por pagar"),"vencida","no")</f>
        <v>no</v>
      </c>
    </row>
    <row r="1115" spans="1:23" ht="15.75" x14ac:dyDescent="0.25">
      <c r="A1115" s="20">
        <v>30</v>
      </c>
      <c r="B1115" s="25">
        <v>0</v>
      </c>
      <c r="C1115" s="25"/>
      <c r="D1115" s="56" t="s">
        <v>104</v>
      </c>
      <c r="E1115" s="66">
        <v>44988</v>
      </c>
      <c r="F1115" s="323" t="s">
        <v>465</v>
      </c>
      <c r="G1115" s="66">
        <v>44988</v>
      </c>
      <c r="H1115" s="35" t="s">
        <v>666</v>
      </c>
      <c r="I1115" s="21">
        <v>171400</v>
      </c>
      <c r="J1115" s="21"/>
      <c r="K1115" s="22">
        <v>0</v>
      </c>
      <c r="L1115" s="23"/>
      <c r="M1115" s="22">
        <v>0</v>
      </c>
      <c r="N1115" s="72">
        <v>0</v>
      </c>
      <c r="O1115" s="22">
        <v>0</v>
      </c>
      <c r="P1115" s="21">
        <v>171400</v>
      </c>
      <c r="S1115" s="101" t="b">
        <f>OR(COUNTIF(Tabla2[[#This Row],[PROVEEDOR]],"*"&amp;'Palabra no opera'!$A$2&amp;"*"))</f>
        <v>1</v>
      </c>
      <c r="T1115" s="113">
        <f>+$W$5-Tabla2[[#This Row],[FECHA DE FACTURACIÓN]]</f>
        <v>334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15" t="str">
        <f>+IF(AND(Tabla2[[#This Row],[venc]]="venc",Tabla2[[#This Row],[Columna1]]="por pagar"),"vencida","no")</f>
        <v>no</v>
      </c>
    </row>
    <row r="1116" spans="1:23" ht="15.75" x14ac:dyDescent="0.25">
      <c r="A1116" s="20">
        <v>30</v>
      </c>
      <c r="B1116" s="25">
        <v>840000</v>
      </c>
      <c r="C1116" s="25"/>
      <c r="D1116" s="56">
        <v>0</v>
      </c>
      <c r="E1116" s="66">
        <v>44988</v>
      </c>
      <c r="F1116" s="323" t="s">
        <v>318</v>
      </c>
      <c r="G1116" s="66">
        <v>44977</v>
      </c>
      <c r="H1116" s="35" t="s">
        <v>633</v>
      </c>
      <c r="I1116" s="21">
        <v>1008000</v>
      </c>
      <c r="J1116" s="21"/>
      <c r="K1116" s="22">
        <v>0</v>
      </c>
      <c r="L1116" s="23"/>
      <c r="M1116" s="22">
        <v>0</v>
      </c>
      <c r="N1116" s="72">
        <v>0</v>
      </c>
      <c r="O1116" s="22">
        <v>0</v>
      </c>
      <c r="P1116" s="21">
        <v>1008000</v>
      </c>
      <c r="S1116" s="101" t="b">
        <f>OR(COUNTIF(Tabla2[[#This Row],[PROVEEDOR]],"*"&amp;'Palabra no opera'!$A$2&amp;"*"))</f>
        <v>0</v>
      </c>
      <c r="T1116" s="113">
        <f>+$W$5-Tabla2[[#This Row],[FECHA DE FACTURACIÓN]]</f>
        <v>345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15" t="str">
        <f>+IF(AND(Tabla2[[#This Row],[venc]]="venc",Tabla2[[#This Row],[Columna1]]="por pagar"),"vencida","no")</f>
        <v>no</v>
      </c>
    </row>
    <row r="1117" spans="1:23" ht="15.75" x14ac:dyDescent="0.25">
      <c r="A1117" s="20">
        <v>30</v>
      </c>
      <c r="B1117" s="25">
        <v>3065837.2199999997</v>
      </c>
      <c r="C1117" s="25"/>
      <c r="D1117" s="56" t="s">
        <v>169</v>
      </c>
      <c r="E1117" s="66">
        <v>44988</v>
      </c>
      <c r="F1117" s="323" t="s">
        <v>17</v>
      </c>
      <c r="G1117" s="66">
        <v>44960</v>
      </c>
      <c r="H1117" s="35" t="s">
        <v>604</v>
      </c>
      <c r="I1117" s="21">
        <v>2018990</v>
      </c>
      <c r="J1117" s="21"/>
      <c r="K1117" s="22">
        <v>0</v>
      </c>
      <c r="L1117" s="23"/>
      <c r="M1117" s="22">
        <v>0</v>
      </c>
      <c r="N1117" s="72">
        <v>0</v>
      </c>
      <c r="O1117" s="22">
        <v>0</v>
      </c>
      <c r="P1117" s="21">
        <v>2018990</v>
      </c>
      <c r="S1117" s="101" t="b">
        <f>OR(COUNTIF(Tabla2[[#This Row],[PROVEEDOR]],"*"&amp;'Palabra no opera'!$A$2&amp;"*"))</f>
        <v>0</v>
      </c>
      <c r="T1117" s="113">
        <f>+$W$5-Tabla2[[#This Row],[FECHA DE FACTURACIÓN]]</f>
        <v>362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15" t="str">
        <f>+IF(AND(Tabla2[[#This Row],[venc]]="venc",Tabla2[[#This Row],[Columna1]]="por pagar"),"vencida","no")</f>
        <v>no</v>
      </c>
    </row>
    <row r="1118" spans="1:23" ht="15.75" x14ac:dyDescent="0.25">
      <c r="A1118" s="20">
        <v>30</v>
      </c>
      <c r="B1118" s="25">
        <v>3065837.2199999997</v>
      </c>
      <c r="C1118" s="25"/>
      <c r="D1118" s="56" t="s">
        <v>169</v>
      </c>
      <c r="E1118" s="66">
        <v>44988</v>
      </c>
      <c r="F1118" s="323" t="s">
        <v>17</v>
      </c>
      <c r="G1118" s="66">
        <v>44960</v>
      </c>
      <c r="H1118" s="35" t="s">
        <v>593</v>
      </c>
      <c r="I1118" s="21">
        <v>-14300</v>
      </c>
      <c r="J1118" s="21"/>
      <c r="K1118" s="22">
        <v>-2717</v>
      </c>
      <c r="L1118" s="23"/>
      <c r="M1118" s="22">
        <v>0</v>
      </c>
      <c r="N1118" s="72">
        <v>0</v>
      </c>
      <c r="O1118" s="22">
        <v>0</v>
      </c>
      <c r="P1118" s="21">
        <v>-17017</v>
      </c>
      <c r="S1118" s="101" t="b">
        <f>OR(COUNTIF(Tabla2[[#This Row],[PROVEEDOR]],"*"&amp;'Palabra no opera'!$A$2&amp;"*"))</f>
        <v>0</v>
      </c>
      <c r="T1118" s="113">
        <f>+$W$5-Tabla2[[#This Row],[FECHA DE FACTURACIÓN]]</f>
        <v>362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15" t="str">
        <f>+IF(AND(Tabla2[[#This Row],[venc]]="venc",Tabla2[[#This Row],[Columna1]]="por pagar"),"vencida","no")</f>
        <v>no</v>
      </c>
    </row>
    <row r="1119" spans="1:23" ht="15.75" x14ac:dyDescent="0.25">
      <c r="A1119" s="20">
        <v>45</v>
      </c>
      <c r="B1119" s="25">
        <v>3535656.6</v>
      </c>
      <c r="C1119" s="25"/>
      <c r="D1119" s="56" t="s">
        <v>390</v>
      </c>
      <c r="E1119" s="66">
        <v>44988</v>
      </c>
      <c r="F1119" s="323" t="s">
        <v>19</v>
      </c>
      <c r="G1119" s="66">
        <v>44960</v>
      </c>
      <c r="H1119" s="35" t="s">
        <v>594</v>
      </c>
      <c r="I1119" s="21">
        <v>8219280</v>
      </c>
      <c r="J1119" s="21"/>
      <c r="K1119" s="22">
        <v>1561663.2</v>
      </c>
      <c r="L1119" s="23"/>
      <c r="M1119" s="22">
        <v>0</v>
      </c>
      <c r="N1119" s="72">
        <v>0</v>
      </c>
      <c r="O1119" s="22">
        <v>0</v>
      </c>
      <c r="P1119" s="21">
        <v>9780943.1999999993</v>
      </c>
      <c r="S1119" s="101" t="b">
        <f>OR(COUNTIF(Tabla2[[#This Row],[PROVEEDOR]],"*"&amp;'Palabra no opera'!$A$2&amp;"*"))</f>
        <v>0</v>
      </c>
      <c r="T1119" s="113">
        <f>+$W$5-Tabla2[[#This Row],[FECHA DE FACTURACIÓN]]</f>
        <v>362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15" t="str">
        <f>+IF(AND(Tabla2[[#This Row],[venc]]="venc",Tabla2[[#This Row],[Columna1]]="por pagar"),"vencida","no")</f>
        <v>no</v>
      </c>
    </row>
    <row r="1120" spans="1:23" ht="15.75" x14ac:dyDescent="0.25">
      <c r="A1120" s="20">
        <v>30</v>
      </c>
      <c r="B1120" s="25">
        <v>3065837.2199999997</v>
      </c>
      <c r="C1120" s="25"/>
      <c r="D1120" s="56" t="s">
        <v>169</v>
      </c>
      <c r="E1120" s="66">
        <v>44988</v>
      </c>
      <c r="F1120" s="323" t="s">
        <v>17</v>
      </c>
      <c r="G1120" s="66">
        <v>44957</v>
      </c>
      <c r="H1120" s="35" t="s">
        <v>603</v>
      </c>
      <c r="I1120" s="21">
        <v>412700</v>
      </c>
      <c r="J1120" s="21"/>
      <c r="K1120" s="22">
        <v>78413</v>
      </c>
      <c r="L1120" s="23"/>
      <c r="M1120" s="22">
        <v>0</v>
      </c>
      <c r="N1120" s="72">
        <v>0</v>
      </c>
      <c r="O1120" s="22">
        <v>0</v>
      </c>
      <c r="P1120" s="21">
        <v>491113</v>
      </c>
      <c r="S1120" s="101" t="b">
        <f>OR(COUNTIF(Tabla2[[#This Row],[PROVEEDOR]],"*"&amp;'Palabra no opera'!$A$2&amp;"*"))</f>
        <v>0</v>
      </c>
      <c r="T1120" s="113">
        <f>+$W$5-Tabla2[[#This Row],[FECHA DE FACTURACIÓN]]</f>
        <v>365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15" t="str">
        <f>+IF(AND(Tabla2[[#This Row],[venc]]="venc",Tabla2[[#This Row],[Columna1]]="por pagar"),"vencida","no")</f>
        <v>no</v>
      </c>
    </row>
    <row r="1121" spans="1:23" ht="15.75" x14ac:dyDescent="0.25">
      <c r="A1121" s="20">
        <v>30</v>
      </c>
      <c r="B1121" s="25">
        <v>1426700.52</v>
      </c>
      <c r="C1121" s="25"/>
      <c r="D1121" s="56" t="s">
        <v>159</v>
      </c>
      <c r="E1121" s="66">
        <v>44988</v>
      </c>
      <c r="F1121" s="323" t="s">
        <v>151</v>
      </c>
      <c r="G1121" s="66">
        <v>44957</v>
      </c>
      <c r="H1121" s="35" t="s">
        <v>585</v>
      </c>
      <c r="I1121" s="21">
        <v>262185</v>
      </c>
      <c r="J1121" s="21"/>
      <c r="K1121" s="22">
        <v>49815.15</v>
      </c>
      <c r="L1121" s="23"/>
      <c r="M1121" s="22">
        <v>0</v>
      </c>
      <c r="N1121" s="72">
        <v>0</v>
      </c>
      <c r="O1121" s="22">
        <v>0</v>
      </c>
      <c r="P1121" s="21">
        <v>312000.15000000002</v>
      </c>
      <c r="S1121" s="101" t="b">
        <f>OR(COUNTIF(Tabla2[[#This Row],[PROVEEDOR]],"*"&amp;'Palabra no opera'!$A$2&amp;"*"))</f>
        <v>0</v>
      </c>
      <c r="T1121" s="113">
        <f>+$W$5-Tabla2[[#This Row],[FECHA DE FACTURACIÓN]]</f>
        <v>365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15" t="str">
        <f>+IF(AND(Tabla2[[#This Row],[venc]]="venc",Tabla2[[#This Row],[Columna1]]="por pagar"),"vencida","no")</f>
        <v>no</v>
      </c>
    </row>
    <row r="1122" spans="1:23" ht="15.75" x14ac:dyDescent="0.25">
      <c r="A1122" s="20">
        <v>30</v>
      </c>
      <c r="B1122" s="25">
        <v>12328400</v>
      </c>
      <c r="C1122" s="25"/>
      <c r="D1122" s="56" t="s">
        <v>171</v>
      </c>
      <c r="E1122" s="66">
        <v>44988</v>
      </c>
      <c r="F1122" s="323" t="s">
        <v>485</v>
      </c>
      <c r="G1122" s="66">
        <v>44953</v>
      </c>
      <c r="H1122" s="35">
        <v>40466</v>
      </c>
      <c r="I1122" s="21">
        <v>1636800</v>
      </c>
      <c r="J1122" s="21"/>
      <c r="K1122" s="22">
        <v>310992</v>
      </c>
      <c r="L1122" s="23"/>
      <c r="M1122" s="22">
        <v>0</v>
      </c>
      <c r="N1122" s="72">
        <v>0</v>
      </c>
      <c r="O1122" s="22">
        <v>0</v>
      </c>
      <c r="P1122" s="21">
        <v>1947792</v>
      </c>
      <c r="S1122" s="101" t="b">
        <f>OR(COUNTIF(Tabla2[[#This Row],[PROVEEDOR]],"*"&amp;'Palabra no opera'!$A$2&amp;"*"))</f>
        <v>0</v>
      </c>
      <c r="T1122" s="113">
        <f>+$W$5-Tabla2[[#This Row],[FECHA DE FACTURACIÓN]]</f>
        <v>369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15" t="str">
        <f>+IF(AND(Tabla2[[#This Row],[venc]]="venc",Tabla2[[#This Row],[Columna1]]="por pagar"),"vencida","no")</f>
        <v>no</v>
      </c>
    </row>
    <row r="1123" spans="1:23" ht="15.75" x14ac:dyDescent="0.25">
      <c r="A1123" s="20">
        <v>60</v>
      </c>
      <c r="B1123" s="25">
        <v>5363111.8674999997</v>
      </c>
      <c r="C1123" s="25"/>
      <c r="D1123" s="56" t="s">
        <v>168</v>
      </c>
      <c r="E1123" s="66">
        <v>44988</v>
      </c>
      <c r="F1123" s="323" t="s">
        <v>249</v>
      </c>
      <c r="G1123" s="66">
        <v>44952</v>
      </c>
      <c r="H1123" s="35" t="s">
        <v>576</v>
      </c>
      <c r="I1123" s="21">
        <v>4892185</v>
      </c>
      <c r="J1123" s="21"/>
      <c r="K1123" s="22">
        <v>929515.15</v>
      </c>
      <c r="L1123" s="23"/>
      <c r="M1123" s="22">
        <v>0</v>
      </c>
      <c r="N1123" s="72">
        <v>2.5000000000000001E-2</v>
      </c>
      <c r="O1123" s="22">
        <v>122304.625</v>
      </c>
      <c r="P1123" s="21">
        <v>5699395.5250000004</v>
      </c>
      <c r="S1123" s="101" t="b">
        <f>OR(COUNTIF(Tabla2[[#This Row],[PROVEEDOR]],"*"&amp;'Palabra no opera'!$A$2&amp;"*"))</f>
        <v>0</v>
      </c>
      <c r="T1123" s="113">
        <f>+$W$5-Tabla2[[#This Row],[FECHA DE FACTURACIÓN]]</f>
        <v>370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15" t="str">
        <f>+IF(AND(Tabla2[[#This Row],[venc]]="venc",Tabla2[[#This Row],[Columna1]]="por pagar"),"vencida","no")</f>
        <v>no</v>
      </c>
    </row>
    <row r="1124" spans="1:23" ht="15.75" x14ac:dyDescent="0.25">
      <c r="A1124" s="20">
        <v>30</v>
      </c>
      <c r="B1124" s="25">
        <v>2190013.0175000001</v>
      </c>
      <c r="C1124" s="25"/>
      <c r="D1124" s="56" t="s">
        <v>180</v>
      </c>
      <c r="E1124" s="66">
        <v>44988</v>
      </c>
      <c r="F1124" s="323" t="s">
        <v>491</v>
      </c>
      <c r="G1124" s="66">
        <v>44952</v>
      </c>
      <c r="H1124" s="35" t="s">
        <v>586</v>
      </c>
      <c r="I1124" s="21">
        <v>1278410</v>
      </c>
      <c r="J1124" s="21"/>
      <c r="K1124" s="22">
        <v>242897.9</v>
      </c>
      <c r="L1124" s="23"/>
      <c r="M1124" s="22">
        <v>0</v>
      </c>
      <c r="N1124" s="72">
        <v>2.5000000000000001E-2</v>
      </c>
      <c r="O1124" s="22">
        <v>31960.25</v>
      </c>
      <c r="P1124" s="21">
        <v>1489347.65</v>
      </c>
      <c r="S1124" s="101" t="b">
        <f>OR(COUNTIF(Tabla2[[#This Row],[PROVEEDOR]],"*"&amp;'Palabra no opera'!$A$2&amp;"*"))</f>
        <v>0</v>
      </c>
      <c r="T1124" s="113">
        <f>+$W$5-Tabla2[[#This Row],[FECHA DE FACTURACIÓN]]</f>
        <v>370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15" t="str">
        <f>+IF(AND(Tabla2[[#This Row],[venc]]="venc",Tabla2[[#This Row],[Columna1]]="por pagar"),"vencida","no")</f>
        <v>no</v>
      </c>
    </row>
    <row r="1125" spans="1:23" ht="15.75" x14ac:dyDescent="0.25">
      <c r="A1125" s="20">
        <v>30</v>
      </c>
      <c r="B1125" s="25">
        <v>3065837.2199999997</v>
      </c>
      <c r="C1125" s="25"/>
      <c r="D1125" s="56" t="s">
        <v>169</v>
      </c>
      <c r="E1125" s="66">
        <v>44988</v>
      </c>
      <c r="F1125" s="323" t="s">
        <v>17</v>
      </c>
      <c r="G1125" s="66">
        <v>44951</v>
      </c>
      <c r="H1125" s="35" t="s">
        <v>629</v>
      </c>
      <c r="I1125" s="21">
        <v>819316</v>
      </c>
      <c r="J1125" s="21"/>
      <c r="K1125" s="22">
        <v>0</v>
      </c>
      <c r="L1125" s="23"/>
      <c r="M1125" s="22">
        <v>0</v>
      </c>
      <c r="N1125" s="72">
        <v>0</v>
      </c>
      <c r="O1125" s="22">
        <v>0</v>
      </c>
      <c r="P1125" s="21">
        <v>819316</v>
      </c>
      <c r="S1125" s="101" t="b">
        <f>OR(COUNTIF(Tabla2[[#This Row],[PROVEEDOR]],"*"&amp;'Palabra no opera'!$A$2&amp;"*"))</f>
        <v>0</v>
      </c>
      <c r="T1125" s="113">
        <f>+$W$5-Tabla2[[#This Row],[FECHA DE FACTURACIÓN]]</f>
        <v>371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15" t="str">
        <f>+IF(AND(Tabla2[[#This Row],[venc]]="venc",Tabla2[[#This Row],[Columna1]]="por pagar"),"vencida","no")</f>
        <v>no</v>
      </c>
    </row>
    <row r="1126" spans="1:23" ht="15.75" x14ac:dyDescent="0.25">
      <c r="A1126" s="20">
        <v>30</v>
      </c>
      <c r="B1126" s="25">
        <v>0</v>
      </c>
      <c r="C1126" s="25"/>
      <c r="D1126" s="56" t="s">
        <v>190</v>
      </c>
      <c r="E1126" s="66">
        <v>44988</v>
      </c>
      <c r="F1126" s="323" t="s">
        <v>26</v>
      </c>
      <c r="G1126" s="66">
        <v>44951</v>
      </c>
      <c r="H1126" s="35" t="s">
        <v>584</v>
      </c>
      <c r="I1126" s="21">
        <v>3088000</v>
      </c>
      <c r="J1126" s="21"/>
      <c r="K1126" s="22">
        <v>586720</v>
      </c>
      <c r="L1126" s="23"/>
      <c r="M1126" s="22">
        <v>0</v>
      </c>
      <c r="N1126" s="72">
        <v>2.5000000000000001E-2</v>
      </c>
      <c r="O1126" s="22">
        <v>77200</v>
      </c>
      <c r="P1126" s="21">
        <v>3597520</v>
      </c>
      <c r="S1126" s="101" t="b">
        <f>OR(COUNTIF(Tabla2[[#This Row],[PROVEEDOR]],"*"&amp;'Palabra no opera'!$A$2&amp;"*"))</f>
        <v>0</v>
      </c>
      <c r="T1126" s="113">
        <f>+$W$5-Tabla2[[#This Row],[FECHA DE FACTURACIÓN]]</f>
        <v>371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15" t="str">
        <f>+IF(AND(Tabla2[[#This Row],[venc]]="venc",Tabla2[[#This Row],[Columna1]]="por pagar"),"vencida","no")</f>
        <v>no</v>
      </c>
    </row>
    <row r="1127" spans="1:23" ht="15.75" x14ac:dyDescent="0.25">
      <c r="A1127" s="20">
        <v>30</v>
      </c>
      <c r="B1127" s="25">
        <v>1426700.52</v>
      </c>
      <c r="C1127" s="25"/>
      <c r="D1127" s="56" t="s">
        <v>159</v>
      </c>
      <c r="E1127" s="66">
        <v>44988</v>
      </c>
      <c r="F1127" s="323" t="s">
        <v>151</v>
      </c>
      <c r="G1127" s="66">
        <v>44951</v>
      </c>
      <c r="H1127" s="35" t="s">
        <v>581</v>
      </c>
      <c r="I1127" s="21">
        <v>1216808</v>
      </c>
      <c r="J1127" s="21"/>
      <c r="K1127" s="22">
        <v>231193.52</v>
      </c>
      <c r="L1127" s="23"/>
      <c r="M1127" s="22">
        <v>0</v>
      </c>
      <c r="N1127" s="72">
        <v>2.5000000000000001E-2</v>
      </c>
      <c r="O1127" s="22">
        <v>30420.2</v>
      </c>
      <c r="P1127" s="21">
        <v>1417581.32</v>
      </c>
      <c r="S1127" s="101" t="b">
        <f>OR(COUNTIF(Tabla2[[#This Row],[PROVEEDOR]],"*"&amp;'Palabra no opera'!$A$2&amp;"*"))</f>
        <v>0</v>
      </c>
      <c r="T1127" s="113">
        <f>+$W$5-Tabla2[[#This Row],[FECHA DE FACTURACIÓN]]</f>
        <v>371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15" t="str">
        <f>+IF(AND(Tabla2[[#This Row],[venc]]="venc",Tabla2[[#This Row],[Columna1]]="por pagar"),"vencida","no")</f>
        <v>no</v>
      </c>
    </row>
    <row r="1128" spans="1:23" ht="15.75" x14ac:dyDescent="0.25">
      <c r="A1128" s="20">
        <v>30</v>
      </c>
      <c r="B1128" s="25">
        <v>0</v>
      </c>
      <c r="C1128" s="25"/>
      <c r="D1128" s="56" t="s">
        <v>255</v>
      </c>
      <c r="E1128" s="66">
        <v>44988</v>
      </c>
      <c r="F1128" s="323" t="s">
        <v>248</v>
      </c>
      <c r="G1128" s="66">
        <v>44950</v>
      </c>
      <c r="H1128" s="35" t="s">
        <v>575</v>
      </c>
      <c r="I1128" s="21">
        <v>2040000</v>
      </c>
      <c r="J1128" s="21"/>
      <c r="K1128" s="22">
        <v>387600</v>
      </c>
      <c r="L1128" s="23"/>
      <c r="M1128" s="22">
        <v>0</v>
      </c>
      <c r="N1128" s="72">
        <v>0</v>
      </c>
      <c r="O1128" s="22">
        <v>0</v>
      </c>
      <c r="P1128" s="21">
        <v>2427600</v>
      </c>
      <c r="S1128" s="101" t="b">
        <f>OR(COUNTIF(Tabla2[[#This Row],[PROVEEDOR]],"*"&amp;'Palabra no opera'!$A$2&amp;"*"))</f>
        <v>0</v>
      </c>
      <c r="T1128" s="113">
        <f>+$W$5-Tabla2[[#This Row],[FECHA DE FACTURACIÓN]]</f>
        <v>372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15" t="str">
        <f>+IF(AND(Tabla2[[#This Row],[venc]]="venc",Tabla2[[#This Row],[Columna1]]="por pagar"),"vencida","no")</f>
        <v>no</v>
      </c>
    </row>
    <row r="1129" spans="1:23" ht="15.75" x14ac:dyDescent="0.25">
      <c r="A1129" s="20">
        <v>30</v>
      </c>
      <c r="B1129" s="25">
        <v>6857153.040000001</v>
      </c>
      <c r="C1129" s="25"/>
      <c r="D1129" s="56" t="s">
        <v>309</v>
      </c>
      <c r="E1129" s="66">
        <v>44988</v>
      </c>
      <c r="F1129" s="323" t="s">
        <v>254</v>
      </c>
      <c r="G1129" s="66">
        <v>44949</v>
      </c>
      <c r="H1129" s="35" t="s">
        <v>580</v>
      </c>
      <c r="I1129" s="21">
        <v>732750</v>
      </c>
      <c r="J1129" s="21"/>
      <c r="K1129" s="22">
        <v>139222.5</v>
      </c>
      <c r="L1129" s="23"/>
      <c r="M1129" s="22">
        <v>0</v>
      </c>
      <c r="N1129" s="72">
        <v>0</v>
      </c>
      <c r="O1129" s="22">
        <v>0</v>
      </c>
      <c r="P1129" s="21">
        <v>871972.5</v>
      </c>
      <c r="S1129" s="101" t="b">
        <f>OR(COUNTIF(Tabla2[[#This Row],[PROVEEDOR]],"*"&amp;'Palabra no opera'!$A$2&amp;"*"))</f>
        <v>0</v>
      </c>
      <c r="T1129" s="113">
        <f>+$W$5-Tabla2[[#This Row],[FECHA DE FACTURACIÓN]]</f>
        <v>373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15" t="str">
        <f>+IF(AND(Tabla2[[#This Row],[venc]]="venc",Tabla2[[#This Row],[Columna1]]="por pagar"),"vencida","no")</f>
        <v>no</v>
      </c>
    </row>
    <row r="1130" spans="1:23" ht="15.75" x14ac:dyDescent="0.25">
      <c r="A1130" s="20">
        <v>30</v>
      </c>
      <c r="B1130" s="25">
        <v>2169355.9580000001</v>
      </c>
      <c r="C1130" s="25"/>
      <c r="D1130" s="56" t="s">
        <v>164</v>
      </c>
      <c r="E1130" s="66">
        <v>44988</v>
      </c>
      <c r="F1130" s="323" t="s">
        <v>18</v>
      </c>
      <c r="G1130" s="66">
        <v>44938</v>
      </c>
      <c r="H1130" s="35" t="s">
        <v>577</v>
      </c>
      <c r="I1130" s="21">
        <v>12580881</v>
      </c>
      <c r="J1130" s="21"/>
      <c r="K1130" s="22">
        <v>2390367.39</v>
      </c>
      <c r="L1130" s="23"/>
      <c r="M1130" s="22">
        <v>0</v>
      </c>
      <c r="N1130" s="72">
        <v>2.5000000000000001E-2</v>
      </c>
      <c r="O1130" s="22">
        <v>314522.02500000002</v>
      </c>
      <c r="P1130" s="21">
        <v>14656726.365</v>
      </c>
      <c r="S1130" s="101" t="b">
        <f>OR(COUNTIF(Tabla2[[#This Row],[PROVEEDOR]],"*"&amp;'Palabra no opera'!$A$2&amp;"*"))</f>
        <v>0</v>
      </c>
      <c r="T1130" s="113">
        <f>+$W$5-Tabla2[[#This Row],[FECHA DE FACTURACIÓN]]</f>
        <v>384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15" t="str">
        <f>+IF(AND(Tabla2[[#This Row],[venc]]="venc",Tabla2[[#This Row],[Columna1]]="por pagar"),"vencida","no")</f>
        <v>no</v>
      </c>
    </row>
    <row r="1131" spans="1:23" ht="15.75" x14ac:dyDescent="0.25">
      <c r="A1131" s="20">
        <v>30</v>
      </c>
      <c r="B1131" s="25">
        <v>2169355.9580000001</v>
      </c>
      <c r="C1131" s="25"/>
      <c r="D1131" s="56" t="s">
        <v>164</v>
      </c>
      <c r="E1131" s="66">
        <v>44988</v>
      </c>
      <c r="F1131" s="323" t="s">
        <v>18</v>
      </c>
      <c r="G1131" s="66">
        <v>44937</v>
      </c>
      <c r="H1131" s="35" t="s">
        <v>579</v>
      </c>
      <c r="I1131" s="21">
        <v>703990</v>
      </c>
      <c r="J1131" s="21"/>
      <c r="K1131" s="22">
        <v>133758.1</v>
      </c>
      <c r="L1131" s="23"/>
      <c r="M1131" s="22">
        <v>0</v>
      </c>
      <c r="N1131" s="72">
        <v>0</v>
      </c>
      <c r="O1131" s="22">
        <v>0</v>
      </c>
      <c r="P1131" s="21">
        <v>837748.1</v>
      </c>
      <c r="S1131" s="101" t="b">
        <f>OR(COUNTIF(Tabla2[[#This Row],[PROVEEDOR]],"*"&amp;'Palabra no opera'!$A$2&amp;"*"))</f>
        <v>0</v>
      </c>
      <c r="T1131" s="113">
        <f>+$W$5-Tabla2[[#This Row],[FECHA DE FACTURACIÓN]]</f>
        <v>385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15" t="str">
        <f>+IF(AND(Tabla2[[#This Row],[venc]]="venc",Tabla2[[#This Row],[Columna1]]="por pagar"),"vencida","no")</f>
        <v>no</v>
      </c>
    </row>
    <row r="1132" spans="1:23" ht="15.75" x14ac:dyDescent="0.25">
      <c r="A1132" s="20">
        <v>60</v>
      </c>
      <c r="B1132" s="25">
        <v>22881826.27</v>
      </c>
      <c r="C1132" s="25"/>
      <c r="D1132" s="56" t="s">
        <v>178</v>
      </c>
      <c r="E1132" s="66">
        <v>44988</v>
      </c>
      <c r="F1132" s="323" t="s">
        <v>9</v>
      </c>
      <c r="G1132" s="66">
        <v>44937</v>
      </c>
      <c r="H1132" s="35" t="s">
        <v>582</v>
      </c>
      <c r="I1132" s="21">
        <v>612179</v>
      </c>
      <c r="J1132" s="21"/>
      <c r="K1132" s="22">
        <v>116314.01</v>
      </c>
      <c r="L1132" s="23"/>
      <c r="M1132" s="22">
        <v>0</v>
      </c>
      <c r="N1132" s="72">
        <v>0</v>
      </c>
      <c r="O1132" s="22">
        <v>0</v>
      </c>
      <c r="P1132" s="21">
        <v>728493.01</v>
      </c>
      <c r="S1132" s="101" t="b">
        <f>OR(COUNTIF(Tabla2[[#This Row],[PROVEEDOR]],"*"&amp;'Palabra no opera'!$A$2&amp;"*"))</f>
        <v>0</v>
      </c>
      <c r="T1132" s="113">
        <f>+$W$5-Tabla2[[#This Row],[FECHA DE FACTURACIÓN]]</f>
        <v>385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15" t="str">
        <f>+IF(AND(Tabla2[[#This Row],[venc]]="venc",Tabla2[[#This Row],[Columna1]]="por pagar"),"vencida","no")</f>
        <v>no</v>
      </c>
    </row>
    <row r="1133" spans="1:23" ht="15.75" x14ac:dyDescent="0.25">
      <c r="A1133" s="20">
        <v>30</v>
      </c>
      <c r="B1133" s="25">
        <v>2169355.9580000001</v>
      </c>
      <c r="C1133" s="25"/>
      <c r="D1133" s="56" t="s">
        <v>164</v>
      </c>
      <c r="E1133" s="66">
        <v>44988</v>
      </c>
      <c r="F1133" s="323" t="s">
        <v>18</v>
      </c>
      <c r="G1133" s="66">
        <v>44936</v>
      </c>
      <c r="H1133" s="35" t="s">
        <v>578</v>
      </c>
      <c r="I1133" s="21">
        <v>2030628</v>
      </c>
      <c r="J1133" s="21"/>
      <c r="K1133" s="22">
        <v>385819.32</v>
      </c>
      <c r="L1133" s="23"/>
      <c r="M1133" s="22">
        <v>0</v>
      </c>
      <c r="N1133" s="72">
        <v>2.5000000000000001E-2</v>
      </c>
      <c r="O1133" s="22">
        <v>50765.700000000004</v>
      </c>
      <c r="P1133" s="21">
        <v>2365681.6199999996</v>
      </c>
      <c r="S1133" s="101" t="b">
        <f>OR(COUNTIF(Tabla2[[#This Row],[PROVEEDOR]],"*"&amp;'Palabra no opera'!$A$2&amp;"*"))</f>
        <v>0</v>
      </c>
      <c r="T1133" s="113">
        <f>+$W$5-Tabla2[[#This Row],[FECHA DE FACTURACIÓN]]</f>
        <v>386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15" t="str">
        <f>+IF(AND(Tabla2[[#This Row],[venc]]="venc",Tabla2[[#This Row],[Columna1]]="por pagar"),"vencida","no")</f>
        <v>no</v>
      </c>
    </row>
    <row r="1134" spans="1:23" ht="15.75" x14ac:dyDescent="0.25">
      <c r="A1134" s="20">
        <v>30</v>
      </c>
      <c r="B1134" s="25">
        <v>4282200</v>
      </c>
      <c r="C1134" s="25"/>
      <c r="D1134" s="56" t="s">
        <v>217</v>
      </c>
      <c r="E1134" s="66">
        <v>44986</v>
      </c>
      <c r="F1134" s="323" t="s">
        <v>312</v>
      </c>
      <c r="G1134" s="66">
        <v>44972</v>
      </c>
      <c r="H1134" s="35" t="s">
        <v>634</v>
      </c>
      <c r="I1134" s="21">
        <v>101500</v>
      </c>
      <c r="J1134" s="21"/>
      <c r="K1134" s="22">
        <v>0</v>
      </c>
      <c r="L1134" s="23"/>
      <c r="M1134" s="22">
        <v>0</v>
      </c>
      <c r="N1134" s="72">
        <v>0</v>
      </c>
      <c r="O1134" s="22">
        <v>0</v>
      </c>
      <c r="P1134" s="21">
        <v>101500</v>
      </c>
      <c r="S1134" s="101" t="b">
        <f>OR(COUNTIF(Tabla2[[#This Row],[PROVEEDOR]],"*"&amp;'Palabra no opera'!$A$2&amp;"*"))</f>
        <v>0</v>
      </c>
      <c r="T1134" s="113">
        <f>+$W$5-Tabla2[[#This Row],[FECHA DE FACTURACIÓN]]</f>
        <v>350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15" t="str">
        <f>+IF(AND(Tabla2[[#This Row],[venc]]="venc",Tabla2[[#This Row],[Columna1]]="por pagar"),"vencida","no")</f>
        <v>no</v>
      </c>
    </row>
    <row r="1135" spans="1:23" ht="15.75" x14ac:dyDescent="0.25">
      <c r="A1135" s="20">
        <v>30</v>
      </c>
      <c r="B1135" s="25">
        <v>5972000</v>
      </c>
      <c r="C1135" s="25"/>
      <c r="D1135" s="56">
        <v>0</v>
      </c>
      <c r="E1135" s="66">
        <v>44986</v>
      </c>
      <c r="F1135" s="323" t="s">
        <v>512</v>
      </c>
      <c r="G1135" s="66">
        <v>44958</v>
      </c>
      <c r="H1135" s="35" t="s">
        <v>598</v>
      </c>
      <c r="I1135" s="21">
        <v>1075000</v>
      </c>
      <c r="J1135" s="21"/>
      <c r="K1135" s="22">
        <v>0</v>
      </c>
      <c r="L1135" s="23"/>
      <c r="M1135" s="22">
        <v>0</v>
      </c>
      <c r="N1135" s="72">
        <v>0</v>
      </c>
      <c r="O1135" s="22">
        <v>0</v>
      </c>
      <c r="P1135" s="21">
        <v>1075000</v>
      </c>
      <c r="S1135" s="101" t="b">
        <f>OR(COUNTIF(Tabla2[[#This Row],[PROVEEDOR]],"*"&amp;'Palabra no opera'!$A$2&amp;"*"))</f>
        <v>0</v>
      </c>
      <c r="T1135" s="113">
        <f>+$W$5-Tabla2[[#This Row],[FECHA DE FACTURACIÓN]]</f>
        <v>364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15" t="str">
        <f>+IF(AND(Tabla2[[#This Row],[venc]]="venc",Tabla2[[#This Row],[Columna1]]="por pagar"),"vencida","no")</f>
        <v>no</v>
      </c>
    </row>
    <row r="1136" spans="1:23" ht="15.75" x14ac:dyDescent="0.25">
      <c r="A1136" s="20">
        <v>30</v>
      </c>
      <c r="B1136" s="25">
        <v>0</v>
      </c>
      <c r="C1136" s="25"/>
      <c r="D1136" s="56" t="s">
        <v>104</v>
      </c>
      <c r="E1136" s="66">
        <v>44985</v>
      </c>
      <c r="F1136" s="323" t="s">
        <v>566</v>
      </c>
      <c r="G1136" s="66">
        <v>44985</v>
      </c>
      <c r="H1136" s="35" t="s">
        <v>518</v>
      </c>
      <c r="I1136" s="21">
        <v>203500</v>
      </c>
      <c r="J1136" s="21"/>
      <c r="K1136" s="22">
        <v>0</v>
      </c>
      <c r="L1136" s="23"/>
      <c r="M1136" s="22">
        <v>0</v>
      </c>
      <c r="N1136" s="72">
        <v>0</v>
      </c>
      <c r="O1136" s="22">
        <v>0</v>
      </c>
      <c r="P1136" s="21">
        <v>203500</v>
      </c>
      <c r="S1136" s="101" t="b">
        <f>OR(COUNTIF(Tabla2[[#This Row],[PROVEEDOR]],"*"&amp;'Palabra no opera'!$A$2&amp;"*"))</f>
        <v>0</v>
      </c>
      <c r="T1136" s="113">
        <f>+$W$5-Tabla2[[#This Row],[FECHA DE FACTURACIÓN]]</f>
        <v>337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15" t="str">
        <f>+IF(AND(Tabla2[[#This Row],[venc]]="venc",Tabla2[[#This Row],[Columna1]]="por pagar"),"vencida","no")</f>
        <v>no</v>
      </c>
    </row>
    <row r="1137" spans="1:23" ht="15.75" x14ac:dyDescent="0.25">
      <c r="A1137" s="20">
        <v>30</v>
      </c>
      <c r="B1137" s="25">
        <v>0</v>
      </c>
      <c r="C1137" s="25"/>
      <c r="D1137" s="56" t="s">
        <v>104</v>
      </c>
      <c r="E1137" s="66">
        <v>44985</v>
      </c>
      <c r="F1137" s="323" t="s">
        <v>279</v>
      </c>
      <c r="G1137" s="66">
        <v>44985</v>
      </c>
      <c r="H1137" s="35" t="s">
        <v>544</v>
      </c>
      <c r="I1137" s="21">
        <v>976000</v>
      </c>
      <c r="J1137" s="21"/>
      <c r="K1137" s="22">
        <v>0</v>
      </c>
      <c r="L1137" s="23"/>
      <c r="M1137" s="22">
        <v>0</v>
      </c>
      <c r="N1137" s="72">
        <v>0</v>
      </c>
      <c r="O1137" s="22">
        <v>0</v>
      </c>
      <c r="P1137" s="21">
        <v>976000</v>
      </c>
      <c r="S1137" s="101" t="b">
        <f>OR(COUNTIF(Tabla2[[#This Row],[PROVEEDOR]],"*"&amp;'Palabra no opera'!$A$2&amp;"*"))</f>
        <v>0</v>
      </c>
      <c r="T1137" s="113">
        <f>+$W$5-Tabla2[[#This Row],[FECHA DE FACTURACIÓN]]</f>
        <v>337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15" t="str">
        <f>+IF(AND(Tabla2[[#This Row],[venc]]="venc",Tabla2[[#This Row],[Columna1]]="por pagar"),"vencida","no")</f>
        <v>no</v>
      </c>
    </row>
    <row r="1138" spans="1:23" ht="15.75" x14ac:dyDescent="0.25">
      <c r="A1138" s="20">
        <v>30</v>
      </c>
      <c r="B1138" s="25">
        <v>0</v>
      </c>
      <c r="C1138" s="25"/>
      <c r="D1138" s="56" t="s">
        <v>104</v>
      </c>
      <c r="E1138" s="66">
        <v>44985</v>
      </c>
      <c r="F1138" s="323" t="s">
        <v>279</v>
      </c>
      <c r="G1138" s="66">
        <v>44985</v>
      </c>
      <c r="H1138" s="35" t="s">
        <v>517</v>
      </c>
      <c r="I1138" s="21">
        <v>1657000</v>
      </c>
      <c r="J1138" s="21"/>
      <c r="K1138" s="22">
        <v>0</v>
      </c>
      <c r="L1138" s="23"/>
      <c r="M1138" s="22">
        <v>0</v>
      </c>
      <c r="N1138" s="72">
        <v>0</v>
      </c>
      <c r="O1138" s="22">
        <v>0</v>
      </c>
      <c r="P1138" s="21">
        <v>1657000</v>
      </c>
      <c r="S1138" s="101" t="b">
        <f>OR(COUNTIF(Tabla2[[#This Row],[PROVEEDOR]],"*"&amp;'Palabra no opera'!$A$2&amp;"*"))</f>
        <v>0</v>
      </c>
      <c r="T1138" s="113">
        <f>+$W$5-Tabla2[[#This Row],[FECHA DE FACTURACIÓN]]</f>
        <v>337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15" t="str">
        <f>+IF(AND(Tabla2[[#This Row],[venc]]="venc",Tabla2[[#This Row],[Columna1]]="por pagar"),"vencida","no")</f>
        <v>no</v>
      </c>
    </row>
    <row r="1139" spans="1:23" ht="15.75" x14ac:dyDescent="0.25">
      <c r="A1139" s="20">
        <v>30</v>
      </c>
      <c r="B1139" s="25">
        <v>0</v>
      </c>
      <c r="C1139" s="25"/>
      <c r="D1139" s="56" t="s">
        <v>104</v>
      </c>
      <c r="E1139" s="66">
        <v>44985</v>
      </c>
      <c r="F1139" s="323" t="s">
        <v>566</v>
      </c>
      <c r="G1139" s="66">
        <v>44985</v>
      </c>
      <c r="H1139" s="35" t="s">
        <v>516</v>
      </c>
      <c r="I1139" s="21">
        <v>385700</v>
      </c>
      <c r="J1139" s="21"/>
      <c r="K1139" s="22">
        <v>0</v>
      </c>
      <c r="L1139" s="23"/>
      <c r="M1139" s="22">
        <v>0</v>
      </c>
      <c r="N1139" s="72">
        <v>0</v>
      </c>
      <c r="O1139" s="22">
        <v>0</v>
      </c>
      <c r="P1139" s="21">
        <v>385700</v>
      </c>
      <c r="S1139" s="101" t="b">
        <f>OR(COUNTIF(Tabla2[[#This Row],[PROVEEDOR]],"*"&amp;'Palabra no opera'!$A$2&amp;"*"))</f>
        <v>0</v>
      </c>
      <c r="T1139" s="113">
        <f>+$W$5-Tabla2[[#This Row],[FECHA DE FACTURACIÓN]]</f>
        <v>337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15" t="str">
        <f>+IF(AND(Tabla2[[#This Row],[venc]]="venc",Tabla2[[#This Row],[Columna1]]="por pagar"),"vencida","no")</f>
        <v>no</v>
      </c>
    </row>
    <row r="1140" spans="1:23" ht="15.75" x14ac:dyDescent="0.25">
      <c r="A1140" s="20">
        <v>30</v>
      </c>
      <c r="B1140" s="25">
        <v>0</v>
      </c>
      <c r="C1140" s="25"/>
      <c r="D1140" s="56" t="s">
        <v>104</v>
      </c>
      <c r="E1140" s="66">
        <v>44985</v>
      </c>
      <c r="F1140" s="323" t="s">
        <v>566</v>
      </c>
      <c r="G1140" s="66">
        <v>44985</v>
      </c>
      <c r="H1140" s="35" t="s">
        <v>543</v>
      </c>
      <c r="I1140" s="21">
        <v>0</v>
      </c>
      <c r="J1140" s="21"/>
      <c r="K1140" s="22">
        <v>0</v>
      </c>
      <c r="L1140" s="23"/>
      <c r="M1140" s="22">
        <v>0</v>
      </c>
      <c r="N1140" s="72">
        <v>0</v>
      </c>
      <c r="O1140" s="22">
        <v>0</v>
      </c>
      <c r="P1140" s="21">
        <v>0</v>
      </c>
      <c r="S1140" s="101" t="b">
        <f>OR(COUNTIF(Tabla2[[#This Row],[PROVEEDOR]],"*"&amp;'Palabra no opera'!$A$2&amp;"*"))</f>
        <v>0</v>
      </c>
      <c r="T1140" s="113">
        <f>+$W$5-Tabla2[[#This Row],[FECHA DE FACTURACIÓN]]</f>
        <v>337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15" t="str">
        <f>+IF(AND(Tabla2[[#This Row],[venc]]="venc",Tabla2[[#This Row],[Columna1]]="por pagar"),"vencida","no")</f>
        <v>no</v>
      </c>
    </row>
    <row r="1141" spans="1:23" ht="15.75" x14ac:dyDescent="0.25">
      <c r="A1141" s="20">
        <v>30</v>
      </c>
      <c r="B1141" s="25">
        <v>0</v>
      </c>
      <c r="C1141" s="25"/>
      <c r="D1141" s="56" t="s">
        <v>104</v>
      </c>
      <c r="E1141" s="66">
        <v>44985</v>
      </c>
      <c r="F1141" s="323" t="s">
        <v>566</v>
      </c>
      <c r="G1141" s="66">
        <v>44985</v>
      </c>
      <c r="H1141" s="35" t="s">
        <v>545</v>
      </c>
      <c r="I1141" s="21">
        <v>0</v>
      </c>
      <c r="J1141" s="21"/>
      <c r="K1141" s="22">
        <v>0</v>
      </c>
      <c r="L1141" s="23"/>
      <c r="M1141" s="22">
        <v>0</v>
      </c>
      <c r="N1141" s="72">
        <v>0</v>
      </c>
      <c r="O1141" s="22">
        <v>0</v>
      </c>
      <c r="P1141" s="21">
        <v>0</v>
      </c>
      <c r="S1141" s="101" t="b">
        <f>OR(COUNTIF(Tabla2[[#This Row],[PROVEEDOR]],"*"&amp;'Palabra no opera'!$A$2&amp;"*"))</f>
        <v>0</v>
      </c>
      <c r="T1141" s="113">
        <f>+$W$5-Tabla2[[#This Row],[FECHA DE FACTURACIÓN]]</f>
        <v>337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15" t="str">
        <f>+IF(AND(Tabla2[[#This Row],[venc]]="venc",Tabla2[[#This Row],[Columna1]]="por pagar"),"vencida","no")</f>
        <v>no</v>
      </c>
    </row>
    <row r="1142" spans="1:23" ht="15.75" x14ac:dyDescent="0.25">
      <c r="A1142" s="20">
        <v>30</v>
      </c>
      <c r="B1142" s="25">
        <v>0</v>
      </c>
      <c r="C1142" s="25"/>
      <c r="D1142" s="56">
        <v>0</v>
      </c>
      <c r="E1142" s="66">
        <v>44984</v>
      </c>
      <c r="F1142" s="323" t="s">
        <v>591</v>
      </c>
      <c r="G1142" s="66">
        <v>44965</v>
      </c>
      <c r="H1142" s="35" t="s">
        <v>601</v>
      </c>
      <c r="I1142" s="21">
        <v>200000</v>
      </c>
      <c r="J1142" s="21"/>
      <c r="K1142" s="22">
        <v>38000</v>
      </c>
      <c r="L1142" s="23"/>
      <c r="M1142" s="22">
        <v>0</v>
      </c>
      <c r="N1142" s="72">
        <v>0</v>
      </c>
      <c r="O1142" s="22">
        <v>0</v>
      </c>
      <c r="P1142" s="21">
        <v>238000</v>
      </c>
      <c r="S1142" s="101" t="b">
        <f>OR(COUNTIF(Tabla2[[#This Row],[PROVEEDOR]],"*"&amp;'Palabra no opera'!$A$2&amp;"*"))</f>
        <v>1</v>
      </c>
      <c r="T1142" s="113">
        <f>+$W$5-Tabla2[[#This Row],[FECHA DE FACTURACIÓN]]</f>
        <v>357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15" t="str">
        <f>+IF(AND(Tabla2[[#This Row],[venc]]="venc",Tabla2[[#This Row],[Columna1]]="por pagar"),"vencida","no")</f>
        <v>no</v>
      </c>
    </row>
    <row r="1143" spans="1:23" ht="15.75" x14ac:dyDescent="0.25">
      <c r="A1143" s="20">
        <v>30</v>
      </c>
      <c r="B1143" s="25">
        <v>0</v>
      </c>
      <c r="C1143" s="25"/>
      <c r="D1143" s="56" t="s">
        <v>174</v>
      </c>
      <c r="E1143" s="66">
        <v>44984</v>
      </c>
      <c r="F1143" s="323" t="s">
        <v>427</v>
      </c>
      <c r="G1143" s="66">
        <v>44958</v>
      </c>
      <c r="H1143" s="35" t="s">
        <v>628</v>
      </c>
      <c r="I1143" s="21">
        <v>243611</v>
      </c>
      <c r="J1143" s="21"/>
      <c r="K1143" s="22">
        <v>46286.090000000004</v>
      </c>
      <c r="L1143" s="23"/>
      <c r="M1143" s="22">
        <v>0</v>
      </c>
      <c r="N1143" s="72">
        <v>3.5000000000000003E-2</v>
      </c>
      <c r="O1143" s="22">
        <v>8526.3850000000002</v>
      </c>
      <c r="P1143" s="21">
        <v>281370.70500000002</v>
      </c>
      <c r="S1143" s="101" t="b">
        <f>OR(COUNTIF(Tabla2[[#This Row],[PROVEEDOR]],"*"&amp;'Palabra no opera'!$A$2&amp;"*"))</f>
        <v>1</v>
      </c>
      <c r="T1143" s="113">
        <f>+$W$5-Tabla2[[#This Row],[FECHA DE FACTURACIÓN]]</f>
        <v>364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15" t="str">
        <f>+IF(AND(Tabla2[[#This Row],[venc]]="venc",Tabla2[[#This Row],[Columna1]]="por pagar"),"vencida","no")</f>
        <v>no</v>
      </c>
    </row>
    <row r="1144" spans="1:23" ht="15.75" x14ac:dyDescent="0.25">
      <c r="A1144" s="20">
        <v>30</v>
      </c>
      <c r="B1144" s="25">
        <v>0</v>
      </c>
      <c r="C1144" s="25"/>
      <c r="D1144" s="56" t="s">
        <v>463</v>
      </c>
      <c r="E1144" s="66">
        <v>44983</v>
      </c>
      <c r="F1144" s="323" t="s">
        <v>462</v>
      </c>
      <c r="G1144" s="66">
        <v>44967</v>
      </c>
      <c r="H1144" s="35" t="s">
        <v>609</v>
      </c>
      <c r="I1144" s="21">
        <v>425210</v>
      </c>
      <c r="J1144" s="21"/>
      <c r="K1144" s="22">
        <v>80789.899999999994</v>
      </c>
      <c r="L1144" s="23"/>
      <c r="M1144" s="22">
        <v>0</v>
      </c>
      <c r="N1144" s="72">
        <v>0</v>
      </c>
      <c r="O1144" s="22">
        <v>0</v>
      </c>
      <c r="P1144" s="21">
        <v>505999.9</v>
      </c>
      <c r="S1144" s="101" t="b">
        <f>OR(COUNTIF(Tabla2[[#This Row],[PROVEEDOR]],"*"&amp;'Palabra no opera'!$A$2&amp;"*"))</f>
        <v>0</v>
      </c>
      <c r="T1144" s="113">
        <f>+$W$5-Tabla2[[#This Row],[FECHA DE FACTURACIÓN]]</f>
        <v>355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15" t="str">
        <f>+IF(AND(Tabla2[[#This Row],[venc]]="venc",Tabla2[[#This Row],[Columna1]]="por pagar"),"vencida","no")</f>
        <v>no</v>
      </c>
    </row>
    <row r="1145" spans="1:23" ht="15.75" x14ac:dyDescent="0.25">
      <c r="A1145" s="20">
        <v>30</v>
      </c>
      <c r="B1145" s="25">
        <v>0</v>
      </c>
      <c r="C1145" s="25"/>
      <c r="D1145" s="56" t="s">
        <v>463</v>
      </c>
      <c r="E1145" s="66">
        <v>44983</v>
      </c>
      <c r="F1145" s="323" t="s">
        <v>462</v>
      </c>
      <c r="G1145" s="66">
        <v>44965</v>
      </c>
      <c r="H1145" s="35" t="s">
        <v>608</v>
      </c>
      <c r="I1145" s="21">
        <v>579832</v>
      </c>
      <c r="J1145" s="21"/>
      <c r="K1145" s="22">
        <v>110168.08</v>
      </c>
      <c r="L1145" s="23"/>
      <c r="M1145" s="22">
        <v>0</v>
      </c>
      <c r="N1145" s="72">
        <v>0</v>
      </c>
      <c r="O1145" s="22">
        <v>0</v>
      </c>
      <c r="P1145" s="21">
        <v>690000.08</v>
      </c>
      <c r="S1145" s="101" t="b">
        <f>OR(COUNTIF(Tabla2[[#This Row],[PROVEEDOR]],"*"&amp;'Palabra no opera'!$A$2&amp;"*"))</f>
        <v>0</v>
      </c>
      <c r="T1145" s="113">
        <f>+$W$5-Tabla2[[#This Row],[FECHA DE FACTURACIÓN]]</f>
        <v>357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15" t="str">
        <f>+IF(AND(Tabla2[[#This Row],[venc]]="venc",Tabla2[[#This Row],[Columna1]]="por pagar"),"vencida","no")</f>
        <v>no</v>
      </c>
    </row>
    <row r="1146" spans="1:23" ht="15.75" x14ac:dyDescent="0.25">
      <c r="A1146" s="20">
        <v>30</v>
      </c>
      <c r="B1146" s="25">
        <v>0</v>
      </c>
      <c r="C1146" s="25"/>
      <c r="D1146" s="56" t="s">
        <v>1508</v>
      </c>
      <c r="E1146" s="66">
        <v>44977</v>
      </c>
      <c r="F1146" s="323" t="s">
        <v>406</v>
      </c>
      <c r="G1146" s="66">
        <v>44963</v>
      </c>
      <c r="H1146" s="35" t="s">
        <v>612</v>
      </c>
      <c r="I1146" s="21">
        <v>1866320</v>
      </c>
      <c r="J1146" s="21"/>
      <c r="K1146" s="22">
        <v>0</v>
      </c>
      <c r="L1146" s="23">
        <v>4.8871499999999998E-2</v>
      </c>
      <c r="M1146" s="22">
        <v>91209.857879999996</v>
      </c>
      <c r="N1146" s="72">
        <v>0</v>
      </c>
      <c r="O1146" s="22">
        <v>0</v>
      </c>
      <c r="P1146" s="21">
        <v>1775110.14212</v>
      </c>
      <c r="S1146" s="101" t="b">
        <f>OR(COUNTIF(Tabla2[[#This Row],[PROVEEDOR]],"*"&amp;'Palabra no opera'!$A$2&amp;"*"))</f>
        <v>1</v>
      </c>
      <c r="T1146" s="113">
        <f>+$W$5-Tabla2[[#This Row],[FECHA DE FACTURACIÓN]]</f>
        <v>359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15" t="str">
        <f>+IF(AND(Tabla2[[#This Row],[venc]]="venc",Tabla2[[#This Row],[Columna1]]="por pagar"),"vencida","no")</f>
        <v>no</v>
      </c>
    </row>
    <row r="1147" spans="1:23" ht="15.75" x14ac:dyDescent="0.25">
      <c r="A1147" s="20">
        <v>30</v>
      </c>
      <c r="B1147" s="25">
        <v>406756</v>
      </c>
      <c r="C1147" s="25"/>
      <c r="D1147" s="56" t="s">
        <v>104</v>
      </c>
      <c r="E1147" s="66">
        <v>44977</v>
      </c>
      <c r="F1147" s="323" t="s">
        <v>315</v>
      </c>
      <c r="G1147" s="66">
        <v>44959</v>
      </c>
      <c r="H1147" s="35">
        <v>25</v>
      </c>
      <c r="I1147" s="21">
        <v>87000</v>
      </c>
      <c r="J1147" s="21"/>
      <c r="K1147" s="22">
        <v>0</v>
      </c>
      <c r="L1147" s="23"/>
      <c r="M1147" s="22">
        <v>0</v>
      </c>
      <c r="N1147" s="72">
        <v>0</v>
      </c>
      <c r="O1147" s="22">
        <v>0</v>
      </c>
      <c r="P1147" s="21">
        <v>87000</v>
      </c>
      <c r="S1147" s="101" t="b">
        <f>OR(COUNTIF(Tabla2[[#This Row],[PROVEEDOR]],"*"&amp;'Palabra no opera'!$A$2&amp;"*"))</f>
        <v>0</v>
      </c>
      <c r="T1147" s="113">
        <f>+$W$5-Tabla2[[#This Row],[FECHA DE FACTURACIÓN]]</f>
        <v>363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15" t="str">
        <f>+IF(AND(Tabla2[[#This Row],[venc]]="venc",Tabla2[[#This Row],[Columna1]]="por pagar"),"vencida","no")</f>
        <v>no</v>
      </c>
    </row>
    <row r="1148" spans="1:23" ht="15.75" x14ac:dyDescent="0.25">
      <c r="A1148" s="20">
        <v>30</v>
      </c>
      <c r="B1148" s="25">
        <v>406756</v>
      </c>
      <c r="C1148" s="25"/>
      <c r="D1148" s="56" t="s">
        <v>104</v>
      </c>
      <c r="E1148" s="66">
        <v>44977</v>
      </c>
      <c r="F1148" s="323" t="s">
        <v>315</v>
      </c>
      <c r="G1148" s="66">
        <v>44959</v>
      </c>
      <c r="H1148" s="35">
        <v>28</v>
      </c>
      <c r="I1148" s="21">
        <v>196500</v>
      </c>
      <c r="J1148" s="21"/>
      <c r="K1148" s="22">
        <v>0</v>
      </c>
      <c r="L1148" s="23"/>
      <c r="M1148" s="22">
        <v>0</v>
      </c>
      <c r="N1148" s="72">
        <v>0</v>
      </c>
      <c r="O1148" s="22">
        <v>0</v>
      </c>
      <c r="P1148" s="21">
        <v>196500</v>
      </c>
      <c r="S1148" s="101" t="b">
        <f>OR(COUNTIF(Tabla2[[#This Row],[PROVEEDOR]],"*"&amp;'Palabra no opera'!$A$2&amp;"*"))</f>
        <v>0</v>
      </c>
      <c r="T1148" s="113">
        <f>+$W$5-Tabla2[[#This Row],[FECHA DE FACTURACIÓN]]</f>
        <v>363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15" t="str">
        <f>+IF(AND(Tabla2[[#This Row],[venc]]="venc",Tabla2[[#This Row],[Columna1]]="por pagar"),"vencida","no")</f>
        <v>no</v>
      </c>
    </row>
    <row r="1149" spans="1:23" ht="15.75" x14ac:dyDescent="0.25">
      <c r="A1149" s="20">
        <v>30</v>
      </c>
      <c r="B1149" s="25">
        <v>406756</v>
      </c>
      <c r="C1149" s="25"/>
      <c r="D1149" s="56" t="s">
        <v>104</v>
      </c>
      <c r="E1149" s="66">
        <v>44977</v>
      </c>
      <c r="F1149" s="323" t="s">
        <v>315</v>
      </c>
      <c r="G1149" s="66">
        <v>44959</v>
      </c>
      <c r="H1149" s="35">
        <v>29</v>
      </c>
      <c r="I1149" s="21">
        <v>33000</v>
      </c>
      <c r="J1149" s="21"/>
      <c r="K1149" s="22">
        <v>0</v>
      </c>
      <c r="L1149" s="23"/>
      <c r="M1149" s="22">
        <v>0</v>
      </c>
      <c r="N1149" s="72">
        <v>0</v>
      </c>
      <c r="O1149" s="22">
        <v>0</v>
      </c>
      <c r="P1149" s="21">
        <v>33000</v>
      </c>
      <c r="S1149" s="101" t="b">
        <f>OR(COUNTIF(Tabla2[[#This Row],[PROVEEDOR]],"*"&amp;'Palabra no opera'!$A$2&amp;"*"))</f>
        <v>0</v>
      </c>
      <c r="T1149" s="113">
        <f>+$W$5-Tabla2[[#This Row],[FECHA DE FACTURACIÓN]]</f>
        <v>363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15" t="str">
        <f>+IF(AND(Tabla2[[#This Row],[venc]]="venc",Tabla2[[#This Row],[Columna1]]="por pagar"),"vencida","no")</f>
        <v>no</v>
      </c>
    </row>
    <row r="1150" spans="1:23" ht="15.75" x14ac:dyDescent="0.25">
      <c r="A1150" s="20">
        <v>30</v>
      </c>
      <c r="B1150" s="25">
        <v>406756</v>
      </c>
      <c r="C1150" s="25"/>
      <c r="D1150" s="56" t="s">
        <v>104</v>
      </c>
      <c r="E1150" s="66">
        <v>44977</v>
      </c>
      <c r="F1150" s="323" t="s">
        <v>315</v>
      </c>
      <c r="G1150" s="66">
        <v>44959</v>
      </c>
      <c r="H1150" s="35">
        <v>30</v>
      </c>
      <c r="I1150" s="21">
        <v>64500</v>
      </c>
      <c r="J1150" s="21"/>
      <c r="K1150" s="22">
        <v>0</v>
      </c>
      <c r="L1150" s="23"/>
      <c r="M1150" s="22">
        <v>0</v>
      </c>
      <c r="N1150" s="72">
        <v>0</v>
      </c>
      <c r="O1150" s="22">
        <v>0</v>
      </c>
      <c r="P1150" s="21">
        <v>64500</v>
      </c>
      <c r="S1150" s="101" t="b">
        <f>OR(COUNTIF(Tabla2[[#This Row],[PROVEEDOR]],"*"&amp;'Palabra no opera'!$A$2&amp;"*"))</f>
        <v>0</v>
      </c>
      <c r="T1150" s="113">
        <f>+$W$5-Tabla2[[#This Row],[FECHA DE FACTURACIÓN]]</f>
        <v>363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15" t="str">
        <f>+IF(AND(Tabla2[[#This Row],[venc]]="venc",Tabla2[[#This Row],[Columna1]]="por pagar"),"vencida","no")</f>
        <v>no</v>
      </c>
    </row>
    <row r="1151" spans="1:23" ht="15.75" x14ac:dyDescent="0.25">
      <c r="A1151" s="20">
        <v>30</v>
      </c>
      <c r="B1151" s="25">
        <v>406756</v>
      </c>
      <c r="C1151" s="25"/>
      <c r="D1151" s="56" t="s">
        <v>104</v>
      </c>
      <c r="E1151" s="66">
        <v>44977</v>
      </c>
      <c r="F1151" s="323" t="s">
        <v>315</v>
      </c>
      <c r="G1151" s="66">
        <v>44959</v>
      </c>
      <c r="H1151" s="35">
        <v>34</v>
      </c>
      <c r="I1151" s="21">
        <v>411500</v>
      </c>
      <c r="J1151" s="21"/>
      <c r="K1151" s="22">
        <v>0</v>
      </c>
      <c r="L1151" s="23"/>
      <c r="M1151" s="22">
        <v>0</v>
      </c>
      <c r="N1151" s="72">
        <v>0</v>
      </c>
      <c r="O1151" s="22">
        <v>0</v>
      </c>
      <c r="P1151" s="21">
        <v>411500</v>
      </c>
      <c r="S1151" s="101" t="b">
        <f>OR(COUNTIF(Tabla2[[#This Row],[PROVEEDOR]],"*"&amp;'Palabra no opera'!$A$2&amp;"*"))</f>
        <v>0</v>
      </c>
      <c r="T1151" s="113">
        <f>+$W$5-Tabla2[[#This Row],[FECHA DE FACTURACIÓN]]</f>
        <v>363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15" t="str">
        <f>+IF(AND(Tabla2[[#This Row],[venc]]="venc",Tabla2[[#This Row],[Columna1]]="por pagar"),"vencida","no")</f>
        <v>no</v>
      </c>
    </row>
    <row r="1152" spans="1:23" ht="15.75" x14ac:dyDescent="0.25">
      <c r="A1152" s="20">
        <v>30</v>
      </c>
      <c r="B1152" s="25">
        <v>406756</v>
      </c>
      <c r="C1152" s="25"/>
      <c r="D1152" s="56" t="s">
        <v>104</v>
      </c>
      <c r="E1152" s="66">
        <v>44977</v>
      </c>
      <c r="F1152" s="323" t="s">
        <v>315</v>
      </c>
      <c r="G1152" s="66">
        <v>44959</v>
      </c>
      <c r="H1152" s="35">
        <v>35</v>
      </c>
      <c r="I1152" s="21">
        <v>207000</v>
      </c>
      <c r="J1152" s="21"/>
      <c r="K1152" s="22">
        <v>0</v>
      </c>
      <c r="L1152" s="23"/>
      <c r="M1152" s="22">
        <v>0</v>
      </c>
      <c r="N1152" s="72">
        <v>0</v>
      </c>
      <c r="O1152" s="22">
        <v>0</v>
      </c>
      <c r="P1152" s="21">
        <v>207000</v>
      </c>
      <c r="S1152" s="101" t="b">
        <f>OR(COUNTIF(Tabla2[[#This Row],[PROVEEDOR]],"*"&amp;'Palabra no opera'!$A$2&amp;"*"))</f>
        <v>0</v>
      </c>
      <c r="T1152" s="113">
        <f>+$W$5-Tabla2[[#This Row],[FECHA DE FACTURACIÓN]]</f>
        <v>363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15" t="str">
        <f>+IF(AND(Tabla2[[#This Row],[venc]]="venc",Tabla2[[#This Row],[Columna1]]="por pagar"),"vencida","no")</f>
        <v>no</v>
      </c>
    </row>
    <row r="1153" spans="1:23" ht="15.75" x14ac:dyDescent="0.25">
      <c r="A1153" s="20">
        <v>30</v>
      </c>
      <c r="B1153" s="25">
        <v>406756</v>
      </c>
      <c r="C1153" s="25"/>
      <c r="D1153" s="56" t="s">
        <v>104</v>
      </c>
      <c r="E1153" s="66">
        <v>44977</v>
      </c>
      <c r="F1153" s="323" t="s">
        <v>568</v>
      </c>
      <c r="G1153" s="66">
        <v>44958</v>
      </c>
      <c r="H1153" s="35">
        <v>31</v>
      </c>
      <c r="I1153" s="21">
        <v>251000</v>
      </c>
      <c r="J1153" s="21"/>
      <c r="K1153" s="22">
        <v>0</v>
      </c>
      <c r="L1153" s="23"/>
      <c r="M1153" s="22">
        <v>0</v>
      </c>
      <c r="N1153" s="72">
        <v>0</v>
      </c>
      <c r="O1153" s="22">
        <v>0</v>
      </c>
      <c r="P1153" s="21">
        <v>251000</v>
      </c>
      <c r="S1153" s="101" t="b">
        <f>OR(COUNTIF(Tabla2[[#This Row],[PROVEEDOR]],"*"&amp;'Palabra no opera'!$A$2&amp;"*"))</f>
        <v>0</v>
      </c>
      <c r="T1153" s="113">
        <f>+$W$5-Tabla2[[#This Row],[FECHA DE FACTURACIÓN]]</f>
        <v>364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15" t="str">
        <f>+IF(AND(Tabla2[[#This Row],[venc]]="venc",Tabla2[[#This Row],[Columna1]]="por pagar"),"vencida","no")</f>
        <v>no</v>
      </c>
    </row>
    <row r="1154" spans="1:23" ht="15.75" x14ac:dyDescent="0.25">
      <c r="A1154" s="20">
        <v>30</v>
      </c>
      <c r="B1154" s="25">
        <v>406756</v>
      </c>
      <c r="C1154" s="25"/>
      <c r="D1154" s="56" t="s">
        <v>104</v>
      </c>
      <c r="E1154" s="66">
        <v>44977</v>
      </c>
      <c r="F1154" s="323" t="s">
        <v>568</v>
      </c>
      <c r="G1154" s="66">
        <v>44958</v>
      </c>
      <c r="H1154" s="35">
        <v>32</v>
      </c>
      <c r="I1154" s="21">
        <v>70000</v>
      </c>
      <c r="J1154" s="21"/>
      <c r="K1154" s="22">
        <v>0</v>
      </c>
      <c r="L1154" s="23"/>
      <c r="M1154" s="22">
        <v>0</v>
      </c>
      <c r="N1154" s="72">
        <v>0</v>
      </c>
      <c r="O1154" s="22">
        <v>0</v>
      </c>
      <c r="P1154" s="21">
        <v>70000</v>
      </c>
      <c r="S1154" s="101" t="b">
        <f>OR(COUNTIF(Tabla2[[#This Row],[PROVEEDOR]],"*"&amp;'Palabra no opera'!$A$2&amp;"*"))</f>
        <v>0</v>
      </c>
      <c r="T1154" s="113">
        <f>+$W$5-Tabla2[[#This Row],[FECHA DE FACTURACIÓN]]</f>
        <v>364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15" t="str">
        <f>+IF(AND(Tabla2[[#This Row],[venc]]="venc",Tabla2[[#This Row],[Columna1]]="por pagar"),"vencida","no")</f>
        <v>no</v>
      </c>
    </row>
    <row r="1155" spans="1:23" ht="15.75" x14ac:dyDescent="0.25">
      <c r="A1155" s="20">
        <v>30</v>
      </c>
      <c r="B1155" s="25">
        <v>406756</v>
      </c>
      <c r="C1155" s="25"/>
      <c r="D1155" s="56" t="s">
        <v>104</v>
      </c>
      <c r="E1155" s="66">
        <v>44977</v>
      </c>
      <c r="F1155" s="323" t="s">
        <v>568</v>
      </c>
      <c r="G1155" s="66">
        <v>44958</v>
      </c>
      <c r="H1155" s="35">
        <v>33</v>
      </c>
      <c r="I1155" s="21">
        <v>339400</v>
      </c>
      <c r="J1155" s="21"/>
      <c r="K1155" s="22">
        <v>0</v>
      </c>
      <c r="L1155" s="23"/>
      <c r="M1155" s="22">
        <v>0</v>
      </c>
      <c r="N1155" s="72">
        <v>0</v>
      </c>
      <c r="O1155" s="22">
        <v>0</v>
      </c>
      <c r="P1155" s="21">
        <v>339400</v>
      </c>
      <c r="S1155" s="101" t="b">
        <f>OR(COUNTIF(Tabla2[[#This Row],[PROVEEDOR]],"*"&amp;'Palabra no opera'!$A$2&amp;"*"))</f>
        <v>0</v>
      </c>
      <c r="T1155" s="113">
        <f>+$W$5-Tabla2[[#This Row],[FECHA DE FACTURACIÓN]]</f>
        <v>364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15" t="str">
        <f>+IF(AND(Tabla2[[#This Row],[venc]]="venc",Tabla2[[#This Row],[Columna1]]="por pagar"),"vencida","no")</f>
        <v>no</v>
      </c>
    </row>
    <row r="1156" spans="1:23" ht="15.75" x14ac:dyDescent="0.25">
      <c r="A1156" s="20">
        <v>30</v>
      </c>
      <c r="B1156" s="25">
        <v>0</v>
      </c>
      <c r="C1156" s="25"/>
      <c r="D1156" s="56" t="s">
        <v>284</v>
      </c>
      <c r="E1156" s="66">
        <v>44977</v>
      </c>
      <c r="F1156" s="323" t="s">
        <v>401</v>
      </c>
      <c r="G1156" s="66">
        <v>44958</v>
      </c>
      <c r="H1156" s="35" t="s">
        <v>618</v>
      </c>
      <c r="I1156" s="21">
        <v>895662</v>
      </c>
      <c r="J1156" s="21"/>
      <c r="K1156" s="22">
        <v>170175.78</v>
      </c>
      <c r="L1156" s="23"/>
      <c r="M1156" s="22">
        <v>0</v>
      </c>
      <c r="N1156" s="72">
        <v>0</v>
      </c>
      <c r="O1156" s="22">
        <v>0</v>
      </c>
      <c r="P1156" s="21">
        <v>1065837.78</v>
      </c>
      <c r="S1156" s="101" t="b">
        <f>OR(COUNTIF(Tabla2[[#This Row],[PROVEEDOR]],"*"&amp;'Palabra no opera'!$A$2&amp;"*"))</f>
        <v>1</v>
      </c>
      <c r="T1156" s="113">
        <f>+$W$5-Tabla2[[#This Row],[FECHA DE FACTURACIÓN]]</f>
        <v>364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15" t="str">
        <f>+IF(AND(Tabla2[[#This Row],[venc]]="venc",Tabla2[[#This Row],[Columna1]]="por pagar"),"vencida","no")</f>
        <v>no</v>
      </c>
    </row>
    <row r="1157" spans="1:23" ht="15.75" x14ac:dyDescent="0.25">
      <c r="A1157" s="20">
        <v>30</v>
      </c>
      <c r="B1157" s="25">
        <v>0</v>
      </c>
      <c r="C1157" s="25"/>
      <c r="D1157" s="56" t="s">
        <v>284</v>
      </c>
      <c r="E1157" s="66">
        <v>44977</v>
      </c>
      <c r="F1157" s="323" t="s">
        <v>401</v>
      </c>
      <c r="G1157" s="66">
        <v>44958</v>
      </c>
      <c r="H1157" s="35" t="s">
        <v>619</v>
      </c>
      <c r="I1157" s="21">
        <v>2196</v>
      </c>
      <c r="J1157" s="21"/>
      <c r="K1157" s="22">
        <v>417.24</v>
      </c>
      <c r="L1157" s="23"/>
      <c r="M1157" s="22">
        <v>0</v>
      </c>
      <c r="N1157" s="72">
        <v>0</v>
      </c>
      <c r="O1157" s="22">
        <v>0</v>
      </c>
      <c r="P1157" s="21">
        <v>2613.2399999999998</v>
      </c>
      <c r="S1157" s="101" t="b">
        <f>OR(COUNTIF(Tabla2[[#This Row],[PROVEEDOR]],"*"&amp;'Palabra no opera'!$A$2&amp;"*"))</f>
        <v>1</v>
      </c>
      <c r="T1157" s="113">
        <f>+$W$5-Tabla2[[#This Row],[FECHA DE FACTURACIÓN]]</f>
        <v>364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15" t="str">
        <f>+IF(AND(Tabla2[[#This Row],[venc]]="venc",Tabla2[[#This Row],[Columna1]]="por pagar"),"vencida","no")</f>
        <v>no</v>
      </c>
    </row>
    <row r="1158" spans="1:23" ht="15.75" x14ac:dyDescent="0.25">
      <c r="A1158" s="20">
        <v>30</v>
      </c>
      <c r="B1158" s="25">
        <v>0</v>
      </c>
      <c r="C1158" s="25"/>
      <c r="D1158" s="56" t="s">
        <v>284</v>
      </c>
      <c r="E1158" s="66">
        <v>44977</v>
      </c>
      <c r="F1158" s="323" t="s">
        <v>401</v>
      </c>
      <c r="G1158" s="66">
        <v>44958</v>
      </c>
      <c r="H1158" s="35" t="s">
        <v>620</v>
      </c>
      <c r="I1158" s="21">
        <v>527</v>
      </c>
      <c r="J1158" s="21"/>
      <c r="K1158" s="22">
        <v>100.13</v>
      </c>
      <c r="L1158" s="23"/>
      <c r="M1158" s="22">
        <v>0</v>
      </c>
      <c r="N1158" s="72">
        <v>0</v>
      </c>
      <c r="O1158" s="22">
        <v>0</v>
      </c>
      <c r="P1158" s="21">
        <v>627.13</v>
      </c>
      <c r="S1158" s="101" t="b">
        <f>OR(COUNTIF(Tabla2[[#This Row],[PROVEEDOR]],"*"&amp;'Palabra no opera'!$A$2&amp;"*"))</f>
        <v>1</v>
      </c>
      <c r="T1158" s="113">
        <f>+$W$5-Tabla2[[#This Row],[FECHA DE FACTURACIÓN]]</f>
        <v>364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15" t="str">
        <f>+IF(AND(Tabla2[[#This Row],[venc]]="venc",Tabla2[[#This Row],[Columna1]]="por pagar"),"vencida","no")</f>
        <v>no</v>
      </c>
    </row>
    <row r="1159" spans="1:23" ht="15.75" x14ac:dyDescent="0.25">
      <c r="A1159" s="20">
        <v>30</v>
      </c>
      <c r="B1159" s="25">
        <v>0</v>
      </c>
      <c r="C1159" s="25"/>
      <c r="D1159" s="56" t="s">
        <v>284</v>
      </c>
      <c r="E1159" s="66">
        <v>44977</v>
      </c>
      <c r="F1159" s="323" t="s">
        <v>401</v>
      </c>
      <c r="G1159" s="66">
        <v>44958</v>
      </c>
      <c r="H1159" s="35" t="s">
        <v>621</v>
      </c>
      <c r="I1159" s="21">
        <v>37336</v>
      </c>
      <c r="J1159" s="21"/>
      <c r="K1159" s="22">
        <v>7093.84</v>
      </c>
      <c r="L1159" s="23"/>
      <c r="M1159" s="22">
        <v>0</v>
      </c>
      <c r="N1159" s="72">
        <v>0</v>
      </c>
      <c r="O1159" s="22">
        <v>0</v>
      </c>
      <c r="P1159" s="21">
        <v>44429.84</v>
      </c>
      <c r="S1159" s="101" t="b">
        <f>OR(COUNTIF(Tabla2[[#This Row],[PROVEEDOR]],"*"&amp;'Palabra no opera'!$A$2&amp;"*"))</f>
        <v>1</v>
      </c>
      <c r="T1159" s="113">
        <f>+$W$5-Tabla2[[#This Row],[FECHA DE FACTURACIÓN]]</f>
        <v>364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15" t="str">
        <f>+IF(AND(Tabla2[[#This Row],[venc]]="venc",Tabla2[[#This Row],[Columna1]]="por pagar"),"vencida","no")</f>
        <v>no</v>
      </c>
    </row>
    <row r="1160" spans="1:23" ht="15.75" x14ac:dyDescent="0.25">
      <c r="A1160" s="20">
        <v>30</v>
      </c>
      <c r="B1160" s="25">
        <v>0</v>
      </c>
      <c r="C1160" s="25"/>
      <c r="D1160" s="56" t="s">
        <v>300</v>
      </c>
      <c r="E1160" s="66">
        <v>44977</v>
      </c>
      <c r="F1160" s="323" t="s">
        <v>409</v>
      </c>
      <c r="G1160" s="66">
        <v>44958</v>
      </c>
      <c r="H1160" s="35" t="s">
        <v>613</v>
      </c>
      <c r="I1160" s="21">
        <v>329981</v>
      </c>
      <c r="J1160" s="21"/>
      <c r="K1160" s="22">
        <v>0</v>
      </c>
      <c r="L1160" s="23"/>
      <c r="M1160" s="22">
        <v>9886</v>
      </c>
      <c r="N1160" s="72">
        <v>0</v>
      </c>
      <c r="O1160" s="22">
        <v>0</v>
      </c>
      <c r="P1160" s="21">
        <v>320095</v>
      </c>
      <c r="S1160" s="101" t="b">
        <f>OR(COUNTIF(Tabla2[[#This Row],[PROVEEDOR]],"*"&amp;'Palabra no opera'!$A$2&amp;"*"))</f>
        <v>1</v>
      </c>
      <c r="T1160" s="113">
        <f>+$W$5-Tabla2[[#This Row],[FECHA DE FACTURACIÓN]]</f>
        <v>364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15" t="str">
        <f>+IF(AND(Tabla2[[#This Row],[venc]]="venc",Tabla2[[#This Row],[Columna1]]="por pagar"),"vencida","no")</f>
        <v>no</v>
      </c>
    </row>
    <row r="1161" spans="1:23" ht="15.75" x14ac:dyDescent="0.25">
      <c r="A1161" s="20">
        <v>30</v>
      </c>
      <c r="B1161" s="25">
        <v>0</v>
      </c>
      <c r="C1161" s="25"/>
      <c r="D1161" s="56" t="s">
        <v>449</v>
      </c>
      <c r="E1161" s="66">
        <v>44977</v>
      </c>
      <c r="F1161" s="323" t="s">
        <v>415</v>
      </c>
      <c r="G1161" s="66">
        <v>44958</v>
      </c>
      <c r="H1161" s="35" t="s">
        <v>614</v>
      </c>
      <c r="I1161" s="21">
        <v>928304</v>
      </c>
      <c r="J1161" s="21"/>
      <c r="K1161" s="22">
        <v>0</v>
      </c>
      <c r="L1161" s="23"/>
      <c r="M1161" s="22">
        <v>0</v>
      </c>
      <c r="N1161" s="72">
        <v>0</v>
      </c>
      <c r="O1161" s="22">
        <v>0</v>
      </c>
      <c r="P1161" s="21">
        <v>928304</v>
      </c>
      <c r="S1161" s="101" t="b">
        <f>OR(COUNTIF(Tabla2[[#This Row],[PROVEEDOR]],"*"&amp;'Palabra no opera'!$A$2&amp;"*"))</f>
        <v>1</v>
      </c>
      <c r="T1161" s="113">
        <f>+$W$5-Tabla2[[#This Row],[FECHA DE FACTURACIÓN]]</f>
        <v>364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15" t="str">
        <f>+IF(AND(Tabla2[[#This Row],[venc]]="venc",Tabla2[[#This Row],[Columna1]]="por pagar"),"vencida","no")</f>
        <v>no</v>
      </c>
    </row>
    <row r="1162" spans="1:23" ht="15.75" x14ac:dyDescent="0.25">
      <c r="A1162" s="20">
        <v>30</v>
      </c>
      <c r="B1162" s="25">
        <v>0</v>
      </c>
      <c r="C1162" s="25"/>
      <c r="D1162" s="56" t="s">
        <v>449</v>
      </c>
      <c r="E1162" s="66">
        <v>44977</v>
      </c>
      <c r="F1162" s="323" t="s">
        <v>415</v>
      </c>
      <c r="G1162" s="66">
        <v>44958</v>
      </c>
      <c r="H1162" s="35" t="s">
        <v>615</v>
      </c>
      <c r="I1162" s="21">
        <v>949891</v>
      </c>
      <c r="J1162" s="21"/>
      <c r="K1162" s="22">
        <v>0</v>
      </c>
      <c r="L1162" s="23"/>
      <c r="M1162" s="22">
        <v>0</v>
      </c>
      <c r="N1162" s="72">
        <v>0</v>
      </c>
      <c r="O1162" s="22">
        <v>0</v>
      </c>
      <c r="P1162" s="21">
        <v>949891</v>
      </c>
      <c r="S1162" s="101" t="b">
        <f>OR(COUNTIF(Tabla2[[#This Row],[PROVEEDOR]],"*"&amp;'Palabra no opera'!$A$2&amp;"*"))</f>
        <v>1</v>
      </c>
      <c r="T1162" s="113">
        <f>+$W$5-Tabla2[[#This Row],[FECHA DE FACTURACIÓN]]</f>
        <v>364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15" t="str">
        <f>+IF(AND(Tabla2[[#This Row],[venc]]="venc",Tabla2[[#This Row],[Columna1]]="por pagar"),"vencida","no")</f>
        <v>no</v>
      </c>
    </row>
    <row r="1163" spans="1:23" ht="15.75" x14ac:dyDescent="0.25">
      <c r="A1163" s="20">
        <v>30</v>
      </c>
      <c r="B1163" s="25">
        <v>0</v>
      </c>
      <c r="C1163" s="25"/>
      <c r="D1163" s="56" t="s">
        <v>449</v>
      </c>
      <c r="E1163" s="66">
        <v>44977</v>
      </c>
      <c r="F1163" s="323" t="s">
        <v>415</v>
      </c>
      <c r="G1163" s="66">
        <v>44958</v>
      </c>
      <c r="H1163" s="35" t="s">
        <v>616</v>
      </c>
      <c r="I1163" s="21">
        <v>59583</v>
      </c>
      <c r="J1163" s="21"/>
      <c r="K1163" s="22">
        <v>0</v>
      </c>
      <c r="L1163" s="23"/>
      <c r="M1163" s="22">
        <v>0</v>
      </c>
      <c r="N1163" s="72">
        <v>0</v>
      </c>
      <c r="O1163" s="22">
        <v>0</v>
      </c>
      <c r="P1163" s="21">
        <v>59583</v>
      </c>
      <c r="S1163" s="101" t="b">
        <f>OR(COUNTIF(Tabla2[[#This Row],[PROVEEDOR]],"*"&amp;'Palabra no opera'!$A$2&amp;"*"))</f>
        <v>1</v>
      </c>
      <c r="T1163" s="113">
        <f>+$W$5-Tabla2[[#This Row],[FECHA DE FACTURACIÓN]]</f>
        <v>364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15" t="str">
        <f>+IF(AND(Tabla2[[#This Row],[venc]]="venc",Tabla2[[#This Row],[Columna1]]="por pagar"),"vencida","no")</f>
        <v>no</v>
      </c>
    </row>
    <row r="1164" spans="1:23" ht="15.75" x14ac:dyDescent="0.25">
      <c r="A1164" s="20">
        <v>30</v>
      </c>
      <c r="B1164" s="25">
        <v>0</v>
      </c>
      <c r="C1164" s="25"/>
      <c r="D1164" s="56" t="s">
        <v>449</v>
      </c>
      <c r="E1164" s="66">
        <v>44977</v>
      </c>
      <c r="F1164" s="323" t="s">
        <v>415</v>
      </c>
      <c r="G1164" s="66">
        <v>44958</v>
      </c>
      <c r="H1164" s="35" t="s">
        <v>617</v>
      </c>
      <c r="I1164" s="21">
        <v>68166</v>
      </c>
      <c r="J1164" s="21"/>
      <c r="K1164" s="22">
        <v>0</v>
      </c>
      <c r="L1164" s="23"/>
      <c r="M1164" s="22">
        <v>0</v>
      </c>
      <c r="N1164" s="72">
        <v>0</v>
      </c>
      <c r="O1164" s="22">
        <v>0</v>
      </c>
      <c r="P1164" s="21">
        <v>68166</v>
      </c>
      <c r="S1164" s="101" t="b">
        <f>OR(COUNTIF(Tabla2[[#This Row],[PROVEEDOR]],"*"&amp;'Palabra no opera'!$A$2&amp;"*"))</f>
        <v>1</v>
      </c>
      <c r="T1164" s="113">
        <f>+$W$5-Tabla2[[#This Row],[FECHA DE FACTURACIÓN]]</f>
        <v>364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15" t="str">
        <f>+IF(AND(Tabla2[[#This Row],[venc]]="venc",Tabla2[[#This Row],[Columna1]]="por pagar"),"vencida","no")</f>
        <v>no</v>
      </c>
    </row>
    <row r="1165" spans="1:23" ht="15.75" x14ac:dyDescent="0.25">
      <c r="A1165" s="20">
        <v>30</v>
      </c>
      <c r="B1165" s="25">
        <v>4202500</v>
      </c>
      <c r="C1165" s="25"/>
      <c r="D1165" s="56" t="s">
        <v>231</v>
      </c>
      <c r="E1165" s="66">
        <v>44977</v>
      </c>
      <c r="F1165" s="323" t="s">
        <v>301</v>
      </c>
      <c r="G1165" s="66">
        <v>44932</v>
      </c>
      <c r="H1165" s="35" t="s">
        <v>574</v>
      </c>
      <c r="I1165" s="21">
        <v>2300000</v>
      </c>
      <c r="J1165" s="21"/>
      <c r="K1165" s="22">
        <v>0</v>
      </c>
      <c r="L1165" s="23"/>
      <c r="M1165" s="22">
        <v>0</v>
      </c>
      <c r="N1165" s="72">
        <v>0</v>
      </c>
      <c r="O1165" s="22">
        <v>0</v>
      </c>
      <c r="P1165" s="21">
        <v>2300000</v>
      </c>
      <c r="S1165" s="101" t="b">
        <f>OR(COUNTIF(Tabla2[[#This Row],[PROVEEDOR]],"*"&amp;'Palabra no opera'!$A$2&amp;"*"))</f>
        <v>0</v>
      </c>
      <c r="T1165" s="113">
        <f>+$W$5-Tabla2[[#This Row],[FECHA DE FACTURACIÓN]]</f>
        <v>390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15" t="str">
        <f>+IF(AND(Tabla2[[#This Row],[venc]]="venc",Tabla2[[#This Row],[Columna1]]="por pagar"),"vencida","no")</f>
        <v>no</v>
      </c>
    </row>
    <row r="1166" spans="1:23" ht="15.75" x14ac:dyDescent="0.25">
      <c r="A1166" s="20">
        <v>30</v>
      </c>
      <c r="B1166" s="25">
        <v>0</v>
      </c>
      <c r="C1166" s="25"/>
      <c r="D1166" s="56" t="s">
        <v>104</v>
      </c>
      <c r="E1166" s="66">
        <v>44974</v>
      </c>
      <c r="F1166" s="323" t="s">
        <v>277</v>
      </c>
      <c r="G1166" s="66">
        <v>44972</v>
      </c>
      <c r="H1166" s="35" t="s">
        <v>669</v>
      </c>
      <c r="I1166" s="21">
        <v>4760000</v>
      </c>
      <c r="J1166" s="21"/>
      <c r="K1166" s="22">
        <v>0</v>
      </c>
      <c r="L1166" s="23"/>
      <c r="M1166" s="22">
        <v>0</v>
      </c>
      <c r="N1166" s="72">
        <v>0</v>
      </c>
      <c r="O1166" s="22">
        <v>0</v>
      </c>
      <c r="P1166" s="21">
        <v>4760000</v>
      </c>
      <c r="S1166" s="101" t="b">
        <f>OR(COUNTIF(Tabla2[[#This Row],[PROVEEDOR]],"*"&amp;'Palabra no opera'!$A$2&amp;"*"))</f>
        <v>0</v>
      </c>
      <c r="T1166" s="113">
        <f>+$W$5-Tabla2[[#This Row],[FECHA DE FACTURACIÓN]]</f>
        <v>350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15" t="str">
        <f>+IF(AND(Tabla2[[#This Row],[venc]]="venc",Tabla2[[#This Row],[Columna1]]="por pagar"),"vencida","no")</f>
        <v>no</v>
      </c>
    </row>
    <row r="1167" spans="1:23" ht="15.75" x14ac:dyDescent="0.25">
      <c r="A1167" s="20">
        <v>30</v>
      </c>
      <c r="B1167" s="25">
        <v>0</v>
      </c>
      <c r="C1167" s="25"/>
      <c r="D1167" s="56">
        <v>0</v>
      </c>
      <c r="E1167" s="66">
        <v>44973</v>
      </c>
      <c r="F1167" s="323" t="s">
        <v>537</v>
      </c>
      <c r="G1167" s="66">
        <v>44973</v>
      </c>
      <c r="H1167" s="35">
        <v>1378</v>
      </c>
      <c r="I1167" s="21">
        <v>361345</v>
      </c>
      <c r="J1167" s="21"/>
      <c r="K1167" s="22">
        <v>68655.55</v>
      </c>
      <c r="L1167" s="23"/>
      <c r="M1167" s="22">
        <v>0</v>
      </c>
      <c r="N1167" s="72">
        <v>0</v>
      </c>
      <c r="O1167" s="22">
        <v>0</v>
      </c>
      <c r="P1167" s="21">
        <v>430000.55</v>
      </c>
      <c r="S1167" s="101" t="b">
        <f>OR(COUNTIF(Tabla2[[#This Row],[PROVEEDOR]],"*"&amp;'Palabra no opera'!$A$2&amp;"*"))</f>
        <v>0</v>
      </c>
      <c r="T1167" s="113">
        <f>+$W$5-Tabla2[[#This Row],[FECHA DE FACTURACIÓN]]</f>
        <v>349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15" t="str">
        <f>+IF(AND(Tabla2[[#This Row],[venc]]="venc",Tabla2[[#This Row],[Columna1]]="por pagar"),"vencida","no")</f>
        <v>no</v>
      </c>
    </row>
    <row r="1168" spans="1:23" ht="15.75" x14ac:dyDescent="0.25">
      <c r="A1168" s="20">
        <v>30</v>
      </c>
      <c r="B1168" s="25">
        <v>0</v>
      </c>
      <c r="C1168" s="25"/>
      <c r="D1168" s="56" t="s">
        <v>483</v>
      </c>
      <c r="E1168" s="66">
        <v>44972</v>
      </c>
      <c r="F1168" s="323" t="s">
        <v>464</v>
      </c>
      <c r="G1168" s="66">
        <v>44972</v>
      </c>
      <c r="H1168" s="35">
        <v>32185</v>
      </c>
      <c r="I1168" s="21">
        <v>1605723</v>
      </c>
      <c r="J1168" s="21"/>
      <c r="K1168" s="22">
        <v>1277</v>
      </c>
      <c r="L1168" s="23"/>
      <c r="M1168" s="22">
        <v>0</v>
      </c>
      <c r="N1168" s="72">
        <v>2.5000000000000001E-2</v>
      </c>
      <c r="O1168" s="22">
        <v>40143.075000000004</v>
      </c>
      <c r="P1168" s="21">
        <v>1566856.925</v>
      </c>
      <c r="S1168" s="101" t="b">
        <f>OR(COUNTIF(Tabla2[[#This Row],[PROVEEDOR]],"*"&amp;'Palabra no opera'!$A$2&amp;"*"))</f>
        <v>1</v>
      </c>
      <c r="T1168" s="113">
        <f>+$W$5-Tabla2[[#This Row],[FECHA DE FACTURACIÓN]]</f>
        <v>350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15" t="str">
        <f>+IF(AND(Tabla2[[#This Row],[venc]]="venc",Tabla2[[#This Row],[Columna1]]="por pagar"),"vencida","no")</f>
        <v>no</v>
      </c>
    </row>
    <row r="1169" spans="1:23" ht="15.75" x14ac:dyDescent="0.25">
      <c r="A1169" s="20">
        <v>30</v>
      </c>
      <c r="B1169" s="25">
        <v>0</v>
      </c>
      <c r="C1169" s="25"/>
      <c r="D1169" s="56" t="s">
        <v>494</v>
      </c>
      <c r="E1169" s="66">
        <v>44972</v>
      </c>
      <c r="F1169" s="323" t="s">
        <v>24</v>
      </c>
      <c r="G1169" s="66">
        <v>44972</v>
      </c>
      <c r="H1169" s="35" t="s">
        <v>623</v>
      </c>
      <c r="I1169" s="21">
        <v>2122650</v>
      </c>
      <c r="J1169" s="21"/>
      <c r="K1169" s="22">
        <v>403303.5</v>
      </c>
      <c r="L1169" s="23"/>
      <c r="M1169" s="22">
        <v>0</v>
      </c>
      <c r="N1169" s="72">
        <v>2.5000000000000001E-2</v>
      </c>
      <c r="O1169" s="22">
        <v>53066.25</v>
      </c>
      <c r="P1169" s="21">
        <v>2472887.25</v>
      </c>
      <c r="S1169" s="101" t="b">
        <f>OR(COUNTIF(Tabla2[[#This Row],[PROVEEDOR]],"*"&amp;'Palabra no opera'!$A$2&amp;"*"))</f>
        <v>0</v>
      </c>
      <c r="T1169" s="113">
        <f>+$W$5-Tabla2[[#This Row],[FECHA DE FACTURACIÓN]]</f>
        <v>350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15" t="str">
        <f>+IF(AND(Tabla2[[#This Row],[venc]]="venc",Tabla2[[#This Row],[Columna1]]="por pagar"),"vencida","no")</f>
        <v>no</v>
      </c>
    </row>
    <row r="1170" spans="1:23" ht="15.75" x14ac:dyDescent="0.25">
      <c r="A1170" s="20">
        <v>30</v>
      </c>
      <c r="B1170" s="25">
        <v>840000</v>
      </c>
      <c r="C1170" s="25"/>
      <c r="D1170" s="56">
        <v>0</v>
      </c>
      <c r="E1170" s="66">
        <v>44969</v>
      </c>
      <c r="F1170" s="323" t="s">
        <v>318</v>
      </c>
      <c r="G1170" s="66">
        <v>44938</v>
      </c>
      <c r="H1170" s="35">
        <v>348</v>
      </c>
      <c r="I1170" s="21">
        <v>1044000</v>
      </c>
      <c r="J1170" s="21"/>
      <c r="K1170" s="22">
        <v>0</v>
      </c>
      <c r="L1170" s="23"/>
      <c r="M1170" s="22">
        <v>0</v>
      </c>
      <c r="N1170" s="72">
        <v>0</v>
      </c>
      <c r="O1170" s="22">
        <v>0</v>
      </c>
      <c r="P1170" s="21">
        <v>1044000</v>
      </c>
      <c r="S1170" s="101" t="b">
        <f>OR(COUNTIF(Tabla2[[#This Row],[PROVEEDOR]],"*"&amp;'Palabra no opera'!$A$2&amp;"*"))</f>
        <v>0</v>
      </c>
      <c r="T1170" s="113">
        <f>+$W$5-Tabla2[[#This Row],[FECHA DE FACTURACIÓN]]</f>
        <v>384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15" t="str">
        <f>+IF(AND(Tabla2[[#This Row],[venc]]="venc",Tabla2[[#This Row],[Columna1]]="por pagar"),"vencida","no")</f>
        <v>no</v>
      </c>
    </row>
    <row r="1171" spans="1:23" ht="15.75" x14ac:dyDescent="0.25">
      <c r="A1171" s="20">
        <v>30</v>
      </c>
      <c r="B1171" s="25">
        <v>0</v>
      </c>
      <c r="C1171" s="25"/>
      <c r="D1171" s="56" t="s">
        <v>104</v>
      </c>
      <c r="E1171" s="66">
        <v>44967</v>
      </c>
      <c r="F1171" s="323" t="s">
        <v>566</v>
      </c>
      <c r="G1171" s="66">
        <v>44967</v>
      </c>
      <c r="H1171" s="35" t="s">
        <v>643</v>
      </c>
      <c r="I1171" s="21">
        <v>578000</v>
      </c>
      <c r="J1171" s="21"/>
      <c r="K1171" s="22">
        <v>0</v>
      </c>
      <c r="L1171" s="23"/>
      <c r="M1171" s="22">
        <v>0</v>
      </c>
      <c r="N1171" s="72">
        <v>0</v>
      </c>
      <c r="O1171" s="22">
        <v>0</v>
      </c>
      <c r="P1171" s="21">
        <v>578000</v>
      </c>
      <c r="S1171" s="101" t="b">
        <f>OR(COUNTIF(Tabla2[[#This Row],[PROVEEDOR]],"*"&amp;'Palabra no opera'!$A$2&amp;"*"))</f>
        <v>0</v>
      </c>
      <c r="T1171" s="113">
        <f>+$W$5-Tabla2[[#This Row],[FECHA DE FACTURACIÓN]]</f>
        <v>355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15" t="str">
        <f>+IF(AND(Tabla2[[#This Row],[venc]]="venc",Tabla2[[#This Row],[Columna1]]="por pagar"),"vencida","no")</f>
        <v>no</v>
      </c>
    </row>
    <row r="1172" spans="1:23" ht="15.75" x14ac:dyDescent="0.25">
      <c r="A1172" s="20">
        <v>30</v>
      </c>
      <c r="B1172" s="25">
        <v>0</v>
      </c>
      <c r="C1172" s="25"/>
      <c r="D1172" s="56" t="s">
        <v>104</v>
      </c>
      <c r="E1172" s="66">
        <v>44966</v>
      </c>
      <c r="F1172" s="323" t="s">
        <v>277</v>
      </c>
      <c r="G1172" s="66">
        <v>44965</v>
      </c>
      <c r="H1172" s="35" t="s">
        <v>637</v>
      </c>
      <c r="I1172" s="21">
        <v>2710000</v>
      </c>
      <c r="J1172" s="21"/>
      <c r="K1172" s="22">
        <v>0</v>
      </c>
      <c r="L1172" s="23"/>
      <c r="M1172" s="22">
        <v>0</v>
      </c>
      <c r="N1172" s="72">
        <v>0</v>
      </c>
      <c r="O1172" s="22">
        <v>0</v>
      </c>
      <c r="P1172" s="21">
        <v>2710000</v>
      </c>
      <c r="S1172" s="101" t="b">
        <f>OR(COUNTIF(Tabla2[[#This Row],[PROVEEDOR]],"*"&amp;'Palabra no opera'!$A$2&amp;"*"))</f>
        <v>0</v>
      </c>
      <c r="T1172" s="113">
        <f>+$W$5-Tabla2[[#This Row],[FECHA DE FACTURACIÓN]]</f>
        <v>357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15" t="str">
        <f>+IF(AND(Tabla2[[#This Row],[venc]]="venc",Tabla2[[#This Row],[Columna1]]="por pagar"),"vencida","no")</f>
        <v>no</v>
      </c>
    </row>
    <row r="1173" spans="1:23" ht="15.75" x14ac:dyDescent="0.25">
      <c r="A1173" s="20">
        <v>0</v>
      </c>
      <c r="B1173" s="25">
        <v>0</v>
      </c>
      <c r="C1173" s="25"/>
      <c r="D1173" s="56" t="s">
        <v>132</v>
      </c>
      <c r="E1173" s="66">
        <v>44966</v>
      </c>
      <c r="F1173" s="323" t="s">
        <v>602</v>
      </c>
      <c r="G1173" s="66">
        <v>44958</v>
      </c>
      <c r="H1173" s="35">
        <v>1536</v>
      </c>
      <c r="I1173" s="21">
        <v>600000</v>
      </c>
      <c r="J1173" s="21"/>
      <c r="K1173" s="22">
        <v>0</v>
      </c>
      <c r="L1173" s="23"/>
      <c r="M1173" s="22">
        <v>0</v>
      </c>
      <c r="N1173" s="72">
        <v>0</v>
      </c>
      <c r="O1173" s="22">
        <v>0</v>
      </c>
      <c r="P1173" s="21">
        <v>600000</v>
      </c>
      <c r="S1173" s="101" t="b">
        <f>OR(COUNTIF(Tabla2[[#This Row],[PROVEEDOR]],"*"&amp;'Palabra no opera'!$A$2&amp;"*"))</f>
        <v>1</v>
      </c>
      <c r="T1173" s="113">
        <f>+$W$5-Tabla2[[#This Row],[FECHA DE FACTURACIÓN]]</f>
        <v>364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15" t="str">
        <f>+IF(AND(Tabla2[[#This Row],[venc]]="venc",Tabla2[[#This Row],[Columna1]]="por pagar"),"vencida","no")</f>
        <v>no</v>
      </c>
    </row>
    <row r="1174" spans="1:23" ht="15.75" x14ac:dyDescent="0.25">
      <c r="A1174" s="20">
        <v>30</v>
      </c>
      <c r="B1174" s="25">
        <v>0</v>
      </c>
      <c r="C1174" s="25"/>
      <c r="D1174" s="56" t="s">
        <v>104</v>
      </c>
      <c r="E1174" s="66">
        <v>44964</v>
      </c>
      <c r="F1174" s="323" t="s">
        <v>277</v>
      </c>
      <c r="G1174" s="66">
        <v>44963</v>
      </c>
      <c r="H1174" s="35">
        <v>2791</v>
      </c>
      <c r="I1174" s="21">
        <v>2470000</v>
      </c>
      <c r="J1174" s="21"/>
      <c r="K1174" s="22">
        <v>0</v>
      </c>
      <c r="L1174" s="23"/>
      <c r="M1174" s="22">
        <v>0</v>
      </c>
      <c r="N1174" s="72">
        <v>0</v>
      </c>
      <c r="O1174" s="22">
        <v>0</v>
      </c>
      <c r="P1174" s="21">
        <v>2470000</v>
      </c>
      <c r="S1174" s="101" t="b">
        <f>OR(COUNTIF(Tabla2[[#This Row],[PROVEEDOR]],"*"&amp;'Palabra no opera'!$A$2&amp;"*"))</f>
        <v>0</v>
      </c>
      <c r="T1174" s="113">
        <f>+$W$5-Tabla2[[#This Row],[FECHA DE FACTURACIÓN]]</f>
        <v>359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15" t="str">
        <f>+IF(AND(Tabla2[[#This Row],[venc]]="venc",Tabla2[[#This Row],[Columna1]]="por pagar"),"vencida","no")</f>
        <v>no</v>
      </c>
    </row>
    <row r="1175" spans="1:23" ht="15.75" x14ac:dyDescent="0.25">
      <c r="A1175" s="20">
        <v>30</v>
      </c>
      <c r="B1175" s="25">
        <v>0</v>
      </c>
      <c r="C1175" s="25"/>
      <c r="D1175" s="56" t="s">
        <v>104</v>
      </c>
      <c r="E1175" s="66">
        <v>44960</v>
      </c>
      <c r="F1175" s="323" t="s">
        <v>277</v>
      </c>
      <c r="G1175" s="66">
        <v>44959</v>
      </c>
      <c r="H1175" s="35">
        <v>2785</v>
      </c>
      <c r="I1175" s="21">
        <v>1814000</v>
      </c>
      <c r="J1175" s="21"/>
      <c r="K1175" s="22">
        <v>0</v>
      </c>
      <c r="L1175" s="23"/>
      <c r="M1175" s="22">
        <v>0</v>
      </c>
      <c r="N1175" s="72">
        <v>0</v>
      </c>
      <c r="O1175" s="22">
        <v>0</v>
      </c>
      <c r="P1175" s="21">
        <v>1814000</v>
      </c>
      <c r="S1175" s="101" t="b">
        <f>OR(COUNTIF(Tabla2[[#This Row],[PROVEEDOR]],"*"&amp;'Palabra no opera'!$A$2&amp;"*"))</f>
        <v>0</v>
      </c>
      <c r="T1175" s="113">
        <f>+$W$5-Tabla2[[#This Row],[FECHA DE FACTURACIÓN]]</f>
        <v>363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15" t="str">
        <f>+IF(AND(Tabla2[[#This Row],[venc]]="venc",Tabla2[[#This Row],[Columna1]]="por pagar"),"vencida","no")</f>
        <v>no</v>
      </c>
    </row>
    <row r="1176" spans="1:23" ht="15.75" x14ac:dyDescent="0.25">
      <c r="A1176" s="20">
        <v>30</v>
      </c>
      <c r="B1176" s="25">
        <v>0</v>
      </c>
      <c r="C1176" s="25"/>
      <c r="D1176" s="56" t="s">
        <v>106</v>
      </c>
      <c r="E1176" s="66">
        <v>44958</v>
      </c>
      <c r="F1176" s="323" t="s">
        <v>421</v>
      </c>
      <c r="G1176" s="66">
        <v>44931</v>
      </c>
      <c r="H1176" s="35" t="s">
        <v>557</v>
      </c>
      <c r="I1176" s="21">
        <v>398800</v>
      </c>
      <c r="J1176" s="21"/>
      <c r="K1176" s="22">
        <v>75772</v>
      </c>
      <c r="L1176" s="23"/>
      <c r="M1176" s="22">
        <v>0</v>
      </c>
      <c r="N1176" s="72">
        <v>0</v>
      </c>
      <c r="O1176" s="22">
        <v>0</v>
      </c>
      <c r="P1176" s="21">
        <v>474572</v>
      </c>
      <c r="S1176" s="101" t="b">
        <f>OR(COUNTIF(Tabla2[[#This Row],[PROVEEDOR]],"*"&amp;'Palabra no opera'!$A$2&amp;"*"))</f>
        <v>1</v>
      </c>
      <c r="T1176" s="113">
        <f>+$W$5-Tabla2[[#This Row],[FECHA DE FACTURACIÓN]]</f>
        <v>391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15" t="str">
        <f>+IF(AND(Tabla2[[#This Row],[venc]]="venc",Tabla2[[#This Row],[Columna1]]="por pagar"),"vencida","no")</f>
        <v>no</v>
      </c>
    </row>
    <row r="1177" spans="1:23" ht="15.75" x14ac:dyDescent="0.25">
      <c r="A1177" s="20">
        <v>30</v>
      </c>
      <c r="B1177" s="25">
        <v>0</v>
      </c>
      <c r="C1177" s="25"/>
      <c r="D1177" s="56" t="s">
        <v>104</v>
      </c>
      <c r="E1177" s="66">
        <v>44957</v>
      </c>
      <c r="F1177" s="323" t="s">
        <v>279</v>
      </c>
      <c r="G1177" s="66">
        <v>44957</v>
      </c>
      <c r="H1177" s="35" t="s">
        <v>517</v>
      </c>
      <c r="I1177" s="21">
        <v>1979300</v>
      </c>
      <c r="J1177" s="21"/>
      <c r="K1177" s="22">
        <v>0</v>
      </c>
      <c r="L1177" s="23"/>
      <c r="M1177" s="22">
        <v>0</v>
      </c>
      <c r="N1177" s="72">
        <v>0</v>
      </c>
      <c r="O1177" s="22">
        <v>0</v>
      </c>
      <c r="P1177" s="21">
        <v>1979300</v>
      </c>
      <c r="S1177" s="101" t="b">
        <f>OR(COUNTIF(Tabla2[[#This Row],[PROVEEDOR]],"*"&amp;'Palabra no opera'!$A$2&amp;"*"))</f>
        <v>0</v>
      </c>
      <c r="T1177" s="113">
        <f>+$W$5-Tabla2[[#This Row],[FECHA DE FACTURACIÓN]]</f>
        <v>365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15" t="str">
        <f>+IF(AND(Tabla2[[#This Row],[venc]]="venc",Tabla2[[#This Row],[Columna1]]="por pagar"),"vencida","no")</f>
        <v>no</v>
      </c>
    </row>
    <row r="1178" spans="1:23" ht="15.75" x14ac:dyDescent="0.25">
      <c r="A1178" s="20">
        <v>30</v>
      </c>
      <c r="B1178" s="25">
        <v>0</v>
      </c>
      <c r="C1178" s="25"/>
      <c r="D1178" s="56" t="s">
        <v>104</v>
      </c>
      <c r="E1178" s="66">
        <v>44957</v>
      </c>
      <c r="F1178" s="323" t="s">
        <v>279</v>
      </c>
      <c r="G1178" s="66">
        <v>44957</v>
      </c>
      <c r="H1178" s="35" t="s">
        <v>544</v>
      </c>
      <c r="I1178" s="21">
        <v>115930</v>
      </c>
      <c r="J1178" s="21"/>
      <c r="K1178" s="22">
        <v>0</v>
      </c>
      <c r="L1178" s="23"/>
      <c r="M1178" s="22">
        <v>0</v>
      </c>
      <c r="N1178" s="72">
        <v>0</v>
      </c>
      <c r="O1178" s="22">
        <v>0</v>
      </c>
      <c r="P1178" s="21">
        <v>115930</v>
      </c>
      <c r="S1178" s="101" t="b">
        <f>OR(COUNTIF(Tabla2[[#This Row],[PROVEEDOR]],"*"&amp;'Palabra no opera'!$A$2&amp;"*"))</f>
        <v>0</v>
      </c>
      <c r="T1178" s="113">
        <f>+$W$5-Tabla2[[#This Row],[FECHA DE FACTURACIÓN]]</f>
        <v>365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15" t="str">
        <f>+IF(AND(Tabla2[[#This Row],[venc]]="venc",Tabla2[[#This Row],[Columna1]]="por pagar"),"vencida","no")</f>
        <v>no</v>
      </c>
    </row>
    <row r="1179" spans="1:23" ht="15.75" x14ac:dyDescent="0.25">
      <c r="A1179" s="20">
        <v>30</v>
      </c>
      <c r="B1179" s="25">
        <v>0</v>
      </c>
      <c r="C1179" s="25"/>
      <c r="D1179" s="56" t="s">
        <v>104</v>
      </c>
      <c r="E1179" s="66">
        <v>44957</v>
      </c>
      <c r="F1179" s="323" t="s">
        <v>279</v>
      </c>
      <c r="G1179" s="66">
        <v>44957</v>
      </c>
      <c r="H1179" s="35" t="s">
        <v>518</v>
      </c>
      <c r="I1179" s="21">
        <v>177600</v>
      </c>
      <c r="J1179" s="21"/>
      <c r="K1179" s="22">
        <v>0</v>
      </c>
      <c r="L1179" s="23"/>
      <c r="M1179" s="22">
        <v>0</v>
      </c>
      <c r="N1179" s="72">
        <v>0</v>
      </c>
      <c r="O1179" s="22">
        <v>0</v>
      </c>
      <c r="P1179" s="21">
        <v>177600</v>
      </c>
      <c r="S1179" s="101" t="b">
        <f>OR(COUNTIF(Tabla2[[#This Row],[PROVEEDOR]],"*"&amp;'Palabra no opera'!$A$2&amp;"*"))</f>
        <v>0</v>
      </c>
      <c r="T1179" s="113">
        <f>+$W$5-Tabla2[[#This Row],[FECHA DE FACTURACIÓN]]</f>
        <v>365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15" t="str">
        <f>+IF(AND(Tabla2[[#This Row],[venc]]="venc",Tabla2[[#This Row],[Columna1]]="por pagar"),"vencida","no")</f>
        <v>no</v>
      </c>
    </row>
    <row r="1180" spans="1:23" ht="15.75" x14ac:dyDescent="0.25">
      <c r="A1180" s="20">
        <v>30</v>
      </c>
      <c r="B1180" s="25">
        <v>0</v>
      </c>
      <c r="C1180" s="25"/>
      <c r="D1180" s="56" t="s">
        <v>104</v>
      </c>
      <c r="E1180" s="66">
        <v>44957</v>
      </c>
      <c r="F1180" s="323" t="s">
        <v>279</v>
      </c>
      <c r="G1180" s="66">
        <v>44957</v>
      </c>
      <c r="H1180" s="35" t="s">
        <v>543</v>
      </c>
      <c r="I1180" s="21">
        <v>56000</v>
      </c>
      <c r="J1180" s="21"/>
      <c r="K1180" s="22">
        <v>0</v>
      </c>
      <c r="L1180" s="23"/>
      <c r="M1180" s="22">
        <v>0</v>
      </c>
      <c r="N1180" s="72">
        <v>0</v>
      </c>
      <c r="O1180" s="22">
        <v>0</v>
      </c>
      <c r="P1180" s="21">
        <v>56000</v>
      </c>
      <c r="S1180" s="101" t="b">
        <f>OR(COUNTIF(Tabla2[[#This Row],[PROVEEDOR]],"*"&amp;'Palabra no opera'!$A$2&amp;"*"))</f>
        <v>0</v>
      </c>
      <c r="T1180" s="113">
        <f>+$W$5-Tabla2[[#This Row],[FECHA DE FACTURACIÓN]]</f>
        <v>365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15" t="str">
        <f>+IF(AND(Tabla2[[#This Row],[venc]]="venc",Tabla2[[#This Row],[Columna1]]="por pagar"),"vencida","no")</f>
        <v>no</v>
      </c>
    </row>
    <row r="1181" spans="1:23" ht="15.75" x14ac:dyDescent="0.25">
      <c r="A1181" s="20">
        <v>30</v>
      </c>
      <c r="B1181" s="25">
        <v>0</v>
      </c>
      <c r="C1181" s="25"/>
      <c r="D1181" s="56" t="s">
        <v>104</v>
      </c>
      <c r="E1181" s="66">
        <v>44957</v>
      </c>
      <c r="F1181" s="323" t="s">
        <v>279</v>
      </c>
      <c r="G1181" s="66">
        <v>44957</v>
      </c>
      <c r="H1181" s="35" t="s">
        <v>516</v>
      </c>
      <c r="I1181" s="21">
        <v>586500</v>
      </c>
      <c r="J1181" s="21"/>
      <c r="K1181" s="22">
        <v>0</v>
      </c>
      <c r="L1181" s="23"/>
      <c r="M1181" s="22">
        <v>0</v>
      </c>
      <c r="N1181" s="72">
        <v>0</v>
      </c>
      <c r="O1181" s="22">
        <v>0</v>
      </c>
      <c r="P1181" s="21">
        <v>586500</v>
      </c>
      <c r="S1181" s="101" t="b">
        <f>OR(COUNTIF(Tabla2[[#This Row],[PROVEEDOR]],"*"&amp;'Palabra no opera'!$A$2&amp;"*"))</f>
        <v>0</v>
      </c>
      <c r="T1181" s="113">
        <f>+$W$5-Tabla2[[#This Row],[FECHA DE FACTURACIÓN]]</f>
        <v>365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15" t="str">
        <f>+IF(AND(Tabla2[[#This Row],[venc]]="venc",Tabla2[[#This Row],[Columna1]]="por pagar"),"vencida","no")</f>
        <v>no</v>
      </c>
    </row>
    <row r="1182" spans="1:23" ht="15.75" x14ac:dyDescent="0.25">
      <c r="A1182" s="20">
        <v>30</v>
      </c>
      <c r="B1182" s="25">
        <v>0</v>
      </c>
      <c r="C1182" s="25"/>
      <c r="D1182" s="56" t="s">
        <v>104</v>
      </c>
      <c r="E1182" s="66">
        <v>44957</v>
      </c>
      <c r="F1182" s="323" t="s">
        <v>279</v>
      </c>
      <c r="G1182" s="66">
        <v>44957</v>
      </c>
      <c r="H1182" s="35" t="s">
        <v>545</v>
      </c>
      <c r="I1182" s="21">
        <v>0</v>
      </c>
      <c r="J1182" s="21"/>
      <c r="K1182" s="22">
        <v>0</v>
      </c>
      <c r="L1182" s="23"/>
      <c r="M1182" s="22">
        <v>0</v>
      </c>
      <c r="N1182" s="72">
        <v>0</v>
      </c>
      <c r="O1182" s="22">
        <v>0</v>
      </c>
      <c r="P1182" s="21">
        <v>0</v>
      </c>
      <c r="S1182" s="101" t="b">
        <f>OR(COUNTIF(Tabla2[[#This Row],[PROVEEDOR]],"*"&amp;'Palabra no opera'!$A$2&amp;"*"))</f>
        <v>0</v>
      </c>
      <c r="T1182" s="113">
        <f>+$W$5-Tabla2[[#This Row],[FECHA DE FACTURACIÓN]]</f>
        <v>365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15" t="str">
        <f>+IF(AND(Tabla2[[#This Row],[venc]]="venc",Tabla2[[#This Row],[Columna1]]="por pagar"),"vencida","no")</f>
        <v>no</v>
      </c>
    </row>
    <row r="1183" spans="1:23" ht="15.75" x14ac:dyDescent="0.25">
      <c r="A1183" s="20">
        <v>30</v>
      </c>
      <c r="B1183" s="25">
        <v>0</v>
      </c>
      <c r="C1183" s="25"/>
      <c r="D1183" s="56" t="s">
        <v>104</v>
      </c>
      <c r="E1183" s="66">
        <v>44954</v>
      </c>
      <c r="F1183" s="323" t="s">
        <v>279</v>
      </c>
      <c r="G1183" s="66">
        <v>44954</v>
      </c>
      <c r="H1183" s="35" t="s">
        <v>571</v>
      </c>
      <c r="I1183" s="21">
        <v>771400</v>
      </c>
      <c r="J1183" s="21"/>
      <c r="K1183" s="22">
        <v>0</v>
      </c>
      <c r="L1183" s="23"/>
      <c r="M1183" s="22">
        <v>0</v>
      </c>
      <c r="N1183" s="72">
        <v>0</v>
      </c>
      <c r="O1183" s="22">
        <v>0</v>
      </c>
      <c r="P1183" s="21">
        <v>771400</v>
      </c>
      <c r="S1183" s="101" t="b">
        <f>OR(COUNTIF(Tabla2[[#This Row],[PROVEEDOR]],"*"&amp;'Palabra no opera'!$A$2&amp;"*"))</f>
        <v>0</v>
      </c>
      <c r="T1183" s="113">
        <f>+$W$5-Tabla2[[#This Row],[FECHA DE FACTURACIÓN]]</f>
        <v>368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15" t="str">
        <f>+IF(AND(Tabla2[[#This Row],[venc]]="venc",Tabla2[[#This Row],[Columna1]]="por pagar"),"vencida","no")</f>
        <v>no</v>
      </c>
    </row>
    <row r="1184" spans="1:23" ht="15.75" x14ac:dyDescent="0.25">
      <c r="A1184" s="20">
        <v>30</v>
      </c>
      <c r="B1184" s="25">
        <v>0</v>
      </c>
      <c r="C1184" s="25"/>
      <c r="D1184" s="56" t="s">
        <v>158</v>
      </c>
      <c r="E1184" s="66">
        <v>44953</v>
      </c>
      <c r="F1184" s="323" t="s">
        <v>486</v>
      </c>
      <c r="G1184" s="66">
        <v>44976</v>
      </c>
      <c r="H1184" s="35">
        <v>402</v>
      </c>
      <c r="I1184" s="21">
        <v>400000</v>
      </c>
      <c r="J1184" s="21"/>
      <c r="K1184" s="22">
        <v>0</v>
      </c>
      <c r="L1184" s="23"/>
      <c r="M1184" s="22">
        <v>0</v>
      </c>
      <c r="N1184" s="72">
        <v>0</v>
      </c>
      <c r="O1184" s="22">
        <v>0</v>
      </c>
      <c r="P1184" s="21">
        <v>400000</v>
      </c>
      <c r="S1184" s="101" t="b">
        <f>OR(COUNTIF(Tabla2[[#This Row],[PROVEEDOR]],"*"&amp;'Palabra no opera'!$A$2&amp;"*"))</f>
        <v>0</v>
      </c>
      <c r="T1184" s="113">
        <f>+$W$5-Tabla2[[#This Row],[FECHA DE FACTURACIÓN]]</f>
        <v>346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15" t="str">
        <f>+IF(AND(Tabla2[[#This Row],[venc]]="venc",Tabla2[[#This Row],[Columna1]]="por pagar"),"vencida","no")</f>
        <v>no</v>
      </c>
    </row>
    <row r="1185" spans="1:23" ht="15.75" x14ac:dyDescent="0.25">
      <c r="A1185" s="20">
        <v>30</v>
      </c>
      <c r="B1185" s="25">
        <v>0</v>
      </c>
      <c r="C1185" s="25"/>
      <c r="D1185" s="56" t="s">
        <v>158</v>
      </c>
      <c r="E1185" s="66">
        <v>44953</v>
      </c>
      <c r="F1185" s="323" t="s">
        <v>487</v>
      </c>
      <c r="G1185" s="66">
        <v>44976</v>
      </c>
      <c r="H1185" s="35" t="s">
        <v>627</v>
      </c>
      <c r="I1185" s="21">
        <v>330000</v>
      </c>
      <c r="J1185" s="21"/>
      <c r="K1185" s="22">
        <v>0</v>
      </c>
      <c r="L1185" s="23"/>
      <c r="M1185" s="22">
        <v>0</v>
      </c>
      <c r="N1185" s="72">
        <v>0.01</v>
      </c>
      <c r="O1185" s="22">
        <v>3300</v>
      </c>
      <c r="P1185" s="21">
        <v>326700</v>
      </c>
      <c r="S1185" s="101" t="b">
        <f>OR(COUNTIF(Tabla2[[#This Row],[PROVEEDOR]],"*"&amp;'Palabra no opera'!$A$2&amp;"*"))</f>
        <v>0</v>
      </c>
      <c r="T1185" s="113">
        <f>+$W$5-Tabla2[[#This Row],[FECHA DE FACTURACIÓN]]</f>
        <v>346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15" t="str">
        <f>+IF(AND(Tabla2[[#This Row],[venc]]="venc",Tabla2[[#This Row],[Columna1]]="por pagar"),"vencida","no")</f>
        <v>no</v>
      </c>
    </row>
    <row r="1186" spans="1:23" ht="15.75" x14ac:dyDescent="0.25">
      <c r="A1186" s="20">
        <v>30</v>
      </c>
      <c r="B1186" s="25">
        <v>0</v>
      </c>
      <c r="C1186" s="25"/>
      <c r="D1186" s="56" t="s">
        <v>505</v>
      </c>
      <c r="E1186" s="66">
        <v>44953</v>
      </c>
      <c r="F1186" s="323" t="s">
        <v>416</v>
      </c>
      <c r="G1186" s="66">
        <v>44928</v>
      </c>
      <c r="H1186" s="35" t="s">
        <v>559</v>
      </c>
      <c r="I1186" s="21">
        <v>3891260</v>
      </c>
      <c r="J1186" s="21"/>
      <c r="K1186" s="22">
        <v>739339.4</v>
      </c>
      <c r="L1186" s="23"/>
      <c r="M1186" s="22">
        <v>0</v>
      </c>
      <c r="N1186" s="72">
        <v>3.5000000000000003E-2</v>
      </c>
      <c r="O1186" s="22">
        <v>136194.1</v>
      </c>
      <c r="P1186" s="21">
        <v>4494405.3000000007</v>
      </c>
      <c r="S1186" s="101" t="b">
        <f>OR(COUNTIF(Tabla2[[#This Row],[PROVEEDOR]],"*"&amp;'Palabra no opera'!$A$2&amp;"*"))</f>
        <v>1</v>
      </c>
      <c r="T1186" s="113">
        <f>+$W$5-Tabla2[[#This Row],[FECHA DE FACTURACIÓN]]</f>
        <v>394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15" t="str">
        <f>+IF(AND(Tabla2[[#This Row],[venc]]="venc",Tabla2[[#This Row],[Columna1]]="por pagar"),"vencida","no")</f>
        <v>no</v>
      </c>
    </row>
    <row r="1187" spans="1:23" ht="15.75" x14ac:dyDescent="0.25">
      <c r="A1187" s="20">
        <v>10</v>
      </c>
      <c r="B1187" s="25">
        <v>0</v>
      </c>
      <c r="C1187" s="25"/>
      <c r="D1187" s="56" t="s">
        <v>523</v>
      </c>
      <c r="E1187" s="66">
        <v>44953</v>
      </c>
      <c r="F1187" s="323" t="s">
        <v>522</v>
      </c>
      <c r="G1187" s="66">
        <v>44928</v>
      </c>
      <c r="H1187" s="35" t="s">
        <v>560</v>
      </c>
      <c r="I1187" s="21">
        <v>4730000</v>
      </c>
      <c r="J1187" s="21"/>
      <c r="K1187" s="22">
        <v>898700</v>
      </c>
      <c r="L1187" s="23"/>
      <c r="M1187" s="22">
        <v>0</v>
      </c>
      <c r="N1187" s="72">
        <v>0</v>
      </c>
      <c r="O1187" s="22">
        <v>0</v>
      </c>
      <c r="P1187" s="21">
        <v>5628700</v>
      </c>
      <c r="S1187" s="101" t="b">
        <f>OR(COUNTIF(Tabla2[[#This Row],[PROVEEDOR]],"*"&amp;'Palabra no opera'!$A$2&amp;"*"))</f>
        <v>1</v>
      </c>
      <c r="T1187" s="113">
        <f>+$W$5-Tabla2[[#This Row],[FECHA DE FACTURACIÓN]]</f>
        <v>394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15" t="str">
        <f>+IF(AND(Tabla2[[#This Row],[venc]]="venc",Tabla2[[#This Row],[Columna1]]="por pagar"),"vencida","no")</f>
        <v>no</v>
      </c>
    </row>
    <row r="1188" spans="1:23" ht="15.75" x14ac:dyDescent="0.25">
      <c r="A1188" s="20">
        <v>30</v>
      </c>
      <c r="B1188" s="25">
        <v>0</v>
      </c>
      <c r="C1188" s="25"/>
      <c r="D1188" s="56" t="s">
        <v>284</v>
      </c>
      <c r="E1188" s="66">
        <v>44953</v>
      </c>
      <c r="F1188" s="323" t="s">
        <v>401</v>
      </c>
      <c r="G1188" s="66">
        <v>44927</v>
      </c>
      <c r="H1188" s="35" t="s">
        <v>558</v>
      </c>
      <c r="I1188" s="21">
        <v>3294426</v>
      </c>
      <c r="J1188" s="21"/>
      <c r="K1188" s="22">
        <v>625940.94000000006</v>
      </c>
      <c r="L1188" s="23"/>
      <c r="M1188" s="22">
        <v>0</v>
      </c>
      <c r="N1188" s="72">
        <v>0</v>
      </c>
      <c r="O1188" s="22">
        <v>0</v>
      </c>
      <c r="P1188" s="21">
        <v>3920366.94</v>
      </c>
      <c r="S1188" s="101" t="b">
        <f>OR(COUNTIF(Tabla2[[#This Row],[PROVEEDOR]],"*"&amp;'Palabra no opera'!$A$2&amp;"*"))</f>
        <v>1</v>
      </c>
      <c r="T1188" s="113">
        <f>+$W$5-Tabla2[[#This Row],[FECHA DE FACTURACIÓN]]</f>
        <v>395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15" t="str">
        <f>+IF(AND(Tabla2[[#This Row],[venc]]="venc",Tabla2[[#This Row],[Columna1]]="por pagar"),"vencida","no")</f>
        <v>no</v>
      </c>
    </row>
    <row r="1189" spans="1:23" ht="15.75" x14ac:dyDescent="0.25">
      <c r="A1189" s="20">
        <v>30</v>
      </c>
      <c r="B1189" s="25">
        <v>0</v>
      </c>
      <c r="C1189" s="25"/>
      <c r="D1189" s="56" t="s">
        <v>104</v>
      </c>
      <c r="E1189" s="66">
        <v>44952</v>
      </c>
      <c r="F1189" s="323" t="s">
        <v>277</v>
      </c>
      <c r="G1189" s="66">
        <v>44952</v>
      </c>
      <c r="H1189" s="35" t="s">
        <v>563</v>
      </c>
      <c r="I1189" s="21">
        <v>1193000</v>
      </c>
      <c r="J1189" s="21"/>
      <c r="K1189" s="22">
        <v>0</v>
      </c>
      <c r="L1189" s="23"/>
      <c r="M1189" s="22">
        <v>0</v>
      </c>
      <c r="N1189" s="72">
        <v>0</v>
      </c>
      <c r="O1189" s="22">
        <v>0</v>
      </c>
      <c r="P1189" s="21">
        <v>1193000</v>
      </c>
      <c r="S1189" s="101" t="b">
        <f>OR(COUNTIF(Tabla2[[#This Row],[PROVEEDOR]],"*"&amp;'Palabra no opera'!$A$2&amp;"*"))</f>
        <v>0</v>
      </c>
      <c r="T1189" s="113">
        <f>+$W$5-Tabla2[[#This Row],[FECHA DE FACTURACIÓN]]</f>
        <v>370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15" t="str">
        <f>+IF(AND(Tabla2[[#This Row],[venc]]="venc",Tabla2[[#This Row],[Columna1]]="por pagar"),"vencida","no")</f>
        <v>no</v>
      </c>
    </row>
    <row r="1190" spans="1:23" ht="15.75" x14ac:dyDescent="0.25">
      <c r="A1190" s="20">
        <v>30</v>
      </c>
      <c r="B1190" s="25">
        <v>0</v>
      </c>
      <c r="C1190" s="25"/>
      <c r="D1190" s="56" t="s">
        <v>158</v>
      </c>
      <c r="E1190" s="66">
        <v>44952</v>
      </c>
      <c r="F1190" s="323" t="s">
        <v>486</v>
      </c>
      <c r="G1190" s="66">
        <v>44945</v>
      </c>
      <c r="H1190" s="35">
        <v>394</v>
      </c>
      <c r="I1190" s="21">
        <v>300000</v>
      </c>
      <c r="J1190" s="21"/>
      <c r="K1190" s="22">
        <v>0</v>
      </c>
      <c r="L1190" s="23"/>
      <c r="M1190" s="22">
        <v>0</v>
      </c>
      <c r="N1190" s="72">
        <v>0</v>
      </c>
      <c r="O1190" s="22">
        <v>0</v>
      </c>
      <c r="P1190" s="21">
        <v>300000</v>
      </c>
      <c r="S1190" s="101" t="b">
        <f>OR(COUNTIF(Tabla2[[#This Row],[PROVEEDOR]],"*"&amp;'Palabra no opera'!$A$2&amp;"*"))</f>
        <v>0</v>
      </c>
      <c r="T1190" s="113">
        <f>+$W$5-Tabla2[[#This Row],[FECHA DE FACTURACIÓN]]</f>
        <v>377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15" t="str">
        <f>+IF(AND(Tabla2[[#This Row],[venc]]="venc",Tabla2[[#This Row],[Columna1]]="por pagar"),"vencida","no")</f>
        <v>no</v>
      </c>
    </row>
    <row r="1191" spans="1:23" ht="15.75" x14ac:dyDescent="0.25">
      <c r="A1191" s="20">
        <v>30</v>
      </c>
      <c r="B1191" s="25">
        <v>0</v>
      </c>
      <c r="C1191" s="25"/>
      <c r="D1191" s="56" t="s">
        <v>158</v>
      </c>
      <c r="E1191" s="66">
        <v>44952</v>
      </c>
      <c r="F1191" s="323" t="s">
        <v>487</v>
      </c>
      <c r="G1191" s="66">
        <v>44945</v>
      </c>
      <c r="H1191" s="35" t="s">
        <v>555</v>
      </c>
      <c r="I1191" s="21">
        <v>276000</v>
      </c>
      <c r="J1191" s="21"/>
      <c r="K1191" s="22">
        <v>0</v>
      </c>
      <c r="L1191" s="23"/>
      <c r="M1191" s="22">
        <v>0</v>
      </c>
      <c r="N1191" s="72">
        <v>0.01</v>
      </c>
      <c r="O1191" s="22">
        <v>2760</v>
      </c>
      <c r="P1191" s="21">
        <v>273240</v>
      </c>
      <c r="S1191" s="101" t="b">
        <f>OR(COUNTIF(Tabla2[[#This Row],[PROVEEDOR]],"*"&amp;'Palabra no opera'!$A$2&amp;"*"))</f>
        <v>0</v>
      </c>
      <c r="T1191" s="113">
        <f>+$W$5-Tabla2[[#This Row],[FECHA DE FACTURACIÓN]]</f>
        <v>377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15" t="str">
        <f>+IF(AND(Tabla2[[#This Row],[venc]]="venc",Tabla2[[#This Row],[Columna1]]="por pagar"),"vencida","no")</f>
        <v>no</v>
      </c>
    </row>
    <row r="1192" spans="1:23" ht="15.75" x14ac:dyDescent="0.25">
      <c r="A1192" s="20">
        <v>30</v>
      </c>
      <c r="B1192" s="25">
        <v>0</v>
      </c>
      <c r="C1192" s="25"/>
      <c r="D1192" s="56" t="s">
        <v>233</v>
      </c>
      <c r="E1192" s="66">
        <v>44952</v>
      </c>
      <c r="F1192" s="323" t="s">
        <v>413</v>
      </c>
      <c r="G1192" s="66">
        <v>44944</v>
      </c>
      <c r="H1192" s="35">
        <v>5652</v>
      </c>
      <c r="I1192" s="21">
        <v>3002200</v>
      </c>
      <c r="J1192" s="21"/>
      <c r="K1192" s="22">
        <v>0</v>
      </c>
      <c r="L1192" s="23"/>
      <c r="M1192" s="22">
        <v>0</v>
      </c>
      <c r="N1192" s="72">
        <v>3.5000000000000003E-2</v>
      </c>
      <c r="O1192" s="22">
        <v>105077.00000000001</v>
      </c>
      <c r="P1192" s="21">
        <v>2897123</v>
      </c>
      <c r="S1192" s="101" t="b">
        <f>OR(COUNTIF(Tabla2[[#This Row],[PROVEEDOR]],"*"&amp;'Palabra no opera'!$A$2&amp;"*"))</f>
        <v>1</v>
      </c>
      <c r="T1192" s="113">
        <f>+$W$5-Tabla2[[#This Row],[FECHA DE FACTURACIÓN]]</f>
        <v>378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15" t="str">
        <f>+IF(AND(Tabla2[[#This Row],[venc]]="venc",Tabla2[[#This Row],[Columna1]]="por pagar"),"vencida","no")</f>
        <v>no</v>
      </c>
    </row>
    <row r="1193" spans="1:23" ht="15.75" x14ac:dyDescent="0.25">
      <c r="A1193" s="20">
        <v>30</v>
      </c>
      <c r="B1193" s="25">
        <v>0</v>
      </c>
      <c r="C1193" s="25"/>
      <c r="D1193" s="56" t="s">
        <v>284</v>
      </c>
      <c r="E1193" s="66">
        <v>44952</v>
      </c>
      <c r="F1193" s="323" t="s">
        <v>401</v>
      </c>
      <c r="G1193" s="66">
        <v>44931</v>
      </c>
      <c r="H1193" s="35" t="s">
        <v>769</v>
      </c>
      <c r="I1193" s="21">
        <v>895663</v>
      </c>
      <c r="J1193" s="21"/>
      <c r="K1193" s="22">
        <v>170175.97</v>
      </c>
      <c r="L1193" s="23"/>
      <c r="M1193" s="22">
        <v>0</v>
      </c>
      <c r="N1193" s="72">
        <v>0</v>
      </c>
      <c r="O1193" s="22">
        <v>0</v>
      </c>
      <c r="P1193" s="21">
        <v>1065838.97</v>
      </c>
      <c r="S1193" s="101" t="b">
        <f>OR(COUNTIF(Tabla2[[#This Row],[PROVEEDOR]],"*"&amp;'Palabra no opera'!$A$2&amp;"*"))</f>
        <v>1</v>
      </c>
      <c r="T1193" s="113">
        <f>+$W$5-Tabla2[[#This Row],[FECHA DE FACTURACIÓN]]</f>
        <v>391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15" t="str">
        <f>+IF(AND(Tabla2[[#This Row],[venc]]="venc",Tabla2[[#This Row],[Columna1]]="por pagar"),"vencida","no")</f>
        <v>no</v>
      </c>
    </row>
    <row r="1194" spans="1:23" ht="15.75" x14ac:dyDescent="0.25">
      <c r="A1194" s="20">
        <v>30</v>
      </c>
      <c r="B1194" s="25">
        <v>0</v>
      </c>
      <c r="C1194" s="25"/>
      <c r="D1194" s="56" t="s">
        <v>449</v>
      </c>
      <c r="E1194" s="66">
        <v>44952</v>
      </c>
      <c r="F1194" s="323" t="s">
        <v>415</v>
      </c>
      <c r="G1194" s="66">
        <v>44931</v>
      </c>
      <c r="H1194" s="35" t="s">
        <v>552</v>
      </c>
      <c r="I1194" s="21">
        <v>68166</v>
      </c>
      <c r="J1194" s="21"/>
      <c r="K1194" s="22">
        <v>0</v>
      </c>
      <c r="L1194" s="23"/>
      <c r="M1194" s="22">
        <v>0</v>
      </c>
      <c r="N1194" s="72">
        <v>0</v>
      </c>
      <c r="O1194" s="22">
        <v>0</v>
      </c>
      <c r="P1194" s="21">
        <v>68166</v>
      </c>
      <c r="S1194" s="101" t="b">
        <f>OR(COUNTIF(Tabla2[[#This Row],[PROVEEDOR]],"*"&amp;'Palabra no opera'!$A$2&amp;"*"))</f>
        <v>1</v>
      </c>
      <c r="T1194" s="113">
        <f>+$W$5-Tabla2[[#This Row],[FECHA DE FACTURACIÓN]]</f>
        <v>391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15" t="str">
        <f>+IF(AND(Tabla2[[#This Row],[venc]]="venc",Tabla2[[#This Row],[Columna1]]="por pagar"),"vencida","no")</f>
        <v>no</v>
      </c>
    </row>
    <row r="1195" spans="1:23" ht="15.75" x14ac:dyDescent="0.25">
      <c r="A1195" s="20">
        <v>30</v>
      </c>
      <c r="B1195" s="25">
        <v>0</v>
      </c>
      <c r="C1195" s="25"/>
      <c r="D1195" s="56" t="s">
        <v>449</v>
      </c>
      <c r="E1195" s="66">
        <v>44952</v>
      </c>
      <c r="F1195" s="323" t="s">
        <v>415</v>
      </c>
      <c r="G1195" s="66">
        <v>44931</v>
      </c>
      <c r="H1195" s="35" t="s">
        <v>554</v>
      </c>
      <c r="I1195" s="21">
        <v>59583</v>
      </c>
      <c r="J1195" s="21"/>
      <c r="K1195" s="22">
        <v>0</v>
      </c>
      <c r="L1195" s="23"/>
      <c r="M1195" s="22">
        <v>0</v>
      </c>
      <c r="N1195" s="72">
        <v>0</v>
      </c>
      <c r="O1195" s="22">
        <v>0</v>
      </c>
      <c r="P1195" s="21">
        <v>59583</v>
      </c>
      <c r="S1195" s="101" t="b">
        <f>OR(COUNTIF(Tabla2[[#This Row],[PROVEEDOR]],"*"&amp;'Palabra no opera'!$A$2&amp;"*"))</f>
        <v>1</v>
      </c>
      <c r="T1195" s="113">
        <f>+$W$5-Tabla2[[#This Row],[FECHA DE FACTURACIÓN]]</f>
        <v>391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15" t="str">
        <f>+IF(AND(Tabla2[[#This Row],[venc]]="venc",Tabla2[[#This Row],[Columna1]]="por pagar"),"vencida","no")</f>
        <v>no</v>
      </c>
    </row>
    <row r="1196" spans="1:23" ht="15.75" x14ac:dyDescent="0.25">
      <c r="A1196" s="20">
        <v>30</v>
      </c>
      <c r="B1196" s="25">
        <v>0</v>
      </c>
      <c r="C1196" s="25"/>
      <c r="D1196" s="56" t="s">
        <v>449</v>
      </c>
      <c r="E1196" s="66">
        <v>44952</v>
      </c>
      <c r="F1196" s="323" t="s">
        <v>415</v>
      </c>
      <c r="G1196" s="66">
        <v>44930</v>
      </c>
      <c r="H1196" s="35" t="s">
        <v>551</v>
      </c>
      <c r="I1196" s="21">
        <v>949891</v>
      </c>
      <c r="J1196" s="21"/>
      <c r="K1196" s="22">
        <v>0</v>
      </c>
      <c r="L1196" s="23"/>
      <c r="M1196" s="22">
        <v>0</v>
      </c>
      <c r="N1196" s="72">
        <v>0</v>
      </c>
      <c r="O1196" s="22">
        <v>0</v>
      </c>
      <c r="P1196" s="21">
        <v>949891</v>
      </c>
      <c r="S1196" s="101" t="b">
        <f>OR(COUNTIF(Tabla2[[#This Row],[PROVEEDOR]],"*"&amp;'Palabra no opera'!$A$2&amp;"*"))</f>
        <v>1</v>
      </c>
      <c r="T1196" s="113">
        <f>+$W$5-Tabla2[[#This Row],[FECHA DE FACTURACIÓN]]</f>
        <v>392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15" t="str">
        <f>+IF(AND(Tabla2[[#This Row],[venc]]="venc",Tabla2[[#This Row],[Columna1]]="por pagar"),"vencida","no")</f>
        <v>no</v>
      </c>
    </row>
    <row r="1197" spans="1:23" ht="15.75" x14ac:dyDescent="0.25">
      <c r="A1197" s="20">
        <v>30</v>
      </c>
      <c r="B1197" s="25">
        <v>0</v>
      </c>
      <c r="C1197" s="25"/>
      <c r="D1197" s="56" t="s">
        <v>449</v>
      </c>
      <c r="E1197" s="66">
        <v>44952</v>
      </c>
      <c r="F1197" s="323" t="s">
        <v>415</v>
      </c>
      <c r="G1197" s="66">
        <v>44930</v>
      </c>
      <c r="H1197" s="35" t="s">
        <v>553</v>
      </c>
      <c r="I1197" s="21">
        <v>928304</v>
      </c>
      <c r="J1197" s="21"/>
      <c r="K1197" s="22">
        <v>0</v>
      </c>
      <c r="L1197" s="23"/>
      <c r="M1197" s="22">
        <v>0</v>
      </c>
      <c r="N1197" s="72">
        <v>0</v>
      </c>
      <c r="O1197" s="22">
        <v>0</v>
      </c>
      <c r="P1197" s="21">
        <v>928304</v>
      </c>
      <c r="S1197" s="101" t="b">
        <f>OR(COUNTIF(Tabla2[[#This Row],[PROVEEDOR]],"*"&amp;'Palabra no opera'!$A$2&amp;"*"))</f>
        <v>1</v>
      </c>
      <c r="T1197" s="113">
        <f>+$W$5-Tabla2[[#This Row],[FECHA DE FACTURACIÓN]]</f>
        <v>392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15" t="str">
        <f>+IF(AND(Tabla2[[#This Row],[venc]]="venc",Tabla2[[#This Row],[Columna1]]="por pagar"),"vencida","no")</f>
        <v>no</v>
      </c>
    </row>
    <row r="1198" spans="1:23" ht="15.75" x14ac:dyDescent="0.25">
      <c r="A1198" s="20">
        <v>30</v>
      </c>
      <c r="B1198" s="25">
        <v>0</v>
      </c>
      <c r="C1198" s="25"/>
      <c r="D1198" s="56" t="s">
        <v>174</v>
      </c>
      <c r="E1198" s="66">
        <v>44952</v>
      </c>
      <c r="F1198" s="323" t="s">
        <v>427</v>
      </c>
      <c r="G1198" s="66">
        <v>44928</v>
      </c>
      <c r="H1198" s="35" t="s">
        <v>556</v>
      </c>
      <c r="I1198" s="21">
        <v>242340</v>
      </c>
      <c r="J1198" s="21"/>
      <c r="K1198" s="22">
        <v>46044.6</v>
      </c>
      <c r="L1198" s="23"/>
      <c r="M1198" s="22">
        <v>0</v>
      </c>
      <c r="N1198" s="72">
        <v>3.5000000000000003E-2</v>
      </c>
      <c r="O1198" s="22">
        <v>8481.9000000000015</v>
      </c>
      <c r="P1198" s="21">
        <v>279902.69999999995</v>
      </c>
      <c r="S1198" s="101" t="b">
        <f>OR(COUNTIF(Tabla2[[#This Row],[PROVEEDOR]],"*"&amp;'Palabra no opera'!$A$2&amp;"*"))</f>
        <v>1</v>
      </c>
      <c r="T1198" s="113">
        <f>+$W$5-Tabla2[[#This Row],[FECHA DE FACTURACIÓN]]</f>
        <v>394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15" t="str">
        <f>+IF(AND(Tabla2[[#This Row],[venc]]="venc",Tabla2[[#This Row],[Columna1]]="por pagar"),"vencida","no")</f>
        <v>no</v>
      </c>
    </row>
    <row r="1199" spans="1:23" ht="15.75" x14ac:dyDescent="0.25">
      <c r="A1199" s="20">
        <v>30</v>
      </c>
      <c r="B1199" s="25">
        <v>0</v>
      </c>
      <c r="C1199" s="25"/>
      <c r="D1199" s="56" t="s">
        <v>104</v>
      </c>
      <c r="E1199" s="66">
        <v>44949</v>
      </c>
      <c r="F1199" s="323" t="s">
        <v>277</v>
      </c>
      <c r="G1199" s="66">
        <v>44949</v>
      </c>
      <c r="H1199" s="35" t="s">
        <v>565</v>
      </c>
      <c r="I1199" s="21">
        <v>1883000</v>
      </c>
      <c r="J1199" s="21"/>
      <c r="K1199" s="22">
        <v>0</v>
      </c>
      <c r="L1199" s="23"/>
      <c r="M1199" s="22">
        <v>0</v>
      </c>
      <c r="N1199" s="72">
        <v>0</v>
      </c>
      <c r="O1199" s="22">
        <v>0</v>
      </c>
      <c r="P1199" s="21">
        <v>1883000</v>
      </c>
      <c r="S1199" s="101" t="b">
        <f>OR(COUNTIF(Tabla2[[#This Row],[PROVEEDOR]],"*"&amp;'Palabra no opera'!$A$2&amp;"*"))</f>
        <v>0</v>
      </c>
      <c r="T1199" s="113">
        <f>+$W$5-Tabla2[[#This Row],[FECHA DE FACTURACIÓN]]</f>
        <v>373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15" t="str">
        <f>+IF(AND(Tabla2[[#This Row],[venc]]="venc",Tabla2[[#This Row],[Columna1]]="por pagar"),"vencida","no")</f>
        <v>no</v>
      </c>
    </row>
    <row r="1200" spans="1:23" ht="15.75" x14ac:dyDescent="0.25">
      <c r="A1200" s="20">
        <v>30</v>
      </c>
      <c r="B1200" s="25">
        <v>0</v>
      </c>
      <c r="C1200" s="25"/>
      <c r="D1200" s="56" t="s">
        <v>1561</v>
      </c>
      <c r="E1200" s="66">
        <v>44949</v>
      </c>
      <c r="F1200" s="323" t="s">
        <v>203</v>
      </c>
      <c r="G1200" s="66">
        <v>44949</v>
      </c>
      <c r="H1200" s="35" t="s">
        <v>561</v>
      </c>
      <c r="I1200" s="21">
        <v>2110000</v>
      </c>
      <c r="J1200" s="21"/>
      <c r="K1200" s="22">
        <v>0</v>
      </c>
      <c r="L1200" s="23"/>
      <c r="M1200" s="22">
        <v>0</v>
      </c>
      <c r="N1200" s="72">
        <v>0</v>
      </c>
      <c r="O1200" s="22">
        <v>0</v>
      </c>
      <c r="P1200" s="21">
        <v>2110000</v>
      </c>
      <c r="S1200" s="101" t="b">
        <f>OR(COUNTIF(Tabla2[[#This Row],[PROVEEDOR]],"*"&amp;'Palabra no opera'!$A$2&amp;"*"))</f>
        <v>0</v>
      </c>
      <c r="T1200" s="113">
        <f>+$W$5-Tabla2[[#This Row],[FECHA DE FACTURACIÓN]]</f>
        <v>373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15" t="str">
        <f>+IF(AND(Tabla2[[#This Row],[venc]]="venc",Tabla2[[#This Row],[Columna1]]="por pagar"),"vencida","no")</f>
        <v>no</v>
      </c>
    </row>
    <row r="1201" spans="1:23" ht="15.75" x14ac:dyDescent="0.25">
      <c r="A1201" s="20">
        <v>60</v>
      </c>
      <c r="B1201" s="25">
        <v>14884783</v>
      </c>
      <c r="C1201" s="25"/>
      <c r="D1201" s="56" t="s">
        <v>432</v>
      </c>
      <c r="E1201" s="66">
        <v>44948</v>
      </c>
      <c r="F1201" s="323" t="s">
        <v>76</v>
      </c>
      <c r="G1201" s="66">
        <v>45252</v>
      </c>
      <c r="H1201" s="35" t="s">
        <v>1517</v>
      </c>
      <c r="I1201" s="21">
        <v>-504202</v>
      </c>
      <c r="J1201" s="21"/>
      <c r="K1201" s="22">
        <v>-95798.38</v>
      </c>
      <c r="L1201" s="23"/>
      <c r="M1201" s="22">
        <v>0</v>
      </c>
      <c r="N1201" s="72">
        <v>0</v>
      </c>
      <c r="O1201" s="22">
        <v>0</v>
      </c>
      <c r="P1201" s="21">
        <v>-600000.38</v>
      </c>
      <c r="S1201" s="101" t="b">
        <f>OR(COUNTIF(Tabla2[[#This Row],[PROVEEDOR]],"*"&amp;'Palabra no opera'!$A$2&amp;"*"))</f>
        <v>0</v>
      </c>
      <c r="T1201" s="113">
        <f>+$W$5-Tabla2[[#This Row],[FECHA DE FACTURACIÓN]]</f>
        <v>70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15" t="str">
        <f>+IF(AND(Tabla2[[#This Row],[venc]]="venc",Tabla2[[#This Row],[Columna1]]="por pagar"),"vencida","no")</f>
        <v>no</v>
      </c>
    </row>
    <row r="1202" spans="1:23" ht="15.75" x14ac:dyDescent="0.25">
      <c r="A1202" s="20">
        <v>30</v>
      </c>
      <c r="B1202" s="25">
        <v>0</v>
      </c>
      <c r="C1202" s="25"/>
      <c r="D1202" s="56" t="s">
        <v>104</v>
      </c>
      <c r="E1202" s="66">
        <v>44947</v>
      </c>
      <c r="F1202" s="323" t="s">
        <v>291</v>
      </c>
      <c r="G1202" s="66">
        <v>44947</v>
      </c>
      <c r="H1202" s="35" t="s">
        <v>570</v>
      </c>
      <c r="I1202" s="21">
        <v>840000</v>
      </c>
      <c r="J1202" s="21"/>
      <c r="K1202" s="22">
        <v>0</v>
      </c>
      <c r="L1202" s="23"/>
      <c r="M1202" s="22">
        <v>0</v>
      </c>
      <c r="N1202" s="72">
        <v>0</v>
      </c>
      <c r="O1202" s="22">
        <v>0</v>
      </c>
      <c r="P1202" s="21">
        <v>840000</v>
      </c>
      <c r="S1202" s="101" t="b">
        <f>OR(COUNTIF(Tabla2[[#This Row],[PROVEEDOR]],"*"&amp;'Palabra no opera'!$A$2&amp;"*"))</f>
        <v>0</v>
      </c>
      <c r="T1202" s="113">
        <f>+$W$5-Tabla2[[#This Row],[FECHA DE FACTURACIÓN]]</f>
        <v>375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15" t="str">
        <f>+IF(AND(Tabla2[[#This Row],[venc]]="venc",Tabla2[[#This Row],[Columna1]]="por pagar"),"vencida","no")</f>
        <v>no</v>
      </c>
    </row>
    <row r="1203" spans="1:23" ht="15.75" x14ac:dyDescent="0.25">
      <c r="A1203" s="20">
        <v>30</v>
      </c>
      <c r="B1203" s="25">
        <v>0</v>
      </c>
      <c r="C1203" s="25"/>
      <c r="D1203" s="56" t="s">
        <v>104</v>
      </c>
      <c r="E1203" s="66">
        <v>44946</v>
      </c>
      <c r="F1203" s="323" t="s">
        <v>566</v>
      </c>
      <c r="G1203" s="66">
        <v>44946</v>
      </c>
      <c r="H1203" s="35" t="s">
        <v>567</v>
      </c>
      <c r="I1203" s="21">
        <v>69000</v>
      </c>
      <c r="J1203" s="21"/>
      <c r="K1203" s="22">
        <v>0</v>
      </c>
      <c r="L1203" s="23"/>
      <c r="M1203" s="22">
        <v>0</v>
      </c>
      <c r="N1203" s="72">
        <v>0</v>
      </c>
      <c r="O1203" s="22">
        <v>0</v>
      </c>
      <c r="P1203" s="21">
        <v>69000</v>
      </c>
      <c r="S1203" s="101" t="b">
        <f>OR(COUNTIF(Tabla2[[#This Row],[PROVEEDOR]],"*"&amp;'Palabra no opera'!$A$2&amp;"*"))</f>
        <v>0</v>
      </c>
      <c r="T1203" s="113">
        <f>+$W$5-Tabla2[[#This Row],[FECHA DE FACTURACIÓN]]</f>
        <v>376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15" t="str">
        <f>+IF(AND(Tabla2[[#This Row],[venc]]="venc",Tabla2[[#This Row],[Columna1]]="por pagar"),"vencida","no")</f>
        <v>no</v>
      </c>
    </row>
    <row r="1204" spans="1:23" ht="15.75" x14ac:dyDescent="0.25">
      <c r="A1204" s="20">
        <v>30</v>
      </c>
      <c r="B1204" s="25">
        <v>0</v>
      </c>
      <c r="C1204" s="25"/>
      <c r="D1204" s="56" t="s">
        <v>300</v>
      </c>
      <c r="E1204" s="66">
        <v>44946</v>
      </c>
      <c r="F1204" s="323" t="s">
        <v>409</v>
      </c>
      <c r="G1204" s="66">
        <v>44929</v>
      </c>
      <c r="H1204" s="35" t="s">
        <v>550</v>
      </c>
      <c r="I1204" s="21">
        <v>337254</v>
      </c>
      <c r="J1204" s="21">
        <v>9886.2900000000009</v>
      </c>
      <c r="K1204" s="22">
        <v>0</v>
      </c>
      <c r="L1204" s="23"/>
      <c r="M1204" s="22">
        <v>0</v>
      </c>
      <c r="N1204" s="72">
        <v>0</v>
      </c>
      <c r="O1204" s="22">
        <v>0</v>
      </c>
      <c r="P1204" s="21">
        <v>327367.71000000002</v>
      </c>
      <c r="S1204" s="101" t="b">
        <f>OR(COUNTIF(Tabla2[[#This Row],[PROVEEDOR]],"*"&amp;'Palabra no opera'!$A$2&amp;"*"))</f>
        <v>1</v>
      </c>
      <c r="T1204" s="113">
        <f>+$W$5-Tabla2[[#This Row],[FECHA DE FACTURACIÓN]]</f>
        <v>393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15" t="str">
        <f>+IF(AND(Tabla2[[#This Row],[venc]]="venc",Tabla2[[#This Row],[Columna1]]="por pagar"),"vencida","no")</f>
        <v>no</v>
      </c>
    </row>
    <row r="1205" spans="1:23" ht="15.75" x14ac:dyDescent="0.25">
      <c r="A1205" s="20">
        <v>30</v>
      </c>
      <c r="B1205" s="25">
        <v>0</v>
      </c>
      <c r="C1205" s="25"/>
      <c r="D1205" s="56" t="s">
        <v>104</v>
      </c>
      <c r="E1205" s="66">
        <v>44943</v>
      </c>
      <c r="F1205" s="323" t="s">
        <v>279</v>
      </c>
      <c r="G1205" s="66">
        <v>44943</v>
      </c>
      <c r="H1205" s="35" t="s">
        <v>572</v>
      </c>
      <c r="I1205" s="21">
        <v>1055879</v>
      </c>
      <c r="J1205" s="21"/>
      <c r="K1205" s="22">
        <v>0</v>
      </c>
      <c r="L1205" s="23"/>
      <c r="M1205" s="22">
        <v>0</v>
      </c>
      <c r="N1205" s="72">
        <v>0</v>
      </c>
      <c r="O1205" s="22">
        <v>0</v>
      </c>
      <c r="P1205" s="21">
        <v>1055879</v>
      </c>
      <c r="S1205" s="101" t="b">
        <f>OR(COUNTIF(Tabla2[[#This Row],[PROVEEDOR]],"*"&amp;'Palabra no opera'!$A$2&amp;"*"))</f>
        <v>0</v>
      </c>
      <c r="T1205" s="113">
        <f>+$W$5-Tabla2[[#This Row],[FECHA DE FACTURACIÓN]]</f>
        <v>379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15" t="str">
        <f>+IF(AND(Tabla2[[#This Row],[venc]]="venc",Tabla2[[#This Row],[Columna1]]="por pagar"),"vencida","no")</f>
        <v>no</v>
      </c>
    </row>
    <row r="1206" spans="1:23" ht="15.75" x14ac:dyDescent="0.25">
      <c r="A1206" s="20">
        <v>30</v>
      </c>
      <c r="B1206" s="25">
        <v>0</v>
      </c>
      <c r="C1206" s="25"/>
      <c r="D1206" s="56" t="s">
        <v>1508</v>
      </c>
      <c r="E1206" s="66">
        <v>44942</v>
      </c>
      <c r="F1206" s="323" t="s">
        <v>406</v>
      </c>
      <c r="G1206" s="66">
        <v>44928</v>
      </c>
      <c r="H1206" s="35" t="s">
        <v>547</v>
      </c>
      <c r="I1206" s="21">
        <v>1866320</v>
      </c>
      <c r="J1206" s="21"/>
      <c r="K1206" s="22">
        <v>0</v>
      </c>
      <c r="L1206" s="23">
        <v>4.8871499999999998E-2</v>
      </c>
      <c r="M1206" s="22">
        <v>91209.857879999996</v>
      </c>
      <c r="N1206" s="72">
        <v>0</v>
      </c>
      <c r="O1206" s="22">
        <v>0</v>
      </c>
      <c r="P1206" s="21">
        <v>1775110.14212</v>
      </c>
      <c r="S1206" s="101" t="b">
        <f>OR(COUNTIF(Tabla2[[#This Row],[PROVEEDOR]],"*"&amp;'Palabra no opera'!$A$2&amp;"*"))</f>
        <v>1</v>
      </c>
      <c r="T1206" s="113">
        <f>+$W$5-Tabla2[[#This Row],[FECHA DE FACTURACIÓN]]</f>
        <v>394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15" t="str">
        <f>+IF(AND(Tabla2[[#This Row],[venc]]="venc",Tabla2[[#This Row],[Columna1]]="por pagar"),"vencida","no")</f>
        <v>no</v>
      </c>
    </row>
    <row r="1207" spans="1:23" ht="15.75" x14ac:dyDescent="0.25">
      <c r="A1207" s="20">
        <v>30</v>
      </c>
      <c r="B1207" s="25">
        <v>0</v>
      </c>
      <c r="C1207" s="25"/>
      <c r="D1207" s="56" t="s">
        <v>104</v>
      </c>
      <c r="E1207" s="66">
        <v>44940</v>
      </c>
      <c r="F1207" s="323" t="s">
        <v>277</v>
      </c>
      <c r="G1207" s="66">
        <v>44940</v>
      </c>
      <c r="H1207" s="35" t="s">
        <v>564</v>
      </c>
      <c r="I1207" s="21">
        <v>896000</v>
      </c>
      <c r="J1207" s="21"/>
      <c r="K1207" s="22">
        <v>0</v>
      </c>
      <c r="L1207" s="23"/>
      <c r="M1207" s="22">
        <v>0</v>
      </c>
      <c r="N1207" s="72">
        <v>0</v>
      </c>
      <c r="O1207" s="22">
        <v>0</v>
      </c>
      <c r="P1207" s="21">
        <v>896000</v>
      </c>
      <c r="S1207" s="101" t="b">
        <f>OR(COUNTIF(Tabla2[[#This Row],[PROVEEDOR]],"*"&amp;'Palabra no opera'!$A$2&amp;"*"))</f>
        <v>0</v>
      </c>
      <c r="T1207" s="113">
        <f>+$W$5-Tabla2[[#This Row],[FECHA DE FACTURACIÓN]]</f>
        <v>382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15" t="str">
        <f>+IF(AND(Tabla2[[#This Row],[venc]]="venc",Tabla2[[#This Row],[Columna1]]="por pagar"),"vencida","no")</f>
        <v>no</v>
      </c>
    </row>
    <row r="1208" spans="1:23" ht="15.75" x14ac:dyDescent="0.25">
      <c r="A1208" s="20">
        <v>30</v>
      </c>
      <c r="B1208" s="25">
        <v>0</v>
      </c>
      <c r="C1208" s="25"/>
      <c r="D1208" s="56" t="s">
        <v>104</v>
      </c>
      <c r="E1208" s="66">
        <v>44931</v>
      </c>
      <c r="F1208" s="323" t="s">
        <v>311</v>
      </c>
      <c r="G1208" s="66">
        <v>44931</v>
      </c>
      <c r="H1208" s="35" t="s">
        <v>569</v>
      </c>
      <c r="I1208" s="21">
        <v>3875760</v>
      </c>
      <c r="J1208" s="21"/>
      <c r="K1208" s="22">
        <v>0</v>
      </c>
      <c r="L1208" s="23"/>
      <c r="M1208" s="22">
        <v>0</v>
      </c>
      <c r="N1208" s="72">
        <v>0</v>
      </c>
      <c r="O1208" s="22">
        <v>0</v>
      </c>
      <c r="P1208" s="21">
        <v>3875760</v>
      </c>
      <c r="S1208" s="101" t="b">
        <f>OR(COUNTIF(Tabla2[[#This Row],[PROVEEDOR]],"*"&amp;'Palabra no opera'!$A$2&amp;"*"))</f>
        <v>0</v>
      </c>
      <c r="T1208" s="113">
        <f>+$W$5-Tabla2[[#This Row],[FECHA DE FACTURACIÓN]]</f>
        <v>391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15" t="str">
        <f>+IF(AND(Tabla2[[#This Row],[venc]]="venc",Tabla2[[#This Row],[Columna1]]="por pagar"),"vencida","no")</f>
        <v>no</v>
      </c>
    </row>
    <row r="1209" spans="1:23" ht="15.75" x14ac:dyDescent="0.25">
      <c r="A1209" s="20">
        <v>30</v>
      </c>
      <c r="B1209" s="25">
        <v>12328400</v>
      </c>
      <c r="C1209" s="25"/>
      <c r="D1209" s="56" t="s">
        <v>171</v>
      </c>
      <c r="E1209" s="66"/>
      <c r="F1209" s="323" t="s">
        <v>485</v>
      </c>
      <c r="G1209" s="66">
        <v>45322</v>
      </c>
      <c r="H1209" s="35" t="s">
        <v>1571</v>
      </c>
      <c r="I1209" s="21">
        <v>5400000</v>
      </c>
      <c r="J1209" s="21"/>
      <c r="K1209" s="22">
        <v>1026000</v>
      </c>
      <c r="L1209" s="23"/>
      <c r="M1209" s="22">
        <v>0</v>
      </c>
      <c r="N1209" s="72">
        <v>0</v>
      </c>
      <c r="O1209" s="22">
        <v>0</v>
      </c>
      <c r="P1209" s="21">
        <v>6426000</v>
      </c>
      <c r="S1209" s="101" t="b">
        <f>OR(COUNTIF(Tabla2[[#This Row],[PROVEEDOR]],"*"&amp;'Palabra no opera'!$A$2&amp;"*"))</f>
        <v>0</v>
      </c>
      <c r="T1209" s="113">
        <f>+$W$5-Tabla2[[#This Row],[FECHA DE FACTURACIÓN]]</f>
        <v>0</v>
      </c>
      <c r="U1209" t="str">
        <f>+IF(Tabla2[[#This Row],[dias de credito]]&gt;=Tabla2[[#This Row],[PLAZO Días]],"venc", "No venc")</f>
        <v>No venc</v>
      </c>
      <c r="V1209" t="str">
        <f>+IF(Tabla2[[#This Row],[FECHA DE PAGO]]&gt;0,"pagada","por pagar")</f>
        <v>por pagar</v>
      </c>
      <c r="W1209" s="115" t="str">
        <f>+IF(AND(Tabla2[[#This Row],[venc]]="venc",Tabla2[[#This Row],[Columna1]]="por pagar"),"vencida","no")</f>
        <v>no</v>
      </c>
    </row>
    <row r="1210" spans="1:23" ht="15.75" x14ac:dyDescent="0.25">
      <c r="A1210" s="20">
        <v>30</v>
      </c>
      <c r="B1210" s="25">
        <v>1345520</v>
      </c>
      <c r="C1210" s="25"/>
      <c r="D1210" s="56" t="s">
        <v>267</v>
      </c>
      <c r="E1210" s="66"/>
      <c r="F1210" s="323" t="s">
        <v>268</v>
      </c>
      <c r="G1210" s="66">
        <v>45322</v>
      </c>
      <c r="H1210" s="35" t="s">
        <v>1572</v>
      </c>
      <c r="I1210" s="21">
        <v>191520</v>
      </c>
      <c r="J1210" s="21"/>
      <c r="K1210" s="22">
        <v>0</v>
      </c>
      <c r="L1210" s="23"/>
      <c r="M1210" s="22">
        <v>0</v>
      </c>
      <c r="N1210" s="72">
        <v>0</v>
      </c>
      <c r="O1210" s="22">
        <v>0</v>
      </c>
      <c r="P1210" s="21">
        <v>191520</v>
      </c>
      <c r="S1210" s="101" t="b">
        <f>OR(COUNTIF(Tabla2[[#This Row],[PROVEEDOR]],"*"&amp;'Palabra no opera'!$A$2&amp;"*"))</f>
        <v>0</v>
      </c>
      <c r="T1210" s="113">
        <f>+$W$5-Tabla2[[#This Row],[FECHA DE FACTURACIÓN]]</f>
        <v>0</v>
      </c>
      <c r="U1210" t="str">
        <f>+IF(Tabla2[[#This Row],[dias de credito]]&gt;=Tabla2[[#This Row],[PLAZO Días]],"venc", "No venc")</f>
        <v>No venc</v>
      </c>
      <c r="V1210" t="str">
        <f>+IF(Tabla2[[#This Row],[FECHA DE PAGO]]&gt;0,"pagada","por pagar")</f>
        <v>por pagar</v>
      </c>
      <c r="W1210" s="115" t="str">
        <f>+IF(AND(Tabla2[[#This Row],[venc]]="venc",Tabla2[[#This Row],[Columna1]]="por pagar"),"vencida","no")</f>
        <v>no</v>
      </c>
    </row>
    <row r="1211" spans="1:23" ht="15.75" x14ac:dyDescent="0.25">
      <c r="A1211" s="20">
        <v>60</v>
      </c>
      <c r="B1211" s="25">
        <v>3708614</v>
      </c>
      <c r="C1211" s="25"/>
      <c r="D1211" s="56" t="s">
        <v>645</v>
      </c>
      <c r="E1211" s="66"/>
      <c r="F1211" s="323" t="s">
        <v>250</v>
      </c>
      <c r="G1211" s="66">
        <v>45321</v>
      </c>
      <c r="H1211" s="35" t="s">
        <v>1550</v>
      </c>
      <c r="I1211" s="21">
        <v>528000</v>
      </c>
      <c r="J1211" s="21"/>
      <c r="K1211" s="22">
        <v>0</v>
      </c>
      <c r="L1211" s="23"/>
      <c r="M1211" s="22">
        <v>0</v>
      </c>
      <c r="N1211" s="72">
        <v>0</v>
      </c>
      <c r="O1211" s="22">
        <v>0</v>
      </c>
      <c r="P1211" s="21">
        <v>528000</v>
      </c>
      <c r="S1211" s="101" t="b">
        <f>OR(COUNTIF(Tabla2[[#This Row],[PROVEEDOR]],"*"&amp;'Palabra no opera'!$A$2&amp;"*"))</f>
        <v>0</v>
      </c>
      <c r="T1211" s="113">
        <f>+$W$5-Tabla2[[#This Row],[FECHA DE FACTURACIÓN]]</f>
        <v>1</v>
      </c>
      <c r="U1211" t="str">
        <f>+IF(Tabla2[[#This Row],[dias de credito]]&gt;=Tabla2[[#This Row],[PLAZO Días]],"venc", "No venc")</f>
        <v>No venc</v>
      </c>
      <c r="V1211" t="str">
        <f>+IF(Tabla2[[#This Row],[FECHA DE PAGO]]&gt;0,"pagada","por pagar")</f>
        <v>por pagar</v>
      </c>
      <c r="W1211" s="115" t="str">
        <f>+IF(AND(Tabla2[[#This Row],[venc]]="venc",Tabla2[[#This Row],[Columna1]]="por pagar"),"vencida","no")</f>
        <v>no</v>
      </c>
    </row>
    <row r="1212" spans="1:23" ht="15.75" x14ac:dyDescent="0.25">
      <c r="A1212" s="20">
        <v>30</v>
      </c>
      <c r="B1212" s="25">
        <v>2169355.9580000001</v>
      </c>
      <c r="C1212" s="25"/>
      <c r="D1212" s="56" t="s">
        <v>164</v>
      </c>
      <c r="E1212" s="66"/>
      <c r="F1212" s="323" t="s">
        <v>18</v>
      </c>
      <c r="G1212" s="66">
        <v>45321</v>
      </c>
      <c r="H1212" s="35" t="s">
        <v>1570</v>
      </c>
      <c r="I1212" s="21">
        <v>1194685.2</v>
      </c>
      <c r="J1212" s="21"/>
      <c r="K1212" s="22">
        <v>226990.18799999999</v>
      </c>
      <c r="L1212" s="23"/>
      <c r="M1212" s="22">
        <v>0</v>
      </c>
      <c r="N1212" s="72">
        <v>0</v>
      </c>
      <c r="O1212" s="22">
        <v>0</v>
      </c>
      <c r="P1212" s="21">
        <v>1421675.388</v>
      </c>
      <c r="S1212" s="101" t="b">
        <f>OR(COUNTIF(Tabla2[[#This Row],[PROVEEDOR]],"*"&amp;'Palabra no opera'!$A$2&amp;"*"))</f>
        <v>0</v>
      </c>
      <c r="T1212" s="113">
        <f>+$W$5-Tabla2[[#This Row],[FECHA DE FACTURACIÓN]]</f>
        <v>1</v>
      </c>
      <c r="U1212" t="str">
        <f>+IF(Tabla2[[#This Row],[dias de credito]]&gt;=Tabla2[[#This Row],[PLAZO Días]],"venc", "No venc")</f>
        <v>No venc</v>
      </c>
      <c r="V1212" t="str">
        <f>+IF(Tabla2[[#This Row],[FECHA DE PAGO]]&gt;0,"pagada","por pagar")</f>
        <v>por pagar</v>
      </c>
      <c r="W1212" s="115" t="str">
        <f>+IF(AND(Tabla2[[#This Row],[venc]]="venc",Tabla2[[#This Row],[Columna1]]="por pagar"),"vencida","no")</f>
        <v>no</v>
      </c>
    </row>
    <row r="1213" spans="1:23" ht="15.75" x14ac:dyDescent="0.25">
      <c r="A1213" s="20">
        <v>45</v>
      </c>
      <c r="B1213" s="25">
        <v>13678360</v>
      </c>
      <c r="C1213" s="25"/>
      <c r="D1213" s="56" t="s">
        <v>179</v>
      </c>
      <c r="E1213" s="66"/>
      <c r="F1213" s="323" t="s">
        <v>10</v>
      </c>
      <c r="G1213" s="66">
        <v>45320</v>
      </c>
      <c r="H1213" s="35" t="s">
        <v>1554</v>
      </c>
      <c r="I1213" s="21">
        <v>4620000</v>
      </c>
      <c r="J1213" s="21"/>
      <c r="K1213" s="22">
        <v>877800</v>
      </c>
      <c r="L1213" s="23"/>
      <c r="M1213" s="22">
        <v>0</v>
      </c>
      <c r="N1213" s="72">
        <v>2.5000000000000001E-2</v>
      </c>
      <c r="O1213" s="22">
        <v>115500</v>
      </c>
      <c r="P1213" s="21">
        <v>5382300</v>
      </c>
      <c r="S1213" s="101" t="b">
        <f>OR(COUNTIF(Tabla2[[#This Row],[PROVEEDOR]],"*"&amp;'Palabra no opera'!$A$2&amp;"*"))</f>
        <v>0</v>
      </c>
      <c r="T1213" s="113">
        <f>+$W$5-Tabla2[[#This Row],[FECHA DE FACTURACIÓN]]</f>
        <v>2</v>
      </c>
      <c r="U1213" t="str">
        <f>+IF(Tabla2[[#This Row],[dias de credito]]&gt;=Tabla2[[#This Row],[PLAZO Días]],"venc", "No venc")</f>
        <v>No venc</v>
      </c>
      <c r="V1213" t="str">
        <f>+IF(Tabla2[[#This Row],[FECHA DE PAGO]]&gt;0,"pagada","por pagar")</f>
        <v>por pagar</v>
      </c>
      <c r="W1213" s="115" t="str">
        <f>+IF(AND(Tabla2[[#This Row],[venc]]="venc",Tabla2[[#This Row],[Columna1]]="por pagar"),"vencida","no")</f>
        <v>no</v>
      </c>
    </row>
    <row r="1214" spans="1:23" ht="15.75" x14ac:dyDescent="0.25">
      <c r="A1214" s="20">
        <v>30</v>
      </c>
      <c r="B1214" s="25">
        <v>2713769.64</v>
      </c>
      <c r="C1214" s="25"/>
      <c r="D1214" s="56" t="s">
        <v>445</v>
      </c>
      <c r="E1214" s="66"/>
      <c r="F1214" s="323" t="s">
        <v>11</v>
      </c>
      <c r="G1214" s="66">
        <v>45320</v>
      </c>
      <c r="H1214" s="35" t="s">
        <v>1562</v>
      </c>
      <c r="I1214" s="21">
        <v>2329416</v>
      </c>
      <c r="J1214" s="21"/>
      <c r="K1214" s="22">
        <v>442589.04</v>
      </c>
      <c r="L1214" s="23"/>
      <c r="M1214" s="22">
        <v>0</v>
      </c>
      <c r="N1214" s="72">
        <v>2.5000000000000001E-2</v>
      </c>
      <c r="O1214" s="22">
        <v>58235.4</v>
      </c>
      <c r="P1214" s="21">
        <v>2713769.64</v>
      </c>
      <c r="S1214" s="101" t="b">
        <f>OR(COUNTIF(Tabla2[[#This Row],[PROVEEDOR]],"*"&amp;'Palabra no opera'!$A$2&amp;"*"))</f>
        <v>0</v>
      </c>
      <c r="T1214" s="113">
        <f>+$W$5-Tabla2[[#This Row],[FECHA DE FACTURACIÓN]]</f>
        <v>2</v>
      </c>
      <c r="U1214" t="str">
        <f>+IF(Tabla2[[#This Row],[dias de credito]]&gt;=Tabla2[[#This Row],[PLAZO Días]],"venc", "No venc")</f>
        <v>No venc</v>
      </c>
      <c r="V1214" t="str">
        <f>+IF(Tabla2[[#This Row],[FECHA DE PAGO]]&gt;0,"pagada","por pagar")</f>
        <v>por pagar</v>
      </c>
      <c r="W1214" s="115" t="str">
        <f>+IF(AND(Tabla2[[#This Row],[venc]]="venc",Tabla2[[#This Row],[Columna1]]="por pagar"),"vencida","no")</f>
        <v>no</v>
      </c>
    </row>
    <row r="1215" spans="1:23" ht="15.75" x14ac:dyDescent="0.25">
      <c r="A1215" s="20">
        <v>30</v>
      </c>
      <c r="B1215" s="25">
        <v>840000</v>
      </c>
      <c r="C1215" s="25"/>
      <c r="D1215" s="56">
        <v>0</v>
      </c>
      <c r="E1215" s="66"/>
      <c r="F1215" s="323" t="s">
        <v>318</v>
      </c>
      <c r="G1215" s="66">
        <v>45320</v>
      </c>
      <c r="H1215" s="35" t="s">
        <v>1574</v>
      </c>
      <c r="I1215" s="21">
        <v>840000</v>
      </c>
      <c r="J1215" s="21"/>
      <c r="K1215" s="22">
        <v>0</v>
      </c>
      <c r="L1215" s="23"/>
      <c r="M1215" s="22">
        <v>0</v>
      </c>
      <c r="N1215" s="72">
        <v>0</v>
      </c>
      <c r="O1215" s="22">
        <v>0</v>
      </c>
      <c r="P1215" s="21">
        <v>840000</v>
      </c>
      <c r="S1215" s="101" t="b">
        <f>OR(COUNTIF(Tabla2[[#This Row],[PROVEEDOR]],"*"&amp;'Palabra no opera'!$A$2&amp;"*"))</f>
        <v>0</v>
      </c>
      <c r="T1215" s="113">
        <f>+$W$5-Tabla2[[#This Row],[FECHA DE FACTURACIÓN]]</f>
        <v>2</v>
      </c>
      <c r="U1215" t="str">
        <f>+IF(Tabla2[[#This Row],[dias de credito]]&gt;=Tabla2[[#This Row],[PLAZO Días]],"venc", "No venc")</f>
        <v>No venc</v>
      </c>
      <c r="V1215" t="str">
        <f>+IF(Tabla2[[#This Row],[FECHA DE PAGO]]&gt;0,"pagada","por pagar")</f>
        <v>por pagar</v>
      </c>
      <c r="W1215" s="115" t="str">
        <f>+IF(AND(Tabla2[[#This Row],[venc]]="venc",Tabla2[[#This Row],[Columna1]]="por pagar"),"vencida","no")</f>
        <v>no</v>
      </c>
    </row>
    <row r="1216" spans="1:23" ht="15.75" x14ac:dyDescent="0.25">
      <c r="A1216" s="20">
        <v>30</v>
      </c>
      <c r="B1216" s="25">
        <v>12328400</v>
      </c>
      <c r="C1216" s="25"/>
      <c r="D1216" s="56" t="s">
        <v>171</v>
      </c>
      <c r="E1216" s="66"/>
      <c r="F1216" s="323" t="s">
        <v>485</v>
      </c>
      <c r="G1216" s="66">
        <v>45318</v>
      </c>
      <c r="H1216" s="35" t="s">
        <v>1551</v>
      </c>
      <c r="I1216" s="21">
        <v>4960000</v>
      </c>
      <c r="J1216" s="21"/>
      <c r="K1216" s="22">
        <v>942400</v>
      </c>
      <c r="L1216" s="23"/>
      <c r="M1216" s="22">
        <v>0</v>
      </c>
      <c r="N1216" s="72">
        <v>0</v>
      </c>
      <c r="O1216" s="22">
        <v>0</v>
      </c>
      <c r="P1216" s="21">
        <v>5902400</v>
      </c>
      <c r="S1216" s="101" t="b">
        <f>OR(COUNTIF(Tabla2[[#This Row],[PROVEEDOR]],"*"&amp;'Palabra no opera'!$A$2&amp;"*"))</f>
        <v>0</v>
      </c>
      <c r="T1216" s="113">
        <f>+$W$5-Tabla2[[#This Row],[FECHA DE FACTURACIÓN]]</f>
        <v>4</v>
      </c>
      <c r="U1216" t="str">
        <f>+IF(Tabla2[[#This Row],[dias de credito]]&gt;=Tabla2[[#This Row],[PLAZO Días]],"venc", "No venc")</f>
        <v>No venc</v>
      </c>
      <c r="V1216" t="str">
        <f>+IF(Tabla2[[#This Row],[FECHA DE PAGO]]&gt;0,"pagada","por pagar")</f>
        <v>por pagar</v>
      </c>
      <c r="W1216" s="115" t="str">
        <f>+IF(AND(Tabla2[[#This Row],[venc]]="venc",Tabla2[[#This Row],[Columna1]]="por pagar"),"vencida","no")</f>
        <v>no</v>
      </c>
    </row>
    <row r="1217" spans="1:23" ht="15.75" x14ac:dyDescent="0.25">
      <c r="A1217" s="20">
        <v>30</v>
      </c>
      <c r="B1217" s="25">
        <v>406756</v>
      </c>
      <c r="C1217" s="25"/>
      <c r="D1217" s="56" t="s">
        <v>104</v>
      </c>
      <c r="E1217" s="66"/>
      <c r="F1217" s="323" t="s">
        <v>568</v>
      </c>
      <c r="G1217" s="66">
        <v>45318</v>
      </c>
      <c r="H1217" s="35" t="s">
        <v>1573</v>
      </c>
      <c r="I1217" s="21">
        <v>137256</v>
      </c>
      <c r="J1217" s="21"/>
      <c r="K1217" s="22">
        <v>0</v>
      </c>
      <c r="L1217" s="23"/>
      <c r="M1217" s="22">
        <v>0</v>
      </c>
      <c r="N1217" s="72">
        <v>0</v>
      </c>
      <c r="O1217" s="22">
        <v>0</v>
      </c>
      <c r="P1217" s="21">
        <v>137256</v>
      </c>
      <c r="S1217" s="101" t="b">
        <f>OR(COUNTIF(Tabla2[[#This Row],[PROVEEDOR]],"*"&amp;'Palabra no opera'!$A$2&amp;"*"))</f>
        <v>0</v>
      </c>
      <c r="T1217" s="113">
        <f>+$W$5-Tabla2[[#This Row],[FECHA DE FACTURACIÓN]]</f>
        <v>4</v>
      </c>
      <c r="U1217" t="str">
        <f>+IF(Tabla2[[#This Row],[dias de credito]]&gt;=Tabla2[[#This Row],[PLAZO Días]],"venc", "No venc")</f>
        <v>No venc</v>
      </c>
      <c r="V1217" t="str">
        <f>+IF(Tabla2[[#This Row],[FECHA DE PAGO]]&gt;0,"pagada","por pagar")</f>
        <v>por pagar</v>
      </c>
      <c r="W1217" s="115" t="str">
        <f>+IF(AND(Tabla2[[#This Row],[venc]]="venc",Tabla2[[#This Row],[Columna1]]="por pagar"),"vencida","no")</f>
        <v>no</v>
      </c>
    </row>
    <row r="1218" spans="1:23" ht="15.75" x14ac:dyDescent="0.25">
      <c r="A1218" s="20">
        <v>30</v>
      </c>
      <c r="B1218" s="25">
        <v>3065837.2199999997</v>
      </c>
      <c r="C1218" s="25"/>
      <c r="D1218" s="56" t="s">
        <v>169</v>
      </c>
      <c r="E1218" s="66"/>
      <c r="F1218" s="323" t="s">
        <v>17</v>
      </c>
      <c r="G1218" s="66">
        <v>45317</v>
      </c>
      <c r="H1218" s="35" t="s">
        <v>1542</v>
      </c>
      <c r="I1218" s="21">
        <v>1730813.22</v>
      </c>
      <c r="J1218" s="21"/>
      <c r="K1218" s="22">
        <v>16974</v>
      </c>
      <c r="L1218" s="23"/>
      <c r="M1218" s="22">
        <v>0</v>
      </c>
      <c r="N1218" s="72">
        <v>0</v>
      </c>
      <c r="O1218" s="22">
        <v>0</v>
      </c>
      <c r="P1218" s="21">
        <v>1747787.22</v>
      </c>
      <c r="S1218" s="101" t="b">
        <f>OR(COUNTIF(Tabla2[[#This Row],[PROVEEDOR]],"*"&amp;'Palabra no opera'!$A$2&amp;"*"))</f>
        <v>0</v>
      </c>
      <c r="T1218" s="113">
        <f>+$W$5-Tabla2[[#This Row],[FECHA DE FACTURACIÓN]]</f>
        <v>5</v>
      </c>
      <c r="U1218" t="str">
        <f>+IF(Tabla2[[#This Row],[dias de credito]]&gt;=Tabla2[[#This Row],[PLAZO Días]],"venc", "No venc")</f>
        <v>No venc</v>
      </c>
      <c r="V1218" t="str">
        <f>+IF(Tabla2[[#This Row],[FECHA DE PAGO]]&gt;0,"pagada","por pagar")</f>
        <v>por pagar</v>
      </c>
      <c r="W1218" s="115" t="str">
        <f>+IF(AND(Tabla2[[#This Row],[venc]]="venc",Tabla2[[#This Row],[Columna1]]="por pagar"),"vencida","no")</f>
        <v>no</v>
      </c>
    </row>
    <row r="1219" spans="1:23" ht="15.75" x14ac:dyDescent="0.25">
      <c r="A1219" s="20">
        <v>30</v>
      </c>
      <c r="B1219" s="25">
        <v>2923945.6174999997</v>
      </c>
      <c r="C1219" s="25"/>
      <c r="D1219" s="56" t="s">
        <v>1538</v>
      </c>
      <c r="E1219" s="66"/>
      <c r="F1219" s="323" t="s">
        <v>1526</v>
      </c>
      <c r="G1219" s="66">
        <v>45317</v>
      </c>
      <c r="H1219" s="35" t="s">
        <v>1552</v>
      </c>
      <c r="I1219" s="21">
        <v>259099</v>
      </c>
      <c r="J1219" s="21"/>
      <c r="K1219" s="22">
        <v>49228.81</v>
      </c>
      <c r="L1219" s="23"/>
      <c r="M1219" s="22">
        <v>0</v>
      </c>
      <c r="N1219" s="72">
        <v>0</v>
      </c>
      <c r="O1219" s="22">
        <v>0</v>
      </c>
      <c r="P1219" s="21">
        <v>308327.81</v>
      </c>
      <c r="S1219" s="101" t="b">
        <f>OR(COUNTIF(Tabla2[[#This Row],[PROVEEDOR]],"*"&amp;'Palabra no opera'!$A$2&amp;"*"))</f>
        <v>0</v>
      </c>
      <c r="T1219" s="113">
        <f>+$W$5-Tabla2[[#This Row],[FECHA DE FACTURACIÓN]]</f>
        <v>5</v>
      </c>
      <c r="U1219" t="str">
        <f>+IF(Tabla2[[#This Row],[dias de credito]]&gt;=Tabla2[[#This Row],[PLAZO Días]],"venc", "No venc")</f>
        <v>No venc</v>
      </c>
      <c r="V1219" t="str">
        <f>+IF(Tabla2[[#This Row],[FECHA DE PAGO]]&gt;0,"pagada","por pagar")</f>
        <v>por pagar</v>
      </c>
      <c r="W1219" s="115" t="str">
        <f>+IF(AND(Tabla2[[#This Row],[venc]]="venc",Tabla2[[#This Row],[Columna1]]="por pagar"),"vencida","no")</f>
        <v>no</v>
      </c>
    </row>
    <row r="1220" spans="1:23" ht="15.75" x14ac:dyDescent="0.25">
      <c r="A1220" s="20">
        <v>30</v>
      </c>
      <c r="B1220" s="25">
        <v>1345520</v>
      </c>
      <c r="C1220" s="25"/>
      <c r="D1220" s="56" t="s">
        <v>267</v>
      </c>
      <c r="E1220" s="66"/>
      <c r="F1220" s="323" t="s">
        <v>268</v>
      </c>
      <c r="G1220" s="66">
        <v>45317</v>
      </c>
      <c r="H1220" s="35" t="s">
        <v>1568</v>
      </c>
      <c r="I1220" s="21">
        <v>1154000</v>
      </c>
      <c r="J1220" s="21"/>
      <c r="K1220" s="22">
        <v>0</v>
      </c>
      <c r="L1220" s="23"/>
      <c r="M1220" s="22">
        <v>0</v>
      </c>
      <c r="N1220" s="72">
        <v>0</v>
      </c>
      <c r="O1220" s="22">
        <v>0</v>
      </c>
      <c r="P1220" s="21">
        <v>1154000</v>
      </c>
      <c r="S1220" s="101" t="b">
        <f>OR(COUNTIF(Tabla2[[#This Row],[PROVEEDOR]],"*"&amp;'Palabra no opera'!$A$2&amp;"*"))</f>
        <v>0</v>
      </c>
      <c r="T1220" s="113">
        <f>+$W$5-Tabla2[[#This Row],[FECHA DE FACTURACIÓN]]</f>
        <v>5</v>
      </c>
      <c r="U1220" t="str">
        <f>+IF(Tabla2[[#This Row],[dias de credito]]&gt;=Tabla2[[#This Row],[PLAZO Días]],"venc", "No venc")</f>
        <v>No venc</v>
      </c>
      <c r="V1220" t="str">
        <f>+IF(Tabla2[[#This Row],[FECHA DE PAGO]]&gt;0,"pagada","por pagar")</f>
        <v>por pagar</v>
      </c>
      <c r="W1220" s="115" t="str">
        <f>+IF(AND(Tabla2[[#This Row],[venc]]="venc",Tabla2[[#This Row],[Columna1]]="por pagar"),"vencida","no")</f>
        <v>no</v>
      </c>
    </row>
    <row r="1221" spans="1:23" ht="15.75" x14ac:dyDescent="0.25">
      <c r="A1221" s="20">
        <v>30</v>
      </c>
      <c r="B1221" s="25">
        <v>351000</v>
      </c>
      <c r="C1221" s="25"/>
      <c r="D1221" s="56">
        <v>0</v>
      </c>
      <c r="E1221" s="66"/>
      <c r="F1221" s="323" t="s">
        <v>533</v>
      </c>
      <c r="G1221" s="66">
        <v>45317</v>
      </c>
      <c r="H1221" s="35">
        <v>617</v>
      </c>
      <c r="I1221" s="21">
        <v>351000</v>
      </c>
      <c r="J1221" s="21"/>
      <c r="K1221" s="22">
        <v>0</v>
      </c>
      <c r="L1221" s="23"/>
      <c r="M1221" s="22">
        <v>0</v>
      </c>
      <c r="N1221" s="72">
        <v>0</v>
      </c>
      <c r="O1221" s="22">
        <v>0</v>
      </c>
      <c r="P1221" s="21">
        <v>351000</v>
      </c>
      <c r="S1221" s="101" t="b">
        <f>OR(COUNTIF(Tabla2[[#This Row],[PROVEEDOR]],"*"&amp;'Palabra no opera'!$A$2&amp;"*"))</f>
        <v>0</v>
      </c>
      <c r="T1221" s="113">
        <f>+$W$5-Tabla2[[#This Row],[FECHA DE FACTURACIÓN]]</f>
        <v>5</v>
      </c>
      <c r="U1221" t="str">
        <f>+IF(Tabla2[[#This Row],[dias de credito]]&gt;=Tabla2[[#This Row],[PLAZO Días]],"venc", "No venc")</f>
        <v>No venc</v>
      </c>
      <c r="V1221" t="str">
        <f>+IF(Tabla2[[#This Row],[FECHA DE PAGO]]&gt;0,"pagada","por pagar")</f>
        <v>por pagar</v>
      </c>
      <c r="W1221" s="115" t="str">
        <f>+IF(AND(Tabla2[[#This Row],[venc]]="venc",Tabla2[[#This Row],[Columna1]]="por pagar"),"vencida","no")</f>
        <v>no</v>
      </c>
    </row>
    <row r="1222" spans="1:23" ht="15.75" x14ac:dyDescent="0.25">
      <c r="A1222" s="20">
        <v>45</v>
      </c>
      <c r="B1222" s="25">
        <v>3535656.6</v>
      </c>
      <c r="C1222" s="25"/>
      <c r="D1222" s="56" t="s">
        <v>390</v>
      </c>
      <c r="E1222" s="66"/>
      <c r="F1222" s="323" t="s">
        <v>19</v>
      </c>
      <c r="G1222" s="66">
        <v>45316</v>
      </c>
      <c r="H1222" s="35" t="s">
        <v>1548</v>
      </c>
      <c r="I1222" s="21">
        <v>2971140</v>
      </c>
      <c r="J1222" s="21"/>
      <c r="K1222" s="22">
        <v>564516.6</v>
      </c>
      <c r="L1222" s="23"/>
      <c r="M1222" s="22">
        <v>0</v>
      </c>
      <c r="N1222" s="72">
        <v>0</v>
      </c>
      <c r="O1222" s="22">
        <v>0</v>
      </c>
      <c r="P1222" s="21">
        <v>3535656.6</v>
      </c>
      <c r="S1222" s="101" t="b">
        <f>OR(COUNTIF(Tabla2[[#This Row],[PROVEEDOR]],"*"&amp;'Palabra no opera'!$A$2&amp;"*"))</f>
        <v>0</v>
      </c>
      <c r="T1222" s="113">
        <f>+$W$5-Tabla2[[#This Row],[FECHA DE FACTURACIÓN]]</f>
        <v>6</v>
      </c>
      <c r="U1222" t="str">
        <f>+IF(Tabla2[[#This Row],[dias de credito]]&gt;=Tabla2[[#This Row],[PLAZO Días]],"venc", "No venc")</f>
        <v>No venc</v>
      </c>
      <c r="V1222" t="str">
        <f>+IF(Tabla2[[#This Row],[FECHA DE PAGO]]&gt;0,"pagada","por pagar")</f>
        <v>por pagar</v>
      </c>
      <c r="W1222" s="115" t="str">
        <f>+IF(AND(Tabla2[[#This Row],[venc]]="venc",Tabla2[[#This Row],[Columna1]]="por pagar"),"vencida","no")</f>
        <v>no</v>
      </c>
    </row>
    <row r="1223" spans="1:23" ht="15.75" x14ac:dyDescent="0.25">
      <c r="A1223" s="20">
        <v>30</v>
      </c>
      <c r="B1223" s="25">
        <v>-100999.9886</v>
      </c>
      <c r="C1223" s="25"/>
      <c r="D1223" s="56" t="s">
        <v>1537</v>
      </c>
      <c r="E1223" s="66"/>
      <c r="F1223" s="323" t="s">
        <v>246</v>
      </c>
      <c r="G1223" s="66">
        <v>45315</v>
      </c>
      <c r="H1223" s="35" t="s">
        <v>1540</v>
      </c>
      <c r="I1223" s="21">
        <v>-84873.94</v>
      </c>
      <c r="J1223" s="21"/>
      <c r="K1223" s="22">
        <v>-16126.0486</v>
      </c>
      <c r="L1223" s="23"/>
      <c r="M1223" s="22">
        <v>0</v>
      </c>
      <c r="N1223" s="72">
        <v>0</v>
      </c>
      <c r="O1223" s="22">
        <v>0</v>
      </c>
      <c r="P1223" s="21">
        <v>-100999.9886</v>
      </c>
      <c r="S1223" s="101" t="b">
        <f>OR(COUNTIF(Tabla2[[#This Row],[PROVEEDOR]],"*"&amp;'Palabra no opera'!$A$2&amp;"*"))</f>
        <v>0</v>
      </c>
      <c r="T1223" s="113">
        <f>+$W$5-Tabla2[[#This Row],[FECHA DE FACTURACIÓN]]</f>
        <v>7</v>
      </c>
      <c r="U1223" t="str">
        <f>+IF(Tabla2[[#This Row],[dias de credito]]&gt;=Tabla2[[#This Row],[PLAZO Días]],"venc", "No venc")</f>
        <v>No venc</v>
      </c>
      <c r="V1223" t="str">
        <f>+IF(Tabla2[[#This Row],[FECHA DE PAGO]]&gt;0,"pagada","por pagar")</f>
        <v>por pagar</v>
      </c>
      <c r="W1223" s="115" t="str">
        <f>+IF(AND(Tabla2[[#This Row],[venc]]="venc",Tabla2[[#This Row],[Columna1]]="por pagar"),"vencida","no")</f>
        <v>no</v>
      </c>
    </row>
    <row r="1224" spans="1:23" ht="15.75" x14ac:dyDescent="0.25">
      <c r="A1224" s="20">
        <v>30</v>
      </c>
      <c r="B1224" s="25">
        <v>1426700.52</v>
      </c>
      <c r="C1224" s="25"/>
      <c r="D1224" s="56" t="s">
        <v>159</v>
      </c>
      <c r="E1224" s="66"/>
      <c r="F1224" s="323" t="s">
        <v>151</v>
      </c>
      <c r="G1224" s="66">
        <v>45315</v>
      </c>
      <c r="H1224" s="35" t="s">
        <v>1541</v>
      </c>
      <c r="I1224" s="21">
        <v>330000</v>
      </c>
      <c r="J1224" s="21"/>
      <c r="K1224" s="22">
        <v>62700</v>
      </c>
      <c r="L1224" s="23"/>
      <c r="M1224" s="22">
        <v>0</v>
      </c>
      <c r="N1224" s="72">
        <v>0</v>
      </c>
      <c r="O1224" s="22">
        <v>0</v>
      </c>
      <c r="P1224" s="21">
        <v>392700</v>
      </c>
      <c r="S1224" s="101" t="b">
        <f>OR(COUNTIF(Tabla2[[#This Row],[PROVEEDOR]],"*"&amp;'Palabra no opera'!$A$2&amp;"*"))</f>
        <v>0</v>
      </c>
      <c r="T1224" s="113">
        <f>+$W$5-Tabla2[[#This Row],[FECHA DE FACTURACIÓN]]</f>
        <v>7</v>
      </c>
      <c r="U1224" t="str">
        <f>+IF(Tabla2[[#This Row],[dias de credito]]&gt;=Tabla2[[#This Row],[PLAZO Días]],"venc", "No venc")</f>
        <v>No venc</v>
      </c>
      <c r="V1224" t="str">
        <f>+IF(Tabla2[[#This Row],[FECHA DE PAGO]]&gt;0,"pagada","por pagar")</f>
        <v>por pagar</v>
      </c>
      <c r="W1224" s="115" t="str">
        <f>+IF(AND(Tabla2[[#This Row],[venc]]="venc",Tabla2[[#This Row],[Columna1]]="por pagar"),"vencida","no")</f>
        <v>no</v>
      </c>
    </row>
    <row r="1225" spans="1:23" ht="15.75" x14ac:dyDescent="0.25">
      <c r="A1225" s="20">
        <v>60</v>
      </c>
      <c r="B1225" s="25">
        <v>5363111.8674999997</v>
      </c>
      <c r="C1225" s="25"/>
      <c r="D1225" s="56" t="s">
        <v>168</v>
      </c>
      <c r="E1225" s="66"/>
      <c r="F1225" s="323" t="s">
        <v>249</v>
      </c>
      <c r="G1225" s="66">
        <v>45315</v>
      </c>
      <c r="H1225" s="35" t="s">
        <v>1544</v>
      </c>
      <c r="I1225" s="21">
        <v>1848739.5</v>
      </c>
      <c r="J1225" s="21"/>
      <c r="K1225" s="22">
        <v>351260.505</v>
      </c>
      <c r="L1225" s="23"/>
      <c r="M1225" s="22">
        <v>0</v>
      </c>
      <c r="N1225" s="72">
        <v>2.5000000000000001E-2</v>
      </c>
      <c r="O1225" s="22">
        <v>46218.487500000003</v>
      </c>
      <c r="P1225" s="21">
        <v>2153781.5175000001</v>
      </c>
      <c r="S1225" s="101" t="b">
        <f>OR(COUNTIF(Tabla2[[#This Row],[PROVEEDOR]],"*"&amp;'Palabra no opera'!$A$2&amp;"*"))</f>
        <v>0</v>
      </c>
      <c r="T1225" s="113">
        <f>+$W$5-Tabla2[[#This Row],[FECHA DE FACTURACIÓN]]</f>
        <v>7</v>
      </c>
      <c r="U1225" t="str">
        <f>+IF(Tabla2[[#This Row],[dias de credito]]&gt;=Tabla2[[#This Row],[PLAZO Días]],"venc", "No venc")</f>
        <v>No venc</v>
      </c>
      <c r="V1225" t="str">
        <f>+IF(Tabla2[[#This Row],[FECHA DE PAGO]]&gt;0,"pagada","por pagar")</f>
        <v>por pagar</v>
      </c>
      <c r="W1225" s="115" t="str">
        <f>+IF(AND(Tabla2[[#This Row],[venc]]="venc",Tabla2[[#This Row],[Columna1]]="por pagar"),"vencida","no")</f>
        <v>no</v>
      </c>
    </row>
    <row r="1226" spans="1:23" ht="15.75" x14ac:dyDescent="0.25">
      <c r="A1226" s="20">
        <v>30</v>
      </c>
      <c r="B1226" s="25">
        <v>5972000</v>
      </c>
      <c r="C1226" s="25"/>
      <c r="D1226" s="56">
        <v>0</v>
      </c>
      <c r="E1226" s="66"/>
      <c r="F1226" s="323" t="s">
        <v>512</v>
      </c>
      <c r="G1226" s="66">
        <v>45315</v>
      </c>
      <c r="H1226" s="35" t="s">
        <v>1545</v>
      </c>
      <c r="I1226" s="21">
        <v>1854500</v>
      </c>
      <c r="J1226" s="21"/>
      <c r="K1226" s="22">
        <v>0</v>
      </c>
      <c r="L1226" s="23"/>
      <c r="M1226" s="22">
        <v>0</v>
      </c>
      <c r="N1226" s="72">
        <v>0</v>
      </c>
      <c r="O1226" s="22">
        <v>0</v>
      </c>
      <c r="P1226" s="21">
        <v>1854500</v>
      </c>
      <c r="S1226" s="101" t="b">
        <f>OR(COUNTIF(Tabla2[[#This Row],[PROVEEDOR]],"*"&amp;'Palabra no opera'!$A$2&amp;"*"))</f>
        <v>0</v>
      </c>
      <c r="T1226" s="113">
        <f>+$W$5-Tabla2[[#This Row],[FECHA DE FACTURACIÓN]]</f>
        <v>7</v>
      </c>
      <c r="U1226" t="str">
        <f>+IF(Tabla2[[#This Row],[dias de credito]]&gt;=Tabla2[[#This Row],[PLAZO Días]],"venc", "No venc")</f>
        <v>No venc</v>
      </c>
      <c r="V1226" t="str">
        <f>+IF(Tabla2[[#This Row],[FECHA DE PAGO]]&gt;0,"pagada","por pagar")</f>
        <v>por pagar</v>
      </c>
      <c r="W1226" s="115" t="str">
        <f>+IF(AND(Tabla2[[#This Row],[venc]]="venc",Tabla2[[#This Row],[Columna1]]="por pagar"),"vencida","no")</f>
        <v>no</v>
      </c>
    </row>
    <row r="1227" spans="1:23" ht="15.75" x14ac:dyDescent="0.25">
      <c r="A1227" s="20">
        <v>45</v>
      </c>
      <c r="B1227" s="25">
        <v>13678360</v>
      </c>
      <c r="C1227" s="25"/>
      <c r="D1227" s="56" t="s">
        <v>179</v>
      </c>
      <c r="E1227" s="66"/>
      <c r="F1227" s="323" t="s">
        <v>10</v>
      </c>
      <c r="G1227" s="66">
        <v>45315</v>
      </c>
      <c r="H1227" s="35" t="s">
        <v>1553</v>
      </c>
      <c r="I1227" s="21">
        <v>330000</v>
      </c>
      <c r="J1227" s="21"/>
      <c r="K1227" s="22">
        <v>62700</v>
      </c>
      <c r="L1227" s="23"/>
      <c r="M1227" s="22">
        <v>0</v>
      </c>
      <c r="N1227" s="72">
        <v>0</v>
      </c>
      <c r="O1227" s="22">
        <v>0</v>
      </c>
      <c r="P1227" s="21">
        <v>392700</v>
      </c>
      <c r="S1227" s="101" t="b">
        <f>OR(COUNTIF(Tabla2[[#This Row],[PROVEEDOR]],"*"&amp;'Palabra no opera'!$A$2&amp;"*"))</f>
        <v>0</v>
      </c>
      <c r="T1227" s="113">
        <f>+$W$5-Tabla2[[#This Row],[FECHA DE FACTURACIÓN]]</f>
        <v>7</v>
      </c>
      <c r="U1227" t="str">
        <f>+IF(Tabla2[[#This Row],[dias de credito]]&gt;=Tabla2[[#This Row],[PLAZO Días]],"venc", "No venc")</f>
        <v>No venc</v>
      </c>
      <c r="V1227" t="str">
        <f>+IF(Tabla2[[#This Row],[FECHA DE PAGO]]&gt;0,"pagada","por pagar")</f>
        <v>por pagar</v>
      </c>
      <c r="W1227" s="115" t="str">
        <f>+IF(AND(Tabla2[[#This Row],[venc]]="venc",Tabla2[[#This Row],[Columna1]]="por pagar"),"vencida","no")</f>
        <v>no</v>
      </c>
    </row>
    <row r="1228" spans="1:23" ht="15.75" x14ac:dyDescent="0.25">
      <c r="A1228" s="20">
        <v>30</v>
      </c>
      <c r="B1228" s="25">
        <v>2190013.0175000001</v>
      </c>
      <c r="C1228" s="25"/>
      <c r="D1228" s="56" t="s">
        <v>180</v>
      </c>
      <c r="E1228" s="66"/>
      <c r="F1228" s="323" t="s">
        <v>491</v>
      </c>
      <c r="G1228" s="66">
        <v>45315</v>
      </c>
      <c r="H1228" s="35" t="s">
        <v>1556</v>
      </c>
      <c r="I1228" s="21">
        <v>1879839.5</v>
      </c>
      <c r="J1228" s="21"/>
      <c r="K1228" s="22">
        <v>357169.505</v>
      </c>
      <c r="L1228" s="23"/>
      <c r="M1228" s="22">
        <v>0</v>
      </c>
      <c r="N1228" s="72">
        <v>2.5000000000000001E-2</v>
      </c>
      <c r="O1228" s="22">
        <v>46995.987500000003</v>
      </c>
      <c r="P1228" s="21">
        <v>2190013.0175000001</v>
      </c>
      <c r="S1228" s="101" t="b">
        <f>OR(COUNTIF(Tabla2[[#This Row],[PROVEEDOR]],"*"&amp;'Palabra no opera'!$A$2&amp;"*"))</f>
        <v>0</v>
      </c>
      <c r="T1228" s="113">
        <f>+$W$5-Tabla2[[#This Row],[FECHA DE FACTURACIÓN]]</f>
        <v>7</v>
      </c>
      <c r="U1228" t="str">
        <f>+IF(Tabla2[[#This Row],[dias de credito]]&gt;=Tabla2[[#This Row],[PLAZO Días]],"venc", "No venc")</f>
        <v>No venc</v>
      </c>
      <c r="V1228" t="str">
        <f>+IF(Tabla2[[#This Row],[FECHA DE PAGO]]&gt;0,"pagada","por pagar")</f>
        <v>por pagar</v>
      </c>
      <c r="W1228" s="115" t="str">
        <f>+IF(AND(Tabla2[[#This Row],[venc]]="venc",Tabla2[[#This Row],[Columna1]]="por pagar"),"vencida","no")</f>
        <v>no</v>
      </c>
    </row>
    <row r="1229" spans="1:23" ht="15.75" x14ac:dyDescent="0.25">
      <c r="A1229" s="20">
        <v>30</v>
      </c>
      <c r="B1229" s="25">
        <v>1395870</v>
      </c>
      <c r="C1229" s="25"/>
      <c r="D1229" s="56" t="s">
        <v>472</v>
      </c>
      <c r="E1229" s="66"/>
      <c r="F1229" s="323" t="s">
        <v>457</v>
      </c>
      <c r="G1229" s="66">
        <v>45312</v>
      </c>
      <c r="H1229" s="35" t="s">
        <v>1569</v>
      </c>
      <c r="I1229" s="21">
        <v>1173000</v>
      </c>
      <c r="J1229" s="21"/>
      <c r="K1229" s="22">
        <v>222870</v>
      </c>
      <c r="L1229" s="23"/>
      <c r="M1229" s="22">
        <v>0</v>
      </c>
      <c r="N1229" s="72">
        <v>0</v>
      </c>
      <c r="O1229" s="22">
        <v>0</v>
      </c>
      <c r="P1229" s="21">
        <v>1395870</v>
      </c>
      <c r="S1229" s="101" t="b">
        <f>OR(COUNTIF(Tabla2[[#This Row],[PROVEEDOR]],"*"&amp;'Palabra no opera'!$A$2&amp;"*"))</f>
        <v>0</v>
      </c>
      <c r="T1229" s="113">
        <f>+$W$5-Tabla2[[#This Row],[FECHA DE FACTURACIÓN]]</f>
        <v>10</v>
      </c>
      <c r="U1229" t="str">
        <f>+IF(Tabla2[[#This Row],[dias de credito]]&gt;=Tabla2[[#This Row],[PLAZO Días]],"venc", "No venc")</f>
        <v>No venc</v>
      </c>
      <c r="V1229" t="str">
        <f>+IF(Tabla2[[#This Row],[FECHA DE PAGO]]&gt;0,"pagada","por pagar")</f>
        <v>por pagar</v>
      </c>
      <c r="W1229" s="115" t="str">
        <f>+IF(AND(Tabla2[[#This Row],[venc]]="venc",Tabla2[[#This Row],[Columna1]]="por pagar"),"vencida","no")</f>
        <v>no</v>
      </c>
    </row>
    <row r="1230" spans="1:23" ht="15.75" x14ac:dyDescent="0.25">
      <c r="A1230" s="20">
        <v>60</v>
      </c>
      <c r="B1230" s="25">
        <v>3708614</v>
      </c>
      <c r="C1230" s="25"/>
      <c r="D1230" s="56" t="s">
        <v>645</v>
      </c>
      <c r="E1230" s="66"/>
      <c r="F1230" s="323" t="s">
        <v>250</v>
      </c>
      <c r="G1230" s="66">
        <v>45311</v>
      </c>
      <c r="H1230" s="35" t="s">
        <v>1523</v>
      </c>
      <c r="I1230" s="21">
        <v>499264</v>
      </c>
      <c r="J1230" s="21"/>
      <c r="K1230" s="22">
        <v>0</v>
      </c>
      <c r="L1230" s="23"/>
      <c r="M1230" s="22">
        <v>0</v>
      </c>
      <c r="N1230" s="72">
        <v>0</v>
      </c>
      <c r="O1230" s="22">
        <v>0</v>
      </c>
      <c r="P1230" s="21">
        <v>499264</v>
      </c>
      <c r="S1230" s="101" t="b">
        <f>OR(COUNTIF(Tabla2[[#This Row],[PROVEEDOR]],"*"&amp;'Palabra no opera'!$A$2&amp;"*"))</f>
        <v>0</v>
      </c>
      <c r="T1230" s="113">
        <f>+$W$5-Tabla2[[#This Row],[FECHA DE FACTURACIÓN]]</f>
        <v>11</v>
      </c>
      <c r="U1230" t="str">
        <f>+IF(Tabla2[[#This Row],[dias de credito]]&gt;=Tabla2[[#This Row],[PLAZO Días]],"venc", "No venc")</f>
        <v>No venc</v>
      </c>
      <c r="V1230" t="str">
        <f>+IF(Tabla2[[#This Row],[FECHA DE PAGO]]&gt;0,"pagada","por pagar")</f>
        <v>por pagar</v>
      </c>
      <c r="W1230" s="115" t="str">
        <f>+IF(AND(Tabla2[[#This Row],[venc]]="venc",Tabla2[[#This Row],[Columna1]]="por pagar"),"vencida","no")</f>
        <v>no</v>
      </c>
    </row>
    <row r="1231" spans="1:23" ht="15.75" x14ac:dyDescent="0.25">
      <c r="A1231" s="20">
        <v>60</v>
      </c>
      <c r="B1231" s="25">
        <v>3708614</v>
      </c>
      <c r="C1231" s="25"/>
      <c r="D1231" s="56" t="s">
        <v>645</v>
      </c>
      <c r="E1231" s="66"/>
      <c r="F1231" s="323" t="s">
        <v>250</v>
      </c>
      <c r="G1231" s="66">
        <v>45311</v>
      </c>
      <c r="H1231" s="35">
        <v>1892</v>
      </c>
      <c r="I1231" s="21">
        <v>1441750</v>
      </c>
      <c r="J1231" s="21"/>
      <c r="K1231" s="22">
        <v>0</v>
      </c>
      <c r="L1231" s="23"/>
      <c r="M1231" s="22">
        <v>0</v>
      </c>
      <c r="N1231" s="72">
        <v>0</v>
      </c>
      <c r="O1231" s="22">
        <v>0</v>
      </c>
      <c r="P1231" s="21">
        <v>1441750</v>
      </c>
      <c r="S1231" s="101" t="b">
        <f>OR(COUNTIF(Tabla2[[#This Row],[PROVEEDOR]],"*"&amp;'Palabra no opera'!$A$2&amp;"*"))</f>
        <v>0</v>
      </c>
      <c r="T1231" s="113">
        <f>+$W$5-Tabla2[[#This Row],[FECHA DE FACTURACIÓN]]</f>
        <v>11</v>
      </c>
      <c r="U1231" t="str">
        <f>+IF(Tabla2[[#This Row],[dias de credito]]&gt;=Tabla2[[#This Row],[PLAZO Días]],"venc", "No venc")</f>
        <v>No venc</v>
      </c>
      <c r="V1231" t="str">
        <f>+IF(Tabla2[[#This Row],[FECHA DE PAGO]]&gt;0,"pagada","por pagar")</f>
        <v>por pagar</v>
      </c>
      <c r="W1231" s="115" t="str">
        <f>+IF(AND(Tabla2[[#This Row],[venc]]="venc",Tabla2[[#This Row],[Columna1]]="por pagar"),"vencida","no")</f>
        <v>no</v>
      </c>
    </row>
    <row r="1232" spans="1:23" ht="15.75" x14ac:dyDescent="0.25">
      <c r="A1232" s="20">
        <v>30</v>
      </c>
      <c r="B1232" s="25">
        <v>5134830.96</v>
      </c>
      <c r="C1232" s="25"/>
      <c r="D1232" s="56" t="s">
        <v>131</v>
      </c>
      <c r="E1232" s="66"/>
      <c r="F1232" s="323" t="s">
        <v>20</v>
      </c>
      <c r="G1232" s="66">
        <v>45310</v>
      </c>
      <c r="H1232" s="35" t="s">
        <v>1524</v>
      </c>
      <c r="I1232" s="21">
        <v>4314984</v>
      </c>
      <c r="J1232" s="21"/>
      <c r="K1232" s="22">
        <v>819846.96</v>
      </c>
      <c r="L1232" s="23"/>
      <c r="M1232" s="22">
        <v>0</v>
      </c>
      <c r="N1232" s="72">
        <v>2.5000000000000001E-2</v>
      </c>
      <c r="O1232" s="22"/>
      <c r="P1232" s="21">
        <v>5134830.96</v>
      </c>
      <c r="S1232" s="101" t="b">
        <f>OR(COUNTIF(Tabla2[[#This Row],[PROVEEDOR]],"*"&amp;'Palabra no opera'!$A$2&amp;"*"))</f>
        <v>0</v>
      </c>
      <c r="T1232" s="113">
        <f>+$W$5-Tabla2[[#This Row],[FECHA DE FACTURACIÓN]]</f>
        <v>12</v>
      </c>
      <c r="U1232" t="str">
        <f>+IF(Tabla2[[#This Row],[dias de credito]]&gt;=Tabla2[[#This Row],[PLAZO Días]],"venc", "No venc")</f>
        <v>No venc</v>
      </c>
      <c r="V1232" t="str">
        <f>+IF(Tabla2[[#This Row],[FECHA DE PAGO]]&gt;0,"pagada","por pagar")</f>
        <v>por pagar</v>
      </c>
      <c r="W1232" s="115" t="str">
        <f>+IF(AND(Tabla2[[#This Row],[venc]]="venc",Tabla2[[#This Row],[Columna1]]="por pagar"),"vencida","no")</f>
        <v>no</v>
      </c>
    </row>
    <row r="1233" spans="1:23" ht="15.75" x14ac:dyDescent="0.25">
      <c r="A1233" s="20">
        <v>30</v>
      </c>
      <c r="B1233" s="25">
        <v>2169355.9580000001</v>
      </c>
      <c r="C1233" s="25"/>
      <c r="D1233" s="56" t="s">
        <v>164</v>
      </c>
      <c r="E1233" s="66"/>
      <c r="F1233" s="323" t="s">
        <v>18</v>
      </c>
      <c r="G1233" s="66">
        <v>45310</v>
      </c>
      <c r="H1233" s="35" t="s">
        <v>1525</v>
      </c>
      <c r="I1233" s="21">
        <v>628303</v>
      </c>
      <c r="J1233" s="21"/>
      <c r="K1233" s="22">
        <v>119377.57</v>
      </c>
      <c r="L1233" s="23"/>
      <c r="M1233" s="22">
        <v>0</v>
      </c>
      <c r="N1233" s="72">
        <v>0</v>
      </c>
      <c r="O1233" s="22">
        <v>0</v>
      </c>
      <c r="P1233" s="21">
        <v>747680.57000000007</v>
      </c>
      <c r="S1233" s="101" t="b">
        <f>OR(COUNTIF(Tabla2[[#This Row],[PROVEEDOR]],"*"&amp;'Palabra no opera'!$A$2&amp;"*"))</f>
        <v>0</v>
      </c>
      <c r="T1233" s="113">
        <f>+$W$5-Tabla2[[#This Row],[FECHA DE FACTURACIÓN]]</f>
        <v>12</v>
      </c>
      <c r="U1233" t="str">
        <f>+IF(Tabla2[[#This Row],[dias de credito]]&gt;=Tabla2[[#This Row],[PLAZO Días]],"venc", "No venc")</f>
        <v>No venc</v>
      </c>
      <c r="V1233" t="str">
        <f>+IF(Tabla2[[#This Row],[FECHA DE PAGO]]&gt;0,"pagada","por pagar")</f>
        <v>por pagar</v>
      </c>
      <c r="W1233" s="115" t="str">
        <f>+IF(AND(Tabla2[[#This Row],[venc]]="venc",Tabla2[[#This Row],[Columna1]]="por pagar"),"vencida","no")</f>
        <v>no</v>
      </c>
    </row>
    <row r="1234" spans="1:23" ht="15.75" x14ac:dyDescent="0.25">
      <c r="A1234" s="20">
        <v>30</v>
      </c>
      <c r="B1234" s="25">
        <v>2923945.6174999997</v>
      </c>
      <c r="C1234" s="25"/>
      <c r="D1234" s="56" t="s">
        <v>1538</v>
      </c>
      <c r="E1234" s="66"/>
      <c r="F1234" s="323" t="s">
        <v>1526</v>
      </c>
      <c r="G1234" s="66">
        <v>45309</v>
      </c>
      <c r="H1234" s="35" t="s">
        <v>1527</v>
      </c>
      <c r="I1234" s="21">
        <v>2245165.5</v>
      </c>
      <c r="J1234" s="21"/>
      <c r="K1234" s="22">
        <v>426581.44500000001</v>
      </c>
      <c r="L1234" s="23"/>
      <c r="M1234" s="22">
        <v>0</v>
      </c>
      <c r="N1234" s="72">
        <v>2.5000000000000001E-2</v>
      </c>
      <c r="O1234" s="22">
        <v>56129.137500000004</v>
      </c>
      <c r="P1234" s="21">
        <v>2615617.8074999996</v>
      </c>
      <c r="S1234" s="101" t="b">
        <f>OR(COUNTIF(Tabla2[[#This Row],[PROVEEDOR]],"*"&amp;'Palabra no opera'!$A$2&amp;"*"))</f>
        <v>0</v>
      </c>
      <c r="T1234" s="113">
        <f>+$W$5-Tabla2[[#This Row],[FECHA DE FACTURACIÓN]]</f>
        <v>13</v>
      </c>
      <c r="U1234" t="str">
        <f>+IF(Tabla2[[#This Row],[dias de credito]]&gt;=Tabla2[[#This Row],[PLAZO Días]],"venc", "No venc")</f>
        <v>No venc</v>
      </c>
      <c r="V1234" t="str">
        <f>+IF(Tabla2[[#This Row],[FECHA DE PAGO]]&gt;0,"pagada","por pagar")</f>
        <v>por pagar</v>
      </c>
      <c r="W1234" s="115" t="str">
        <f>+IF(AND(Tabla2[[#This Row],[venc]]="venc",Tabla2[[#This Row],[Columna1]]="por pagar"),"vencida","no")</f>
        <v>no</v>
      </c>
    </row>
    <row r="1235" spans="1:23" ht="15.75" x14ac:dyDescent="0.25">
      <c r="A1235" s="20">
        <v>30</v>
      </c>
      <c r="B1235" s="25">
        <v>3065837.2199999997</v>
      </c>
      <c r="C1235" s="25"/>
      <c r="D1235" s="56" t="s">
        <v>169</v>
      </c>
      <c r="E1235" s="66"/>
      <c r="F1235" s="323" t="s">
        <v>17</v>
      </c>
      <c r="G1235" s="66">
        <v>45308</v>
      </c>
      <c r="H1235" s="35" t="s">
        <v>1543</v>
      </c>
      <c r="I1235" s="21">
        <v>1318050</v>
      </c>
      <c r="J1235" s="21"/>
      <c r="K1235" s="22"/>
      <c r="L1235" s="23"/>
      <c r="M1235" s="22">
        <v>0</v>
      </c>
      <c r="N1235" s="72">
        <v>0</v>
      </c>
      <c r="O1235" s="22">
        <v>0</v>
      </c>
      <c r="P1235" s="21">
        <v>1318050</v>
      </c>
      <c r="S1235" s="101" t="b">
        <f>OR(COUNTIF(Tabla2[[#This Row],[PROVEEDOR]],"*"&amp;'Palabra no opera'!$A$2&amp;"*"))</f>
        <v>0</v>
      </c>
      <c r="T1235" s="113">
        <f>+$W$5-Tabla2[[#This Row],[FECHA DE FACTURACIÓN]]</f>
        <v>14</v>
      </c>
      <c r="U1235" t="str">
        <f>+IF(Tabla2[[#This Row],[dias de credito]]&gt;=Tabla2[[#This Row],[PLAZO Días]],"venc", "No venc")</f>
        <v>No venc</v>
      </c>
      <c r="V1235" t="str">
        <f>+IF(Tabla2[[#This Row],[FECHA DE PAGO]]&gt;0,"pagada","por pagar")</f>
        <v>por pagar</v>
      </c>
      <c r="W1235" s="115" t="str">
        <f>+IF(AND(Tabla2[[#This Row],[venc]]="venc",Tabla2[[#This Row],[Columna1]]="por pagar"),"vencida","no")</f>
        <v>no</v>
      </c>
    </row>
    <row r="1236" spans="1:23" ht="15.75" x14ac:dyDescent="0.25">
      <c r="A1236" s="20">
        <v>30</v>
      </c>
      <c r="B1236" s="25">
        <v>6857153.040000001</v>
      </c>
      <c r="C1236" s="25"/>
      <c r="D1236" s="56" t="s">
        <v>309</v>
      </c>
      <c r="E1236" s="66"/>
      <c r="F1236" s="323" t="s">
        <v>254</v>
      </c>
      <c r="G1236" s="66">
        <v>45308</v>
      </c>
      <c r="H1236" s="35" t="s">
        <v>1515</v>
      </c>
      <c r="I1236" s="21">
        <v>1109186</v>
      </c>
      <c r="J1236" s="21"/>
      <c r="K1236" s="22">
        <v>210745.34</v>
      </c>
      <c r="L1236" s="23"/>
      <c r="M1236" s="22">
        <v>0</v>
      </c>
      <c r="N1236" s="72">
        <v>0</v>
      </c>
      <c r="O1236" s="22">
        <v>0</v>
      </c>
      <c r="P1236" s="21">
        <v>1319931.3400000001</v>
      </c>
      <c r="S1236" s="101" t="b">
        <f>OR(COUNTIF(Tabla2[[#This Row],[PROVEEDOR]],"*"&amp;'Palabra no opera'!$A$2&amp;"*"))</f>
        <v>0</v>
      </c>
      <c r="T1236" s="113">
        <f>+$W$5-Tabla2[[#This Row],[FECHA DE FACTURACIÓN]]</f>
        <v>14</v>
      </c>
      <c r="U1236" t="str">
        <f>+IF(Tabla2[[#This Row],[dias de credito]]&gt;=Tabla2[[#This Row],[PLAZO Días]],"venc", "No venc")</f>
        <v>No venc</v>
      </c>
      <c r="V1236" t="str">
        <f>+IF(Tabla2[[#This Row],[FECHA DE PAGO]]&gt;0,"pagada","por pagar")</f>
        <v>por pagar</v>
      </c>
      <c r="W1236" s="115" t="str">
        <f>+IF(AND(Tabla2[[#This Row],[venc]]="venc",Tabla2[[#This Row],[Columna1]]="por pagar"),"vencida","no")</f>
        <v>no</v>
      </c>
    </row>
    <row r="1237" spans="1:23" ht="15.75" x14ac:dyDescent="0.25">
      <c r="A1237" s="20">
        <v>30</v>
      </c>
      <c r="B1237" s="25">
        <v>1499400</v>
      </c>
      <c r="C1237" s="25"/>
      <c r="D1237" s="56" t="s">
        <v>170</v>
      </c>
      <c r="E1237" s="66"/>
      <c r="F1237" s="323" t="s">
        <v>490</v>
      </c>
      <c r="G1237" s="66">
        <v>45307</v>
      </c>
      <c r="H1237" s="35">
        <v>33399</v>
      </c>
      <c r="I1237" s="21">
        <v>1260000</v>
      </c>
      <c r="J1237" s="21"/>
      <c r="K1237" s="22">
        <v>239400</v>
      </c>
      <c r="L1237" s="23"/>
      <c r="M1237" s="22">
        <v>0</v>
      </c>
      <c r="N1237" s="72">
        <v>0</v>
      </c>
      <c r="O1237" s="22">
        <v>0</v>
      </c>
      <c r="P1237" s="21">
        <v>1499400</v>
      </c>
      <c r="S1237" s="101" t="b">
        <f>OR(COUNTIF(Tabla2[[#This Row],[PROVEEDOR]],"*"&amp;'Palabra no opera'!$A$2&amp;"*"))</f>
        <v>0</v>
      </c>
      <c r="T1237" s="113">
        <f>+$W$5-Tabla2[[#This Row],[FECHA DE FACTURACIÓN]]</f>
        <v>15</v>
      </c>
      <c r="U1237" t="str">
        <f>+IF(Tabla2[[#This Row],[dias de credito]]&gt;=Tabla2[[#This Row],[PLAZO Días]],"venc", "No venc")</f>
        <v>No venc</v>
      </c>
      <c r="V1237" t="str">
        <f>+IF(Tabla2[[#This Row],[FECHA DE PAGO]]&gt;0,"pagada","por pagar")</f>
        <v>por pagar</v>
      </c>
      <c r="W1237" s="115" t="str">
        <f>+IF(AND(Tabla2[[#This Row],[venc]]="venc",Tabla2[[#This Row],[Columna1]]="por pagar"),"vencida","no")</f>
        <v>no</v>
      </c>
    </row>
    <row r="1238" spans="1:23" ht="15.75" x14ac:dyDescent="0.25">
      <c r="A1238" s="20">
        <v>30</v>
      </c>
      <c r="B1238" s="25">
        <v>609280</v>
      </c>
      <c r="C1238" s="25"/>
      <c r="D1238" s="56" t="s">
        <v>232</v>
      </c>
      <c r="E1238" s="66"/>
      <c r="F1238" s="323" t="s">
        <v>33</v>
      </c>
      <c r="G1238" s="66">
        <v>45303</v>
      </c>
      <c r="H1238" s="35" t="s">
        <v>1494</v>
      </c>
      <c r="I1238" s="21">
        <v>512000</v>
      </c>
      <c r="J1238" s="21"/>
      <c r="K1238" s="22">
        <v>97280</v>
      </c>
      <c r="L1238" s="23"/>
      <c r="M1238" s="22">
        <v>0</v>
      </c>
      <c r="N1238" s="72">
        <v>0</v>
      </c>
      <c r="O1238" s="22">
        <v>0</v>
      </c>
      <c r="P1238" s="21">
        <v>609280</v>
      </c>
      <c r="S1238" s="101" t="b">
        <f>OR(COUNTIF(Tabla2[[#This Row],[PROVEEDOR]],"*"&amp;'Palabra no opera'!$A$2&amp;"*"))</f>
        <v>0</v>
      </c>
      <c r="T1238" s="113">
        <f>+$W$5-Tabla2[[#This Row],[FECHA DE FACTURACIÓN]]</f>
        <v>19</v>
      </c>
      <c r="U1238" t="str">
        <f>+IF(Tabla2[[#This Row],[dias de credito]]&gt;=Tabla2[[#This Row],[PLAZO Días]],"venc", "No venc")</f>
        <v>No venc</v>
      </c>
      <c r="V1238" t="str">
        <f>+IF(Tabla2[[#This Row],[FECHA DE PAGO]]&gt;0,"pagada","por pagar")</f>
        <v>por pagar</v>
      </c>
      <c r="W1238" s="115" t="str">
        <f>+IF(AND(Tabla2[[#This Row],[venc]]="venc",Tabla2[[#This Row],[Columna1]]="por pagar"),"vencida","no")</f>
        <v>no</v>
      </c>
    </row>
    <row r="1239" spans="1:23" ht="15.75" x14ac:dyDescent="0.25">
      <c r="A1239" s="20">
        <v>30</v>
      </c>
      <c r="B1239" s="25">
        <v>214200</v>
      </c>
      <c r="C1239" s="25"/>
      <c r="D1239" s="56" t="s">
        <v>177</v>
      </c>
      <c r="E1239" s="66"/>
      <c r="F1239" s="323" t="s">
        <v>39</v>
      </c>
      <c r="G1239" s="66">
        <v>45303</v>
      </c>
      <c r="H1239" s="35" t="s">
        <v>1495</v>
      </c>
      <c r="I1239" s="21">
        <v>180000</v>
      </c>
      <c r="J1239" s="21"/>
      <c r="K1239" s="22">
        <v>34200</v>
      </c>
      <c r="L1239" s="23"/>
      <c r="M1239" s="22">
        <v>0</v>
      </c>
      <c r="N1239" s="72">
        <v>0</v>
      </c>
      <c r="O1239" s="22">
        <v>0</v>
      </c>
      <c r="P1239" s="21">
        <v>214200</v>
      </c>
      <c r="S1239" s="101" t="b">
        <f>OR(COUNTIF(Tabla2[[#This Row],[PROVEEDOR]],"*"&amp;'Palabra no opera'!$A$2&amp;"*"))</f>
        <v>0</v>
      </c>
      <c r="T1239" s="113">
        <f>+$W$5-Tabla2[[#This Row],[FECHA DE FACTURACIÓN]]</f>
        <v>19</v>
      </c>
      <c r="U1239" t="str">
        <f>+IF(Tabla2[[#This Row],[dias de credito]]&gt;=Tabla2[[#This Row],[PLAZO Días]],"venc", "No venc")</f>
        <v>No venc</v>
      </c>
      <c r="V1239" t="str">
        <f>+IF(Tabla2[[#This Row],[FECHA DE PAGO]]&gt;0,"pagada","por pagar")</f>
        <v>por pagar</v>
      </c>
      <c r="W1239" s="115" t="str">
        <f>+IF(AND(Tabla2[[#This Row],[venc]]="venc",Tabla2[[#This Row],[Columna1]]="por pagar"),"vencida","no")</f>
        <v>no</v>
      </c>
    </row>
    <row r="1240" spans="1:23" ht="15.75" x14ac:dyDescent="0.25">
      <c r="A1240" s="20">
        <v>30</v>
      </c>
      <c r="B1240" s="25">
        <v>4202500</v>
      </c>
      <c r="C1240" s="25"/>
      <c r="D1240" s="56" t="s">
        <v>231</v>
      </c>
      <c r="E1240" s="66"/>
      <c r="F1240" s="323" t="s">
        <v>301</v>
      </c>
      <c r="G1240" s="66">
        <v>45302</v>
      </c>
      <c r="H1240" s="35" t="s">
        <v>1493</v>
      </c>
      <c r="I1240" s="21">
        <v>4202500</v>
      </c>
      <c r="J1240" s="21"/>
      <c r="K1240" s="22">
        <v>0</v>
      </c>
      <c r="L1240" s="23"/>
      <c r="M1240" s="22">
        <v>0</v>
      </c>
      <c r="N1240" s="72">
        <v>0</v>
      </c>
      <c r="O1240" s="22">
        <v>0</v>
      </c>
      <c r="P1240" s="21">
        <v>4202500</v>
      </c>
      <c r="S1240" s="101" t="b">
        <f>OR(COUNTIF(Tabla2[[#This Row],[PROVEEDOR]],"*"&amp;'Palabra no opera'!$A$2&amp;"*"))</f>
        <v>0</v>
      </c>
      <c r="T1240" s="113">
        <f>+$W$5-Tabla2[[#This Row],[FECHA DE FACTURACIÓN]]</f>
        <v>20</v>
      </c>
      <c r="U1240" t="str">
        <f>+IF(Tabla2[[#This Row],[dias de credito]]&gt;=Tabla2[[#This Row],[PLAZO Días]],"venc", "No venc")</f>
        <v>No venc</v>
      </c>
      <c r="V1240" t="str">
        <f>+IF(Tabla2[[#This Row],[FECHA DE PAGO]]&gt;0,"pagada","por pagar")</f>
        <v>por pagar</v>
      </c>
      <c r="W1240" s="115" t="str">
        <f>+IF(AND(Tabla2[[#This Row],[venc]]="venc",Tabla2[[#This Row],[Columna1]]="por pagar"),"vencida","no")</f>
        <v>no</v>
      </c>
    </row>
    <row r="1241" spans="1:23" ht="15.75" x14ac:dyDescent="0.25">
      <c r="A1241" s="20">
        <v>30</v>
      </c>
      <c r="B1241" s="25">
        <v>5972000</v>
      </c>
      <c r="C1241" s="25"/>
      <c r="D1241" s="56">
        <v>0</v>
      </c>
      <c r="E1241" s="66"/>
      <c r="F1241" s="323" t="s">
        <v>512</v>
      </c>
      <c r="G1241" s="66">
        <v>45302</v>
      </c>
      <c r="H1241" s="35" t="s">
        <v>1507</v>
      </c>
      <c r="I1241" s="21">
        <v>1417500</v>
      </c>
      <c r="J1241" s="21"/>
      <c r="K1241" s="22">
        <v>0</v>
      </c>
      <c r="L1241" s="23"/>
      <c r="M1241" s="22">
        <v>0</v>
      </c>
      <c r="N1241" s="72">
        <v>0</v>
      </c>
      <c r="O1241" s="22">
        <v>0</v>
      </c>
      <c r="P1241" s="21">
        <v>1417500</v>
      </c>
      <c r="S1241" s="101" t="b">
        <f>OR(COUNTIF(Tabla2[[#This Row],[PROVEEDOR]],"*"&amp;'Palabra no opera'!$A$2&amp;"*"))</f>
        <v>0</v>
      </c>
      <c r="T1241" s="113">
        <f>+$W$5-Tabla2[[#This Row],[FECHA DE FACTURACIÓN]]</f>
        <v>20</v>
      </c>
      <c r="U1241" t="str">
        <f>+IF(Tabla2[[#This Row],[dias de credito]]&gt;=Tabla2[[#This Row],[PLAZO Días]],"venc", "No venc")</f>
        <v>No venc</v>
      </c>
      <c r="V1241" t="str">
        <f>+IF(Tabla2[[#This Row],[FECHA DE PAGO]]&gt;0,"pagada","por pagar")</f>
        <v>por pagar</v>
      </c>
      <c r="W1241" s="115" t="str">
        <f>+IF(AND(Tabla2[[#This Row],[venc]]="venc",Tabla2[[#This Row],[Columna1]]="por pagar"),"vencida","no")</f>
        <v>no</v>
      </c>
    </row>
    <row r="1242" spans="1:23" ht="15.75" x14ac:dyDescent="0.25">
      <c r="A1242" s="20">
        <v>30</v>
      </c>
      <c r="B1242" s="25">
        <v>3436655.6310000001</v>
      </c>
      <c r="C1242" s="25"/>
      <c r="D1242" s="56" t="s">
        <v>444</v>
      </c>
      <c r="E1242" s="66"/>
      <c r="F1242" s="323" t="s">
        <v>32</v>
      </c>
      <c r="G1242" s="66">
        <v>45294</v>
      </c>
      <c r="H1242" s="35" t="s">
        <v>1496</v>
      </c>
      <c r="I1242" s="21">
        <v>3069747.4</v>
      </c>
      <c r="J1242" s="21"/>
      <c r="K1242" s="22">
        <v>583252.00599999994</v>
      </c>
      <c r="L1242" s="23"/>
      <c r="M1242" s="22">
        <v>0</v>
      </c>
      <c r="N1242" s="72">
        <v>2.5000000000000001E-2</v>
      </c>
      <c r="O1242" s="22">
        <v>76743.684999999998</v>
      </c>
      <c r="P1242" s="21">
        <v>3576255.7209999999</v>
      </c>
      <c r="S1242" s="101" t="b">
        <f>OR(COUNTIF(Tabla2[[#This Row],[PROVEEDOR]],"*"&amp;'Palabra no opera'!$A$2&amp;"*"))</f>
        <v>0</v>
      </c>
      <c r="T1242" s="113">
        <f>+$W$5-Tabla2[[#This Row],[FECHA DE FACTURACIÓN]]</f>
        <v>28</v>
      </c>
      <c r="U1242" t="str">
        <f>+IF(Tabla2[[#This Row],[dias de credito]]&gt;=Tabla2[[#This Row],[PLAZO Días]],"venc", "No venc")</f>
        <v>No venc</v>
      </c>
      <c r="V1242" t="str">
        <f>+IF(Tabla2[[#This Row],[FECHA DE PAGO]]&gt;0,"pagada","por pagar")</f>
        <v>por pagar</v>
      </c>
      <c r="W1242" s="115" t="str">
        <f>+IF(AND(Tabla2[[#This Row],[venc]]="venc",Tabla2[[#This Row],[Columna1]]="por pagar"),"vencida","no")</f>
        <v>no</v>
      </c>
    </row>
    <row r="1243" spans="1:23" ht="15.75" x14ac:dyDescent="0.25">
      <c r="A1243" s="20">
        <v>60</v>
      </c>
      <c r="B1243" s="25">
        <v>3708614</v>
      </c>
      <c r="C1243" s="25"/>
      <c r="D1243" s="56" t="s">
        <v>645</v>
      </c>
      <c r="E1243" s="66"/>
      <c r="F1243" s="323" t="s">
        <v>250</v>
      </c>
      <c r="G1243" s="66">
        <v>45292</v>
      </c>
      <c r="H1243" s="35">
        <v>1883</v>
      </c>
      <c r="I1243" s="21">
        <v>620000</v>
      </c>
      <c r="J1243" s="21"/>
      <c r="K1243" s="22">
        <v>0</v>
      </c>
      <c r="L1243" s="23"/>
      <c r="M1243" s="22">
        <v>0</v>
      </c>
      <c r="N1243" s="72">
        <v>0</v>
      </c>
      <c r="O1243" s="22">
        <v>0</v>
      </c>
      <c r="P1243" s="21">
        <v>620000</v>
      </c>
      <c r="S1243" s="101" t="b">
        <f>OR(COUNTIF(Tabla2[[#This Row],[PROVEEDOR]],"*"&amp;'Palabra no opera'!$A$2&amp;"*"))</f>
        <v>0</v>
      </c>
      <c r="T1243" s="113">
        <f>+$W$5-Tabla2[[#This Row],[FECHA DE FACTURACIÓN]]</f>
        <v>30</v>
      </c>
      <c r="U1243" t="str">
        <f>+IF(Tabla2[[#This Row],[dias de credito]]&gt;=Tabla2[[#This Row],[PLAZO Días]],"venc", "No venc")</f>
        <v>No venc</v>
      </c>
      <c r="V1243" t="str">
        <f>+IF(Tabla2[[#This Row],[FECHA DE PAGO]]&gt;0,"pagada","por pagar")</f>
        <v>por pagar</v>
      </c>
      <c r="W1243" s="115" t="str">
        <f>+IF(AND(Tabla2[[#This Row],[venc]]="venc",Tabla2[[#This Row],[Columna1]]="por pagar"),"vencida","no")</f>
        <v>no</v>
      </c>
    </row>
    <row r="1244" spans="1:23" ht="15.75" x14ac:dyDescent="0.25">
      <c r="A1244" s="20">
        <v>60</v>
      </c>
      <c r="B1244" s="25">
        <v>3708614</v>
      </c>
      <c r="C1244" s="25"/>
      <c r="D1244" s="56" t="s">
        <v>645</v>
      </c>
      <c r="E1244" s="66"/>
      <c r="F1244" s="323" t="s">
        <v>250</v>
      </c>
      <c r="G1244" s="66">
        <v>45292</v>
      </c>
      <c r="H1244" s="35">
        <v>1884</v>
      </c>
      <c r="I1244" s="21">
        <v>224000</v>
      </c>
      <c r="J1244" s="21"/>
      <c r="K1244" s="22">
        <v>0</v>
      </c>
      <c r="L1244" s="23"/>
      <c r="M1244" s="22">
        <v>0</v>
      </c>
      <c r="N1244" s="72">
        <v>0</v>
      </c>
      <c r="O1244" s="22">
        <v>0</v>
      </c>
      <c r="P1244" s="21">
        <v>224000</v>
      </c>
      <c r="S1244" s="101" t="b">
        <f>OR(COUNTIF(Tabla2[[#This Row],[PROVEEDOR]],"*"&amp;'Palabra no opera'!$A$2&amp;"*"))</f>
        <v>0</v>
      </c>
      <c r="T1244" s="113">
        <f>+$W$5-Tabla2[[#This Row],[FECHA DE FACTURACIÓN]]</f>
        <v>30</v>
      </c>
      <c r="U1244" t="str">
        <f>+IF(Tabla2[[#This Row],[dias de credito]]&gt;=Tabla2[[#This Row],[PLAZO Días]],"venc", "No venc")</f>
        <v>No venc</v>
      </c>
      <c r="V1244" t="str">
        <f>+IF(Tabla2[[#This Row],[FECHA DE PAGO]]&gt;0,"pagada","por pagar")</f>
        <v>por pagar</v>
      </c>
      <c r="W1244" s="115" t="str">
        <f>+IF(AND(Tabla2[[#This Row],[venc]]="venc",Tabla2[[#This Row],[Columna1]]="por pagar"),"vencida","no")</f>
        <v>no</v>
      </c>
    </row>
    <row r="1245" spans="1:23" ht="15.75" x14ac:dyDescent="0.25">
      <c r="A1245" s="20">
        <v>30</v>
      </c>
      <c r="B1245" s="25">
        <v>6857153.040000001</v>
      </c>
      <c r="C1245" s="25"/>
      <c r="D1245" s="56" t="s">
        <v>309</v>
      </c>
      <c r="E1245" s="66"/>
      <c r="F1245" s="323" t="s">
        <v>254</v>
      </c>
      <c r="G1245" s="66">
        <v>45289</v>
      </c>
      <c r="H1245" s="35" t="s">
        <v>1451</v>
      </c>
      <c r="I1245" s="21">
        <v>1274790</v>
      </c>
      <c r="J1245" s="21"/>
      <c r="K1245" s="22">
        <v>242210.1</v>
      </c>
      <c r="L1245" s="23"/>
      <c r="M1245" s="22">
        <v>0</v>
      </c>
      <c r="N1245" s="72">
        <v>2.5000000000000001E-2</v>
      </c>
      <c r="O1245" s="22">
        <v>31869.75</v>
      </c>
      <c r="P1245" s="21">
        <v>1485130.35</v>
      </c>
      <c r="S1245" s="101" t="b">
        <f>OR(COUNTIF(Tabla2[[#This Row],[PROVEEDOR]],"*"&amp;'Palabra no opera'!$A$2&amp;"*"))</f>
        <v>0</v>
      </c>
      <c r="T1245" s="113">
        <f>+$W$5-Tabla2[[#This Row],[FECHA DE FACTURACIÓN]]</f>
        <v>33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por pagar</v>
      </c>
      <c r="W1245" s="115" t="str">
        <f>+IF(AND(Tabla2[[#This Row],[venc]]="venc",Tabla2[[#This Row],[Columna1]]="por pagar"),"vencida","no")</f>
        <v>vencida</v>
      </c>
    </row>
    <row r="1246" spans="1:23" ht="15.75" x14ac:dyDescent="0.25">
      <c r="A1246" s="20">
        <v>45</v>
      </c>
      <c r="B1246" s="25">
        <v>3074500</v>
      </c>
      <c r="C1246" s="25"/>
      <c r="D1246" s="56" t="s">
        <v>645</v>
      </c>
      <c r="E1246" s="66"/>
      <c r="F1246" s="323" t="s">
        <v>252</v>
      </c>
      <c r="G1246" s="66">
        <v>45288</v>
      </c>
      <c r="H1246" s="35" t="s">
        <v>1539</v>
      </c>
      <c r="I1246" s="21">
        <v>3074500</v>
      </c>
      <c r="J1246" s="21"/>
      <c r="K1246" s="22">
        <v>0</v>
      </c>
      <c r="L1246" s="23"/>
      <c r="M1246" s="22">
        <v>0</v>
      </c>
      <c r="N1246" s="72">
        <v>0</v>
      </c>
      <c r="O1246" s="22">
        <v>0</v>
      </c>
      <c r="P1246" s="21">
        <v>3074500</v>
      </c>
      <c r="S1246" s="101" t="b">
        <f>OR(COUNTIF(Tabla2[[#This Row],[PROVEEDOR]],"*"&amp;'Palabra no opera'!$A$2&amp;"*"))</f>
        <v>0</v>
      </c>
      <c r="T1246" s="113">
        <f>+$W$5-Tabla2[[#This Row],[FECHA DE FACTURACIÓN]]</f>
        <v>34</v>
      </c>
      <c r="U1246" t="str">
        <f>+IF(Tabla2[[#This Row],[dias de credito]]&gt;=Tabla2[[#This Row],[PLAZO Días]],"venc", "No venc")</f>
        <v>No venc</v>
      </c>
      <c r="V1246" t="str">
        <f>+IF(Tabla2[[#This Row],[FECHA DE PAGO]]&gt;0,"pagada","por pagar")</f>
        <v>por pagar</v>
      </c>
      <c r="W1246" s="115" t="str">
        <f>+IF(AND(Tabla2[[#This Row],[venc]]="venc",Tabla2[[#This Row],[Columna1]]="por pagar"),"vencida","no")</f>
        <v>no</v>
      </c>
    </row>
    <row r="1247" spans="1:23" ht="15.75" x14ac:dyDescent="0.25">
      <c r="A1247" s="20">
        <v>30</v>
      </c>
      <c r="B1247" s="25">
        <v>1110000</v>
      </c>
      <c r="C1247" s="25"/>
      <c r="D1247" s="56">
        <v>0</v>
      </c>
      <c r="E1247" s="66"/>
      <c r="F1247" s="323" t="s">
        <v>910</v>
      </c>
      <c r="G1247" s="66">
        <v>45287</v>
      </c>
      <c r="H1247" s="35" t="s">
        <v>1435</v>
      </c>
      <c r="I1247" s="21">
        <v>1110000</v>
      </c>
      <c r="J1247" s="21"/>
      <c r="K1247" s="22"/>
      <c r="L1247" s="23"/>
      <c r="M1247" s="22">
        <v>0</v>
      </c>
      <c r="N1247" s="72">
        <v>0</v>
      </c>
      <c r="O1247" s="22">
        <v>0</v>
      </c>
      <c r="P1247" s="21">
        <v>1110000</v>
      </c>
      <c r="S1247" s="101" t="b">
        <f>OR(COUNTIF(Tabla2[[#This Row],[PROVEEDOR]],"*"&amp;'Palabra no opera'!$A$2&amp;"*"))</f>
        <v>0</v>
      </c>
      <c r="T1247" s="113">
        <f>+$W$5-Tabla2[[#This Row],[FECHA DE FACTURACIÓN]]</f>
        <v>35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por pagar</v>
      </c>
      <c r="W1247" s="115" t="str">
        <f>+IF(AND(Tabla2[[#This Row],[venc]]="venc",Tabla2[[#This Row],[Columna1]]="por pagar"),"vencida","no")</f>
        <v>vencida</v>
      </c>
    </row>
    <row r="1248" spans="1:23" ht="15.75" x14ac:dyDescent="0.25">
      <c r="A1248" s="20">
        <v>60</v>
      </c>
      <c r="B1248" s="25">
        <v>14884783</v>
      </c>
      <c r="C1248" s="25"/>
      <c r="D1248" s="56" t="s">
        <v>432</v>
      </c>
      <c r="E1248" s="66"/>
      <c r="F1248" s="323" t="s">
        <v>76</v>
      </c>
      <c r="G1248" s="66">
        <v>45287</v>
      </c>
      <c r="H1248" s="35" t="s">
        <v>1452</v>
      </c>
      <c r="I1248" s="21">
        <v>18270200</v>
      </c>
      <c r="J1248" s="21"/>
      <c r="K1248" s="22">
        <v>3471338</v>
      </c>
      <c r="L1248" s="23"/>
      <c r="M1248" s="22">
        <v>6400000</v>
      </c>
      <c r="N1248" s="72">
        <v>2.5000000000000001E-2</v>
      </c>
      <c r="O1248" s="22">
        <v>456755</v>
      </c>
      <c r="P1248" s="21">
        <v>14884783</v>
      </c>
      <c r="S1248" s="101" t="b">
        <f>OR(COUNTIF(Tabla2[[#This Row],[PROVEEDOR]],"*"&amp;'Palabra no opera'!$A$2&amp;"*"))</f>
        <v>0</v>
      </c>
      <c r="T1248" s="113">
        <f>+$W$5-Tabla2[[#This Row],[FECHA DE FACTURACIÓN]]</f>
        <v>35</v>
      </c>
      <c r="U1248" t="str">
        <f>+IF(Tabla2[[#This Row],[dias de credito]]&gt;=Tabla2[[#This Row],[PLAZO Días]],"venc", "No venc")</f>
        <v>No venc</v>
      </c>
      <c r="V1248" t="str">
        <f>+IF(Tabla2[[#This Row],[FECHA DE PAGO]]&gt;0,"pagada","por pagar")</f>
        <v>por pagar</v>
      </c>
      <c r="W1248" s="115" t="str">
        <f>+IF(AND(Tabla2[[#This Row],[venc]]="venc",Tabla2[[#This Row],[Columna1]]="por pagar"),"vencida","no")</f>
        <v>no</v>
      </c>
    </row>
    <row r="1249" spans="1:23" ht="15.75" x14ac:dyDescent="0.25">
      <c r="A1249" s="20">
        <v>45</v>
      </c>
      <c r="B1249" s="25">
        <v>13678360</v>
      </c>
      <c r="C1249" s="25"/>
      <c r="D1249" s="56" t="s">
        <v>179</v>
      </c>
      <c r="E1249" s="66"/>
      <c r="F1249" s="323" t="s">
        <v>10</v>
      </c>
      <c r="G1249" s="66">
        <v>45287</v>
      </c>
      <c r="H1249" s="35" t="s">
        <v>1430</v>
      </c>
      <c r="I1249" s="21">
        <v>2584000</v>
      </c>
      <c r="J1249" s="21"/>
      <c r="K1249" s="22">
        <v>490960</v>
      </c>
      <c r="L1249" s="23"/>
      <c r="M1249" s="22">
        <v>0</v>
      </c>
      <c r="N1249" s="72">
        <v>2.5000000000000001E-2</v>
      </c>
      <c r="O1249" s="22">
        <v>64600</v>
      </c>
      <c r="P1249" s="21">
        <v>3010360</v>
      </c>
      <c r="S1249" s="101" t="b">
        <f>OR(COUNTIF(Tabla2[[#This Row],[PROVEEDOR]],"*"&amp;'Palabra no opera'!$A$2&amp;"*"))</f>
        <v>0</v>
      </c>
      <c r="T1249" s="113">
        <f>+$W$5-Tabla2[[#This Row],[FECHA DE FACTURACIÓN]]</f>
        <v>35</v>
      </c>
      <c r="U1249" t="str">
        <f>+IF(Tabla2[[#This Row],[dias de credito]]&gt;=Tabla2[[#This Row],[PLAZO Días]],"venc", "No venc")</f>
        <v>No venc</v>
      </c>
      <c r="V1249" t="str">
        <f>+IF(Tabla2[[#This Row],[FECHA DE PAGO]]&gt;0,"pagada","por pagar")</f>
        <v>por pagar</v>
      </c>
      <c r="W1249" s="115" t="str">
        <f>+IF(AND(Tabla2[[#This Row],[venc]]="venc",Tabla2[[#This Row],[Columna1]]="por pagar"),"vencida","no")</f>
        <v>no</v>
      </c>
    </row>
    <row r="1250" spans="1:23" ht="15.75" x14ac:dyDescent="0.25">
      <c r="A1250" s="20">
        <v>60</v>
      </c>
      <c r="B1250" s="25">
        <v>22881826.27</v>
      </c>
      <c r="C1250" s="25"/>
      <c r="D1250" s="56" t="s">
        <v>178</v>
      </c>
      <c r="E1250" s="66"/>
      <c r="F1250" s="323" t="s">
        <v>9</v>
      </c>
      <c r="G1250" s="66">
        <v>45286</v>
      </c>
      <c r="H1250" s="35" t="s">
        <v>1427</v>
      </c>
      <c r="I1250" s="21">
        <v>487650</v>
      </c>
      <c r="J1250" s="21"/>
      <c r="K1250" s="22">
        <v>92653.5</v>
      </c>
      <c r="L1250" s="23"/>
      <c r="M1250" s="22">
        <v>0</v>
      </c>
      <c r="N1250" s="72">
        <v>0</v>
      </c>
      <c r="O1250" s="22">
        <v>0</v>
      </c>
      <c r="P1250" s="21">
        <v>580303.5</v>
      </c>
      <c r="S1250" s="101" t="b">
        <f>OR(COUNTIF(Tabla2[[#This Row],[PROVEEDOR]],"*"&amp;'Palabra no opera'!$A$2&amp;"*"))</f>
        <v>0</v>
      </c>
      <c r="T1250" s="113">
        <f>+$W$5-Tabla2[[#This Row],[FECHA DE FACTURACIÓN]]</f>
        <v>36</v>
      </c>
      <c r="U1250" t="str">
        <f>+IF(Tabla2[[#This Row],[dias de credito]]&gt;=Tabla2[[#This Row],[PLAZO Días]],"venc", "No venc")</f>
        <v>No venc</v>
      </c>
      <c r="V1250" t="str">
        <f>+IF(Tabla2[[#This Row],[FECHA DE PAGO]]&gt;0,"pagada","por pagar")</f>
        <v>por pagar</v>
      </c>
      <c r="W1250" s="115" t="str">
        <f>+IF(AND(Tabla2[[#This Row],[venc]]="venc",Tabla2[[#This Row],[Columna1]]="por pagar"),"vencida","no")</f>
        <v>no</v>
      </c>
    </row>
    <row r="1251" spans="1:23" ht="15.75" x14ac:dyDescent="0.25">
      <c r="A1251" s="20">
        <v>30</v>
      </c>
      <c r="B1251" s="25">
        <v>1500000</v>
      </c>
      <c r="C1251" s="25"/>
      <c r="D1251" s="56" t="s">
        <v>104</v>
      </c>
      <c r="E1251" s="66"/>
      <c r="F1251" s="323" t="s">
        <v>273</v>
      </c>
      <c r="G1251" s="66">
        <v>45282</v>
      </c>
      <c r="H1251" s="35" t="s">
        <v>1422</v>
      </c>
      <c r="I1251" s="21">
        <v>1500000</v>
      </c>
      <c r="J1251" s="21"/>
      <c r="K1251" s="22">
        <v>0</v>
      </c>
      <c r="L1251" s="23"/>
      <c r="M1251" s="22">
        <v>0</v>
      </c>
      <c r="N1251" s="72">
        <v>0</v>
      </c>
      <c r="O1251" s="22">
        <v>0</v>
      </c>
      <c r="P1251" s="21">
        <v>1500000</v>
      </c>
      <c r="S1251" s="101" t="b">
        <f>OR(COUNTIF(Tabla2[[#This Row],[PROVEEDOR]],"*"&amp;'Palabra no opera'!$A$2&amp;"*"))</f>
        <v>0</v>
      </c>
      <c r="T1251" s="113">
        <f>+$W$5-Tabla2[[#This Row],[FECHA DE FACTURACIÓN]]</f>
        <v>40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por pagar</v>
      </c>
      <c r="W1251" s="115" t="str">
        <f>+IF(AND(Tabla2[[#This Row],[venc]]="venc",Tabla2[[#This Row],[Columna1]]="por pagar"),"vencida","no")</f>
        <v>vencida</v>
      </c>
    </row>
    <row r="1252" spans="1:23" ht="15.75" x14ac:dyDescent="0.25">
      <c r="A1252" s="20">
        <v>60</v>
      </c>
      <c r="B1252" s="25">
        <v>3708614</v>
      </c>
      <c r="C1252" s="25"/>
      <c r="D1252" s="56" t="s">
        <v>645</v>
      </c>
      <c r="E1252" s="66"/>
      <c r="F1252" s="323" t="s">
        <v>250</v>
      </c>
      <c r="G1252" s="66">
        <v>45282</v>
      </c>
      <c r="H1252" s="35">
        <v>1873</v>
      </c>
      <c r="I1252" s="21">
        <v>395600</v>
      </c>
      <c r="J1252" s="21"/>
      <c r="K1252" s="22">
        <v>0</v>
      </c>
      <c r="L1252" s="23"/>
      <c r="M1252" s="22">
        <v>0</v>
      </c>
      <c r="N1252" s="72">
        <v>0</v>
      </c>
      <c r="O1252" s="22">
        <v>0</v>
      </c>
      <c r="P1252" s="21">
        <v>395600</v>
      </c>
      <c r="S1252" s="101" t="b">
        <f>OR(COUNTIF(Tabla2[[#This Row],[PROVEEDOR]],"*"&amp;'Palabra no opera'!$A$2&amp;"*"))</f>
        <v>0</v>
      </c>
      <c r="T1252" s="113">
        <f>+$W$5-Tabla2[[#This Row],[FECHA DE FACTURACIÓN]]</f>
        <v>40</v>
      </c>
      <c r="U1252" t="str">
        <f>+IF(Tabla2[[#This Row],[dias de credito]]&gt;=Tabla2[[#This Row],[PLAZO Días]],"venc", "No venc")</f>
        <v>No venc</v>
      </c>
      <c r="V1252" t="str">
        <f>+IF(Tabla2[[#This Row],[FECHA DE PAGO]]&gt;0,"pagada","por pagar")</f>
        <v>por pagar</v>
      </c>
      <c r="W1252" s="115" t="str">
        <f>+IF(AND(Tabla2[[#This Row],[venc]]="venc",Tabla2[[#This Row],[Columna1]]="por pagar"),"vencida","no")</f>
        <v>no</v>
      </c>
    </row>
    <row r="1253" spans="1:23" ht="15.75" x14ac:dyDescent="0.25">
      <c r="A1253" s="20">
        <v>60</v>
      </c>
      <c r="B1253" s="25">
        <v>22881826.27</v>
      </c>
      <c r="C1253" s="25"/>
      <c r="D1253" s="56" t="s">
        <v>178</v>
      </c>
      <c r="E1253" s="66"/>
      <c r="F1253" s="323" t="s">
        <v>9</v>
      </c>
      <c r="G1253" s="66">
        <v>45281</v>
      </c>
      <c r="H1253" s="35" t="s">
        <v>1403</v>
      </c>
      <c r="I1253" s="21">
        <v>19142938</v>
      </c>
      <c r="J1253" s="21"/>
      <c r="K1253" s="22">
        <v>3637158.22</v>
      </c>
      <c r="L1253" s="23"/>
      <c r="M1253" s="22">
        <v>0</v>
      </c>
      <c r="N1253" s="72">
        <v>2.5000000000000001E-2</v>
      </c>
      <c r="O1253" s="22">
        <v>478573.45</v>
      </c>
      <c r="P1253" s="21">
        <v>22301522.77</v>
      </c>
      <c r="S1253" s="101" t="b">
        <f>OR(COUNTIF(Tabla2[[#This Row],[PROVEEDOR]],"*"&amp;'Palabra no opera'!$A$2&amp;"*"))</f>
        <v>0</v>
      </c>
      <c r="T1253" s="113">
        <f>+$W$5-Tabla2[[#This Row],[FECHA DE FACTURACIÓN]]</f>
        <v>41</v>
      </c>
      <c r="U1253" t="str">
        <f>+IF(Tabla2[[#This Row],[dias de credito]]&gt;=Tabla2[[#This Row],[PLAZO Días]],"venc", "No venc")</f>
        <v>No venc</v>
      </c>
      <c r="V1253" t="str">
        <f>+IF(Tabla2[[#This Row],[FECHA DE PAGO]]&gt;0,"pagada","por pagar")</f>
        <v>por pagar</v>
      </c>
      <c r="W1253" s="115" t="str">
        <f>+IF(AND(Tabla2[[#This Row],[venc]]="venc",Tabla2[[#This Row],[Columna1]]="por pagar"),"vencida","no")</f>
        <v>no</v>
      </c>
    </row>
    <row r="1254" spans="1:23" ht="15.75" x14ac:dyDescent="0.25">
      <c r="A1254" s="20">
        <v>30</v>
      </c>
      <c r="B1254" s="25">
        <v>1426700.52</v>
      </c>
      <c r="C1254" s="25"/>
      <c r="D1254" s="56" t="s">
        <v>159</v>
      </c>
      <c r="E1254" s="66"/>
      <c r="F1254" s="323" t="s">
        <v>151</v>
      </c>
      <c r="G1254" s="66">
        <v>45278</v>
      </c>
      <c r="H1254" s="35" t="s">
        <v>1404</v>
      </c>
      <c r="I1254" s="21">
        <v>868908</v>
      </c>
      <c r="J1254" s="21"/>
      <c r="K1254" s="22">
        <v>165092.51999999999</v>
      </c>
      <c r="L1254" s="23"/>
      <c r="M1254" s="22">
        <v>0</v>
      </c>
      <c r="N1254" s="72">
        <v>0</v>
      </c>
      <c r="O1254" s="22">
        <v>0</v>
      </c>
      <c r="P1254" s="21">
        <v>1034000.52</v>
      </c>
      <c r="S1254" s="101" t="b">
        <f>OR(COUNTIF(Tabla2[[#This Row],[PROVEEDOR]],"*"&amp;'Palabra no opera'!$A$2&amp;"*"))</f>
        <v>0</v>
      </c>
      <c r="T1254" s="113">
        <f>+$W$5-Tabla2[[#This Row],[FECHA DE FACTURACIÓN]]</f>
        <v>44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por pagar</v>
      </c>
      <c r="W1254" s="115" t="str">
        <f>+IF(AND(Tabla2[[#This Row],[venc]]="venc",Tabla2[[#This Row],[Columna1]]="por pagar"),"vencida","no")</f>
        <v>vencida</v>
      </c>
    </row>
    <row r="1255" spans="1:23" ht="15.75" x14ac:dyDescent="0.25">
      <c r="A1255" s="20">
        <v>30</v>
      </c>
      <c r="B1255" s="25">
        <v>406756</v>
      </c>
      <c r="C1255" s="25"/>
      <c r="D1255" s="56" t="s">
        <v>104</v>
      </c>
      <c r="E1255" s="66"/>
      <c r="F1255" s="323" t="s">
        <v>568</v>
      </c>
      <c r="G1255" s="66">
        <v>45278</v>
      </c>
      <c r="H1255" s="35" t="s">
        <v>1564</v>
      </c>
      <c r="I1255" s="21">
        <v>269500</v>
      </c>
      <c r="J1255" s="21"/>
      <c r="K1255" s="22">
        <v>0</v>
      </c>
      <c r="L1255" s="23"/>
      <c r="M1255" s="22">
        <v>0</v>
      </c>
      <c r="N1255" s="72">
        <v>0</v>
      </c>
      <c r="O1255" s="22">
        <v>0</v>
      </c>
      <c r="P1255" s="21">
        <v>269500</v>
      </c>
      <c r="S1255" s="101" t="b">
        <f>OR(COUNTIF(Tabla2[[#This Row],[PROVEEDOR]],"*"&amp;'Palabra no opera'!$A$2&amp;"*"))</f>
        <v>0</v>
      </c>
      <c r="T1255" s="113">
        <f>+$W$5-Tabla2[[#This Row],[FECHA DE FACTURACIÓN]]</f>
        <v>44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por pagar</v>
      </c>
      <c r="W1255" s="115" t="str">
        <f>+IF(AND(Tabla2[[#This Row],[venc]]="venc",Tabla2[[#This Row],[Columna1]]="por pagar"),"vencida","no")</f>
        <v>vencida</v>
      </c>
    </row>
    <row r="1256" spans="1:23" ht="15.75" x14ac:dyDescent="0.25">
      <c r="A1256" s="20">
        <v>60</v>
      </c>
      <c r="B1256" s="25">
        <v>5538410</v>
      </c>
      <c r="C1256" s="25"/>
      <c r="D1256" s="56" t="s">
        <v>625</v>
      </c>
      <c r="E1256" s="66"/>
      <c r="F1256" s="323" t="s">
        <v>624</v>
      </c>
      <c r="G1256" s="66">
        <v>45275</v>
      </c>
      <c r="H1256" s="35" t="s">
        <v>1413</v>
      </c>
      <c r="I1256" s="21">
        <v>4754000</v>
      </c>
      <c r="J1256" s="21"/>
      <c r="K1256" s="22">
        <v>903260</v>
      </c>
      <c r="L1256" s="23"/>
      <c r="M1256" s="22">
        <v>0</v>
      </c>
      <c r="N1256" s="72">
        <v>2.5000000000000001E-2</v>
      </c>
      <c r="O1256" s="22">
        <v>118850</v>
      </c>
      <c r="P1256" s="21">
        <v>5538410</v>
      </c>
      <c r="S1256" s="101" t="b">
        <f>OR(COUNTIF(Tabla2[[#This Row],[PROVEEDOR]],"*"&amp;'Palabra no opera'!$A$2&amp;"*"))</f>
        <v>0</v>
      </c>
      <c r="T1256" s="113">
        <f>+$W$5-Tabla2[[#This Row],[FECHA DE FACTURACIÓN]]</f>
        <v>47</v>
      </c>
      <c r="U1256" t="str">
        <f>+IF(Tabla2[[#This Row],[dias de credito]]&gt;=Tabla2[[#This Row],[PLAZO Días]],"venc", "No venc")</f>
        <v>No venc</v>
      </c>
      <c r="V1256" t="str">
        <f>+IF(Tabla2[[#This Row],[FECHA DE PAGO]]&gt;0,"pagada","por pagar")</f>
        <v>por pagar</v>
      </c>
      <c r="W1256" s="115" t="str">
        <f>+IF(AND(Tabla2[[#This Row],[venc]]="venc",Tabla2[[#This Row],[Columna1]]="por pagar"),"vencida","no")</f>
        <v>no</v>
      </c>
    </row>
    <row r="1257" spans="1:23" ht="15.75" x14ac:dyDescent="0.25">
      <c r="A1257" s="20">
        <v>30</v>
      </c>
      <c r="B1257" s="25">
        <v>5972000</v>
      </c>
      <c r="C1257" s="25"/>
      <c r="D1257" s="56">
        <v>0</v>
      </c>
      <c r="E1257" s="66"/>
      <c r="F1257" s="323" t="s">
        <v>512</v>
      </c>
      <c r="G1257" s="66">
        <v>45274</v>
      </c>
      <c r="H1257" s="35" t="s">
        <v>1375</v>
      </c>
      <c r="I1257" s="21">
        <v>2700000</v>
      </c>
      <c r="J1257" s="21"/>
      <c r="K1257" s="22">
        <v>0</v>
      </c>
      <c r="L1257" s="23"/>
      <c r="M1257" s="22">
        <v>0</v>
      </c>
      <c r="N1257" s="72">
        <v>0</v>
      </c>
      <c r="O1257" s="22">
        <v>0</v>
      </c>
      <c r="P1257" s="21">
        <v>2700000</v>
      </c>
      <c r="S1257" s="101" t="b">
        <f>OR(COUNTIF(Tabla2[[#This Row],[PROVEEDOR]],"*"&amp;'Palabra no opera'!$A$2&amp;"*"))</f>
        <v>0</v>
      </c>
      <c r="T1257" s="113">
        <f>+$W$5-Tabla2[[#This Row],[FECHA DE FACTURACIÓN]]</f>
        <v>48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por pagar</v>
      </c>
      <c r="W1257" s="115" t="str">
        <f>+IF(AND(Tabla2[[#This Row],[venc]]="venc",Tabla2[[#This Row],[Columna1]]="por pagar"),"vencida","no")</f>
        <v>vencida</v>
      </c>
    </row>
    <row r="1258" spans="1:23" ht="15.75" x14ac:dyDescent="0.25">
      <c r="A1258" s="20">
        <v>30</v>
      </c>
      <c r="B1258" s="25">
        <v>8306450</v>
      </c>
      <c r="C1258" s="25"/>
      <c r="D1258" s="56" t="s">
        <v>755</v>
      </c>
      <c r="E1258" s="66"/>
      <c r="F1258" s="323" t="s">
        <v>754</v>
      </c>
      <c r="G1258" s="66">
        <v>45273</v>
      </c>
      <c r="H1258" s="35" t="s">
        <v>1405</v>
      </c>
      <c r="I1258" s="21">
        <v>7130000</v>
      </c>
      <c r="J1258" s="21"/>
      <c r="K1258" s="22">
        <v>1354700</v>
      </c>
      <c r="L1258" s="23"/>
      <c r="M1258" s="22">
        <v>0</v>
      </c>
      <c r="N1258" s="72">
        <v>2.5000000000000001E-2</v>
      </c>
      <c r="O1258" s="22">
        <v>178250</v>
      </c>
      <c r="P1258" s="21">
        <v>8306450</v>
      </c>
      <c r="S1258" s="101" t="b">
        <f>OR(COUNTIF(Tabla2[[#This Row],[PROVEEDOR]],"*"&amp;'Palabra no opera'!$A$2&amp;"*"))</f>
        <v>0</v>
      </c>
      <c r="T1258" s="113">
        <f>+$W$5-Tabla2[[#This Row],[FECHA DE FACTURACIÓN]]</f>
        <v>49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por pagar</v>
      </c>
      <c r="W1258" s="115" t="str">
        <f>+IF(AND(Tabla2[[#This Row],[venc]]="venc",Tabla2[[#This Row],[Columna1]]="por pagar"),"vencida","no")</f>
        <v>vencida</v>
      </c>
    </row>
    <row r="1259" spans="1:23" ht="15.75" x14ac:dyDescent="0.25">
      <c r="A1259" s="20">
        <v>30</v>
      </c>
      <c r="B1259" s="25">
        <v>380979.69</v>
      </c>
      <c r="C1259" s="25"/>
      <c r="D1259" s="56" t="s">
        <v>255</v>
      </c>
      <c r="E1259" s="66"/>
      <c r="F1259" s="323" t="s">
        <v>393</v>
      </c>
      <c r="G1259" s="66">
        <v>45272</v>
      </c>
      <c r="H1259" s="35" t="s">
        <v>1415</v>
      </c>
      <c r="I1259" s="21">
        <v>320151</v>
      </c>
      <c r="J1259" s="21"/>
      <c r="K1259" s="22">
        <v>60828.69</v>
      </c>
      <c r="L1259" s="23"/>
      <c r="M1259" s="22">
        <v>0</v>
      </c>
      <c r="N1259" s="72">
        <v>0</v>
      </c>
      <c r="O1259" s="22">
        <v>0</v>
      </c>
      <c r="P1259" s="21">
        <v>380979.69</v>
      </c>
      <c r="S1259" s="101" t="b">
        <f>OR(COUNTIF(Tabla2[[#This Row],[PROVEEDOR]],"*"&amp;'Palabra no opera'!$A$2&amp;"*"))</f>
        <v>1</v>
      </c>
      <c r="T1259" s="113">
        <f>+$W$5-Tabla2[[#This Row],[FECHA DE FACTURACIÓN]]</f>
        <v>50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por pagar</v>
      </c>
      <c r="W1259" s="115" t="str">
        <f>+IF(AND(Tabla2[[#This Row],[venc]]="venc",Tabla2[[#This Row],[Columna1]]="por pagar"),"vencida","no")</f>
        <v>vencida</v>
      </c>
    </row>
    <row r="1260" spans="1:23" ht="15.75" x14ac:dyDescent="0.25">
      <c r="A1260" s="20">
        <v>60</v>
      </c>
      <c r="B1260" s="25">
        <v>5363111.8674999997</v>
      </c>
      <c r="C1260" s="25"/>
      <c r="D1260" s="56" t="s">
        <v>168</v>
      </c>
      <c r="E1260" s="66"/>
      <c r="F1260" s="323" t="s">
        <v>249</v>
      </c>
      <c r="G1260" s="66">
        <v>45272</v>
      </c>
      <c r="H1260" s="35" t="s">
        <v>1414</v>
      </c>
      <c r="I1260" s="21">
        <v>2754790</v>
      </c>
      <c r="J1260" s="21"/>
      <c r="K1260" s="22">
        <v>523410.10000000003</v>
      </c>
      <c r="L1260" s="23"/>
      <c r="M1260" s="22">
        <v>0</v>
      </c>
      <c r="N1260" s="72">
        <v>2.5000000000000001E-2</v>
      </c>
      <c r="O1260" s="22">
        <v>68869.75</v>
      </c>
      <c r="P1260" s="21">
        <v>3209330.35</v>
      </c>
      <c r="S1260" s="101" t="b">
        <f>OR(COUNTIF(Tabla2[[#This Row],[PROVEEDOR]],"*"&amp;'Palabra no opera'!$A$2&amp;"*"))</f>
        <v>0</v>
      </c>
      <c r="T1260" s="113">
        <f>+$W$5-Tabla2[[#This Row],[FECHA DE FACTURACIÓN]]</f>
        <v>50</v>
      </c>
      <c r="U1260" t="str">
        <f>+IF(Tabla2[[#This Row],[dias de credito]]&gt;=Tabla2[[#This Row],[PLAZO Días]],"venc", "No venc")</f>
        <v>No venc</v>
      </c>
      <c r="V1260" t="str">
        <f>+IF(Tabla2[[#This Row],[FECHA DE PAGO]]&gt;0,"pagada","por pagar")</f>
        <v>por pagar</v>
      </c>
      <c r="W1260" s="115" t="str">
        <f>+IF(AND(Tabla2[[#This Row],[venc]]="venc",Tabla2[[#This Row],[Columna1]]="por pagar"),"vencida","no")</f>
        <v>no</v>
      </c>
    </row>
    <row r="1261" spans="1:23" ht="15.75" x14ac:dyDescent="0.25">
      <c r="A1261" s="20">
        <v>30</v>
      </c>
      <c r="B1261" s="25">
        <v>4282200</v>
      </c>
      <c r="C1261" s="25"/>
      <c r="D1261" s="56" t="s">
        <v>217</v>
      </c>
      <c r="E1261" s="66"/>
      <c r="F1261" s="323" t="s">
        <v>312</v>
      </c>
      <c r="G1261" s="66">
        <v>45271</v>
      </c>
      <c r="H1261" s="35" t="s">
        <v>1418</v>
      </c>
      <c r="I1261" s="21">
        <v>4925000</v>
      </c>
      <c r="J1261" s="21">
        <v>738750</v>
      </c>
      <c r="K1261" s="22">
        <v>0</v>
      </c>
      <c r="L1261" s="23"/>
      <c r="M1261" s="22">
        <v>0</v>
      </c>
      <c r="N1261" s="72">
        <v>0</v>
      </c>
      <c r="O1261" s="22">
        <v>0</v>
      </c>
      <c r="P1261" s="21">
        <v>4186250</v>
      </c>
      <c r="S1261" s="101" t="b">
        <f>OR(COUNTIF(Tabla2[[#This Row],[PROVEEDOR]],"*"&amp;'Palabra no opera'!$A$2&amp;"*"))</f>
        <v>0</v>
      </c>
      <c r="T1261" s="113">
        <f>+$W$5-Tabla2[[#This Row],[FECHA DE FACTURACIÓN]]</f>
        <v>51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por pagar</v>
      </c>
      <c r="W1261" s="115" t="str">
        <f>+IF(AND(Tabla2[[#This Row],[venc]]="venc",Tabla2[[#This Row],[Columna1]]="por pagar"),"vencida","no")</f>
        <v>vencida</v>
      </c>
    </row>
    <row r="1262" spans="1:23" ht="15.75" x14ac:dyDescent="0.25">
      <c r="A1262" s="20">
        <v>30</v>
      </c>
      <c r="B1262" s="25">
        <v>4282200</v>
      </c>
      <c r="C1262" s="25"/>
      <c r="D1262" s="56" t="s">
        <v>217</v>
      </c>
      <c r="E1262" s="66"/>
      <c r="F1262" s="323" t="s">
        <v>312</v>
      </c>
      <c r="G1262" s="66">
        <v>45271</v>
      </c>
      <c r="H1262" s="35" t="s">
        <v>1419</v>
      </c>
      <c r="I1262" s="21">
        <v>101000</v>
      </c>
      <c r="J1262" s="21">
        <v>5050</v>
      </c>
      <c r="K1262" s="22">
        <v>0</v>
      </c>
      <c r="L1262" s="23"/>
      <c r="M1262" s="22">
        <v>0</v>
      </c>
      <c r="N1262" s="72">
        <v>0</v>
      </c>
      <c r="O1262" s="22">
        <v>0</v>
      </c>
      <c r="P1262" s="21">
        <v>95950</v>
      </c>
      <c r="S1262" s="101" t="b">
        <f>OR(COUNTIF(Tabla2[[#This Row],[PROVEEDOR]],"*"&amp;'Palabra no opera'!$A$2&amp;"*"))</f>
        <v>0</v>
      </c>
      <c r="T1262" s="113">
        <f>+$W$5-Tabla2[[#This Row],[FECHA DE FACTURACIÓN]]</f>
        <v>51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por pagar</v>
      </c>
      <c r="W1262" s="115" t="str">
        <f>+IF(AND(Tabla2[[#This Row],[venc]]="venc",Tabla2[[#This Row],[Columna1]]="por pagar"),"vencida","no")</f>
        <v>vencida</v>
      </c>
    </row>
    <row r="1263" spans="1:23" ht="15.75" x14ac:dyDescent="0.25">
      <c r="A1263" s="20">
        <v>45</v>
      </c>
      <c r="B1263" s="25">
        <v>13678360</v>
      </c>
      <c r="C1263" s="25"/>
      <c r="D1263" s="56" t="s">
        <v>179</v>
      </c>
      <c r="E1263" s="66"/>
      <c r="F1263" s="323" t="s">
        <v>10</v>
      </c>
      <c r="G1263" s="66">
        <v>45266</v>
      </c>
      <c r="H1263" s="35" t="s">
        <v>1387</v>
      </c>
      <c r="I1263" s="21">
        <v>4200000</v>
      </c>
      <c r="J1263" s="21"/>
      <c r="K1263" s="22">
        <v>798000</v>
      </c>
      <c r="L1263" s="23"/>
      <c r="M1263" s="22">
        <v>0</v>
      </c>
      <c r="N1263" s="72">
        <v>2.5000000000000001E-2</v>
      </c>
      <c r="O1263" s="22">
        <v>105000</v>
      </c>
      <c r="P1263" s="21">
        <v>4893000</v>
      </c>
      <c r="S1263" s="101" t="b">
        <f>OR(COUNTIF(Tabla2[[#This Row],[PROVEEDOR]],"*"&amp;'Palabra no opera'!$A$2&amp;"*"))</f>
        <v>0</v>
      </c>
      <c r="T1263" s="113">
        <f>+$W$5-Tabla2[[#This Row],[FECHA DE FACTURACIÓN]]</f>
        <v>56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por pagar</v>
      </c>
      <c r="W1263" s="115" t="str">
        <f>+IF(AND(Tabla2[[#This Row],[venc]]="venc",Tabla2[[#This Row],[Columna1]]="por pagar"),"vencida","no")</f>
        <v>vencida</v>
      </c>
    </row>
    <row r="1264" spans="1:23" ht="15.75" x14ac:dyDescent="0.25">
      <c r="A1264" s="20">
        <v>30</v>
      </c>
      <c r="B1264" s="25">
        <v>680000</v>
      </c>
      <c r="C1264" s="25"/>
      <c r="D1264" s="56" t="s">
        <v>159</v>
      </c>
      <c r="E1264" s="66"/>
      <c r="F1264" s="323" t="s">
        <v>317</v>
      </c>
      <c r="G1264" s="66">
        <v>45265</v>
      </c>
      <c r="H1264" s="35" t="s">
        <v>1433</v>
      </c>
      <c r="I1264" s="21">
        <v>680000</v>
      </c>
      <c r="J1264" s="21"/>
      <c r="K1264" s="22">
        <v>0</v>
      </c>
      <c r="L1264" s="23"/>
      <c r="M1264" s="22">
        <v>0</v>
      </c>
      <c r="N1264" s="72">
        <v>0</v>
      </c>
      <c r="O1264" s="22">
        <v>0</v>
      </c>
      <c r="P1264" s="21">
        <v>680000</v>
      </c>
      <c r="S1264" s="101" t="b">
        <f>OR(COUNTIF(Tabla2[[#This Row],[PROVEEDOR]],"*"&amp;'Palabra no opera'!$A$2&amp;"*"))</f>
        <v>0</v>
      </c>
      <c r="T1264" s="113">
        <f>+$W$5-Tabla2[[#This Row],[FECHA DE FACTURACIÓN]]</f>
        <v>57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por pagar</v>
      </c>
      <c r="W1264" s="115" t="str">
        <f>+IF(AND(Tabla2[[#This Row],[venc]]="venc",Tabla2[[#This Row],[Columna1]]="por pagar"),"vencida","no")</f>
        <v>vencida</v>
      </c>
    </row>
    <row r="1265" spans="1:23" ht="15.75" x14ac:dyDescent="0.25">
      <c r="A1265" s="20">
        <v>90</v>
      </c>
      <c r="B1265" s="25">
        <v>12030261.305</v>
      </c>
      <c r="C1265" s="25"/>
      <c r="D1265" s="56" t="s">
        <v>161</v>
      </c>
      <c r="E1265" s="66"/>
      <c r="F1265" s="323" t="s">
        <v>12</v>
      </c>
      <c r="G1265" s="66">
        <v>45265</v>
      </c>
      <c r="H1265" s="35" t="s">
        <v>1376</v>
      </c>
      <c r="I1265" s="21">
        <v>10294117</v>
      </c>
      <c r="J1265" s="21"/>
      <c r="K1265" s="22">
        <v>1955882.23</v>
      </c>
      <c r="L1265" s="23"/>
      <c r="M1265" s="22">
        <v>0</v>
      </c>
      <c r="N1265" s="72">
        <v>2.5000000000000001E-2</v>
      </c>
      <c r="O1265" s="22">
        <v>257352.92500000002</v>
      </c>
      <c r="P1265" s="21">
        <v>11992646.305</v>
      </c>
      <c r="S1265" s="101" t="b">
        <f>OR(COUNTIF(Tabla2[[#This Row],[PROVEEDOR]],"*"&amp;'Palabra no opera'!$A$2&amp;"*"))</f>
        <v>0</v>
      </c>
      <c r="T1265" s="113">
        <f>+$W$5-Tabla2[[#This Row],[FECHA DE FACTURACIÓN]]</f>
        <v>57</v>
      </c>
      <c r="U1265" t="str">
        <f>+IF(Tabla2[[#This Row],[dias de credito]]&gt;=Tabla2[[#This Row],[PLAZO Días]],"venc", "No venc")</f>
        <v>No venc</v>
      </c>
      <c r="V1265" t="str">
        <f>+IF(Tabla2[[#This Row],[FECHA DE PAGO]]&gt;0,"pagada","por pagar")</f>
        <v>por pagar</v>
      </c>
      <c r="W1265" s="115" t="str">
        <f>+IF(AND(Tabla2[[#This Row],[venc]]="venc",Tabla2[[#This Row],[Columna1]]="por pagar"),"vencida","no")</f>
        <v>no</v>
      </c>
    </row>
    <row r="1266" spans="1:23" ht="15.75" x14ac:dyDescent="0.25">
      <c r="A1266" s="20">
        <v>90</v>
      </c>
      <c r="B1266" s="25">
        <v>12030261.305</v>
      </c>
      <c r="C1266" s="25"/>
      <c r="D1266" s="56" t="s">
        <v>161</v>
      </c>
      <c r="E1266" s="66"/>
      <c r="F1266" s="323" t="s">
        <v>12</v>
      </c>
      <c r="G1266" s="66">
        <v>45265</v>
      </c>
      <c r="H1266" s="35" t="s">
        <v>1377</v>
      </c>
      <c r="I1266" s="21">
        <v>37615</v>
      </c>
      <c r="J1266" s="21"/>
      <c r="K1266" s="22">
        <v>0</v>
      </c>
      <c r="L1266" s="23"/>
      <c r="M1266" s="22">
        <v>0</v>
      </c>
      <c r="N1266" s="72">
        <v>0</v>
      </c>
      <c r="O1266" s="22">
        <v>0</v>
      </c>
      <c r="P1266" s="21">
        <v>37615</v>
      </c>
      <c r="S1266" s="101" t="b">
        <f>OR(COUNTIF(Tabla2[[#This Row],[PROVEEDOR]],"*"&amp;'Palabra no opera'!$A$2&amp;"*"))</f>
        <v>0</v>
      </c>
      <c r="T1266" s="113">
        <f>+$W$5-Tabla2[[#This Row],[FECHA DE FACTURACIÓN]]</f>
        <v>57</v>
      </c>
      <c r="U1266" t="str">
        <f>+IF(Tabla2[[#This Row],[dias de credito]]&gt;=Tabla2[[#This Row],[PLAZO Días]],"venc", "No venc")</f>
        <v>No venc</v>
      </c>
      <c r="V1266" t="str">
        <f>+IF(Tabla2[[#This Row],[FECHA DE PAGO]]&gt;0,"pagada","por pagar")</f>
        <v>por pagar</v>
      </c>
      <c r="W1266" s="115" t="str">
        <f>+IF(AND(Tabla2[[#This Row],[venc]]="venc",Tabla2[[#This Row],[Columna1]]="por pagar"),"vencida","no")</f>
        <v>no</v>
      </c>
    </row>
    <row r="1267" spans="1:23" ht="15.75" x14ac:dyDescent="0.25">
      <c r="A1267" s="20">
        <v>30</v>
      </c>
      <c r="B1267" s="25">
        <v>6857153.040000001</v>
      </c>
      <c r="C1267" s="25"/>
      <c r="D1267" s="56" t="s">
        <v>309</v>
      </c>
      <c r="E1267" s="66"/>
      <c r="F1267" s="323" t="s">
        <v>254</v>
      </c>
      <c r="G1267" s="66">
        <v>45265</v>
      </c>
      <c r="H1267" s="35" t="s">
        <v>1385</v>
      </c>
      <c r="I1267" s="21">
        <v>3478190</v>
      </c>
      <c r="J1267" s="21"/>
      <c r="K1267" s="22">
        <v>660856.1</v>
      </c>
      <c r="L1267" s="23"/>
      <c r="M1267" s="22">
        <v>0</v>
      </c>
      <c r="N1267" s="72">
        <v>2.5000000000000001E-2</v>
      </c>
      <c r="O1267" s="22">
        <v>86954.75</v>
      </c>
      <c r="P1267" s="21">
        <v>4052091.35</v>
      </c>
      <c r="S1267" s="101" t="b">
        <f>OR(COUNTIF(Tabla2[[#This Row],[PROVEEDOR]],"*"&amp;'Palabra no opera'!$A$2&amp;"*"))</f>
        <v>0</v>
      </c>
      <c r="T1267" s="113">
        <f>+$W$5-Tabla2[[#This Row],[FECHA DE FACTURACIÓN]]</f>
        <v>57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por pagar</v>
      </c>
      <c r="W1267" s="115" t="str">
        <f>+IF(AND(Tabla2[[#This Row],[venc]]="venc",Tabla2[[#This Row],[Columna1]]="por pagar"),"vencida","no")</f>
        <v>vencida</v>
      </c>
    </row>
    <row r="1268" spans="1:23" ht="15.75" x14ac:dyDescent="0.25">
      <c r="A1268" s="20">
        <v>30</v>
      </c>
      <c r="B1268" s="25">
        <v>5480000</v>
      </c>
      <c r="C1268" s="25"/>
      <c r="D1268" s="56" t="s">
        <v>104</v>
      </c>
      <c r="E1268" s="66"/>
      <c r="F1268" s="323" t="s">
        <v>1197</v>
      </c>
      <c r="G1268" s="66">
        <v>45264</v>
      </c>
      <c r="H1268" s="35" t="s">
        <v>1445</v>
      </c>
      <c r="I1268" s="21">
        <v>5480000</v>
      </c>
      <c r="J1268" s="21"/>
      <c r="K1268" s="22">
        <v>0</v>
      </c>
      <c r="L1268" s="23"/>
      <c r="M1268" s="22">
        <v>0</v>
      </c>
      <c r="N1268" s="72">
        <v>0</v>
      </c>
      <c r="O1268" s="22">
        <v>0</v>
      </c>
      <c r="P1268" s="21">
        <v>5480000</v>
      </c>
      <c r="S1268" s="101" t="b">
        <f>OR(COUNTIF(Tabla2[[#This Row],[PROVEEDOR]],"*"&amp;'Palabra no opera'!$A$2&amp;"*"))</f>
        <v>0</v>
      </c>
      <c r="T1268" s="113">
        <f>+$W$5-Tabla2[[#This Row],[FECHA DE FACTURACIÓN]]</f>
        <v>58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por pagar</v>
      </c>
      <c r="W1268" s="115" t="str">
        <f>+IF(AND(Tabla2[[#This Row],[venc]]="venc",Tabla2[[#This Row],[Columna1]]="por pagar"),"vencida","no")</f>
        <v>vencida</v>
      </c>
    </row>
    <row r="1269" spans="1:23" ht="15.75" x14ac:dyDescent="0.25">
      <c r="A1269" s="20">
        <v>30</v>
      </c>
      <c r="B1269" s="25">
        <v>3436655.6310000001</v>
      </c>
      <c r="C1269" s="25"/>
      <c r="D1269" s="56" t="s">
        <v>444</v>
      </c>
      <c r="E1269" s="66"/>
      <c r="F1269" s="323" t="s">
        <v>32</v>
      </c>
      <c r="G1269" s="66">
        <v>45254</v>
      </c>
      <c r="H1269" s="35" t="s">
        <v>1302</v>
      </c>
      <c r="I1269" s="21">
        <v>-117311</v>
      </c>
      <c r="J1269" s="21"/>
      <c r="K1269" s="22">
        <v>-22289.09</v>
      </c>
      <c r="L1269" s="23"/>
      <c r="M1269" s="22">
        <v>0</v>
      </c>
      <c r="N1269" s="72">
        <v>0</v>
      </c>
      <c r="O1269" s="22">
        <v>0</v>
      </c>
      <c r="P1269" s="21">
        <v>-139600.09</v>
      </c>
      <c r="S1269" s="101" t="b">
        <f>OR(COUNTIF(Tabla2[[#This Row],[PROVEEDOR]],"*"&amp;'Palabra no opera'!$A$2&amp;"*"))</f>
        <v>0</v>
      </c>
      <c r="T1269" s="113">
        <f>+$W$5-Tabla2[[#This Row],[FECHA DE FACTURACIÓN]]</f>
        <v>68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por pagar</v>
      </c>
      <c r="W1269" s="115" t="str">
        <f>+IF(AND(Tabla2[[#This Row],[venc]]="venc",Tabla2[[#This Row],[Columna1]]="por pagar"),"vencida","no")</f>
        <v>vencida</v>
      </c>
    </row>
    <row r="1270" spans="1:23" ht="15.75" x14ac:dyDescent="0.25">
      <c r="A1270" s="20">
        <v>30</v>
      </c>
      <c r="B1270" s="25">
        <v>-66999.998800000001</v>
      </c>
      <c r="C1270" s="25"/>
      <c r="D1270" s="56" t="s">
        <v>168</v>
      </c>
      <c r="E1270" s="66"/>
      <c r="F1270" s="323" t="s">
        <v>322</v>
      </c>
      <c r="G1270" s="66">
        <v>44867</v>
      </c>
      <c r="H1270" s="35" t="s">
        <v>1529</v>
      </c>
      <c r="I1270" s="21">
        <v>-56302.52</v>
      </c>
      <c r="J1270" s="21"/>
      <c r="K1270" s="22">
        <v>-10697.478799999999</v>
      </c>
      <c r="L1270" s="23"/>
      <c r="M1270" s="22">
        <v>0</v>
      </c>
      <c r="N1270" s="72">
        <v>0</v>
      </c>
      <c r="O1270" s="22">
        <v>0</v>
      </c>
      <c r="P1270" s="21">
        <v>-66999.998800000001</v>
      </c>
      <c r="S1270" s="101" t="b">
        <f>OR(COUNTIF(Tabla2[[#This Row],[PROVEEDOR]],"*"&amp;'Palabra no opera'!$A$2&amp;"*"))</f>
        <v>0</v>
      </c>
      <c r="T1270" s="113">
        <f>+$W$5-Tabla2[[#This Row],[FECHA DE FACTURACIÓN]]</f>
        <v>455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por pagar</v>
      </c>
      <c r="W1270" s="115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conditionalFormatting sqref="A7:P1270">
    <cfRule type="expression" dxfId="25" priority="31" stopIfTrue="1">
      <formula>$S7="Por pagar"</formula>
    </cfRule>
    <cfRule type="expression" dxfId="24" priority="32" stopIfTrue="1">
      <formula>$S7="Vencida"</formula>
    </cfRule>
    <cfRule type="expression" dxfId="23" priority="33" stopIfTrue="1">
      <formula>$S7="Pagada"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A6544-30B3-475E-8A6F-B99F8B88570A}">
          <x14:formula1>
            <xm:f>Terceros!$A:$A</xm:f>
          </x14:formula1>
          <xm:sqref>F7:F1270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Escobar</cp:lastModifiedBy>
  <cp:lastPrinted>2024-02-05T20:35:08Z</cp:lastPrinted>
  <dcterms:created xsi:type="dcterms:W3CDTF">2019-09-20T14:37:58Z</dcterms:created>
  <dcterms:modified xsi:type="dcterms:W3CDTF">2024-02-06T22:17:19Z</dcterms:modified>
</cp:coreProperties>
</file>